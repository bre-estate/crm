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THU Sơ cấp" sheetId="1" r:id="rId4"/>
    <sheet state="visible" name="DTHU Thứ cấp" sheetId="2" r:id="rId5"/>
    <sheet state="visible" name="Báo Cáo" sheetId="3" r:id="rId6"/>
    <sheet state="visible" name="VinhDanh" sheetId="4" r:id="rId7"/>
    <sheet state="hidden" name="MG" sheetId="5" r:id="rId8"/>
  </sheets>
  <definedNames>
    <definedName hidden="1" localSheetId="0" name="_xlnm._FilterDatabase">'DTHU Sơ cấp'!$A$4:$W$545</definedName>
    <definedName hidden="1" localSheetId="1" name="_xlnm._FilterDatabase">'DTHU Thứ cấp'!$A$4:$L$549</definedName>
    <definedName hidden="1" localSheetId="4" name="_xlnm._FilterDatabase">MG!$B$3:$N$17</definedName>
  </definedNames>
  <calcPr/>
  <extLst>
    <ext uri="GoogleSheetsCustomDataVersion2">
      <go:sheetsCustomData xmlns:go="http://customooxmlschemas.google.com/" r:id="rId9" roundtripDataChecksum="P0I0vMbAJ36y3xUfIhWzmJTmwOUpFjL5EK/8iy0lvl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7">
      <text>
        <t xml:space="preserve">======
ID#AAAB9gyqKKw
Lan Viên Hồ    (2026-06-15 03:30:09)
cần coi lại mấy cái phí lầnn 1 lần 2 cho 4 căn ebv</t>
      </text>
    </comment>
    <comment authorId="0" ref="R4">
      <text>
        <t xml:space="preserve">======
ID#AAAB88uVRMk
Lan Viên Hồ    (2026-06-08 03:26:34)
Doanh thu đã trừ VAT, phí admin và chiết khấu =&gt; dùng để tính doanh số</t>
      </text>
    </comment>
  </commentList>
  <extLst>
    <ext uri="GoogleSheetsCustomDataVersion2">
      <go:sheetsCustomData xmlns:go="http://customooxmlschemas.google.com/" r:id="rId1" roundtripDataSignature="AMtx7mio5gCJuH9/vz169eBwy1+MfLPjLA=="/>
    </ext>
  </extLst>
</comments>
</file>

<file path=xl/sharedStrings.xml><?xml version="1.0" encoding="utf-8"?>
<sst xmlns="http://schemas.openxmlformats.org/spreadsheetml/2006/main" count="46523" uniqueCount="335">
  <si>
    <t>THEO DÕI DOANH THU SÀN BRE</t>
  </si>
  <si>
    <t>STT</t>
  </si>
  <si>
    <t>Mã sp</t>
  </si>
  <si>
    <t>Dự án</t>
  </si>
  <si>
    <t>Giá tính phí/
Phí môi giới</t>
  </si>
  <si>
    <t>Tỷ lệ phí HH</t>
  </si>
  <si>
    <t>Phòng</t>
  </si>
  <si>
    <t>Đối tác liên kết</t>
  </si>
  <si>
    <t>Nhân viên</t>
  </si>
  <si>
    <t>Ngày cọc</t>
  </si>
  <si>
    <t>Đối chiếu DT/tháng</t>
  </si>
  <si>
    <t>THÁNG</t>
  </si>
  <si>
    <t>Năm</t>
  </si>
  <si>
    <t>Năm - NVKD - Cặp</t>
  </si>
  <si>
    <t>Tổng doanh số Theo cặp</t>
  </si>
  <si>
    <t>Doanh thu có VAT
chưa trừ phí ADMIN</t>
  </si>
  <si>
    <t>Phí ADMIN</t>
  </si>
  <si>
    <t>CK</t>
  </si>
  <si>
    <t>Doanh thu về công ty trước VAT đã trừ Admin</t>
  </si>
  <si>
    <t>Tỷ lệ %
Hoa hồng Sale</t>
  </si>
  <si>
    <t>Phí lần 1</t>
  </si>
  <si>
    <t>Hoa hồng về cty
trước VAT lần 1</t>
  </si>
  <si>
    <t>Phí lần 2</t>
  </si>
  <si>
    <t>Hoa hồng về CTY
trước VAT lần 2</t>
  </si>
  <si>
    <t>Phí lần 3</t>
  </si>
  <si>
    <t>Hoa hồng về CTY
trước VAT lần 3</t>
  </si>
  <si>
    <t>Phí lần 4</t>
  </si>
  <si>
    <t>Hoa hồng về CTY
trước VAT lần 4</t>
  </si>
  <si>
    <t>Phí lần 5</t>
  </si>
  <si>
    <t>Hoa hồng về CTY
trước VAT lần 5</t>
  </si>
  <si>
    <t>NOTE</t>
  </si>
  <si>
    <t>26.06</t>
  </si>
  <si>
    <t>Phú Đông Sky Garden</t>
  </si>
  <si>
    <t>TA</t>
  </si>
  <si>
    <t>Hồ Nguyễn Công Thành</t>
  </si>
  <si>
    <t>2024-T10</t>
  </si>
  <si>
    <t>Đã chi đủ</t>
  </si>
  <si>
    <t>B2-11.17</t>
  </si>
  <si>
    <t>Bcons Green Emerald</t>
  </si>
  <si>
    <t>Bcons Homes</t>
  </si>
  <si>
    <t>Đoàn Lê Bách</t>
  </si>
  <si>
    <t>10</t>
  </si>
  <si>
    <t>2024</t>
  </si>
  <si>
    <t>2024-Đoàn Lê Bách-5</t>
  </si>
  <si>
    <t>A.05.09</t>
  </si>
  <si>
    <t>Fiato Uptown</t>
  </si>
  <si>
    <t>DKRS</t>
  </si>
  <si>
    <t>Võ Thị Thu Thảo</t>
  </si>
  <si>
    <t>2024-T12</t>
  </si>
  <si>
    <t>12</t>
  </si>
  <si>
    <t>2024-Võ Thị Thu Thảo-6</t>
  </si>
  <si>
    <t>A.05.03</t>
  </si>
  <si>
    <t>2024-Đoàn Lê Bách-6</t>
  </si>
  <si>
    <t>Khách bỏ cọc</t>
  </si>
  <si>
    <t>14.16</t>
  </si>
  <si>
    <t>2025-T01</t>
  </si>
  <si>
    <t>01</t>
  </si>
  <si>
    <t>2025</t>
  </si>
  <si>
    <t>2025-Võ Thị Thu Thảo-1</t>
  </si>
  <si>
    <t>A.23.25</t>
  </si>
  <si>
    <t>TT AVIO</t>
  </si>
  <si>
    <t>Trần Minh Nhật</t>
  </si>
  <si>
    <t>2025-T04</t>
  </si>
  <si>
    <t>04</t>
  </si>
  <si>
    <t>2025-Trần Minh Nhật-2</t>
  </si>
  <si>
    <t>A2-23.03</t>
  </si>
  <si>
    <t>Bcons Green Sapphire</t>
  </si>
  <si>
    <t>Trần Thị Khánh Linh</t>
  </si>
  <si>
    <t>2025-Trần Thị Khánh Linh-2</t>
  </si>
  <si>
    <t>A.25.26</t>
  </si>
  <si>
    <t>Đoàn Ngọc Hạ Sang</t>
  </si>
  <si>
    <t>2025-Đoàn Ngọc Hạ Sang-2</t>
  </si>
  <si>
    <t>Thiếu đợt 2</t>
  </si>
  <si>
    <t>B.06.07</t>
  </si>
  <si>
    <t>BAMLAND</t>
  </si>
  <si>
    <t>2025-T07</t>
  </si>
  <si>
    <t>07</t>
  </si>
  <si>
    <t>2025-Trần Minh Nhật-4</t>
  </si>
  <si>
    <t>Đã chi đợt 1</t>
  </si>
  <si>
    <t>B.06.11</t>
  </si>
  <si>
    <t>2025-Hồ Nguyễn Công Thành-4</t>
  </si>
  <si>
    <t>B.23.24</t>
  </si>
  <si>
    <t>B.11.06</t>
  </si>
  <si>
    <t>Hồ Gia</t>
  </si>
  <si>
    <t>2025-T08</t>
  </si>
  <si>
    <t>08</t>
  </si>
  <si>
    <t>B.15.07</t>
  </si>
  <si>
    <t>B.12.20</t>
  </si>
  <si>
    <t>2025-Trần Thị Khánh Linh-4</t>
  </si>
  <si>
    <t>B.12.09</t>
  </si>
  <si>
    <t>Lê Trịnh Thanh Thúy</t>
  </si>
  <si>
    <t>2025-Lê Trịnh Thanh Thúy-4</t>
  </si>
  <si>
    <t>B.28.18</t>
  </si>
  <si>
    <t>2025-T09</t>
  </si>
  <si>
    <t>09</t>
  </si>
  <si>
    <t>2025-Hồ Nguyễn Công Thành-5</t>
  </si>
  <si>
    <t>B.23.21</t>
  </si>
  <si>
    <t>2025-Trần Minh Nhật-5</t>
  </si>
  <si>
    <t>B.03.16</t>
  </si>
  <si>
    <t xml:space="preserve">TT AVIO </t>
  </si>
  <si>
    <t>Lê Thị Cẩm Giang</t>
  </si>
  <si>
    <t>2025-Lê Thị Cẩm Giang-5</t>
  </si>
  <si>
    <t>B.12.06</t>
  </si>
  <si>
    <t>Phú Đông SkyOne</t>
  </si>
  <si>
    <t>2025-Trần Thị Khánh Linh-5</t>
  </si>
  <si>
    <t>B.03.21</t>
  </si>
  <si>
    <t>B.23.15</t>
  </si>
  <si>
    <t>BLĐ</t>
  </si>
  <si>
    <t>2025-Đoàn Lê Bách-5</t>
  </si>
  <si>
    <t>B.27.15</t>
  </si>
  <si>
    <t>B.14.08</t>
  </si>
  <si>
    <t>A.10.10</t>
  </si>
  <si>
    <t>Bcons Green Diamond</t>
  </si>
  <si>
    <t>2025-T10</t>
  </si>
  <si>
    <t>B.26.20</t>
  </si>
  <si>
    <t>B.31.20</t>
  </si>
  <si>
    <t>2025-T11</t>
  </si>
  <si>
    <t>11</t>
  </si>
  <si>
    <t>2025-Đoàn Lê Bách-6</t>
  </si>
  <si>
    <t>B.16.11</t>
  </si>
  <si>
    <t>2025-Trần Minh Nhật-6</t>
  </si>
  <si>
    <t>B.30.20</t>
  </si>
  <si>
    <t>04.19</t>
  </si>
  <si>
    <t>2025-Hồ Nguyễn Công Thành-6</t>
  </si>
  <si>
    <t xml:space="preserve">A-05-07 </t>
  </si>
  <si>
    <t>A&amp;T SAIGON RIVERSIDE</t>
  </si>
  <si>
    <t>DXMD</t>
  </si>
  <si>
    <t>B-31-12</t>
  </si>
  <si>
    <t>B-09-05</t>
  </si>
  <si>
    <t>2025-Lê Trịnh Thanh Thúy-6</t>
  </si>
  <si>
    <t>B-15-01</t>
  </si>
  <si>
    <t>B-09-11A</t>
  </si>
  <si>
    <t>Oplus Realy</t>
  </si>
  <si>
    <t>B-35-05</t>
  </si>
  <si>
    <t>A-29-12</t>
  </si>
  <si>
    <t>B.31.12A</t>
  </si>
  <si>
    <t>8/12/2025</t>
  </si>
  <si>
    <t>2025-T12</t>
  </si>
  <si>
    <t>A1-12-17</t>
  </si>
  <si>
    <t>The Emerald Garden View</t>
  </si>
  <si>
    <t>Dataloca</t>
  </si>
  <si>
    <t>2026</t>
  </si>
  <si>
    <t>2026-Đoàn Lê Bách-1</t>
  </si>
  <si>
    <t>A2.23.12</t>
  </si>
  <si>
    <t>2026-T01</t>
  </si>
  <si>
    <t>2026-Trần Minh Nhật-1</t>
  </si>
  <si>
    <t>A1.19.09</t>
  </si>
  <si>
    <t>B1.09.22</t>
  </si>
  <si>
    <t>2026-Trần Thị Khánh Linh-1</t>
  </si>
  <si>
    <t>A2.14.01</t>
  </si>
  <si>
    <t>A1.19.10</t>
  </si>
  <si>
    <t>2026-Lê Trịnh Thanh Thúy-1</t>
  </si>
  <si>
    <t>A1.19.20</t>
  </si>
  <si>
    <t>2026-Hồ Nguyễn Công Thành-1</t>
  </si>
  <si>
    <t>B2-09-16</t>
  </si>
  <si>
    <t>Sale đã ứng voucher</t>
  </si>
  <si>
    <t>B1.14.10</t>
  </si>
  <si>
    <t>B2.07.08</t>
  </si>
  <si>
    <t>2026-Lê Thị Cẩm Giang-1</t>
  </si>
  <si>
    <t>CK khách hàng nhóm</t>
  </si>
  <si>
    <t>A2.14.15</t>
  </si>
  <si>
    <t>B2.07.19</t>
  </si>
  <si>
    <t>A1.24.02</t>
  </si>
  <si>
    <t>A1.14.09</t>
  </si>
  <si>
    <t>A1-23-07</t>
  </si>
  <si>
    <t>2026-T03</t>
  </si>
  <si>
    <t>03</t>
  </si>
  <si>
    <t>2026-Đoàn Lê Bách-2</t>
  </si>
  <si>
    <t>A1-15-17</t>
  </si>
  <si>
    <t>1 Tỷ</t>
  </si>
  <si>
    <t>Bùi Thị Hạ Uyên</t>
  </si>
  <si>
    <t>2026-T04</t>
  </si>
  <si>
    <t>2026-Bùi Thị Hạ Uyên-2</t>
  </si>
  <si>
    <t>A1-06-17</t>
  </si>
  <si>
    <t>2026-Lê Thị Cẩm Giang-2</t>
  </si>
  <si>
    <t>A1-09-06</t>
  </si>
  <si>
    <t>2026-Trần Thị Khánh Linh-2</t>
  </si>
  <si>
    <t>A2-15-03A</t>
  </si>
  <si>
    <t>A1-15-19</t>
  </si>
  <si>
    <t>2026-Hồ Nguyễn Công Thành-2</t>
  </si>
  <si>
    <t>A2-06-17</t>
  </si>
  <si>
    <t>Tô Rô Ly Na</t>
  </si>
  <si>
    <t>2026-Tô Rô Ly Na-2</t>
  </si>
  <si>
    <t>B2-11-16</t>
  </si>
  <si>
    <t>A2-07-08</t>
  </si>
  <si>
    <t>A1-22-07</t>
  </si>
  <si>
    <t>A2-08-10</t>
  </si>
  <si>
    <t>A2-22-21</t>
  </si>
  <si>
    <t>B1-15-05</t>
  </si>
  <si>
    <t>ZLand</t>
  </si>
  <si>
    <t>17/04/2026</t>
  </si>
  <si>
    <t>B1-22-20</t>
  </si>
  <si>
    <t>Vạn Xuân</t>
  </si>
  <si>
    <t>A1-22-09</t>
  </si>
  <si>
    <t>18/04/2026</t>
  </si>
  <si>
    <t>2026-Trần Minh Nhật-2</t>
  </si>
  <si>
    <t>A1-12A-07</t>
  </si>
  <si>
    <t>B2-23-09</t>
  </si>
  <si>
    <t>A2-12A-11</t>
  </si>
  <si>
    <t>Nguyễn Quý Tài</t>
  </si>
  <si>
    <t>2026-Nguyễn Quý Tài-2</t>
  </si>
  <si>
    <t>A1-21-17</t>
  </si>
  <si>
    <t>2026-T05</t>
  </si>
  <si>
    <t>05</t>
  </si>
  <si>
    <t>2026-Hồ Nguyễn Công Thành-3</t>
  </si>
  <si>
    <t>A2-15-15</t>
  </si>
  <si>
    <t>2026-Trần Minh Nhật-3</t>
  </si>
  <si>
    <t>B2-22-05</t>
  </si>
  <si>
    <t>B-31-02</t>
  </si>
  <si>
    <t>The Emerald Boulevard</t>
  </si>
  <si>
    <t>Freelancer</t>
  </si>
  <si>
    <t>Châu Thị Kim Ngân</t>
  </si>
  <si>
    <t>2026-T06</t>
  </si>
  <si>
    <t>06</t>
  </si>
  <si>
    <t>2026-Châu Thị Kim Ngân-3</t>
  </si>
  <si>
    <t>Freelancer hưởng hoa hồng 65%</t>
  </si>
  <si>
    <t>B-15-10</t>
  </si>
  <si>
    <t>Đinh Viết Hân</t>
  </si>
  <si>
    <t>2026-Đinh Viết Hân-3</t>
  </si>
  <si>
    <t>B-30-10</t>
  </si>
  <si>
    <t>Bùi Thị Kiểu Chi</t>
  </si>
  <si>
    <t>2026-Bùi Thị Kiểu Chi-3</t>
  </si>
  <si>
    <t/>
  </si>
  <si>
    <t>Ngày hoàn thành dự kiến</t>
  </si>
  <si>
    <t>Doanh thu về công ty</t>
  </si>
  <si>
    <t>Tỷ lệ hoa hồng NVKD</t>
  </si>
  <si>
    <t>Phí cty</t>
  </si>
  <si>
    <t>Note</t>
  </si>
  <si>
    <t>CK về TK a Triết</t>
  </si>
  <si>
    <t>Thành Tiền</t>
  </si>
  <si>
    <t>A.05.11</t>
  </si>
  <si>
    <t>Bcons Green View</t>
  </si>
  <si>
    <t>Done</t>
  </si>
  <si>
    <t>Đã CK về a Triết</t>
  </si>
  <si>
    <t>A.18.03</t>
  </si>
  <si>
    <t>Bcons Polygon</t>
  </si>
  <si>
    <t>A.23.17</t>
  </si>
  <si>
    <t>Bcons Garden</t>
  </si>
  <si>
    <t>D.23.10</t>
  </si>
  <si>
    <t>B.25.09</t>
  </si>
  <si>
    <t>C.12.01</t>
  </si>
  <si>
    <t>Bcons Plaza</t>
  </si>
  <si>
    <t>B.17.07</t>
  </si>
  <si>
    <t>2024-T11</t>
  </si>
  <si>
    <t>A.23.02</t>
  </si>
  <si>
    <t>Bcons Miền Đông</t>
  </si>
  <si>
    <t>A.12a.13</t>
  </si>
  <si>
    <t>A.24.07</t>
  </si>
  <si>
    <t>A.24.02</t>
  </si>
  <si>
    <t>A.23.12</t>
  </si>
  <si>
    <t>Bùi Xuân Đạt</t>
  </si>
  <si>
    <t>C.26.06</t>
  </si>
  <si>
    <t>2025-T02</t>
  </si>
  <si>
    <t>B.19.05</t>
  </si>
  <si>
    <t>2025-T03</t>
  </si>
  <si>
    <t>A.19.19</t>
  </si>
  <si>
    <t>C.10.08</t>
  </si>
  <si>
    <t>A.24.05</t>
  </si>
  <si>
    <t>A.08.04</t>
  </si>
  <si>
    <t>Mới công chứng cọc, chờ sổ công chứng thanh toán đủ</t>
  </si>
  <si>
    <t>A.16.08</t>
  </si>
  <si>
    <t>done</t>
  </si>
  <si>
    <t>B.22.04</t>
  </si>
  <si>
    <t>A.12a.11</t>
  </si>
  <si>
    <t>2025-T05</t>
  </si>
  <si>
    <t>A.15.18</t>
  </si>
  <si>
    <t>B.06.03</t>
  </si>
  <si>
    <t>2025-T06</t>
  </si>
  <si>
    <t>A.07.15</t>
  </si>
  <si>
    <t>Tạm tính 50%, dự kiến đủ 55%. Đã chi 9.810.000 chênh 981k</t>
  </si>
  <si>
    <t>A.20.13</t>
  </si>
  <si>
    <t>B.20.05</t>
  </si>
  <si>
    <t>B.23.05</t>
  </si>
  <si>
    <t>A.11.12</t>
  </si>
  <si>
    <t>A.18.06</t>
  </si>
  <si>
    <t>SH.07</t>
  </si>
  <si>
    <t>A.21.16</t>
  </si>
  <si>
    <t>Vũ Thị Ngọc Duyên</t>
  </si>
  <si>
    <t>A.15.15</t>
  </si>
  <si>
    <t>B.06.05</t>
  </si>
  <si>
    <t>B.15.11</t>
  </si>
  <si>
    <t>B.18.07</t>
  </si>
  <si>
    <t>B.24.09</t>
  </si>
  <si>
    <t>Nguyễn Thị Hồng</t>
  </si>
  <si>
    <t>B.21.10</t>
  </si>
  <si>
    <t>B.29.09</t>
  </si>
  <si>
    <t>B.21.05</t>
  </si>
  <si>
    <t>A.09.11</t>
  </si>
  <si>
    <t>A.03.10</t>
  </si>
  <si>
    <t>B.17.12</t>
  </si>
  <si>
    <t>Nguyễn Thị Hồng Nhung</t>
  </si>
  <si>
    <t>D.12A.09</t>
  </si>
  <si>
    <t xml:space="preserve">Bcons Garden </t>
  </si>
  <si>
    <t>14/11/2025</t>
  </si>
  <si>
    <t>A.25.01</t>
  </si>
  <si>
    <t>16/11/2025</t>
  </si>
  <si>
    <t>A.05.06</t>
  </si>
  <si>
    <t>B.09.08</t>
  </si>
  <si>
    <t>18/11/2025</t>
  </si>
  <si>
    <t>C.10.15</t>
  </si>
  <si>
    <t>A.17.04</t>
  </si>
  <si>
    <t>08/12/2025</t>
  </si>
  <si>
    <t>A.18.01</t>
  </si>
  <si>
    <t>2026-T02</t>
  </si>
  <si>
    <t>B.03.10</t>
  </si>
  <si>
    <t>MỤC TIÊU 2026 CTY BRE</t>
  </si>
  <si>
    <t>Top</t>
  </si>
  <si>
    <t>Mục tiêu của cty</t>
  </si>
  <si>
    <t>Nhân sự (ĐV người)</t>
  </si>
  <si>
    <t>Doanh thu</t>
  </si>
  <si>
    <t>Trung bình/người</t>
  </si>
  <si>
    <t>Doanh thu/căn</t>
  </si>
  <si>
    <t>Mục tiêu nhân sự tự đặt</t>
  </si>
  <si>
    <t>Doanh thu dự kiến</t>
  </si>
  <si>
    <t>SL căn</t>
  </si>
  <si>
    <t>Trung bình/tháng</t>
  </si>
  <si>
    <t>Nhật</t>
  </si>
  <si>
    <t>Duy Anh</t>
  </si>
  <si>
    <t>Nhung</t>
  </si>
  <si>
    <t>Tài</t>
  </si>
  <si>
    <t>Giang</t>
  </si>
  <si>
    <t>Thúy</t>
  </si>
  <si>
    <t>Uyên</t>
  </si>
  <si>
    <t>Linh</t>
  </si>
  <si>
    <t>Ly Na</t>
  </si>
  <si>
    <t>Bích Thủy</t>
  </si>
  <si>
    <t>Tổng mục tiêu</t>
  </si>
  <si>
    <t>FILE THEO DÕI DOANH THU HÀNG MÔI GIỚI</t>
  </si>
  <si>
    <t>Sàn</t>
  </si>
  <si>
    <t>Biên nhận cọc 3 bên số</t>
  </si>
  <si>
    <t>Ngày chuyển nhượng</t>
  </si>
  <si>
    <t>Theo dõi tình trạng</t>
  </si>
  <si>
    <t>Ngày nộp phí cty</t>
  </si>
  <si>
    <t>Ngày nộp BNC cty</t>
  </si>
  <si>
    <t>Ghi chú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</si>
</sst>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[$-1010000]d/m/yyyy"/>
    <numFmt numFmtId="166" formatCode="dd/mm/yyyy"/>
    <numFmt numFmtId="167" formatCode="d/m/yyyy"/>
    <numFmt numFmtId="168" formatCode="0.0"/>
  </numFmts>
  <fonts count="23">
    <font>
      <sz val="11.0"/>
      <color theme="1"/>
      <name val="Calibri"/>
      <scheme val="minor"/>
    </font>
    <font>
      <b/>
      <sz val="18.0"/>
      <color theme="1"/>
      <name val="Times New Roman"/>
    </font>
    <font>
      <b/>
      <sz val="14.0"/>
      <color rgb="FF3333FF"/>
      <name val="Times New Roman"/>
    </font>
    <font>
      <sz val="11.0"/>
      <color theme="1"/>
      <name val="Times New Roman"/>
    </font>
    <font>
      <sz val="11.0"/>
      <color rgb="FF3333FF"/>
      <name val="Times New Roman"/>
    </font>
    <font>
      <sz val="11.0"/>
      <color theme="1"/>
      <name val="Calibri"/>
    </font>
    <font>
      <b/>
      <sz val="11.0"/>
      <color rgb="FF3333FF"/>
      <name val="Times New Roman"/>
    </font>
    <font>
      <b/>
      <sz val="11.0"/>
      <color theme="1"/>
      <name val="Times New Roman"/>
    </font>
    <font>
      <b/>
      <sz val="11.0"/>
      <color rgb="FF3333FF"/>
      <name val="&quot;Times New Roman&quot;"/>
    </font>
    <font>
      <sz val="11.0"/>
      <color rgb="FF000000"/>
      <name val="&quot;Times New Roman&quot;"/>
    </font>
    <font>
      <sz val="11.0"/>
      <color rgb="FF3333FF"/>
      <name val="&quot;Times New Roman&quot;"/>
    </font>
    <font>
      <sz val="11.0"/>
      <color rgb="FF000000"/>
      <name val="Times New Roman"/>
    </font>
    <font>
      <b/>
      <sz val="11.0"/>
      <color rgb="FF1155CC"/>
      <name val="&quot;Times New Roman&quot;"/>
    </font>
    <font>
      <b/>
      <color rgb="FFCC0000"/>
      <name val="Arial"/>
    </font>
    <font>
      <color theme="1"/>
      <name val="Calibri"/>
      <scheme val="minor"/>
    </font>
    <font>
      <b/>
      <sz val="20.0"/>
      <color rgb="FF000000"/>
      <name val="&quot;Aptos Narrow&quot;"/>
    </font>
    <font>
      <sz val="11.0"/>
      <color rgb="FF000000"/>
      <name val="&quot;Aptos Narrow&quot;"/>
    </font>
    <font>
      <b/>
      <sz val="11.0"/>
      <color rgb="FF000000"/>
      <name val="&quot;Aptos Narrow&quot;"/>
    </font>
    <font/>
    <font>
      <b/>
      <sz val="11.0"/>
      <color rgb="FFFF0000"/>
      <name val="Arial"/>
    </font>
    <font>
      <sz val="11.0"/>
      <color rgb="FF000000"/>
      <name val="Arial"/>
    </font>
    <font>
      <b/>
      <sz val="11.0"/>
      <color rgb="FFFFFFFF"/>
      <name val="&quot;Aptos Narrow&quot;"/>
    </font>
    <font>
      <b/>
      <sz val="14.0"/>
      <color theme="1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FE699"/>
        <bgColor rgb="FFFFE699"/>
      </patternFill>
    </fill>
    <fill>
      <patternFill patternType="solid">
        <fgColor rgb="FFD5A6BD"/>
        <bgColor rgb="FFD5A6BD"/>
      </patternFill>
    </fill>
    <fill>
      <patternFill patternType="solid">
        <fgColor rgb="FF63D297"/>
        <bgColor rgb="FF63D297"/>
      </patternFill>
    </fill>
    <fill>
      <patternFill patternType="solid">
        <fgColor rgb="FFE97132"/>
        <bgColor rgb="FFE97132"/>
      </patternFill>
    </fill>
    <fill>
      <patternFill patternType="solid">
        <fgColor rgb="FFFBE2D5"/>
        <bgColor rgb="FFFBE2D5"/>
      </patternFill>
    </fill>
    <fill>
      <patternFill patternType="solid">
        <fgColor rgb="FFB4C6E7"/>
        <bgColor rgb="FFB4C6E7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vertical="center"/>
    </xf>
    <xf borderId="0" fillId="0" fontId="2" numFmtId="49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  <xf borderId="0" fillId="0" fontId="3" numFmtId="164" xfId="0" applyAlignment="1" applyFont="1" applyNumberFormat="1">
      <alignment vertical="center"/>
    </xf>
    <xf borderId="0" fillId="0" fontId="3" numFmtId="10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3" numFmtId="165" xfId="0" applyAlignment="1" applyFont="1" applyNumberFormat="1">
      <alignment horizontal="center" vertical="center"/>
    </xf>
    <xf borderId="0" fillId="0" fontId="2" numFmtId="49" xfId="0" applyAlignment="1" applyFont="1" applyNumberFormat="1">
      <alignment vertical="center"/>
    </xf>
    <xf borderId="0" fillId="0" fontId="3" numFmtId="3" xfId="0" applyAlignment="1" applyFont="1" applyNumberFormat="1">
      <alignment horizontal="right" vertical="center"/>
    </xf>
    <xf borderId="0" fillId="2" fontId="3" numFmtId="3" xfId="0" applyAlignment="1" applyFill="1" applyFont="1" applyNumberFormat="1">
      <alignment horizontal="right" vertical="center"/>
    </xf>
    <xf borderId="0" fillId="0" fontId="3" numFmtId="9" xfId="0" applyAlignment="1" applyFont="1" applyNumberFormat="1">
      <alignment horizontal="right" vertical="center"/>
    </xf>
    <xf borderId="0" fillId="0" fontId="5" numFmtId="10" xfId="0" applyFont="1" applyNumberFormat="1"/>
    <xf borderId="0" fillId="0" fontId="5" numFmtId="3" xfId="0" applyFont="1" applyNumberFormat="1"/>
    <xf borderId="0" fillId="0" fontId="5" numFmtId="0" xfId="0" applyFont="1"/>
    <xf borderId="0" fillId="0" fontId="6" numFmtId="49" xfId="0" applyAlignment="1" applyFont="1" applyNumberForma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0" xfId="0" applyAlignment="1" applyFont="1" applyNumberFormat="1">
      <alignment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0" fillId="0" fontId="3" numFmtId="3" xfId="0" applyAlignment="1" applyFont="1" applyNumberFormat="1">
      <alignment horizontal="right" shrinkToFit="0" vertical="center" wrapText="1"/>
    </xf>
    <xf borderId="0" fillId="2" fontId="3" numFmtId="164" xfId="0" applyAlignment="1" applyFont="1" applyNumberFormat="1">
      <alignment horizontal="center" shrinkToFit="0" vertical="center" wrapText="1"/>
    </xf>
    <xf borderId="0" fillId="0" fontId="3" numFmtId="9" xfId="0" applyAlignment="1" applyFont="1" applyNumberFormat="1">
      <alignment horizontal="right" shrinkToFit="0" vertical="center" wrapText="1"/>
    </xf>
    <xf borderId="0" fillId="0" fontId="3" numFmtId="164" xfId="0" applyAlignment="1" applyFont="1" applyNumberFormat="1">
      <alignment horizontal="center" shrinkToFit="0" wrapText="1"/>
    </xf>
    <xf borderId="1" fillId="3" fontId="7" numFmtId="0" xfId="0" applyAlignment="1" applyBorder="1" applyFill="1" applyFont="1">
      <alignment horizontal="center" shrinkToFit="0" vertical="center" wrapText="1"/>
    </xf>
    <xf borderId="1" fillId="3" fontId="6" numFmtId="49" xfId="0" applyAlignment="1" applyBorder="1" applyFont="1" applyNumberFormat="1">
      <alignment horizontal="center" shrinkToFit="0" vertical="center" wrapText="1"/>
    </xf>
    <xf borderId="1" fillId="3" fontId="7" numFmtId="164" xfId="0" applyAlignment="1" applyBorder="1" applyFont="1" applyNumberFormat="1">
      <alignment horizontal="center" shrinkToFit="0" vertical="center" wrapText="1"/>
    </xf>
    <xf borderId="1" fillId="3" fontId="7" numFmtId="10" xfId="0" applyAlignment="1" applyBorder="1" applyFont="1" applyNumberForma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3" fontId="7" numFmtId="165" xfId="0" applyAlignment="1" applyBorder="1" applyFont="1" applyNumberFormat="1">
      <alignment horizontal="center" shrinkToFit="0" vertical="center" wrapText="1"/>
    </xf>
    <xf borderId="1" fillId="3" fontId="7" numFmtId="164" xfId="0" applyAlignment="1" applyBorder="1" applyFont="1" applyNumberFormat="1">
      <alignment horizontal="center" readingOrder="0" shrinkToFit="0" vertical="center" wrapText="1"/>
    </xf>
    <xf borderId="1" fillId="3" fontId="7" numFmtId="3" xfId="0" applyAlignment="1" applyBorder="1" applyFont="1" applyNumberFormat="1">
      <alignment horizontal="center" readingOrder="0" shrinkToFit="0" vertical="center" wrapText="1"/>
    </xf>
    <xf borderId="1" fillId="4" fontId="7" numFmtId="3" xfId="0" applyAlignment="1" applyBorder="1" applyFill="1" applyFont="1" applyNumberFormat="1">
      <alignment horizontal="center" readingOrder="0" shrinkToFit="0" vertical="center" wrapText="1"/>
    </xf>
    <xf borderId="1" fillId="3" fontId="7" numFmtId="9" xfId="0" applyAlignment="1" applyBorder="1" applyFont="1" applyNumberFormat="1">
      <alignment horizontal="center" readingOrder="0" shrinkToFit="0" vertical="center" wrapText="1"/>
    </xf>
    <xf borderId="1" fillId="3" fontId="7" numFmtId="3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164" xfId="0" applyAlignment="1" applyBorder="1" applyFont="1" applyNumberFormat="1">
      <alignment shrinkToFit="0" vertical="center" wrapText="1"/>
    </xf>
    <xf borderId="1" fillId="0" fontId="3" numFmtId="10" xfId="0" applyAlignment="1" applyBorder="1" applyFont="1" applyNumberForma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shrinkToFit="0" wrapText="1"/>
    </xf>
    <xf borderId="1" fillId="3" fontId="3" numFmtId="0" xfId="0" applyAlignment="1" applyBorder="1" applyFont="1">
      <alignment readingOrder="0" shrinkToFit="0" vertical="center" wrapText="1"/>
    </xf>
    <xf borderId="1" fillId="0" fontId="3" numFmtId="165" xfId="0" applyAlignment="1" applyBorder="1" applyFont="1" applyNumberFormat="1">
      <alignment horizontal="center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3" fontId="3" numFmtId="3" xfId="0" applyAlignment="1" applyBorder="1" applyFont="1" applyNumberFormat="1">
      <alignment horizontal="right" readingOrder="0" shrinkToFit="0" vertical="center" wrapText="1"/>
    </xf>
    <xf borderId="1" fillId="3" fontId="3" numFmtId="3" xfId="0" applyAlignment="1" applyBorder="1" applyFont="1" applyNumberFormat="1">
      <alignment horizontal="right" shrinkToFit="0" vertical="center" wrapText="1"/>
    </xf>
    <xf borderId="1" fillId="5" fontId="3" numFmtId="3" xfId="0" applyAlignment="1" applyBorder="1" applyFill="1" applyFont="1" applyNumberFormat="1">
      <alignment horizontal="right" shrinkToFit="0" vertical="center" wrapText="1"/>
    </xf>
    <xf borderId="1" fillId="3" fontId="3" numFmtId="9" xfId="0" applyAlignment="1" applyBorder="1" applyFont="1" applyNumberFormat="1">
      <alignment horizontal="right" shrinkToFit="0" vertical="center" wrapText="1"/>
    </xf>
    <xf borderId="1" fillId="3" fontId="3" numFmtId="10" xfId="0" applyAlignment="1" applyBorder="1" applyFont="1" applyNumberFormat="1">
      <alignment horizontal="right" shrinkToFit="0" wrapText="1"/>
    </xf>
    <xf borderId="1" fillId="3" fontId="3" numFmtId="3" xfId="0" applyAlignment="1" applyBorder="1" applyFont="1" applyNumberFormat="1">
      <alignment horizontal="right" shrinkToFit="0" wrapText="1"/>
    </xf>
    <xf borderId="1" fillId="0" fontId="3" numFmtId="10" xfId="0" applyAlignment="1" applyBorder="1" applyFont="1" applyNumberFormat="1">
      <alignment horizontal="right" shrinkToFit="0" wrapText="1"/>
    </xf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vertical="center" wrapText="1"/>
    </xf>
    <xf borderId="1" fillId="3" fontId="6" numFmtId="49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164" xfId="0" applyAlignment="1" applyBorder="1" applyFont="1" applyNumberFormat="1">
      <alignment readingOrder="0" shrinkToFit="0" vertical="center" wrapText="1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1" fillId="3" fontId="4" numFmtId="0" xfId="0" applyAlignment="1" applyBorder="1" applyFont="1">
      <alignment horizontal="left" readingOrder="0" shrinkToFit="0" vertical="center" wrapText="1"/>
    </xf>
    <xf borderId="1" fillId="3" fontId="3" numFmtId="9" xfId="0" applyAlignment="1" applyBorder="1" applyFont="1" applyNumberFormat="1">
      <alignment horizontal="right" readingOrder="0" shrinkToFit="0" vertical="center" wrapText="1"/>
    </xf>
    <xf borderId="1" fillId="6" fontId="8" numFmtId="49" xfId="0" applyAlignment="1" applyBorder="1" applyFill="1" applyFont="1" applyNumberFormat="1">
      <alignment horizontal="center" readingOrder="0"/>
    </xf>
    <xf borderId="2" fillId="0" fontId="9" numFmtId="164" xfId="0" applyAlignment="1" applyBorder="1" applyFont="1" applyNumberFormat="1">
      <alignment readingOrder="0"/>
    </xf>
    <xf borderId="2" fillId="0" fontId="10" numFmtId="0" xfId="0" applyBorder="1" applyFont="1"/>
    <xf borderId="2" fillId="3" fontId="3" numFmtId="0" xfId="0" applyAlignment="1" applyBorder="1" applyFont="1">
      <alignment shrinkToFit="0" wrapText="1"/>
    </xf>
    <xf borderId="1" fillId="3" fontId="3" numFmtId="10" xfId="0" applyAlignment="1" applyBorder="1" applyFont="1" applyNumberFormat="1">
      <alignment horizontal="right"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vertical="bottom"/>
    </xf>
    <xf borderId="1" fillId="0" fontId="5" numFmtId="0" xfId="0" applyBorder="1" applyFont="1"/>
    <xf borderId="1" fillId="3" fontId="3" numFmtId="0" xfId="0" applyAlignment="1" applyBorder="1" applyFont="1">
      <alignment shrinkToFit="0" vertical="bottom" wrapText="1"/>
    </xf>
    <xf borderId="3" fillId="0" fontId="11" numFmtId="164" xfId="0" applyAlignment="1" applyBorder="1" applyFont="1" applyNumberFormat="1">
      <alignment readingOrder="0" shrinkToFit="0" vertical="bottom" wrapText="0"/>
    </xf>
    <xf borderId="1" fillId="3" fontId="3" numFmtId="0" xfId="0" applyAlignment="1" applyBorder="1" applyFont="1">
      <alignment readingOrder="0" shrinkToFit="0" wrapText="1"/>
    </xf>
    <xf quotePrefix="1"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vertical="bottom" wrapText="1"/>
    </xf>
    <xf borderId="1" fillId="0" fontId="5" numFmtId="3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1" fillId="3" fontId="12" numFmtId="49" xfId="0" applyAlignment="1" applyBorder="1" applyFont="1" applyNumberFormat="1">
      <alignment horizontal="center" readingOrder="0" shrinkToFit="0" wrapText="0"/>
    </xf>
    <xf borderId="1" fillId="0" fontId="3" numFmtId="166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7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readingOrder="0" vertical="bottom"/>
    </xf>
    <xf borderId="1" fillId="0" fontId="3" numFmtId="10" xfId="0" applyAlignment="1" applyBorder="1" applyFont="1" applyNumberFormat="1">
      <alignment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3" fontId="5" numFmtId="10" xfId="0" applyBorder="1" applyFont="1" applyNumberFormat="1"/>
    <xf borderId="1" fillId="3" fontId="5" numFmtId="3" xfId="0" applyBorder="1" applyFont="1" applyNumberFormat="1"/>
    <xf borderId="0" fillId="5" fontId="3" numFmtId="3" xfId="0" applyAlignment="1" applyFont="1" applyNumberFormat="1">
      <alignment horizontal="right" vertical="center"/>
    </xf>
    <xf borderId="4" fillId="0" fontId="13" numFmtId="0" xfId="0" applyAlignment="1" applyBorder="1" applyFont="1">
      <alignment horizontal="right" readingOrder="0"/>
    </xf>
    <xf borderId="0" fillId="5" fontId="14" numFmtId="0" xfId="0" applyFont="1"/>
    <xf borderId="0" fillId="0" fontId="3" numFmtId="164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3" numFmtId="3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shrinkToFit="0" vertical="center" wrapText="1"/>
    </xf>
    <xf borderId="1" fillId="4" fontId="3" numFmtId="0" xfId="0" applyAlignment="1" applyBorder="1" applyFont="1">
      <alignment horizontal="center" readingOrder="0" vertical="center"/>
    </xf>
    <xf borderId="1" fillId="7" fontId="3" numFmtId="0" xfId="0" applyAlignment="1" applyBorder="1" applyFill="1" applyFont="1">
      <alignment horizontal="center" readingOrder="0" shrinkToFit="0" vertical="center" wrapText="1"/>
    </xf>
    <xf borderId="1" fillId="7" fontId="6" numFmtId="49" xfId="0" applyAlignment="1" applyBorder="1" applyFont="1" applyNumberFormat="1">
      <alignment horizontal="center" shrinkToFit="0" vertical="center" wrapText="1"/>
    </xf>
    <xf borderId="1" fillId="7" fontId="3" numFmtId="0" xfId="0" applyAlignment="1" applyBorder="1" applyFont="1">
      <alignment shrinkToFit="0" vertical="center" wrapText="1"/>
    </xf>
    <xf borderId="1" fillId="7" fontId="3" numFmtId="164" xfId="0" applyAlignment="1" applyBorder="1" applyFont="1" applyNumberFormat="1">
      <alignment shrinkToFit="0" vertical="center" wrapText="1"/>
    </xf>
    <xf borderId="1" fillId="7" fontId="4" numFmtId="0" xfId="0" applyAlignment="1" applyBorder="1" applyFont="1">
      <alignment shrinkToFit="0" vertical="center" wrapText="1"/>
    </xf>
    <xf borderId="1" fillId="7" fontId="3" numFmtId="0" xfId="0" applyAlignment="1" applyBorder="1" applyFont="1">
      <alignment readingOrder="0" shrinkToFit="0" vertical="center" wrapText="1"/>
    </xf>
    <xf borderId="1" fillId="7" fontId="3" numFmtId="165" xfId="0" applyAlignment="1" applyBorder="1" applyFont="1" applyNumberFormat="1">
      <alignment horizontal="center" shrinkToFit="0" vertical="center" wrapText="1"/>
    </xf>
    <xf borderId="1" fillId="7" fontId="4" numFmtId="0" xfId="0" applyAlignment="1" applyBorder="1" applyFont="1">
      <alignment horizontal="left" shrinkToFit="0" vertical="center" wrapText="1"/>
    </xf>
    <xf borderId="1" fillId="7" fontId="3" numFmtId="164" xfId="0" applyAlignment="1" applyBorder="1" applyFont="1" applyNumberFormat="1">
      <alignment horizontal="center" readingOrder="0" shrinkToFit="0" vertical="center" wrapText="1"/>
    </xf>
    <xf borderId="1" fillId="7" fontId="3" numFmtId="9" xfId="0" applyAlignment="1" applyBorder="1" applyFont="1" applyNumberFormat="1">
      <alignment horizontal="center" readingOrder="0" shrinkToFit="0" vertical="center" wrapText="1"/>
    </xf>
    <xf borderId="1" fillId="7" fontId="3" numFmtId="3" xfId="0" applyAlignment="1" applyBorder="1" applyFont="1" applyNumberFormat="1">
      <alignment horizontal="center" shrinkToFit="0" vertical="center" wrapText="1"/>
    </xf>
    <xf borderId="1" fillId="7" fontId="3" numFmtId="3" xfId="0" applyAlignment="1" applyBorder="1" applyFont="1" applyNumberFormat="1">
      <alignment shrinkToFit="0" vertical="center" wrapText="1"/>
    </xf>
    <xf borderId="0" fillId="7" fontId="3" numFmtId="0" xfId="0" applyAlignment="1" applyFont="1">
      <alignment shrinkToFit="0" vertical="center" wrapText="1"/>
    </xf>
    <xf borderId="1" fillId="7" fontId="3" numFmtId="164" xfId="0" applyAlignment="1" applyBorder="1" applyFont="1" applyNumberFormat="1">
      <alignment horizontal="center" shrinkToFit="0" vertical="center" wrapText="1"/>
    </xf>
    <xf borderId="1" fillId="7" fontId="8" numFmtId="49" xfId="0" applyAlignment="1" applyBorder="1" applyFont="1" applyNumberFormat="1">
      <alignment horizontal="center" readingOrder="0"/>
    </xf>
    <xf borderId="2" fillId="7" fontId="9" numFmtId="0" xfId="0" applyAlignment="1" applyBorder="1" applyFont="1">
      <alignment readingOrder="0"/>
    </xf>
    <xf borderId="2" fillId="7" fontId="9" numFmtId="164" xfId="0" applyAlignment="1" applyBorder="1" applyFont="1" applyNumberFormat="1">
      <alignment readingOrder="0"/>
    </xf>
    <xf borderId="2" fillId="7" fontId="10" numFmtId="0" xfId="0" applyBorder="1" applyFont="1"/>
    <xf borderId="2" fillId="7" fontId="9" numFmtId="165" xfId="0" applyAlignment="1" applyBorder="1" applyFont="1" applyNumberFormat="1">
      <alignment horizontal="center" readingOrder="0"/>
    </xf>
    <xf borderId="2" fillId="7" fontId="10" numFmtId="0" xfId="0" applyAlignment="1" applyBorder="1" applyFont="1">
      <alignment horizontal="left" readingOrder="0"/>
    </xf>
    <xf borderId="2" fillId="7" fontId="9" numFmtId="164" xfId="0" applyAlignment="1" applyBorder="1" applyFont="1" applyNumberFormat="1">
      <alignment horizontal="center" readingOrder="0"/>
    </xf>
    <xf borderId="1" fillId="7" fontId="6" numFmtId="49" xfId="0" applyAlignment="1" applyBorder="1" applyFont="1" applyNumberFormat="1">
      <alignment horizontal="center" readingOrder="0" shrinkToFit="0" vertical="center" wrapText="1"/>
    </xf>
    <xf borderId="1" fillId="7" fontId="3" numFmtId="164" xfId="0" applyAlignment="1" applyBorder="1" applyFont="1" applyNumberFormat="1">
      <alignment readingOrder="0" shrinkToFit="0" vertical="center" wrapText="1"/>
    </xf>
    <xf borderId="1" fillId="7" fontId="3" numFmtId="165" xfId="0" applyAlignment="1" applyBorder="1" applyFont="1" applyNumberFormat="1">
      <alignment horizontal="center" readingOrder="0" shrinkToFit="0" vertical="center" wrapText="1"/>
    </xf>
    <xf borderId="1" fillId="7" fontId="4" numFmtId="0" xfId="0" applyAlignment="1" applyBorder="1" applyFont="1">
      <alignment horizontal="left" readingOrder="0" shrinkToFit="0" vertical="center" wrapText="1"/>
    </xf>
    <xf borderId="0" fillId="7" fontId="3" numFmtId="0" xfId="0" applyAlignment="1" applyFont="1">
      <alignment readingOrder="0" shrinkToFit="0" vertical="center" wrapText="1"/>
    </xf>
    <xf borderId="1" fillId="7" fontId="4" numFmtId="0" xfId="0" applyAlignment="1" applyBorder="1" applyFont="1">
      <alignment readingOrder="0" shrinkToFit="0" vertical="center" wrapText="1"/>
    </xf>
    <xf borderId="0" fillId="7" fontId="3" numFmtId="3" xfId="0" applyAlignment="1" applyFont="1" applyNumberFormat="1">
      <alignment shrinkToFit="0" vertical="center" wrapText="1"/>
    </xf>
    <xf borderId="0" fillId="7" fontId="14" numFmtId="0" xfId="0" applyFont="1"/>
    <xf borderId="0" fillId="0" fontId="3" numFmtId="0" xfId="0" applyAlignment="1" applyFont="1">
      <alignment readingOrder="0" shrinkToFit="0" vertical="center" wrapText="1"/>
    </xf>
    <xf borderId="1" fillId="7" fontId="3" numFmtId="166" xfId="0" applyAlignment="1" applyBorder="1" applyFont="1" applyNumberFormat="1">
      <alignment horizontal="center" readingOrder="0" shrinkToFit="0" vertical="center" wrapText="1"/>
    </xf>
    <xf borderId="1" fillId="7" fontId="3" numFmtId="0" xfId="0" applyAlignment="1" applyBorder="1" applyFont="1">
      <alignment horizontal="center" shrinkToFit="0" vertical="center" wrapText="1"/>
    </xf>
    <xf borderId="1" fillId="7" fontId="11" numFmtId="164" xfId="0" applyAlignment="1" applyBorder="1" applyFont="1" applyNumberFormat="1">
      <alignment horizontal="right" readingOrder="0" shrinkToFit="0" vertical="bottom" wrapText="0"/>
    </xf>
    <xf quotePrefix="1" borderId="1" fillId="7" fontId="3" numFmtId="0" xfId="0" applyAlignment="1" applyBorder="1" applyFont="1">
      <alignment horizontal="center" readingOrder="0" shrinkToFit="0" vertical="center" wrapText="1"/>
    </xf>
    <xf borderId="5" fillId="7" fontId="8" numFmtId="49" xfId="0" applyAlignment="1" applyBorder="1" applyFont="1" applyNumberFormat="1">
      <alignment horizontal="center" readingOrder="0"/>
    </xf>
    <xf borderId="4" fillId="7" fontId="9" numFmtId="0" xfId="0" applyAlignment="1" applyBorder="1" applyFont="1">
      <alignment readingOrder="0"/>
    </xf>
    <xf borderId="4" fillId="7" fontId="9" numFmtId="164" xfId="0" applyAlignment="1" applyBorder="1" applyFont="1" applyNumberFormat="1">
      <alignment readingOrder="0"/>
    </xf>
    <xf borderId="6" fillId="7" fontId="10" numFmtId="0" xfId="0" applyAlignment="1" applyBorder="1" applyFont="1">
      <alignment readingOrder="0"/>
    </xf>
    <xf borderId="5" fillId="7" fontId="9" numFmtId="0" xfId="0" applyAlignment="1" applyBorder="1" applyFont="1">
      <alignment readingOrder="0"/>
    </xf>
    <xf borderId="4" fillId="7" fontId="9" numFmtId="165" xfId="0" applyAlignment="1" applyBorder="1" applyFont="1" applyNumberFormat="1">
      <alignment horizontal="center" readingOrder="0"/>
    </xf>
    <xf borderId="1" fillId="7" fontId="3" numFmtId="164" xfId="0" applyAlignment="1" applyBorder="1" applyFont="1" applyNumberFormat="1">
      <alignment horizontal="right" readingOrder="0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3" fontId="3" numFmtId="9" xfId="0" applyAlignment="1" applyBorder="1" applyFont="1" applyNumberFormat="1">
      <alignment horizontal="center" shrinkToFit="0" vertical="center" wrapText="1"/>
    </xf>
    <xf borderId="1" fillId="3" fontId="3" numFmtId="3" xfId="0" applyAlignment="1" applyBorder="1" applyFont="1" applyNumberFormat="1">
      <alignment horizontal="center" shrinkToFit="0" vertical="center" wrapText="1"/>
    </xf>
    <xf borderId="0" fillId="8" fontId="14" numFmtId="3" xfId="0" applyFill="1" applyFont="1" applyNumberFormat="1"/>
    <xf borderId="0" fillId="8" fontId="14" numFmtId="3" xfId="0" applyFont="1" applyNumberFormat="1"/>
    <xf borderId="0" fillId="0" fontId="14" numFmtId="3" xfId="0" applyFont="1" applyNumberFormat="1"/>
    <xf borderId="0" fillId="0" fontId="14" numFmtId="0" xfId="0" applyFont="1"/>
    <xf borderId="0" fillId="0" fontId="15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readingOrder="0"/>
    </xf>
    <xf borderId="0" fillId="0" fontId="16" numFmtId="0" xfId="0" applyAlignment="1" applyFont="1">
      <alignment shrinkToFit="0" vertical="bottom" wrapText="0"/>
    </xf>
    <xf borderId="0" fillId="0" fontId="16" numFmtId="3" xfId="0" applyAlignment="1" applyFont="1" applyNumberFormat="1">
      <alignment shrinkToFit="0" vertical="bottom" wrapText="0"/>
    </xf>
    <xf borderId="0" fillId="0" fontId="16" numFmtId="168" xfId="0" applyAlignment="1" applyFont="1" applyNumberFormat="1">
      <alignment shrinkToFit="0" vertical="bottom" wrapText="0"/>
    </xf>
    <xf borderId="7" fillId="0" fontId="17" numFmtId="0" xfId="0" applyAlignment="1" applyBorder="1" applyFont="1">
      <alignment horizontal="center" readingOrder="0" shrinkToFit="0" vertical="bottom" wrapText="0"/>
    </xf>
    <xf borderId="2" fillId="0" fontId="18" numFmtId="0" xfId="0" applyBorder="1" applyFont="1"/>
    <xf borderId="1" fillId="0" fontId="16" numFmtId="0" xfId="0" applyAlignment="1" applyBorder="1" applyFont="1">
      <alignment readingOrder="0" shrinkToFit="0" vertical="bottom" wrapText="0"/>
    </xf>
    <xf borderId="1" fillId="0" fontId="16" numFmtId="3" xfId="0" applyAlignment="1" applyBorder="1" applyFont="1" applyNumberFormat="1">
      <alignment horizontal="right" readingOrder="0" shrinkToFit="0" vertical="bottom" wrapText="0"/>
    </xf>
    <xf borderId="1" fillId="0" fontId="19" numFmtId="3" xfId="0" applyAlignment="1" applyBorder="1" applyFont="1" applyNumberFormat="1">
      <alignment readingOrder="0" shrinkToFit="0" vertical="bottom" wrapText="0"/>
    </xf>
    <xf borderId="1" fillId="0" fontId="20" numFmtId="3" xfId="0" applyAlignment="1" applyBorder="1" applyFont="1" applyNumberFormat="1">
      <alignment readingOrder="0" shrinkToFit="0" vertical="bottom" wrapText="0"/>
    </xf>
    <xf borderId="8" fillId="0" fontId="17" numFmtId="0" xfId="0" applyAlignment="1" applyBorder="1" applyFont="1">
      <alignment horizontal="center" readingOrder="0" shrinkToFit="0" vertical="bottom" wrapText="0"/>
    </xf>
    <xf borderId="1" fillId="9" fontId="21" numFmtId="0" xfId="0" applyAlignment="1" applyBorder="1" applyFill="1" applyFont="1">
      <alignment horizontal="center" readingOrder="0" shrinkToFit="0" wrapText="0"/>
    </xf>
    <xf borderId="1" fillId="9" fontId="21" numFmtId="3" xfId="0" applyAlignment="1" applyBorder="1" applyFont="1" applyNumberFormat="1">
      <alignment horizontal="center" readingOrder="0" shrinkToFit="0" wrapText="0"/>
    </xf>
    <xf borderId="1" fillId="9" fontId="21" numFmtId="168" xfId="0" applyAlignment="1" applyBorder="1" applyFont="1" applyNumberFormat="1">
      <alignment horizontal="center" readingOrder="0" shrinkToFit="0" wrapText="0"/>
    </xf>
    <xf borderId="1" fillId="10" fontId="16" numFmtId="0" xfId="0" applyAlignment="1" applyBorder="1" applyFill="1" applyFont="1">
      <alignment readingOrder="0" shrinkToFit="0" vertical="bottom" wrapText="0"/>
    </xf>
    <xf borderId="1" fillId="10" fontId="20" numFmtId="3" xfId="0" applyAlignment="1" applyBorder="1" applyFont="1" applyNumberFormat="1">
      <alignment readingOrder="0" shrinkToFit="0" vertical="bottom" wrapText="0"/>
    </xf>
    <xf borderId="1" fillId="10" fontId="20" numFmtId="168" xfId="0" applyAlignment="1" applyBorder="1" applyFont="1" applyNumberFormat="1">
      <alignment horizontal="right" readingOrder="0" shrinkToFit="0" vertical="bottom" wrapText="0"/>
    </xf>
    <xf borderId="1" fillId="0" fontId="16" numFmtId="0" xfId="0" applyAlignment="1" applyBorder="1" applyFont="1">
      <alignment readingOrder="0" shrinkToFit="0" vertical="bottom" wrapText="0"/>
    </xf>
    <xf borderId="1" fillId="0" fontId="20" numFmtId="3" xfId="0" applyAlignment="1" applyBorder="1" applyFont="1" applyNumberFormat="1">
      <alignment readingOrder="0" shrinkToFit="0" vertical="bottom" wrapText="0"/>
    </xf>
    <xf borderId="0" fillId="0" fontId="14" numFmtId="0" xfId="0" applyFont="1"/>
    <xf borderId="1" fillId="10" fontId="20" numFmtId="0" xfId="0" applyAlignment="1" applyBorder="1" applyFont="1">
      <alignment readingOrder="0" shrinkToFit="0" vertical="bottom" wrapText="0"/>
    </xf>
    <xf borderId="0" fillId="0" fontId="14" numFmtId="3" xfId="0" applyFont="1" applyNumberFormat="1"/>
    <xf borderId="0" fillId="0" fontId="14" numFmtId="168" xfId="0" applyFont="1" applyNumberFormat="1"/>
    <xf borderId="0" fillId="0" fontId="22" numFmtId="49" xfId="0" applyAlignment="1" applyFont="1" applyNumberFormat="1">
      <alignment vertical="center"/>
    </xf>
    <xf borderId="0" fillId="0" fontId="3" numFmtId="14" xfId="0" applyAlignment="1" applyFont="1" applyNumberFormat="1">
      <alignment vertical="center"/>
    </xf>
    <xf borderId="0" fillId="0" fontId="3" numFmtId="49" xfId="0" applyAlignment="1" applyFont="1" applyNumberFormat="1">
      <alignment vertical="center"/>
    </xf>
    <xf borderId="1" fillId="11" fontId="7" numFmtId="0" xfId="0" applyAlignment="1" applyBorder="1" applyFill="1" applyFont="1">
      <alignment horizontal="center" shrinkToFit="0" vertical="center" wrapText="1"/>
    </xf>
    <xf borderId="1" fillId="11" fontId="7" numFmtId="49" xfId="0" applyAlignment="1" applyBorder="1" applyFont="1" applyNumberFormat="1">
      <alignment horizontal="center" shrinkToFit="0" vertical="center" wrapText="1"/>
    </xf>
    <xf borderId="1" fillId="11" fontId="7" numFmtId="164" xfId="0" applyAlignment="1" applyBorder="1" applyFont="1" applyNumberFormat="1">
      <alignment horizontal="center" shrinkToFit="0" vertical="center" wrapText="1"/>
    </xf>
    <xf borderId="1" fillId="11" fontId="7" numFmtId="14" xfId="0" applyAlignment="1" applyBorder="1" applyFont="1" applyNumberFormat="1">
      <alignment horizontal="center" shrinkToFit="0" vertical="center" wrapText="1"/>
    </xf>
    <xf borderId="1" fillId="11" fontId="3" numFmtId="49" xfId="0" applyAlignment="1" applyBorder="1" applyFont="1" applyNumberFormat="1">
      <alignment shrinkToFit="0" vertical="center" wrapText="1"/>
    </xf>
    <xf borderId="1" fillId="11" fontId="3" numFmtId="0" xfId="0" applyAlignment="1" applyBorder="1" applyFont="1">
      <alignment shrinkToFit="0" vertical="center" wrapText="1"/>
    </xf>
    <xf borderId="1" fillId="0" fontId="3" numFmtId="14" xfId="0" applyAlignment="1" applyBorder="1" applyFont="1" applyNumberFormat="1">
      <alignment shrinkToFit="0" vertical="center" wrapText="1"/>
    </xf>
    <xf borderId="1" fillId="0" fontId="3" numFmtId="49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3">
    <tableStyle count="3" pivot="0" name="Báo Cáo-style">
      <tableStyleElement dxfId="1" type="headerRow"/>
      <tableStyleElement dxfId="2" type="firstRowStripe"/>
      <tableStyleElement dxfId="3" type="secondRowStripe"/>
    </tableStyle>
    <tableStyle count="3" pivot="0" name="VinhDanh-style">
      <tableStyleElement dxfId="4" type="headerRow"/>
      <tableStyleElement dxfId="2" type="firstRowStripe"/>
      <tableStyleElement dxfId="5" type="secondRowStripe"/>
    </tableStyle>
    <tableStyle count="3" pivot="0" name="VinhDanh-style 2">
      <tableStyleElement dxfId="6" type="headerRow"/>
      <tableStyleElement dxfId="2" type="firstRowStripe"/>
      <tableStyleElement dxfId="7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Z999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Báo Cá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C17538" displayName="Table_2" name="Table_2" id="2">
  <tableColumns count="3">
    <tableColumn name="Column1" id="1"/>
    <tableColumn name="Column2" id="2"/>
    <tableColumn name="Column3" id="3"/>
  </tableColumns>
  <tableStyleInfo name="VinhDanh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I10:L22" displayName="Table_3" name="Table_3" id="3">
  <tableColumns count="4">
    <tableColumn name="Nhân viên" id="1"/>
    <tableColumn name="Doanh thu dự kiến" id="2"/>
    <tableColumn name="SL căn" id="3"/>
    <tableColumn name="Trung bình/tháng" id="4"/>
  </tableColumns>
  <tableStyleInfo name="VinhDanh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4.43" defaultRowHeight="15.0"/>
  <cols>
    <col customWidth="1" min="1" max="1" width="5.14"/>
    <col customWidth="1" min="2" max="2" width="12.43"/>
    <col customWidth="1" min="3" max="3" width="27.43"/>
    <col customWidth="1" min="4" max="4" width="17.29"/>
    <col customWidth="1" min="5" max="5" width="9.14"/>
    <col customWidth="1" min="6" max="6" width="11.29"/>
    <col customWidth="1" min="7" max="7" width="17.43"/>
    <col customWidth="1" min="8" max="8" width="21.86"/>
    <col customWidth="1" min="9" max="9" width="15.14"/>
    <col customWidth="1" min="10" max="10" width="13.29"/>
    <col customWidth="1" hidden="1" min="11" max="11" width="12.14"/>
    <col customWidth="1" hidden="1" min="12" max="12" width="8.86"/>
    <col customWidth="1" hidden="1" min="13" max="14" width="25.0"/>
    <col customWidth="1" min="15" max="15" width="25.0"/>
    <col customWidth="1" min="16" max="16" width="14.43"/>
    <col customWidth="1" min="17" max="17" width="10.57"/>
    <col customWidth="1" min="18" max="18" width="21.71"/>
    <col customWidth="1" min="19" max="19" width="12.71"/>
    <col customWidth="1" min="20" max="20" width="9.14"/>
    <col customWidth="1" min="21" max="21" width="18.43"/>
    <col customWidth="1" min="22" max="22" width="9.29"/>
    <col customWidth="1" min="23" max="23" width="23.57"/>
    <col customWidth="1" min="24" max="24" width="9.0"/>
    <col customWidth="1" min="25" max="25" width="20.71"/>
    <col customWidth="1" min="26" max="26" width="11.57"/>
    <col customWidth="1" min="27" max="27" width="23.86"/>
    <col customWidth="1" min="28" max="28" width="9.14"/>
    <col customWidth="1" min="29" max="29" width="20.0"/>
    <col customWidth="1" min="30" max="30" width="25.14"/>
    <col customWidth="1" min="31" max="31" width="15.29"/>
    <col customWidth="1" min="32" max="33" width="9.14"/>
  </cols>
  <sheetData>
    <row r="1" ht="13.5" customHeight="1">
      <c r="A1" s="1" t="s">
        <v>0</v>
      </c>
      <c r="B1" s="2"/>
      <c r="C1" s="3"/>
      <c r="D1" s="4"/>
      <c r="E1" s="5"/>
      <c r="F1" s="6"/>
      <c r="G1" s="3"/>
      <c r="H1" s="3"/>
      <c r="I1" s="7"/>
      <c r="J1" s="8"/>
      <c r="K1" s="4"/>
      <c r="L1" s="4"/>
      <c r="M1" s="4"/>
      <c r="N1" s="4"/>
      <c r="O1" s="4"/>
      <c r="P1" s="9"/>
      <c r="Q1" s="9"/>
      <c r="R1" s="10"/>
      <c r="S1" s="11"/>
      <c r="T1" s="12"/>
      <c r="U1" s="13"/>
      <c r="V1" s="12"/>
      <c r="W1" s="13"/>
      <c r="X1" s="12"/>
      <c r="Y1" s="14"/>
      <c r="Z1" s="14"/>
      <c r="AA1" s="14"/>
      <c r="AB1" s="14"/>
      <c r="AC1" s="14"/>
      <c r="AD1" s="14"/>
      <c r="AE1" s="14"/>
      <c r="AF1" s="3"/>
      <c r="AG1" s="3"/>
    </row>
    <row r="2" ht="13.5" customHeight="1">
      <c r="A2" s="3"/>
      <c r="B2" s="15"/>
      <c r="C2" s="3"/>
      <c r="D2" s="4"/>
      <c r="E2" s="5"/>
      <c r="F2" s="6"/>
      <c r="G2" s="3"/>
      <c r="H2" s="3"/>
      <c r="I2" s="7"/>
      <c r="J2" s="6"/>
      <c r="K2" s="4"/>
      <c r="L2" s="4"/>
      <c r="M2" s="4"/>
      <c r="N2" s="4"/>
      <c r="O2" s="4"/>
      <c r="P2" s="9"/>
      <c r="Q2" s="9"/>
      <c r="R2" s="10"/>
      <c r="S2" s="11"/>
      <c r="T2" s="12"/>
      <c r="U2" s="13"/>
      <c r="V2" s="12"/>
      <c r="W2" s="13"/>
      <c r="X2" s="12"/>
      <c r="Y2" s="14"/>
      <c r="Z2" s="14"/>
      <c r="AA2" s="14"/>
      <c r="AB2" s="14"/>
      <c r="AC2" s="14"/>
      <c r="AD2" s="14"/>
      <c r="AE2" s="14"/>
      <c r="AF2" s="3"/>
      <c r="AG2" s="3"/>
    </row>
    <row r="3" ht="13.5" customHeight="1">
      <c r="A3" s="16"/>
      <c r="B3" s="17">
        <f>SUBTOTAL(3,B5:B106)</f>
        <v>75</v>
      </c>
      <c r="C3" s="16"/>
      <c r="D3" s="18">
        <f>SUBTOTAL(9,D5:D106)</f>
        <v>183730536888</v>
      </c>
      <c r="E3" s="19"/>
      <c r="F3" s="17"/>
      <c r="G3" s="16"/>
      <c r="H3" s="16"/>
      <c r="I3" s="20"/>
      <c r="J3" s="17">
        <f>SUBTOTAL(3,J5:J106)</f>
        <v>102</v>
      </c>
      <c r="K3" s="18"/>
      <c r="L3" s="18"/>
      <c r="M3" s="18"/>
      <c r="N3" s="18"/>
      <c r="O3" s="18">
        <f>SUBTOTAL(9,O5:O106)</f>
        <v>10623103574</v>
      </c>
      <c r="P3" s="21"/>
      <c r="Q3" s="18"/>
      <c r="R3" s="22">
        <f>SUBTOTAL(9,R5:R106)</f>
        <v>9195678286</v>
      </c>
      <c r="S3" s="23"/>
      <c r="T3" s="12"/>
      <c r="U3" s="24">
        <f>SUBTOTAL(9,U5:U112)</f>
        <v>6284299541</v>
      </c>
      <c r="V3" s="12"/>
      <c r="W3" s="24">
        <f>SUBTOTAL(9,W5:W112)</f>
        <v>2911378745</v>
      </c>
      <c r="X3" s="12"/>
      <c r="Y3" s="14"/>
      <c r="Z3" s="14"/>
      <c r="AA3" s="14"/>
      <c r="AB3" s="14"/>
      <c r="AC3" s="14"/>
      <c r="AD3" s="14"/>
      <c r="AE3" s="14"/>
      <c r="AF3" s="16"/>
      <c r="AG3" s="16"/>
    </row>
    <row r="4" ht="13.5" customHeight="1">
      <c r="A4" s="25" t="s">
        <v>1</v>
      </c>
      <c r="B4" s="26" t="s">
        <v>2</v>
      </c>
      <c r="C4" s="25" t="s">
        <v>3</v>
      </c>
      <c r="D4" s="27" t="s">
        <v>4</v>
      </c>
      <c r="E4" s="28" t="s">
        <v>5</v>
      </c>
      <c r="F4" s="29" t="s">
        <v>6</v>
      </c>
      <c r="G4" s="25" t="s">
        <v>7</v>
      </c>
      <c r="H4" s="25" t="s">
        <v>8</v>
      </c>
      <c r="I4" s="30" t="s">
        <v>9</v>
      </c>
      <c r="J4" s="29" t="s">
        <v>10</v>
      </c>
      <c r="K4" s="31" t="s">
        <v>11</v>
      </c>
      <c r="L4" s="31" t="s">
        <v>12</v>
      </c>
      <c r="M4" s="31" t="s">
        <v>13</v>
      </c>
      <c r="N4" s="31" t="s">
        <v>14</v>
      </c>
      <c r="O4" s="31" t="s">
        <v>15</v>
      </c>
      <c r="P4" s="32" t="s">
        <v>16</v>
      </c>
      <c r="Q4" s="32" t="s">
        <v>17</v>
      </c>
      <c r="R4" s="33" t="s">
        <v>18</v>
      </c>
      <c r="S4" s="34" t="s">
        <v>19</v>
      </c>
      <c r="T4" s="28" t="s">
        <v>20</v>
      </c>
      <c r="U4" s="35" t="s">
        <v>21</v>
      </c>
      <c r="V4" s="28" t="s">
        <v>22</v>
      </c>
      <c r="W4" s="35" t="s">
        <v>23</v>
      </c>
      <c r="X4" s="35" t="s">
        <v>24</v>
      </c>
      <c r="Y4" s="35" t="s">
        <v>25</v>
      </c>
      <c r="Z4" s="25" t="s">
        <v>26</v>
      </c>
      <c r="AA4" s="35" t="s">
        <v>27</v>
      </c>
      <c r="AB4" s="25" t="s">
        <v>28</v>
      </c>
      <c r="AC4" s="35" t="s">
        <v>29</v>
      </c>
      <c r="AD4" s="35" t="s">
        <v>30</v>
      </c>
      <c r="AE4" s="36"/>
      <c r="AF4" s="37"/>
      <c r="AG4" s="37"/>
    </row>
    <row r="5" ht="13.5" customHeight="1">
      <c r="A5" s="38">
        <v>1.0</v>
      </c>
      <c r="B5" s="26" t="s">
        <v>31</v>
      </c>
      <c r="C5" s="39" t="s">
        <v>32</v>
      </c>
      <c r="D5" s="40">
        <v>2.779690366E9</v>
      </c>
      <c r="E5" s="41">
        <v>0.045</v>
      </c>
      <c r="F5" s="42"/>
      <c r="G5" s="43" t="s">
        <v>33</v>
      </c>
      <c r="H5" s="44" t="s">
        <v>34</v>
      </c>
      <c r="I5" s="45">
        <v>45453.0</v>
      </c>
      <c r="J5" s="46" t="s">
        <v>35</v>
      </c>
      <c r="K5" s="40" t="str">
        <f t="array" ref="K5:K999">IF(J5:J999 = "", "", RIGHT(J5:J999, 2))</f>
        <v>10</v>
      </c>
      <c r="L5" s="40" t="str">
        <f t="array" ref="L5:L999">IF(J5:J999 = "", "", left(J5:J999, 4))</f>
        <v>2024</v>
      </c>
      <c r="M5" s="40" t="str">
        <f t="array" ref="M5:M999">IF(H5:H999="", "", L5:L999 &amp; "-" &amp; H5:H999 &amp; "-" &amp; ROUNDUP(K5:K999/2, 0))</f>
        <v>2024-Hồ Nguyễn Công Thành-5</v>
      </c>
      <c r="N5" s="40">
        <f t="array" ref="N5:N999">IF(M5:M999="", "", SUMIF(M5:M999, M5:M999, R5:R999))</f>
        <v>108714605.9</v>
      </c>
      <c r="O5" s="40">
        <f t="array" ref="O5:O999">IF((D5:D999="")+(E5:E999=""),"",D5:D999*E5:E999)</f>
        <v>125086066.5</v>
      </c>
      <c r="P5" s="47">
        <v>5500000.0</v>
      </c>
      <c r="Q5" s="48"/>
      <c r="R5" s="49">
        <f t="array" ref="R5:R999">IF(O5:O999="","",(O5:O999-P5:P999)/1.1-Q5:Q999)</f>
        <v>108714605.9</v>
      </c>
      <c r="S5" s="50">
        <f t="array" ref="S5:S76">IF(N5:N76="", "", IF(N5:N76 &lt; 200000000, 50%, 55%))</f>
        <v>0.5</v>
      </c>
      <c r="T5" s="51">
        <f>E5</f>
        <v>0.045</v>
      </c>
      <c r="U5" s="52">
        <f t="shared" ref="U5:U214" si="1">(T5*D5-P5)/1.1-Q5</f>
        <v>108714605.9</v>
      </c>
      <c r="V5" s="51">
        <f t="shared" ref="V5:V80" si="2">E5-T5</f>
        <v>0</v>
      </c>
      <c r="W5" s="52">
        <f>$D$5*V5/1.1</f>
        <v>0</v>
      </c>
      <c r="X5" s="51">
        <f t="shared" ref="X5:X214" si="3">E5-T5-V5</f>
        <v>0</v>
      </c>
      <c r="Y5" s="52">
        <f t="shared" ref="Y5:Y214" si="4">$D$5*X5/1.1</f>
        <v>0</v>
      </c>
      <c r="Z5" s="51">
        <f t="shared" ref="Z5:Z214" si="5">E5-T5-V5-X5</f>
        <v>0</v>
      </c>
      <c r="AA5" s="52">
        <f t="shared" ref="AA5:AA214" si="6">$D$5*Z5/1.1</f>
        <v>0</v>
      </c>
      <c r="AB5" s="53">
        <f t="shared" ref="AB5:AB214" si="7">E5-T5-V5-X5-Z5</f>
        <v>0</v>
      </c>
      <c r="AC5" s="52">
        <f t="shared" ref="AC5:AC214" si="8">$D$5*AB5/1.1</f>
        <v>0</v>
      </c>
      <c r="AD5" s="54" t="s">
        <v>36</v>
      </c>
      <c r="AE5" s="14"/>
      <c r="AF5" s="55"/>
      <c r="AG5" s="55"/>
    </row>
    <row r="6" ht="13.5" customHeight="1">
      <c r="A6" s="38">
        <v>2.0</v>
      </c>
      <c r="B6" s="56" t="s">
        <v>37</v>
      </c>
      <c r="C6" s="57" t="s">
        <v>38</v>
      </c>
      <c r="D6" s="58">
        <v>2.217017836E9</v>
      </c>
      <c r="E6" s="41">
        <v>0.055</v>
      </c>
      <c r="F6" s="42"/>
      <c r="G6" s="43" t="s">
        <v>39</v>
      </c>
      <c r="H6" s="44" t="s">
        <v>40</v>
      </c>
      <c r="I6" s="59">
        <v>45592.0</v>
      </c>
      <c r="J6" s="60" t="s">
        <v>35</v>
      </c>
      <c r="K6" s="58" t="s">
        <v>41</v>
      </c>
      <c r="L6" s="58" t="s">
        <v>42</v>
      </c>
      <c r="M6" s="58" t="s">
        <v>43</v>
      </c>
      <c r="N6" s="58">
        <v>1.108508918E8</v>
      </c>
      <c r="O6" s="58">
        <v>1.2193598098E8</v>
      </c>
      <c r="P6" s="47">
        <v>0.0</v>
      </c>
      <c r="Q6" s="48"/>
      <c r="R6" s="49">
        <v>1.108508918E8</v>
      </c>
      <c r="S6" s="61">
        <v>0.5</v>
      </c>
      <c r="T6" s="51">
        <v>0.03</v>
      </c>
      <c r="U6" s="52">
        <f t="shared" si="1"/>
        <v>60464122.8</v>
      </c>
      <c r="V6" s="51">
        <f t="shared" si="2"/>
        <v>0.025</v>
      </c>
      <c r="W6" s="52">
        <f t="shared" ref="W6:W214" si="9">D6*V6/1.1</f>
        <v>50386769</v>
      </c>
      <c r="X6" s="51">
        <f t="shared" si="3"/>
        <v>0</v>
      </c>
      <c r="Y6" s="52">
        <f t="shared" si="4"/>
        <v>0</v>
      </c>
      <c r="Z6" s="51">
        <f t="shared" si="5"/>
        <v>0</v>
      </c>
      <c r="AA6" s="52">
        <f t="shared" si="6"/>
        <v>0</v>
      </c>
      <c r="AB6" s="53">
        <f t="shared" si="7"/>
        <v>0</v>
      </c>
      <c r="AC6" s="52">
        <f t="shared" si="8"/>
        <v>0</v>
      </c>
      <c r="AD6" s="54" t="s">
        <v>36</v>
      </c>
      <c r="AE6" s="14"/>
      <c r="AF6" s="55"/>
      <c r="AG6" s="55"/>
    </row>
    <row r="7" ht="13.5" customHeight="1">
      <c r="A7" s="38">
        <v>3.0</v>
      </c>
      <c r="B7" s="56" t="s">
        <v>44</v>
      </c>
      <c r="C7" s="57" t="s">
        <v>45</v>
      </c>
      <c r="D7" s="58">
        <v>5.992067643E9</v>
      </c>
      <c r="E7" s="41">
        <v>0.045</v>
      </c>
      <c r="F7" s="42"/>
      <c r="G7" s="43" t="s">
        <v>46</v>
      </c>
      <c r="H7" s="44" t="s">
        <v>47</v>
      </c>
      <c r="I7" s="59">
        <v>45627.0</v>
      </c>
      <c r="J7" s="60" t="s">
        <v>48</v>
      </c>
      <c r="K7" s="58" t="s">
        <v>49</v>
      </c>
      <c r="L7" s="58" t="s">
        <v>42</v>
      </c>
      <c r="M7" s="58" t="s">
        <v>50</v>
      </c>
      <c r="N7" s="58">
        <v>2.421300399409091E8</v>
      </c>
      <c r="O7" s="58">
        <v>2.69643043935E8</v>
      </c>
      <c r="P7" s="47">
        <v>3300000.0</v>
      </c>
      <c r="Q7" s="48"/>
      <c r="R7" s="49">
        <v>2.421300399409091E8</v>
      </c>
      <c r="S7" s="50">
        <v>0.55</v>
      </c>
      <c r="T7" s="51">
        <f>E7*60%</f>
        <v>0.027</v>
      </c>
      <c r="U7" s="52">
        <f t="shared" si="1"/>
        <v>144078024</v>
      </c>
      <c r="V7" s="51">
        <f t="shared" si="2"/>
        <v>0.018</v>
      </c>
      <c r="W7" s="52">
        <f t="shared" si="9"/>
        <v>98052015.98</v>
      </c>
      <c r="X7" s="51">
        <f t="shared" si="3"/>
        <v>0</v>
      </c>
      <c r="Y7" s="52">
        <f t="shared" si="4"/>
        <v>0</v>
      </c>
      <c r="Z7" s="51">
        <f t="shared" si="5"/>
        <v>0</v>
      </c>
      <c r="AA7" s="52">
        <f t="shared" si="6"/>
        <v>0</v>
      </c>
      <c r="AB7" s="53">
        <f t="shared" si="7"/>
        <v>0</v>
      </c>
      <c r="AC7" s="52">
        <f t="shared" si="8"/>
        <v>0</v>
      </c>
      <c r="AD7" s="54" t="s">
        <v>36</v>
      </c>
      <c r="AE7" s="13"/>
      <c r="AF7" s="55"/>
      <c r="AG7" s="55"/>
    </row>
    <row r="8" ht="13.5" customHeight="1">
      <c r="A8" s="38">
        <v>4.0</v>
      </c>
      <c r="B8" s="62" t="s">
        <v>51</v>
      </c>
      <c r="C8" s="57" t="s">
        <v>45</v>
      </c>
      <c r="D8" s="63">
        <v>4.555252118E9</v>
      </c>
      <c r="E8" s="41">
        <v>0.045</v>
      </c>
      <c r="F8" s="64"/>
      <c r="G8" s="65" t="s">
        <v>46</v>
      </c>
      <c r="H8" s="44" t="s">
        <v>40</v>
      </c>
      <c r="I8" s="59">
        <v>45627.0</v>
      </c>
      <c r="J8" s="60" t="s">
        <v>48</v>
      </c>
      <c r="K8" s="58" t="s">
        <v>49</v>
      </c>
      <c r="L8" s="58" t="s">
        <v>42</v>
      </c>
      <c r="M8" s="58" t="s">
        <v>52</v>
      </c>
      <c r="N8" s="58">
        <v>1.833512230090909E8</v>
      </c>
      <c r="O8" s="58">
        <v>2.0498634531E8</v>
      </c>
      <c r="P8" s="47">
        <v>3300000.0</v>
      </c>
      <c r="Q8" s="48"/>
      <c r="R8" s="49">
        <v>1.833512230090909E8</v>
      </c>
      <c r="S8" s="50">
        <v>0.5</v>
      </c>
      <c r="T8" s="51">
        <f>E8*40%</f>
        <v>0.018</v>
      </c>
      <c r="U8" s="52">
        <f t="shared" si="1"/>
        <v>71540489.2</v>
      </c>
      <c r="V8" s="51">
        <f t="shared" si="2"/>
        <v>0.027</v>
      </c>
      <c r="W8" s="52">
        <f t="shared" si="9"/>
        <v>111810733.8</v>
      </c>
      <c r="X8" s="51">
        <f t="shared" si="3"/>
        <v>0</v>
      </c>
      <c r="Y8" s="52">
        <f t="shared" si="4"/>
        <v>0</v>
      </c>
      <c r="Z8" s="51">
        <f t="shared" si="5"/>
        <v>0</v>
      </c>
      <c r="AA8" s="52">
        <f t="shared" si="6"/>
        <v>0</v>
      </c>
      <c r="AB8" s="53">
        <f t="shared" si="7"/>
        <v>0</v>
      </c>
      <c r="AC8" s="52">
        <f t="shared" si="8"/>
        <v>0</v>
      </c>
      <c r="AD8" s="54" t="s">
        <v>53</v>
      </c>
      <c r="AE8" s="13"/>
      <c r="AF8" s="55"/>
      <c r="AG8" s="55"/>
    </row>
    <row r="9" ht="13.5" customHeight="1">
      <c r="A9" s="38">
        <v>5.0</v>
      </c>
      <c r="B9" s="56" t="s">
        <v>54</v>
      </c>
      <c r="C9" s="57" t="s">
        <v>32</v>
      </c>
      <c r="D9" s="58">
        <v>2.8331072E9</v>
      </c>
      <c r="E9" s="41">
        <v>0.045</v>
      </c>
      <c r="F9" s="42"/>
      <c r="G9" s="43" t="s">
        <v>33</v>
      </c>
      <c r="H9" s="44" t="s">
        <v>47</v>
      </c>
      <c r="I9" s="59">
        <v>45304.0</v>
      </c>
      <c r="J9" s="60" t="s">
        <v>55</v>
      </c>
      <c r="K9" s="58" t="s">
        <v>56</v>
      </c>
      <c r="L9" s="58" t="s">
        <v>57</v>
      </c>
      <c r="M9" s="58" t="s">
        <v>58</v>
      </c>
      <c r="N9" s="58">
        <v>1.1089983999999999E8</v>
      </c>
      <c r="O9" s="58">
        <v>1.27489824E8</v>
      </c>
      <c r="P9" s="47">
        <v>5500000.0</v>
      </c>
      <c r="Q9" s="48"/>
      <c r="R9" s="49">
        <v>1.1089983999999999E8</v>
      </c>
      <c r="S9" s="50">
        <v>0.5</v>
      </c>
      <c r="T9" s="51">
        <f>E9</f>
        <v>0.045</v>
      </c>
      <c r="U9" s="52">
        <f t="shared" si="1"/>
        <v>110899840</v>
      </c>
      <c r="V9" s="51">
        <f t="shared" si="2"/>
        <v>0</v>
      </c>
      <c r="W9" s="52">
        <f t="shared" si="9"/>
        <v>0</v>
      </c>
      <c r="X9" s="51">
        <f t="shared" si="3"/>
        <v>0</v>
      </c>
      <c r="Y9" s="52">
        <f t="shared" si="4"/>
        <v>0</v>
      </c>
      <c r="Z9" s="51">
        <f t="shared" si="5"/>
        <v>0</v>
      </c>
      <c r="AA9" s="52">
        <f t="shared" si="6"/>
        <v>0</v>
      </c>
      <c r="AB9" s="53">
        <f t="shared" si="7"/>
        <v>0</v>
      </c>
      <c r="AC9" s="52">
        <f t="shared" si="8"/>
        <v>0</v>
      </c>
      <c r="AD9" s="54" t="s">
        <v>36</v>
      </c>
      <c r="AE9" s="14"/>
      <c r="AF9" s="55"/>
      <c r="AG9" s="55"/>
    </row>
    <row r="10" ht="13.5" customHeight="1">
      <c r="A10" s="38">
        <v>6.0</v>
      </c>
      <c r="B10" s="56" t="s">
        <v>59</v>
      </c>
      <c r="C10" s="57" t="s">
        <v>60</v>
      </c>
      <c r="D10" s="58">
        <v>2.167066641E9</v>
      </c>
      <c r="E10" s="41">
        <v>0.05</v>
      </c>
      <c r="F10" s="42"/>
      <c r="G10" s="43" t="s">
        <v>46</v>
      </c>
      <c r="H10" s="44" t="s">
        <v>61</v>
      </c>
      <c r="I10" s="59">
        <v>45759.0</v>
      </c>
      <c r="J10" s="60" t="s">
        <v>62</v>
      </c>
      <c r="K10" s="40" t="s">
        <v>63</v>
      </c>
      <c r="L10" s="40" t="s">
        <v>57</v>
      </c>
      <c r="M10" s="40" t="s">
        <v>64</v>
      </c>
      <c r="N10" s="40">
        <v>9.550302913636364E7</v>
      </c>
      <c r="O10" s="40">
        <v>1.0835333205000001E8</v>
      </c>
      <c r="P10" s="47">
        <v>3300000.0</v>
      </c>
      <c r="Q10" s="48"/>
      <c r="R10" s="49">
        <v>9.550302913636364E7</v>
      </c>
      <c r="S10" s="50">
        <v>0.5</v>
      </c>
      <c r="T10" s="51">
        <f>5%*70%</f>
        <v>0.035</v>
      </c>
      <c r="U10" s="52">
        <f t="shared" si="1"/>
        <v>65952120.4</v>
      </c>
      <c r="V10" s="51">
        <f t="shared" si="2"/>
        <v>0.015</v>
      </c>
      <c r="W10" s="52">
        <f t="shared" si="9"/>
        <v>29550908.74</v>
      </c>
      <c r="X10" s="51">
        <f t="shared" si="3"/>
        <v>0</v>
      </c>
      <c r="Y10" s="52">
        <f t="shared" si="4"/>
        <v>0</v>
      </c>
      <c r="Z10" s="51">
        <f t="shared" si="5"/>
        <v>0</v>
      </c>
      <c r="AA10" s="52">
        <f t="shared" si="6"/>
        <v>0</v>
      </c>
      <c r="AB10" s="53">
        <f t="shared" si="7"/>
        <v>0</v>
      </c>
      <c r="AC10" s="52">
        <f t="shared" si="8"/>
        <v>0</v>
      </c>
      <c r="AD10" s="54" t="s">
        <v>36</v>
      </c>
      <c r="AE10" s="14"/>
      <c r="AF10" s="55"/>
      <c r="AG10" s="55"/>
    </row>
    <row r="11" ht="13.5" customHeight="1">
      <c r="A11" s="38">
        <v>7.0</v>
      </c>
      <c r="B11" s="56" t="s">
        <v>65</v>
      </c>
      <c r="C11" s="57" t="s">
        <v>66</v>
      </c>
      <c r="D11" s="58">
        <v>2.12891595E9</v>
      </c>
      <c r="E11" s="41">
        <v>0.055</v>
      </c>
      <c r="F11" s="42"/>
      <c r="G11" s="43" t="s">
        <v>39</v>
      </c>
      <c r="H11" s="44" t="s">
        <v>67</v>
      </c>
      <c r="I11" s="59">
        <v>45753.0</v>
      </c>
      <c r="J11" s="60" t="s">
        <v>62</v>
      </c>
      <c r="K11" s="40" t="s">
        <v>63</v>
      </c>
      <c r="L11" s="40" t="s">
        <v>57</v>
      </c>
      <c r="M11" s="40" t="s">
        <v>68</v>
      </c>
      <c r="N11" s="40">
        <v>1.0644579749999999E8</v>
      </c>
      <c r="O11" s="40">
        <v>1.1709037725E8</v>
      </c>
      <c r="P11" s="47">
        <v>0.0</v>
      </c>
      <c r="Q11" s="48"/>
      <c r="R11" s="49">
        <v>1.0644579749999999E8</v>
      </c>
      <c r="S11" s="61">
        <v>0.5</v>
      </c>
      <c r="T11" s="51">
        <v>0.045</v>
      </c>
      <c r="U11" s="52">
        <f t="shared" si="1"/>
        <v>87092016.14</v>
      </c>
      <c r="V11" s="51">
        <f t="shared" si="2"/>
        <v>0.01</v>
      </c>
      <c r="W11" s="52">
        <f t="shared" si="9"/>
        <v>19353781.36</v>
      </c>
      <c r="X11" s="51">
        <f t="shared" si="3"/>
        <v>0</v>
      </c>
      <c r="Y11" s="52">
        <f t="shared" si="4"/>
        <v>0</v>
      </c>
      <c r="Z11" s="51">
        <f t="shared" si="5"/>
        <v>0</v>
      </c>
      <c r="AA11" s="52">
        <f t="shared" si="6"/>
        <v>0</v>
      </c>
      <c r="AB11" s="53">
        <f t="shared" si="7"/>
        <v>0</v>
      </c>
      <c r="AC11" s="52">
        <f t="shared" si="8"/>
        <v>0</v>
      </c>
      <c r="AD11" s="54" t="s">
        <v>36</v>
      </c>
      <c r="AE11" s="14"/>
      <c r="AF11" s="55"/>
      <c r="AG11" s="55"/>
    </row>
    <row r="12" ht="13.5" customHeight="1">
      <c r="A12" s="38">
        <v>8.0</v>
      </c>
      <c r="B12" s="56" t="s">
        <v>69</v>
      </c>
      <c r="C12" s="57" t="s">
        <v>60</v>
      </c>
      <c r="D12" s="58">
        <v>2.213439173E9</v>
      </c>
      <c r="E12" s="41">
        <v>0.05</v>
      </c>
      <c r="G12" s="43" t="s">
        <v>46</v>
      </c>
      <c r="H12" s="44" t="s">
        <v>70</v>
      </c>
      <c r="I12" s="59">
        <v>45768.0</v>
      </c>
      <c r="J12" s="60" t="s">
        <v>62</v>
      </c>
      <c r="K12" s="40" t="s">
        <v>63</v>
      </c>
      <c r="L12" s="40" t="s">
        <v>57</v>
      </c>
      <c r="M12" s="40" t="s">
        <v>71</v>
      </c>
      <c r="N12" s="40">
        <v>9.76108715E7</v>
      </c>
      <c r="O12" s="40">
        <v>1.1067195865E8</v>
      </c>
      <c r="P12" s="47">
        <v>3300000.0</v>
      </c>
      <c r="Q12" s="48"/>
      <c r="R12" s="49">
        <v>9.76108715E7</v>
      </c>
      <c r="S12" s="50">
        <v>0.5</v>
      </c>
      <c r="T12" s="51">
        <f t="shared" ref="T12:T22" si="10">5%*70%</f>
        <v>0.035</v>
      </c>
      <c r="U12" s="52">
        <f t="shared" si="1"/>
        <v>67427610.05</v>
      </c>
      <c r="V12" s="51">
        <f t="shared" si="2"/>
        <v>0.015</v>
      </c>
      <c r="W12" s="52">
        <f t="shared" si="9"/>
        <v>30183261.45</v>
      </c>
      <c r="X12" s="51">
        <f t="shared" si="3"/>
        <v>0</v>
      </c>
      <c r="Y12" s="52">
        <f t="shared" si="4"/>
        <v>0</v>
      </c>
      <c r="Z12" s="51">
        <f t="shared" si="5"/>
        <v>0</v>
      </c>
      <c r="AA12" s="52">
        <f t="shared" si="6"/>
        <v>0</v>
      </c>
      <c r="AB12" s="53">
        <f t="shared" si="7"/>
        <v>0</v>
      </c>
      <c r="AC12" s="52">
        <f t="shared" si="8"/>
        <v>0</v>
      </c>
      <c r="AD12" s="54" t="s">
        <v>72</v>
      </c>
      <c r="AE12" s="14"/>
      <c r="AF12" s="55"/>
      <c r="AG12" s="55"/>
    </row>
    <row r="13" ht="13.5" customHeight="1">
      <c r="A13" s="38">
        <v>9.0</v>
      </c>
      <c r="B13" s="56" t="s">
        <v>73</v>
      </c>
      <c r="C13" s="57" t="s">
        <v>60</v>
      </c>
      <c r="D13" s="58">
        <v>2.683534E9</v>
      </c>
      <c r="E13" s="41">
        <v>0.0525</v>
      </c>
      <c r="F13" s="42"/>
      <c r="G13" s="43" t="s">
        <v>74</v>
      </c>
      <c r="H13" s="44" t="s">
        <v>61</v>
      </c>
      <c r="I13" s="59">
        <v>45862.0</v>
      </c>
      <c r="J13" s="60" t="s">
        <v>75</v>
      </c>
      <c r="K13" s="40" t="s">
        <v>76</v>
      </c>
      <c r="L13" s="40" t="s">
        <v>57</v>
      </c>
      <c r="M13" s="40" t="s">
        <v>77</v>
      </c>
      <c r="N13" s="40">
        <v>1.2457775909090908E8</v>
      </c>
      <c r="O13" s="40">
        <v>1.40885535E8</v>
      </c>
      <c r="P13" s="47">
        <f t="shared" ref="P13:P22" si="11">3500000*1.1</f>
        <v>3850000</v>
      </c>
      <c r="Q13" s="48"/>
      <c r="R13" s="49">
        <v>1.2457775909090908E8</v>
      </c>
      <c r="S13" s="50">
        <v>0.5</v>
      </c>
      <c r="T13" s="66">
        <f t="shared" si="10"/>
        <v>0.035</v>
      </c>
      <c r="U13" s="52">
        <f t="shared" si="1"/>
        <v>81885172.73</v>
      </c>
      <c r="V13" s="51">
        <f t="shared" si="2"/>
        <v>0.0175</v>
      </c>
      <c r="W13" s="52">
        <f t="shared" si="9"/>
        <v>42692586.36</v>
      </c>
      <c r="X13" s="51">
        <f t="shared" si="3"/>
        <v>0</v>
      </c>
      <c r="Y13" s="52">
        <f t="shared" si="4"/>
        <v>0</v>
      </c>
      <c r="Z13" s="51">
        <f t="shared" si="5"/>
        <v>0</v>
      </c>
      <c r="AA13" s="52">
        <f t="shared" si="6"/>
        <v>0</v>
      </c>
      <c r="AB13" s="53">
        <f t="shared" si="7"/>
        <v>0</v>
      </c>
      <c r="AC13" s="52">
        <f t="shared" si="8"/>
        <v>0</v>
      </c>
      <c r="AD13" s="67" t="s">
        <v>78</v>
      </c>
      <c r="AE13" s="14"/>
      <c r="AF13" s="55"/>
      <c r="AG13" s="55"/>
    </row>
    <row r="14" ht="13.5" customHeight="1">
      <c r="A14" s="38">
        <v>10.0</v>
      </c>
      <c r="B14" s="56" t="s">
        <v>79</v>
      </c>
      <c r="C14" s="57" t="s">
        <v>60</v>
      </c>
      <c r="D14" s="58">
        <v>1.9257735E9</v>
      </c>
      <c r="E14" s="41">
        <v>0.0525</v>
      </c>
      <c r="F14" s="42"/>
      <c r="G14" s="43" t="s">
        <v>74</v>
      </c>
      <c r="H14" s="44" t="s">
        <v>34</v>
      </c>
      <c r="I14" s="59">
        <v>45862.0</v>
      </c>
      <c r="J14" s="60" t="s">
        <v>75</v>
      </c>
      <c r="K14" s="40" t="s">
        <v>76</v>
      </c>
      <c r="L14" s="40" t="s">
        <v>57</v>
      </c>
      <c r="M14" s="40" t="s">
        <v>80</v>
      </c>
      <c r="N14" s="40">
        <v>4.7539799802727264E8</v>
      </c>
      <c r="O14" s="40">
        <v>1.0110310875E8</v>
      </c>
      <c r="P14" s="47">
        <f t="shared" si="11"/>
        <v>3850000</v>
      </c>
      <c r="Q14" s="48"/>
      <c r="R14" s="49">
        <v>8.841191704545453E7</v>
      </c>
      <c r="S14" s="50">
        <v>0.55</v>
      </c>
      <c r="T14" s="66">
        <f t="shared" si="10"/>
        <v>0.035</v>
      </c>
      <c r="U14" s="52">
        <f t="shared" si="1"/>
        <v>57774611.36</v>
      </c>
      <c r="V14" s="51">
        <f t="shared" si="2"/>
        <v>0.0175</v>
      </c>
      <c r="W14" s="52">
        <f t="shared" si="9"/>
        <v>30637305.68</v>
      </c>
      <c r="X14" s="51">
        <f t="shared" si="3"/>
        <v>0</v>
      </c>
      <c r="Y14" s="52">
        <f t="shared" si="4"/>
        <v>0</v>
      </c>
      <c r="Z14" s="51">
        <f t="shared" si="5"/>
        <v>0</v>
      </c>
      <c r="AA14" s="52">
        <f t="shared" si="6"/>
        <v>0</v>
      </c>
      <c r="AB14" s="53">
        <f t="shared" si="7"/>
        <v>0</v>
      </c>
      <c r="AC14" s="52">
        <f t="shared" si="8"/>
        <v>0</v>
      </c>
      <c r="AD14" s="67" t="s">
        <v>78</v>
      </c>
      <c r="AE14" s="14"/>
      <c r="AF14" s="55"/>
      <c r="AG14" s="55"/>
    </row>
    <row r="15" ht="13.5" customHeight="1">
      <c r="A15" s="38">
        <v>11.0</v>
      </c>
      <c r="B15" s="56" t="s">
        <v>81</v>
      </c>
      <c r="C15" s="57" t="s">
        <v>60</v>
      </c>
      <c r="D15" s="58">
        <v>2.4219377E9</v>
      </c>
      <c r="E15" s="41">
        <v>0.0525</v>
      </c>
      <c r="F15" s="68"/>
      <c r="G15" s="43" t="s">
        <v>74</v>
      </c>
      <c r="H15" s="44" t="s">
        <v>34</v>
      </c>
      <c r="I15" s="59">
        <v>45862.0</v>
      </c>
      <c r="J15" s="60" t="s">
        <v>75</v>
      </c>
      <c r="K15" s="40" t="s">
        <v>76</v>
      </c>
      <c r="L15" s="40" t="s">
        <v>57</v>
      </c>
      <c r="M15" s="40" t="s">
        <v>80</v>
      </c>
      <c r="N15" s="40">
        <v>4.7539799802727264E8</v>
      </c>
      <c r="O15" s="40">
        <v>1.2715172925E8</v>
      </c>
      <c r="P15" s="47">
        <f t="shared" si="11"/>
        <v>3850000</v>
      </c>
      <c r="Q15" s="48"/>
      <c r="R15" s="49">
        <v>1.1209248113636363E8</v>
      </c>
      <c r="S15" s="50">
        <v>0.55</v>
      </c>
      <c r="T15" s="66">
        <f t="shared" si="10"/>
        <v>0.035</v>
      </c>
      <c r="U15" s="52">
        <f t="shared" si="1"/>
        <v>73561654.09</v>
      </c>
      <c r="V15" s="51">
        <f t="shared" si="2"/>
        <v>0.0175</v>
      </c>
      <c r="W15" s="52">
        <f t="shared" si="9"/>
        <v>38530827.05</v>
      </c>
      <c r="X15" s="51">
        <f t="shared" si="3"/>
        <v>0</v>
      </c>
      <c r="Y15" s="52">
        <f t="shared" si="4"/>
        <v>0</v>
      </c>
      <c r="Z15" s="51">
        <f t="shared" si="5"/>
        <v>0</v>
      </c>
      <c r="AA15" s="52">
        <f t="shared" si="6"/>
        <v>0</v>
      </c>
      <c r="AB15" s="53">
        <f t="shared" si="7"/>
        <v>0</v>
      </c>
      <c r="AC15" s="52">
        <f t="shared" si="8"/>
        <v>0</v>
      </c>
      <c r="AD15" s="69"/>
      <c r="AE15" s="14"/>
      <c r="AF15" s="55"/>
      <c r="AG15" s="55"/>
    </row>
    <row r="16" ht="13.5" customHeight="1">
      <c r="A16" s="38">
        <v>12.0</v>
      </c>
      <c r="B16" s="56" t="s">
        <v>82</v>
      </c>
      <c r="C16" s="57" t="s">
        <v>60</v>
      </c>
      <c r="D16" s="58">
        <v>3.127323328E9</v>
      </c>
      <c r="E16" s="41">
        <v>0.0525</v>
      </c>
      <c r="F16" s="68" t="s">
        <v>83</v>
      </c>
      <c r="G16" s="43" t="s">
        <v>74</v>
      </c>
      <c r="H16" s="44" t="s">
        <v>34</v>
      </c>
      <c r="I16" s="59">
        <v>45895.0</v>
      </c>
      <c r="J16" s="60" t="s">
        <v>84</v>
      </c>
      <c r="K16" s="40" t="s">
        <v>85</v>
      </c>
      <c r="L16" s="40" t="s">
        <v>57</v>
      </c>
      <c r="M16" s="40" t="s">
        <v>80</v>
      </c>
      <c r="N16" s="40">
        <v>4.7539799802727264E8</v>
      </c>
      <c r="O16" s="40">
        <v>1.6418447472E8</v>
      </c>
      <c r="P16" s="47">
        <f t="shared" si="11"/>
        <v>3850000</v>
      </c>
      <c r="Q16" s="48"/>
      <c r="R16" s="49">
        <v>1.4575861338181818E8</v>
      </c>
      <c r="S16" s="50">
        <v>0.55</v>
      </c>
      <c r="T16" s="66">
        <f t="shared" si="10"/>
        <v>0.035</v>
      </c>
      <c r="U16" s="52">
        <f t="shared" si="1"/>
        <v>96005742.25</v>
      </c>
      <c r="V16" s="66">
        <f t="shared" si="2"/>
        <v>0.0175</v>
      </c>
      <c r="W16" s="52">
        <f t="shared" si="9"/>
        <v>49752871.13</v>
      </c>
      <c r="X16" s="51">
        <f t="shared" si="3"/>
        <v>0</v>
      </c>
      <c r="Y16" s="52">
        <f t="shared" si="4"/>
        <v>0</v>
      </c>
      <c r="Z16" s="51">
        <f t="shared" si="5"/>
        <v>0</v>
      </c>
      <c r="AA16" s="52">
        <f t="shared" si="6"/>
        <v>0</v>
      </c>
      <c r="AB16" s="53">
        <f t="shared" si="7"/>
        <v>0</v>
      </c>
      <c r="AC16" s="52">
        <f t="shared" si="8"/>
        <v>0</v>
      </c>
      <c r="AD16" s="67" t="s">
        <v>78</v>
      </c>
      <c r="AE16" s="14"/>
      <c r="AF16" s="55"/>
      <c r="AG16" s="55"/>
    </row>
    <row r="17" ht="13.5" customHeight="1">
      <c r="A17" s="38">
        <v>13.0</v>
      </c>
      <c r="B17" s="56" t="s">
        <v>86</v>
      </c>
      <c r="C17" s="57" t="s">
        <v>60</v>
      </c>
      <c r="D17" s="58">
        <v>2.779018764E9</v>
      </c>
      <c r="E17" s="41">
        <v>0.0525</v>
      </c>
      <c r="F17" s="68" t="s">
        <v>83</v>
      </c>
      <c r="G17" s="43" t="s">
        <v>74</v>
      </c>
      <c r="H17" s="44" t="s">
        <v>34</v>
      </c>
      <c r="I17" s="59">
        <v>45893.0</v>
      </c>
      <c r="J17" s="60" t="s">
        <v>84</v>
      </c>
      <c r="K17" s="40" t="s">
        <v>85</v>
      </c>
      <c r="L17" s="40" t="s">
        <v>57</v>
      </c>
      <c r="M17" s="40" t="s">
        <v>80</v>
      </c>
      <c r="N17" s="40">
        <v>4.7539799802727264E8</v>
      </c>
      <c r="O17" s="40">
        <v>1.4589848510999998E8</v>
      </c>
      <c r="P17" s="47">
        <f t="shared" si="11"/>
        <v>3850000</v>
      </c>
      <c r="Q17" s="48"/>
      <c r="R17" s="49">
        <v>1.2913498646363634E8</v>
      </c>
      <c r="S17" s="50">
        <v>0.55</v>
      </c>
      <c r="T17" s="66">
        <f t="shared" si="10"/>
        <v>0.035</v>
      </c>
      <c r="U17" s="52">
        <f t="shared" si="1"/>
        <v>84923324.31</v>
      </c>
      <c r="V17" s="66">
        <f t="shared" si="2"/>
        <v>0.0175</v>
      </c>
      <c r="W17" s="52">
        <f t="shared" si="9"/>
        <v>44211662.15</v>
      </c>
      <c r="X17" s="51">
        <f t="shared" si="3"/>
        <v>0</v>
      </c>
      <c r="Y17" s="52">
        <f t="shared" si="4"/>
        <v>0</v>
      </c>
      <c r="Z17" s="51">
        <f t="shared" si="5"/>
        <v>0</v>
      </c>
      <c r="AA17" s="52">
        <f t="shared" si="6"/>
        <v>0</v>
      </c>
      <c r="AB17" s="53">
        <f t="shared" si="7"/>
        <v>0</v>
      </c>
      <c r="AC17" s="52">
        <f t="shared" si="8"/>
        <v>0</v>
      </c>
      <c r="AD17" s="70"/>
      <c r="AE17" s="14"/>
      <c r="AF17" s="55"/>
      <c r="AG17" s="55"/>
    </row>
    <row r="18" ht="13.5" customHeight="1">
      <c r="A18" s="38">
        <v>14.0</v>
      </c>
      <c r="B18" s="56" t="s">
        <v>87</v>
      </c>
      <c r="C18" s="57" t="s">
        <v>60</v>
      </c>
      <c r="D18" s="58">
        <v>2.128957203E9</v>
      </c>
      <c r="E18" s="41">
        <v>0.0525</v>
      </c>
      <c r="F18" s="68" t="s">
        <v>83</v>
      </c>
      <c r="G18" s="43" t="s">
        <v>74</v>
      </c>
      <c r="H18" s="44" t="s">
        <v>67</v>
      </c>
      <c r="I18" s="59">
        <v>45899.0</v>
      </c>
      <c r="J18" s="60" t="s">
        <v>84</v>
      </c>
      <c r="K18" s="40" t="s">
        <v>85</v>
      </c>
      <c r="L18" s="40" t="s">
        <v>57</v>
      </c>
      <c r="M18" s="40" t="s">
        <v>88</v>
      </c>
      <c r="N18" s="40">
        <v>9.810932105227272E7</v>
      </c>
      <c r="O18" s="40">
        <v>1.117702531575E8</v>
      </c>
      <c r="P18" s="47">
        <f t="shared" si="11"/>
        <v>3850000</v>
      </c>
      <c r="Q18" s="48"/>
      <c r="R18" s="49">
        <v>9.810932105227272E7</v>
      </c>
      <c r="S18" s="50">
        <v>0.5</v>
      </c>
      <c r="T18" s="66">
        <f t="shared" si="10"/>
        <v>0.035</v>
      </c>
      <c r="U18" s="52">
        <f t="shared" si="1"/>
        <v>64239547.37</v>
      </c>
      <c r="V18" s="66">
        <f t="shared" si="2"/>
        <v>0.0175</v>
      </c>
      <c r="W18" s="52">
        <f t="shared" si="9"/>
        <v>33869773.68</v>
      </c>
      <c r="X18" s="51">
        <f t="shared" si="3"/>
        <v>0</v>
      </c>
      <c r="Y18" s="52">
        <f t="shared" si="4"/>
        <v>0</v>
      </c>
      <c r="Z18" s="51">
        <f t="shared" si="5"/>
        <v>0</v>
      </c>
      <c r="AA18" s="52">
        <f t="shared" si="6"/>
        <v>0</v>
      </c>
      <c r="AB18" s="53">
        <f t="shared" si="7"/>
        <v>0</v>
      </c>
      <c r="AC18" s="52">
        <f t="shared" si="8"/>
        <v>0</v>
      </c>
      <c r="AD18" s="70"/>
      <c r="AE18" s="14"/>
      <c r="AF18" s="55"/>
      <c r="AG18" s="55"/>
    </row>
    <row r="19" ht="13.5" customHeight="1">
      <c r="A19" s="38">
        <v>15.0</v>
      </c>
      <c r="B19" s="56" t="s">
        <v>89</v>
      </c>
      <c r="C19" s="57" t="s">
        <v>60</v>
      </c>
      <c r="D19" s="58">
        <v>2.089306138E9</v>
      </c>
      <c r="E19" s="41">
        <v>0.0525</v>
      </c>
      <c r="F19" s="68" t="s">
        <v>83</v>
      </c>
      <c r="G19" s="43" t="s">
        <v>74</v>
      </c>
      <c r="H19" s="44" t="s">
        <v>90</v>
      </c>
      <c r="I19" s="59">
        <v>45899.0</v>
      </c>
      <c r="J19" s="60" t="s">
        <v>84</v>
      </c>
      <c r="K19" s="40" t="s">
        <v>85</v>
      </c>
      <c r="L19" s="40" t="s">
        <v>57</v>
      </c>
      <c r="M19" s="40" t="s">
        <v>91</v>
      </c>
      <c r="N19" s="40">
        <v>9.62168838590909E7</v>
      </c>
      <c r="O19" s="40">
        <v>1.0968857224499999E8</v>
      </c>
      <c r="P19" s="47">
        <f t="shared" si="11"/>
        <v>3850000</v>
      </c>
      <c r="Q19" s="48"/>
      <c r="R19" s="49">
        <v>9.62168838590909E7</v>
      </c>
      <c r="S19" s="50">
        <v>0.5</v>
      </c>
      <c r="T19" s="66">
        <f t="shared" si="10"/>
        <v>0.035</v>
      </c>
      <c r="U19" s="52">
        <f t="shared" si="1"/>
        <v>62977922.57</v>
      </c>
      <c r="V19" s="66">
        <f t="shared" si="2"/>
        <v>0.0175</v>
      </c>
      <c r="W19" s="52">
        <f t="shared" si="9"/>
        <v>33238961.29</v>
      </c>
      <c r="X19" s="51">
        <f t="shared" si="3"/>
        <v>0</v>
      </c>
      <c r="Y19" s="52">
        <f t="shared" si="4"/>
        <v>0</v>
      </c>
      <c r="Z19" s="51">
        <f t="shared" si="5"/>
        <v>0</v>
      </c>
      <c r="AA19" s="52">
        <f t="shared" si="6"/>
        <v>0</v>
      </c>
      <c r="AB19" s="53">
        <f t="shared" si="7"/>
        <v>0</v>
      </c>
      <c r="AC19" s="52">
        <f t="shared" si="8"/>
        <v>0</v>
      </c>
      <c r="AD19" s="70"/>
      <c r="AE19" s="14"/>
      <c r="AF19" s="55"/>
      <c r="AG19" s="55"/>
    </row>
    <row r="20" ht="13.5" customHeight="1">
      <c r="A20" s="38">
        <v>16.0</v>
      </c>
      <c r="B20" s="56" t="s">
        <v>92</v>
      </c>
      <c r="C20" s="57" t="s">
        <v>60</v>
      </c>
      <c r="D20" s="58">
        <v>2.639151933E9</v>
      </c>
      <c r="E20" s="41">
        <v>0.0525</v>
      </c>
      <c r="F20" s="68" t="s">
        <v>83</v>
      </c>
      <c r="G20" s="43" t="s">
        <v>74</v>
      </c>
      <c r="H20" s="44" t="s">
        <v>34</v>
      </c>
      <c r="I20" s="59">
        <v>45904.0</v>
      </c>
      <c r="J20" s="60" t="s">
        <v>93</v>
      </c>
      <c r="K20" s="40" t="s">
        <v>94</v>
      </c>
      <c r="L20" s="40" t="s">
        <v>57</v>
      </c>
      <c r="M20" s="40" t="s">
        <v>95</v>
      </c>
      <c r="N20" s="40">
        <v>1.2245952407499997E8</v>
      </c>
      <c r="O20" s="40">
        <v>1.385554764825E8</v>
      </c>
      <c r="P20" s="47">
        <f t="shared" si="11"/>
        <v>3850000</v>
      </c>
      <c r="Q20" s="48"/>
      <c r="R20" s="49">
        <v>1.2245952407499997E8</v>
      </c>
      <c r="S20" s="50">
        <v>0.5</v>
      </c>
      <c r="T20" s="66">
        <f t="shared" si="10"/>
        <v>0.035</v>
      </c>
      <c r="U20" s="52">
        <f t="shared" si="1"/>
        <v>80473016.05</v>
      </c>
      <c r="V20" s="66">
        <f t="shared" si="2"/>
        <v>0.0175</v>
      </c>
      <c r="W20" s="52">
        <f t="shared" si="9"/>
        <v>41986508.03</v>
      </c>
      <c r="X20" s="51">
        <f t="shared" si="3"/>
        <v>0</v>
      </c>
      <c r="Y20" s="52">
        <f t="shared" si="4"/>
        <v>0</v>
      </c>
      <c r="Z20" s="51">
        <f t="shared" si="5"/>
        <v>0</v>
      </c>
      <c r="AA20" s="52">
        <f t="shared" si="6"/>
        <v>0</v>
      </c>
      <c r="AB20" s="53">
        <f t="shared" si="7"/>
        <v>0</v>
      </c>
      <c r="AC20" s="52">
        <f t="shared" si="8"/>
        <v>0</v>
      </c>
      <c r="AD20" s="70"/>
      <c r="AE20" s="14"/>
      <c r="AF20" s="55"/>
      <c r="AG20" s="55"/>
    </row>
    <row r="21" ht="13.5" customHeight="1">
      <c r="A21" s="38">
        <v>17.0</v>
      </c>
      <c r="B21" s="56" t="s">
        <v>96</v>
      </c>
      <c r="C21" s="57" t="s">
        <v>60</v>
      </c>
      <c r="D21" s="58">
        <v>2.093901628E9</v>
      </c>
      <c r="E21" s="41">
        <v>0.0525</v>
      </c>
      <c r="F21" s="68" t="s">
        <v>83</v>
      </c>
      <c r="G21" s="43" t="s">
        <v>74</v>
      </c>
      <c r="H21" s="44" t="s">
        <v>61</v>
      </c>
      <c r="I21" s="59">
        <v>45907.0</v>
      </c>
      <c r="J21" s="60" t="s">
        <v>93</v>
      </c>
      <c r="K21" s="40" t="s">
        <v>94</v>
      </c>
      <c r="L21" s="40" t="s">
        <v>57</v>
      </c>
      <c r="M21" s="40" t="s">
        <v>97</v>
      </c>
      <c r="N21" s="40">
        <v>1.871674865363636E8</v>
      </c>
      <c r="O21" s="40">
        <v>1.0992983547E8</v>
      </c>
      <c r="P21" s="47">
        <f t="shared" si="11"/>
        <v>3850000</v>
      </c>
      <c r="Q21" s="48"/>
      <c r="R21" s="49">
        <v>9.643621406363635E7</v>
      </c>
      <c r="S21" s="50">
        <v>0.5</v>
      </c>
      <c r="T21" s="66">
        <f t="shared" si="10"/>
        <v>0.035</v>
      </c>
      <c r="U21" s="52">
        <f t="shared" si="1"/>
        <v>63124142.71</v>
      </c>
      <c r="V21" s="66">
        <f t="shared" si="2"/>
        <v>0.0175</v>
      </c>
      <c r="W21" s="52">
        <f t="shared" si="9"/>
        <v>33312071.35</v>
      </c>
      <c r="X21" s="51">
        <f t="shared" si="3"/>
        <v>0</v>
      </c>
      <c r="Y21" s="52">
        <f t="shared" si="4"/>
        <v>0</v>
      </c>
      <c r="Z21" s="51">
        <f t="shared" si="5"/>
        <v>0</v>
      </c>
      <c r="AA21" s="52">
        <f t="shared" si="6"/>
        <v>0</v>
      </c>
      <c r="AB21" s="53">
        <f t="shared" si="7"/>
        <v>0</v>
      </c>
      <c r="AC21" s="52">
        <f t="shared" si="8"/>
        <v>0</v>
      </c>
      <c r="AD21" s="70"/>
      <c r="AE21" s="14"/>
      <c r="AF21" s="55"/>
      <c r="AG21" s="55"/>
    </row>
    <row r="22" ht="13.5" customHeight="1">
      <c r="A22" s="38">
        <v>18.0</v>
      </c>
      <c r="B22" s="56" t="s">
        <v>98</v>
      </c>
      <c r="C22" s="57" t="s">
        <v>99</v>
      </c>
      <c r="D22" s="58">
        <v>1.401174189E9</v>
      </c>
      <c r="E22" s="41">
        <v>0.0525</v>
      </c>
      <c r="F22" s="68" t="s">
        <v>83</v>
      </c>
      <c r="G22" s="43" t="s">
        <v>74</v>
      </c>
      <c r="H22" s="44" t="s">
        <v>100</v>
      </c>
      <c r="I22" s="59">
        <v>45910.0</v>
      </c>
      <c r="J22" s="60" t="s">
        <v>93</v>
      </c>
      <c r="K22" s="40" t="s">
        <v>94</v>
      </c>
      <c r="L22" s="40" t="s">
        <v>57</v>
      </c>
      <c r="M22" s="40" t="s">
        <v>101</v>
      </c>
      <c r="N22" s="40">
        <v>1.2522832470909089E8</v>
      </c>
      <c r="O22" s="40">
        <v>7.35616449225E7</v>
      </c>
      <c r="P22" s="47">
        <f t="shared" si="11"/>
        <v>3850000</v>
      </c>
      <c r="Q22" s="48"/>
      <c r="R22" s="49">
        <v>6.3374222656818174E7</v>
      </c>
      <c r="S22" s="50">
        <v>0.5</v>
      </c>
      <c r="T22" s="66">
        <f t="shared" si="10"/>
        <v>0.035</v>
      </c>
      <c r="U22" s="52">
        <f t="shared" si="1"/>
        <v>41082815.1</v>
      </c>
      <c r="V22" s="66">
        <f t="shared" si="2"/>
        <v>0.0175</v>
      </c>
      <c r="W22" s="52">
        <f t="shared" si="9"/>
        <v>22291407.55</v>
      </c>
      <c r="X22" s="51">
        <f t="shared" si="3"/>
        <v>0</v>
      </c>
      <c r="Y22" s="52">
        <f t="shared" si="4"/>
        <v>0</v>
      </c>
      <c r="Z22" s="51">
        <f t="shared" si="5"/>
        <v>0</v>
      </c>
      <c r="AA22" s="52">
        <f t="shared" si="6"/>
        <v>0</v>
      </c>
      <c r="AB22" s="53">
        <f t="shared" si="7"/>
        <v>0</v>
      </c>
      <c r="AC22" s="52">
        <f t="shared" si="8"/>
        <v>0</v>
      </c>
      <c r="AD22" s="70"/>
      <c r="AE22" s="14"/>
      <c r="AF22" s="55"/>
      <c r="AG22" s="55"/>
    </row>
    <row r="23" ht="13.5" customHeight="1">
      <c r="A23" s="38">
        <v>19.0</v>
      </c>
      <c r="B23" s="56" t="s">
        <v>102</v>
      </c>
      <c r="C23" s="57" t="s">
        <v>103</v>
      </c>
      <c r="D23" s="58">
        <v>2.01289256E9</v>
      </c>
      <c r="E23" s="41">
        <v>0.0525</v>
      </c>
      <c r="F23" s="68" t="s">
        <v>83</v>
      </c>
      <c r="G23" s="71" t="s">
        <v>33</v>
      </c>
      <c r="H23" s="44" t="s">
        <v>67</v>
      </c>
      <c r="I23" s="59">
        <v>45912.0</v>
      </c>
      <c r="J23" s="60" t="s">
        <v>93</v>
      </c>
      <c r="K23" s="40" t="s">
        <v>94</v>
      </c>
      <c r="L23" s="40" t="s">
        <v>57</v>
      </c>
      <c r="M23" s="40" t="s">
        <v>104</v>
      </c>
      <c r="N23" s="40">
        <v>9.106987218181817E7</v>
      </c>
      <c r="O23" s="40">
        <v>1.0567685939999999E8</v>
      </c>
      <c r="P23" s="47">
        <v>5500000.0</v>
      </c>
      <c r="Q23" s="48"/>
      <c r="R23" s="49">
        <v>9.106987218181817E7</v>
      </c>
      <c r="S23" s="50">
        <v>0.5</v>
      </c>
      <c r="T23" s="66">
        <f>E23</f>
        <v>0.0525</v>
      </c>
      <c r="U23" s="52">
        <f t="shared" si="1"/>
        <v>91069872.18</v>
      </c>
      <c r="V23" s="66">
        <f t="shared" si="2"/>
        <v>0</v>
      </c>
      <c r="W23" s="52">
        <f t="shared" si="9"/>
        <v>0</v>
      </c>
      <c r="X23" s="51">
        <f t="shared" si="3"/>
        <v>0</v>
      </c>
      <c r="Y23" s="52">
        <f t="shared" si="4"/>
        <v>0</v>
      </c>
      <c r="Z23" s="51">
        <f t="shared" si="5"/>
        <v>0</v>
      </c>
      <c r="AA23" s="52">
        <f t="shared" si="6"/>
        <v>0</v>
      </c>
      <c r="AB23" s="53">
        <f t="shared" si="7"/>
        <v>0</v>
      </c>
      <c r="AC23" s="52">
        <f t="shared" si="8"/>
        <v>0</v>
      </c>
      <c r="AD23" s="70"/>
      <c r="AE23" s="14"/>
      <c r="AF23" s="55"/>
      <c r="AG23" s="55"/>
    </row>
    <row r="24" ht="13.5" customHeight="1">
      <c r="A24" s="38">
        <v>20.0</v>
      </c>
      <c r="B24" s="56" t="s">
        <v>105</v>
      </c>
      <c r="C24" s="57" t="s">
        <v>60</v>
      </c>
      <c r="D24" s="58">
        <v>1.369324043E9</v>
      </c>
      <c r="E24" s="41">
        <v>0.0525</v>
      </c>
      <c r="F24" s="68" t="s">
        <v>83</v>
      </c>
      <c r="G24" s="43" t="s">
        <v>74</v>
      </c>
      <c r="H24" s="44" t="s">
        <v>100</v>
      </c>
      <c r="I24" s="59">
        <v>45915.0</v>
      </c>
      <c r="J24" s="60" t="s">
        <v>93</v>
      </c>
      <c r="K24" s="40" t="s">
        <v>94</v>
      </c>
      <c r="L24" s="40" t="s">
        <v>57</v>
      </c>
      <c r="M24" s="40" t="s">
        <v>101</v>
      </c>
      <c r="N24" s="40">
        <v>1.2522832470909089E8</v>
      </c>
      <c r="O24" s="40">
        <v>7.18895122575E7</v>
      </c>
      <c r="P24" s="47">
        <f t="shared" ref="P24:P27" si="12">3500000*1.1</f>
        <v>3850000</v>
      </c>
      <c r="Q24" s="48"/>
      <c r="R24" s="49">
        <v>6.1854102052272715E7</v>
      </c>
      <c r="S24" s="50">
        <v>0.5</v>
      </c>
      <c r="T24" s="66">
        <f t="shared" ref="T24:T27" si="13">5%*70%</f>
        <v>0.035</v>
      </c>
      <c r="U24" s="52">
        <f t="shared" si="1"/>
        <v>40069401.37</v>
      </c>
      <c r="V24" s="66">
        <f t="shared" si="2"/>
        <v>0.0175</v>
      </c>
      <c r="W24" s="52">
        <f t="shared" si="9"/>
        <v>21784700.68</v>
      </c>
      <c r="X24" s="51">
        <f t="shared" si="3"/>
        <v>0</v>
      </c>
      <c r="Y24" s="52">
        <f t="shared" si="4"/>
        <v>0</v>
      </c>
      <c r="Z24" s="51">
        <f t="shared" si="5"/>
        <v>0</v>
      </c>
      <c r="AA24" s="52">
        <f t="shared" si="6"/>
        <v>0</v>
      </c>
      <c r="AB24" s="53">
        <f t="shared" si="7"/>
        <v>0</v>
      </c>
      <c r="AC24" s="52">
        <f t="shared" si="8"/>
        <v>0</v>
      </c>
      <c r="AD24" s="70"/>
      <c r="AE24" s="14"/>
      <c r="AF24" s="55"/>
      <c r="AG24" s="55"/>
    </row>
    <row r="25" ht="13.5" customHeight="1">
      <c r="A25" s="38">
        <v>21.0</v>
      </c>
      <c r="B25" s="56" t="s">
        <v>106</v>
      </c>
      <c r="C25" s="57" t="s">
        <v>60</v>
      </c>
      <c r="D25" s="72">
        <v>2.062870774E9</v>
      </c>
      <c r="E25" s="41">
        <v>0.0525</v>
      </c>
      <c r="F25" s="68" t="s">
        <v>107</v>
      </c>
      <c r="G25" s="43" t="s">
        <v>74</v>
      </c>
      <c r="H25" s="44" t="s">
        <v>40</v>
      </c>
      <c r="I25" s="59">
        <v>45910.0</v>
      </c>
      <c r="J25" s="60" t="s">
        <v>93</v>
      </c>
      <c r="K25" s="40" t="s">
        <v>94</v>
      </c>
      <c r="L25" s="40" t="s">
        <v>57</v>
      </c>
      <c r="M25" s="40" t="s">
        <v>108</v>
      </c>
      <c r="N25" s="40">
        <v>4.054372323204545E8</v>
      </c>
      <c r="O25" s="40">
        <v>1.0830071563499999E8</v>
      </c>
      <c r="P25" s="47">
        <f t="shared" si="12"/>
        <v>3850000</v>
      </c>
      <c r="Q25" s="48"/>
      <c r="R25" s="49">
        <v>9.495519603181817E7</v>
      </c>
      <c r="S25" s="50">
        <v>0.55</v>
      </c>
      <c r="T25" s="66">
        <f t="shared" si="13"/>
        <v>0.035</v>
      </c>
      <c r="U25" s="52">
        <f t="shared" si="1"/>
        <v>62136797.35</v>
      </c>
      <c r="V25" s="66">
        <f t="shared" si="2"/>
        <v>0.0175</v>
      </c>
      <c r="W25" s="52">
        <f t="shared" si="9"/>
        <v>32818398.68</v>
      </c>
      <c r="X25" s="51">
        <f t="shared" si="3"/>
        <v>0</v>
      </c>
      <c r="Y25" s="52">
        <f t="shared" si="4"/>
        <v>0</v>
      </c>
      <c r="Z25" s="51">
        <f t="shared" si="5"/>
        <v>0</v>
      </c>
      <c r="AA25" s="52">
        <f t="shared" si="6"/>
        <v>0</v>
      </c>
      <c r="AB25" s="53">
        <f t="shared" si="7"/>
        <v>0</v>
      </c>
      <c r="AC25" s="52">
        <f t="shared" si="8"/>
        <v>0</v>
      </c>
      <c r="AD25" s="70"/>
      <c r="AE25" s="14"/>
      <c r="AF25" s="55"/>
      <c r="AG25" s="55"/>
    </row>
    <row r="26" ht="13.5" customHeight="1">
      <c r="A26" s="38">
        <v>22.0</v>
      </c>
      <c r="B26" s="56" t="s">
        <v>109</v>
      </c>
      <c r="C26" s="57" t="s">
        <v>60</v>
      </c>
      <c r="D26" s="72">
        <v>2.066843563E9</v>
      </c>
      <c r="E26" s="41">
        <v>0.0525</v>
      </c>
      <c r="F26" s="68" t="s">
        <v>107</v>
      </c>
      <c r="G26" s="43" t="s">
        <v>74</v>
      </c>
      <c r="H26" s="44" t="s">
        <v>40</v>
      </c>
      <c r="I26" s="59">
        <v>45910.0</v>
      </c>
      <c r="J26" s="60" t="s">
        <v>93</v>
      </c>
      <c r="K26" s="40" t="s">
        <v>94</v>
      </c>
      <c r="L26" s="40" t="s">
        <v>57</v>
      </c>
      <c r="M26" s="40" t="s">
        <v>108</v>
      </c>
      <c r="N26" s="40">
        <v>4.054372323204545E8</v>
      </c>
      <c r="O26" s="40">
        <v>1.0850928705749999E8</v>
      </c>
      <c r="P26" s="47">
        <f t="shared" si="12"/>
        <v>3850000</v>
      </c>
      <c r="Q26" s="48"/>
      <c r="R26" s="49">
        <v>9.514480641590907E7</v>
      </c>
      <c r="S26" s="50">
        <v>0.55</v>
      </c>
      <c r="T26" s="66">
        <f t="shared" si="13"/>
        <v>0.035</v>
      </c>
      <c r="U26" s="52">
        <f t="shared" si="1"/>
        <v>62263204.28</v>
      </c>
      <c r="V26" s="66">
        <f t="shared" si="2"/>
        <v>0.0175</v>
      </c>
      <c r="W26" s="52">
        <f t="shared" si="9"/>
        <v>32881602.14</v>
      </c>
      <c r="X26" s="51">
        <f t="shared" si="3"/>
        <v>0</v>
      </c>
      <c r="Y26" s="52">
        <f t="shared" si="4"/>
        <v>0</v>
      </c>
      <c r="Z26" s="51">
        <f t="shared" si="5"/>
        <v>0</v>
      </c>
      <c r="AA26" s="52">
        <f t="shared" si="6"/>
        <v>0</v>
      </c>
      <c r="AB26" s="53">
        <f t="shared" si="7"/>
        <v>0</v>
      </c>
      <c r="AC26" s="52">
        <f t="shared" si="8"/>
        <v>0</v>
      </c>
      <c r="AD26" s="70"/>
      <c r="AE26" s="14"/>
      <c r="AF26" s="55"/>
      <c r="AG26" s="55"/>
    </row>
    <row r="27" ht="13.5" customHeight="1">
      <c r="A27" s="38">
        <v>23.0</v>
      </c>
      <c r="B27" s="56" t="s">
        <v>110</v>
      </c>
      <c r="C27" s="57" t="s">
        <v>60</v>
      </c>
      <c r="D27" s="58">
        <v>2.104963164E9</v>
      </c>
      <c r="E27" s="41">
        <v>0.0525</v>
      </c>
      <c r="F27" s="68" t="s">
        <v>107</v>
      </c>
      <c r="G27" s="43" t="s">
        <v>74</v>
      </c>
      <c r="H27" s="44" t="s">
        <v>40</v>
      </c>
      <c r="I27" s="59">
        <v>45921.0</v>
      </c>
      <c r="J27" s="60" t="s">
        <v>93</v>
      </c>
      <c r="K27" s="40" t="s">
        <v>94</v>
      </c>
      <c r="L27" s="40" t="s">
        <v>57</v>
      </c>
      <c r="M27" s="40" t="s">
        <v>108</v>
      </c>
      <c r="N27" s="40">
        <v>4.054372323204545E8</v>
      </c>
      <c r="O27" s="40">
        <v>1.1051056611E8</v>
      </c>
      <c r="P27" s="47">
        <f t="shared" si="12"/>
        <v>3850000</v>
      </c>
      <c r="Q27" s="48"/>
      <c r="R27" s="49">
        <v>9.69641510090909E7</v>
      </c>
      <c r="S27" s="50">
        <v>0.55</v>
      </c>
      <c r="T27" s="66">
        <f t="shared" si="13"/>
        <v>0.035</v>
      </c>
      <c r="U27" s="52">
        <f t="shared" si="1"/>
        <v>63476100.67</v>
      </c>
      <c r="V27" s="66">
        <f t="shared" si="2"/>
        <v>0.0175</v>
      </c>
      <c r="W27" s="52">
        <f t="shared" si="9"/>
        <v>33488050.34</v>
      </c>
      <c r="X27" s="51">
        <f t="shared" si="3"/>
        <v>0</v>
      </c>
      <c r="Y27" s="52">
        <f t="shared" si="4"/>
        <v>0</v>
      </c>
      <c r="Z27" s="51">
        <f t="shared" si="5"/>
        <v>0</v>
      </c>
      <c r="AA27" s="52">
        <f t="shared" si="6"/>
        <v>0</v>
      </c>
      <c r="AB27" s="53">
        <f t="shared" si="7"/>
        <v>0</v>
      </c>
      <c r="AC27" s="52">
        <f t="shared" si="8"/>
        <v>0</v>
      </c>
      <c r="AD27" s="70"/>
      <c r="AE27" s="14"/>
      <c r="AF27" s="55"/>
      <c r="AG27" s="55"/>
    </row>
    <row r="28" ht="13.5" customHeight="1">
      <c r="A28" s="38">
        <v>24.0</v>
      </c>
      <c r="B28" s="56" t="s">
        <v>111</v>
      </c>
      <c r="C28" s="57" t="s">
        <v>112</v>
      </c>
      <c r="D28" s="58">
        <v>2.604207735E9</v>
      </c>
      <c r="E28" s="41">
        <v>0.05</v>
      </c>
      <c r="F28" s="68" t="s">
        <v>107</v>
      </c>
      <c r="G28" s="44" t="s">
        <v>39</v>
      </c>
      <c r="H28" s="44" t="s">
        <v>40</v>
      </c>
      <c r="I28" s="59">
        <v>45935.0</v>
      </c>
      <c r="J28" s="60" t="s">
        <v>113</v>
      </c>
      <c r="K28" s="40" t="s">
        <v>41</v>
      </c>
      <c r="L28" s="40" t="s">
        <v>57</v>
      </c>
      <c r="M28" s="40" t="s">
        <v>108</v>
      </c>
      <c r="N28" s="40">
        <v>4.054372323204545E8</v>
      </c>
      <c r="O28" s="40">
        <v>1.3021038675E8</v>
      </c>
      <c r="P28" s="47"/>
      <c r="Q28" s="48"/>
      <c r="R28" s="49">
        <v>1.1837307886363636E8</v>
      </c>
      <c r="S28" s="50">
        <v>0.55</v>
      </c>
      <c r="T28" s="66">
        <f>5%*35%</f>
        <v>0.0175</v>
      </c>
      <c r="U28" s="52">
        <f t="shared" si="1"/>
        <v>41430577.6</v>
      </c>
      <c r="V28" s="66">
        <f t="shared" si="2"/>
        <v>0.0325</v>
      </c>
      <c r="W28" s="52">
        <f t="shared" si="9"/>
        <v>76942501.26</v>
      </c>
      <c r="X28" s="51">
        <f t="shared" si="3"/>
        <v>0</v>
      </c>
      <c r="Y28" s="52">
        <f t="shared" si="4"/>
        <v>0</v>
      </c>
      <c r="Z28" s="51">
        <f t="shared" si="5"/>
        <v>0</v>
      </c>
      <c r="AA28" s="52">
        <f t="shared" si="6"/>
        <v>0</v>
      </c>
      <c r="AB28" s="53">
        <f t="shared" si="7"/>
        <v>0</v>
      </c>
      <c r="AC28" s="52">
        <f t="shared" si="8"/>
        <v>0</v>
      </c>
      <c r="AD28" s="70"/>
      <c r="AE28" s="14"/>
      <c r="AF28" s="55"/>
      <c r="AG28" s="55"/>
    </row>
    <row r="29" ht="13.5" customHeight="1">
      <c r="A29" s="38">
        <v>25.0</v>
      </c>
      <c r="B29" s="56" t="s">
        <v>114</v>
      </c>
      <c r="C29" s="57" t="s">
        <v>60</v>
      </c>
      <c r="D29" s="58">
        <v>2.183893328E9</v>
      </c>
      <c r="E29" s="41">
        <v>0.0525</v>
      </c>
      <c r="F29" s="68" t="s">
        <v>83</v>
      </c>
      <c r="G29" s="43" t="s">
        <v>74</v>
      </c>
      <c r="H29" s="44" t="s">
        <v>61</v>
      </c>
      <c r="I29" s="59">
        <v>45950.0</v>
      </c>
      <c r="J29" s="60" t="s">
        <v>113</v>
      </c>
      <c r="K29" s="40" t="s">
        <v>41</v>
      </c>
      <c r="L29" s="40" t="s">
        <v>57</v>
      </c>
      <c r="M29" s="40" t="s">
        <v>97</v>
      </c>
      <c r="N29" s="40">
        <v>1.871674865363636E8</v>
      </c>
      <c r="O29" s="40">
        <v>1.1465439972E8</v>
      </c>
      <c r="P29" s="47">
        <f t="shared" ref="P29:P32" si="14">3500000*1.1</f>
        <v>3850000</v>
      </c>
      <c r="Q29" s="47">
        <v>1.0E7</v>
      </c>
      <c r="R29" s="49">
        <v>9.073127247272727E7</v>
      </c>
      <c r="S29" s="50">
        <v>0.5</v>
      </c>
      <c r="T29" s="66">
        <f t="shared" ref="T29:T30" si="15">5%*70%</f>
        <v>0.035</v>
      </c>
      <c r="U29" s="52">
        <f t="shared" si="1"/>
        <v>55987514.98</v>
      </c>
      <c r="V29" s="66">
        <f t="shared" si="2"/>
        <v>0.0175</v>
      </c>
      <c r="W29" s="52">
        <f t="shared" si="9"/>
        <v>34743757.49</v>
      </c>
      <c r="X29" s="51">
        <f t="shared" si="3"/>
        <v>0</v>
      </c>
      <c r="Y29" s="52">
        <f t="shared" si="4"/>
        <v>0</v>
      </c>
      <c r="Z29" s="51">
        <f t="shared" si="5"/>
        <v>0</v>
      </c>
      <c r="AA29" s="52">
        <f t="shared" si="6"/>
        <v>0</v>
      </c>
      <c r="AB29" s="53">
        <f t="shared" si="7"/>
        <v>0</v>
      </c>
      <c r="AC29" s="52">
        <f t="shared" si="8"/>
        <v>0</v>
      </c>
      <c r="AD29" s="70"/>
      <c r="AE29" s="14"/>
      <c r="AF29" s="55"/>
      <c r="AG29" s="55"/>
    </row>
    <row r="30" ht="13.5" customHeight="1">
      <c r="A30" s="38">
        <v>26.0</v>
      </c>
      <c r="B30" s="56" t="s">
        <v>115</v>
      </c>
      <c r="C30" s="57" t="s">
        <v>60</v>
      </c>
      <c r="D30" s="58">
        <v>2.1970757E9</v>
      </c>
      <c r="E30" s="41">
        <v>0.05</v>
      </c>
      <c r="F30" s="68" t="s">
        <v>107</v>
      </c>
      <c r="G30" s="43" t="s">
        <v>74</v>
      </c>
      <c r="H30" s="44" t="s">
        <v>40</v>
      </c>
      <c r="I30" s="59">
        <v>45958.0</v>
      </c>
      <c r="J30" s="60" t="s">
        <v>116</v>
      </c>
      <c r="K30" s="40" t="s">
        <v>117</v>
      </c>
      <c r="L30" s="40" t="s">
        <v>57</v>
      </c>
      <c r="M30" s="40" t="s">
        <v>118</v>
      </c>
      <c r="N30" s="40">
        <v>5.792778658272727E8</v>
      </c>
      <c r="O30" s="40">
        <v>1.09853785E8</v>
      </c>
      <c r="P30" s="47">
        <f t="shared" si="14"/>
        <v>3850000</v>
      </c>
      <c r="Q30" s="48"/>
      <c r="R30" s="49">
        <v>9.636707727272727E7</v>
      </c>
      <c r="S30" s="50">
        <v>0.55</v>
      </c>
      <c r="T30" s="66">
        <f t="shared" si="15"/>
        <v>0.035</v>
      </c>
      <c r="U30" s="52">
        <f t="shared" si="1"/>
        <v>66406954.09</v>
      </c>
      <c r="V30" s="66">
        <f t="shared" si="2"/>
        <v>0.015</v>
      </c>
      <c r="W30" s="52">
        <f t="shared" si="9"/>
        <v>29960123.18</v>
      </c>
      <c r="X30" s="51">
        <f t="shared" si="3"/>
        <v>0</v>
      </c>
      <c r="Y30" s="52">
        <f t="shared" si="4"/>
        <v>0</v>
      </c>
      <c r="Z30" s="51">
        <f t="shared" si="5"/>
        <v>0</v>
      </c>
      <c r="AA30" s="52">
        <f t="shared" si="6"/>
        <v>0</v>
      </c>
      <c r="AB30" s="53">
        <f t="shared" si="7"/>
        <v>0</v>
      </c>
      <c r="AC30" s="52">
        <f t="shared" si="8"/>
        <v>0</v>
      </c>
      <c r="AD30" s="70"/>
      <c r="AE30" s="14"/>
      <c r="AF30" s="55"/>
      <c r="AG30" s="55"/>
    </row>
    <row r="31" ht="13.5" customHeight="1">
      <c r="A31" s="38">
        <v>27.0</v>
      </c>
      <c r="B31" s="56" t="s">
        <v>119</v>
      </c>
      <c r="C31" s="57" t="s">
        <v>60</v>
      </c>
      <c r="D31" s="58">
        <v>2.042538215E9</v>
      </c>
      <c r="E31" s="41">
        <v>0.0525</v>
      </c>
      <c r="F31" s="68" t="s">
        <v>83</v>
      </c>
      <c r="G31" s="43" t="s">
        <v>74</v>
      </c>
      <c r="H31" s="44" t="s">
        <v>61</v>
      </c>
      <c r="I31" s="59">
        <v>45962.0</v>
      </c>
      <c r="J31" s="60" t="s">
        <v>116</v>
      </c>
      <c r="K31" s="40" t="s">
        <v>117</v>
      </c>
      <c r="L31" s="40" t="s">
        <v>57</v>
      </c>
      <c r="M31" s="40" t="s">
        <v>120</v>
      </c>
      <c r="N31" s="40">
        <v>5.135833793022727E8</v>
      </c>
      <c r="O31" s="40">
        <v>1.072332562875E8</v>
      </c>
      <c r="P31" s="47">
        <f t="shared" si="14"/>
        <v>3850000</v>
      </c>
      <c r="Q31" s="47">
        <v>1.0E7</v>
      </c>
      <c r="R31" s="49">
        <v>8.39847784431818E7</v>
      </c>
      <c r="S31" s="50">
        <v>0.55</v>
      </c>
      <c r="T31" s="66">
        <f t="shared" ref="T31:T32" si="16">5%*80%</f>
        <v>0.04</v>
      </c>
      <c r="U31" s="52">
        <f t="shared" si="1"/>
        <v>60774116.91</v>
      </c>
      <c r="V31" s="66">
        <f t="shared" si="2"/>
        <v>0.0125</v>
      </c>
      <c r="W31" s="52">
        <f t="shared" si="9"/>
        <v>23210661.53</v>
      </c>
      <c r="X31" s="51">
        <f t="shared" si="3"/>
        <v>0</v>
      </c>
      <c r="Y31" s="52">
        <f t="shared" si="4"/>
        <v>0</v>
      </c>
      <c r="Z31" s="51">
        <f t="shared" si="5"/>
        <v>0</v>
      </c>
      <c r="AA31" s="52">
        <f t="shared" si="6"/>
        <v>0</v>
      </c>
      <c r="AB31" s="53">
        <f t="shared" si="7"/>
        <v>0</v>
      </c>
      <c r="AC31" s="52">
        <f t="shared" si="8"/>
        <v>0</v>
      </c>
      <c r="AD31" s="70"/>
      <c r="AE31" s="14"/>
      <c r="AF31" s="55"/>
      <c r="AG31" s="55"/>
    </row>
    <row r="32" ht="13.5" customHeight="1">
      <c r="A32" s="38">
        <v>28.0</v>
      </c>
      <c r="B32" s="56" t="s">
        <v>121</v>
      </c>
      <c r="C32" s="57" t="s">
        <v>60</v>
      </c>
      <c r="D32" s="58">
        <v>2.194025618E9</v>
      </c>
      <c r="E32" s="41">
        <v>0.0525</v>
      </c>
      <c r="F32" s="68" t="s">
        <v>83</v>
      </c>
      <c r="G32" s="43" t="s">
        <v>74</v>
      </c>
      <c r="H32" s="44" t="s">
        <v>61</v>
      </c>
      <c r="I32" s="59">
        <v>45967.0</v>
      </c>
      <c r="J32" s="60" t="s">
        <v>116</v>
      </c>
      <c r="K32" s="40" t="s">
        <v>117</v>
      </c>
      <c r="L32" s="40" t="s">
        <v>57</v>
      </c>
      <c r="M32" s="40" t="s">
        <v>120</v>
      </c>
      <c r="N32" s="40">
        <v>5.135833793022727E8</v>
      </c>
      <c r="O32" s="40">
        <v>1.15186344945E8</v>
      </c>
      <c r="P32" s="47">
        <f t="shared" si="14"/>
        <v>3850000</v>
      </c>
      <c r="Q32" s="48"/>
      <c r="R32" s="49">
        <v>1.0121485904090908E8</v>
      </c>
      <c r="S32" s="50">
        <v>0.55</v>
      </c>
      <c r="T32" s="66">
        <f t="shared" si="16"/>
        <v>0.04</v>
      </c>
      <c r="U32" s="52">
        <f t="shared" si="1"/>
        <v>76282749.75</v>
      </c>
      <c r="V32" s="66">
        <f t="shared" si="2"/>
        <v>0.0125</v>
      </c>
      <c r="W32" s="52">
        <f t="shared" si="9"/>
        <v>24932109.3</v>
      </c>
      <c r="X32" s="51">
        <f t="shared" si="3"/>
        <v>0</v>
      </c>
      <c r="Y32" s="52">
        <f t="shared" si="4"/>
        <v>0</v>
      </c>
      <c r="Z32" s="51">
        <f t="shared" si="5"/>
        <v>0</v>
      </c>
      <c r="AA32" s="52">
        <f t="shared" si="6"/>
        <v>0</v>
      </c>
      <c r="AB32" s="53">
        <f t="shared" si="7"/>
        <v>0</v>
      </c>
      <c r="AC32" s="52">
        <f t="shared" si="8"/>
        <v>0</v>
      </c>
      <c r="AD32" s="70"/>
      <c r="AE32" s="14"/>
      <c r="AF32" s="55"/>
      <c r="AG32" s="55"/>
    </row>
    <row r="33" ht="13.5" customHeight="1">
      <c r="A33" s="38">
        <v>29.0</v>
      </c>
      <c r="B33" s="56" t="s">
        <v>122</v>
      </c>
      <c r="C33" s="57" t="s">
        <v>32</v>
      </c>
      <c r="D33" s="58">
        <v>4.114431E9</v>
      </c>
      <c r="E33" s="41">
        <v>0.04</v>
      </c>
      <c r="F33" s="68" t="s">
        <v>83</v>
      </c>
      <c r="G33" s="73" t="s">
        <v>33</v>
      </c>
      <c r="H33" s="44" t="s">
        <v>34</v>
      </c>
      <c r="I33" s="59">
        <v>45962.0</v>
      </c>
      <c r="J33" s="60" t="s">
        <v>116</v>
      </c>
      <c r="K33" s="40" t="s">
        <v>117</v>
      </c>
      <c r="L33" s="40" t="s">
        <v>57</v>
      </c>
      <c r="M33" s="40" t="s">
        <v>123</v>
      </c>
      <c r="N33" s="40">
        <v>2.38603104E8</v>
      </c>
      <c r="O33" s="40">
        <v>1.6457724E8</v>
      </c>
      <c r="P33" s="47">
        <v>5500000.0</v>
      </c>
      <c r="Q33" s="48"/>
      <c r="R33" s="49">
        <v>1.4461567272727272E8</v>
      </c>
      <c r="S33" s="61">
        <v>0.55</v>
      </c>
      <c r="T33" s="66">
        <v>0.04</v>
      </c>
      <c r="U33" s="52">
        <f t="shared" si="1"/>
        <v>144615672.7</v>
      </c>
      <c r="V33" s="66">
        <f t="shared" si="2"/>
        <v>0</v>
      </c>
      <c r="W33" s="52">
        <f t="shared" si="9"/>
        <v>0</v>
      </c>
      <c r="X33" s="51">
        <f t="shared" si="3"/>
        <v>0</v>
      </c>
      <c r="Y33" s="52">
        <f t="shared" si="4"/>
        <v>0</v>
      </c>
      <c r="Z33" s="51">
        <f t="shared" si="5"/>
        <v>0</v>
      </c>
      <c r="AA33" s="52">
        <f t="shared" si="6"/>
        <v>0</v>
      </c>
      <c r="AB33" s="53">
        <f t="shared" si="7"/>
        <v>0</v>
      </c>
      <c r="AC33" s="52">
        <f t="shared" si="8"/>
        <v>0</v>
      </c>
      <c r="AD33" s="70"/>
      <c r="AE33" s="14"/>
      <c r="AF33" s="55"/>
      <c r="AG33" s="55"/>
    </row>
    <row r="34" ht="13.5" customHeight="1">
      <c r="A34" s="38">
        <v>30.0</v>
      </c>
      <c r="B34" s="56" t="s">
        <v>124</v>
      </c>
      <c r="C34" s="57" t="s">
        <v>125</v>
      </c>
      <c r="D34" s="58">
        <v>3.24947652E9</v>
      </c>
      <c r="E34" s="41">
        <v>0.05</v>
      </c>
      <c r="F34" s="68" t="s">
        <v>107</v>
      </c>
      <c r="G34" s="44" t="s">
        <v>126</v>
      </c>
      <c r="H34" s="44" t="s">
        <v>40</v>
      </c>
      <c r="I34" s="59">
        <v>45968.0</v>
      </c>
      <c r="J34" s="60" t="s">
        <v>116</v>
      </c>
      <c r="K34" s="40" t="s">
        <v>117</v>
      </c>
      <c r="L34" s="40" t="s">
        <v>57</v>
      </c>
      <c r="M34" s="40" t="s">
        <v>118</v>
      </c>
      <c r="N34" s="40">
        <v>5.792778658272727E8</v>
      </c>
      <c r="O34" s="40">
        <v>1.62473826E8</v>
      </c>
      <c r="P34" s="47">
        <v>0.0</v>
      </c>
      <c r="Q34" s="48"/>
      <c r="R34" s="49">
        <v>1.4770347818181816E8</v>
      </c>
      <c r="S34" s="61">
        <v>0.55</v>
      </c>
      <c r="T34" s="66">
        <f t="shared" ref="T34:T40" si="17">E34*70%</f>
        <v>0.035</v>
      </c>
      <c r="U34" s="52">
        <f t="shared" si="1"/>
        <v>103392434.7</v>
      </c>
      <c r="V34" s="66">
        <f t="shared" si="2"/>
        <v>0.015</v>
      </c>
      <c r="W34" s="52">
        <f t="shared" si="9"/>
        <v>44311043.45</v>
      </c>
      <c r="X34" s="51">
        <f t="shared" si="3"/>
        <v>0</v>
      </c>
      <c r="Y34" s="52">
        <f t="shared" si="4"/>
        <v>0</v>
      </c>
      <c r="Z34" s="51">
        <f t="shared" si="5"/>
        <v>0</v>
      </c>
      <c r="AA34" s="52">
        <f t="shared" si="6"/>
        <v>0</v>
      </c>
      <c r="AB34" s="53">
        <f t="shared" si="7"/>
        <v>0</v>
      </c>
      <c r="AC34" s="52">
        <f t="shared" si="8"/>
        <v>0</v>
      </c>
      <c r="AD34" s="70"/>
      <c r="AE34" s="14"/>
      <c r="AF34" s="55"/>
      <c r="AG34" s="55"/>
    </row>
    <row r="35" ht="13.5" customHeight="1">
      <c r="A35" s="38">
        <v>31.0</v>
      </c>
      <c r="B35" s="56" t="s">
        <v>127</v>
      </c>
      <c r="C35" s="57" t="s">
        <v>125</v>
      </c>
      <c r="D35" s="58">
        <v>2.705852393E9</v>
      </c>
      <c r="E35" s="41">
        <v>0.05</v>
      </c>
      <c r="F35" s="68" t="s">
        <v>107</v>
      </c>
      <c r="G35" s="44" t="s">
        <v>126</v>
      </c>
      <c r="H35" s="44" t="s">
        <v>40</v>
      </c>
      <c r="I35" s="59">
        <v>45968.0</v>
      </c>
      <c r="J35" s="60" t="s">
        <v>116</v>
      </c>
      <c r="K35" s="40" t="s">
        <v>117</v>
      </c>
      <c r="L35" s="40" t="s">
        <v>57</v>
      </c>
      <c r="M35" s="40" t="s">
        <v>118</v>
      </c>
      <c r="N35" s="40">
        <v>5.792778658272727E8</v>
      </c>
      <c r="O35" s="40">
        <v>1.3529261965E8</v>
      </c>
      <c r="P35" s="47">
        <v>0.0</v>
      </c>
      <c r="Q35" s="48"/>
      <c r="R35" s="49">
        <v>1.229932905909091E8</v>
      </c>
      <c r="S35" s="61">
        <v>0.55</v>
      </c>
      <c r="T35" s="66">
        <f t="shared" si="17"/>
        <v>0.035</v>
      </c>
      <c r="U35" s="52">
        <f t="shared" si="1"/>
        <v>86095303.41</v>
      </c>
      <c r="V35" s="66">
        <f t="shared" si="2"/>
        <v>0.015</v>
      </c>
      <c r="W35" s="52">
        <f t="shared" si="9"/>
        <v>36897987.18</v>
      </c>
      <c r="X35" s="51">
        <f t="shared" si="3"/>
        <v>0</v>
      </c>
      <c r="Y35" s="52">
        <f t="shared" si="4"/>
        <v>0</v>
      </c>
      <c r="Z35" s="51">
        <f t="shared" si="5"/>
        <v>0</v>
      </c>
      <c r="AA35" s="52">
        <f t="shared" si="6"/>
        <v>0</v>
      </c>
      <c r="AB35" s="53">
        <f t="shared" si="7"/>
        <v>0</v>
      </c>
      <c r="AC35" s="52">
        <f t="shared" si="8"/>
        <v>0</v>
      </c>
      <c r="AD35" s="70"/>
      <c r="AE35" s="14"/>
      <c r="AF35" s="55"/>
      <c r="AG35" s="55"/>
    </row>
    <row r="36" ht="13.5" customHeight="1">
      <c r="A36" s="38">
        <v>32.0</v>
      </c>
      <c r="B36" s="56" t="s">
        <v>128</v>
      </c>
      <c r="C36" s="57" t="s">
        <v>125</v>
      </c>
      <c r="D36" s="58">
        <v>3.558014106E9</v>
      </c>
      <c r="E36" s="41">
        <v>0.05</v>
      </c>
      <c r="F36" s="68" t="s">
        <v>83</v>
      </c>
      <c r="G36" s="44" t="s">
        <v>126</v>
      </c>
      <c r="H36" s="44" t="s">
        <v>90</v>
      </c>
      <c r="I36" s="59">
        <v>45968.0</v>
      </c>
      <c r="J36" s="60" t="s">
        <v>116</v>
      </c>
      <c r="K36" s="40" t="s">
        <v>117</v>
      </c>
      <c r="L36" s="40" t="s">
        <v>57</v>
      </c>
      <c r="M36" s="40" t="s">
        <v>129</v>
      </c>
      <c r="N36" s="40">
        <v>1.617279139090909E8</v>
      </c>
      <c r="O36" s="40">
        <v>1.779007053E8</v>
      </c>
      <c r="P36" s="47">
        <v>0.0</v>
      </c>
      <c r="Q36" s="48"/>
      <c r="R36" s="49">
        <v>1.617279139090909E8</v>
      </c>
      <c r="S36" s="61">
        <v>0.5</v>
      </c>
      <c r="T36" s="66">
        <f t="shared" si="17"/>
        <v>0.035</v>
      </c>
      <c r="U36" s="52">
        <f t="shared" si="1"/>
        <v>113209539.7</v>
      </c>
      <c r="V36" s="66">
        <f t="shared" si="2"/>
        <v>0.015</v>
      </c>
      <c r="W36" s="52">
        <f t="shared" si="9"/>
        <v>48518374.17</v>
      </c>
      <c r="X36" s="51">
        <f t="shared" si="3"/>
        <v>0</v>
      </c>
      <c r="Y36" s="52">
        <f t="shared" si="4"/>
        <v>0</v>
      </c>
      <c r="Z36" s="51">
        <f t="shared" si="5"/>
        <v>0</v>
      </c>
      <c r="AA36" s="52">
        <f t="shared" si="6"/>
        <v>0</v>
      </c>
      <c r="AB36" s="53">
        <f t="shared" si="7"/>
        <v>0</v>
      </c>
      <c r="AC36" s="52">
        <f t="shared" si="8"/>
        <v>0</v>
      </c>
      <c r="AD36" s="70"/>
      <c r="AE36" s="14"/>
      <c r="AF36" s="55"/>
      <c r="AG36" s="55"/>
    </row>
    <row r="37" ht="13.5" customHeight="1">
      <c r="A37" s="38">
        <v>33.0</v>
      </c>
      <c r="B37" s="56" t="s">
        <v>130</v>
      </c>
      <c r="C37" s="57" t="s">
        <v>125</v>
      </c>
      <c r="D37" s="58">
        <v>3.147455168E9</v>
      </c>
      <c r="E37" s="41">
        <v>0.05</v>
      </c>
      <c r="F37" s="68" t="s">
        <v>107</v>
      </c>
      <c r="G37" s="44" t="s">
        <v>126</v>
      </c>
      <c r="H37" s="44" t="s">
        <v>40</v>
      </c>
      <c r="I37" s="59">
        <v>45968.0</v>
      </c>
      <c r="J37" s="60" t="s">
        <v>116</v>
      </c>
      <c r="K37" s="40" t="s">
        <v>117</v>
      </c>
      <c r="L37" s="40" t="s">
        <v>57</v>
      </c>
      <c r="M37" s="40" t="s">
        <v>118</v>
      </c>
      <c r="N37" s="40">
        <v>5.792778658272727E8</v>
      </c>
      <c r="O37" s="40">
        <v>1.573727584E8</v>
      </c>
      <c r="P37" s="47">
        <v>0.0</v>
      </c>
      <c r="Q37" s="48"/>
      <c r="R37" s="49">
        <v>1.43066144E8</v>
      </c>
      <c r="S37" s="61">
        <v>0.55</v>
      </c>
      <c r="T37" s="66">
        <f t="shared" si="17"/>
        <v>0.035</v>
      </c>
      <c r="U37" s="52">
        <f t="shared" si="1"/>
        <v>100146300.8</v>
      </c>
      <c r="V37" s="66">
        <f t="shared" si="2"/>
        <v>0.015</v>
      </c>
      <c r="W37" s="52">
        <f t="shared" si="9"/>
        <v>42919843.2</v>
      </c>
      <c r="X37" s="51">
        <f t="shared" si="3"/>
        <v>0</v>
      </c>
      <c r="Y37" s="52">
        <f t="shared" si="4"/>
        <v>0</v>
      </c>
      <c r="Z37" s="51">
        <f t="shared" si="5"/>
        <v>0</v>
      </c>
      <c r="AA37" s="52">
        <f t="shared" si="6"/>
        <v>0</v>
      </c>
      <c r="AB37" s="53">
        <f t="shared" si="7"/>
        <v>0</v>
      </c>
      <c r="AC37" s="52">
        <f t="shared" si="8"/>
        <v>0</v>
      </c>
      <c r="AD37" s="70"/>
      <c r="AE37" s="14"/>
      <c r="AF37" s="55"/>
      <c r="AG37" s="55"/>
    </row>
    <row r="38" ht="13.5" customHeight="1">
      <c r="A38" s="38">
        <v>34.0</v>
      </c>
      <c r="B38" s="56" t="s">
        <v>131</v>
      </c>
      <c r="C38" s="57" t="s">
        <v>125</v>
      </c>
      <c r="D38" s="58">
        <v>1.901566584E9</v>
      </c>
      <c r="E38" s="41">
        <v>0.04</v>
      </c>
      <c r="F38" s="68" t="s">
        <v>107</v>
      </c>
      <c r="G38" s="44" t="s">
        <v>132</v>
      </c>
      <c r="H38" s="44" t="s">
        <v>40</v>
      </c>
      <c r="I38" s="59">
        <v>45968.0</v>
      </c>
      <c r="J38" s="60" t="s">
        <v>116</v>
      </c>
      <c r="K38" s="40" t="s">
        <v>117</v>
      </c>
      <c r="L38" s="40" t="s">
        <v>57</v>
      </c>
      <c r="M38" s="40" t="s">
        <v>118</v>
      </c>
      <c r="N38" s="40">
        <v>5.792778658272727E8</v>
      </c>
      <c r="O38" s="40">
        <v>7.606266336E7</v>
      </c>
      <c r="P38" s="47">
        <v>0.0</v>
      </c>
      <c r="Q38" s="48"/>
      <c r="R38" s="49">
        <v>6.914787578181818E7</v>
      </c>
      <c r="S38" s="61">
        <v>0.55</v>
      </c>
      <c r="T38" s="66">
        <f t="shared" si="17"/>
        <v>0.028</v>
      </c>
      <c r="U38" s="52">
        <f t="shared" si="1"/>
        <v>48403513.05</v>
      </c>
      <c r="V38" s="66">
        <f t="shared" si="2"/>
        <v>0.012</v>
      </c>
      <c r="W38" s="52">
        <f t="shared" si="9"/>
        <v>20744362.73</v>
      </c>
      <c r="X38" s="51">
        <f t="shared" si="3"/>
        <v>0</v>
      </c>
      <c r="Y38" s="52">
        <f t="shared" si="4"/>
        <v>0</v>
      </c>
      <c r="Z38" s="51">
        <f t="shared" si="5"/>
        <v>0</v>
      </c>
      <c r="AA38" s="52">
        <f t="shared" si="6"/>
        <v>0</v>
      </c>
      <c r="AB38" s="53">
        <f t="shared" si="7"/>
        <v>0</v>
      </c>
      <c r="AC38" s="52">
        <f t="shared" si="8"/>
        <v>0</v>
      </c>
      <c r="AD38" s="70"/>
      <c r="AE38" s="14"/>
      <c r="AF38" s="55"/>
      <c r="AG38" s="55"/>
    </row>
    <row r="39" ht="13.5" customHeight="1">
      <c r="A39" s="38">
        <v>35.0</v>
      </c>
      <c r="B39" s="56" t="s">
        <v>133</v>
      </c>
      <c r="C39" s="57" t="s">
        <v>125</v>
      </c>
      <c r="D39" s="58">
        <v>3.642028994E9</v>
      </c>
      <c r="E39" s="41">
        <v>0.05</v>
      </c>
      <c r="F39" s="68" t="s">
        <v>83</v>
      </c>
      <c r="G39" s="44" t="s">
        <v>126</v>
      </c>
      <c r="H39" s="44" t="s">
        <v>61</v>
      </c>
      <c r="I39" s="59">
        <v>45969.0</v>
      </c>
      <c r="J39" s="60" t="s">
        <v>116</v>
      </c>
      <c r="K39" s="40" t="s">
        <v>117</v>
      </c>
      <c r="L39" s="40" t="s">
        <v>57</v>
      </c>
      <c r="M39" s="40" t="s">
        <v>120</v>
      </c>
      <c r="N39" s="40">
        <v>5.135833793022727E8</v>
      </c>
      <c r="O39" s="40">
        <v>1.8210144970000002E8</v>
      </c>
      <c r="P39" s="47">
        <v>0.0</v>
      </c>
      <c r="Q39" s="48"/>
      <c r="R39" s="49">
        <v>1.6554677245454547E8</v>
      </c>
      <c r="S39" s="61">
        <v>0.55</v>
      </c>
      <c r="T39" s="66">
        <f t="shared" si="17"/>
        <v>0.035</v>
      </c>
      <c r="U39" s="52">
        <f t="shared" si="1"/>
        <v>115882740.7</v>
      </c>
      <c r="V39" s="66">
        <f t="shared" si="2"/>
        <v>0.015</v>
      </c>
      <c r="W39" s="52">
        <f t="shared" si="9"/>
        <v>49664031.74</v>
      </c>
      <c r="X39" s="51">
        <f t="shared" si="3"/>
        <v>0</v>
      </c>
      <c r="Y39" s="52">
        <f t="shared" si="4"/>
        <v>0</v>
      </c>
      <c r="Z39" s="51">
        <f t="shared" si="5"/>
        <v>0</v>
      </c>
      <c r="AA39" s="52">
        <f t="shared" si="6"/>
        <v>0</v>
      </c>
      <c r="AB39" s="53">
        <f t="shared" si="7"/>
        <v>0</v>
      </c>
      <c r="AC39" s="52">
        <f t="shared" si="8"/>
        <v>0</v>
      </c>
      <c r="AD39" s="70"/>
      <c r="AE39" s="14"/>
      <c r="AF39" s="55"/>
      <c r="AG39" s="55"/>
    </row>
    <row r="40" ht="13.5" customHeight="1">
      <c r="A40" s="38">
        <v>36.0</v>
      </c>
      <c r="B40" s="56" t="s">
        <v>134</v>
      </c>
      <c r="C40" s="57" t="s">
        <v>125</v>
      </c>
      <c r="D40" s="58">
        <v>3.582413326E9</v>
      </c>
      <c r="E40" s="41">
        <v>0.05</v>
      </c>
      <c r="F40" s="68" t="s">
        <v>83</v>
      </c>
      <c r="G40" s="44" t="s">
        <v>126</v>
      </c>
      <c r="H40" s="44" t="s">
        <v>61</v>
      </c>
      <c r="I40" s="59">
        <v>45970.0</v>
      </c>
      <c r="J40" s="60" t="s">
        <v>116</v>
      </c>
      <c r="K40" s="40" t="s">
        <v>117</v>
      </c>
      <c r="L40" s="40" t="s">
        <v>57</v>
      </c>
      <c r="M40" s="40" t="s">
        <v>120</v>
      </c>
      <c r="N40" s="40">
        <v>5.135833793022727E8</v>
      </c>
      <c r="O40" s="40">
        <v>1.791206663E8</v>
      </c>
      <c r="P40" s="47">
        <v>0.0</v>
      </c>
      <c r="Q40" s="48"/>
      <c r="R40" s="49">
        <v>1.6283696936363637E8</v>
      </c>
      <c r="S40" s="61">
        <v>0.55</v>
      </c>
      <c r="T40" s="66">
        <f t="shared" si="17"/>
        <v>0.035</v>
      </c>
      <c r="U40" s="52">
        <f t="shared" si="1"/>
        <v>113985878.6</v>
      </c>
      <c r="V40" s="66">
        <f t="shared" si="2"/>
        <v>0.015</v>
      </c>
      <c r="W40" s="52">
        <f t="shared" si="9"/>
        <v>48851090.81</v>
      </c>
      <c r="X40" s="51">
        <f t="shared" si="3"/>
        <v>0</v>
      </c>
      <c r="Y40" s="52">
        <f t="shared" si="4"/>
        <v>0</v>
      </c>
      <c r="Z40" s="51">
        <f t="shared" si="5"/>
        <v>0</v>
      </c>
      <c r="AA40" s="52">
        <f t="shared" si="6"/>
        <v>0</v>
      </c>
      <c r="AB40" s="53">
        <f t="shared" si="7"/>
        <v>0</v>
      </c>
      <c r="AC40" s="52">
        <f t="shared" si="8"/>
        <v>0</v>
      </c>
      <c r="AD40" s="70"/>
      <c r="AE40" s="14"/>
      <c r="AF40" s="55"/>
      <c r="AG40" s="55"/>
    </row>
    <row r="41" ht="13.5" customHeight="1">
      <c r="A41" s="38">
        <v>37.0</v>
      </c>
      <c r="B41" s="56" t="s">
        <v>135</v>
      </c>
      <c r="C41" s="57" t="s">
        <v>60</v>
      </c>
      <c r="D41" s="58">
        <v>2.144723488E9</v>
      </c>
      <c r="E41" s="41">
        <v>0.05</v>
      </c>
      <c r="F41" s="68" t="s">
        <v>83</v>
      </c>
      <c r="G41" s="44" t="s">
        <v>74</v>
      </c>
      <c r="H41" s="44" t="s">
        <v>34</v>
      </c>
      <c r="I41" s="74" t="s">
        <v>136</v>
      </c>
      <c r="J41" s="60" t="s">
        <v>137</v>
      </c>
      <c r="K41" s="40" t="s">
        <v>49</v>
      </c>
      <c r="L41" s="40" t="s">
        <v>57</v>
      </c>
      <c r="M41" s="40" t="s">
        <v>123</v>
      </c>
      <c r="N41" s="40">
        <v>2.38603104E8</v>
      </c>
      <c r="O41" s="40">
        <v>1.072361744E8</v>
      </c>
      <c r="P41" s="47">
        <v>3850000.0</v>
      </c>
      <c r="Q41" s="47"/>
      <c r="R41" s="49">
        <v>9.398743127272727E7</v>
      </c>
      <c r="S41" s="61">
        <v>0.55</v>
      </c>
      <c r="T41" s="51">
        <f>E41*80%</f>
        <v>0.04</v>
      </c>
      <c r="U41" s="52">
        <f t="shared" si="1"/>
        <v>74489945.02</v>
      </c>
      <c r="V41" s="66">
        <f t="shared" si="2"/>
        <v>0.01</v>
      </c>
      <c r="W41" s="52">
        <f t="shared" si="9"/>
        <v>19497486.25</v>
      </c>
      <c r="X41" s="51">
        <f t="shared" si="3"/>
        <v>0</v>
      </c>
      <c r="Y41" s="52">
        <f t="shared" si="4"/>
        <v>0</v>
      </c>
      <c r="Z41" s="51">
        <f t="shared" si="5"/>
        <v>0</v>
      </c>
      <c r="AA41" s="52">
        <f t="shared" si="6"/>
        <v>0</v>
      </c>
      <c r="AB41" s="53">
        <f t="shared" si="7"/>
        <v>0</v>
      </c>
      <c r="AC41" s="52">
        <f t="shared" si="8"/>
        <v>0</v>
      </c>
      <c r="AD41" s="70"/>
      <c r="AE41" s="14"/>
      <c r="AF41" s="55"/>
      <c r="AG41" s="55"/>
    </row>
    <row r="42">
      <c r="A42" s="38">
        <v>39.0</v>
      </c>
      <c r="B42" s="56" t="s">
        <v>138</v>
      </c>
      <c r="C42" s="57" t="s">
        <v>139</v>
      </c>
      <c r="D42" s="58">
        <v>2.1797013E9</v>
      </c>
      <c r="E42" s="41">
        <v>0.07</v>
      </c>
      <c r="F42" s="68" t="s">
        <v>107</v>
      </c>
      <c r="G42" s="44" t="s">
        <v>140</v>
      </c>
      <c r="H42" s="44" t="s">
        <v>40</v>
      </c>
      <c r="I42" s="59">
        <v>46032.0</v>
      </c>
      <c r="J42" s="60" t="str">
        <f t="array" ref="J42:J999">IF(I42:I999="","",TEXT(EDATE(I42:I999,IF(DAY(I42:I999)&gt;=26,1,0)),"yyyy")&amp;"-T"&amp;TEXT(EDATE(I42:I999,IF(DAY(I42:I999)&gt;=26,1,0)),"mm"))</f>
        <v>2026-T01</v>
      </c>
      <c r="K42" s="40" t="s">
        <v>56</v>
      </c>
      <c r="L42" s="40" t="s">
        <v>141</v>
      </c>
      <c r="M42" s="40" t="s">
        <v>142</v>
      </c>
      <c r="N42" s="40">
        <v>1.3520826454545453E8</v>
      </c>
      <c r="O42" s="40">
        <v>1.52579091E8</v>
      </c>
      <c r="P42" s="47">
        <v>3850000.0</v>
      </c>
      <c r="Q42" s="48"/>
      <c r="R42" s="49">
        <v>1.3520826454545453E8</v>
      </c>
      <c r="S42" s="61">
        <v>0.5</v>
      </c>
      <c r="T42" s="66">
        <f t="shared" ref="T42:T80" si="18">E42*70%</f>
        <v>0.049</v>
      </c>
      <c r="U42" s="52">
        <f t="shared" si="1"/>
        <v>93595785.18</v>
      </c>
      <c r="V42" s="66">
        <f t="shared" si="2"/>
        <v>0.021</v>
      </c>
      <c r="W42" s="52">
        <f t="shared" si="9"/>
        <v>41612479.36</v>
      </c>
      <c r="X42" s="51">
        <f t="shared" si="3"/>
        <v>0</v>
      </c>
      <c r="Y42" s="52">
        <f t="shared" si="4"/>
        <v>0</v>
      </c>
      <c r="Z42" s="51">
        <f t="shared" si="5"/>
        <v>0</v>
      </c>
      <c r="AA42" s="52">
        <f t="shared" si="6"/>
        <v>0</v>
      </c>
      <c r="AB42" s="53">
        <f t="shared" si="7"/>
        <v>0</v>
      </c>
      <c r="AC42" s="52">
        <f t="shared" si="8"/>
        <v>0</v>
      </c>
      <c r="AD42" s="69"/>
      <c r="AE42" s="75" t="s">
        <v>78</v>
      </c>
      <c r="AF42" s="55"/>
      <c r="AG42" s="55"/>
    </row>
    <row r="43">
      <c r="A43" s="38">
        <v>40.0</v>
      </c>
      <c r="B43" s="56" t="s">
        <v>143</v>
      </c>
      <c r="C43" s="57" t="s">
        <v>139</v>
      </c>
      <c r="D43" s="58">
        <v>1.797066031E9</v>
      </c>
      <c r="E43" s="41">
        <v>0.07</v>
      </c>
      <c r="F43" s="68" t="s">
        <v>83</v>
      </c>
      <c r="G43" s="44" t="s">
        <v>140</v>
      </c>
      <c r="H43" s="44" t="s">
        <v>61</v>
      </c>
      <c r="I43" s="59">
        <v>46032.0</v>
      </c>
      <c r="J43" s="60" t="s">
        <v>144</v>
      </c>
      <c r="K43" s="40" t="s">
        <v>56</v>
      </c>
      <c r="L43" s="40" t="s">
        <v>141</v>
      </c>
      <c r="M43" s="40" t="s">
        <v>145</v>
      </c>
      <c r="N43" s="40">
        <v>1.9706967076363638E8</v>
      </c>
      <c r="O43" s="40">
        <v>1.2579462217000002E8</v>
      </c>
      <c r="P43" s="47">
        <v>3850000.0</v>
      </c>
      <c r="Q43" s="48"/>
      <c r="R43" s="49">
        <v>1.1085874742727274E8</v>
      </c>
      <c r="S43" s="61">
        <v>0.5</v>
      </c>
      <c r="T43" s="66">
        <f t="shared" si="18"/>
        <v>0.049</v>
      </c>
      <c r="U43" s="52">
        <f t="shared" si="1"/>
        <v>76551123.2</v>
      </c>
      <c r="V43" s="66">
        <f t="shared" si="2"/>
        <v>0.021</v>
      </c>
      <c r="W43" s="52">
        <f t="shared" si="9"/>
        <v>34307624.23</v>
      </c>
      <c r="X43" s="51">
        <f t="shared" si="3"/>
        <v>0</v>
      </c>
      <c r="Y43" s="52">
        <f t="shared" si="4"/>
        <v>0</v>
      </c>
      <c r="Z43" s="51">
        <f t="shared" si="5"/>
        <v>0</v>
      </c>
      <c r="AA43" s="52">
        <f t="shared" si="6"/>
        <v>0</v>
      </c>
      <c r="AB43" s="53">
        <f t="shared" si="7"/>
        <v>0</v>
      </c>
      <c r="AC43" s="52">
        <f t="shared" si="8"/>
        <v>0</v>
      </c>
      <c r="AD43" s="69"/>
      <c r="AE43" s="75" t="s">
        <v>78</v>
      </c>
      <c r="AF43" s="55"/>
      <c r="AG43" s="55"/>
    </row>
    <row r="44">
      <c r="A44" s="38">
        <v>41.0</v>
      </c>
      <c r="B44" s="56" t="s">
        <v>146</v>
      </c>
      <c r="C44" s="57" t="s">
        <v>139</v>
      </c>
      <c r="D44" s="58">
        <v>1.409743081E9</v>
      </c>
      <c r="E44" s="41">
        <v>0.07</v>
      </c>
      <c r="F44" s="68" t="s">
        <v>83</v>
      </c>
      <c r="G44" s="44" t="s">
        <v>140</v>
      </c>
      <c r="H44" s="44" t="s">
        <v>61</v>
      </c>
      <c r="I44" s="59">
        <v>46032.0</v>
      </c>
      <c r="J44" s="60" t="s">
        <v>144</v>
      </c>
      <c r="K44" s="40" t="s">
        <v>56</v>
      </c>
      <c r="L44" s="40" t="s">
        <v>141</v>
      </c>
      <c r="M44" s="40" t="s">
        <v>145</v>
      </c>
      <c r="N44" s="40">
        <v>1.9706967076363638E8</v>
      </c>
      <c r="O44" s="40">
        <v>9.868201567000002E7</v>
      </c>
      <c r="P44" s="47">
        <v>3850000.0</v>
      </c>
      <c r="Q44" s="48"/>
      <c r="R44" s="49">
        <v>8.621092333636364E7</v>
      </c>
      <c r="S44" s="61">
        <v>0.5</v>
      </c>
      <c r="T44" s="66">
        <f t="shared" si="18"/>
        <v>0.049</v>
      </c>
      <c r="U44" s="52">
        <f t="shared" si="1"/>
        <v>59297646.34</v>
      </c>
      <c r="V44" s="66">
        <f t="shared" si="2"/>
        <v>0.021</v>
      </c>
      <c r="W44" s="52">
        <f t="shared" si="9"/>
        <v>26913277</v>
      </c>
      <c r="X44" s="51">
        <f t="shared" si="3"/>
        <v>0</v>
      </c>
      <c r="Y44" s="52">
        <f t="shared" si="4"/>
        <v>0</v>
      </c>
      <c r="Z44" s="51">
        <f t="shared" si="5"/>
        <v>0</v>
      </c>
      <c r="AA44" s="52">
        <f t="shared" si="6"/>
        <v>0</v>
      </c>
      <c r="AB44" s="53">
        <f t="shared" si="7"/>
        <v>0</v>
      </c>
      <c r="AC44" s="52">
        <f t="shared" si="8"/>
        <v>0</v>
      </c>
      <c r="AD44" s="69"/>
      <c r="AE44" s="75" t="s">
        <v>78</v>
      </c>
      <c r="AF44" s="55"/>
      <c r="AG44" s="55"/>
    </row>
    <row r="45">
      <c r="A45" s="38">
        <v>42.0</v>
      </c>
      <c r="B45" s="56" t="s">
        <v>147</v>
      </c>
      <c r="C45" s="57" t="s">
        <v>139</v>
      </c>
      <c r="D45" s="58">
        <v>1.834415215E9</v>
      </c>
      <c r="E45" s="41">
        <v>0.07</v>
      </c>
      <c r="F45" s="68" t="s">
        <v>83</v>
      </c>
      <c r="G45" s="44" t="s">
        <v>140</v>
      </c>
      <c r="H45" s="44" t="s">
        <v>67</v>
      </c>
      <c r="I45" s="59">
        <v>46032.0</v>
      </c>
      <c r="J45" s="60" t="s">
        <v>144</v>
      </c>
      <c r="K45" s="40" t="s">
        <v>56</v>
      </c>
      <c r="L45" s="40" t="s">
        <v>141</v>
      </c>
      <c r="M45" s="40" t="s">
        <v>148</v>
      </c>
      <c r="N45" s="40">
        <v>2.0651998014545456E8</v>
      </c>
      <c r="O45" s="40">
        <v>1.2840906505000001E8</v>
      </c>
      <c r="P45" s="47">
        <v>3850000.0</v>
      </c>
      <c r="Q45" s="47">
        <v>1.0E7</v>
      </c>
      <c r="R45" s="49">
        <v>1.0323551368181819E8</v>
      </c>
      <c r="S45" s="61">
        <v>0.55</v>
      </c>
      <c r="T45" s="66">
        <f t="shared" si="18"/>
        <v>0.049</v>
      </c>
      <c r="U45" s="52">
        <f t="shared" si="1"/>
        <v>68214859.58</v>
      </c>
      <c r="V45" s="66">
        <f t="shared" si="2"/>
        <v>0.021</v>
      </c>
      <c r="W45" s="52">
        <f t="shared" si="9"/>
        <v>35020654.1</v>
      </c>
      <c r="X45" s="51">
        <f t="shared" si="3"/>
        <v>0</v>
      </c>
      <c r="Y45" s="52">
        <f t="shared" si="4"/>
        <v>0</v>
      </c>
      <c r="Z45" s="51">
        <f t="shared" si="5"/>
        <v>0</v>
      </c>
      <c r="AA45" s="52">
        <f t="shared" si="6"/>
        <v>0</v>
      </c>
      <c r="AB45" s="53">
        <f t="shared" si="7"/>
        <v>0</v>
      </c>
      <c r="AC45" s="52">
        <f t="shared" si="8"/>
        <v>0</v>
      </c>
      <c r="AD45" s="69"/>
      <c r="AE45" s="75" t="s">
        <v>78</v>
      </c>
      <c r="AF45" s="55"/>
      <c r="AG45" s="55"/>
    </row>
    <row r="46">
      <c r="A46" s="38">
        <v>43.0</v>
      </c>
      <c r="B46" s="56" t="s">
        <v>149</v>
      </c>
      <c r="C46" s="57" t="s">
        <v>139</v>
      </c>
      <c r="D46" s="58">
        <v>1.835184473E9</v>
      </c>
      <c r="E46" s="41">
        <v>0.07</v>
      </c>
      <c r="F46" s="68" t="s">
        <v>83</v>
      </c>
      <c r="G46" s="44" t="s">
        <v>140</v>
      </c>
      <c r="H46" s="44" t="s">
        <v>67</v>
      </c>
      <c r="I46" s="59">
        <v>46032.0</v>
      </c>
      <c r="J46" s="60" t="s">
        <v>144</v>
      </c>
      <c r="K46" s="40" t="s">
        <v>56</v>
      </c>
      <c r="L46" s="40" t="s">
        <v>141</v>
      </c>
      <c r="M46" s="40" t="s">
        <v>148</v>
      </c>
      <c r="N46" s="40">
        <v>2.0651998014545456E8</v>
      </c>
      <c r="O46" s="40">
        <v>1.2846291311000001E8</v>
      </c>
      <c r="P46" s="47">
        <v>3850000.0</v>
      </c>
      <c r="Q46" s="47">
        <v>1.0E7</v>
      </c>
      <c r="R46" s="49">
        <v>1.0328446646363637E8</v>
      </c>
      <c r="S46" s="61">
        <v>0.55</v>
      </c>
      <c r="T46" s="66">
        <f t="shared" si="18"/>
        <v>0.049</v>
      </c>
      <c r="U46" s="52">
        <f t="shared" si="1"/>
        <v>68249126.52</v>
      </c>
      <c r="V46" s="66">
        <f t="shared" si="2"/>
        <v>0.021</v>
      </c>
      <c r="W46" s="52">
        <f t="shared" si="9"/>
        <v>35035339.94</v>
      </c>
      <c r="X46" s="51">
        <f t="shared" si="3"/>
        <v>0</v>
      </c>
      <c r="Y46" s="52">
        <f t="shared" si="4"/>
        <v>0</v>
      </c>
      <c r="Z46" s="51">
        <f t="shared" si="5"/>
        <v>0</v>
      </c>
      <c r="AA46" s="52">
        <f t="shared" si="6"/>
        <v>0</v>
      </c>
      <c r="AB46" s="53">
        <f t="shared" si="7"/>
        <v>0</v>
      </c>
      <c r="AC46" s="52">
        <f t="shared" si="8"/>
        <v>0</v>
      </c>
      <c r="AD46" s="69"/>
      <c r="AE46" s="75" t="s">
        <v>78</v>
      </c>
      <c r="AF46" s="55"/>
      <c r="AG46" s="55"/>
    </row>
    <row r="47">
      <c r="A47" s="38">
        <v>44.0</v>
      </c>
      <c r="B47" s="56" t="s">
        <v>150</v>
      </c>
      <c r="C47" s="57" t="s">
        <v>139</v>
      </c>
      <c r="D47" s="58">
        <v>2.295076357E9</v>
      </c>
      <c r="E47" s="41">
        <v>0.07</v>
      </c>
      <c r="F47" s="68" t="s">
        <v>83</v>
      </c>
      <c r="G47" s="44" t="s">
        <v>140</v>
      </c>
      <c r="H47" s="44" t="s">
        <v>90</v>
      </c>
      <c r="I47" s="59">
        <v>46032.0</v>
      </c>
      <c r="J47" s="60" t="s">
        <v>144</v>
      </c>
      <c r="K47" s="40" t="s">
        <v>56</v>
      </c>
      <c r="L47" s="40" t="s">
        <v>141</v>
      </c>
      <c r="M47" s="40" t="s">
        <v>151</v>
      </c>
      <c r="N47" s="40">
        <v>1.3255031362727273E8</v>
      </c>
      <c r="O47" s="40">
        <v>1.6065534499E8</v>
      </c>
      <c r="P47" s="47">
        <v>3850000.0</v>
      </c>
      <c r="Q47" s="47">
        <v>1.0E7</v>
      </c>
      <c r="R47" s="49">
        <v>1.3255031362727273E8</v>
      </c>
      <c r="S47" s="61">
        <v>0.5</v>
      </c>
      <c r="T47" s="66">
        <f t="shared" si="18"/>
        <v>0.049</v>
      </c>
      <c r="U47" s="52">
        <f t="shared" si="1"/>
        <v>88735219.54</v>
      </c>
      <c r="V47" s="66">
        <f t="shared" si="2"/>
        <v>0.021</v>
      </c>
      <c r="W47" s="52">
        <f t="shared" si="9"/>
        <v>43815094.09</v>
      </c>
      <c r="X47" s="51">
        <f t="shared" si="3"/>
        <v>0</v>
      </c>
      <c r="Y47" s="52">
        <f t="shared" si="4"/>
        <v>0</v>
      </c>
      <c r="Z47" s="51">
        <f t="shared" si="5"/>
        <v>0</v>
      </c>
      <c r="AA47" s="52">
        <f t="shared" si="6"/>
        <v>0</v>
      </c>
      <c r="AB47" s="53">
        <f t="shared" si="7"/>
        <v>0</v>
      </c>
      <c r="AC47" s="52">
        <f t="shared" si="8"/>
        <v>0</v>
      </c>
      <c r="AD47" s="69"/>
      <c r="AE47" s="75" t="s">
        <v>78</v>
      </c>
      <c r="AF47" s="55"/>
      <c r="AG47" s="55"/>
    </row>
    <row r="48">
      <c r="A48" s="38">
        <v>45.0</v>
      </c>
      <c r="B48" s="56" t="s">
        <v>152</v>
      </c>
      <c r="C48" s="57" t="s">
        <v>139</v>
      </c>
      <c r="D48" s="58">
        <v>1.947983815E9</v>
      </c>
      <c r="E48" s="41">
        <v>0.07</v>
      </c>
      <c r="F48" s="68" t="s">
        <v>83</v>
      </c>
      <c r="G48" s="44" t="s">
        <v>140</v>
      </c>
      <c r="H48" s="44" t="s">
        <v>34</v>
      </c>
      <c r="I48" s="59">
        <v>46032.0</v>
      </c>
      <c r="J48" s="60" t="s">
        <v>144</v>
      </c>
      <c r="K48" s="40" t="s">
        <v>56</v>
      </c>
      <c r="L48" s="40" t="s">
        <v>141</v>
      </c>
      <c r="M48" s="40" t="s">
        <v>153</v>
      </c>
      <c r="N48" s="40">
        <v>3.691912997727273E8</v>
      </c>
      <c r="O48" s="40">
        <v>1.3635886705E8</v>
      </c>
      <c r="P48" s="47">
        <v>3850000.0</v>
      </c>
      <c r="Q48" s="48"/>
      <c r="R48" s="49">
        <v>1.204626064090909E8</v>
      </c>
      <c r="S48" s="61">
        <v>0.55</v>
      </c>
      <c r="T48" s="66">
        <f t="shared" si="18"/>
        <v>0.049</v>
      </c>
      <c r="U48" s="52">
        <f t="shared" si="1"/>
        <v>83273824.49</v>
      </c>
      <c r="V48" s="66">
        <f t="shared" si="2"/>
        <v>0.021</v>
      </c>
      <c r="W48" s="52">
        <f t="shared" si="9"/>
        <v>37188781.92</v>
      </c>
      <c r="X48" s="51">
        <f t="shared" si="3"/>
        <v>0</v>
      </c>
      <c r="Y48" s="52">
        <f t="shared" si="4"/>
        <v>0</v>
      </c>
      <c r="Z48" s="51">
        <f t="shared" si="5"/>
        <v>0</v>
      </c>
      <c r="AA48" s="52">
        <f t="shared" si="6"/>
        <v>0</v>
      </c>
      <c r="AB48" s="53">
        <f t="shared" si="7"/>
        <v>0</v>
      </c>
      <c r="AC48" s="52">
        <f t="shared" si="8"/>
        <v>0</v>
      </c>
      <c r="AD48" s="69"/>
      <c r="AE48" s="75" t="s">
        <v>78</v>
      </c>
      <c r="AF48" s="55"/>
      <c r="AG48" s="55"/>
    </row>
    <row r="49">
      <c r="A49" s="38">
        <v>46.0</v>
      </c>
      <c r="B49" s="56" t="s">
        <v>154</v>
      </c>
      <c r="C49" s="57" t="s">
        <v>139</v>
      </c>
      <c r="D49" s="58">
        <v>2.182682763E9</v>
      </c>
      <c r="E49" s="41">
        <v>0.07</v>
      </c>
      <c r="F49" s="68" t="s">
        <v>83</v>
      </c>
      <c r="G49" s="44" t="s">
        <v>140</v>
      </c>
      <c r="H49" s="44" t="s">
        <v>34</v>
      </c>
      <c r="I49" s="59">
        <v>46032.0</v>
      </c>
      <c r="J49" s="60" t="s">
        <v>144</v>
      </c>
      <c r="K49" s="40" t="s">
        <v>56</v>
      </c>
      <c r="L49" s="40" t="s">
        <v>141</v>
      </c>
      <c r="M49" s="40" t="s">
        <v>153</v>
      </c>
      <c r="N49" s="40">
        <v>3.691912997727273E8</v>
      </c>
      <c r="O49" s="40">
        <v>1.5278779341000003E8</v>
      </c>
      <c r="P49" s="47">
        <v>3850000.0</v>
      </c>
      <c r="Q49" s="47">
        <v>1.0E7</v>
      </c>
      <c r="R49" s="49">
        <v>1.2539799400909093E8</v>
      </c>
      <c r="S49" s="61">
        <v>0.55</v>
      </c>
      <c r="T49" s="66">
        <f t="shared" si="18"/>
        <v>0.049</v>
      </c>
      <c r="U49" s="52">
        <f t="shared" si="1"/>
        <v>83728595.81</v>
      </c>
      <c r="V49" s="66">
        <f t="shared" si="2"/>
        <v>0.021</v>
      </c>
      <c r="W49" s="52">
        <f t="shared" si="9"/>
        <v>41669398.2</v>
      </c>
      <c r="X49" s="51">
        <f t="shared" si="3"/>
        <v>0</v>
      </c>
      <c r="Y49" s="52">
        <f t="shared" si="4"/>
        <v>0</v>
      </c>
      <c r="Z49" s="51">
        <f t="shared" si="5"/>
        <v>0</v>
      </c>
      <c r="AA49" s="52">
        <f t="shared" si="6"/>
        <v>0</v>
      </c>
      <c r="AB49" s="53">
        <f t="shared" si="7"/>
        <v>0</v>
      </c>
      <c r="AC49" s="52">
        <f t="shared" si="8"/>
        <v>0</v>
      </c>
      <c r="AD49" s="67" t="s">
        <v>155</v>
      </c>
      <c r="AE49" s="75" t="s">
        <v>78</v>
      </c>
      <c r="AF49" s="55"/>
      <c r="AG49" s="55"/>
    </row>
    <row r="50">
      <c r="A50" s="38">
        <v>47.0</v>
      </c>
      <c r="B50" s="56" t="s">
        <v>156</v>
      </c>
      <c r="C50" s="57" t="s">
        <v>139</v>
      </c>
      <c r="D50" s="58">
        <v>1.993053847E9</v>
      </c>
      <c r="E50" s="41">
        <v>0.07</v>
      </c>
      <c r="F50" s="68" t="s">
        <v>83</v>
      </c>
      <c r="G50" s="44" t="s">
        <v>140</v>
      </c>
      <c r="H50" s="44" t="s">
        <v>34</v>
      </c>
      <c r="I50" s="59">
        <v>46032.0</v>
      </c>
      <c r="J50" s="60" t="s">
        <v>144</v>
      </c>
      <c r="K50" s="40" t="s">
        <v>56</v>
      </c>
      <c r="L50" s="40" t="s">
        <v>141</v>
      </c>
      <c r="M50" s="40" t="s">
        <v>153</v>
      </c>
      <c r="N50" s="40">
        <v>3.691912997727273E8</v>
      </c>
      <c r="O50" s="40">
        <v>1.3951376929000002E8</v>
      </c>
      <c r="P50" s="47">
        <v>3850000.0</v>
      </c>
      <c r="Q50" s="48"/>
      <c r="R50" s="49">
        <v>1.2333069935454546E8</v>
      </c>
      <c r="S50" s="61">
        <v>0.55</v>
      </c>
      <c r="T50" s="66">
        <f t="shared" si="18"/>
        <v>0.049</v>
      </c>
      <c r="U50" s="52">
        <f t="shared" si="1"/>
        <v>85281489.55</v>
      </c>
      <c r="V50" s="66">
        <f t="shared" si="2"/>
        <v>0.021</v>
      </c>
      <c r="W50" s="52">
        <f t="shared" si="9"/>
        <v>38049209.81</v>
      </c>
      <c r="X50" s="51">
        <f t="shared" si="3"/>
        <v>0</v>
      </c>
      <c r="Y50" s="52">
        <f t="shared" si="4"/>
        <v>0</v>
      </c>
      <c r="Z50" s="51">
        <f t="shared" si="5"/>
        <v>0</v>
      </c>
      <c r="AA50" s="52">
        <f t="shared" si="6"/>
        <v>0</v>
      </c>
      <c r="AB50" s="53">
        <f t="shared" si="7"/>
        <v>0</v>
      </c>
      <c r="AC50" s="52">
        <f t="shared" si="8"/>
        <v>0</v>
      </c>
      <c r="AD50" s="69"/>
      <c r="AE50" s="75" t="s">
        <v>78</v>
      </c>
      <c r="AF50" s="55"/>
      <c r="AG50" s="55"/>
    </row>
    <row r="51">
      <c r="A51" s="38">
        <v>48.0</v>
      </c>
      <c r="B51" s="56" t="s">
        <v>157</v>
      </c>
      <c r="C51" s="57" t="s">
        <v>139</v>
      </c>
      <c r="D51" s="58">
        <v>2.421466416E9</v>
      </c>
      <c r="E51" s="41">
        <v>0.07</v>
      </c>
      <c r="F51" s="68" t="s">
        <v>83</v>
      </c>
      <c r="G51" s="44" t="s">
        <v>140</v>
      </c>
      <c r="H51" s="44" t="s">
        <v>100</v>
      </c>
      <c r="I51" s="59">
        <v>46032.0</v>
      </c>
      <c r="J51" s="60" t="s">
        <v>144</v>
      </c>
      <c r="K51" s="40" t="s">
        <v>56</v>
      </c>
      <c r="L51" s="40" t="s">
        <v>141</v>
      </c>
      <c r="M51" s="40" t="s">
        <v>158</v>
      </c>
      <c r="N51" s="40">
        <v>5.1013370886727273E8</v>
      </c>
      <c r="O51" s="40">
        <v>1.6950264912E8</v>
      </c>
      <c r="P51" s="47">
        <v>3850000.0</v>
      </c>
      <c r="Q51" s="47">
        <f t="shared" ref="Q51:Q54" si="19">D51*1.5%</f>
        <v>36321996.24</v>
      </c>
      <c r="R51" s="49">
        <v>1.1427132114181817E8</v>
      </c>
      <c r="S51" s="61">
        <v>0.55</v>
      </c>
      <c r="T51" s="66">
        <f t="shared" si="18"/>
        <v>0.049</v>
      </c>
      <c r="U51" s="52">
        <f t="shared" si="1"/>
        <v>68043325.93</v>
      </c>
      <c r="V51" s="66">
        <f t="shared" si="2"/>
        <v>0.021</v>
      </c>
      <c r="W51" s="52">
        <f t="shared" si="9"/>
        <v>46227995.21</v>
      </c>
      <c r="X51" s="51">
        <f t="shared" si="3"/>
        <v>0</v>
      </c>
      <c r="Y51" s="52">
        <f t="shared" si="4"/>
        <v>0</v>
      </c>
      <c r="Z51" s="51">
        <f t="shared" si="5"/>
        <v>0</v>
      </c>
      <c r="AA51" s="52">
        <f t="shared" si="6"/>
        <v>0</v>
      </c>
      <c r="AB51" s="53">
        <f t="shared" si="7"/>
        <v>0</v>
      </c>
      <c r="AC51" s="52">
        <f t="shared" si="8"/>
        <v>0</v>
      </c>
      <c r="AD51" s="67" t="s">
        <v>159</v>
      </c>
      <c r="AE51" s="75" t="s">
        <v>78</v>
      </c>
      <c r="AF51" s="55"/>
      <c r="AG51" s="55"/>
    </row>
    <row r="52">
      <c r="A52" s="38">
        <v>49.0</v>
      </c>
      <c r="B52" s="56" t="s">
        <v>160</v>
      </c>
      <c r="C52" s="57" t="s">
        <v>139</v>
      </c>
      <c r="D52" s="58">
        <v>2.220372381E9</v>
      </c>
      <c r="E52" s="41">
        <v>0.07</v>
      </c>
      <c r="F52" s="68" t="s">
        <v>83</v>
      </c>
      <c r="G52" s="44" t="s">
        <v>140</v>
      </c>
      <c r="H52" s="44" t="s">
        <v>100</v>
      </c>
      <c r="I52" s="59">
        <v>46032.0</v>
      </c>
      <c r="J52" s="60" t="s">
        <v>144</v>
      </c>
      <c r="K52" s="40" t="s">
        <v>56</v>
      </c>
      <c r="L52" s="40" t="s">
        <v>141</v>
      </c>
      <c r="M52" s="40" t="s">
        <v>158</v>
      </c>
      <c r="N52" s="40">
        <v>5.1013370886727273E8</v>
      </c>
      <c r="O52" s="40">
        <v>1.5542606667000002E8</v>
      </c>
      <c r="P52" s="47">
        <v>3850000.0</v>
      </c>
      <c r="Q52" s="47">
        <f t="shared" si="19"/>
        <v>33305585.72</v>
      </c>
      <c r="R52" s="49">
        <v>1.0449083853045455E8</v>
      </c>
      <c r="S52" s="61">
        <v>0.55</v>
      </c>
      <c r="T52" s="66">
        <f t="shared" si="18"/>
        <v>0.049</v>
      </c>
      <c r="U52" s="52">
        <f t="shared" si="1"/>
        <v>62101911.26</v>
      </c>
      <c r="V52" s="66">
        <f t="shared" si="2"/>
        <v>0.021</v>
      </c>
      <c r="W52" s="52">
        <f t="shared" si="9"/>
        <v>42388927.27</v>
      </c>
      <c r="X52" s="51">
        <f t="shared" si="3"/>
        <v>0</v>
      </c>
      <c r="Y52" s="52">
        <f t="shared" si="4"/>
        <v>0</v>
      </c>
      <c r="Z52" s="51">
        <f t="shared" si="5"/>
        <v>0</v>
      </c>
      <c r="AA52" s="52">
        <f t="shared" si="6"/>
        <v>0</v>
      </c>
      <c r="AB52" s="53">
        <f t="shared" si="7"/>
        <v>0</v>
      </c>
      <c r="AC52" s="52">
        <f t="shared" si="8"/>
        <v>0</v>
      </c>
      <c r="AD52" s="67" t="s">
        <v>159</v>
      </c>
      <c r="AE52" s="75" t="s">
        <v>78</v>
      </c>
      <c r="AF52" s="55"/>
      <c r="AG52" s="55"/>
    </row>
    <row r="53">
      <c r="A53" s="38">
        <v>50.0</v>
      </c>
      <c r="B53" s="56" t="s">
        <v>161</v>
      </c>
      <c r="C53" s="57" t="s">
        <v>139</v>
      </c>
      <c r="D53" s="58">
        <v>1.87645598E9</v>
      </c>
      <c r="E53" s="41">
        <v>0.07</v>
      </c>
      <c r="F53" s="68" t="s">
        <v>83</v>
      </c>
      <c r="G53" s="44" t="s">
        <v>140</v>
      </c>
      <c r="H53" s="44" t="s">
        <v>100</v>
      </c>
      <c r="I53" s="59">
        <v>46032.0</v>
      </c>
      <c r="J53" s="60" t="s">
        <v>144</v>
      </c>
      <c r="K53" s="40" t="s">
        <v>56</v>
      </c>
      <c r="L53" s="40" t="s">
        <v>141</v>
      </c>
      <c r="M53" s="40" t="s">
        <v>158</v>
      </c>
      <c r="N53" s="40">
        <v>5.1013370886727273E8</v>
      </c>
      <c r="O53" s="40">
        <v>1.3135191860000001E8</v>
      </c>
      <c r="P53" s="47">
        <v>3850000.0</v>
      </c>
      <c r="Q53" s="47">
        <f t="shared" si="19"/>
        <v>28146839.7</v>
      </c>
      <c r="R53" s="49">
        <v>8.776399539090909E7</v>
      </c>
      <c r="S53" s="61">
        <v>0.55</v>
      </c>
      <c r="T53" s="66">
        <f t="shared" si="18"/>
        <v>0.049</v>
      </c>
      <c r="U53" s="52">
        <f t="shared" si="1"/>
        <v>51940744.86</v>
      </c>
      <c r="V53" s="66">
        <f t="shared" si="2"/>
        <v>0.021</v>
      </c>
      <c r="W53" s="52">
        <f t="shared" si="9"/>
        <v>35823250.53</v>
      </c>
      <c r="X53" s="51">
        <f t="shared" si="3"/>
        <v>0</v>
      </c>
      <c r="Y53" s="52">
        <f t="shared" si="4"/>
        <v>0</v>
      </c>
      <c r="Z53" s="51">
        <f t="shared" si="5"/>
        <v>0</v>
      </c>
      <c r="AA53" s="52">
        <f t="shared" si="6"/>
        <v>0</v>
      </c>
      <c r="AB53" s="53">
        <f t="shared" si="7"/>
        <v>0</v>
      </c>
      <c r="AC53" s="52">
        <f t="shared" si="8"/>
        <v>0</v>
      </c>
      <c r="AD53" s="67" t="s">
        <v>159</v>
      </c>
      <c r="AE53" s="75" t="s">
        <v>78</v>
      </c>
      <c r="AF53" s="55"/>
      <c r="AG53" s="55"/>
    </row>
    <row r="54">
      <c r="A54" s="38">
        <v>51.0</v>
      </c>
      <c r="B54" s="56" t="s">
        <v>162</v>
      </c>
      <c r="C54" s="57" t="s">
        <v>139</v>
      </c>
      <c r="D54" s="58">
        <v>2.494278487E9</v>
      </c>
      <c r="E54" s="41">
        <v>0.07</v>
      </c>
      <c r="F54" s="68" t="s">
        <v>83</v>
      </c>
      <c r="G54" s="44" t="s">
        <v>140</v>
      </c>
      <c r="H54" s="44" t="s">
        <v>100</v>
      </c>
      <c r="I54" s="59">
        <v>46032.0</v>
      </c>
      <c r="J54" s="60" t="s">
        <v>144</v>
      </c>
      <c r="K54" s="40" t="s">
        <v>56</v>
      </c>
      <c r="L54" s="40" t="s">
        <v>141</v>
      </c>
      <c r="M54" s="40" t="s">
        <v>158</v>
      </c>
      <c r="N54" s="40">
        <v>5.1013370886727273E8</v>
      </c>
      <c r="O54" s="40">
        <v>1.7459949409E8</v>
      </c>
      <c r="P54" s="47">
        <v>3850000.0</v>
      </c>
      <c r="Q54" s="47">
        <f t="shared" si="19"/>
        <v>37414177.31</v>
      </c>
      <c r="R54" s="49">
        <v>1.178126355040909E8</v>
      </c>
      <c r="S54" s="61">
        <v>0.55</v>
      </c>
      <c r="T54" s="66">
        <f t="shared" si="18"/>
        <v>0.049</v>
      </c>
      <c r="U54" s="52">
        <f t="shared" si="1"/>
        <v>70194591.66</v>
      </c>
      <c r="V54" s="66">
        <f t="shared" si="2"/>
        <v>0.021</v>
      </c>
      <c r="W54" s="52">
        <f t="shared" si="9"/>
        <v>47618043.84</v>
      </c>
      <c r="X54" s="51">
        <f t="shared" si="3"/>
        <v>0</v>
      </c>
      <c r="Y54" s="52">
        <f t="shared" si="4"/>
        <v>0</v>
      </c>
      <c r="Z54" s="51">
        <f t="shared" si="5"/>
        <v>0</v>
      </c>
      <c r="AA54" s="52">
        <f t="shared" si="6"/>
        <v>0</v>
      </c>
      <c r="AB54" s="53">
        <f t="shared" si="7"/>
        <v>0</v>
      </c>
      <c r="AC54" s="52">
        <f t="shared" si="8"/>
        <v>0</v>
      </c>
      <c r="AD54" s="67" t="s">
        <v>159</v>
      </c>
      <c r="AE54" s="75" t="s">
        <v>78</v>
      </c>
      <c r="AF54" s="55"/>
      <c r="AG54" s="55"/>
    </row>
    <row r="55">
      <c r="A55" s="38">
        <v>52.0</v>
      </c>
      <c r="B55" s="56" t="s">
        <v>163</v>
      </c>
      <c r="C55" s="57" t="s">
        <v>139</v>
      </c>
      <c r="D55" s="58">
        <v>1.403205859E9</v>
      </c>
      <c r="E55" s="41">
        <v>0.07</v>
      </c>
      <c r="F55" s="68" t="s">
        <v>83</v>
      </c>
      <c r="G55" s="44" t="s">
        <v>140</v>
      </c>
      <c r="H55" s="44" t="s">
        <v>100</v>
      </c>
      <c r="I55" s="59">
        <v>46032.0</v>
      </c>
      <c r="J55" s="60" t="s">
        <v>144</v>
      </c>
      <c r="K55" s="40" t="s">
        <v>56</v>
      </c>
      <c r="L55" s="40" t="s">
        <v>141</v>
      </c>
      <c r="M55" s="40" t="s">
        <v>158</v>
      </c>
      <c r="N55" s="40">
        <v>5.1013370886727273E8</v>
      </c>
      <c r="O55" s="40">
        <v>9.822441013000001E7</v>
      </c>
      <c r="P55" s="47">
        <v>3850000.0</v>
      </c>
      <c r="Q55" s="48"/>
      <c r="R55" s="49">
        <v>8.57949183E7</v>
      </c>
      <c r="S55" s="61">
        <v>0.55</v>
      </c>
      <c r="T55" s="66">
        <f t="shared" si="18"/>
        <v>0.049</v>
      </c>
      <c r="U55" s="52">
        <f t="shared" si="1"/>
        <v>59006442.81</v>
      </c>
      <c r="V55" s="66">
        <f t="shared" si="2"/>
        <v>0.021</v>
      </c>
      <c r="W55" s="52">
        <f t="shared" si="9"/>
        <v>26788475.49</v>
      </c>
      <c r="X55" s="51">
        <f t="shared" si="3"/>
        <v>0</v>
      </c>
      <c r="Y55" s="52">
        <f t="shared" si="4"/>
        <v>0</v>
      </c>
      <c r="Z55" s="51">
        <f t="shared" si="5"/>
        <v>0</v>
      </c>
      <c r="AA55" s="52">
        <f t="shared" si="6"/>
        <v>0</v>
      </c>
      <c r="AB55" s="53">
        <f t="shared" si="7"/>
        <v>0</v>
      </c>
      <c r="AC55" s="52">
        <f t="shared" si="8"/>
        <v>0</v>
      </c>
      <c r="AD55" s="69"/>
      <c r="AE55" s="75" t="s">
        <v>78</v>
      </c>
      <c r="AF55" s="55"/>
      <c r="AG55" s="55"/>
    </row>
    <row r="56" ht="13.5" customHeight="1">
      <c r="A56" s="38">
        <v>53.0</v>
      </c>
      <c r="B56" s="56" t="s">
        <v>164</v>
      </c>
      <c r="C56" s="57" t="s">
        <v>139</v>
      </c>
      <c r="D56" s="58">
        <v>2.217228079E9</v>
      </c>
      <c r="E56" s="41">
        <v>0.06</v>
      </c>
      <c r="F56" s="68" t="s">
        <v>107</v>
      </c>
      <c r="G56" s="44" t="s">
        <v>140</v>
      </c>
      <c r="H56" s="44" t="s">
        <v>40</v>
      </c>
      <c r="I56" s="59">
        <v>46089.0</v>
      </c>
      <c r="J56" s="60" t="s">
        <v>165</v>
      </c>
      <c r="K56" s="40" t="s">
        <v>166</v>
      </c>
      <c r="L56" s="40" t="s">
        <v>141</v>
      </c>
      <c r="M56" s="40" t="s">
        <v>167</v>
      </c>
      <c r="N56" s="40">
        <v>6.178013171727273E8</v>
      </c>
      <c r="O56" s="40">
        <v>1.3303368474E8</v>
      </c>
      <c r="P56" s="47">
        <v>3850000.0</v>
      </c>
      <c r="Q56" s="47">
        <v>1.0E7</v>
      </c>
      <c r="R56" s="49">
        <v>1.0743971339999999E8</v>
      </c>
      <c r="S56" s="61">
        <v>0.55</v>
      </c>
      <c r="T56" s="66">
        <f t="shared" si="18"/>
        <v>0.042</v>
      </c>
      <c r="U56" s="52">
        <f t="shared" si="1"/>
        <v>71157799.38</v>
      </c>
      <c r="V56" s="66">
        <f t="shared" si="2"/>
        <v>0.018</v>
      </c>
      <c r="W56" s="52">
        <f t="shared" si="9"/>
        <v>36281914.02</v>
      </c>
      <c r="X56" s="51">
        <f t="shared" si="3"/>
        <v>0</v>
      </c>
      <c r="Y56" s="52">
        <f t="shared" si="4"/>
        <v>0</v>
      </c>
      <c r="Z56" s="51">
        <f t="shared" si="5"/>
        <v>0</v>
      </c>
      <c r="AA56" s="52">
        <f t="shared" si="6"/>
        <v>0</v>
      </c>
      <c r="AB56" s="53">
        <f t="shared" si="7"/>
        <v>0</v>
      </c>
      <c r="AC56" s="52">
        <f t="shared" si="8"/>
        <v>0</v>
      </c>
      <c r="AD56" s="76"/>
      <c r="AE56" s="77"/>
      <c r="AF56" s="55"/>
      <c r="AG56" s="55"/>
    </row>
    <row r="57" ht="13.5" customHeight="1">
      <c r="A57" s="38">
        <v>54.0</v>
      </c>
      <c r="B57" s="78" t="s">
        <v>168</v>
      </c>
      <c r="C57" s="57" t="s">
        <v>139</v>
      </c>
      <c r="D57" s="58">
        <v>2.299083663E9</v>
      </c>
      <c r="E57" s="41">
        <v>0.07</v>
      </c>
      <c r="F57" s="68" t="s">
        <v>169</v>
      </c>
      <c r="G57" s="44" t="s">
        <v>140</v>
      </c>
      <c r="H57" s="44" t="s">
        <v>170</v>
      </c>
      <c r="I57" s="79">
        <v>46128.0</v>
      </c>
      <c r="J57" s="60" t="s">
        <v>171</v>
      </c>
      <c r="K57" s="40" t="s">
        <v>63</v>
      </c>
      <c r="L57" s="40" t="s">
        <v>141</v>
      </c>
      <c r="M57" s="40" t="s">
        <v>172</v>
      </c>
      <c r="N57" s="40">
        <v>4.219009592136364E8</v>
      </c>
      <c r="O57" s="40">
        <v>1.6093585641000003E8</v>
      </c>
      <c r="P57" s="47">
        <v>3850000.0</v>
      </c>
      <c r="Q57" s="48"/>
      <c r="R57" s="49">
        <v>1.4280532400909093E8</v>
      </c>
      <c r="S57" s="61">
        <v>0.55</v>
      </c>
      <c r="T57" s="66">
        <f t="shared" si="18"/>
        <v>0.049</v>
      </c>
      <c r="U57" s="52">
        <f t="shared" si="1"/>
        <v>98913726.81</v>
      </c>
      <c r="V57" s="66">
        <f t="shared" si="2"/>
        <v>0.021</v>
      </c>
      <c r="W57" s="52">
        <f t="shared" si="9"/>
        <v>43891597.2</v>
      </c>
      <c r="X57" s="51">
        <f t="shared" si="3"/>
        <v>0</v>
      </c>
      <c r="Y57" s="52">
        <f t="shared" si="4"/>
        <v>0</v>
      </c>
      <c r="Z57" s="51">
        <f t="shared" si="5"/>
        <v>0</v>
      </c>
      <c r="AA57" s="52">
        <f t="shared" si="6"/>
        <v>0</v>
      </c>
      <c r="AB57" s="53">
        <f t="shared" si="7"/>
        <v>0</v>
      </c>
      <c r="AC57" s="52">
        <f t="shared" si="8"/>
        <v>0</v>
      </c>
      <c r="AD57" s="69"/>
      <c r="AE57" s="77"/>
      <c r="AF57" s="55"/>
      <c r="AG57" s="55"/>
    </row>
    <row r="58" ht="13.5" customHeight="1">
      <c r="A58" s="38">
        <v>55.0</v>
      </c>
      <c r="B58" s="78" t="s">
        <v>173</v>
      </c>
      <c r="C58" s="57" t="s">
        <v>139</v>
      </c>
      <c r="D58" s="58">
        <v>2.291171882E9</v>
      </c>
      <c r="E58" s="41">
        <v>0.07</v>
      </c>
      <c r="F58" s="68" t="s">
        <v>169</v>
      </c>
      <c r="G58" s="44" t="s">
        <v>140</v>
      </c>
      <c r="H58" s="44" t="s">
        <v>100</v>
      </c>
      <c r="I58" s="79">
        <v>46128.0</v>
      </c>
      <c r="J58" s="60" t="s">
        <v>171</v>
      </c>
      <c r="K58" s="40" t="s">
        <v>63</v>
      </c>
      <c r="L58" s="40" t="s">
        <v>141</v>
      </c>
      <c r="M58" s="40" t="s">
        <v>174</v>
      </c>
      <c r="N58" s="40">
        <v>1.4230184703636363E8</v>
      </c>
      <c r="O58" s="40">
        <v>1.6038203174E8</v>
      </c>
      <c r="P58" s="47">
        <v>3850000.0</v>
      </c>
      <c r="Q58" s="48"/>
      <c r="R58" s="49">
        <v>1.4230184703636363E8</v>
      </c>
      <c r="S58" s="61">
        <v>0.5</v>
      </c>
      <c r="T58" s="66">
        <f t="shared" si="18"/>
        <v>0.049</v>
      </c>
      <c r="U58" s="52">
        <f t="shared" si="1"/>
        <v>98561292.93</v>
      </c>
      <c r="V58" s="66">
        <f t="shared" si="2"/>
        <v>0.021</v>
      </c>
      <c r="W58" s="52">
        <f t="shared" si="9"/>
        <v>43740554.11</v>
      </c>
      <c r="X58" s="51">
        <f t="shared" si="3"/>
        <v>0</v>
      </c>
      <c r="Y58" s="52">
        <f t="shared" si="4"/>
        <v>0</v>
      </c>
      <c r="Z58" s="51">
        <f t="shared" si="5"/>
        <v>0</v>
      </c>
      <c r="AA58" s="52">
        <f t="shared" si="6"/>
        <v>0</v>
      </c>
      <c r="AB58" s="53">
        <f t="shared" si="7"/>
        <v>0</v>
      </c>
      <c r="AC58" s="52">
        <f t="shared" si="8"/>
        <v>0</v>
      </c>
      <c r="AD58" s="69"/>
      <c r="AE58" s="77"/>
      <c r="AF58" s="55"/>
      <c r="AG58" s="55"/>
    </row>
    <row r="59" ht="13.5" customHeight="1">
      <c r="A59" s="38">
        <v>56.0</v>
      </c>
      <c r="B59" s="78" t="s">
        <v>175</v>
      </c>
      <c r="C59" s="57" t="s">
        <v>139</v>
      </c>
      <c r="D59" s="58">
        <v>2.446637402E9</v>
      </c>
      <c r="E59" s="41">
        <v>0.07</v>
      </c>
      <c r="F59" s="68" t="s">
        <v>83</v>
      </c>
      <c r="G59" s="44" t="s">
        <v>140</v>
      </c>
      <c r="H59" s="44" t="s">
        <v>67</v>
      </c>
      <c r="I59" s="79">
        <v>46128.0</v>
      </c>
      <c r="J59" s="60" t="s">
        <v>171</v>
      </c>
      <c r="K59" s="40" t="s">
        <v>63</v>
      </c>
      <c r="L59" s="40" t="s">
        <v>141</v>
      </c>
      <c r="M59" s="40" t="s">
        <v>176</v>
      </c>
      <c r="N59" s="40">
        <v>1.521951074E8</v>
      </c>
      <c r="O59" s="40">
        <v>1.7126461814000002E8</v>
      </c>
      <c r="P59" s="47">
        <v>3850000.0</v>
      </c>
      <c r="Q59" s="48"/>
      <c r="R59" s="49">
        <v>1.521951074E8</v>
      </c>
      <c r="S59" s="50">
        <v>0.5</v>
      </c>
      <c r="T59" s="66">
        <f t="shared" si="18"/>
        <v>0.049</v>
      </c>
      <c r="U59" s="52">
        <f t="shared" si="1"/>
        <v>105486575.2</v>
      </c>
      <c r="V59" s="66">
        <f t="shared" si="2"/>
        <v>0.021</v>
      </c>
      <c r="W59" s="52">
        <f t="shared" si="9"/>
        <v>46708532.22</v>
      </c>
      <c r="X59" s="51">
        <f t="shared" si="3"/>
        <v>0</v>
      </c>
      <c r="Y59" s="52">
        <f t="shared" si="4"/>
        <v>0</v>
      </c>
      <c r="Z59" s="51">
        <f t="shared" si="5"/>
        <v>0</v>
      </c>
      <c r="AA59" s="52">
        <f t="shared" si="6"/>
        <v>0</v>
      </c>
      <c r="AB59" s="53">
        <f t="shared" si="7"/>
        <v>0</v>
      </c>
      <c r="AC59" s="52">
        <f t="shared" si="8"/>
        <v>0</v>
      </c>
      <c r="AD59" s="69"/>
      <c r="AE59" s="77"/>
      <c r="AF59" s="55"/>
      <c r="AG59" s="55"/>
    </row>
    <row r="60" ht="13.5" customHeight="1">
      <c r="A60" s="38">
        <v>57.0</v>
      </c>
      <c r="B60" s="78" t="s">
        <v>177</v>
      </c>
      <c r="C60" s="57" t="s">
        <v>139</v>
      </c>
      <c r="D60" s="58">
        <v>2.307095604E9</v>
      </c>
      <c r="E60" s="41">
        <v>0.07</v>
      </c>
      <c r="F60" s="68" t="s">
        <v>107</v>
      </c>
      <c r="G60" s="44" t="s">
        <v>140</v>
      </c>
      <c r="H60" s="44" t="s">
        <v>40</v>
      </c>
      <c r="I60" s="79">
        <v>46128.0</v>
      </c>
      <c r="J60" s="60" t="s">
        <v>171</v>
      </c>
      <c r="K60" s="40" t="s">
        <v>63</v>
      </c>
      <c r="L60" s="40" t="s">
        <v>141</v>
      </c>
      <c r="M60" s="40" t="s">
        <v>167</v>
      </c>
      <c r="N60" s="40">
        <v>6.178013171727273E8</v>
      </c>
      <c r="O60" s="40">
        <v>1.6149669228E8</v>
      </c>
      <c r="P60" s="47">
        <v>3850000.0</v>
      </c>
      <c r="Q60" s="48"/>
      <c r="R60" s="49">
        <v>1.4331517479999998E8</v>
      </c>
      <c r="S60" s="50">
        <v>0.55</v>
      </c>
      <c r="T60" s="66">
        <f t="shared" si="18"/>
        <v>0.049</v>
      </c>
      <c r="U60" s="52">
        <f t="shared" si="1"/>
        <v>99270622.36</v>
      </c>
      <c r="V60" s="66">
        <f t="shared" si="2"/>
        <v>0.021</v>
      </c>
      <c r="W60" s="52">
        <f t="shared" si="9"/>
        <v>44044552.44</v>
      </c>
      <c r="X60" s="51">
        <f t="shared" si="3"/>
        <v>0</v>
      </c>
      <c r="Y60" s="52">
        <f t="shared" si="4"/>
        <v>0</v>
      </c>
      <c r="Z60" s="51">
        <f t="shared" si="5"/>
        <v>0</v>
      </c>
      <c r="AA60" s="52">
        <f t="shared" si="6"/>
        <v>0</v>
      </c>
      <c r="AB60" s="53">
        <f t="shared" si="7"/>
        <v>0</v>
      </c>
      <c r="AC60" s="52">
        <f t="shared" si="8"/>
        <v>0</v>
      </c>
      <c r="AD60" s="69"/>
      <c r="AE60" s="77"/>
      <c r="AF60" s="55"/>
      <c r="AG60" s="55"/>
    </row>
    <row r="61" ht="13.5" customHeight="1">
      <c r="A61" s="38">
        <v>58.0</v>
      </c>
      <c r="B61" s="78" t="s">
        <v>178</v>
      </c>
      <c r="C61" s="57" t="s">
        <v>139</v>
      </c>
      <c r="D61" s="58">
        <v>2.09022E9</v>
      </c>
      <c r="E61" s="41">
        <v>0.07</v>
      </c>
      <c r="F61" s="68" t="s">
        <v>83</v>
      </c>
      <c r="G61" s="44" t="s">
        <v>140</v>
      </c>
      <c r="H61" s="44" t="s">
        <v>34</v>
      </c>
      <c r="I61" s="79">
        <v>46128.0</v>
      </c>
      <c r="J61" s="60" t="s">
        <v>171</v>
      </c>
      <c r="K61" s="40" t="s">
        <v>63</v>
      </c>
      <c r="L61" s="40" t="s">
        <v>141</v>
      </c>
      <c r="M61" s="40" t="s">
        <v>179</v>
      </c>
      <c r="N61" s="40">
        <v>5.594838226545454E8</v>
      </c>
      <c r="O61" s="40">
        <v>1.463154E8</v>
      </c>
      <c r="P61" s="47">
        <v>3850000.0</v>
      </c>
      <c r="Q61" s="48"/>
      <c r="R61" s="49">
        <v>1.2951399999999999E8</v>
      </c>
      <c r="S61" s="50">
        <v>0.55</v>
      </c>
      <c r="T61" s="66">
        <f t="shared" si="18"/>
        <v>0.049</v>
      </c>
      <c r="U61" s="52">
        <f t="shared" si="1"/>
        <v>89609800</v>
      </c>
      <c r="V61" s="66">
        <f t="shared" si="2"/>
        <v>0.021</v>
      </c>
      <c r="W61" s="52">
        <f t="shared" si="9"/>
        <v>39904200</v>
      </c>
      <c r="X61" s="51">
        <f t="shared" si="3"/>
        <v>0</v>
      </c>
      <c r="Y61" s="52">
        <f t="shared" si="4"/>
        <v>0</v>
      </c>
      <c r="Z61" s="51">
        <f t="shared" si="5"/>
        <v>0</v>
      </c>
      <c r="AA61" s="52">
        <f t="shared" si="6"/>
        <v>0</v>
      </c>
      <c r="AB61" s="53">
        <f t="shared" si="7"/>
        <v>0</v>
      </c>
      <c r="AC61" s="52">
        <f t="shared" si="8"/>
        <v>0</v>
      </c>
      <c r="AD61" s="69"/>
      <c r="AE61" s="77"/>
      <c r="AF61" s="55"/>
      <c r="AG61" s="55"/>
    </row>
    <row r="62" ht="13.5" customHeight="1">
      <c r="A62" s="38">
        <v>59.0</v>
      </c>
      <c r="B62" s="78" t="s">
        <v>180</v>
      </c>
      <c r="C62" s="57" t="s">
        <v>139</v>
      </c>
      <c r="D62" s="58">
        <v>2.528861164E9</v>
      </c>
      <c r="E62" s="41">
        <v>0.07</v>
      </c>
      <c r="F62" s="68" t="s">
        <v>169</v>
      </c>
      <c r="G62" s="44" t="s">
        <v>140</v>
      </c>
      <c r="H62" s="44" t="s">
        <v>181</v>
      </c>
      <c r="I62" s="79">
        <v>46128.0</v>
      </c>
      <c r="J62" s="60" t="s">
        <v>171</v>
      </c>
      <c r="K62" s="40" t="s">
        <v>63</v>
      </c>
      <c r="L62" s="40" t="s">
        <v>141</v>
      </c>
      <c r="M62" s="40" t="s">
        <v>182</v>
      </c>
      <c r="N62" s="40">
        <v>1.5742752861818182E8</v>
      </c>
      <c r="O62" s="40">
        <v>1.7702028148000002E8</v>
      </c>
      <c r="P62" s="47">
        <v>3850000.0</v>
      </c>
      <c r="Q62" s="48"/>
      <c r="R62" s="49">
        <v>1.5742752861818182E8</v>
      </c>
      <c r="S62" s="50">
        <v>0.5</v>
      </c>
      <c r="T62" s="66">
        <f t="shared" si="18"/>
        <v>0.049</v>
      </c>
      <c r="U62" s="52">
        <f t="shared" si="1"/>
        <v>109149270</v>
      </c>
      <c r="V62" s="66">
        <f t="shared" si="2"/>
        <v>0.021</v>
      </c>
      <c r="W62" s="52">
        <f t="shared" si="9"/>
        <v>48278258.59</v>
      </c>
      <c r="X62" s="51">
        <f t="shared" si="3"/>
        <v>0</v>
      </c>
      <c r="Y62" s="52">
        <f t="shared" si="4"/>
        <v>0</v>
      </c>
      <c r="Z62" s="51">
        <f t="shared" si="5"/>
        <v>0</v>
      </c>
      <c r="AA62" s="52">
        <f t="shared" si="6"/>
        <v>0</v>
      </c>
      <c r="AB62" s="53">
        <f t="shared" si="7"/>
        <v>0</v>
      </c>
      <c r="AC62" s="52">
        <f t="shared" si="8"/>
        <v>0</v>
      </c>
      <c r="AD62" s="69"/>
      <c r="AE62" s="77"/>
      <c r="AF62" s="55"/>
      <c r="AG62" s="55"/>
    </row>
    <row r="63" ht="13.5" customHeight="1">
      <c r="A63" s="80">
        <f t="shared" ref="A63:A545" si="20">ROW()-5</f>
        <v>58</v>
      </c>
      <c r="B63" s="56" t="s">
        <v>183</v>
      </c>
      <c r="C63" s="57" t="s">
        <v>139</v>
      </c>
      <c r="D63" s="58">
        <v>2.269322018E9</v>
      </c>
      <c r="E63" s="41">
        <v>0.07</v>
      </c>
      <c r="F63" s="68" t="s">
        <v>107</v>
      </c>
      <c r="G63" s="44" t="s">
        <v>140</v>
      </c>
      <c r="H63" s="44" t="s">
        <v>40</v>
      </c>
      <c r="I63" s="79">
        <v>46128.0</v>
      </c>
      <c r="J63" s="60" t="s">
        <v>171</v>
      </c>
      <c r="K63" s="40" t="s">
        <v>63</v>
      </c>
      <c r="L63" s="40" t="s">
        <v>141</v>
      </c>
      <c r="M63" s="40" t="s">
        <v>167</v>
      </c>
      <c r="N63" s="40">
        <v>6.178013171727273E8</v>
      </c>
      <c r="O63" s="40">
        <v>1.5885254126000002E8</v>
      </c>
      <c r="P63" s="47">
        <v>3850000.0</v>
      </c>
      <c r="Q63" s="48"/>
      <c r="R63" s="49">
        <v>1.4091140114545456E8</v>
      </c>
      <c r="S63" s="50">
        <v>0.55</v>
      </c>
      <c r="T63" s="66">
        <f t="shared" si="18"/>
        <v>0.049</v>
      </c>
      <c r="U63" s="52">
        <f t="shared" si="1"/>
        <v>97587980.8</v>
      </c>
      <c r="V63" s="66">
        <f t="shared" si="2"/>
        <v>0.021</v>
      </c>
      <c r="W63" s="52">
        <f t="shared" si="9"/>
        <v>43323420.34</v>
      </c>
      <c r="X63" s="51">
        <f t="shared" si="3"/>
        <v>0</v>
      </c>
      <c r="Y63" s="52">
        <f t="shared" si="4"/>
        <v>0</v>
      </c>
      <c r="Z63" s="51">
        <f t="shared" si="5"/>
        <v>0</v>
      </c>
      <c r="AA63" s="52">
        <f t="shared" si="6"/>
        <v>0</v>
      </c>
      <c r="AB63" s="53">
        <f t="shared" si="7"/>
        <v>0</v>
      </c>
      <c r="AC63" s="52">
        <f t="shared" si="8"/>
        <v>0</v>
      </c>
      <c r="AD63" s="69"/>
      <c r="AE63" s="77"/>
      <c r="AF63" s="55"/>
      <c r="AG63" s="55"/>
    </row>
    <row r="64" ht="13.5" customHeight="1">
      <c r="A64" s="80">
        <f t="shared" si="20"/>
        <v>59</v>
      </c>
      <c r="B64" s="56" t="s">
        <v>184</v>
      </c>
      <c r="C64" s="57" t="s">
        <v>139</v>
      </c>
      <c r="D64" s="58">
        <v>1.566598597E9</v>
      </c>
      <c r="E64" s="41">
        <v>0.07</v>
      </c>
      <c r="F64" s="68" t="s">
        <v>107</v>
      </c>
      <c r="G64" s="44" t="s">
        <v>140</v>
      </c>
      <c r="H64" s="44" t="s">
        <v>40</v>
      </c>
      <c r="I64" s="79">
        <v>46128.0</v>
      </c>
      <c r="J64" s="60" t="s">
        <v>171</v>
      </c>
      <c r="K64" s="40" t="s">
        <v>63</v>
      </c>
      <c r="L64" s="40" t="s">
        <v>141</v>
      </c>
      <c r="M64" s="40" t="s">
        <v>167</v>
      </c>
      <c r="N64" s="40">
        <v>6.178013171727273E8</v>
      </c>
      <c r="O64" s="40">
        <v>1.0966190179E8</v>
      </c>
      <c r="P64" s="47">
        <v>3850000.0</v>
      </c>
      <c r="Q64" s="48"/>
      <c r="R64" s="49">
        <v>9.619263799090908E7</v>
      </c>
      <c r="S64" s="50">
        <v>0.55</v>
      </c>
      <c r="T64" s="66">
        <f t="shared" si="18"/>
        <v>0.049</v>
      </c>
      <c r="U64" s="52">
        <f t="shared" si="1"/>
        <v>66284846.59</v>
      </c>
      <c r="V64" s="66">
        <f t="shared" si="2"/>
        <v>0.021</v>
      </c>
      <c r="W64" s="52">
        <f t="shared" si="9"/>
        <v>29907791.4</v>
      </c>
      <c r="X64" s="51">
        <f t="shared" si="3"/>
        <v>0</v>
      </c>
      <c r="Y64" s="52">
        <f t="shared" si="4"/>
        <v>0</v>
      </c>
      <c r="Z64" s="51">
        <f t="shared" si="5"/>
        <v>0</v>
      </c>
      <c r="AA64" s="52">
        <f t="shared" si="6"/>
        <v>0</v>
      </c>
      <c r="AB64" s="53">
        <f t="shared" si="7"/>
        <v>0</v>
      </c>
      <c r="AC64" s="52">
        <f t="shared" si="8"/>
        <v>0</v>
      </c>
      <c r="AD64" s="69"/>
      <c r="AE64" s="77"/>
      <c r="AF64" s="55"/>
      <c r="AG64" s="55"/>
    </row>
    <row r="65" ht="13.5" customHeight="1">
      <c r="A65" s="80">
        <f t="shared" si="20"/>
        <v>60</v>
      </c>
      <c r="B65" s="56" t="s">
        <v>185</v>
      </c>
      <c r="C65" s="57" t="s">
        <v>139</v>
      </c>
      <c r="D65" s="58">
        <v>2.331725373E9</v>
      </c>
      <c r="E65" s="41">
        <v>0.07</v>
      </c>
      <c r="F65" s="68" t="s">
        <v>169</v>
      </c>
      <c r="G65" s="44" t="s">
        <v>140</v>
      </c>
      <c r="H65" s="44" t="s">
        <v>170</v>
      </c>
      <c r="I65" s="79">
        <v>46128.0</v>
      </c>
      <c r="J65" s="60" t="s">
        <v>171</v>
      </c>
      <c r="K65" s="40" t="s">
        <v>63</v>
      </c>
      <c r="L65" s="40" t="s">
        <v>141</v>
      </c>
      <c r="M65" s="40" t="s">
        <v>172</v>
      </c>
      <c r="N65" s="40">
        <v>4.219009592136364E8</v>
      </c>
      <c r="O65" s="40">
        <v>1.6322077611E8</v>
      </c>
      <c r="P65" s="47">
        <v>3850000.0</v>
      </c>
      <c r="Q65" s="48"/>
      <c r="R65" s="49">
        <v>1.4488252373636365E8</v>
      </c>
      <c r="S65" s="50">
        <v>0.55</v>
      </c>
      <c r="T65" s="66">
        <f t="shared" si="18"/>
        <v>0.049</v>
      </c>
      <c r="U65" s="52">
        <f t="shared" si="1"/>
        <v>100367766.6</v>
      </c>
      <c r="V65" s="66">
        <f t="shared" si="2"/>
        <v>0.021</v>
      </c>
      <c r="W65" s="52">
        <f t="shared" si="9"/>
        <v>44514757.12</v>
      </c>
      <c r="X65" s="51">
        <f t="shared" si="3"/>
        <v>0</v>
      </c>
      <c r="Y65" s="52">
        <f t="shared" si="4"/>
        <v>0</v>
      </c>
      <c r="Z65" s="51">
        <f t="shared" si="5"/>
        <v>0</v>
      </c>
      <c r="AA65" s="52">
        <f t="shared" si="6"/>
        <v>0</v>
      </c>
      <c r="AB65" s="53">
        <f t="shared" si="7"/>
        <v>0</v>
      </c>
      <c r="AC65" s="52">
        <f t="shared" si="8"/>
        <v>0</v>
      </c>
      <c r="AD65" s="69"/>
      <c r="AE65" s="77"/>
      <c r="AF65" s="55"/>
      <c r="AG65" s="55"/>
    </row>
    <row r="66" ht="13.5" customHeight="1">
      <c r="A66" s="80">
        <f t="shared" si="20"/>
        <v>61</v>
      </c>
      <c r="B66" s="56" t="s">
        <v>186</v>
      </c>
      <c r="C66" s="57" t="s">
        <v>139</v>
      </c>
      <c r="D66" s="58">
        <v>3.090256315E9</v>
      </c>
      <c r="E66" s="41">
        <v>0.07</v>
      </c>
      <c r="F66" s="68" t="s">
        <v>83</v>
      </c>
      <c r="G66" s="44" t="s">
        <v>140</v>
      </c>
      <c r="H66" s="44" t="s">
        <v>34</v>
      </c>
      <c r="I66" s="79">
        <v>46128.0</v>
      </c>
      <c r="J66" s="60" t="s">
        <v>171</v>
      </c>
      <c r="K66" s="40" t="s">
        <v>63</v>
      </c>
      <c r="L66" s="40" t="s">
        <v>141</v>
      </c>
      <c r="M66" s="40" t="s">
        <v>179</v>
      </c>
      <c r="N66" s="40">
        <v>5.594838226545454E8</v>
      </c>
      <c r="O66" s="40">
        <v>2.1631794205E8</v>
      </c>
      <c r="P66" s="47">
        <v>3850000.0</v>
      </c>
      <c r="Q66" s="47">
        <v>1.0E7</v>
      </c>
      <c r="R66" s="49">
        <v>1.831526745909091E8</v>
      </c>
      <c r="S66" s="50">
        <v>0.55</v>
      </c>
      <c r="T66" s="66">
        <f t="shared" si="18"/>
        <v>0.049</v>
      </c>
      <c r="U66" s="52">
        <f t="shared" si="1"/>
        <v>124156872.2</v>
      </c>
      <c r="V66" s="66">
        <f t="shared" si="2"/>
        <v>0.021</v>
      </c>
      <c r="W66" s="52">
        <f t="shared" si="9"/>
        <v>58995802.38</v>
      </c>
      <c r="X66" s="51">
        <f t="shared" si="3"/>
        <v>0</v>
      </c>
      <c r="Y66" s="52">
        <f t="shared" si="4"/>
        <v>0</v>
      </c>
      <c r="Z66" s="51">
        <f t="shared" si="5"/>
        <v>0</v>
      </c>
      <c r="AA66" s="52">
        <f t="shared" si="6"/>
        <v>0</v>
      </c>
      <c r="AB66" s="53">
        <f t="shared" si="7"/>
        <v>0</v>
      </c>
      <c r="AC66" s="52">
        <f t="shared" si="8"/>
        <v>0</v>
      </c>
      <c r="AD66" s="69"/>
      <c r="AE66" s="77"/>
      <c r="AF66" s="55"/>
      <c r="AG66" s="55"/>
    </row>
    <row r="67" ht="13.5" customHeight="1">
      <c r="A67" s="80">
        <f t="shared" si="20"/>
        <v>62</v>
      </c>
      <c r="B67" s="56" t="s">
        <v>187</v>
      </c>
      <c r="C67" s="57" t="s">
        <v>139</v>
      </c>
      <c r="D67" s="58">
        <v>1.992824796E9</v>
      </c>
      <c r="E67" s="41">
        <v>0.07</v>
      </c>
      <c r="F67" s="68" t="s">
        <v>83</v>
      </c>
      <c r="G67" s="44" t="s">
        <v>140</v>
      </c>
      <c r="H67" s="44" t="s">
        <v>34</v>
      </c>
      <c r="I67" s="79">
        <v>46128.0</v>
      </c>
      <c r="J67" s="60" t="s">
        <v>171</v>
      </c>
      <c r="K67" s="40" t="s">
        <v>63</v>
      </c>
      <c r="L67" s="40" t="s">
        <v>141</v>
      </c>
      <c r="M67" s="40" t="s">
        <v>179</v>
      </c>
      <c r="N67" s="40">
        <v>5.594838226545454E8</v>
      </c>
      <c r="O67" s="40">
        <v>1.3949773572E8</v>
      </c>
      <c r="P67" s="47">
        <v>3850000.0</v>
      </c>
      <c r="Q67" s="47">
        <v>1.0E7</v>
      </c>
      <c r="R67" s="49">
        <v>1.1331612338181818E8</v>
      </c>
      <c r="S67" s="50">
        <v>0.55</v>
      </c>
      <c r="T67" s="66">
        <f t="shared" si="18"/>
        <v>0.049</v>
      </c>
      <c r="U67" s="52">
        <f t="shared" si="1"/>
        <v>75271286.37</v>
      </c>
      <c r="V67" s="66">
        <f t="shared" si="2"/>
        <v>0.021</v>
      </c>
      <c r="W67" s="52">
        <f t="shared" si="9"/>
        <v>38044837.01</v>
      </c>
      <c r="X67" s="51">
        <f t="shared" si="3"/>
        <v>0</v>
      </c>
      <c r="Y67" s="52">
        <f t="shared" si="4"/>
        <v>0</v>
      </c>
      <c r="Z67" s="51">
        <f t="shared" si="5"/>
        <v>0</v>
      </c>
      <c r="AA67" s="52">
        <f t="shared" si="6"/>
        <v>0</v>
      </c>
      <c r="AB67" s="53">
        <f t="shared" si="7"/>
        <v>0</v>
      </c>
      <c r="AC67" s="52">
        <f t="shared" si="8"/>
        <v>0</v>
      </c>
      <c r="AD67" s="69"/>
      <c r="AE67" s="77"/>
      <c r="AF67" s="55"/>
      <c r="AG67" s="55"/>
    </row>
    <row r="68" ht="13.5" customHeight="1">
      <c r="A68" s="80">
        <f t="shared" si="20"/>
        <v>63</v>
      </c>
      <c r="B68" s="56" t="s">
        <v>188</v>
      </c>
      <c r="C68" s="57" t="s">
        <v>139</v>
      </c>
      <c r="D68" s="58">
        <v>2.492277147E9</v>
      </c>
      <c r="E68" s="41">
        <v>0.06</v>
      </c>
      <c r="F68" s="68" t="s">
        <v>107</v>
      </c>
      <c r="G68" s="44" t="s">
        <v>189</v>
      </c>
      <c r="H68" s="44" t="s">
        <v>40</v>
      </c>
      <c r="I68" s="74" t="s">
        <v>190</v>
      </c>
      <c r="J68" s="60" t="s">
        <v>171</v>
      </c>
      <c r="K68" s="40" t="s">
        <v>63</v>
      </c>
      <c r="L68" s="40" t="s">
        <v>141</v>
      </c>
      <c r="M68" s="40" t="s">
        <v>167</v>
      </c>
      <c r="N68" s="40">
        <v>6.178013171727273E8</v>
      </c>
      <c r="O68" s="40">
        <v>1.4953662882E8</v>
      </c>
      <c r="P68" s="47">
        <v>6600000.0</v>
      </c>
      <c r="Q68" s="48"/>
      <c r="R68" s="49">
        <v>1.2994238983636361E8</v>
      </c>
      <c r="S68" s="50">
        <v>0.55</v>
      </c>
      <c r="T68" s="66">
        <f t="shared" si="18"/>
        <v>0.042</v>
      </c>
      <c r="U68" s="52">
        <f t="shared" si="1"/>
        <v>89159672.89</v>
      </c>
      <c r="V68" s="66">
        <f t="shared" si="2"/>
        <v>0.018</v>
      </c>
      <c r="W68" s="52">
        <f t="shared" si="9"/>
        <v>40782716.95</v>
      </c>
      <c r="X68" s="51">
        <f t="shared" si="3"/>
        <v>0</v>
      </c>
      <c r="Y68" s="52">
        <f t="shared" si="4"/>
        <v>0</v>
      </c>
      <c r="Z68" s="51">
        <f t="shared" si="5"/>
        <v>0</v>
      </c>
      <c r="AA68" s="52">
        <f t="shared" si="6"/>
        <v>0</v>
      </c>
      <c r="AB68" s="53">
        <f t="shared" si="7"/>
        <v>0</v>
      </c>
      <c r="AC68" s="52">
        <f t="shared" si="8"/>
        <v>0</v>
      </c>
      <c r="AD68" s="69"/>
      <c r="AE68" s="77"/>
      <c r="AF68" s="55"/>
      <c r="AG68" s="55"/>
    </row>
    <row r="69" ht="13.5" customHeight="1">
      <c r="A69" s="80">
        <f t="shared" si="20"/>
        <v>64</v>
      </c>
      <c r="B69" s="56" t="s">
        <v>191</v>
      </c>
      <c r="C69" s="57" t="s">
        <v>139</v>
      </c>
      <c r="D69" s="58">
        <v>2.372837271E9</v>
      </c>
      <c r="E69" s="41">
        <v>0.065</v>
      </c>
      <c r="F69" s="68" t="s">
        <v>169</v>
      </c>
      <c r="G69" s="44" t="s">
        <v>192</v>
      </c>
      <c r="H69" s="44" t="s">
        <v>170</v>
      </c>
      <c r="I69" s="74" t="s">
        <v>190</v>
      </c>
      <c r="J69" s="60" t="s">
        <v>171</v>
      </c>
      <c r="K69" s="40" t="s">
        <v>63</v>
      </c>
      <c r="L69" s="40" t="s">
        <v>141</v>
      </c>
      <c r="M69" s="40" t="s">
        <v>172</v>
      </c>
      <c r="N69" s="40">
        <v>4.219009592136364E8</v>
      </c>
      <c r="O69" s="40">
        <v>1.54234422615E8</v>
      </c>
      <c r="P69" s="47">
        <v>6600000.0</v>
      </c>
      <c r="Q69" s="48"/>
      <c r="R69" s="49">
        <v>1.3421311146818182E8</v>
      </c>
      <c r="S69" s="50">
        <v>0.55</v>
      </c>
      <c r="T69" s="66">
        <f t="shared" si="18"/>
        <v>0.0455</v>
      </c>
      <c r="U69" s="52">
        <f t="shared" si="1"/>
        <v>92149178.03</v>
      </c>
      <c r="V69" s="66">
        <f t="shared" si="2"/>
        <v>0.0195</v>
      </c>
      <c r="W69" s="52">
        <f t="shared" si="9"/>
        <v>42063933.44</v>
      </c>
      <c r="X69" s="51">
        <f t="shared" si="3"/>
        <v>0</v>
      </c>
      <c r="Y69" s="52">
        <f t="shared" si="4"/>
        <v>0</v>
      </c>
      <c r="Z69" s="51">
        <f t="shared" si="5"/>
        <v>0</v>
      </c>
      <c r="AA69" s="52">
        <f t="shared" si="6"/>
        <v>0</v>
      </c>
      <c r="AB69" s="53">
        <f t="shared" si="7"/>
        <v>0</v>
      </c>
      <c r="AC69" s="52">
        <f t="shared" si="8"/>
        <v>0</v>
      </c>
      <c r="AD69" s="69"/>
      <c r="AE69" s="77"/>
      <c r="AF69" s="55"/>
      <c r="AG69" s="55"/>
    </row>
    <row r="70" ht="13.5" customHeight="1">
      <c r="A70" s="80">
        <f t="shared" si="20"/>
        <v>65</v>
      </c>
      <c r="B70" s="56" t="s">
        <v>193</v>
      </c>
      <c r="C70" s="57" t="s">
        <v>139</v>
      </c>
      <c r="D70" s="58">
        <v>1.516565576E9</v>
      </c>
      <c r="E70" s="41">
        <v>0.07</v>
      </c>
      <c r="F70" s="68" t="s">
        <v>83</v>
      </c>
      <c r="G70" s="44" t="s">
        <v>140</v>
      </c>
      <c r="H70" s="44" t="s">
        <v>61</v>
      </c>
      <c r="I70" s="74" t="s">
        <v>194</v>
      </c>
      <c r="J70" s="60" t="s">
        <v>171</v>
      </c>
      <c r="K70" s="40" t="s">
        <v>63</v>
      </c>
      <c r="L70" s="40" t="s">
        <v>141</v>
      </c>
      <c r="M70" s="40" t="s">
        <v>195</v>
      </c>
      <c r="N70" s="40">
        <v>2.1242814708181816E8</v>
      </c>
      <c r="O70" s="40">
        <v>1.0615959032000001E8</v>
      </c>
      <c r="P70" s="47">
        <v>3850000.0</v>
      </c>
      <c r="Q70" s="48"/>
      <c r="R70" s="49">
        <v>9.300871847272727E7</v>
      </c>
      <c r="S70" s="50">
        <v>0.55</v>
      </c>
      <c r="T70" s="66">
        <f t="shared" si="18"/>
        <v>0.049</v>
      </c>
      <c r="U70" s="52">
        <f t="shared" si="1"/>
        <v>64056102.93</v>
      </c>
      <c r="V70" s="66">
        <f t="shared" si="2"/>
        <v>0.021</v>
      </c>
      <c r="W70" s="52">
        <f t="shared" si="9"/>
        <v>28952615.54</v>
      </c>
      <c r="X70" s="51">
        <f t="shared" si="3"/>
        <v>0</v>
      </c>
      <c r="Y70" s="52">
        <f t="shared" si="4"/>
        <v>0</v>
      </c>
      <c r="Z70" s="51">
        <f t="shared" si="5"/>
        <v>0</v>
      </c>
      <c r="AA70" s="52">
        <f t="shared" si="6"/>
        <v>0</v>
      </c>
      <c r="AB70" s="53">
        <f t="shared" si="7"/>
        <v>0</v>
      </c>
      <c r="AC70" s="52">
        <f t="shared" si="8"/>
        <v>0</v>
      </c>
      <c r="AD70" s="69"/>
      <c r="AE70" s="77"/>
      <c r="AF70" s="55"/>
      <c r="AG70" s="55"/>
    </row>
    <row r="71" ht="13.5" customHeight="1">
      <c r="A71" s="80">
        <f t="shared" si="20"/>
        <v>66</v>
      </c>
      <c r="B71" s="56" t="s">
        <v>196</v>
      </c>
      <c r="C71" s="57" t="s">
        <v>139</v>
      </c>
      <c r="D71" s="58">
        <v>2.152873245E9</v>
      </c>
      <c r="E71" s="41">
        <v>0.07</v>
      </c>
      <c r="F71" s="68" t="s">
        <v>83</v>
      </c>
      <c r="G71" s="44" t="s">
        <v>140</v>
      </c>
      <c r="H71" s="44" t="s">
        <v>34</v>
      </c>
      <c r="I71" s="59">
        <v>46137.0</v>
      </c>
      <c r="J71" s="60" t="s">
        <v>171</v>
      </c>
      <c r="K71" s="40" t="s">
        <v>63</v>
      </c>
      <c r="L71" s="40" t="s">
        <v>141</v>
      </c>
      <c r="M71" s="40" t="s">
        <v>179</v>
      </c>
      <c r="N71" s="40">
        <v>5.594838226545454E8</v>
      </c>
      <c r="O71" s="40">
        <v>1.5070112715E8</v>
      </c>
      <c r="P71" s="47">
        <v>3850000.0</v>
      </c>
      <c r="Q71" s="48"/>
      <c r="R71" s="49">
        <v>1.3350102468181817E8</v>
      </c>
      <c r="S71" s="50">
        <v>0.55</v>
      </c>
      <c r="T71" s="66">
        <f t="shared" si="18"/>
        <v>0.049</v>
      </c>
      <c r="U71" s="52">
        <f t="shared" si="1"/>
        <v>92400717.28</v>
      </c>
      <c r="V71" s="66">
        <f t="shared" si="2"/>
        <v>0.021</v>
      </c>
      <c r="W71" s="52">
        <f t="shared" si="9"/>
        <v>41100307.4</v>
      </c>
      <c r="X71" s="51">
        <f t="shared" si="3"/>
        <v>0</v>
      </c>
      <c r="Y71" s="52">
        <f t="shared" si="4"/>
        <v>0</v>
      </c>
      <c r="Z71" s="51">
        <f t="shared" si="5"/>
        <v>0</v>
      </c>
      <c r="AA71" s="52">
        <f t="shared" si="6"/>
        <v>0</v>
      </c>
      <c r="AB71" s="53">
        <f t="shared" si="7"/>
        <v>0</v>
      </c>
      <c r="AC71" s="52">
        <f t="shared" si="8"/>
        <v>0</v>
      </c>
      <c r="AD71" s="69"/>
      <c r="AE71" s="77"/>
      <c r="AF71" s="55"/>
      <c r="AG71" s="55"/>
    </row>
    <row r="72" ht="13.5" customHeight="1">
      <c r="A72" s="80">
        <f t="shared" si="20"/>
        <v>67</v>
      </c>
      <c r="B72" s="56" t="s">
        <v>197</v>
      </c>
      <c r="C72" s="57" t="s">
        <v>139</v>
      </c>
      <c r="D72" s="58">
        <v>1.931591021E9</v>
      </c>
      <c r="E72" s="41">
        <v>0.07</v>
      </c>
      <c r="F72" s="68" t="s">
        <v>83</v>
      </c>
      <c r="G72" s="44" t="s">
        <v>140</v>
      </c>
      <c r="H72" s="44" t="s">
        <v>61</v>
      </c>
      <c r="I72" s="59">
        <v>46137.0</v>
      </c>
      <c r="J72" s="60" t="s">
        <v>171</v>
      </c>
      <c r="K72" s="40" t="s">
        <v>63</v>
      </c>
      <c r="L72" s="40" t="s">
        <v>141</v>
      </c>
      <c r="M72" s="40" t="s">
        <v>195</v>
      </c>
      <c r="N72" s="40">
        <v>2.1242814708181816E8</v>
      </c>
      <c r="O72" s="40">
        <v>1.3521137147E8</v>
      </c>
      <c r="P72" s="47">
        <v>3850000.0</v>
      </c>
      <c r="Q72" s="48"/>
      <c r="R72" s="49">
        <v>1.194194286090909E8</v>
      </c>
      <c r="S72" s="50">
        <v>0.55</v>
      </c>
      <c r="T72" s="66">
        <f t="shared" si="18"/>
        <v>0.049</v>
      </c>
      <c r="U72" s="52">
        <f t="shared" si="1"/>
        <v>82543600.03</v>
      </c>
      <c r="V72" s="66">
        <f t="shared" si="2"/>
        <v>0.021</v>
      </c>
      <c r="W72" s="52">
        <f t="shared" si="9"/>
        <v>36875828.58</v>
      </c>
      <c r="X72" s="51">
        <f t="shared" si="3"/>
        <v>0</v>
      </c>
      <c r="Y72" s="52">
        <f t="shared" si="4"/>
        <v>0</v>
      </c>
      <c r="Z72" s="51">
        <f t="shared" si="5"/>
        <v>0</v>
      </c>
      <c r="AA72" s="52">
        <f t="shared" si="6"/>
        <v>0</v>
      </c>
      <c r="AB72" s="53">
        <f t="shared" si="7"/>
        <v>0</v>
      </c>
      <c r="AC72" s="52">
        <f t="shared" si="8"/>
        <v>0</v>
      </c>
      <c r="AD72" s="69"/>
      <c r="AE72" s="77"/>
      <c r="AF72" s="55"/>
      <c r="AG72" s="55"/>
    </row>
    <row r="73" ht="13.5" customHeight="1">
      <c r="A73" s="80">
        <f t="shared" si="20"/>
        <v>68</v>
      </c>
      <c r="B73" s="56" t="s">
        <v>198</v>
      </c>
      <c r="C73" s="57" t="s">
        <v>139</v>
      </c>
      <c r="D73" s="58">
        <v>1.551552245E9</v>
      </c>
      <c r="E73" s="41">
        <v>0.07</v>
      </c>
      <c r="F73" s="68" t="s">
        <v>169</v>
      </c>
      <c r="G73" s="44" t="s">
        <v>140</v>
      </c>
      <c r="H73" s="44" t="s">
        <v>199</v>
      </c>
      <c r="I73" s="59">
        <v>46137.0</v>
      </c>
      <c r="J73" s="60" t="s">
        <v>171</v>
      </c>
      <c r="K73" s="40" t="s">
        <v>63</v>
      </c>
      <c r="L73" s="40" t="s">
        <v>141</v>
      </c>
      <c r="M73" s="40" t="s">
        <v>200</v>
      </c>
      <c r="N73" s="40">
        <v>9.523514286363636E7</v>
      </c>
      <c r="O73" s="40">
        <v>1.0860865715E8</v>
      </c>
      <c r="P73" s="47">
        <v>3850000.0</v>
      </c>
      <c r="Q73" s="48"/>
      <c r="R73" s="49">
        <v>9.523514286363636E7</v>
      </c>
      <c r="S73" s="50">
        <v>0.5</v>
      </c>
      <c r="T73" s="66">
        <f t="shared" si="18"/>
        <v>0.049</v>
      </c>
      <c r="U73" s="52">
        <f t="shared" si="1"/>
        <v>65614600</v>
      </c>
      <c r="V73" s="66">
        <f t="shared" si="2"/>
        <v>0.021</v>
      </c>
      <c r="W73" s="52">
        <f t="shared" si="9"/>
        <v>29620542.86</v>
      </c>
      <c r="X73" s="51">
        <f t="shared" si="3"/>
        <v>0</v>
      </c>
      <c r="Y73" s="52">
        <f t="shared" si="4"/>
        <v>0</v>
      </c>
      <c r="Z73" s="51">
        <f t="shared" si="5"/>
        <v>0</v>
      </c>
      <c r="AA73" s="52">
        <f t="shared" si="6"/>
        <v>0</v>
      </c>
      <c r="AB73" s="53">
        <f t="shared" si="7"/>
        <v>0</v>
      </c>
      <c r="AC73" s="52">
        <f t="shared" si="8"/>
        <v>0</v>
      </c>
      <c r="AD73" s="69"/>
      <c r="AE73" s="77"/>
      <c r="AF73" s="55"/>
      <c r="AG73" s="55"/>
    </row>
    <row r="74" ht="13.5" customHeight="1">
      <c r="A74" s="80">
        <f t="shared" si="20"/>
        <v>69</v>
      </c>
      <c r="B74" s="56" t="s">
        <v>201</v>
      </c>
      <c r="C74" s="57" t="s">
        <v>139</v>
      </c>
      <c r="D74" s="58">
        <v>2.363501467E9</v>
      </c>
      <c r="E74" s="41">
        <v>0.07</v>
      </c>
      <c r="F74" s="68" t="s">
        <v>83</v>
      </c>
      <c r="G74" s="44" t="s">
        <v>140</v>
      </c>
      <c r="H74" s="44" t="s">
        <v>34</v>
      </c>
      <c r="I74" s="59">
        <v>46140.0</v>
      </c>
      <c r="J74" s="60" t="s">
        <v>202</v>
      </c>
      <c r="K74" s="40" t="s">
        <v>203</v>
      </c>
      <c r="L74" s="40" t="s">
        <v>141</v>
      </c>
      <c r="M74" s="40" t="s">
        <v>204</v>
      </c>
      <c r="N74" s="40">
        <v>2.436123035181818E8</v>
      </c>
      <c r="O74" s="40">
        <v>1.6544510269000003E8</v>
      </c>
      <c r="P74" s="47">
        <v>3850000.0</v>
      </c>
      <c r="Q74" s="48"/>
      <c r="R74" s="49">
        <v>1.469046388090909E8</v>
      </c>
      <c r="S74" s="50">
        <v>0.55</v>
      </c>
      <c r="T74" s="66">
        <f t="shared" si="18"/>
        <v>0.049</v>
      </c>
      <c r="U74" s="52">
        <f t="shared" si="1"/>
        <v>101783247.2</v>
      </c>
      <c r="V74" s="66">
        <f t="shared" si="2"/>
        <v>0.021</v>
      </c>
      <c r="W74" s="52">
        <f t="shared" si="9"/>
        <v>45121391.64</v>
      </c>
      <c r="X74" s="51">
        <f t="shared" si="3"/>
        <v>0</v>
      </c>
      <c r="Y74" s="52">
        <f t="shared" si="4"/>
        <v>0</v>
      </c>
      <c r="Z74" s="51">
        <f t="shared" si="5"/>
        <v>0</v>
      </c>
      <c r="AA74" s="52">
        <f t="shared" si="6"/>
        <v>0</v>
      </c>
      <c r="AB74" s="53">
        <f t="shared" si="7"/>
        <v>0</v>
      </c>
      <c r="AC74" s="52">
        <f t="shared" si="8"/>
        <v>0</v>
      </c>
      <c r="AD74" s="69"/>
      <c r="AE74" s="77"/>
      <c r="AF74" s="55"/>
      <c r="AG74" s="55"/>
    </row>
    <row r="75" ht="13.5" customHeight="1">
      <c r="A75" s="80">
        <f t="shared" si="20"/>
        <v>70</v>
      </c>
      <c r="B75" s="56" t="s">
        <v>205</v>
      </c>
      <c r="C75" s="57" t="s">
        <v>139</v>
      </c>
      <c r="D75" s="58">
        <v>2.371761274E9</v>
      </c>
      <c r="E75" s="41">
        <v>0.07</v>
      </c>
      <c r="F75" s="68" t="s">
        <v>83</v>
      </c>
      <c r="G75" s="44" t="s">
        <v>140</v>
      </c>
      <c r="H75" s="44" t="s">
        <v>61</v>
      </c>
      <c r="I75" s="59">
        <v>46140.0</v>
      </c>
      <c r="J75" s="60" t="s">
        <v>202</v>
      </c>
      <c r="K75" s="40" t="s">
        <v>203</v>
      </c>
      <c r="L75" s="40" t="s">
        <v>141</v>
      </c>
      <c r="M75" s="40" t="s">
        <v>206</v>
      </c>
      <c r="N75" s="40">
        <v>1.4743026289090908E8</v>
      </c>
      <c r="O75" s="40">
        <v>1.6602328918E8</v>
      </c>
      <c r="P75" s="47">
        <v>3850000.0</v>
      </c>
      <c r="Q75" s="48"/>
      <c r="R75" s="49">
        <v>1.4743026289090908E8</v>
      </c>
      <c r="S75" s="50">
        <v>0.5</v>
      </c>
      <c r="T75" s="66">
        <f t="shared" si="18"/>
        <v>0.049</v>
      </c>
      <c r="U75" s="52">
        <f t="shared" si="1"/>
        <v>102151184</v>
      </c>
      <c r="V75" s="66">
        <f t="shared" si="2"/>
        <v>0.021</v>
      </c>
      <c r="W75" s="52">
        <f t="shared" si="9"/>
        <v>45279078.87</v>
      </c>
      <c r="X75" s="51">
        <f t="shared" si="3"/>
        <v>0</v>
      </c>
      <c r="Y75" s="52">
        <f t="shared" si="4"/>
        <v>0</v>
      </c>
      <c r="Z75" s="51">
        <f t="shared" si="5"/>
        <v>0</v>
      </c>
      <c r="AA75" s="52">
        <f t="shared" si="6"/>
        <v>0</v>
      </c>
      <c r="AB75" s="53">
        <f t="shared" si="7"/>
        <v>0</v>
      </c>
      <c r="AC75" s="52">
        <f t="shared" si="8"/>
        <v>0</v>
      </c>
      <c r="AD75" s="69"/>
      <c r="AE75" s="77"/>
      <c r="AF75" s="55"/>
      <c r="AG75" s="55"/>
    </row>
    <row r="76" ht="13.5" customHeight="1">
      <c r="A76" s="80">
        <f t="shared" si="20"/>
        <v>71</v>
      </c>
      <c r="B76" s="56" t="s">
        <v>207</v>
      </c>
      <c r="C76" s="57" t="s">
        <v>139</v>
      </c>
      <c r="D76" s="58">
        <v>1.574691874E9</v>
      </c>
      <c r="E76" s="41">
        <v>0.07</v>
      </c>
      <c r="F76" s="68" t="s">
        <v>83</v>
      </c>
      <c r="G76" s="44" t="s">
        <v>140</v>
      </c>
      <c r="H76" s="44" t="s">
        <v>34</v>
      </c>
      <c r="I76" s="79">
        <v>46141.0</v>
      </c>
      <c r="J76" s="60" t="s">
        <v>202</v>
      </c>
      <c r="K76" s="40" t="s">
        <v>203</v>
      </c>
      <c r="L76" s="40" t="s">
        <v>141</v>
      </c>
      <c r="M76" s="40" t="s">
        <v>204</v>
      </c>
      <c r="N76" s="40">
        <v>2.436123035181818E8</v>
      </c>
      <c r="O76" s="40">
        <v>1.1022843118E8</v>
      </c>
      <c r="P76" s="47">
        <v>3850000.0</v>
      </c>
      <c r="Q76" s="48"/>
      <c r="R76" s="49">
        <v>9.67076647090909E7</v>
      </c>
      <c r="S76" s="50">
        <v>0.55</v>
      </c>
      <c r="T76" s="66">
        <f t="shared" si="18"/>
        <v>0.049</v>
      </c>
      <c r="U76" s="52">
        <f t="shared" si="1"/>
        <v>66645365.3</v>
      </c>
      <c r="V76" s="66">
        <f t="shared" si="2"/>
        <v>0.021</v>
      </c>
      <c r="W76" s="52">
        <f t="shared" si="9"/>
        <v>30062299.41</v>
      </c>
      <c r="X76" s="51">
        <f t="shared" si="3"/>
        <v>0</v>
      </c>
      <c r="Y76" s="52">
        <f t="shared" si="4"/>
        <v>0</v>
      </c>
      <c r="Z76" s="51">
        <f t="shared" si="5"/>
        <v>0</v>
      </c>
      <c r="AA76" s="52">
        <f t="shared" si="6"/>
        <v>0</v>
      </c>
      <c r="AB76" s="53">
        <f t="shared" si="7"/>
        <v>0</v>
      </c>
      <c r="AC76" s="52">
        <f t="shared" si="8"/>
        <v>0</v>
      </c>
      <c r="AD76" s="69"/>
      <c r="AE76" s="77"/>
      <c r="AF76" s="55"/>
      <c r="AG76" s="55"/>
    </row>
    <row r="77" ht="13.5" customHeight="1">
      <c r="A77" s="80">
        <f t="shared" si="20"/>
        <v>72</v>
      </c>
      <c r="B77" s="56" t="s">
        <v>208</v>
      </c>
      <c r="C77" s="57" t="s">
        <v>209</v>
      </c>
      <c r="D77" s="58">
        <v>4.435276209E9</v>
      </c>
      <c r="E77" s="41">
        <v>0.055</v>
      </c>
      <c r="F77" s="68" t="s">
        <v>210</v>
      </c>
      <c r="G77" s="44" t="s">
        <v>140</v>
      </c>
      <c r="H77" s="44" t="s">
        <v>211</v>
      </c>
      <c r="I77" s="81">
        <v>46185.0</v>
      </c>
      <c r="J77" s="60" t="s">
        <v>212</v>
      </c>
      <c r="K77" s="40" t="s">
        <v>213</v>
      </c>
      <c r="L77" s="40" t="s">
        <v>141</v>
      </c>
      <c r="M77" s="40" t="s">
        <v>214</v>
      </c>
      <c r="N77" s="40">
        <v>2.1826381045E8</v>
      </c>
      <c r="O77" s="40">
        <v>2.43940191495E8</v>
      </c>
      <c r="P77" s="47">
        <v>3850000.0</v>
      </c>
      <c r="Q77" s="48"/>
      <c r="R77" s="49">
        <v>2.1826381045E8</v>
      </c>
      <c r="S77" s="61">
        <f t="array" ref="S77:S999">IF(N77:N2007="", "", IF(F77:F2007="Freelancer", 65%, IF(N77:N2007 &lt; 400000000, 50%, 55%)))</f>
        <v>0.65</v>
      </c>
      <c r="T77" s="66">
        <f t="shared" si="18"/>
        <v>0.0385</v>
      </c>
      <c r="U77" s="52">
        <f t="shared" si="1"/>
        <v>151734667.3</v>
      </c>
      <c r="V77" s="66">
        <f t="shared" si="2"/>
        <v>0.0165</v>
      </c>
      <c r="W77" s="52">
        <f t="shared" si="9"/>
        <v>66529143.14</v>
      </c>
      <c r="X77" s="51">
        <f t="shared" si="3"/>
        <v>0</v>
      </c>
      <c r="Y77" s="52">
        <f t="shared" si="4"/>
        <v>0</v>
      </c>
      <c r="Z77" s="51">
        <f t="shared" si="5"/>
        <v>0</v>
      </c>
      <c r="AA77" s="52">
        <f t="shared" si="6"/>
        <v>0</v>
      </c>
      <c r="AB77" s="53">
        <f t="shared" si="7"/>
        <v>0</v>
      </c>
      <c r="AC77" s="52">
        <f t="shared" si="8"/>
        <v>0</v>
      </c>
      <c r="AD77" s="82" t="s">
        <v>215</v>
      </c>
      <c r="AE77" s="77"/>
      <c r="AF77" s="55"/>
      <c r="AG77" s="55"/>
    </row>
    <row r="78" ht="13.5" customHeight="1">
      <c r="A78" s="80">
        <f t="shared" si="20"/>
        <v>73</v>
      </c>
      <c r="B78" s="56" t="s">
        <v>216</v>
      </c>
      <c r="C78" s="57" t="s">
        <v>209</v>
      </c>
      <c r="D78" s="58">
        <v>4.256933192E9</v>
      </c>
      <c r="E78" s="41">
        <v>0.055</v>
      </c>
      <c r="F78" s="68" t="s">
        <v>210</v>
      </c>
      <c r="G78" s="44" t="s">
        <v>140</v>
      </c>
      <c r="H78" s="44" t="s">
        <v>217</v>
      </c>
      <c r="I78" s="81">
        <v>46187.0</v>
      </c>
      <c r="J78" s="60" t="s">
        <v>212</v>
      </c>
      <c r="K78" s="40" t="s">
        <v>213</v>
      </c>
      <c r="L78" s="40" t="s">
        <v>141</v>
      </c>
      <c r="M78" s="40" t="s">
        <v>218</v>
      </c>
      <c r="N78" s="40">
        <v>2.093466596E8</v>
      </c>
      <c r="O78" s="40">
        <v>2.3413132556E8</v>
      </c>
      <c r="P78" s="47">
        <v>3850000.0</v>
      </c>
      <c r="Q78" s="48"/>
      <c r="R78" s="49">
        <v>2.093466596E8</v>
      </c>
      <c r="S78" s="61">
        <v>0.65</v>
      </c>
      <c r="T78" s="66">
        <f t="shared" si="18"/>
        <v>0.0385</v>
      </c>
      <c r="U78" s="52">
        <f t="shared" si="1"/>
        <v>145492661.7</v>
      </c>
      <c r="V78" s="66">
        <f t="shared" si="2"/>
        <v>0.0165</v>
      </c>
      <c r="W78" s="52">
        <f t="shared" si="9"/>
        <v>63853997.88</v>
      </c>
      <c r="X78" s="51">
        <f t="shared" si="3"/>
        <v>0</v>
      </c>
      <c r="Y78" s="52">
        <f t="shared" si="4"/>
        <v>0</v>
      </c>
      <c r="Z78" s="51">
        <f t="shared" si="5"/>
        <v>0</v>
      </c>
      <c r="AA78" s="52">
        <f t="shared" si="6"/>
        <v>0</v>
      </c>
      <c r="AB78" s="53">
        <f t="shared" si="7"/>
        <v>0</v>
      </c>
      <c r="AC78" s="52">
        <f t="shared" si="8"/>
        <v>0</v>
      </c>
      <c r="AD78" s="82" t="s">
        <v>215</v>
      </c>
      <c r="AE78" s="77"/>
      <c r="AF78" s="55"/>
      <c r="AG78" s="55"/>
    </row>
    <row r="79" ht="13.5" customHeight="1">
      <c r="A79" s="80">
        <f t="shared" si="20"/>
        <v>74</v>
      </c>
      <c r="B79" s="56" t="s">
        <v>219</v>
      </c>
      <c r="C79" s="57" t="s">
        <v>209</v>
      </c>
      <c r="D79" s="58">
        <v>4.32773388E9</v>
      </c>
      <c r="E79" s="41">
        <v>0.05</v>
      </c>
      <c r="F79" s="68" t="s">
        <v>210</v>
      </c>
      <c r="G79" s="44" t="s">
        <v>140</v>
      </c>
      <c r="H79" s="44" t="s">
        <v>220</v>
      </c>
      <c r="I79" s="81">
        <v>46185.0</v>
      </c>
      <c r="J79" s="60" t="s">
        <v>212</v>
      </c>
      <c r="K79" s="40" t="s">
        <v>213</v>
      </c>
      <c r="L79" s="40" t="s">
        <v>141</v>
      </c>
      <c r="M79" s="40" t="s">
        <v>221</v>
      </c>
      <c r="N79" s="40">
        <v>1.9321517636363634E8</v>
      </c>
      <c r="O79" s="40">
        <v>2.16386694E8</v>
      </c>
      <c r="P79" s="47">
        <v>3850000.0</v>
      </c>
      <c r="Q79" s="48"/>
      <c r="R79" s="49">
        <v>1.9321517636363634E8</v>
      </c>
      <c r="S79" s="61">
        <v>0.65</v>
      </c>
      <c r="T79" s="66">
        <f t="shared" si="18"/>
        <v>0.035</v>
      </c>
      <c r="U79" s="52">
        <f t="shared" si="1"/>
        <v>134200623.5</v>
      </c>
      <c r="V79" s="66">
        <f t="shared" si="2"/>
        <v>0.015</v>
      </c>
      <c r="W79" s="52">
        <f t="shared" si="9"/>
        <v>59014552.91</v>
      </c>
      <c r="X79" s="51">
        <f t="shared" si="3"/>
        <v>0</v>
      </c>
      <c r="Y79" s="52">
        <f t="shared" si="4"/>
        <v>0</v>
      </c>
      <c r="Z79" s="51">
        <f t="shared" si="5"/>
        <v>0</v>
      </c>
      <c r="AA79" s="52">
        <f t="shared" si="6"/>
        <v>0</v>
      </c>
      <c r="AB79" s="53">
        <f t="shared" si="7"/>
        <v>0</v>
      </c>
      <c r="AC79" s="52">
        <f t="shared" si="8"/>
        <v>0</v>
      </c>
      <c r="AD79" s="82" t="s">
        <v>215</v>
      </c>
      <c r="AE79" s="77"/>
      <c r="AF79" s="55"/>
      <c r="AG79" s="55"/>
    </row>
    <row r="80" ht="13.5" customHeight="1">
      <c r="A80" s="80">
        <f t="shared" si="20"/>
        <v>75</v>
      </c>
      <c r="B80" s="56"/>
      <c r="C80" s="57"/>
      <c r="D80" s="58"/>
      <c r="E80" s="41"/>
      <c r="F80" s="68"/>
      <c r="G80" s="44"/>
      <c r="H80" s="44"/>
      <c r="I80" s="81"/>
      <c r="J80" s="60" t="s">
        <v>222</v>
      </c>
      <c r="K80" s="40" t="s">
        <v>222</v>
      </c>
      <c r="L80" s="40" t="s">
        <v>222</v>
      </c>
      <c r="M80" s="40" t="s">
        <v>222</v>
      </c>
      <c r="N80" s="40" t="s">
        <v>222</v>
      </c>
      <c r="O80" s="40" t="s">
        <v>222</v>
      </c>
      <c r="P80" s="47"/>
      <c r="Q80" s="48"/>
      <c r="R80" s="49" t="s">
        <v>222</v>
      </c>
      <c r="S80" s="61" t="s">
        <v>222</v>
      </c>
      <c r="T80" s="66">
        <f t="shared" si="18"/>
        <v>0</v>
      </c>
      <c r="U80" s="52">
        <f t="shared" si="1"/>
        <v>0</v>
      </c>
      <c r="V80" s="66">
        <f t="shared" si="2"/>
        <v>0</v>
      </c>
      <c r="W80" s="52">
        <f t="shared" si="9"/>
        <v>0</v>
      </c>
      <c r="X80" s="51">
        <f t="shared" si="3"/>
        <v>0</v>
      </c>
      <c r="Y80" s="52">
        <f t="shared" si="4"/>
        <v>0</v>
      </c>
      <c r="Z80" s="51">
        <f t="shared" si="5"/>
        <v>0</v>
      </c>
      <c r="AA80" s="52">
        <f t="shared" si="6"/>
        <v>0</v>
      </c>
      <c r="AB80" s="53">
        <f t="shared" si="7"/>
        <v>0</v>
      </c>
      <c r="AC80" s="52">
        <f t="shared" si="8"/>
        <v>0</v>
      </c>
      <c r="AD80" s="69"/>
      <c r="AE80" s="77"/>
      <c r="AF80" s="55"/>
      <c r="AG80" s="55"/>
    </row>
    <row r="81" ht="13.5" customHeight="1">
      <c r="A81" s="80">
        <f t="shared" si="20"/>
        <v>76</v>
      </c>
      <c r="B81" s="26"/>
      <c r="C81" s="39"/>
      <c r="D81" s="40"/>
      <c r="E81" s="83"/>
      <c r="F81" s="42"/>
      <c r="G81" s="84"/>
      <c r="H81" s="84"/>
      <c r="I81" s="45"/>
      <c r="J81" s="46" t="s">
        <v>222</v>
      </c>
      <c r="K81" s="40" t="s">
        <v>222</v>
      </c>
      <c r="L81" s="40" t="s">
        <v>222</v>
      </c>
      <c r="M81" s="40" t="s">
        <v>222</v>
      </c>
      <c r="N81" s="40" t="s">
        <v>222</v>
      </c>
      <c r="O81" s="40" t="s">
        <v>222</v>
      </c>
      <c r="P81" s="48"/>
      <c r="Q81" s="48"/>
      <c r="R81" s="49" t="s">
        <v>222</v>
      </c>
      <c r="S81" s="50" t="s">
        <v>222</v>
      </c>
      <c r="T81" s="85"/>
      <c r="U81" s="52">
        <f t="shared" si="1"/>
        <v>0</v>
      </c>
      <c r="V81" s="85"/>
      <c r="W81" s="52">
        <f t="shared" si="9"/>
        <v>0</v>
      </c>
      <c r="X81" s="51">
        <f t="shared" si="3"/>
        <v>0</v>
      </c>
      <c r="Y81" s="52">
        <f t="shared" si="4"/>
        <v>0</v>
      </c>
      <c r="Z81" s="51">
        <f t="shared" si="5"/>
        <v>0</v>
      </c>
      <c r="AA81" s="52">
        <f t="shared" si="6"/>
        <v>0</v>
      </c>
      <c r="AB81" s="53">
        <f t="shared" si="7"/>
        <v>0</v>
      </c>
      <c r="AC81" s="52">
        <f t="shared" si="8"/>
        <v>0</v>
      </c>
      <c r="AD81" s="70"/>
      <c r="AE81" s="14"/>
      <c r="AF81" s="55"/>
      <c r="AG81" s="55"/>
    </row>
    <row r="82" ht="13.5" customHeight="1">
      <c r="A82" s="80">
        <f t="shared" si="20"/>
        <v>77</v>
      </c>
      <c r="B82" s="26"/>
      <c r="C82" s="39"/>
      <c r="D82" s="40"/>
      <c r="E82" s="83"/>
      <c r="F82" s="42"/>
      <c r="G82" s="84"/>
      <c r="H82" s="84"/>
      <c r="I82" s="45"/>
      <c r="J82" s="46" t="s">
        <v>222</v>
      </c>
      <c r="K82" s="40" t="s">
        <v>222</v>
      </c>
      <c r="L82" s="40" t="s">
        <v>222</v>
      </c>
      <c r="M82" s="40" t="s">
        <v>222</v>
      </c>
      <c r="N82" s="40" t="s">
        <v>222</v>
      </c>
      <c r="O82" s="40" t="s">
        <v>222</v>
      </c>
      <c r="P82" s="48"/>
      <c r="Q82" s="48"/>
      <c r="R82" s="49" t="s">
        <v>222</v>
      </c>
      <c r="S82" s="50" t="s">
        <v>222</v>
      </c>
      <c r="T82" s="85"/>
      <c r="U82" s="52">
        <f t="shared" si="1"/>
        <v>0</v>
      </c>
      <c r="V82" s="85"/>
      <c r="W82" s="52">
        <f t="shared" si="9"/>
        <v>0</v>
      </c>
      <c r="X82" s="51">
        <f t="shared" si="3"/>
        <v>0</v>
      </c>
      <c r="Y82" s="52">
        <f t="shared" si="4"/>
        <v>0</v>
      </c>
      <c r="Z82" s="51">
        <f t="shared" si="5"/>
        <v>0</v>
      </c>
      <c r="AA82" s="52">
        <f t="shared" si="6"/>
        <v>0</v>
      </c>
      <c r="AB82" s="53">
        <f t="shared" si="7"/>
        <v>0</v>
      </c>
      <c r="AC82" s="52">
        <f t="shared" si="8"/>
        <v>0</v>
      </c>
      <c r="AD82" s="70"/>
      <c r="AE82" s="14"/>
      <c r="AF82" s="55"/>
      <c r="AG82" s="55"/>
    </row>
    <row r="83" ht="13.5" customHeight="1">
      <c r="A83" s="80">
        <f t="shared" si="20"/>
        <v>78</v>
      </c>
      <c r="B83" s="26"/>
      <c r="C83" s="39"/>
      <c r="D83" s="40"/>
      <c r="E83" s="83"/>
      <c r="F83" s="42"/>
      <c r="G83" s="84"/>
      <c r="H83" s="84"/>
      <c r="I83" s="45"/>
      <c r="J83" s="46" t="s">
        <v>222</v>
      </c>
      <c r="K83" s="40" t="s">
        <v>222</v>
      </c>
      <c r="L83" s="40" t="s">
        <v>222</v>
      </c>
      <c r="M83" s="40" t="s">
        <v>222</v>
      </c>
      <c r="N83" s="40" t="s">
        <v>222</v>
      </c>
      <c r="O83" s="40" t="s">
        <v>222</v>
      </c>
      <c r="P83" s="48"/>
      <c r="Q83" s="48"/>
      <c r="R83" s="49" t="s">
        <v>222</v>
      </c>
      <c r="S83" s="50" t="s">
        <v>222</v>
      </c>
      <c r="T83" s="85"/>
      <c r="U83" s="52">
        <f t="shared" si="1"/>
        <v>0</v>
      </c>
      <c r="V83" s="85"/>
      <c r="W83" s="52">
        <f t="shared" si="9"/>
        <v>0</v>
      </c>
      <c r="X83" s="51">
        <f t="shared" si="3"/>
        <v>0</v>
      </c>
      <c r="Y83" s="52">
        <f t="shared" si="4"/>
        <v>0</v>
      </c>
      <c r="Z83" s="51">
        <f t="shared" si="5"/>
        <v>0</v>
      </c>
      <c r="AA83" s="52">
        <f t="shared" si="6"/>
        <v>0</v>
      </c>
      <c r="AB83" s="53">
        <f t="shared" si="7"/>
        <v>0</v>
      </c>
      <c r="AC83" s="52">
        <f t="shared" si="8"/>
        <v>0</v>
      </c>
      <c r="AD83" s="70"/>
      <c r="AE83" s="14"/>
      <c r="AF83" s="55"/>
      <c r="AG83" s="55"/>
    </row>
    <row r="84" ht="13.5" customHeight="1">
      <c r="A84" s="80">
        <f t="shared" si="20"/>
        <v>79</v>
      </c>
      <c r="B84" s="26"/>
      <c r="C84" s="39"/>
      <c r="D84" s="40"/>
      <c r="E84" s="83"/>
      <c r="F84" s="42"/>
      <c r="G84" s="84"/>
      <c r="H84" s="84"/>
      <c r="I84" s="45"/>
      <c r="J84" s="46" t="s">
        <v>222</v>
      </c>
      <c r="K84" s="40" t="s">
        <v>222</v>
      </c>
      <c r="L84" s="40" t="s">
        <v>222</v>
      </c>
      <c r="M84" s="40" t="s">
        <v>222</v>
      </c>
      <c r="N84" s="40" t="s">
        <v>222</v>
      </c>
      <c r="O84" s="40" t="s">
        <v>222</v>
      </c>
      <c r="P84" s="48"/>
      <c r="Q84" s="48"/>
      <c r="R84" s="49" t="s">
        <v>222</v>
      </c>
      <c r="S84" s="50" t="s">
        <v>222</v>
      </c>
      <c r="T84" s="85"/>
      <c r="U84" s="52">
        <f t="shared" si="1"/>
        <v>0</v>
      </c>
      <c r="V84" s="85"/>
      <c r="W84" s="52">
        <f t="shared" si="9"/>
        <v>0</v>
      </c>
      <c r="X84" s="51">
        <f t="shared" si="3"/>
        <v>0</v>
      </c>
      <c r="Y84" s="52">
        <f t="shared" si="4"/>
        <v>0</v>
      </c>
      <c r="Z84" s="51">
        <f t="shared" si="5"/>
        <v>0</v>
      </c>
      <c r="AA84" s="52">
        <f t="shared" si="6"/>
        <v>0</v>
      </c>
      <c r="AB84" s="53">
        <f t="shared" si="7"/>
        <v>0</v>
      </c>
      <c r="AC84" s="52">
        <f t="shared" si="8"/>
        <v>0</v>
      </c>
      <c r="AD84" s="70"/>
      <c r="AE84" s="14"/>
      <c r="AF84" s="55"/>
      <c r="AG84" s="55"/>
    </row>
    <row r="85" ht="13.5" customHeight="1">
      <c r="A85" s="80">
        <f t="shared" si="20"/>
        <v>80</v>
      </c>
      <c r="B85" s="26"/>
      <c r="C85" s="39"/>
      <c r="D85" s="40"/>
      <c r="E85" s="83"/>
      <c r="F85" s="42"/>
      <c r="G85" s="84"/>
      <c r="H85" s="84"/>
      <c r="I85" s="45"/>
      <c r="J85" s="46" t="s">
        <v>222</v>
      </c>
      <c r="K85" s="40" t="s">
        <v>222</v>
      </c>
      <c r="L85" s="40" t="s">
        <v>222</v>
      </c>
      <c r="M85" s="40" t="s">
        <v>222</v>
      </c>
      <c r="N85" s="40" t="s">
        <v>222</v>
      </c>
      <c r="O85" s="40" t="s">
        <v>222</v>
      </c>
      <c r="P85" s="48"/>
      <c r="Q85" s="48"/>
      <c r="R85" s="49" t="s">
        <v>222</v>
      </c>
      <c r="S85" s="50" t="s">
        <v>222</v>
      </c>
      <c r="T85" s="85"/>
      <c r="U85" s="52">
        <f t="shared" si="1"/>
        <v>0</v>
      </c>
      <c r="V85" s="85"/>
      <c r="W85" s="52">
        <f t="shared" si="9"/>
        <v>0</v>
      </c>
      <c r="X85" s="51">
        <f t="shared" si="3"/>
        <v>0</v>
      </c>
      <c r="Y85" s="52">
        <f t="shared" si="4"/>
        <v>0</v>
      </c>
      <c r="Z85" s="51">
        <f t="shared" si="5"/>
        <v>0</v>
      </c>
      <c r="AA85" s="52">
        <f t="shared" si="6"/>
        <v>0</v>
      </c>
      <c r="AB85" s="53">
        <f t="shared" si="7"/>
        <v>0</v>
      </c>
      <c r="AC85" s="52">
        <f t="shared" si="8"/>
        <v>0</v>
      </c>
      <c r="AD85" s="70"/>
      <c r="AE85" s="14"/>
      <c r="AF85" s="55"/>
      <c r="AG85" s="55"/>
    </row>
    <row r="86" ht="13.5" customHeight="1">
      <c r="A86" s="80">
        <f t="shared" si="20"/>
        <v>81</v>
      </c>
      <c r="B86" s="26"/>
      <c r="C86" s="39"/>
      <c r="D86" s="40"/>
      <c r="E86" s="83"/>
      <c r="F86" s="42"/>
      <c r="G86" s="84"/>
      <c r="H86" s="84"/>
      <c r="I86" s="45"/>
      <c r="J86" s="46" t="s">
        <v>222</v>
      </c>
      <c r="K86" s="40" t="s">
        <v>222</v>
      </c>
      <c r="L86" s="40" t="s">
        <v>222</v>
      </c>
      <c r="M86" s="40" t="s">
        <v>222</v>
      </c>
      <c r="N86" s="40" t="s">
        <v>222</v>
      </c>
      <c r="O86" s="40" t="s">
        <v>222</v>
      </c>
      <c r="P86" s="48"/>
      <c r="Q86" s="48"/>
      <c r="R86" s="49" t="s">
        <v>222</v>
      </c>
      <c r="S86" s="50" t="s">
        <v>222</v>
      </c>
      <c r="T86" s="85"/>
      <c r="U86" s="52">
        <f t="shared" si="1"/>
        <v>0</v>
      </c>
      <c r="V86" s="85"/>
      <c r="W86" s="52">
        <f t="shared" si="9"/>
        <v>0</v>
      </c>
      <c r="X86" s="51">
        <f t="shared" si="3"/>
        <v>0</v>
      </c>
      <c r="Y86" s="52">
        <f t="shared" si="4"/>
        <v>0</v>
      </c>
      <c r="Z86" s="51">
        <f t="shared" si="5"/>
        <v>0</v>
      </c>
      <c r="AA86" s="52">
        <f t="shared" si="6"/>
        <v>0</v>
      </c>
      <c r="AB86" s="53">
        <f t="shared" si="7"/>
        <v>0</v>
      </c>
      <c r="AC86" s="52">
        <f t="shared" si="8"/>
        <v>0</v>
      </c>
      <c r="AD86" s="70"/>
      <c r="AE86" s="14"/>
      <c r="AF86" s="55"/>
      <c r="AG86" s="55"/>
    </row>
    <row r="87" ht="13.5" customHeight="1">
      <c r="A87" s="80">
        <f t="shared" si="20"/>
        <v>82</v>
      </c>
      <c r="B87" s="26"/>
      <c r="C87" s="39"/>
      <c r="D87" s="40"/>
      <c r="E87" s="83"/>
      <c r="F87" s="42"/>
      <c r="G87" s="84"/>
      <c r="H87" s="84"/>
      <c r="I87" s="45"/>
      <c r="J87" s="46" t="s">
        <v>222</v>
      </c>
      <c r="K87" s="40" t="s">
        <v>222</v>
      </c>
      <c r="L87" s="40" t="s">
        <v>222</v>
      </c>
      <c r="M87" s="40" t="s">
        <v>222</v>
      </c>
      <c r="N87" s="40" t="s">
        <v>222</v>
      </c>
      <c r="O87" s="40" t="s">
        <v>222</v>
      </c>
      <c r="P87" s="48"/>
      <c r="Q87" s="48"/>
      <c r="R87" s="49" t="s">
        <v>222</v>
      </c>
      <c r="S87" s="50" t="s">
        <v>222</v>
      </c>
      <c r="T87" s="85"/>
      <c r="U87" s="52">
        <f t="shared" si="1"/>
        <v>0</v>
      </c>
      <c r="V87" s="85"/>
      <c r="W87" s="52">
        <f t="shared" si="9"/>
        <v>0</v>
      </c>
      <c r="X87" s="51">
        <f t="shared" si="3"/>
        <v>0</v>
      </c>
      <c r="Y87" s="52">
        <f t="shared" si="4"/>
        <v>0</v>
      </c>
      <c r="Z87" s="51">
        <f t="shared" si="5"/>
        <v>0</v>
      </c>
      <c r="AA87" s="52">
        <f t="shared" si="6"/>
        <v>0</v>
      </c>
      <c r="AB87" s="53">
        <f t="shared" si="7"/>
        <v>0</v>
      </c>
      <c r="AC87" s="52">
        <f t="shared" si="8"/>
        <v>0</v>
      </c>
      <c r="AD87" s="70"/>
      <c r="AE87" s="14"/>
      <c r="AF87" s="55"/>
      <c r="AG87" s="55"/>
    </row>
    <row r="88" ht="13.5" customHeight="1">
      <c r="A88" s="80">
        <f t="shared" si="20"/>
        <v>83</v>
      </c>
      <c r="B88" s="26"/>
      <c r="C88" s="39"/>
      <c r="D88" s="40"/>
      <c r="E88" s="83"/>
      <c r="F88" s="42"/>
      <c r="G88" s="84"/>
      <c r="H88" s="84"/>
      <c r="I88" s="45"/>
      <c r="J88" s="46" t="s">
        <v>222</v>
      </c>
      <c r="K88" s="40" t="s">
        <v>222</v>
      </c>
      <c r="L88" s="40" t="s">
        <v>222</v>
      </c>
      <c r="M88" s="40" t="s">
        <v>222</v>
      </c>
      <c r="N88" s="40" t="s">
        <v>222</v>
      </c>
      <c r="O88" s="40" t="s">
        <v>222</v>
      </c>
      <c r="P88" s="48"/>
      <c r="Q88" s="48"/>
      <c r="R88" s="49" t="s">
        <v>222</v>
      </c>
      <c r="S88" s="50" t="s">
        <v>222</v>
      </c>
      <c r="T88" s="85"/>
      <c r="U88" s="52">
        <f t="shared" si="1"/>
        <v>0</v>
      </c>
      <c r="V88" s="85"/>
      <c r="W88" s="52">
        <f t="shared" si="9"/>
        <v>0</v>
      </c>
      <c r="X88" s="51">
        <f t="shared" si="3"/>
        <v>0</v>
      </c>
      <c r="Y88" s="52">
        <f t="shared" si="4"/>
        <v>0</v>
      </c>
      <c r="Z88" s="51">
        <f t="shared" si="5"/>
        <v>0</v>
      </c>
      <c r="AA88" s="52">
        <f t="shared" si="6"/>
        <v>0</v>
      </c>
      <c r="AB88" s="53">
        <f t="shared" si="7"/>
        <v>0</v>
      </c>
      <c r="AC88" s="52">
        <f t="shared" si="8"/>
        <v>0</v>
      </c>
      <c r="AD88" s="70"/>
      <c r="AE88" s="14"/>
      <c r="AF88" s="55"/>
      <c r="AG88" s="55"/>
    </row>
    <row r="89" ht="13.5" customHeight="1">
      <c r="A89" s="80">
        <f t="shared" si="20"/>
        <v>84</v>
      </c>
      <c r="B89" s="26"/>
      <c r="C89" s="39"/>
      <c r="D89" s="40"/>
      <c r="E89" s="83"/>
      <c r="F89" s="42"/>
      <c r="G89" s="84"/>
      <c r="H89" s="84"/>
      <c r="I89" s="45"/>
      <c r="J89" s="46" t="s">
        <v>222</v>
      </c>
      <c r="K89" s="40" t="s">
        <v>222</v>
      </c>
      <c r="L89" s="40" t="s">
        <v>222</v>
      </c>
      <c r="M89" s="40" t="s">
        <v>222</v>
      </c>
      <c r="N89" s="40" t="s">
        <v>222</v>
      </c>
      <c r="O89" s="40" t="s">
        <v>222</v>
      </c>
      <c r="P89" s="48"/>
      <c r="Q89" s="48"/>
      <c r="R89" s="49" t="s">
        <v>222</v>
      </c>
      <c r="S89" s="50" t="s">
        <v>222</v>
      </c>
      <c r="T89" s="85"/>
      <c r="U89" s="52">
        <f t="shared" si="1"/>
        <v>0</v>
      </c>
      <c r="V89" s="85"/>
      <c r="W89" s="52">
        <f t="shared" si="9"/>
        <v>0</v>
      </c>
      <c r="X89" s="51">
        <f t="shared" si="3"/>
        <v>0</v>
      </c>
      <c r="Y89" s="52">
        <f t="shared" si="4"/>
        <v>0</v>
      </c>
      <c r="Z89" s="51">
        <f t="shared" si="5"/>
        <v>0</v>
      </c>
      <c r="AA89" s="52">
        <f t="shared" si="6"/>
        <v>0</v>
      </c>
      <c r="AB89" s="53">
        <f t="shared" si="7"/>
        <v>0</v>
      </c>
      <c r="AC89" s="52">
        <f t="shared" si="8"/>
        <v>0</v>
      </c>
      <c r="AD89" s="70"/>
      <c r="AE89" s="14"/>
      <c r="AF89" s="55"/>
      <c r="AG89" s="55"/>
    </row>
    <row r="90" ht="13.5" customHeight="1">
      <c r="A90" s="80">
        <f t="shared" si="20"/>
        <v>85</v>
      </c>
      <c r="B90" s="26"/>
      <c r="C90" s="39"/>
      <c r="D90" s="40"/>
      <c r="E90" s="83"/>
      <c r="F90" s="42"/>
      <c r="G90" s="84"/>
      <c r="H90" s="84"/>
      <c r="I90" s="45"/>
      <c r="J90" s="46" t="s">
        <v>222</v>
      </c>
      <c r="K90" s="40" t="s">
        <v>222</v>
      </c>
      <c r="L90" s="40" t="s">
        <v>222</v>
      </c>
      <c r="M90" s="40" t="s">
        <v>222</v>
      </c>
      <c r="N90" s="40" t="s">
        <v>222</v>
      </c>
      <c r="O90" s="40" t="s">
        <v>222</v>
      </c>
      <c r="P90" s="48"/>
      <c r="Q90" s="48"/>
      <c r="R90" s="49" t="s">
        <v>222</v>
      </c>
      <c r="S90" s="50" t="s">
        <v>222</v>
      </c>
      <c r="T90" s="85"/>
      <c r="U90" s="52">
        <f t="shared" si="1"/>
        <v>0</v>
      </c>
      <c r="V90" s="85"/>
      <c r="W90" s="52">
        <f t="shared" si="9"/>
        <v>0</v>
      </c>
      <c r="X90" s="51">
        <f t="shared" si="3"/>
        <v>0</v>
      </c>
      <c r="Y90" s="52">
        <f t="shared" si="4"/>
        <v>0</v>
      </c>
      <c r="Z90" s="51">
        <f t="shared" si="5"/>
        <v>0</v>
      </c>
      <c r="AA90" s="52">
        <f t="shared" si="6"/>
        <v>0</v>
      </c>
      <c r="AB90" s="53">
        <f t="shared" si="7"/>
        <v>0</v>
      </c>
      <c r="AC90" s="52">
        <f t="shared" si="8"/>
        <v>0</v>
      </c>
      <c r="AD90" s="70"/>
      <c r="AE90" s="14"/>
      <c r="AF90" s="55"/>
      <c r="AG90" s="55"/>
    </row>
    <row r="91" ht="13.5" customHeight="1">
      <c r="A91" s="80">
        <f t="shared" si="20"/>
        <v>86</v>
      </c>
      <c r="B91" s="26"/>
      <c r="C91" s="39"/>
      <c r="D91" s="40"/>
      <c r="E91" s="83"/>
      <c r="F91" s="42"/>
      <c r="G91" s="84"/>
      <c r="H91" s="84"/>
      <c r="I91" s="45"/>
      <c r="J91" s="46" t="s">
        <v>222</v>
      </c>
      <c r="K91" s="40" t="s">
        <v>222</v>
      </c>
      <c r="L91" s="40" t="s">
        <v>222</v>
      </c>
      <c r="M91" s="40" t="s">
        <v>222</v>
      </c>
      <c r="N91" s="40" t="s">
        <v>222</v>
      </c>
      <c r="O91" s="40" t="s">
        <v>222</v>
      </c>
      <c r="P91" s="48"/>
      <c r="Q91" s="48"/>
      <c r="R91" s="49" t="s">
        <v>222</v>
      </c>
      <c r="S91" s="50" t="s">
        <v>222</v>
      </c>
      <c r="T91" s="85"/>
      <c r="U91" s="52">
        <f t="shared" si="1"/>
        <v>0</v>
      </c>
      <c r="V91" s="85"/>
      <c r="W91" s="52">
        <f t="shared" si="9"/>
        <v>0</v>
      </c>
      <c r="X91" s="51">
        <f t="shared" si="3"/>
        <v>0</v>
      </c>
      <c r="Y91" s="52">
        <f t="shared" si="4"/>
        <v>0</v>
      </c>
      <c r="Z91" s="51">
        <f t="shared" si="5"/>
        <v>0</v>
      </c>
      <c r="AA91" s="52">
        <f t="shared" si="6"/>
        <v>0</v>
      </c>
      <c r="AB91" s="53">
        <f t="shared" si="7"/>
        <v>0</v>
      </c>
      <c r="AC91" s="52">
        <f t="shared" si="8"/>
        <v>0</v>
      </c>
      <c r="AD91" s="70"/>
      <c r="AE91" s="14"/>
      <c r="AF91" s="55"/>
      <c r="AG91" s="55"/>
    </row>
    <row r="92" ht="13.5" customHeight="1">
      <c r="A92" s="80">
        <f t="shared" si="20"/>
        <v>87</v>
      </c>
      <c r="B92" s="26"/>
      <c r="C92" s="39"/>
      <c r="D92" s="40"/>
      <c r="E92" s="83"/>
      <c r="F92" s="42"/>
      <c r="G92" s="84"/>
      <c r="H92" s="84"/>
      <c r="I92" s="45"/>
      <c r="J92" s="46" t="s">
        <v>222</v>
      </c>
      <c r="K92" s="40" t="s">
        <v>222</v>
      </c>
      <c r="L92" s="40" t="s">
        <v>222</v>
      </c>
      <c r="M92" s="40" t="s">
        <v>222</v>
      </c>
      <c r="N92" s="40" t="s">
        <v>222</v>
      </c>
      <c r="O92" s="40" t="s">
        <v>222</v>
      </c>
      <c r="P92" s="48"/>
      <c r="Q92" s="48"/>
      <c r="R92" s="49" t="s">
        <v>222</v>
      </c>
      <c r="S92" s="50" t="s">
        <v>222</v>
      </c>
      <c r="T92" s="85"/>
      <c r="U92" s="52">
        <f t="shared" si="1"/>
        <v>0</v>
      </c>
      <c r="V92" s="85"/>
      <c r="W92" s="52">
        <f t="shared" si="9"/>
        <v>0</v>
      </c>
      <c r="X92" s="51">
        <f t="shared" si="3"/>
        <v>0</v>
      </c>
      <c r="Y92" s="52">
        <f t="shared" si="4"/>
        <v>0</v>
      </c>
      <c r="Z92" s="51">
        <f t="shared" si="5"/>
        <v>0</v>
      </c>
      <c r="AA92" s="52">
        <f t="shared" si="6"/>
        <v>0</v>
      </c>
      <c r="AB92" s="53">
        <f t="shared" si="7"/>
        <v>0</v>
      </c>
      <c r="AC92" s="52">
        <f t="shared" si="8"/>
        <v>0</v>
      </c>
      <c r="AD92" s="70"/>
      <c r="AE92" s="14"/>
      <c r="AF92" s="55"/>
      <c r="AG92" s="55"/>
    </row>
    <row r="93" ht="13.5" customHeight="1">
      <c r="A93" s="80">
        <f t="shared" si="20"/>
        <v>88</v>
      </c>
      <c r="B93" s="26"/>
      <c r="C93" s="39"/>
      <c r="D93" s="40"/>
      <c r="E93" s="83"/>
      <c r="F93" s="42"/>
      <c r="G93" s="84"/>
      <c r="H93" s="84"/>
      <c r="I93" s="45"/>
      <c r="J93" s="46" t="s">
        <v>222</v>
      </c>
      <c r="K93" s="40" t="s">
        <v>222</v>
      </c>
      <c r="L93" s="40" t="s">
        <v>222</v>
      </c>
      <c r="M93" s="40" t="s">
        <v>222</v>
      </c>
      <c r="N93" s="40" t="s">
        <v>222</v>
      </c>
      <c r="O93" s="40" t="s">
        <v>222</v>
      </c>
      <c r="P93" s="48"/>
      <c r="Q93" s="48"/>
      <c r="R93" s="49" t="s">
        <v>222</v>
      </c>
      <c r="S93" s="50" t="s">
        <v>222</v>
      </c>
      <c r="T93" s="85"/>
      <c r="U93" s="52">
        <f t="shared" si="1"/>
        <v>0</v>
      </c>
      <c r="V93" s="85"/>
      <c r="W93" s="52">
        <f t="shared" si="9"/>
        <v>0</v>
      </c>
      <c r="X93" s="51">
        <f t="shared" si="3"/>
        <v>0</v>
      </c>
      <c r="Y93" s="52">
        <f t="shared" si="4"/>
        <v>0</v>
      </c>
      <c r="Z93" s="51">
        <f t="shared" si="5"/>
        <v>0</v>
      </c>
      <c r="AA93" s="52">
        <f t="shared" si="6"/>
        <v>0</v>
      </c>
      <c r="AB93" s="53">
        <f t="shared" si="7"/>
        <v>0</v>
      </c>
      <c r="AC93" s="52">
        <f t="shared" si="8"/>
        <v>0</v>
      </c>
      <c r="AD93" s="70"/>
      <c r="AE93" s="14"/>
      <c r="AF93" s="55"/>
      <c r="AG93" s="55"/>
    </row>
    <row r="94" ht="13.5" customHeight="1">
      <c r="A94" s="80">
        <f t="shared" si="20"/>
        <v>89</v>
      </c>
      <c r="B94" s="26"/>
      <c r="C94" s="39"/>
      <c r="D94" s="40"/>
      <c r="E94" s="83"/>
      <c r="F94" s="42"/>
      <c r="G94" s="84"/>
      <c r="H94" s="84"/>
      <c r="I94" s="45"/>
      <c r="J94" s="46" t="s">
        <v>222</v>
      </c>
      <c r="K94" s="40" t="s">
        <v>222</v>
      </c>
      <c r="L94" s="40" t="s">
        <v>222</v>
      </c>
      <c r="M94" s="40" t="s">
        <v>222</v>
      </c>
      <c r="N94" s="40" t="s">
        <v>222</v>
      </c>
      <c r="O94" s="40" t="s">
        <v>222</v>
      </c>
      <c r="P94" s="48"/>
      <c r="Q94" s="48"/>
      <c r="R94" s="49" t="s">
        <v>222</v>
      </c>
      <c r="S94" s="50" t="s">
        <v>222</v>
      </c>
      <c r="T94" s="85"/>
      <c r="U94" s="52">
        <f t="shared" si="1"/>
        <v>0</v>
      </c>
      <c r="V94" s="85"/>
      <c r="W94" s="52">
        <f t="shared" si="9"/>
        <v>0</v>
      </c>
      <c r="X94" s="51">
        <f t="shared" si="3"/>
        <v>0</v>
      </c>
      <c r="Y94" s="52">
        <f t="shared" si="4"/>
        <v>0</v>
      </c>
      <c r="Z94" s="51">
        <f t="shared" si="5"/>
        <v>0</v>
      </c>
      <c r="AA94" s="52">
        <f t="shared" si="6"/>
        <v>0</v>
      </c>
      <c r="AB94" s="53">
        <f t="shared" si="7"/>
        <v>0</v>
      </c>
      <c r="AC94" s="52">
        <f t="shared" si="8"/>
        <v>0</v>
      </c>
      <c r="AD94" s="70"/>
      <c r="AE94" s="14"/>
      <c r="AF94" s="55"/>
      <c r="AG94" s="55"/>
    </row>
    <row r="95" ht="13.5" customHeight="1">
      <c r="A95" s="80">
        <f t="shared" si="20"/>
        <v>90</v>
      </c>
      <c r="B95" s="26"/>
      <c r="C95" s="39"/>
      <c r="D95" s="40"/>
      <c r="E95" s="83"/>
      <c r="F95" s="42"/>
      <c r="G95" s="84"/>
      <c r="H95" s="84"/>
      <c r="I95" s="45"/>
      <c r="J95" s="46" t="s">
        <v>222</v>
      </c>
      <c r="K95" s="40" t="s">
        <v>222</v>
      </c>
      <c r="L95" s="40" t="s">
        <v>222</v>
      </c>
      <c r="M95" s="40" t="s">
        <v>222</v>
      </c>
      <c r="N95" s="40" t="s">
        <v>222</v>
      </c>
      <c r="O95" s="40" t="s">
        <v>222</v>
      </c>
      <c r="P95" s="48"/>
      <c r="Q95" s="48"/>
      <c r="R95" s="49" t="s">
        <v>222</v>
      </c>
      <c r="S95" s="50" t="s">
        <v>222</v>
      </c>
      <c r="T95" s="85"/>
      <c r="U95" s="52">
        <f t="shared" si="1"/>
        <v>0</v>
      </c>
      <c r="V95" s="85"/>
      <c r="W95" s="52">
        <f t="shared" si="9"/>
        <v>0</v>
      </c>
      <c r="X95" s="51">
        <f t="shared" si="3"/>
        <v>0</v>
      </c>
      <c r="Y95" s="52">
        <f t="shared" si="4"/>
        <v>0</v>
      </c>
      <c r="Z95" s="51">
        <f t="shared" si="5"/>
        <v>0</v>
      </c>
      <c r="AA95" s="52">
        <f t="shared" si="6"/>
        <v>0</v>
      </c>
      <c r="AB95" s="53">
        <f t="shared" si="7"/>
        <v>0</v>
      </c>
      <c r="AC95" s="52">
        <f t="shared" si="8"/>
        <v>0</v>
      </c>
      <c r="AD95" s="70"/>
      <c r="AE95" s="14"/>
      <c r="AF95" s="55"/>
      <c r="AG95" s="55"/>
    </row>
    <row r="96" ht="13.5" customHeight="1">
      <c r="A96" s="80">
        <f t="shared" si="20"/>
        <v>91</v>
      </c>
      <c r="B96" s="26"/>
      <c r="C96" s="39"/>
      <c r="D96" s="40"/>
      <c r="E96" s="83"/>
      <c r="F96" s="42"/>
      <c r="G96" s="84"/>
      <c r="H96" s="84"/>
      <c r="I96" s="45"/>
      <c r="J96" s="46" t="s">
        <v>222</v>
      </c>
      <c r="K96" s="40" t="s">
        <v>222</v>
      </c>
      <c r="L96" s="40" t="s">
        <v>222</v>
      </c>
      <c r="M96" s="40" t="s">
        <v>222</v>
      </c>
      <c r="N96" s="40" t="s">
        <v>222</v>
      </c>
      <c r="O96" s="40" t="s">
        <v>222</v>
      </c>
      <c r="P96" s="48"/>
      <c r="Q96" s="48"/>
      <c r="R96" s="49" t="s">
        <v>222</v>
      </c>
      <c r="S96" s="50" t="s">
        <v>222</v>
      </c>
      <c r="T96" s="85"/>
      <c r="U96" s="52">
        <f t="shared" si="1"/>
        <v>0</v>
      </c>
      <c r="V96" s="85"/>
      <c r="W96" s="52">
        <f t="shared" si="9"/>
        <v>0</v>
      </c>
      <c r="X96" s="51">
        <f t="shared" si="3"/>
        <v>0</v>
      </c>
      <c r="Y96" s="52">
        <f t="shared" si="4"/>
        <v>0</v>
      </c>
      <c r="Z96" s="51">
        <f t="shared" si="5"/>
        <v>0</v>
      </c>
      <c r="AA96" s="52">
        <f t="shared" si="6"/>
        <v>0</v>
      </c>
      <c r="AB96" s="53">
        <f t="shared" si="7"/>
        <v>0</v>
      </c>
      <c r="AC96" s="52">
        <f t="shared" si="8"/>
        <v>0</v>
      </c>
      <c r="AD96" s="70"/>
      <c r="AE96" s="14"/>
      <c r="AF96" s="55"/>
      <c r="AG96" s="55"/>
    </row>
    <row r="97" ht="13.5" customHeight="1">
      <c r="A97" s="80">
        <f t="shared" si="20"/>
        <v>92</v>
      </c>
      <c r="B97" s="26"/>
      <c r="C97" s="39"/>
      <c r="D97" s="40"/>
      <c r="E97" s="83"/>
      <c r="F97" s="42"/>
      <c r="G97" s="84"/>
      <c r="H97" s="84"/>
      <c r="I97" s="45"/>
      <c r="J97" s="46" t="s">
        <v>222</v>
      </c>
      <c r="K97" s="40" t="s">
        <v>222</v>
      </c>
      <c r="L97" s="40" t="s">
        <v>222</v>
      </c>
      <c r="M97" s="40" t="s">
        <v>222</v>
      </c>
      <c r="N97" s="40" t="s">
        <v>222</v>
      </c>
      <c r="O97" s="40" t="s">
        <v>222</v>
      </c>
      <c r="P97" s="48"/>
      <c r="Q97" s="48"/>
      <c r="R97" s="49" t="s">
        <v>222</v>
      </c>
      <c r="S97" s="50" t="s">
        <v>222</v>
      </c>
      <c r="T97" s="85"/>
      <c r="U97" s="52">
        <f t="shared" si="1"/>
        <v>0</v>
      </c>
      <c r="V97" s="85"/>
      <c r="W97" s="52">
        <f t="shared" si="9"/>
        <v>0</v>
      </c>
      <c r="X97" s="51">
        <f t="shared" si="3"/>
        <v>0</v>
      </c>
      <c r="Y97" s="52">
        <f t="shared" si="4"/>
        <v>0</v>
      </c>
      <c r="Z97" s="51">
        <f t="shared" si="5"/>
        <v>0</v>
      </c>
      <c r="AA97" s="52">
        <f t="shared" si="6"/>
        <v>0</v>
      </c>
      <c r="AB97" s="53">
        <f t="shared" si="7"/>
        <v>0</v>
      </c>
      <c r="AC97" s="52">
        <f t="shared" si="8"/>
        <v>0</v>
      </c>
      <c r="AD97" s="70"/>
      <c r="AE97" s="14"/>
      <c r="AF97" s="55"/>
      <c r="AG97" s="55"/>
    </row>
    <row r="98" ht="13.5" customHeight="1">
      <c r="A98" s="80">
        <f t="shared" si="20"/>
        <v>93</v>
      </c>
      <c r="B98" s="26"/>
      <c r="C98" s="39"/>
      <c r="D98" s="40"/>
      <c r="E98" s="83"/>
      <c r="F98" s="42"/>
      <c r="G98" s="84"/>
      <c r="H98" s="84"/>
      <c r="I98" s="45"/>
      <c r="J98" s="46" t="s">
        <v>222</v>
      </c>
      <c r="K98" s="40" t="s">
        <v>222</v>
      </c>
      <c r="L98" s="40" t="s">
        <v>222</v>
      </c>
      <c r="M98" s="40" t="s">
        <v>222</v>
      </c>
      <c r="N98" s="40" t="s">
        <v>222</v>
      </c>
      <c r="O98" s="40" t="s">
        <v>222</v>
      </c>
      <c r="P98" s="48"/>
      <c r="Q98" s="48"/>
      <c r="R98" s="49" t="s">
        <v>222</v>
      </c>
      <c r="S98" s="50" t="s">
        <v>222</v>
      </c>
      <c r="T98" s="85"/>
      <c r="U98" s="52">
        <f t="shared" si="1"/>
        <v>0</v>
      </c>
      <c r="V98" s="85"/>
      <c r="W98" s="52">
        <f t="shared" si="9"/>
        <v>0</v>
      </c>
      <c r="X98" s="51">
        <f t="shared" si="3"/>
        <v>0</v>
      </c>
      <c r="Y98" s="52">
        <f t="shared" si="4"/>
        <v>0</v>
      </c>
      <c r="Z98" s="51">
        <f t="shared" si="5"/>
        <v>0</v>
      </c>
      <c r="AA98" s="52">
        <f t="shared" si="6"/>
        <v>0</v>
      </c>
      <c r="AB98" s="53">
        <f t="shared" si="7"/>
        <v>0</v>
      </c>
      <c r="AC98" s="52">
        <f t="shared" si="8"/>
        <v>0</v>
      </c>
      <c r="AD98" s="70"/>
      <c r="AE98" s="14"/>
      <c r="AF98" s="55"/>
      <c r="AG98" s="55"/>
    </row>
    <row r="99" ht="13.5" customHeight="1">
      <c r="A99" s="80">
        <f t="shared" si="20"/>
        <v>94</v>
      </c>
      <c r="B99" s="26"/>
      <c r="C99" s="39"/>
      <c r="D99" s="40"/>
      <c r="E99" s="83"/>
      <c r="F99" s="42"/>
      <c r="G99" s="84"/>
      <c r="H99" s="84"/>
      <c r="I99" s="45"/>
      <c r="J99" s="46" t="s">
        <v>222</v>
      </c>
      <c r="K99" s="40" t="s">
        <v>222</v>
      </c>
      <c r="L99" s="40" t="s">
        <v>222</v>
      </c>
      <c r="M99" s="40" t="s">
        <v>222</v>
      </c>
      <c r="N99" s="40" t="s">
        <v>222</v>
      </c>
      <c r="O99" s="40" t="s">
        <v>222</v>
      </c>
      <c r="P99" s="48"/>
      <c r="Q99" s="48"/>
      <c r="R99" s="49" t="s">
        <v>222</v>
      </c>
      <c r="S99" s="50" t="s">
        <v>222</v>
      </c>
      <c r="T99" s="85"/>
      <c r="U99" s="52">
        <f t="shared" si="1"/>
        <v>0</v>
      </c>
      <c r="V99" s="85"/>
      <c r="W99" s="52">
        <f t="shared" si="9"/>
        <v>0</v>
      </c>
      <c r="X99" s="51">
        <f t="shared" si="3"/>
        <v>0</v>
      </c>
      <c r="Y99" s="52">
        <f t="shared" si="4"/>
        <v>0</v>
      </c>
      <c r="Z99" s="51">
        <f t="shared" si="5"/>
        <v>0</v>
      </c>
      <c r="AA99" s="52">
        <f t="shared" si="6"/>
        <v>0</v>
      </c>
      <c r="AB99" s="53">
        <f t="shared" si="7"/>
        <v>0</v>
      </c>
      <c r="AC99" s="52">
        <f t="shared" si="8"/>
        <v>0</v>
      </c>
      <c r="AD99" s="70"/>
      <c r="AE99" s="14"/>
      <c r="AF99" s="55"/>
      <c r="AG99" s="55"/>
    </row>
    <row r="100" ht="13.5" customHeight="1">
      <c r="A100" s="80">
        <f t="shared" si="20"/>
        <v>95</v>
      </c>
      <c r="B100" s="26"/>
      <c r="C100" s="39"/>
      <c r="D100" s="40"/>
      <c r="E100" s="83"/>
      <c r="F100" s="42"/>
      <c r="G100" s="84"/>
      <c r="H100" s="84"/>
      <c r="I100" s="45"/>
      <c r="J100" s="46" t="s">
        <v>222</v>
      </c>
      <c r="K100" s="40" t="s">
        <v>222</v>
      </c>
      <c r="L100" s="40" t="s">
        <v>222</v>
      </c>
      <c r="M100" s="40" t="s">
        <v>222</v>
      </c>
      <c r="N100" s="40" t="s">
        <v>222</v>
      </c>
      <c r="O100" s="40" t="s">
        <v>222</v>
      </c>
      <c r="P100" s="48"/>
      <c r="Q100" s="48"/>
      <c r="R100" s="49" t="s">
        <v>222</v>
      </c>
      <c r="S100" s="50" t="s">
        <v>222</v>
      </c>
      <c r="T100" s="85"/>
      <c r="U100" s="52">
        <f t="shared" si="1"/>
        <v>0</v>
      </c>
      <c r="V100" s="85"/>
      <c r="W100" s="52">
        <f t="shared" si="9"/>
        <v>0</v>
      </c>
      <c r="X100" s="51">
        <f t="shared" si="3"/>
        <v>0</v>
      </c>
      <c r="Y100" s="52">
        <f t="shared" si="4"/>
        <v>0</v>
      </c>
      <c r="Z100" s="51">
        <f t="shared" si="5"/>
        <v>0</v>
      </c>
      <c r="AA100" s="52">
        <f t="shared" si="6"/>
        <v>0</v>
      </c>
      <c r="AB100" s="53">
        <f t="shared" si="7"/>
        <v>0</v>
      </c>
      <c r="AC100" s="52">
        <f t="shared" si="8"/>
        <v>0</v>
      </c>
      <c r="AD100" s="70"/>
      <c r="AE100" s="14"/>
      <c r="AF100" s="55"/>
      <c r="AG100" s="55"/>
    </row>
    <row r="101" ht="13.5" customHeight="1">
      <c r="A101" s="80">
        <f t="shared" si="20"/>
        <v>96</v>
      </c>
      <c r="B101" s="26"/>
      <c r="C101" s="39"/>
      <c r="D101" s="40"/>
      <c r="E101" s="83"/>
      <c r="F101" s="42"/>
      <c r="G101" s="84"/>
      <c r="H101" s="84"/>
      <c r="I101" s="45"/>
      <c r="J101" s="46" t="s">
        <v>222</v>
      </c>
      <c r="K101" s="40" t="s">
        <v>222</v>
      </c>
      <c r="L101" s="40" t="s">
        <v>222</v>
      </c>
      <c r="M101" s="40" t="s">
        <v>222</v>
      </c>
      <c r="N101" s="40" t="s">
        <v>222</v>
      </c>
      <c r="O101" s="40" t="s">
        <v>222</v>
      </c>
      <c r="P101" s="48"/>
      <c r="Q101" s="48"/>
      <c r="R101" s="49" t="s">
        <v>222</v>
      </c>
      <c r="S101" s="50" t="s">
        <v>222</v>
      </c>
      <c r="T101" s="85"/>
      <c r="U101" s="52">
        <f t="shared" si="1"/>
        <v>0</v>
      </c>
      <c r="V101" s="85"/>
      <c r="W101" s="52">
        <f t="shared" si="9"/>
        <v>0</v>
      </c>
      <c r="X101" s="51">
        <f t="shared" si="3"/>
        <v>0</v>
      </c>
      <c r="Y101" s="52">
        <f t="shared" si="4"/>
        <v>0</v>
      </c>
      <c r="Z101" s="51">
        <f t="shared" si="5"/>
        <v>0</v>
      </c>
      <c r="AA101" s="52">
        <f t="shared" si="6"/>
        <v>0</v>
      </c>
      <c r="AB101" s="53">
        <f t="shared" si="7"/>
        <v>0</v>
      </c>
      <c r="AC101" s="52">
        <f t="shared" si="8"/>
        <v>0</v>
      </c>
      <c r="AD101" s="70"/>
      <c r="AE101" s="14"/>
      <c r="AF101" s="55"/>
      <c r="AG101" s="55"/>
    </row>
    <row r="102" ht="13.5" customHeight="1">
      <c r="A102" s="80">
        <f t="shared" si="20"/>
        <v>97</v>
      </c>
      <c r="B102" s="26"/>
      <c r="C102" s="39"/>
      <c r="D102" s="40"/>
      <c r="E102" s="83"/>
      <c r="F102" s="42"/>
      <c r="G102" s="84"/>
      <c r="H102" s="84"/>
      <c r="I102" s="45"/>
      <c r="J102" s="46" t="s">
        <v>222</v>
      </c>
      <c r="K102" s="40" t="s">
        <v>222</v>
      </c>
      <c r="L102" s="40" t="s">
        <v>222</v>
      </c>
      <c r="M102" s="40" t="s">
        <v>222</v>
      </c>
      <c r="N102" s="40" t="s">
        <v>222</v>
      </c>
      <c r="O102" s="40" t="s">
        <v>222</v>
      </c>
      <c r="P102" s="48"/>
      <c r="Q102" s="48"/>
      <c r="R102" s="49" t="s">
        <v>222</v>
      </c>
      <c r="S102" s="50" t="s">
        <v>222</v>
      </c>
      <c r="T102" s="85"/>
      <c r="U102" s="52">
        <f t="shared" si="1"/>
        <v>0</v>
      </c>
      <c r="V102" s="85"/>
      <c r="W102" s="52">
        <f t="shared" si="9"/>
        <v>0</v>
      </c>
      <c r="X102" s="51">
        <f t="shared" si="3"/>
        <v>0</v>
      </c>
      <c r="Y102" s="52">
        <f t="shared" si="4"/>
        <v>0</v>
      </c>
      <c r="Z102" s="51">
        <f t="shared" si="5"/>
        <v>0</v>
      </c>
      <c r="AA102" s="52">
        <f t="shared" si="6"/>
        <v>0</v>
      </c>
      <c r="AB102" s="53">
        <f t="shared" si="7"/>
        <v>0</v>
      </c>
      <c r="AC102" s="52">
        <f t="shared" si="8"/>
        <v>0</v>
      </c>
      <c r="AD102" s="70"/>
      <c r="AE102" s="14"/>
      <c r="AF102" s="55"/>
      <c r="AG102" s="55"/>
    </row>
    <row r="103" ht="13.5" customHeight="1">
      <c r="A103" s="80">
        <f t="shared" si="20"/>
        <v>98</v>
      </c>
      <c r="B103" s="26"/>
      <c r="C103" s="39"/>
      <c r="D103" s="40"/>
      <c r="E103" s="83"/>
      <c r="F103" s="42"/>
      <c r="G103" s="84"/>
      <c r="H103" s="84"/>
      <c r="I103" s="45"/>
      <c r="J103" s="46" t="s">
        <v>222</v>
      </c>
      <c r="K103" s="40" t="s">
        <v>222</v>
      </c>
      <c r="L103" s="40" t="s">
        <v>222</v>
      </c>
      <c r="M103" s="40" t="s">
        <v>222</v>
      </c>
      <c r="N103" s="40" t="s">
        <v>222</v>
      </c>
      <c r="O103" s="40" t="s">
        <v>222</v>
      </c>
      <c r="P103" s="48"/>
      <c r="Q103" s="48"/>
      <c r="R103" s="49" t="s">
        <v>222</v>
      </c>
      <c r="S103" s="50" t="s">
        <v>222</v>
      </c>
      <c r="T103" s="85"/>
      <c r="U103" s="52">
        <f t="shared" si="1"/>
        <v>0</v>
      </c>
      <c r="V103" s="85"/>
      <c r="W103" s="52">
        <f t="shared" si="9"/>
        <v>0</v>
      </c>
      <c r="X103" s="51">
        <f t="shared" si="3"/>
        <v>0</v>
      </c>
      <c r="Y103" s="52">
        <f t="shared" si="4"/>
        <v>0</v>
      </c>
      <c r="Z103" s="51">
        <f t="shared" si="5"/>
        <v>0</v>
      </c>
      <c r="AA103" s="52">
        <f t="shared" si="6"/>
        <v>0</v>
      </c>
      <c r="AB103" s="53">
        <f t="shared" si="7"/>
        <v>0</v>
      </c>
      <c r="AC103" s="52">
        <f t="shared" si="8"/>
        <v>0</v>
      </c>
      <c r="AD103" s="70"/>
      <c r="AE103" s="14"/>
      <c r="AF103" s="55"/>
      <c r="AG103" s="55"/>
    </row>
    <row r="104" ht="13.5" customHeight="1">
      <c r="A104" s="80">
        <f t="shared" si="20"/>
        <v>99</v>
      </c>
      <c r="B104" s="26"/>
      <c r="C104" s="39"/>
      <c r="D104" s="40"/>
      <c r="E104" s="83"/>
      <c r="F104" s="42"/>
      <c r="G104" s="84"/>
      <c r="H104" s="84"/>
      <c r="I104" s="45"/>
      <c r="J104" s="46" t="s">
        <v>222</v>
      </c>
      <c r="K104" s="40" t="s">
        <v>222</v>
      </c>
      <c r="L104" s="40" t="s">
        <v>222</v>
      </c>
      <c r="M104" s="40" t="s">
        <v>222</v>
      </c>
      <c r="N104" s="40" t="s">
        <v>222</v>
      </c>
      <c r="O104" s="40" t="s">
        <v>222</v>
      </c>
      <c r="P104" s="48"/>
      <c r="Q104" s="48"/>
      <c r="R104" s="49" t="s">
        <v>222</v>
      </c>
      <c r="S104" s="50" t="s">
        <v>222</v>
      </c>
      <c r="T104" s="85"/>
      <c r="U104" s="52">
        <f t="shared" si="1"/>
        <v>0</v>
      </c>
      <c r="V104" s="85"/>
      <c r="W104" s="52">
        <f t="shared" si="9"/>
        <v>0</v>
      </c>
      <c r="X104" s="51">
        <f t="shared" si="3"/>
        <v>0</v>
      </c>
      <c r="Y104" s="52">
        <f t="shared" si="4"/>
        <v>0</v>
      </c>
      <c r="Z104" s="51">
        <f t="shared" si="5"/>
        <v>0</v>
      </c>
      <c r="AA104" s="52">
        <f t="shared" si="6"/>
        <v>0</v>
      </c>
      <c r="AB104" s="53">
        <f t="shared" si="7"/>
        <v>0</v>
      </c>
      <c r="AC104" s="52">
        <f t="shared" si="8"/>
        <v>0</v>
      </c>
      <c r="AD104" s="70"/>
      <c r="AE104" s="14"/>
      <c r="AF104" s="55"/>
      <c r="AG104" s="55"/>
    </row>
    <row r="105" ht="13.5" customHeight="1">
      <c r="A105" s="80">
        <f t="shared" si="20"/>
        <v>100</v>
      </c>
      <c r="B105" s="26"/>
      <c r="C105" s="39"/>
      <c r="D105" s="40"/>
      <c r="E105" s="83"/>
      <c r="F105" s="42"/>
      <c r="G105" s="84"/>
      <c r="H105" s="84"/>
      <c r="I105" s="45"/>
      <c r="J105" s="46" t="s">
        <v>222</v>
      </c>
      <c r="K105" s="40" t="s">
        <v>222</v>
      </c>
      <c r="L105" s="40" t="s">
        <v>222</v>
      </c>
      <c r="M105" s="40" t="s">
        <v>222</v>
      </c>
      <c r="N105" s="40" t="s">
        <v>222</v>
      </c>
      <c r="O105" s="40" t="s">
        <v>222</v>
      </c>
      <c r="P105" s="48"/>
      <c r="Q105" s="48"/>
      <c r="R105" s="49" t="s">
        <v>222</v>
      </c>
      <c r="S105" s="50" t="s">
        <v>222</v>
      </c>
      <c r="T105" s="85"/>
      <c r="U105" s="52">
        <f t="shared" si="1"/>
        <v>0</v>
      </c>
      <c r="V105" s="85"/>
      <c r="W105" s="52">
        <f t="shared" si="9"/>
        <v>0</v>
      </c>
      <c r="X105" s="51">
        <f t="shared" si="3"/>
        <v>0</v>
      </c>
      <c r="Y105" s="52">
        <f t="shared" si="4"/>
        <v>0</v>
      </c>
      <c r="Z105" s="51">
        <f t="shared" si="5"/>
        <v>0</v>
      </c>
      <c r="AA105" s="52">
        <f t="shared" si="6"/>
        <v>0</v>
      </c>
      <c r="AB105" s="53">
        <f t="shared" si="7"/>
        <v>0</v>
      </c>
      <c r="AC105" s="52">
        <f t="shared" si="8"/>
        <v>0</v>
      </c>
      <c r="AD105" s="70"/>
      <c r="AE105" s="14"/>
      <c r="AF105" s="55"/>
      <c r="AG105" s="55"/>
    </row>
    <row r="106" ht="13.5" customHeight="1">
      <c r="A106" s="80">
        <f t="shared" si="20"/>
        <v>101</v>
      </c>
      <c r="B106" s="26"/>
      <c r="C106" s="39"/>
      <c r="D106" s="40"/>
      <c r="E106" s="83"/>
      <c r="F106" s="42"/>
      <c r="G106" s="84"/>
      <c r="H106" s="84"/>
      <c r="I106" s="45"/>
      <c r="J106" s="46" t="s">
        <v>222</v>
      </c>
      <c r="K106" s="40" t="s">
        <v>222</v>
      </c>
      <c r="L106" s="40" t="s">
        <v>222</v>
      </c>
      <c r="M106" s="40" t="s">
        <v>222</v>
      </c>
      <c r="N106" s="40" t="s">
        <v>222</v>
      </c>
      <c r="O106" s="40" t="s">
        <v>222</v>
      </c>
      <c r="P106" s="48"/>
      <c r="Q106" s="48"/>
      <c r="R106" s="49" t="s">
        <v>222</v>
      </c>
      <c r="S106" s="50" t="s">
        <v>222</v>
      </c>
      <c r="T106" s="85"/>
      <c r="U106" s="52">
        <f t="shared" si="1"/>
        <v>0</v>
      </c>
      <c r="V106" s="85"/>
      <c r="W106" s="52">
        <f t="shared" si="9"/>
        <v>0</v>
      </c>
      <c r="X106" s="51">
        <f t="shared" si="3"/>
        <v>0</v>
      </c>
      <c r="Y106" s="52">
        <f t="shared" si="4"/>
        <v>0</v>
      </c>
      <c r="Z106" s="51">
        <f t="shared" si="5"/>
        <v>0</v>
      </c>
      <c r="AA106" s="52">
        <f t="shared" si="6"/>
        <v>0</v>
      </c>
      <c r="AB106" s="53">
        <f t="shared" si="7"/>
        <v>0</v>
      </c>
      <c r="AC106" s="52">
        <f t="shared" si="8"/>
        <v>0</v>
      </c>
      <c r="AD106" s="70"/>
      <c r="AE106" s="14"/>
      <c r="AF106" s="55"/>
      <c r="AG106" s="55"/>
    </row>
    <row r="107" ht="13.5" customHeight="1">
      <c r="A107" s="80">
        <f t="shared" si="20"/>
        <v>102</v>
      </c>
      <c r="B107" s="26"/>
      <c r="C107" s="39"/>
      <c r="D107" s="40"/>
      <c r="E107" s="83"/>
      <c r="F107" s="42"/>
      <c r="G107" s="84"/>
      <c r="H107" s="84"/>
      <c r="I107" s="45"/>
      <c r="J107" s="46" t="s">
        <v>222</v>
      </c>
      <c r="K107" s="40" t="s">
        <v>222</v>
      </c>
      <c r="L107" s="40" t="s">
        <v>222</v>
      </c>
      <c r="M107" s="40" t="s">
        <v>222</v>
      </c>
      <c r="N107" s="40" t="s">
        <v>222</v>
      </c>
      <c r="O107" s="40" t="s">
        <v>222</v>
      </c>
      <c r="P107" s="48"/>
      <c r="Q107" s="48"/>
      <c r="R107" s="49" t="s">
        <v>222</v>
      </c>
      <c r="S107" s="50" t="s">
        <v>222</v>
      </c>
      <c r="T107" s="85"/>
      <c r="U107" s="52">
        <f t="shared" si="1"/>
        <v>0</v>
      </c>
      <c r="V107" s="85"/>
      <c r="W107" s="52">
        <f t="shared" si="9"/>
        <v>0</v>
      </c>
      <c r="X107" s="51">
        <f t="shared" si="3"/>
        <v>0</v>
      </c>
      <c r="Y107" s="52">
        <f t="shared" si="4"/>
        <v>0</v>
      </c>
      <c r="Z107" s="51">
        <f t="shared" si="5"/>
        <v>0</v>
      </c>
      <c r="AA107" s="52">
        <f t="shared" si="6"/>
        <v>0</v>
      </c>
      <c r="AB107" s="53">
        <f t="shared" si="7"/>
        <v>0</v>
      </c>
      <c r="AC107" s="52">
        <f t="shared" si="8"/>
        <v>0</v>
      </c>
      <c r="AD107" s="70"/>
      <c r="AE107" s="14"/>
      <c r="AF107" s="55"/>
      <c r="AG107" s="55"/>
    </row>
    <row r="108" ht="13.5" customHeight="1">
      <c r="A108" s="80">
        <f t="shared" si="20"/>
        <v>103</v>
      </c>
      <c r="B108" s="26"/>
      <c r="C108" s="39"/>
      <c r="D108" s="40"/>
      <c r="E108" s="83"/>
      <c r="F108" s="42"/>
      <c r="G108" s="84"/>
      <c r="H108" s="84"/>
      <c r="I108" s="45"/>
      <c r="J108" s="46" t="s">
        <v>222</v>
      </c>
      <c r="K108" s="40" t="s">
        <v>222</v>
      </c>
      <c r="L108" s="40" t="s">
        <v>222</v>
      </c>
      <c r="M108" s="40" t="s">
        <v>222</v>
      </c>
      <c r="N108" s="40" t="s">
        <v>222</v>
      </c>
      <c r="O108" s="40" t="s">
        <v>222</v>
      </c>
      <c r="P108" s="48"/>
      <c r="Q108" s="48"/>
      <c r="R108" s="49" t="s">
        <v>222</v>
      </c>
      <c r="S108" s="50" t="s">
        <v>222</v>
      </c>
      <c r="T108" s="85"/>
      <c r="U108" s="52">
        <f t="shared" si="1"/>
        <v>0</v>
      </c>
      <c r="V108" s="85"/>
      <c r="W108" s="52">
        <f t="shared" si="9"/>
        <v>0</v>
      </c>
      <c r="X108" s="51">
        <f t="shared" si="3"/>
        <v>0</v>
      </c>
      <c r="Y108" s="52">
        <f t="shared" si="4"/>
        <v>0</v>
      </c>
      <c r="Z108" s="51">
        <f t="shared" si="5"/>
        <v>0</v>
      </c>
      <c r="AA108" s="52">
        <f t="shared" si="6"/>
        <v>0</v>
      </c>
      <c r="AB108" s="53">
        <f t="shared" si="7"/>
        <v>0</v>
      </c>
      <c r="AC108" s="52">
        <f t="shared" si="8"/>
        <v>0</v>
      </c>
      <c r="AD108" s="70"/>
      <c r="AE108" s="14"/>
      <c r="AF108" s="55"/>
      <c r="AG108" s="55"/>
    </row>
    <row r="109" ht="13.5" customHeight="1">
      <c r="A109" s="80">
        <f t="shared" si="20"/>
        <v>104</v>
      </c>
      <c r="B109" s="26"/>
      <c r="C109" s="39"/>
      <c r="D109" s="40"/>
      <c r="E109" s="83"/>
      <c r="F109" s="42"/>
      <c r="G109" s="84"/>
      <c r="H109" s="84"/>
      <c r="I109" s="45"/>
      <c r="J109" s="46" t="s">
        <v>222</v>
      </c>
      <c r="K109" s="40" t="s">
        <v>222</v>
      </c>
      <c r="L109" s="40" t="s">
        <v>222</v>
      </c>
      <c r="M109" s="40" t="s">
        <v>222</v>
      </c>
      <c r="N109" s="40" t="s">
        <v>222</v>
      </c>
      <c r="O109" s="40" t="s">
        <v>222</v>
      </c>
      <c r="P109" s="48"/>
      <c r="Q109" s="48"/>
      <c r="R109" s="49" t="s">
        <v>222</v>
      </c>
      <c r="S109" s="50" t="s">
        <v>222</v>
      </c>
      <c r="T109" s="85"/>
      <c r="U109" s="52">
        <f t="shared" si="1"/>
        <v>0</v>
      </c>
      <c r="V109" s="85"/>
      <c r="W109" s="52">
        <f t="shared" si="9"/>
        <v>0</v>
      </c>
      <c r="X109" s="51">
        <f t="shared" si="3"/>
        <v>0</v>
      </c>
      <c r="Y109" s="52">
        <f t="shared" si="4"/>
        <v>0</v>
      </c>
      <c r="Z109" s="51">
        <f t="shared" si="5"/>
        <v>0</v>
      </c>
      <c r="AA109" s="52">
        <f t="shared" si="6"/>
        <v>0</v>
      </c>
      <c r="AB109" s="53">
        <f t="shared" si="7"/>
        <v>0</v>
      </c>
      <c r="AC109" s="52">
        <f t="shared" si="8"/>
        <v>0</v>
      </c>
      <c r="AD109" s="70"/>
      <c r="AE109" s="14"/>
      <c r="AF109" s="55"/>
      <c r="AG109" s="55"/>
    </row>
    <row r="110" ht="13.5" customHeight="1">
      <c r="A110" s="80">
        <f t="shared" si="20"/>
        <v>105</v>
      </c>
      <c r="B110" s="26"/>
      <c r="C110" s="39"/>
      <c r="D110" s="40"/>
      <c r="E110" s="83"/>
      <c r="F110" s="42"/>
      <c r="G110" s="84"/>
      <c r="H110" s="84"/>
      <c r="I110" s="45"/>
      <c r="J110" s="46" t="s">
        <v>222</v>
      </c>
      <c r="K110" s="40" t="s">
        <v>222</v>
      </c>
      <c r="L110" s="40" t="s">
        <v>222</v>
      </c>
      <c r="M110" s="40" t="s">
        <v>222</v>
      </c>
      <c r="N110" s="40" t="s">
        <v>222</v>
      </c>
      <c r="O110" s="40" t="s">
        <v>222</v>
      </c>
      <c r="P110" s="48"/>
      <c r="Q110" s="48"/>
      <c r="R110" s="49" t="s">
        <v>222</v>
      </c>
      <c r="S110" s="50" t="s">
        <v>222</v>
      </c>
      <c r="T110" s="85"/>
      <c r="U110" s="52">
        <f t="shared" si="1"/>
        <v>0</v>
      </c>
      <c r="V110" s="85"/>
      <c r="W110" s="52">
        <f t="shared" si="9"/>
        <v>0</v>
      </c>
      <c r="X110" s="51">
        <f t="shared" si="3"/>
        <v>0</v>
      </c>
      <c r="Y110" s="52">
        <f t="shared" si="4"/>
        <v>0</v>
      </c>
      <c r="Z110" s="51">
        <f t="shared" si="5"/>
        <v>0</v>
      </c>
      <c r="AA110" s="52">
        <f t="shared" si="6"/>
        <v>0</v>
      </c>
      <c r="AB110" s="53">
        <f t="shared" si="7"/>
        <v>0</v>
      </c>
      <c r="AC110" s="52">
        <f t="shared" si="8"/>
        <v>0</v>
      </c>
      <c r="AD110" s="70"/>
      <c r="AE110" s="14"/>
      <c r="AF110" s="55"/>
      <c r="AG110" s="55"/>
    </row>
    <row r="111" ht="13.5" customHeight="1">
      <c r="A111" s="80">
        <f t="shared" si="20"/>
        <v>106</v>
      </c>
      <c r="B111" s="26"/>
      <c r="C111" s="39"/>
      <c r="D111" s="40"/>
      <c r="E111" s="83"/>
      <c r="F111" s="42"/>
      <c r="G111" s="84"/>
      <c r="H111" s="84"/>
      <c r="I111" s="45"/>
      <c r="J111" s="46" t="s">
        <v>222</v>
      </c>
      <c r="K111" s="40" t="s">
        <v>222</v>
      </c>
      <c r="L111" s="40" t="s">
        <v>222</v>
      </c>
      <c r="M111" s="40" t="s">
        <v>222</v>
      </c>
      <c r="N111" s="40" t="s">
        <v>222</v>
      </c>
      <c r="O111" s="40" t="s">
        <v>222</v>
      </c>
      <c r="P111" s="48"/>
      <c r="Q111" s="48"/>
      <c r="R111" s="49" t="s">
        <v>222</v>
      </c>
      <c r="S111" s="50" t="s">
        <v>222</v>
      </c>
      <c r="T111" s="85"/>
      <c r="U111" s="52">
        <f t="shared" si="1"/>
        <v>0</v>
      </c>
      <c r="V111" s="85"/>
      <c r="W111" s="52">
        <f t="shared" si="9"/>
        <v>0</v>
      </c>
      <c r="X111" s="51">
        <f t="shared" si="3"/>
        <v>0</v>
      </c>
      <c r="Y111" s="52">
        <f t="shared" si="4"/>
        <v>0</v>
      </c>
      <c r="Z111" s="51">
        <f t="shared" si="5"/>
        <v>0</v>
      </c>
      <c r="AA111" s="52">
        <f t="shared" si="6"/>
        <v>0</v>
      </c>
      <c r="AB111" s="53">
        <f t="shared" si="7"/>
        <v>0</v>
      </c>
      <c r="AC111" s="52">
        <f t="shared" si="8"/>
        <v>0</v>
      </c>
      <c r="AD111" s="70"/>
      <c r="AE111" s="14"/>
      <c r="AF111" s="55"/>
      <c r="AG111" s="55"/>
    </row>
    <row r="112" ht="13.5" customHeight="1">
      <c r="A112" s="80">
        <f t="shared" si="20"/>
        <v>107</v>
      </c>
      <c r="B112" s="26"/>
      <c r="C112" s="39"/>
      <c r="D112" s="40"/>
      <c r="E112" s="83"/>
      <c r="F112" s="42"/>
      <c r="G112" s="84"/>
      <c r="H112" s="84"/>
      <c r="I112" s="45"/>
      <c r="J112" s="46" t="s">
        <v>222</v>
      </c>
      <c r="K112" s="40" t="s">
        <v>222</v>
      </c>
      <c r="L112" s="40" t="s">
        <v>222</v>
      </c>
      <c r="M112" s="40" t="s">
        <v>222</v>
      </c>
      <c r="N112" s="40" t="s">
        <v>222</v>
      </c>
      <c r="O112" s="40" t="s">
        <v>222</v>
      </c>
      <c r="P112" s="48"/>
      <c r="Q112" s="48"/>
      <c r="R112" s="49" t="s">
        <v>222</v>
      </c>
      <c r="S112" s="50" t="s">
        <v>222</v>
      </c>
      <c r="T112" s="85"/>
      <c r="U112" s="52">
        <f t="shared" si="1"/>
        <v>0</v>
      </c>
      <c r="V112" s="85"/>
      <c r="W112" s="52">
        <f t="shared" si="9"/>
        <v>0</v>
      </c>
      <c r="X112" s="51">
        <f t="shared" si="3"/>
        <v>0</v>
      </c>
      <c r="Y112" s="52">
        <f t="shared" si="4"/>
        <v>0</v>
      </c>
      <c r="Z112" s="51">
        <f t="shared" si="5"/>
        <v>0</v>
      </c>
      <c r="AA112" s="52">
        <f t="shared" si="6"/>
        <v>0</v>
      </c>
      <c r="AB112" s="53">
        <f t="shared" si="7"/>
        <v>0</v>
      </c>
      <c r="AC112" s="52">
        <f t="shared" si="8"/>
        <v>0</v>
      </c>
      <c r="AD112" s="70"/>
      <c r="AE112" s="14"/>
      <c r="AF112" s="55"/>
      <c r="AG112" s="55"/>
    </row>
    <row r="113" ht="13.5" customHeight="1">
      <c r="A113" s="80">
        <f t="shared" si="20"/>
        <v>108</v>
      </c>
      <c r="B113" s="26"/>
      <c r="C113" s="39"/>
      <c r="D113" s="40"/>
      <c r="E113" s="83"/>
      <c r="F113" s="42"/>
      <c r="G113" s="84"/>
      <c r="H113" s="84"/>
      <c r="I113" s="45"/>
      <c r="J113" s="46" t="s">
        <v>222</v>
      </c>
      <c r="K113" s="40" t="s">
        <v>222</v>
      </c>
      <c r="L113" s="40" t="s">
        <v>222</v>
      </c>
      <c r="M113" s="40" t="s">
        <v>222</v>
      </c>
      <c r="N113" s="40" t="s">
        <v>222</v>
      </c>
      <c r="O113" s="40" t="s">
        <v>222</v>
      </c>
      <c r="P113" s="48"/>
      <c r="Q113" s="48"/>
      <c r="R113" s="49" t="s">
        <v>222</v>
      </c>
      <c r="S113" s="50" t="s">
        <v>222</v>
      </c>
      <c r="T113" s="85"/>
      <c r="U113" s="52">
        <f t="shared" si="1"/>
        <v>0</v>
      </c>
      <c r="V113" s="85"/>
      <c r="W113" s="52">
        <f t="shared" si="9"/>
        <v>0</v>
      </c>
      <c r="X113" s="51">
        <f t="shared" si="3"/>
        <v>0</v>
      </c>
      <c r="Y113" s="52">
        <f t="shared" si="4"/>
        <v>0</v>
      </c>
      <c r="Z113" s="51">
        <f t="shared" si="5"/>
        <v>0</v>
      </c>
      <c r="AA113" s="52">
        <f t="shared" si="6"/>
        <v>0</v>
      </c>
      <c r="AB113" s="53">
        <f t="shared" si="7"/>
        <v>0</v>
      </c>
      <c r="AC113" s="52">
        <f t="shared" si="8"/>
        <v>0</v>
      </c>
      <c r="AD113" s="70"/>
      <c r="AE113" s="14"/>
      <c r="AF113" s="55"/>
      <c r="AG113" s="55"/>
    </row>
    <row r="114" ht="13.5" customHeight="1">
      <c r="A114" s="80">
        <f t="shared" si="20"/>
        <v>109</v>
      </c>
      <c r="B114" s="26"/>
      <c r="C114" s="39"/>
      <c r="D114" s="40"/>
      <c r="E114" s="83"/>
      <c r="F114" s="42"/>
      <c r="G114" s="84"/>
      <c r="H114" s="84"/>
      <c r="I114" s="45"/>
      <c r="J114" s="46" t="s">
        <v>222</v>
      </c>
      <c r="K114" s="40" t="s">
        <v>222</v>
      </c>
      <c r="L114" s="40" t="s">
        <v>222</v>
      </c>
      <c r="M114" s="40" t="s">
        <v>222</v>
      </c>
      <c r="N114" s="40" t="s">
        <v>222</v>
      </c>
      <c r="O114" s="40" t="s">
        <v>222</v>
      </c>
      <c r="P114" s="48"/>
      <c r="Q114" s="48"/>
      <c r="R114" s="49" t="s">
        <v>222</v>
      </c>
      <c r="S114" s="50" t="s">
        <v>222</v>
      </c>
      <c r="T114" s="85"/>
      <c r="U114" s="52">
        <f t="shared" si="1"/>
        <v>0</v>
      </c>
      <c r="V114" s="85"/>
      <c r="W114" s="52">
        <f t="shared" si="9"/>
        <v>0</v>
      </c>
      <c r="X114" s="51">
        <f t="shared" si="3"/>
        <v>0</v>
      </c>
      <c r="Y114" s="52">
        <f t="shared" si="4"/>
        <v>0</v>
      </c>
      <c r="Z114" s="51">
        <f t="shared" si="5"/>
        <v>0</v>
      </c>
      <c r="AA114" s="52">
        <f t="shared" si="6"/>
        <v>0</v>
      </c>
      <c r="AB114" s="53">
        <f t="shared" si="7"/>
        <v>0</v>
      </c>
      <c r="AC114" s="52">
        <f t="shared" si="8"/>
        <v>0</v>
      </c>
      <c r="AD114" s="70"/>
      <c r="AE114" s="14"/>
      <c r="AF114" s="55"/>
      <c r="AG114" s="55"/>
    </row>
    <row r="115" ht="13.5" customHeight="1">
      <c r="A115" s="80">
        <f t="shared" si="20"/>
        <v>110</v>
      </c>
      <c r="B115" s="26"/>
      <c r="C115" s="39"/>
      <c r="D115" s="40"/>
      <c r="E115" s="83"/>
      <c r="F115" s="42"/>
      <c r="G115" s="84"/>
      <c r="H115" s="84"/>
      <c r="I115" s="45"/>
      <c r="J115" s="46" t="s">
        <v>222</v>
      </c>
      <c r="K115" s="40" t="s">
        <v>222</v>
      </c>
      <c r="L115" s="40" t="s">
        <v>222</v>
      </c>
      <c r="M115" s="40" t="s">
        <v>222</v>
      </c>
      <c r="N115" s="40" t="s">
        <v>222</v>
      </c>
      <c r="O115" s="40" t="s">
        <v>222</v>
      </c>
      <c r="P115" s="48"/>
      <c r="Q115" s="48"/>
      <c r="R115" s="49" t="s">
        <v>222</v>
      </c>
      <c r="S115" s="50" t="s">
        <v>222</v>
      </c>
      <c r="T115" s="85"/>
      <c r="U115" s="52">
        <f t="shared" si="1"/>
        <v>0</v>
      </c>
      <c r="V115" s="85"/>
      <c r="W115" s="52">
        <f t="shared" si="9"/>
        <v>0</v>
      </c>
      <c r="X115" s="51">
        <f t="shared" si="3"/>
        <v>0</v>
      </c>
      <c r="Y115" s="52">
        <f t="shared" si="4"/>
        <v>0</v>
      </c>
      <c r="Z115" s="51">
        <f t="shared" si="5"/>
        <v>0</v>
      </c>
      <c r="AA115" s="52">
        <f t="shared" si="6"/>
        <v>0</v>
      </c>
      <c r="AB115" s="53">
        <f t="shared" si="7"/>
        <v>0</v>
      </c>
      <c r="AC115" s="52">
        <f t="shared" si="8"/>
        <v>0</v>
      </c>
      <c r="AD115" s="70"/>
      <c r="AE115" s="14"/>
      <c r="AF115" s="55"/>
      <c r="AG115" s="55"/>
    </row>
    <row r="116" ht="13.5" customHeight="1">
      <c r="A116" s="80">
        <f t="shared" si="20"/>
        <v>111</v>
      </c>
      <c r="B116" s="26"/>
      <c r="C116" s="39"/>
      <c r="D116" s="40"/>
      <c r="E116" s="83"/>
      <c r="F116" s="42"/>
      <c r="G116" s="84"/>
      <c r="H116" s="84"/>
      <c r="I116" s="45"/>
      <c r="J116" s="46" t="s">
        <v>222</v>
      </c>
      <c r="K116" s="40" t="s">
        <v>222</v>
      </c>
      <c r="L116" s="40" t="s">
        <v>222</v>
      </c>
      <c r="M116" s="40" t="s">
        <v>222</v>
      </c>
      <c r="N116" s="40" t="s">
        <v>222</v>
      </c>
      <c r="O116" s="40" t="s">
        <v>222</v>
      </c>
      <c r="P116" s="48"/>
      <c r="Q116" s="48"/>
      <c r="R116" s="49" t="s">
        <v>222</v>
      </c>
      <c r="S116" s="50" t="s">
        <v>222</v>
      </c>
      <c r="T116" s="85"/>
      <c r="U116" s="52">
        <f t="shared" si="1"/>
        <v>0</v>
      </c>
      <c r="V116" s="85"/>
      <c r="W116" s="52">
        <f t="shared" si="9"/>
        <v>0</v>
      </c>
      <c r="X116" s="51">
        <f t="shared" si="3"/>
        <v>0</v>
      </c>
      <c r="Y116" s="52">
        <f t="shared" si="4"/>
        <v>0</v>
      </c>
      <c r="Z116" s="51">
        <f t="shared" si="5"/>
        <v>0</v>
      </c>
      <c r="AA116" s="52">
        <f t="shared" si="6"/>
        <v>0</v>
      </c>
      <c r="AB116" s="53">
        <f t="shared" si="7"/>
        <v>0</v>
      </c>
      <c r="AC116" s="52">
        <f t="shared" si="8"/>
        <v>0</v>
      </c>
      <c r="AD116" s="70"/>
      <c r="AE116" s="14"/>
      <c r="AF116" s="55"/>
      <c r="AG116" s="55"/>
    </row>
    <row r="117" ht="13.5" customHeight="1">
      <c r="A117" s="80">
        <f t="shared" si="20"/>
        <v>112</v>
      </c>
      <c r="B117" s="26"/>
      <c r="C117" s="39"/>
      <c r="D117" s="40"/>
      <c r="E117" s="83"/>
      <c r="F117" s="42"/>
      <c r="G117" s="84"/>
      <c r="H117" s="84"/>
      <c r="I117" s="45"/>
      <c r="J117" s="46" t="s">
        <v>222</v>
      </c>
      <c r="K117" s="40" t="s">
        <v>222</v>
      </c>
      <c r="L117" s="40" t="s">
        <v>222</v>
      </c>
      <c r="M117" s="40" t="s">
        <v>222</v>
      </c>
      <c r="N117" s="40" t="s">
        <v>222</v>
      </c>
      <c r="O117" s="40" t="s">
        <v>222</v>
      </c>
      <c r="P117" s="48"/>
      <c r="Q117" s="48"/>
      <c r="R117" s="49" t="s">
        <v>222</v>
      </c>
      <c r="S117" s="50" t="s">
        <v>222</v>
      </c>
      <c r="T117" s="85"/>
      <c r="U117" s="52">
        <f t="shared" si="1"/>
        <v>0</v>
      </c>
      <c r="V117" s="85"/>
      <c r="W117" s="52">
        <f t="shared" si="9"/>
        <v>0</v>
      </c>
      <c r="X117" s="51">
        <f t="shared" si="3"/>
        <v>0</v>
      </c>
      <c r="Y117" s="52">
        <f t="shared" si="4"/>
        <v>0</v>
      </c>
      <c r="Z117" s="51">
        <f t="shared" si="5"/>
        <v>0</v>
      </c>
      <c r="AA117" s="52">
        <f t="shared" si="6"/>
        <v>0</v>
      </c>
      <c r="AB117" s="53">
        <f t="shared" si="7"/>
        <v>0</v>
      </c>
      <c r="AC117" s="52">
        <f t="shared" si="8"/>
        <v>0</v>
      </c>
      <c r="AD117" s="70"/>
      <c r="AE117" s="14"/>
      <c r="AF117" s="55"/>
      <c r="AG117" s="55"/>
    </row>
    <row r="118" ht="13.5" customHeight="1">
      <c r="A118" s="80">
        <f t="shared" si="20"/>
        <v>113</v>
      </c>
      <c r="B118" s="26"/>
      <c r="C118" s="39"/>
      <c r="D118" s="40"/>
      <c r="E118" s="83"/>
      <c r="F118" s="42"/>
      <c r="G118" s="84"/>
      <c r="H118" s="84"/>
      <c r="I118" s="45"/>
      <c r="J118" s="46" t="s">
        <v>222</v>
      </c>
      <c r="K118" s="40" t="s">
        <v>222</v>
      </c>
      <c r="L118" s="40" t="s">
        <v>222</v>
      </c>
      <c r="M118" s="40" t="s">
        <v>222</v>
      </c>
      <c r="N118" s="40" t="s">
        <v>222</v>
      </c>
      <c r="O118" s="40" t="s">
        <v>222</v>
      </c>
      <c r="P118" s="48"/>
      <c r="Q118" s="48"/>
      <c r="R118" s="49" t="s">
        <v>222</v>
      </c>
      <c r="S118" s="50" t="s">
        <v>222</v>
      </c>
      <c r="T118" s="85"/>
      <c r="U118" s="52">
        <f t="shared" si="1"/>
        <v>0</v>
      </c>
      <c r="V118" s="85"/>
      <c r="W118" s="52">
        <f t="shared" si="9"/>
        <v>0</v>
      </c>
      <c r="X118" s="51">
        <f t="shared" si="3"/>
        <v>0</v>
      </c>
      <c r="Y118" s="52">
        <f t="shared" si="4"/>
        <v>0</v>
      </c>
      <c r="Z118" s="51">
        <f t="shared" si="5"/>
        <v>0</v>
      </c>
      <c r="AA118" s="52">
        <f t="shared" si="6"/>
        <v>0</v>
      </c>
      <c r="AB118" s="53">
        <f t="shared" si="7"/>
        <v>0</v>
      </c>
      <c r="AC118" s="52">
        <f t="shared" si="8"/>
        <v>0</v>
      </c>
      <c r="AD118" s="70"/>
      <c r="AE118" s="14"/>
      <c r="AF118" s="55"/>
      <c r="AG118" s="55"/>
    </row>
    <row r="119" ht="13.5" customHeight="1">
      <c r="A119" s="80">
        <f t="shared" si="20"/>
        <v>114</v>
      </c>
      <c r="B119" s="26"/>
      <c r="C119" s="39"/>
      <c r="D119" s="40"/>
      <c r="E119" s="83"/>
      <c r="F119" s="42"/>
      <c r="G119" s="84"/>
      <c r="H119" s="84"/>
      <c r="I119" s="45"/>
      <c r="J119" s="46" t="s">
        <v>222</v>
      </c>
      <c r="K119" s="40" t="s">
        <v>222</v>
      </c>
      <c r="L119" s="40" t="s">
        <v>222</v>
      </c>
      <c r="M119" s="40" t="s">
        <v>222</v>
      </c>
      <c r="N119" s="40" t="s">
        <v>222</v>
      </c>
      <c r="O119" s="40" t="s">
        <v>222</v>
      </c>
      <c r="P119" s="48"/>
      <c r="Q119" s="48"/>
      <c r="R119" s="49" t="s">
        <v>222</v>
      </c>
      <c r="S119" s="50" t="s">
        <v>222</v>
      </c>
      <c r="T119" s="85"/>
      <c r="U119" s="52">
        <f t="shared" si="1"/>
        <v>0</v>
      </c>
      <c r="V119" s="85"/>
      <c r="W119" s="52">
        <f t="shared" si="9"/>
        <v>0</v>
      </c>
      <c r="X119" s="51">
        <f t="shared" si="3"/>
        <v>0</v>
      </c>
      <c r="Y119" s="52">
        <f t="shared" si="4"/>
        <v>0</v>
      </c>
      <c r="Z119" s="51">
        <f t="shared" si="5"/>
        <v>0</v>
      </c>
      <c r="AA119" s="52">
        <f t="shared" si="6"/>
        <v>0</v>
      </c>
      <c r="AB119" s="53">
        <f t="shared" si="7"/>
        <v>0</v>
      </c>
      <c r="AC119" s="52">
        <f t="shared" si="8"/>
        <v>0</v>
      </c>
      <c r="AD119" s="70"/>
      <c r="AE119" s="14"/>
      <c r="AF119" s="55"/>
      <c r="AG119" s="55"/>
    </row>
    <row r="120" ht="13.5" customHeight="1">
      <c r="A120" s="80">
        <f t="shared" si="20"/>
        <v>115</v>
      </c>
      <c r="B120" s="26"/>
      <c r="C120" s="39"/>
      <c r="D120" s="40"/>
      <c r="E120" s="83"/>
      <c r="F120" s="42"/>
      <c r="G120" s="84"/>
      <c r="H120" s="84"/>
      <c r="I120" s="45"/>
      <c r="J120" s="46" t="s">
        <v>222</v>
      </c>
      <c r="K120" s="40" t="s">
        <v>222</v>
      </c>
      <c r="L120" s="40" t="s">
        <v>222</v>
      </c>
      <c r="M120" s="40" t="s">
        <v>222</v>
      </c>
      <c r="N120" s="40" t="s">
        <v>222</v>
      </c>
      <c r="O120" s="40" t="s">
        <v>222</v>
      </c>
      <c r="P120" s="48"/>
      <c r="Q120" s="48"/>
      <c r="R120" s="49" t="s">
        <v>222</v>
      </c>
      <c r="S120" s="50" t="s">
        <v>222</v>
      </c>
      <c r="T120" s="85"/>
      <c r="U120" s="52">
        <f t="shared" si="1"/>
        <v>0</v>
      </c>
      <c r="V120" s="85"/>
      <c r="W120" s="52">
        <f t="shared" si="9"/>
        <v>0</v>
      </c>
      <c r="X120" s="51">
        <f t="shared" si="3"/>
        <v>0</v>
      </c>
      <c r="Y120" s="52">
        <f t="shared" si="4"/>
        <v>0</v>
      </c>
      <c r="Z120" s="51">
        <f t="shared" si="5"/>
        <v>0</v>
      </c>
      <c r="AA120" s="52">
        <f t="shared" si="6"/>
        <v>0</v>
      </c>
      <c r="AB120" s="53">
        <f t="shared" si="7"/>
        <v>0</v>
      </c>
      <c r="AC120" s="52">
        <f t="shared" si="8"/>
        <v>0</v>
      </c>
      <c r="AD120" s="70"/>
      <c r="AE120" s="14"/>
      <c r="AF120" s="55"/>
      <c r="AG120" s="55"/>
    </row>
    <row r="121" ht="13.5" customHeight="1">
      <c r="A121" s="80">
        <f t="shared" si="20"/>
        <v>116</v>
      </c>
      <c r="B121" s="26"/>
      <c r="C121" s="39"/>
      <c r="D121" s="40"/>
      <c r="E121" s="83"/>
      <c r="F121" s="42"/>
      <c r="G121" s="84"/>
      <c r="H121" s="84"/>
      <c r="I121" s="45"/>
      <c r="J121" s="46" t="s">
        <v>222</v>
      </c>
      <c r="K121" s="40" t="s">
        <v>222</v>
      </c>
      <c r="L121" s="40" t="s">
        <v>222</v>
      </c>
      <c r="M121" s="40" t="s">
        <v>222</v>
      </c>
      <c r="N121" s="40" t="s">
        <v>222</v>
      </c>
      <c r="O121" s="40" t="s">
        <v>222</v>
      </c>
      <c r="P121" s="48"/>
      <c r="Q121" s="48"/>
      <c r="R121" s="49" t="s">
        <v>222</v>
      </c>
      <c r="S121" s="50" t="s">
        <v>222</v>
      </c>
      <c r="T121" s="85"/>
      <c r="U121" s="52">
        <f t="shared" si="1"/>
        <v>0</v>
      </c>
      <c r="V121" s="85"/>
      <c r="W121" s="52">
        <f t="shared" si="9"/>
        <v>0</v>
      </c>
      <c r="X121" s="51">
        <f t="shared" si="3"/>
        <v>0</v>
      </c>
      <c r="Y121" s="52">
        <f t="shared" si="4"/>
        <v>0</v>
      </c>
      <c r="Z121" s="51">
        <f t="shared" si="5"/>
        <v>0</v>
      </c>
      <c r="AA121" s="52">
        <f t="shared" si="6"/>
        <v>0</v>
      </c>
      <c r="AB121" s="53">
        <f t="shared" si="7"/>
        <v>0</v>
      </c>
      <c r="AC121" s="52">
        <f t="shared" si="8"/>
        <v>0</v>
      </c>
      <c r="AD121" s="70"/>
      <c r="AE121" s="14"/>
      <c r="AF121" s="55"/>
      <c r="AG121" s="55"/>
    </row>
    <row r="122" ht="13.5" customHeight="1">
      <c r="A122" s="80">
        <f t="shared" si="20"/>
        <v>117</v>
      </c>
      <c r="B122" s="26"/>
      <c r="C122" s="39"/>
      <c r="D122" s="40"/>
      <c r="E122" s="83"/>
      <c r="F122" s="42"/>
      <c r="G122" s="84"/>
      <c r="H122" s="84"/>
      <c r="I122" s="45"/>
      <c r="J122" s="46" t="s">
        <v>222</v>
      </c>
      <c r="K122" s="40" t="s">
        <v>222</v>
      </c>
      <c r="L122" s="40" t="s">
        <v>222</v>
      </c>
      <c r="M122" s="40" t="s">
        <v>222</v>
      </c>
      <c r="N122" s="40" t="s">
        <v>222</v>
      </c>
      <c r="O122" s="40" t="s">
        <v>222</v>
      </c>
      <c r="P122" s="48"/>
      <c r="Q122" s="48"/>
      <c r="R122" s="49" t="s">
        <v>222</v>
      </c>
      <c r="S122" s="50" t="s">
        <v>222</v>
      </c>
      <c r="T122" s="85"/>
      <c r="U122" s="52">
        <f t="shared" si="1"/>
        <v>0</v>
      </c>
      <c r="V122" s="85"/>
      <c r="W122" s="52">
        <f t="shared" si="9"/>
        <v>0</v>
      </c>
      <c r="X122" s="51">
        <f t="shared" si="3"/>
        <v>0</v>
      </c>
      <c r="Y122" s="52">
        <f t="shared" si="4"/>
        <v>0</v>
      </c>
      <c r="Z122" s="51">
        <f t="shared" si="5"/>
        <v>0</v>
      </c>
      <c r="AA122" s="52">
        <f t="shared" si="6"/>
        <v>0</v>
      </c>
      <c r="AB122" s="53">
        <f t="shared" si="7"/>
        <v>0</v>
      </c>
      <c r="AC122" s="52">
        <f t="shared" si="8"/>
        <v>0</v>
      </c>
      <c r="AD122" s="70"/>
      <c r="AE122" s="14"/>
      <c r="AF122" s="55"/>
      <c r="AG122" s="55"/>
    </row>
    <row r="123" ht="13.5" customHeight="1">
      <c r="A123" s="80">
        <f t="shared" si="20"/>
        <v>118</v>
      </c>
      <c r="B123" s="26"/>
      <c r="C123" s="39"/>
      <c r="D123" s="40"/>
      <c r="E123" s="83"/>
      <c r="F123" s="42"/>
      <c r="G123" s="84"/>
      <c r="H123" s="84"/>
      <c r="I123" s="45"/>
      <c r="J123" s="46" t="s">
        <v>222</v>
      </c>
      <c r="K123" s="40" t="s">
        <v>222</v>
      </c>
      <c r="L123" s="40" t="s">
        <v>222</v>
      </c>
      <c r="M123" s="40" t="s">
        <v>222</v>
      </c>
      <c r="N123" s="40" t="s">
        <v>222</v>
      </c>
      <c r="O123" s="40" t="s">
        <v>222</v>
      </c>
      <c r="P123" s="48"/>
      <c r="Q123" s="48"/>
      <c r="R123" s="49" t="s">
        <v>222</v>
      </c>
      <c r="S123" s="50" t="s">
        <v>222</v>
      </c>
      <c r="T123" s="85"/>
      <c r="U123" s="52">
        <f t="shared" si="1"/>
        <v>0</v>
      </c>
      <c r="V123" s="85"/>
      <c r="W123" s="52">
        <f t="shared" si="9"/>
        <v>0</v>
      </c>
      <c r="X123" s="51">
        <f t="shared" si="3"/>
        <v>0</v>
      </c>
      <c r="Y123" s="52">
        <f t="shared" si="4"/>
        <v>0</v>
      </c>
      <c r="Z123" s="51">
        <f t="shared" si="5"/>
        <v>0</v>
      </c>
      <c r="AA123" s="52">
        <f t="shared" si="6"/>
        <v>0</v>
      </c>
      <c r="AB123" s="53">
        <f t="shared" si="7"/>
        <v>0</v>
      </c>
      <c r="AC123" s="52">
        <f t="shared" si="8"/>
        <v>0</v>
      </c>
      <c r="AD123" s="70"/>
      <c r="AE123" s="14"/>
      <c r="AF123" s="55"/>
      <c r="AG123" s="55"/>
    </row>
    <row r="124" ht="13.5" customHeight="1">
      <c r="A124" s="80">
        <f t="shared" si="20"/>
        <v>119</v>
      </c>
      <c r="B124" s="26"/>
      <c r="C124" s="39"/>
      <c r="D124" s="40"/>
      <c r="E124" s="83"/>
      <c r="F124" s="42"/>
      <c r="G124" s="84"/>
      <c r="H124" s="84"/>
      <c r="I124" s="45"/>
      <c r="J124" s="46" t="s">
        <v>222</v>
      </c>
      <c r="K124" s="40" t="s">
        <v>222</v>
      </c>
      <c r="L124" s="40" t="s">
        <v>222</v>
      </c>
      <c r="M124" s="40" t="s">
        <v>222</v>
      </c>
      <c r="N124" s="40" t="s">
        <v>222</v>
      </c>
      <c r="O124" s="40" t="s">
        <v>222</v>
      </c>
      <c r="P124" s="48"/>
      <c r="Q124" s="48"/>
      <c r="R124" s="49" t="s">
        <v>222</v>
      </c>
      <c r="S124" s="50" t="s">
        <v>222</v>
      </c>
      <c r="T124" s="85"/>
      <c r="U124" s="52">
        <f t="shared" si="1"/>
        <v>0</v>
      </c>
      <c r="V124" s="85"/>
      <c r="W124" s="52">
        <f t="shared" si="9"/>
        <v>0</v>
      </c>
      <c r="X124" s="51">
        <f t="shared" si="3"/>
        <v>0</v>
      </c>
      <c r="Y124" s="52">
        <f t="shared" si="4"/>
        <v>0</v>
      </c>
      <c r="Z124" s="51">
        <f t="shared" si="5"/>
        <v>0</v>
      </c>
      <c r="AA124" s="52">
        <f t="shared" si="6"/>
        <v>0</v>
      </c>
      <c r="AB124" s="53">
        <f t="shared" si="7"/>
        <v>0</v>
      </c>
      <c r="AC124" s="52">
        <f t="shared" si="8"/>
        <v>0</v>
      </c>
      <c r="AD124" s="70"/>
      <c r="AE124" s="14"/>
      <c r="AF124" s="55"/>
      <c r="AG124" s="55"/>
    </row>
    <row r="125" ht="13.5" customHeight="1">
      <c r="A125" s="80">
        <f t="shared" si="20"/>
        <v>120</v>
      </c>
      <c r="B125" s="26"/>
      <c r="C125" s="39"/>
      <c r="D125" s="40"/>
      <c r="E125" s="83"/>
      <c r="F125" s="42"/>
      <c r="G125" s="84"/>
      <c r="H125" s="84"/>
      <c r="I125" s="45"/>
      <c r="J125" s="46" t="s">
        <v>222</v>
      </c>
      <c r="K125" s="40" t="s">
        <v>222</v>
      </c>
      <c r="L125" s="40" t="s">
        <v>222</v>
      </c>
      <c r="M125" s="40" t="s">
        <v>222</v>
      </c>
      <c r="N125" s="40" t="s">
        <v>222</v>
      </c>
      <c r="O125" s="40" t="s">
        <v>222</v>
      </c>
      <c r="P125" s="48"/>
      <c r="Q125" s="48"/>
      <c r="R125" s="49" t="s">
        <v>222</v>
      </c>
      <c r="S125" s="50" t="s">
        <v>222</v>
      </c>
      <c r="T125" s="85"/>
      <c r="U125" s="52">
        <f t="shared" si="1"/>
        <v>0</v>
      </c>
      <c r="V125" s="85"/>
      <c r="W125" s="52">
        <f t="shared" si="9"/>
        <v>0</v>
      </c>
      <c r="X125" s="51">
        <f t="shared" si="3"/>
        <v>0</v>
      </c>
      <c r="Y125" s="52">
        <f t="shared" si="4"/>
        <v>0</v>
      </c>
      <c r="Z125" s="51">
        <f t="shared" si="5"/>
        <v>0</v>
      </c>
      <c r="AA125" s="52">
        <f t="shared" si="6"/>
        <v>0</v>
      </c>
      <c r="AB125" s="53">
        <f t="shared" si="7"/>
        <v>0</v>
      </c>
      <c r="AC125" s="52">
        <f t="shared" si="8"/>
        <v>0</v>
      </c>
      <c r="AD125" s="70"/>
      <c r="AE125" s="14"/>
      <c r="AF125" s="55"/>
      <c r="AG125" s="55"/>
    </row>
    <row r="126" ht="13.5" customHeight="1">
      <c r="A126" s="80">
        <f t="shared" si="20"/>
        <v>121</v>
      </c>
      <c r="B126" s="26"/>
      <c r="C126" s="39"/>
      <c r="D126" s="40"/>
      <c r="E126" s="83"/>
      <c r="F126" s="42"/>
      <c r="G126" s="84"/>
      <c r="H126" s="84"/>
      <c r="I126" s="45"/>
      <c r="J126" s="46" t="s">
        <v>222</v>
      </c>
      <c r="K126" s="40" t="s">
        <v>222</v>
      </c>
      <c r="L126" s="40" t="s">
        <v>222</v>
      </c>
      <c r="M126" s="40" t="s">
        <v>222</v>
      </c>
      <c r="N126" s="40" t="s">
        <v>222</v>
      </c>
      <c r="O126" s="40" t="s">
        <v>222</v>
      </c>
      <c r="P126" s="48"/>
      <c r="Q126" s="48"/>
      <c r="R126" s="49" t="s">
        <v>222</v>
      </c>
      <c r="S126" s="50" t="s">
        <v>222</v>
      </c>
      <c r="T126" s="85"/>
      <c r="U126" s="52">
        <f t="shared" si="1"/>
        <v>0</v>
      </c>
      <c r="V126" s="85"/>
      <c r="W126" s="52">
        <f t="shared" si="9"/>
        <v>0</v>
      </c>
      <c r="X126" s="51">
        <f t="shared" si="3"/>
        <v>0</v>
      </c>
      <c r="Y126" s="52">
        <f t="shared" si="4"/>
        <v>0</v>
      </c>
      <c r="Z126" s="51">
        <f t="shared" si="5"/>
        <v>0</v>
      </c>
      <c r="AA126" s="52">
        <f t="shared" si="6"/>
        <v>0</v>
      </c>
      <c r="AB126" s="53">
        <f t="shared" si="7"/>
        <v>0</v>
      </c>
      <c r="AC126" s="52">
        <f t="shared" si="8"/>
        <v>0</v>
      </c>
      <c r="AD126" s="70"/>
      <c r="AE126" s="14"/>
      <c r="AF126" s="55"/>
      <c r="AG126" s="55"/>
    </row>
    <row r="127" ht="13.5" customHeight="1">
      <c r="A127" s="80">
        <f t="shared" si="20"/>
        <v>122</v>
      </c>
      <c r="B127" s="26"/>
      <c r="C127" s="39"/>
      <c r="D127" s="40"/>
      <c r="E127" s="83"/>
      <c r="F127" s="42"/>
      <c r="G127" s="84"/>
      <c r="H127" s="84"/>
      <c r="I127" s="45"/>
      <c r="J127" s="46" t="s">
        <v>222</v>
      </c>
      <c r="K127" s="40" t="s">
        <v>222</v>
      </c>
      <c r="L127" s="40" t="s">
        <v>222</v>
      </c>
      <c r="M127" s="40" t="s">
        <v>222</v>
      </c>
      <c r="N127" s="40" t="s">
        <v>222</v>
      </c>
      <c r="O127" s="40" t="s">
        <v>222</v>
      </c>
      <c r="P127" s="48"/>
      <c r="Q127" s="48"/>
      <c r="R127" s="49" t="s">
        <v>222</v>
      </c>
      <c r="S127" s="50" t="s">
        <v>222</v>
      </c>
      <c r="T127" s="85"/>
      <c r="U127" s="52">
        <f t="shared" si="1"/>
        <v>0</v>
      </c>
      <c r="V127" s="85"/>
      <c r="W127" s="52">
        <f t="shared" si="9"/>
        <v>0</v>
      </c>
      <c r="X127" s="51">
        <f t="shared" si="3"/>
        <v>0</v>
      </c>
      <c r="Y127" s="52">
        <f t="shared" si="4"/>
        <v>0</v>
      </c>
      <c r="Z127" s="51">
        <f t="shared" si="5"/>
        <v>0</v>
      </c>
      <c r="AA127" s="52">
        <f t="shared" si="6"/>
        <v>0</v>
      </c>
      <c r="AB127" s="53">
        <f t="shared" si="7"/>
        <v>0</v>
      </c>
      <c r="AC127" s="52">
        <f t="shared" si="8"/>
        <v>0</v>
      </c>
      <c r="AD127" s="70"/>
      <c r="AE127" s="14"/>
      <c r="AF127" s="55"/>
      <c r="AG127" s="55"/>
    </row>
    <row r="128" ht="13.5" customHeight="1">
      <c r="A128" s="80">
        <f t="shared" si="20"/>
        <v>123</v>
      </c>
      <c r="B128" s="26"/>
      <c r="C128" s="39"/>
      <c r="D128" s="40"/>
      <c r="E128" s="83"/>
      <c r="F128" s="42"/>
      <c r="G128" s="84"/>
      <c r="H128" s="84"/>
      <c r="I128" s="45"/>
      <c r="J128" s="46" t="s">
        <v>222</v>
      </c>
      <c r="K128" s="40" t="s">
        <v>222</v>
      </c>
      <c r="L128" s="40" t="s">
        <v>222</v>
      </c>
      <c r="M128" s="40" t="s">
        <v>222</v>
      </c>
      <c r="N128" s="40" t="s">
        <v>222</v>
      </c>
      <c r="O128" s="40" t="s">
        <v>222</v>
      </c>
      <c r="P128" s="48"/>
      <c r="Q128" s="48"/>
      <c r="R128" s="49" t="s">
        <v>222</v>
      </c>
      <c r="S128" s="50" t="s">
        <v>222</v>
      </c>
      <c r="T128" s="85"/>
      <c r="U128" s="52">
        <f t="shared" si="1"/>
        <v>0</v>
      </c>
      <c r="V128" s="85"/>
      <c r="W128" s="52">
        <f t="shared" si="9"/>
        <v>0</v>
      </c>
      <c r="X128" s="51">
        <f t="shared" si="3"/>
        <v>0</v>
      </c>
      <c r="Y128" s="52">
        <f t="shared" si="4"/>
        <v>0</v>
      </c>
      <c r="Z128" s="51">
        <f t="shared" si="5"/>
        <v>0</v>
      </c>
      <c r="AA128" s="52">
        <f t="shared" si="6"/>
        <v>0</v>
      </c>
      <c r="AB128" s="53">
        <f t="shared" si="7"/>
        <v>0</v>
      </c>
      <c r="AC128" s="52">
        <f t="shared" si="8"/>
        <v>0</v>
      </c>
      <c r="AD128" s="70"/>
      <c r="AE128" s="14"/>
      <c r="AF128" s="55"/>
      <c r="AG128" s="55"/>
    </row>
    <row r="129" ht="13.5" customHeight="1">
      <c r="A129" s="80">
        <f t="shared" si="20"/>
        <v>124</v>
      </c>
      <c r="B129" s="26"/>
      <c r="C129" s="39"/>
      <c r="D129" s="40"/>
      <c r="E129" s="83"/>
      <c r="F129" s="42"/>
      <c r="G129" s="84"/>
      <c r="H129" s="84"/>
      <c r="I129" s="45"/>
      <c r="J129" s="46" t="s">
        <v>222</v>
      </c>
      <c r="K129" s="40" t="s">
        <v>222</v>
      </c>
      <c r="L129" s="40" t="s">
        <v>222</v>
      </c>
      <c r="M129" s="40" t="s">
        <v>222</v>
      </c>
      <c r="N129" s="40" t="s">
        <v>222</v>
      </c>
      <c r="O129" s="40" t="s">
        <v>222</v>
      </c>
      <c r="P129" s="48"/>
      <c r="Q129" s="48"/>
      <c r="R129" s="49" t="s">
        <v>222</v>
      </c>
      <c r="S129" s="50" t="s">
        <v>222</v>
      </c>
      <c r="T129" s="85"/>
      <c r="U129" s="52">
        <f t="shared" si="1"/>
        <v>0</v>
      </c>
      <c r="V129" s="85"/>
      <c r="W129" s="52">
        <f t="shared" si="9"/>
        <v>0</v>
      </c>
      <c r="X129" s="51">
        <f t="shared" si="3"/>
        <v>0</v>
      </c>
      <c r="Y129" s="52">
        <f t="shared" si="4"/>
        <v>0</v>
      </c>
      <c r="Z129" s="51">
        <f t="shared" si="5"/>
        <v>0</v>
      </c>
      <c r="AA129" s="52">
        <f t="shared" si="6"/>
        <v>0</v>
      </c>
      <c r="AB129" s="53">
        <f t="shared" si="7"/>
        <v>0</v>
      </c>
      <c r="AC129" s="52">
        <f t="shared" si="8"/>
        <v>0</v>
      </c>
      <c r="AD129" s="70"/>
      <c r="AE129" s="14"/>
      <c r="AF129" s="55"/>
      <c r="AG129" s="55"/>
    </row>
    <row r="130" ht="13.5" customHeight="1">
      <c r="A130" s="80">
        <f t="shared" si="20"/>
        <v>125</v>
      </c>
      <c r="B130" s="26"/>
      <c r="C130" s="39"/>
      <c r="D130" s="40"/>
      <c r="E130" s="83"/>
      <c r="F130" s="42"/>
      <c r="G130" s="84"/>
      <c r="H130" s="84"/>
      <c r="I130" s="45"/>
      <c r="J130" s="46" t="s">
        <v>222</v>
      </c>
      <c r="K130" s="40" t="s">
        <v>222</v>
      </c>
      <c r="L130" s="40" t="s">
        <v>222</v>
      </c>
      <c r="M130" s="40" t="s">
        <v>222</v>
      </c>
      <c r="N130" s="40" t="s">
        <v>222</v>
      </c>
      <c r="O130" s="40" t="s">
        <v>222</v>
      </c>
      <c r="P130" s="48"/>
      <c r="Q130" s="48"/>
      <c r="R130" s="49" t="s">
        <v>222</v>
      </c>
      <c r="S130" s="50" t="s">
        <v>222</v>
      </c>
      <c r="T130" s="85"/>
      <c r="U130" s="52">
        <f t="shared" si="1"/>
        <v>0</v>
      </c>
      <c r="V130" s="85"/>
      <c r="W130" s="52">
        <f t="shared" si="9"/>
        <v>0</v>
      </c>
      <c r="X130" s="51">
        <f t="shared" si="3"/>
        <v>0</v>
      </c>
      <c r="Y130" s="52">
        <f t="shared" si="4"/>
        <v>0</v>
      </c>
      <c r="Z130" s="51">
        <f t="shared" si="5"/>
        <v>0</v>
      </c>
      <c r="AA130" s="52">
        <f t="shared" si="6"/>
        <v>0</v>
      </c>
      <c r="AB130" s="53">
        <f t="shared" si="7"/>
        <v>0</v>
      </c>
      <c r="AC130" s="52">
        <f t="shared" si="8"/>
        <v>0</v>
      </c>
      <c r="AD130" s="70"/>
      <c r="AE130" s="14"/>
      <c r="AF130" s="55"/>
      <c r="AG130" s="55"/>
    </row>
    <row r="131" ht="13.5" customHeight="1">
      <c r="A131" s="80">
        <f t="shared" si="20"/>
        <v>126</v>
      </c>
      <c r="B131" s="26"/>
      <c r="C131" s="39"/>
      <c r="D131" s="40"/>
      <c r="E131" s="83"/>
      <c r="F131" s="42"/>
      <c r="G131" s="84"/>
      <c r="H131" s="84"/>
      <c r="I131" s="45"/>
      <c r="J131" s="46" t="s">
        <v>222</v>
      </c>
      <c r="K131" s="40" t="s">
        <v>222</v>
      </c>
      <c r="L131" s="40" t="s">
        <v>222</v>
      </c>
      <c r="M131" s="40" t="s">
        <v>222</v>
      </c>
      <c r="N131" s="40" t="s">
        <v>222</v>
      </c>
      <c r="O131" s="40" t="s">
        <v>222</v>
      </c>
      <c r="P131" s="48"/>
      <c r="Q131" s="48"/>
      <c r="R131" s="49" t="s">
        <v>222</v>
      </c>
      <c r="S131" s="50" t="s">
        <v>222</v>
      </c>
      <c r="T131" s="85"/>
      <c r="U131" s="52">
        <f t="shared" si="1"/>
        <v>0</v>
      </c>
      <c r="V131" s="85"/>
      <c r="W131" s="52">
        <f t="shared" si="9"/>
        <v>0</v>
      </c>
      <c r="X131" s="51">
        <f t="shared" si="3"/>
        <v>0</v>
      </c>
      <c r="Y131" s="52">
        <f t="shared" si="4"/>
        <v>0</v>
      </c>
      <c r="Z131" s="51">
        <f t="shared" si="5"/>
        <v>0</v>
      </c>
      <c r="AA131" s="52">
        <f t="shared" si="6"/>
        <v>0</v>
      </c>
      <c r="AB131" s="53">
        <f t="shared" si="7"/>
        <v>0</v>
      </c>
      <c r="AC131" s="52">
        <f t="shared" si="8"/>
        <v>0</v>
      </c>
      <c r="AD131" s="70"/>
      <c r="AE131" s="14"/>
      <c r="AF131" s="55"/>
      <c r="AG131" s="55"/>
    </row>
    <row r="132" ht="13.5" customHeight="1">
      <c r="A132" s="80">
        <f t="shared" si="20"/>
        <v>127</v>
      </c>
      <c r="B132" s="26"/>
      <c r="C132" s="39"/>
      <c r="D132" s="40"/>
      <c r="E132" s="83"/>
      <c r="F132" s="42"/>
      <c r="G132" s="84"/>
      <c r="H132" s="84"/>
      <c r="I132" s="45"/>
      <c r="J132" s="46" t="s">
        <v>222</v>
      </c>
      <c r="K132" s="40" t="s">
        <v>222</v>
      </c>
      <c r="L132" s="40" t="s">
        <v>222</v>
      </c>
      <c r="M132" s="40" t="s">
        <v>222</v>
      </c>
      <c r="N132" s="40" t="s">
        <v>222</v>
      </c>
      <c r="O132" s="40" t="s">
        <v>222</v>
      </c>
      <c r="P132" s="48"/>
      <c r="Q132" s="48"/>
      <c r="R132" s="49" t="s">
        <v>222</v>
      </c>
      <c r="S132" s="50" t="s">
        <v>222</v>
      </c>
      <c r="T132" s="85"/>
      <c r="U132" s="52">
        <f t="shared" si="1"/>
        <v>0</v>
      </c>
      <c r="V132" s="85"/>
      <c r="W132" s="52">
        <f t="shared" si="9"/>
        <v>0</v>
      </c>
      <c r="X132" s="51">
        <f t="shared" si="3"/>
        <v>0</v>
      </c>
      <c r="Y132" s="52">
        <f t="shared" si="4"/>
        <v>0</v>
      </c>
      <c r="Z132" s="51">
        <f t="shared" si="5"/>
        <v>0</v>
      </c>
      <c r="AA132" s="52">
        <f t="shared" si="6"/>
        <v>0</v>
      </c>
      <c r="AB132" s="53">
        <f t="shared" si="7"/>
        <v>0</v>
      </c>
      <c r="AC132" s="52">
        <f t="shared" si="8"/>
        <v>0</v>
      </c>
      <c r="AD132" s="70"/>
      <c r="AE132" s="14"/>
      <c r="AF132" s="55"/>
      <c r="AG132" s="55"/>
    </row>
    <row r="133" ht="13.5" customHeight="1">
      <c r="A133" s="80">
        <f t="shared" si="20"/>
        <v>128</v>
      </c>
      <c r="B133" s="26"/>
      <c r="C133" s="39"/>
      <c r="D133" s="40"/>
      <c r="E133" s="83"/>
      <c r="F133" s="42"/>
      <c r="G133" s="84"/>
      <c r="H133" s="84"/>
      <c r="I133" s="45"/>
      <c r="J133" s="46" t="s">
        <v>222</v>
      </c>
      <c r="K133" s="40" t="s">
        <v>222</v>
      </c>
      <c r="L133" s="40" t="s">
        <v>222</v>
      </c>
      <c r="M133" s="40" t="s">
        <v>222</v>
      </c>
      <c r="N133" s="40" t="s">
        <v>222</v>
      </c>
      <c r="O133" s="40" t="s">
        <v>222</v>
      </c>
      <c r="P133" s="48"/>
      <c r="Q133" s="48"/>
      <c r="R133" s="49" t="s">
        <v>222</v>
      </c>
      <c r="S133" s="50" t="s">
        <v>222</v>
      </c>
      <c r="T133" s="85"/>
      <c r="U133" s="52">
        <f t="shared" si="1"/>
        <v>0</v>
      </c>
      <c r="V133" s="85"/>
      <c r="W133" s="52">
        <f t="shared" si="9"/>
        <v>0</v>
      </c>
      <c r="X133" s="51">
        <f t="shared" si="3"/>
        <v>0</v>
      </c>
      <c r="Y133" s="52">
        <f t="shared" si="4"/>
        <v>0</v>
      </c>
      <c r="Z133" s="51">
        <f t="shared" si="5"/>
        <v>0</v>
      </c>
      <c r="AA133" s="52">
        <f t="shared" si="6"/>
        <v>0</v>
      </c>
      <c r="AB133" s="53">
        <f t="shared" si="7"/>
        <v>0</v>
      </c>
      <c r="AC133" s="52">
        <f t="shared" si="8"/>
        <v>0</v>
      </c>
      <c r="AD133" s="70"/>
      <c r="AE133" s="14"/>
      <c r="AF133" s="55"/>
      <c r="AG133" s="55"/>
    </row>
    <row r="134" ht="13.5" customHeight="1">
      <c r="A134" s="80">
        <f t="shared" si="20"/>
        <v>129</v>
      </c>
      <c r="B134" s="26"/>
      <c r="C134" s="39"/>
      <c r="D134" s="40"/>
      <c r="E134" s="83"/>
      <c r="F134" s="42"/>
      <c r="G134" s="84"/>
      <c r="H134" s="84"/>
      <c r="I134" s="45"/>
      <c r="J134" s="46" t="s">
        <v>222</v>
      </c>
      <c r="K134" s="40" t="s">
        <v>222</v>
      </c>
      <c r="L134" s="40" t="s">
        <v>222</v>
      </c>
      <c r="M134" s="40" t="s">
        <v>222</v>
      </c>
      <c r="N134" s="40" t="s">
        <v>222</v>
      </c>
      <c r="O134" s="40" t="s">
        <v>222</v>
      </c>
      <c r="P134" s="48"/>
      <c r="Q134" s="48"/>
      <c r="R134" s="49" t="s">
        <v>222</v>
      </c>
      <c r="S134" s="50" t="s">
        <v>222</v>
      </c>
      <c r="T134" s="85"/>
      <c r="U134" s="52">
        <f t="shared" si="1"/>
        <v>0</v>
      </c>
      <c r="V134" s="85"/>
      <c r="W134" s="52">
        <f t="shared" si="9"/>
        <v>0</v>
      </c>
      <c r="X134" s="51">
        <f t="shared" si="3"/>
        <v>0</v>
      </c>
      <c r="Y134" s="52">
        <f t="shared" si="4"/>
        <v>0</v>
      </c>
      <c r="Z134" s="51">
        <f t="shared" si="5"/>
        <v>0</v>
      </c>
      <c r="AA134" s="52">
        <f t="shared" si="6"/>
        <v>0</v>
      </c>
      <c r="AB134" s="53">
        <f t="shared" si="7"/>
        <v>0</v>
      </c>
      <c r="AC134" s="52">
        <f t="shared" si="8"/>
        <v>0</v>
      </c>
      <c r="AD134" s="70"/>
      <c r="AE134" s="14"/>
      <c r="AF134" s="55"/>
      <c r="AG134" s="55"/>
    </row>
    <row r="135" ht="13.5" customHeight="1">
      <c r="A135" s="80">
        <f t="shared" si="20"/>
        <v>130</v>
      </c>
      <c r="B135" s="26"/>
      <c r="C135" s="39"/>
      <c r="D135" s="40"/>
      <c r="E135" s="83"/>
      <c r="F135" s="42"/>
      <c r="G135" s="84"/>
      <c r="H135" s="84"/>
      <c r="I135" s="45"/>
      <c r="J135" s="46" t="s">
        <v>222</v>
      </c>
      <c r="K135" s="40" t="s">
        <v>222</v>
      </c>
      <c r="L135" s="40" t="s">
        <v>222</v>
      </c>
      <c r="M135" s="40" t="s">
        <v>222</v>
      </c>
      <c r="N135" s="40" t="s">
        <v>222</v>
      </c>
      <c r="O135" s="40" t="s">
        <v>222</v>
      </c>
      <c r="P135" s="48"/>
      <c r="Q135" s="48"/>
      <c r="R135" s="49" t="s">
        <v>222</v>
      </c>
      <c r="S135" s="50" t="s">
        <v>222</v>
      </c>
      <c r="T135" s="85"/>
      <c r="U135" s="52">
        <f t="shared" si="1"/>
        <v>0</v>
      </c>
      <c r="V135" s="85"/>
      <c r="W135" s="52">
        <f t="shared" si="9"/>
        <v>0</v>
      </c>
      <c r="X135" s="51">
        <f t="shared" si="3"/>
        <v>0</v>
      </c>
      <c r="Y135" s="52">
        <f t="shared" si="4"/>
        <v>0</v>
      </c>
      <c r="Z135" s="51">
        <f t="shared" si="5"/>
        <v>0</v>
      </c>
      <c r="AA135" s="52">
        <f t="shared" si="6"/>
        <v>0</v>
      </c>
      <c r="AB135" s="53">
        <f t="shared" si="7"/>
        <v>0</v>
      </c>
      <c r="AC135" s="52">
        <f t="shared" si="8"/>
        <v>0</v>
      </c>
      <c r="AD135" s="70"/>
      <c r="AE135" s="14"/>
      <c r="AF135" s="55"/>
      <c r="AG135" s="55"/>
    </row>
    <row r="136" ht="13.5" customHeight="1">
      <c r="A136" s="80">
        <f t="shared" si="20"/>
        <v>131</v>
      </c>
      <c r="B136" s="26"/>
      <c r="C136" s="39"/>
      <c r="D136" s="40"/>
      <c r="E136" s="83"/>
      <c r="F136" s="42"/>
      <c r="G136" s="84"/>
      <c r="H136" s="84"/>
      <c r="I136" s="45"/>
      <c r="J136" s="46" t="s">
        <v>222</v>
      </c>
      <c r="K136" s="40" t="s">
        <v>222</v>
      </c>
      <c r="L136" s="40" t="s">
        <v>222</v>
      </c>
      <c r="M136" s="40" t="s">
        <v>222</v>
      </c>
      <c r="N136" s="40" t="s">
        <v>222</v>
      </c>
      <c r="O136" s="40" t="s">
        <v>222</v>
      </c>
      <c r="P136" s="48"/>
      <c r="Q136" s="48"/>
      <c r="R136" s="49" t="s">
        <v>222</v>
      </c>
      <c r="S136" s="50" t="s">
        <v>222</v>
      </c>
      <c r="T136" s="85"/>
      <c r="U136" s="52">
        <f t="shared" si="1"/>
        <v>0</v>
      </c>
      <c r="V136" s="85"/>
      <c r="W136" s="52">
        <f t="shared" si="9"/>
        <v>0</v>
      </c>
      <c r="X136" s="51">
        <f t="shared" si="3"/>
        <v>0</v>
      </c>
      <c r="Y136" s="52">
        <f t="shared" si="4"/>
        <v>0</v>
      </c>
      <c r="Z136" s="51">
        <f t="shared" si="5"/>
        <v>0</v>
      </c>
      <c r="AA136" s="52">
        <f t="shared" si="6"/>
        <v>0</v>
      </c>
      <c r="AB136" s="53">
        <f t="shared" si="7"/>
        <v>0</v>
      </c>
      <c r="AC136" s="52">
        <f t="shared" si="8"/>
        <v>0</v>
      </c>
      <c r="AD136" s="70"/>
      <c r="AE136" s="14"/>
      <c r="AF136" s="55"/>
      <c r="AG136" s="55"/>
    </row>
    <row r="137" ht="13.5" customHeight="1">
      <c r="A137" s="80">
        <f t="shared" si="20"/>
        <v>132</v>
      </c>
      <c r="B137" s="26"/>
      <c r="C137" s="39"/>
      <c r="D137" s="40"/>
      <c r="E137" s="83"/>
      <c r="F137" s="42"/>
      <c r="G137" s="84"/>
      <c r="H137" s="84"/>
      <c r="I137" s="45"/>
      <c r="J137" s="46" t="s">
        <v>222</v>
      </c>
      <c r="K137" s="40" t="s">
        <v>222</v>
      </c>
      <c r="L137" s="40" t="s">
        <v>222</v>
      </c>
      <c r="M137" s="40" t="s">
        <v>222</v>
      </c>
      <c r="N137" s="40" t="s">
        <v>222</v>
      </c>
      <c r="O137" s="40" t="s">
        <v>222</v>
      </c>
      <c r="P137" s="48"/>
      <c r="Q137" s="48"/>
      <c r="R137" s="49" t="s">
        <v>222</v>
      </c>
      <c r="S137" s="50" t="s">
        <v>222</v>
      </c>
      <c r="T137" s="85"/>
      <c r="U137" s="52">
        <f t="shared" si="1"/>
        <v>0</v>
      </c>
      <c r="V137" s="85"/>
      <c r="W137" s="52">
        <f t="shared" si="9"/>
        <v>0</v>
      </c>
      <c r="X137" s="51">
        <f t="shared" si="3"/>
        <v>0</v>
      </c>
      <c r="Y137" s="52">
        <f t="shared" si="4"/>
        <v>0</v>
      </c>
      <c r="Z137" s="51">
        <f t="shared" si="5"/>
        <v>0</v>
      </c>
      <c r="AA137" s="52">
        <f t="shared" si="6"/>
        <v>0</v>
      </c>
      <c r="AB137" s="53">
        <f t="shared" si="7"/>
        <v>0</v>
      </c>
      <c r="AC137" s="52">
        <f t="shared" si="8"/>
        <v>0</v>
      </c>
      <c r="AD137" s="70"/>
      <c r="AE137" s="14"/>
      <c r="AF137" s="55"/>
      <c r="AG137" s="55"/>
    </row>
    <row r="138" ht="13.5" customHeight="1">
      <c r="A138" s="80">
        <f t="shared" si="20"/>
        <v>133</v>
      </c>
      <c r="B138" s="26"/>
      <c r="C138" s="39"/>
      <c r="D138" s="40"/>
      <c r="E138" s="83"/>
      <c r="F138" s="42"/>
      <c r="G138" s="84"/>
      <c r="H138" s="84"/>
      <c r="I138" s="45"/>
      <c r="J138" s="46" t="s">
        <v>222</v>
      </c>
      <c r="K138" s="40" t="s">
        <v>222</v>
      </c>
      <c r="L138" s="40" t="s">
        <v>222</v>
      </c>
      <c r="M138" s="40" t="s">
        <v>222</v>
      </c>
      <c r="N138" s="40" t="s">
        <v>222</v>
      </c>
      <c r="O138" s="40" t="s">
        <v>222</v>
      </c>
      <c r="P138" s="48"/>
      <c r="Q138" s="48"/>
      <c r="R138" s="49" t="s">
        <v>222</v>
      </c>
      <c r="S138" s="50" t="s">
        <v>222</v>
      </c>
      <c r="T138" s="85"/>
      <c r="U138" s="52">
        <f t="shared" si="1"/>
        <v>0</v>
      </c>
      <c r="V138" s="85"/>
      <c r="W138" s="52">
        <f t="shared" si="9"/>
        <v>0</v>
      </c>
      <c r="X138" s="51">
        <f t="shared" si="3"/>
        <v>0</v>
      </c>
      <c r="Y138" s="52">
        <f t="shared" si="4"/>
        <v>0</v>
      </c>
      <c r="Z138" s="51">
        <f t="shared" si="5"/>
        <v>0</v>
      </c>
      <c r="AA138" s="52">
        <f t="shared" si="6"/>
        <v>0</v>
      </c>
      <c r="AB138" s="53">
        <f t="shared" si="7"/>
        <v>0</v>
      </c>
      <c r="AC138" s="52">
        <f t="shared" si="8"/>
        <v>0</v>
      </c>
      <c r="AD138" s="70"/>
      <c r="AE138" s="14"/>
      <c r="AF138" s="55"/>
      <c r="AG138" s="55"/>
    </row>
    <row r="139" ht="13.5" customHeight="1">
      <c r="A139" s="80">
        <f t="shared" si="20"/>
        <v>134</v>
      </c>
      <c r="B139" s="26"/>
      <c r="C139" s="39"/>
      <c r="D139" s="40"/>
      <c r="E139" s="83"/>
      <c r="F139" s="42"/>
      <c r="G139" s="84"/>
      <c r="H139" s="84"/>
      <c r="I139" s="45"/>
      <c r="J139" s="46" t="s">
        <v>222</v>
      </c>
      <c r="K139" s="40" t="s">
        <v>222</v>
      </c>
      <c r="L139" s="40" t="s">
        <v>222</v>
      </c>
      <c r="M139" s="40" t="s">
        <v>222</v>
      </c>
      <c r="N139" s="40" t="s">
        <v>222</v>
      </c>
      <c r="O139" s="40" t="s">
        <v>222</v>
      </c>
      <c r="P139" s="48"/>
      <c r="Q139" s="48"/>
      <c r="R139" s="49" t="s">
        <v>222</v>
      </c>
      <c r="S139" s="50" t="s">
        <v>222</v>
      </c>
      <c r="T139" s="85"/>
      <c r="U139" s="52">
        <f t="shared" si="1"/>
        <v>0</v>
      </c>
      <c r="V139" s="85"/>
      <c r="W139" s="52">
        <f t="shared" si="9"/>
        <v>0</v>
      </c>
      <c r="X139" s="51">
        <f t="shared" si="3"/>
        <v>0</v>
      </c>
      <c r="Y139" s="52">
        <f t="shared" si="4"/>
        <v>0</v>
      </c>
      <c r="Z139" s="51">
        <f t="shared" si="5"/>
        <v>0</v>
      </c>
      <c r="AA139" s="52">
        <f t="shared" si="6"/>
        <v>0</v>
      </c>
      <c r="AB139" s="53">
        <f t="shared" si="7"/>
        <v>0</v>
      </c>
      <c r="AC139" s="52">
        <f t="shared" si="8"/>
        <v>0</v>
      </c>
      <c r="AD139" s="70"/>
      <c r="AE139" s="14"/>
      <c r="AF139" s="55"/>
      <c r="AG139" s="55"/>
    </row>
    <row r="140" ht="13.5" customHeight="1">
      <c r="A140" s="80">
        <f t="shared" si="20"/>
        <v>135</v>
      </c>
      <c r="B140" s="26"/>
      <c r="C140" s="39"/>
      <c r="D140" s="40"/>
      <c r="E140" s="83"/>
      <c r="F140" s="42"/>
      <c r="G140" s="84"/>
      <c r="H140" s="84"/>
      <c r="I140" s="45"/>
      <c r="J140" s="46" t="s">
        <v>222</v>
      </c>
      <c r="K140" s="40" t="s">
        <v>222</v>
      </c>
      <c r="L140" s="40" t="s">
        <v>222</v>
      </c>
      <c r="M140" s="40" t="s">
        <v>222</v>
      </c>
      <c r="N140" s="40" t="s">
        <v>222</v>
      </c>
      <c r="O140" s="40" t="s">
        <v>222</v>
      </c>
      <c r="P140" s="48"/>
      <c r="Q140" s="48"/>
      <c r="R140" s="49" t="s">
        <v>222</v>
      </c>
      <c r="S140" s="50" t="s">
        <v>222</v>
      </c>
      <c r="T140" s="85"/>
      <c r="U140" s="52">
        <f t="shared" si="1"/>
        <v>0</v>
      </c>
      <c r="V140" s="85"/>
      <c r="W140" s="52">
        <f t="shared" si="9"/>
        <v>0</v>
      </c>
      <c r="X140" s="51">
        <f t="shared" si="3"/>
        <v>0</v>
      </c>
      <c r="Y140" s="52">
        <f t="shared" si="4"/>
        <v>0</v>
      </c>
      <c r="Z140" s="51">
        <f t="shared" si="5"/>
        <v>0</v>
      </c>
      <c r="AA140" s="52">
        <f t="shared" si="6"/>
        <v>0</v>
      </c>
      <c r="AB140" s="53">
        <f t="shared" si="7"/>
        <v>0</v>
      </c>
      <c r="AC140" s="52">
        <f t="shared" si="8"/>
        <v>0</v>
      </c>
      <c r="AD140" s="70"/>
      <c r="AE140" s="14"/>
      <c r="AF140" s="55"/>
      <c r="AG140" s="55"/>
    </row>
    <row r="141" ht="13.5" customHeight="1">
      <c r="A141" s="80">
        <f t="shared" si="20"/>
        <v>136</v>
      </c>
      <c r="B141" s="26"/>
      <c r="C141" s="39"/>
      <c r="D141" s="40"/>
      <c r="E141" s="83"/>
      <c r="F141" s="42"/>
      <c r="G141" s="84"/>
      <c r="H141" s="84"/>
      <c r="I141" s="45"/>
      <c r="J141" s="46" t="s">
        <v>222</v>
      </c>
      <c r="K141" s="40" t="s">
        <v>222</v>
      </c>
      <c r="L141" s="40" t="s">
        <v>222</v>
      </c>
      <c r="M141" s="40" t="s">
        <v>222</v>
      </c>
      <c r="N141" s="40" t="s">
        <v>222</v>
      </c>
      <c r="O141" s="40" t="s">
        <v>222</v>
      </c>
      <c r="P141" s="48"/>
      <c r="Q141" s="48"/>
      <c r="R141" s="49" t="s">
        <v>222</v>
      </c>
      <c r="S141" s="50" t="s">
        <v>222</v>
      </c>
      <c r="T141" s="85"/>
      <c r="U141" s="52">
        <f t="shared" si="1"/>
        <v>0</v>
      </c>
      <c r="V141" s="85"/>
      <c r="W141" s="52">
        <f t="shared" si="9"/>
        <v>0</v>
      </c>
      <c r="X141" s="51">
        <f t="shared" si="3"/>
        <v>0</v>
      </c>
      <c r="Y141" s="52">
        <f t="shared" si="4"/>
        <v>0</v>
      </c>
      <c r="Z141" s="51">
        <f t="shared" si="5"/>
        <v>0</v>
      </c>
      <c r="AA141" s="52">
        <f t="shared" si="6"/>
        <v>0</v>
      </c>
      <c r="AB141" s="53">
        <f t="shared" si="7"/>
        <v>0</v>
      </c>
      <c r="AC141" s="52">
        <f t="shared" si="8"/>
        <v>0</v>
      </c>
      <c r="AD141" s="70"/>
      <c r="AE141" s="14"/>
      <c r="AF141" s="55"/>
      <c r="AG141" s="55"/>
    </row>
    <row r="142" ht="13.5" customHeight="1">
      <c r="A142" s="80">
        <f t="shared" si="20"/>
        <v>137</v>
      </c>
      <c r="B142" s="26"/>
      <c r="C142" s="39"/>
      <c r="D142" s="40"/>
      <c r="E142" s="83"/>
      <c r="F142" s="42"/>
      <c r="G142" s="84"/>
      <c r="H142" s="84"/>
      <c r="I142" s="45"/>
      <c r="J142" s="46" t="s">
        <v>222</v>
      </c>
      <c r="K142" s="40" t="s">
        <v>222</v>
      </c>
      <c r="L142" s="40" t="s">
        <v>222</v>
      </c>
      <c r="M142" s="40" t="s">
        <v>222</v>
      </c>
      <c r="N142" s="40" t="s">
        <v>222</v>
      </c>
      <c r="O142" s="40" t="s">
        <v>222</v>
      </c>
      <c r="P142" s="48"/>
      <c r="Q142" s="48"/>
      <c r="R142" s="49" t="s">
        <v>222</v>
      </c>
      <c r="S142" s="50" t="s">
        <v>222</v>
      </c>
      <c r="T142" s="85"/>
      <c r="U142" s="52">
        <f t="shared" si="1"/>
        <v>0</v>
      </c>
      <c r="V142" s="85"/>
      <c r="W142" s="52">
        <f t="shared" si="9"/>
        <v>0</v>
      </c>
      <c r="X142" s="51">
        <f t="shared" si="3"/>
        <v>0</v>
      </c>
      <c r="Y142" s="52">
        <f t="shared" si="4"/>
        <v>0</v>
      </c>
      <c r="Z142" s="51">
        <f t="shared" si="5"/>
        <v>0</v>
      </c>
      <c r="AA142" s="52">
        <f t="shared" si="6"/>
        <v>0</v>
      </c>
      <c r="AB142" s="53">
        <f t="shared" si="7"/>
        <v>0</v>
      </c>
      <c r="AC142" s="52">
        <f t="shared" si="8"/>
        <v>0</v>
      </c>
      <c r="AD142" s="70"/>
      <c r="AE142" s="14"/>
      <c r="AF142" s="55"/>
      <c r="AG142" s="55"/>
    </row>
    <row r="143" ht="13.5" customHeight="1">
      <c r="A143" s="80">
        <f t="shared" si="20"/>
        <v>138</v>
      </c>
      <c r="B143" s="26"/>
      <c r="C143" s="39"/>
      <c r="D143" s="40"/>
      <c r="E143" s="83"/>
      <c r="F143" s="42"/>
      <c r="G143" s="84"/>
      <c r="H143" s="84"/>
      <c r="I143" s="45"/>
      <c r="J143" s="46" t="s">
        <v>222</v>
      </c>
      <c r="K143" s="40" t="s">
        <v>222</v>
      </c>
      <c r="L143" s="40" t="s">
        <v>222</v>
      </c>
      <c r="M143" s="40" t="s">
        <v>222</v>
      </c>
      <c r="N143" s="40" t="s">
        <v>222</v>
      </c>
      <c r="O143" s="40" t="s">
        <v>222</v>
      </c>
      <c r="P143" s="48"/>
      <c r="Q143" s="48"/>
      <c r="R143" s="49" t="s">
        <v>222</v>
      </c>
      <c r="S143" s="50" t="s">
        <v>222</v>
      </c>
      <c r="T143" s="85"/>
      <c r="U143" s="52">
        <f t="shared" si="1"/>
        <v>0</v>
      </c>
      <c r="V143" s="85"/>
      <c r="W143" s="52">
        <f t="shared" si="9"/>
        <v>0</v>
      </c>
      <c r="X143" s="51">
        <f t="shared" si="3"/>
        <v>0</v>
      </c>
      <c r="Y143" s="52">
        <f t="shared" si="4"/>
        <v>0</v>
      </c>
      <c r="Z143" s="51">
        <f t="shared" si="5"/>
        <v>0</v>
      </c>
      <c r="AA143" s="52">
        <f t="shared" si="6"/>
        <v>0</v>
      </c>
      <c r="AB143" s="53">
        <f t="shared" si="7"/>
        <v>0</v>
      </c>
      <c r="AC143" s="52">
        <f t="shared" si="8"/>
        <v>0</v>
      </c>
      <c r="AD143" s="70"/>
      <c r="AE143" s="14"/>
      <c r="AF143" s="55"/>
      <c r="AG143" s="55"/>
    </row>
    <row r="144" ht="13.5" customHeight="1">
      <c r="A144" s="80">
        <f t="shared" si="20"/>
        <v>139</v>
      </c>
      <c r="B144" s="26"/>
      <c r="C144" s="39"/>
      <c r="D144" s="40"/>
      <c r="E144" s="83"/>
      <c r="F144" s="42"/>
      <c r="G144" s="84"/>
      <c r="H144" s="84"/>
      <c r="I144" s="45"/>
      <c r="J144" s="46" t="s">
        <v>222</v>
      </c>
      <c r="K144" s="40" t="s">
        <v>222</v>
      </c>
      <c r="L144" s="40" t="s">
        <v>222</v>
      </c>
      <c r="M144" s="40" t="s">
        <v>222</v>
      </c>
      <c r="N144" s="40" t="s">
        <v>222</v>
      </c>
      <c r="O144" s="40" t="s">
        <v>222</v>
      </c>
      <c r="P144" s="48"/>
      <c r="Q144" s="48"/>
      <c r="R144" s="49" t="s">
        <v>222</v>
      </c>
      <c r="S144" s="50" t="s">
        <v>222</v>
      </c>
      <c r="T144" s="85"/>
      <c r="U144" s="52">
        <f t="shared" si="1"/>
        <v>0</v>
      </c>
      <c r="V144" s="85"/>
      <c r="W144" s="52">
        <f t="shared" si="9"/>
        <v>0</v>
      </c>
      <c r="X144" s="51">
        <f t="shared" si="3"/>
        <v>0</v>
      </c>
      <c r="Y144" s="52">
        <f t="shared" si="4"/>
        <v>0</v>
      </c>
      <c r="Z144" s="51">
        <f t="shared" si="5"/>
        <v>0</v>
      </c>
      <c r="AA144" s="52">
        <f t="shared" si="6"/>
        <v>0</v>
      </c>
      <c r="AB144" s="53">
        <f t="shared" si="7"/>
        <v>0</v>
      </c>
      <c r="AC144" s="52">
        <f t="shared" si="8"/>
        <v>0</v>
      </c>
      <c r="AD144" s="70"/>
      <c r="AE144" s="14"/>
      <c r="AF144" s="55"/>
      <c r="AG144" s="55"/>
    </row>
    <row r="145" ht="13.5" customHeight="1">
      <c r="A145" s="80">
        <f t="shared" si="20"/>
        <v>140</v>
      </c>
      <c r="B145" s="26"/>
      <c r="C145" s="39"/>
      <c r="D145" s="40"/>
      <c r="E145" s="83"/>
      <c r="F145" s="42"/>
      <c r="G145" s="84"/>
      <c r="H145" s="84"/>
      <c r="I145" s="45"/>
      <c r="J145" s="46" t="s">
        <v>222</v>
      </c>
      <c r="K145" s="40" t="s">
        <v>222</v>
      </c>
      <c r="L145" s="40" t="s">
        <v>222</v>
      </c>
      <c r="M145" s="40" t="s">
        <v>222</v>
      </c>
      <c r="N145" s="40" t="s">
        <v>222</v>
      </c>
      <c r="O145" s="40" t="s">
        <v>222</v>
      </c>
      <c r="P145" s="48"/>
      <c r="Q145" s="48"/>
      <c r="R145" s="49" t="s">
        <v>222</v>
      </c>
      <c r="S145" s="50" t="s">
        <v>222</v>
      </c>
      <c r="T145" s="85"/>
      <c r="U145" s="52">
        <f t="shared" si="1"/>
        <v>0</v>
      </c>
      <c r="V145" s="85"/>
      <c r="W145" s="52">
        <f t="shared" si="9"/>
        <v>0</v>
      </c>
      <c r="X145" s="51">
        <f t="shared" si="3"/>
        <v>0</v>
      </c>
      <c r="Y145" s="52">
        <f t="shared" si="4"/>
        <v>0</v>
      </c>
      <c r="Z145" s="51">
        <f t="shared" si="5"/>
        <v>0</v>
      </c>
      <c r="AA145" s="52">
        <f t="shared" si="6"/>
        <v>0</v>
      </c>
      <c r="AB145" s="53">
        <f t="shared" si="7"/>
        <v>0</v>
      </c>
      <c r="AC145" s="52">
        <f t="shared" si="8"/>
        <v>0</v>
      </c>
      <c r="AD145" s="70"/>
      <c r="AE145" s="14"/>
      <c r="AF145" s="55"/>
      <c r="AG145" s="55"/>
    </row>
    <row r="146" ht="13.5" customHeight="1">
      <c r="A146" s="80">
        <f t="shared" si="20"/>
        <v>141</v>
      </c>
      <c r="B146" s="26"/>
      <c r="C146" s="39"/>
      <c r="D146" s="40"/>
      <c r="E146" s="83"/>
      <c r="F146" s="42"/>
      <c r="G146" s="84"/>
      <c r="H146" s="84"/>
      <c r="I146" s="45"/>
      <c r="J146" s="46" t="s">
        <v>222</v>
      </c>
      <c r="K146" s="40" t="s">
        <v>222</v>
      </c>
      <c r="L146" s="40" t="s">
        <v>222</v>
      </c>
      <c r="M146" s="40" t="s">
        <v>222</v>
      </c>
      <c r="N146" s="40" t="s">
        <v>222</v>
      </c>
      <c r="O146" s="40" t="s">
        <v>222</v>
      </c>
      <c r="P146" s="48"/>
      <c r="Q146" s="48"/>
      <c r="R146" s="49" t="s">
        <v>222</v>
      </c>
      <c r="S146" s="50" t="s">
        <v>222</v>
      </c>
      <c r="T146" s="85"/>
      <c r="U146" s="52">
        <f t="shared" si="1"/>
        <v>0</v>
      </c>
      <c r="V146" s="85"/>
      <c r="W146" s="52">
        <f t="shared" si="9"/>
        <v>0</v>
      </c>
      <c r="X146" s="51">
        <f t="shared" si="3"/>
        <v>0</v>
      </c>
      <c r="Y146" s="52">
        <f t="shared" si="4"/>
        <v>0</v>
      </c>
      <c r="Z146" s="51">
        <f t="shared" si="5"/>
        <v>0</v>
      </c>
      <c r="AA146" s="52">
        <f t="shared" si="6"/>
        <v>0</v>
      </c>
      <c r="AB146" s="53">
        <f t="shared" si="7"/>
        <v>0</v>
      </c>
      <c r="AC146" s="52">
        <f t="shared" si="8"/>
        <v>0</v>
      </c>
      <c r="AD146" s="70"/>
      <c r="AE146" s="14"/>
      <c r="AF146" s="55"/>
      <c r="AG146" s="55"/>
    </row>
    <row r="147" ht="13.5" customHeight="1">
      <c r="A147" s="80">
        <f t="shared" si="20"/>
        <v>142</v>
      </c>
      <c r="B147" s="26"/>
      <c r="C147" s="39"/>
      <c r="D147" s="40"/>
      <c r="E147" s="83"/>
      <c r="F147" s="42"/>
      <c r="G147" s="84"/>
      <c r="H147" s="84"/>
      <c r="I147" s="45"/>
      <c r="J147" s="46" t="s">
        <v>222</v>
      </c>
      <c r="K147" s="40" t="s">
        <v>222</v>
      </c>
      <c r="L147" s="40" t="s">
        <v>222</v>
      </c>
      <c r="M147" s="40" t="s">
        <v>222</v>
      </c>
      <c r="N147" s="40" t="s">
        <v>222</v>
      </c>
      <c r="O147" s="40" t="s">
        <v>222</v>
      </c>
      <c r="P147" s="48"/>
      <c r="Q147" s="48"/>
      <c r="R147" s="49" t="s">
        <v>222</v>
      </c>
      <c r="S147" s="50" t="s">
        <v>222</v>
      </c>
      <c r="T147" s="85"/>
      <c r="U147" s="52">
        <f t="shared" si="1"/>
        <v>0</v>
      </c>
      <c r="V147" s="85"/>
      <c r="W147" s="52">
        <f t="shared" si="9"/>
        <v>0</v>
      </c>
      <c r="X147" s="51">
        <f t="shared" si="3"/>
        <v>0</v>
      </c>
      <c r="Y147" s="52">
        <f t="shared" si="4"/>
        <v>0</v>
      </c>
      <c r="Z147" s="51">
        <f t="shared" si="5"/>
        <v>0</v>
      </c>
      <c r="AA147" s="52">
        <f t="shared" si="6"/>
        <v>0</v>
      </c>
      <c r="AB147" s="53">
        <f t="shared" si="7"/>
        <v>0</v>
      </c>
      <c r="AC147" s="52">
        <f t="shared" si="8"/>
        <v>0</v>
      </c>
      <c r="AD147" s="70"/>
      <c r="AE147" s="14"/>
      <c r="AF147" s="55"/>
      <c r="AG147" s="55"/>
    </row>
    <row r="148" ht="13.5" customHeight="1">
      <c r="A148" s="80">
        <f t="shared" si="20"/>
        <v>143</v>
      </c>
      <c r="B148" s="26"/>
      <c r="C148" s="39"/>
      <c r="D148" s="40"/>
      <c r="E148" s="83"/>
      <c r="F148" s="42"/>
      <c r="G148" s="84"/>
      <c r="H148" s="84"/>
      <c r="I148" s="45"/>
      <c r="J148" s="46" t="s">
        <v>222</v>
      </c>
      <c r="K148" s="40" t="s">
        <v>222</v>
      </c>
      <c r="L148" s="40" t="s">
        <v>222</v>
      </c>
      <c r="M148" s="40" t="s">
        <v>222</v>
      </c>
      <c r="N148" s="40" t="s">
        <v>222</v>
      </c>
      <c r="O148" s="40" t="s">
        <v>222</v>
      </c>
      <c r="P148" s="48"/>
      <c r="Q148" s="48"/>
      <c r="R148" s="49" t="s">
        <v>222</v>
      </c>
      <c r="S148" s="50" t="s">
        <v>222</v>
      </c>
      <c r="T148" s="85"/>
      <c r="U148" s="52">
        <f t="shared" si="1"/>
        <v>0</v>
      </c>
      <c r="V148" s="85"/>
      <c r="W148" s="52">
        <f t="shared" si="9"/>
        <v>0</v>
      </c>
      <c r="X148" s="51">
        <f t="shared" si="3"/>
        <v>0</v>
      </c>
      <c r="Y148" s="52">
        <f t="shared" si="4"/>
        <v>0</v>
      </c>
      <c r="Z148" s="51">
        <f t="shared" si="5"/>
        <v>0</v>
      </c>
      <c r="AA148" s="52">
        <f t="shared" si="6"/>
        <v>0</v>
      </c>
      <c r="AB148" s="53">
        <f t="shared" si="7"/>
        <v>0</v>
      </c>
      <c r="AC148" s="52">
        <f t="shared" si="8"/>
        <v>0</v>
      </c>
      <c r="AD148" s="70"/>
      <c r="AE148" s="14"/>
      <c r="AF148" s="55"/>
      <c r="AG148" s="55"/>
    </row>
    <row r="149" ht="13.5" customHeight="1">
      <c r="A149" s="80">
        <f t="shared" si="20"/>
        <v>144</v>
      </c>
      <c r="B149" s="26"/>
      <c r="C149" s="39"/>
      <c r="D149" s="40"/>
      <c r="E149" s="83"/>
      <c r="F149" s="42"/>
      <c r="G149" s="84"/>
      <c r="H149" s="84"/>
      <c r="I149" s="45"/>
      <c r="J149" s="46" t="s">
        <v>222</v>
      </c>
      <c r="K149" s="40" t="s">
        <v>222</v>
      </c>
      <c r="L149" s="40" t="s">
        <v>222</v>
      </c>
      <c r="M149" s="40" t="s">
        <v>222</v>
      </c>
      <c r="N149" s="40" t="s">
        <v>222</v>
      </c>
      <c r="O149" s="40" t="s">
        <v>222</v>
      </c>
      <c r="P149" s="48"/>
      <c r="Q149" s="48"/>
      <c r="R149" s="49" t="s">
        <v>222</v>
      </c>
      <c r="S149" s="50" t="s">
        <v>222</v>
      </c>
      <c r="T149" s="85"/>
      <c r="U149" s="52">
        <f t="shared" si="1"/>
        <v>0</v>
      </c>
      <c r="V149" s="85"/>
      <c r="W149" s="52">
        <f t="shared" si="9"/>
        <v>0</v>
      </c>
      <c r="X149" s="51">
        <f t="shared" si="3"/>
        <v>0</v>
      </c>
      <c r="Y149" s="52">
        <f t="shared" si="4"/>
        <v>0</v>
      </c>
      <c r="Z149" s="51">
        <f t="shared" si="5"/>
        <v>0</v>
      </c>
      <c r="AA149" s="52">
        <f t="shared" si="6"/>
        <v>0</v>
      </c>
      <c r="AB149" s="53">
        <f t="shared" si="7"/>
        <v>0</v>
      </c>
      <c r="AC149" s="52">
        <f t="shared" si="8"/>
        <v>0</v>
      </c>
      <c r="AD149" s="70"/>
      <c r="AE149" s="14"/>
      <c r="AF149" s="55"/>
      <c r="AG149" s="55"/>
    </row>
    <row r="150" ht="13.5" customHeight="1">
      <c r="A150" s="80">
        <f t="shared" si="20"/>
        <v>145</v>
      </c>
      <c r="B150" s="26"/>
      <c r="C150" s="39"/>
      <c r="D150" s="40"/>
      <c r="E150" s="83"/>
      <c r="F150" s="42"/>
      <c r="G150" s="84"/>
      <c r="H150" s="84"/>
      <c r="I150" s="45"/>
      <c r="J150" s="46" t="s">
        <v>222</v>
      </c>
      <c r="K150" s="40" t="s">
        <v>222</v>
      </c>
      <c r="L150" s="40" t="s">
        <v>222</v>
      </c>
      <c r="M150" s="40" t="s">
        <v>222</v>
      </c>
      <c r="N150" s="40" t="s">
        <v>222</v>
      </c>
      <c r="O150" s="40" t="s">
        <v>222</v>
      </c>
      <c r="P150" s="48"/>
      <c r="Q150" s="48"/>
      <c r="R150" s="49" t="s">
        <v>222</v>
      </c>
      <c r="S150" s="50" t="s">
        <v>222</v>
      </c>
      <c r="T150" s="85"/>
      <c r="U150" s="52">
        <f t="shared" si="1"/>
        <v>0</v>
      </c>
      <c r="V150" s="85"/>
      <c r="W150" s="52">
        <f t="shared" si="9"/>
        <v>0</v>
      </c>
      <c r="X150" s="51">
        <f t="shared" si="3"/>
        <v>0</v>
      </c>
      <c r="Y150" s="52">
        <f t="shared" si="4"/>
        <v>0</v>
      </c>
      <c r="Z150" s="51">
        <f t="shared" si="5"/>
        <v>0</v>
      </c>
      <c r="AA150" s="52">
        <f t="shared" si="6"/>
        <v>0</v>
      </c>
      <c r="AB150" s="53">
        <f t="shared" si="7"/>
        <v>0</v>
      </c>
      <c r="AC150" s="52">
        <f t="shared" si="8"/>
        <v>0</v>
      </c>
      <c r="AD150" s="70"/>
      <c r="AE150" s="14"/>
      <c r="AF150" s="55"/>
      <c r="AG150" s="55"/>
    </row>
    <row r="151" ht="13.5" customHeight="1">
      <c r="A151" s="80">
        <f t="shared" si="20"/>
        <v>146</v>
      </c>
      <c r="B151" s="26"/>
      <c r="C151" s="39"/>
      <c r="D151" s="40"/>
      <c r="E151" s="83"/>
      <c r="F151" s="42"/>
      <c r="G151" s="84"/>
      <c r="H151" s="84"/>
      <c r="I151" s="45"/>
      <c r="J151" s="46" t="s">
        <v>222</v>
      </c>
      <c r="K151" s="40" t="s">
        <v>222</v>
      </c>
      <c r="L151" s="40" t="s">
        <v>222</v>
      </c>
      <c r="M151" s="40" t="s">
        <v>222</v>
      </c>
      <c r="N151" s="40" t="s">
        <v>222</v>
      </c>
      <c r="O151" s="40" t="s">
        <v>222</v>
      </c>
      <c r="P151" s="48"/>
      <c r="Q151" s="48"/>
      <c r="R151" s="49" t="s">
        <v>222</v>
      </c>
      <c r="S151" s="50" t="s">
        <v>222</v>
      </c>
      <c r="T151" s="85"/>
      <c r="U151" s="52">
        <f t="shared" si="1"/>
        <v>0</v>
      </c>
      <c r="V151" s="85"/>
      <c r="W151" s="52">
        <f t="shared" si="9"/>
        <v>0</v>
      </c>
      <c r="X151" s="51">
        <f t="shared" si="3"/>
        <v>0</v>
      </c>
      <c r="Y151" s="52">
        <f t="shared" si="4"/>
        <v>0</v>
      </c>
      <c r="Z151" s="51">
        <f t="shared" si="5"/>
        <v>0</v>
      </c>
      <c r="AA151" s="52">
        <f t="shared" si="6"/>
        <v>0</v>
      </c>
      <c r="AB151" s="53">
        <f t="shared" si="7"/>
        <v>0</v>
      </c>
      <c r="AC151" s="52">
        <f t="shared" si="8"/>
        <v>0</v>
      </c>
      <c r="AD151" s="70"/>
      <c r="AE151" s="14"/>
      <c r="AF151" s="55"/>
      <c r="AG151" s="55"/>
    </row>
    <row r="152" ht="13.5" customHeight="1">
      <c r="A152" s="80">
        <f t="shared" si="20"/>
        <v>147</v>
      </c>
      <c r="B152" s="26"/>
      <c r="C152" s="39"/>
      <c r="D152" s="40"/>
      <c r="E152" s="83"/>
      <c r="F152" s="42"/>
      <c r="G152" s="84"/>
      <c r="H152" s="84"/>
      <c r="I152" s="45"/>
      <c r="J152" s="46" t="s">
        <v>222</v>
      </c>
      <c r="K152" s="40" t="s">
        <v>222</v>
      </c>
      <c r="L152" s="40" t="s">
        <v>222</v>
      </c>
      <c r="M152" s="40" t="s">
        <v>222</v>
      </c>
      <c r="N152" s="40" t="s">
        <v>222</v>
      </c>
      <c r="O152" s="40" t="s">
        <v>222</v>
      </c>
      <c r="P152" s="48"/>
      <c r="Q152" s="48"/>
      <c r="R152" s="49" t="s">
        <v>222</v>
      </c>
      <c r="S152" s="50" t="s">
        <v>222</v>
      </c>
      <c r="T152" s="85"/>
      <c r="U152" s="52">
        <f t="shared" si="1"/>
        <v>0</v>
      </c>
      <c r="V152" s="85"/>
      <c r="W152" s="52">
        <f t="shared" si="9"/>
        <v>0</v>
      </c>
      <c r="X152" s="51">
        <f t="shared" si="3"/>
        <v>0</v>
      </c>
      <c r="Y152" s="52">
        <f t="shared" si="4"/>
        <v>0</v>
      </c>
      <c r="Z152" s="51">
        <f t="shared" si="5"/>
        <v>0</v>
      </c>
      <c r="AA152" s="52">
        <f t="shared" si="6"/>
        <v>0</v>
      </c>
      <c r="AB152" s="53">
        <f t="shared" si="7"/>
        <v>0</v>
      </c>
      <c r="AC152" s="52">
        <f t="shared" si="8"/>
        <v>0</v>
      </c>
      <c r="AD152" s="70"/>
      <c r="AE152" s="14"/>
      <c r="AF152" s="55"/>
      <c r="AG152" s="55"/>
    </row>
    <row r="153" ht="13.5" customHeight="1">
      <c r="A153" s="80">
        <f t="shared" si="20"/>
        <v>148</v>
      </c>
      <c r="B153" s="26"/>
      <c r="C153" s="39"/>
      <c r="D153" s="40"/>
      <c r="E153" s="83"/>
      <c r="F153" s="42"/>
      <c r="G153" s="84"/>
      <c r="H153" s="84"/>
      <c r="I153" s="45"/>
      <c r="J153" s="46" t="s">
        <v>222</v>
      </c>
      <c r="K153" s="40" t="s">
        <v>222</v>
      </c>
      <c r="L153" s="40" t="s">
        <v>222</v>
      </c>
      <c r="M153" s="40" t="s">
        <v>222</v>
      </c>
      <c r="N153" s="40" t="s">
        <v>222</v>
      </c>
      <c r="O153" s="40" t="s">
        <v>222</v>
      </c>
      <c r="P153" s="48"/>
      <c r="Q153" s="48"/>
      <c r="R153" s="49" t="s">
        <v>222</v>
      </c>
      <c r="S153" s="50" t="s">
        <v>222</v>
      </c>
      <c r="T153" s="85"/>
      <c r="U153" s="52">
        <f t="shared" si="1"/>
        <v>0</v>
      </c>
      <c r="V153" s="85"/>
      <c r="W153" s="52">
        <f t="shared" si="9"/>
        <v>0</v>
      </c>
      <c r="X153" s="51">
        <f t="shared" si="3"/>
        <v>0</v>
      </c>
      <c r="Y153" s="52">
        <f t="shared" si="4"/>
        <v>0</v>
      </c>
      <c r="Z153" s="51">
        <f t="shared" si="5"/>
        <v>0</v>
      </c>
      <c r="AA153" s="52">
        <f t="shared" si="6"/>
        <v>0</v>
      </c>
      <c r="AB153" s="53">
        <f t="shared" si="7"/>
        <v>0</v>
      </c>
      <c r="AC153" s="52">
        <f t="shared" si="8"/>
        <v>0</v>
      </c>
      <c r="AD153" s="70"/>
      <c r="AE153" s="14"/>
      <c r="AF153" s="55"/>
      <c r="AG153" s="55"/>
    </row>
    <row r="154" ht="13.5" customHeight="1">
      <c r="A154" s="80">
        <f t="shared" si="20"/>
        <v>149</v>
      </c>
      <c r="B154" s="26"/>
      <c r="C154" s="39"/>
      <c r="D154" s="40"/>
      <c r="E154" s="83"/>
      <c r="F154" s="42"/>
      <c r="G154" s="84"/>
      <c r="H154" s="84"/>
      <c r="I154" s="45"/>
      <c r="J154" s="46" t="s">
        <v>222</v>
      </c>
      <c r="K154" s="40" t="s">
        <v>222</v>
      </c>
      <c r="L154" s="40" t="s">
        <v>222</v>
      </c>
      <c r="M154" s="40" t="s">
        <v>222</v>
      </c>
      <c r="N154" s="40" t="s">
        <v>222</v>
      </c>
      <c r="O154" s="40" t="s">
        <v>222</v>
      </c>
      <c r="P154" s="48"/>
      <c r="Q154" s="48"/>
      <c r="R154" s="49" t="s">
        <v>222</v>
      </c>
      <c r="S154" s="50" t="s">
        <v>222</v>
      </c>
      <c r="T154" s="85"/>
      <c r="U154" s="52">
        <f t="shared" si="1"/>
        <v>0</v>
      </c>
      <c r="V154" s="85"/>
      <c r="W154" s="52">
        <f t="shared" si="9"/>
        <v>0</v>
      </c>
      <c r="X154" s="51">
        <f t="shared" si="3"/>
        <v>0</v>
      </c>
      <c r="Y154" s="52">
        <f t="shared" si="4"/>
        <v>0</v>
      </c>
      <c r="Z154" s="51">
        <f t="shared" si="5"/>
        <v>0</v>
      </c>
      <c r="AA154" s="52">
        <f t="shared" si="6"/>
        <v>0</v>
      </c>
      <c r="AB154" s="53">
        <f t="shared" si="7"/>
        <v>0</v>
      </c>
      <c r="AC154" s="52">
        <f t="shared" si="8"/>
        <v>0</v>
      </c>
      <c r="AD154" s="70"/>
      <c r="AE154" s="14"/>
      <c r="AF154" s="55"/>
      <c r="AG154" s="55"/>
    </row>
    <row r="155" ht="13.5" customHeight="1">
      <c r="A155" s="80">
        <f t="shared" si="20"/>
        <v>150</v>
      </c>
      <c r="B155" s="26"/>
      <c r="C155" s="39"/>
      <c r="D155" s="40"/>
      <c r="E155" s="83"/>
      <c r="F155" s="42"/>
      <c r="G155" s="84"/>
      <c r="H155" s="84"/>
      <c r="I155" s="45"/>
      <c r="J155" s="46" t="s">
        <v>222</v>
      </c>
      <c r="K155" s="40" t="s">
        <v>222</v>
      </c>
      <c r="L155" s="40" t="s">
        <v>222</v>
      </c>
      <c r="M155" s="40" t="s">
        <v>222</v>
      </c>
      <c r="N155" s="40" t="s">
        <v>222</v>
      </c>
      <c r="O155" s="40" t="s">
        <v>222</v>
      </c>
      <c r="P155" s="48"/>
      <c r="Q155" s="48"/>
      <c r="R155" s="49" t="s">
        <v>222</v>
      </c>
      <c r="S155" s="50" t="s">
        <v>222</v>
      </c>
      <c r="T155" s="85"/>
      <c r="U155" s="52">
        <f t="shared" si="1"/>
        <v>0</v>
      </c>
      <c r="V155" s="85"/>
      <c r="W155" s="52">
        <f t="shared" si="9"/>
        <v>0</v>
      </c>
      <c r="X155" s="51">
        <f t="shared" si="3"/>
        <v>0</v>
      </c>
      <c r="Y155" s="52">
        <f t="shared" si="4"/>
        <v>0</v>
      </c>
      <c r="Z155" s="51">
        <f t="shared" si="5"/>
        <v>0</v>
      </c>
      <c r="AA155" s="52">
        <f t="shared" si="6"/>
        <v>0</v>
      </c>
      <c r="AB155" s="53">
        <f t="shared" si="7"/>
        <v>0</v>
      </c>
      <c r="AC155" s="52">
        <f t="shared" si="8"/>
        <v>0</v>
      </c>
      <c r="AD155" s="70"/>
      <c r="AE155" s="14"/>
      <c r="AF155" s="55"/>
      <c r="AG155" s="55"/>
    </row>
    <row r="156" ht="13.5" customHeight="1">
      <c r="A156" s="80">
        <f t="shared" si="20"/>
        <v>151</v>
      </c>
      <c r="B156" s="26"/>
      <c r="C156" s="39"/>
      <c r="D156" s="40"/>
      <c r="E156" s="83"/>
      <c r="F156" s="42"/>
      <c r="G156" s="84"/>
      <c r="H156" s="84"/>
      <c r="I156" s="45"/>
      <c r="J156" s="46" t="s">
        <v>222</v>
      </c>
      <c r="K156" s="40" t="s">
        <v>222</v>
      </c>
      <c r="L156" s="40" t="s">
        <v>222</v>
      </c>
      <c r="M156" s="40" t="s">
        <v>222</v>
      </c>
      <c r="N156" s="40" t="s">
        <v>222</v>
      </c>
      <c r="O156" s="40" t="s">
        <v>222</v>
      </c>
      <c r="P156" s="48"/>
      <c r="Q156" s="48"/>
      <c r="R156" s="49" t="s">
        <v>222</v>
      </c>
      <c r="S156" s="50" t="s">
        <v>222</v>
      </c>
      <c r="T156" s="85"/>
      <c r="U156" s="52">
        <f t="shared" si="1"/>
        <v>0</v>
      </c>
      <c r="V156" s="85"/>
      <c r="W156" s="52">
        <f t="shared" si="9"/>
        <v>0</v>
      </c>
      <c r="X156" s="51">
        <f t="shared" si="3"/>
        <v>0</v>
      </c>
      <c r="Y156" s="52">
        <f t="shared" si="4"/>
        <v>0</v>
      </c>
      <c r="Z156" s="51">
        <f t="shared" si="5"/>
        <v>0</v>
      </c>
      <c r="AA156" s="52">
        <f t="shared" si="6"/>
        <v>0</v>
      </c>
      <c r="AB156" s="53">
        <f t="shared" si="7"/>
        <v>0</v>
      </c>
      <c r="AC156" s="52">
        <f t="shared" si="8"/>
        <v>0</v>
      </c>
      <c r="AD156" s="70"/>
      <c r="AE156" s="14"/>
      <c r="AF156" s="55"/>
      <c r="AG156" s="55"/>
    </row>
    <row r="157" ht="13.5" customHeight="1">
      <c r="A157" s="80">
        <f t="shared" si="20"/>
        <v>152</v>
      </c>
      <c r="B157" s="26"/>
      <c r="C157" s="39"/>
      <c r="D157" s="40"/>
      <c r="E157" s="83"/>
      <c r="F157" s="42"/>
      <c r="G157" s="84"/>
      <c r="H157" s="84"/>
      <c r="I157" s="45"/>
      <c r="J157" s="46" t="s">
        <v>222</v>
      </c>
      <c r="K157" s="40" t="s">
        <v>222</v>
      </c>
      <c r="L157" s="40" t="s">
        <v>222</v>
      </c>
      <c r="M157" s="40" t="s">
        <v>222</v>
      </c>
      <c r="N157" s="40" t="s">
        <v>222</v>
      </c>
      <c r="O157" s="40" t="s">
        <v>222</v>
      </c>
      <c r="P157" s="48"/>
      <c r="Q157" s="48"/>
      <c r="R157" s="49" t="s">
        <v>222</v>
      </c>
      <c r="S157" s="50" t="s">
        <v>222</v>
      </c>
      <c r="T157" s="85"/>
      <c r="U157" s="52">
        <f t="shared" si="1"/>
        <v>0</v>
      </c>
      <c r="V157" s="85"/>
      <c r="W157" s="52">
        <f t="shared" si="9"/>
        <v>0</v>
      </c>
      <c r="X157" s="51">
        <f t="shared" si="3"/>
        <v>0</v>
      </c>
      <c r="Y157" s="52">
        <f t="shared" si="4"/>
        <v>0</v>
      </c>
      <c r="Z157" s="51">
        <f t="shared" si="5"/>
        <v>0</v>
      </c>
      <c r="AA157" s="52">
        <f t="shared" si="6"/>
        <v>0</v>
      </c>
      <c r="AB157" s="53">
        <f t="shared" si="7"/>
        <v>0</v>
      </c>
      <c r="AC157" s="52">
        <f t="shared" si="8"/>
        <v>0</v>
      </c>
      <c r="AD157" s="70"/>
      <c r="AE157" s="14"/>
      <c r="AF157" s="55"/>
      <c r="AG157" s="55"/>
    </row>
    <row r="158" ht="13.5" customHeight="1">
      <c r="A158" s="80">
        <f t="shared" si="20"/>
        <v>153</v>
      </c>
      <c r="B158" s="26"/>
      <c r="C158" s="39"/>
      <c r="D158" s="40"/>
      <c r="E158" s="83"/>
      <c r="F158" s="42"/>
      <c r="G158" s="84"/>
      <c r="H158" s="84"/>
      <c r="I158" s="45"/>
      <c r="J158" s="46" t="s">
        <v>222</v>
      </c>
      <c r="K158" s="40" t="s">
        <v>222</v>
      </c>
      <c r="L158" s="40" t="s">
        <v>222</v>
      </c>
      <c r="M158" s="40" t="s">
        <v>222</v>
      </c>
      <c r="N158" s="40" t="s">
        <v>222</v>
      </c>
      <c r="O158" s="40" t="s">
        <v>222</v>
      </c>
      <c r="P158" s="48"/>
      <c r="Q158" s="48"/>
      <c r="R158" s="49" t="s">
        <v>222</v>
      </c>
      <c r="S158" s="50" t="s">
        <v>222</v>
      </c>
      <c r="T158" s="85"/>
      <c r="U158" s="52">
        <f t="shared" si="1"/>
        <v>0</v>
      </c>
      <c r="V158" s="85"/>
      <c r="W158" s="52">
        <f t="shared" si="9"/>
        <v>0</v>
      </c>
      <c r="X158" s="51">
        <f t="shared" si="3"/>
        <v>0</v>
      </c>
      <c r="Y158" s="52">
        <f t="shared" si="4"/>
        <v>0</v>
      </c>
      <c r="Z158" s="51">
        <f t="shared" si="5"/>
        <v>0</v>
      </c>
      <c r="AA158" s="52">
        <f t="shared" si="6"/>
        <v>0</v>
      </c>
      <c r="AB158" s="53">
        <f t="shared" si="7"/>
        <v>0</v>
      </c>
      <c r="AC158" s="52">
        <f t="shared" si="8"/>
        <v>0</v>
      </c>
      <c r="AD158" s="70"/>
      <c r="AE158" s="14"/>
      <c r="AF158" s="55"/>
      <c r="AG158" s="55"/>
    </row>
    <row r="159" ht="13.5" customHeight="1">
      <c r="A159" s="80">
        <f t="shared" si="20"/>
        <v>154</v>
      </c>
      <c r="B159" s="26"/>
      <c r="C159" s="39"/>
      <c r="D159" s="40"/>
      <c r="E159" s="83"/>
      <c r="F159" s="42"/>
      <c r="G159" s="84"/>
      <c r="H159" s="84"/>
      <c r="I159" s="45"/>
      <c r="J159" s="46" t="s">
        <v>222</v>
      </c>
      <c r="K159" s="40" t="s">
        <v>222</v>
      </c>
      <c r="L159" s="40" t="s">
        <v>222</v>
      </c>
      <c r="M159" s="40" t="s">
        <v>222</v>
      </c>
      <c r="N159" s="40" t="s">
        <v>222</v>
      </c>
      <c r="O159" s="40" t="s">
        <v>222</v>
      </c>
      <c r="P159" s="48"/>
      <c r="Q159" s="48"/>
      <c r="R159" s="49" t="s">
        <v>222</v>
      </c>
      <c r="S159" s="50" t="s">
        <v>222</v>
      </c>
      <c r="T159" s="85"/>
      <c r="U159" s="52">
        <f t="shared" si="1"/>
        <v>0</v>
      </c>
      <c r="V159" s="85"/>
      <c r="W159" s="52">
        <f t="shared" si="9"/>
        <v>0</v>
      </c>
      <c r="X159" s="51">
        <f t="shared" si="3"/>
        <v>0</v>
      </c>
      <c r="Y159" s="52">
        <f t="shared" si="4"/>
        <v>0</v>
      </c>
      <c r="Z159" s="51">
        <f t="shared" si="5"/>
        <v>0</v>
      </c>
      <c r="AA159" s="52">
        <f t="shared" si="6"/>
        <v>0</v>
      </c>
      <c r="AB159" s="53">
        <f t="shared" si="7"/>
        <v>0</v>
      </c>
      <c r="AC159" s="52">
        <f t="shared" si="8"/>
        <v>0</v>
      </c>
      <c r="AD159" s="70"/>
      <c r="AE159" s="14"/>
      <c r="AF159" s="55"/>
      <c r="AG159" s="55"/>
    </row>
    <row r="160" ht="13.5" customHeight="1">
      <c r="A160" s="80">
        <f t="shared" si="20"/>
        <v>155</v>
      </c>
      <c r="B160" s="26"/>
      <c r="C160" s="39"/>
      <c r="D160" s="40"/>
      <c r="E160" s="83"/>
      <c r="F160" s="42"/>
      <c r="G160" s="84"/>
      <c r="H160" s="84"/>
      <c r="I160" s="45"/>
      <c r="J160" s="46" t="s">
        <v>222</v>
      </c>
      <c r="K160" s="40" t="s">
        <v>222</v>
      </c>
      <c r="L160" s="40" t="s">
        <v>222</v>
      </c>
      <c r="M160" s="40" t="s">
        <v>222</v>
      </c>
      <c r="N160" s="40" t="s">
        <v>222</v>
      </c>
      <c r="O160" s="40" t="s">
        <v>222</v>
      </c>
      <c r="P160" s="48"/>
      <c r="Q160" s="48"/>
      <c r="R160" s="49" t="s">
        <v>222</v>
      </c>
      <c r="S160" s="50" t="s">
        <v>222</v>
      </c>
      <c r="T160" s="85"/>
      <c r="U160" s="52">
        <f t="shared" si="1"/>
        <v>0</v>
      </c>
      <c r="V160" s="85"/>
      <c r="W160" s="52">
        <f t="shared" si="9"/>
        <v>0</v>
      </c>
      <c r="X160" s="51">
        <f t="shared" si="3"/>
        <v>0</v>
      </c>
      <c r="Y160" s="52">
        <f t="shared" si="4"/>
        <v>0</v>
      </c>
      <c r="Z160" s="51">
        <f t="shared" si="5"/>
        <v>0</v>
      </c>
      <c r="AA160" s="52">
        <f t="shared" si="6"/>
        <v>0</v>
      </c>
      <c r="AB160" s="53">
        <f t="shared" si="7"/>
        <v>0</v>
      </c>
      <c r="AC160" s="52">
        <f t="shared" si="8"/>
        <v>0</v>
      </c>
      <c r="AD160" s="70"/>
      <c r="AE160" s="14"/>
      <c r="AF160" s="55"/>
      <c r="AG160" s="55"/>
    </row>
    <row r="161" ht="13.5" customHeight="1">
      <c r="A161" s="80">
        <f t="shared" si="20"/>
        <v>156</v>
      </c>
      <c r="B161" s="26"/>
      <c r="C161" s="39"/>
      <c r="D161" s="40"/>
      <c r="E161" s="83"/>
      <c r="F161" s="42"/>
      <c r="G161" s="84"/>
      <c r="H161" s="84"/>
      <c r="I161" s="45"/>
      <c r="J161" s="46" t="s">
        <v>222</v>
      </c>
      <c r="K161" s="40" t="s">
        <v>222</v>
      </c>
      <c r="L161" s="40" t="s">
        <v>222</v>
      </c>
      <c r="M161" s="40" t="s">
        <v>222</v>
      </c>
      <c r="N161" s="40" t="s">
        <v>222</v>
      </c>
      <c r="O161" s="40" t="s">
        <v>222</v>
      </c>
      <c r="P161" s="48"/>
      <c r="Q161" s="48"/>
      <c r="R161" s="49" t="s">
        <v>222</v>
      </c>
      <c r="S161" s="50" t="s">
        <v>222</v>
      </c>
      <c r="T161" s="85"/>
      <c r="U161" s="52">
        <f t="shared" si="1"/>
        <v>0</v>
      </c>
      <c r="V161" s="85"/>
      <c r="W161" s="52">
        <f t="shared" si="9"/>
        <v>0</v>
      </c>
      <c r="X161" s="51">
        <f t="shared" si="3"/>
        <v>0</v>
      </c>
      <c r="Y161" s="52">
        <f t="shared" si="4"/>
        <v>0</v>
      </c>
      <c r="Z161" s="51">
        <f t="shared" si="5"/>
        <v>0</v>
      </c>
      <c r="AA161" s="52">
        <f t="shared" si="6"/>
        <v>0</v>
      </c>
      <c r="AB161" s="53">
        <f t="shared" si="7"/>
        <v>0</v>
      </c>
      <c r="AC161" s="52">
        <f t="shared" si="8"/>
        <v>0</v>
      </c>
      <c r="AD161" s="70"/>
      <c r="AE161" s="14"/>
      <c r="AF161" s="55"/>
      <c r="AG161" s="55"/>
    </row>
    <row r="162" ht="13.5" customHeight="1">
      <c r="A162" s="80">
        <f t="shared" si="20"/>
        <v>157</v>
      </c>
      <c r="B162" s="26"/>
      <c r="C162" s="39"/>
      <c r="D162" s="40"/>
      <c r="E162" s="83"/>
      <c r="F162" s="42"/>
      <c r="G162" s="84"/>
      <c r="H162" s="84"/>
      <c r="I162" s="45"/>
      <c r="J162" s="46" t="s">
        <v>222</v>
      </c>
      <c r="K162" s="40" t="s">
        <v>222</v>
      </c>
      <c r="L162" s="40" t="s">
        <v>222</v>
      </c>
      <c r="M162" s="40" t="s">
        <v>222</v>
      </c>
      <c r="N162" s="40" t="s">
        <v>222</v>
      </c>
      <c r="O162" s="40" t="s">
        <v>222</v>
      </c>
      <c r="P162" s="48"/>
      <c r="Q162" s="48"/>
      <c r="R162" s="49" t="s">
        <v>222</v>
      </c>
      <c r="S162" s="50" t="s">
        <v>222</v>
      </c>
      <c r="T162" s="85"/>
      <c r="U162" s="52">
        <f t="shared" si="1"/>
        <v>0</v>
      </c>
      <c r="V162" s="85"/>
      <c r="W162" s="52">
        <f t="shared" si="9"/>
        <v>0</v>
      </c>
      <c r="X162" s="51">
        <f t="shared" si="3"/>
        <v>0</v>
      </c>
      <c r="Y162" s="52">
        <f t="shared" si="4"/>
        <v>0</v>
      </c>
      <c r="Z162" s="51">
        <f t="shared" si="5"/>
        <v>0</v>
      </c>
      <c r="AA162" s="52">
        <f t="shared" si="6"/>
        <v>0</v>
      </c>
      <c r="AB162" s="53">
        <f t="shared" si="7"/>
        <v>0</v>
      </c>
      <c r="AC162" s="52">
        <f t="shared" si="8"/>
        <v>0</v>
      </c>
      <c r="AD162" s="70"/>
      <c r="AE162" s="14"/>
      <c r="AF162" s="55"/>
      <c r="AG162" s="55"/>
    </row>
    <row r="163" ht="13.5" customHeight="1">
      <c r="A163" s="80">
        <f t="shared" si="20"/>
        <v>158</v>
      </c>
      <c r="B163" s="26"/>
      <c r="C163" s="39"/>
      <c r="D163" s="40"/>
      <c r="E163" s="83"/>
      <c r="F163" s="42"/>
      <c r="G163" s="84"/>
      <c r="H163" s="84"/>
      <c r="I163" s="45"/>
      <c r="J163" s="46" t="s">
        <v>222</v>
      </c>
      <c r="K163" s="40" t="s">
        <v>222</v>
      </c>
      <c r="L163" s="40" t="s">
        <v>222</v>
      </c>
      <c r="M163" s="40" t="s">
        <v>222</v>
      </c>
      <c r="N163" s="40" t="s">
        <v>222</v>
      </c>
      <c r="O163" s="40" t="s">
        <v>222</v>
      </c>
      <c r="P163" s="48"/>
      <c r="Q163" s="48"/>
      <c r="R163" s="49" t="s">
        <v>222</v>
      </c>
      <c r="S163" s="50" t="s">
        <v>222</v>
      </c>
      <c r="T163" s="85"/>
      <c r="U163" s="52">
        <f t="shared" si="1"/>
        <v>0</v>
      </c>
      <c r="V163" s="85"/>
      <c r="W163" s="52">
        <f t="shared" si="9"/>
        <v>0</v>
      </c>
      <c r="X163" s="51">
        <f t="shared" si="3"/>
        <v>0</v>
      </c>
      <c r="Y163" s="52">
        <f t="shared" si="4"/>
        <v>0</v>
      </c>
      <c r="Z163" s="51">
        <f t="shared" si="5"/>
        <v>0</v>
      </c>
      <c r="AA163" s="52">
        <f t="shared" si="6"/>
        <v>0</v>
      </c>
      <c r="AB163" s="53">
        <f t="shared" si="7"/>
        <v>0</v>
      </c>
      <c r="AC163" s="52">
        <f t="shared" si="8"/>
        <v>0</v>
      </c>
      <c r="AD163" s="70"/>
      <c r="AE163" s="14"/>
      <c r="AF163" s="55"/>
      <c r="AG163" s="55"/>
    </row>
    <row r="164" ht="13.5" customHeight="1">
      <c r="A164" s="80">
        <f t="shared" si="20"/>
        <v>159</v>
      </c>
      <c r="B164" s="26"/>
      <c r="C164" s="39"/>
      <c r="D164" s="40"/>
      <c r="E164" s="83"/>
      <c r="F164" s="42"/>
      <c r="G164" s="84"/>
      <c r="H164" s="84"/>
      <c r="I164" s="45"/>
      <c r="J164" s="46" t="s">
        <v>222</v>
      </c>
      <c r="K164" s="40" t="s">
        <v>222</v>
      </c>
      <c r="L164" s="40" t="s">
        <v>222</v>
      </c>
      <c r="M164" s="40" t="s">
        <v>222</v>
      </c>
      <c r="N164" s="40" t="s">
        <v>222</v>
      </c>
      <c r="O164" s="40" t="s">
        <v>222</v>
      </c>
      <c r="P164" s="48"/>
      <c r="Q164" s="48"/>
      <c r="R164" s="49" t="s">
        <v>222</v>
      </c>
      <c r="S164" s="50" t="s">
        <v>222</v>
      </c>
      <c r="T164" s="85"/>
      <c r="U164" s="52">
        <f t="shared" si="1"/>
        <v>0</v>
      </c>
      <c r="V164" s="85"/>
      <c r="W164" s="52">
        <f t="shared" si="9"/>
        <v>0</v>
      </c>
      <c r="X164" s="51">
        <f t="shared" si="3"/>
        <v>0</v>
      </c>
      <c r="Y164" s="52">
        <f t="shared" si="4"/>
        <v>0</v>
      </c>
      <c r="Z164" s="51">
        <f t="shared" si="5"/>
        <v>0</v>
      </c>
      <c r="AA164" s="52">
        <f t="shared" si="6"/>
        <v>0</v>
      </c>
      <c r="AB164" s="53">
        <f t="shared" si="7"/>
        <v>0</v>
      </c>
      <c r="AC164" s="52">
        <f t="shared" si="8"/>
        <v>0</v>
      </c>
      <c r="AD164" s="70"/>
      <c r="AE164" s="14"/>
      <c r="AF164" s="55"/>
      <c r="AG164" s="55"/>
    </row>
    <row r="165" ht="13.5" customHeight="1">
      <c r="A165" s="80">
        <f t="shared" si="20"/>
        <v>160</v>
      </c>
      <c r="B165" s="26"/>
      <c r="C165" s="39"/>
      <c r="D165" s="40"/>
      <c r="E165" s="83"/>
      <c r="F165" s="42"/>
      <c r="G165" s="84"/>
      <c r="H165" s="84"/>
      <c r="I165" s="45"/>
      <c r="J165" s="46" t="s">
        <v>222</v>
      </c>
      <c r="K165" s="40" t="s">
        <v>222</v>
      </c>
      <c r="L165" s="40" t="s">
        <v>222</v>
      </c>
      <c r="M165" s="40" t="s">
        <v>222</v>
      </c>
      <c r="N165" s="40" t="s">
        <v>222</v>
      </c>
      <c r="O165" s="40" t="s">
        <v>222</v>
      </c>
      <c r="P165" s="48"/>
      <c r="Q165" s="48"/>
      <c r="R165" s="49" t="s">
        <v>222</v>
      </c>
      <c r="S165" s="50" t="s">
        <v>222</v>
      </c>
      <c r="T165" s="85"/>
      <c r="U165" s="52">
        <f t="shared" si="1"/>
        <v>0</v>
      </c>
      <c r="V165" s="85"/>
      <c r="W165" s="52">
        <f t="shared" si="9"/>
        <v>0</v>
      </c>
      <c r="X165" s="51">
        <f t="shared" si="3"/>
        <v>0</v>
      </c>
      <c r="Y165" s="52">
        <f t="shared" si="4"/>
        <v>0</v>
      </c>
      <c r="Z165" s="51">
        <f t="shared" si="5"/>
        <v>0</v>
      </c>
      <c r="AA165" s="52">
        <f t="shared" si="6"/>
        <v>0</v>
      </c>
      <c r="AB165" s="53">
        <f t="shared" si="7"/>
        <v>0</v>
      </c>
      <c r="AC165" s="52">
        <f t="shared" si="8"/>
        <v>0</v>
      </c>
      <c r="AD165" s="70"/>
      <c r="AE165" s="14"/>
      <c r="AF165" s="55"/>
      <c r="AG165" s="55"/>
    </row>
    <row r="166" ht="13.5" customHeight="1">
      <c r="A166" s="80">
        <f t="shared" si="20"/>
        <v>161</v>
      </c>
      <c r="B166" s="26"/>
      <c r="C166" s="39"/>
      <c r="D166" s="40"/>
      <c r="E166" s="83"/>
      <c r="F166" s="42"/>
      <c r="G166" s="84"/>
      <c r="H166" s="84"/>
      <c r="I166" s="45"/>
      <c r="J166" s="46" t="s">
        <v>222</v>
      </c>
      <c r="K166" s="40" t="s">
        <v>222</v>
      </c>
      <c r="L166" s="40" t="s">
        <v>222</v>
      </c>
      <c r="M166" s="40" t="s">
        <v>222</v>
      </c>
      <c r="N166" s="40" t="s">
        <v>222</v>
      </c>
      <c r="O166" s="40" t="s">
        <v>222</v>
      </c>
      <c r="P166" s="48"/>
      <c r="Q166" s="48"/>
      <c r="R166" s="49" t="s">
        <v>222</v>
      </c>
      <c r="S166" s="50" t="s">
        <v>222</v>
      </c>
      <c r="T166" s="85"/>
      <c r="U166" s="52">
        <f t="shared" si="1"/>
        <v>0</v>
      </c>
      <c r="V166" s="85"/>
      <c r="W166" s="52">
        <f t="shared" si="9"/>
        <v>0</v>
      </c>
      <c r="X166" s="51">
        <f t="shared" si="3"/>
        <v>0</v>
      </c>
      <c r="Y166" s="52">
        <f t="shared" si="4"/>
        <v>0</v>
      </c>
      <c r="Z166" s="51">
        <f t="shared" si="5"/>
        <v>0</v>
      </c>
      <c r="AA166" s="52">
        <f t="shared" si="6"/>
        <v>0</v>
      </c>
      <c r="AB166" s="53">
        <f t="shared" si="7"/>
        <v>0</v>
      </c>
      <c r="AC166" s="52">
        <f t="shared" si="8"/>
        <v>0</v>
      </c>
      <c r="AD166" s="70"/>
      <c r="AE166" s="14"/>
      <c r="AF166" s="55"/>
      <c r="AG166" s="55"/>
    </row>
    <row r="167" ht="13.5" customHeight="1">
      <c r="A167" s="80">
        <f t="shared" si="20"/>
        <v>162</v>
      </c>
      <c r="B167" s="26"/>
      <c r="C167" s="39"/>
      <c r="D167" s="40"/>
      <c r="E167" s="83"/>
      <c r="F167" s="42"/>
      <c r="G167" s="84"/>
      <c r="H167" s="84"/>
      <c r="I167" s="45"/>
      <c r="J167" s="46" t="s">
        <v>222</v>
      </c>
      <c r="K167" s="40" t="s">
        <v>222</v>
      </c>
      <c r="L167" s="40" t="s">
        <v>222</v>
      </c>
      <c r="M167" s="40" t="s">
        <v>222</v>
      </c>
      <c r="N167" s="40" t="s">
        <v>222</v>
      </c>
      <c r="O167" s="40" t="s">
        <v>222</v>
      </c>
      <c r="P167" s="48"/>
      <c r="Q167" s="48"/>
      <c r="R167" s="49" t="s">
        <v>222</v>
      </c>
      <c r="S167" s="50" t="s">
        <v>222</v>
      </c>
      <c r="T167" s="85"/>
      <c r="U167" s="52">
        <f t="shared" si="1"/>
        <v>0</v>
      </c>
      <c r="V167" s="85"/>
      <c r="W167" s="52">
        <f t="shared" si="9"/>
        <v>0</v>
      </c>
      <c r="X167" s="51">
        <f t="shared" si="3"/>
        <v>0</v>
      </c>
      <c r="Y167" s="52">
        <f t="shared" si="4"/>
        <v>0</v>
      </c>
      <c r="Z167" s="51">
        <f t="shared" si="5"/>
        <v>0</v>
      </c>
      <c r="AA167" s="52">
        <f t="shared" si="6"/>
        <v>0</v>
      </c>
      <c r="AB167" s="53">
        <f t="shared" si="7"/>
        <v>0</v>
      </c>
      <c r="AC167" s="52">
        <f t="shared" si="8"/>
        <v>0</v>
      </c>
      <c r="AD167" s="70"/>
      <c r="AE167" s="14"/>
      <c r="AF167" s="55"/>
      <c r="AG167" s="55"/>
    </row>
    <row r="168" ht="13.5" customHeight="1">
      <c r="A168" s="80">
        <f t="shared" si="20"/>
        <v>163</v>
      </c>
      <c r="B168" s="26"/>
      <c r="C168" s="39"/>
      <c r="D168" s="40"/>
      <c r="E168" s="83"/>
      <c r="F168" s="42"/>
      <c r="G168" s="84"/>
      <c r="H168" s="84"/>
      <c r="I168" s="45"/>
      <c r="J168" s="46" t="s">
        <v>222</v>
      </c>
      <c r="K168" s="40" t="s">
        <v>222</v>
      </c>
      <c r="L168" s="40" t="s">
        <v>222</v>
      </c>
      <c r="M168" s="40" t="s">
        <v>222</v>
      </c>
      <c r="N168" s="40" t="s">
        <v>222</v>
      </c>
      <c r="O168" s="40" t="s">
        <v>222</v>
      </c>
      <c r="P168" s="48"/>
      <c r="Q168" s="48"/>
      <c r="R168" s="49" t="s">
        <v>222</v>
      </c>
      <c r="S168" s="50" t="s">
        <v>222</v>
      </c>
      <c r="T168" s="85"/>
      <c r="U168" s="52">
        <f t="shared" si="1"/>
        <v>0</v>
      </c>
      <c r="V168" s="85"/>
      <c r="W168" s="52">
        <f t="shared" si="9"/>
        <v>0</v>
      </c>
      <c r="X168" s="51">
        <f t="shared" si="3"/>
        <v>0</v>
      </c>
      <c r="Y168" s="52">
        <f t="shared" si="4"/>
        <v>0</v>
      </c>
      <c r="Z168" s="51">
        <f t="shared" si="5"/>
        <v>0</v>
      </c>
      <c r="AA168" s="52">
        <f t="shared" si="6"/>
        <v>0</v>
      </c>
      <c r="AB168" s="53">
        <f t="shared" si="7"/>
        <v>0</v>
      </c>
      <c r="AC168" s="52">
        <f t="shared" si="8"/>
        <v>0</v>
      </c>
      <c r="AD168" s="70"/>
      <c r="AE168" s="14"/>
      <c r="AF168" s="55"/>
      <c r="AG168" s="55"/>
    </row>
    <row r="169" ht="13.5" customHeight="1">
      <c r="A169" s="80">
        <f t="shared" si="20"/>
        <v>164</v>
      </c>
      <c r="B169" s="26"/>
      <c r="C169" s="39"/>
      <c r="D169" s="40"/>
      <c r="E169" s="83"/>
      <c r="F169" s="42"/>
      <c r="G169" s="84"/>
      <c r="H169" s="84"/>
      <c r="I169" s="45"/>
      <c r="J169" s="46" t="s">
        <v>222</v>
      </c>
      <c r="K169" s="40" t="s">
        <v>222</v>
      </c>
      <c r="L169" s="40" t="s">
        <v>222</v>
      </c>
      <c r="M169" s="40" t="s">
        <v>222</v>
      </c>
      <c r="N169" s="40" t="s">
        <v>222</v>
      </c>
      <c r="O169" s="40" t="s">
        <v>222</v>
      </c>
      <c r="P169" s="48"/>
      <c r="Q169" s="48"/>
      <c r="R169" s="49" t="s">
        <v>222</v>
      </c>
      <c r="S169" s="50" t="s">
        <v>222</v>
      </c>
      <c r="T169" s="85"/>
      <c r="U169" s="52">
        <f t="shared" si="1"/>
        <v>0</v>
      </c>
      <c r="V169" s="85"/>
      <c r="W169" s="52">
        <f t="shared" si="9"/>
        <v>0</v>
      </c>
      <c r="X169" s="51">
        <f t="shared" si="3"/>
        <v>0</v>
      </c>
      <c r="Y169" s="52">
        <f t="shared" si="4"/>
        <v>0</v>
      </c>
      <c r="Z169" s="51">
        <f t="shared" si="5"/>
        <v>0</v>
      </c>
      <c r="AA169" s="52">
        <f t="shared" si="6"/>
        <v>0</v>
      </c>
      <c r="AB169" s="53">
        <f t="shared" si="7"/>
        <v>0</v>
      </c>
      <c r="AC169" s="52">
        <f t="shared" si="8"/>
        <v>0</v>
      </c>
      <c r="AD169" s="70"/>
      <c r="AE169" s="14"/>
      <c r="AF169" s="55"/>
      <c r="AG169" s="55"/>
    </row>
    <row r="170" ht="13.5" customHeight="1">
      <c r="A170" s="80">
        <f t="shared" si="20"/>
        <v>165</v>
      </c>
      <c r="B170" s="26"/>
      <c r="C170" s="39"/>
      <c r="D170" s="40"/>
      <c r="E170" s="83"/>
      <c r="F170" s="42"/>
      <c r="G170" s="84"/>
      <c r="H170" s="84"/>
      <c r="I170" s="45"/>
      <c r="J170" s="46" t="s">
        <v>222</v>
      </c>
      <c r="K170" s="40" t="s">
        <v>222</v>
      </c>
      <c r="L170" s="40" t="s">
        <v>222</v>
      </c>
      <c r="M170" s="40" t="s">
        <v>222</v>
      </c>
      <c r="N170" s="40" t="s">
        <v>222</v>
      </c>
      <c r="O170" s="40" t="s">
        <v>222</v>
      </c>
      <c r="P170" s="48"/>
      <c r="Q170" s="48"/>
      <c r="R170" s="49" t="s">
        <v>222</v>
      </c>
      <c r="S170" s="50" t="s">
        <v>222</v>
      </c>
      <c r="T170" s="85"/>
      <c r="U170" s="52">
        <f t="shared" si="1"/>
        <v>0</v>
      </c>
      <c r="V170" s="85"/>
      <c r="W170" s="52">
        <f t="shared" si="9"/>
        <v>0</v>
      </c>
      <c r="X170" s="51">
        <f t="shared" si="3"/>
        <v>0</v>
      </c>
      <c r="Y170" s="52">
        <f t="shared" si="4"/>
        <v>0</v>
      </c>
      <c r="Z170" s="51">
        <f t="shared" si="5"/>
        <v>0</v>
      </c>
      <c r="AA170" s="52">
        <f t="shared" si="6"/>
        <v>0</v>
      </c>
      <c r="AB170" s="53">
        <f t="shared" si="7"/>
        <v>0</v>
      </c>
      <c r="AC170" s="52">
        <f t="shared" si="8"/>
        <v>0</v>
      </c>
      <c r="AD170" s="70"/>
      <c r="AE170" s="14"/>
      <c r="AF170" s="55"/>
      <c r="AG170" s="55"/>
    </row>
    <row r="171" ht="13.5" customHeight="1">
      <c r="A171" s="80">
        <f t="shared" si="20"/>
        <v>166</v>
      </c>
      <c r="B171" s="26"/>
      <c r="C171" s="39"/>
      <c r="D171" s="40"/>
      <c r="E171" s="83"/>
      <c r="F171" s="42"/>
      <c r="G171" s="84"/>
      <c r="H171" s="84"/>
      <c r="I171" s="45"/>
      <c r="J171" s="46" t="s">
        <v>222</v>
      </c>
      <c r="K171" s="40" t="s">
        <v>222</v>
      </c>
      <c r="L171" s="40" t="s">
        <v>222</v>
      </c>
      <c r="M171" s="40" t="s">
        <v>222</v>
      </c>
      <c r="N171" s="40" t="s">
        <v>222</v>
      </c>
      <c r="O171" s="40" t="s">
        <v>222</v>
      </c>
      <c r="P171" s="48"/>
      <c r="Q171" s="48"/>
      <c r="R171" s="49" t="s">
        <v>222</v>
      </c>
      <c r="S171" s="50" t="s">
        <v>222</v>
      </c>
      <c r="T171" s="85"/>
      <c r="U171" s="52">
        <f t="shared" si="1"/>
        <v>0</v>
      </c>
      <c r="V171" s="85"/>
      <c r="W171" s="52">
        <f t="shared" si="9"/>
        <v>0</v>
      </c>
      <c r="X171" s="51">
        <f t="shared" si="3"/>
        <v>0</v>
      </c>
      <c r="Y171" s="52">
        <f t="shared" si="4"/>
        <v>0</v>
      </c>
      <c r="Z171" s="51">
        <f t="shared" si="5"/>
        <v>0</v>
      </c>
      <c r="AA171" s="52">
        <f t="shared" si="6"/>
        <v>0</v>
      </c>
      <c r="AB171" s="53">
        <f t="shared" si="7"/>
        <v>0</v>
      </c>
      <c r="AC171" s="52">
        <f t="shared" si="8"/>
        <v>0</v>
      </c>
      <c r="AD171" s="70"/>
      <c r="AE171" s="14"/>
      <c r="AF171" s="55"/>
      <c r="AG171" s="55"/>
    </row>
    <row r="172" ht="13.5" customHeight="1">
      <c r="A172" s="80">
        <f t="shared" si="20"/>
        <v>167</v>
      </c>
      <c r="B172" s="26"/>
      <c r="C172" s="39"/>
      <c r="D172" s="40"/>
      <c r="E172" s="83"/>
      <c r="F172" s="42"/>
      <c r="G172" s="84"/>
      <c r="H172" s="84"/>
      <c r="I172" s="45"/>
      <c r="J172" s="46" t="s">
        <v>222</v>
      </c>
      <c r="K172" s="40" t="s">
        <v>222</v>
      </c>
      <c r="L172" s="40" t="s">
        <v>222</v>
      </c>
      <c r="M172" s="40" t="s">
        <v>222</v>
      </c>
      <c r="N172" s="40" t="s">
        <v>222</v>
      </c>
      <c r="O172" s="40" t="s">
        <v>222</v>
      </c>
      <c r="P172" s="48"/>
      <c r="Q172" s="48"/>
      <c r="R172" s="49" t="s">
        <v>222</v>
      </c>
      <c r="S172" s="50" t="s">
        <v>222</v>
      </c>
      <c r="T172" s="85"/>
      <c r="U172" s="52">
        <f t="shared" si="1"/>
        <v>0</v>
      </c>
      <c r="V172" s="85"/>
      <c r="W172" s="52">
        <f t="shared" si="9"/>
        <v>0</v>
      </c>
      <c r="X172" s="51">
        <f t="shared" si="3"/>
        <v>0</v>
      </c>
      <c r="Y172" s="52">
        <f t="shared" si="4"/>
        <v>0</v>
      </c>
      <c r="Z172" s="51">
        <f t="shared" si="5"/>
        <v>0</v>
      </c>
      <c r="AA172" s="52">
        <f t="shared" si="6"/>
        <v>0</v>
      </c>
      <c r="AB172" s="53">
        <f t="shared" si="7"/>
        <v>0</v>
      </c>
      <c r="AC172" s="52">
        <f t="shared" si="8"/>
        <v>0</v>
      </c>
      <c r="AD172" s="70"/>
      <c r="AE172" s="14"/>
      <c r="AF172" s="55"/>
      <c r="AG172" s="55"/>
    </row>
    <row r="173" ht="13.5" customHeight="1">
      <c r="A173" s="80">
        <f t="shared" si="20"/>
        <v>168</v>
      </c>
      <c r="B173" s="26"/>
      <c r="C173" s="39"/>
      <c r="D173" s="40"/>
      <c r="E173" s="83"/>
      <c r="F173" s="42"/>
      <c r="G173" s="84"/>
      <c r="H173" s="84"/>
      <c r="I173" s="45"/>
      <c r="J173" s="46" t="s">
        <v>222</v>
      </c>
      <c r="K173" s="40" t="s">
        <v>222</v>
      </c>
      <c r="L173" s="40" t="s">
        <v>222</v>
      </c>
      <c r="M173" s="40" t="s">
        <v>222</v>
      </c>
      <c r="N173" s="40" t="s">
        <v>222</v>
      </c>
      <c r="O173" s="40" t="s">
        <v>222</v>
      </c>
      <c r="P173" s="48"/>
      <c r="Q173" s="48"/>
      <c r="R173" s="49" t="s">
        <v>222</v>
      </c>
      <c r="S173" s="50" t="s">
        <v>222</v>
      </c>
      <c r="T173" s="85"/>
      <c r="U173" s="52">
        <f t="shared" si="1"/>
        <v>0</v>
      </c>
      <c r="V173" s="85"/>
      <c r="W173" s="52">
        <f t="shared" si="9"/>
        <v>0</v>
      </c>
      <c r="X173" s="51">
        <f t="shared" si="3"/>
        <v>0</v>
      </c>
      <c r="Y173" s="52">
        <f t="shared" si="4"/>
        <v>0</v>
      </c>
      <c r="Z173" s="51">
        <f t="shared" si="5"/>
        <v>0</v>
      </c>
      <c r="AA173" s="52">
        <f t="shared" si="6"/>
        <v>0</v>
      </c>
      <c r="AB173" s="53">
        <f t="shared" si="7"/>
        <v>0</v>
      </c>
      <c r="AC173" s="52">
        <f t="shared" si="8"/>
        <v>0</v>
      </c>
      <c r="AD173" s="70"/>
      <c r="AE173" s="14"/>
      <c r="AF173" s="55"/>
      <c r="AG173" s="55"/>
    </row>
    <row r="174" ht="13.5" customHeight="1">
      <c r="A174" s="80">
        <f t="shared" si="20"/>
        <v>169</v>
      </c>
      <c r="B174" s="26"/>
      <c r="C174" s="39"/>
      <c r="D174" s="40"/>
      <c r="E174" s="83"/>
      <c r="F174" s="42"/>
      <c r="G174" s="84"/>
      <c r="H174" s="84"/>
      <c r="I174" s="45"/>
      <c r="J174" s="46" t="s">
        <v>222</v>
      </c>
      <c r="K174" s="40" t="s">
        <v>222</v>
      </c>
      <c r="L174" s="40" t="s">
        <v>222</v>
      </c>
      <c r="M174" s="40" t="s">
        <v>222</v>
      </c>
      <c r="N174" s="40" t="s">
        <v>222</v>
      </c>
      <c r="O174" s="40" t="s">
        <v>222</v>
      </c>
      <c r="P174" s="48"/>
      <c r="Q174" s="48"/>
      <c r="R174" s="49" t="s">
        <v>222</v>
      </c>
      <c r="S174" s="50" t="s">
        <v>222</v>
      </c>
      <c r="T174" s="85"/>
      <c r="U174" s="52">
        <f t="shared" si="1"/>
        <v>0</v>
      </c>
      <c r="V174" s="85"/>
      <c r="W174" s="52">
        <f t="shared" si="9"/>
        <v>0</v>
      </c>
      <c r="X174" s="51">
        <f t="shared" si="3"/>
        <v>0</v>
      </c>
      <c r="Y174" s="52">
        <f t="shared" si="4"/>
        <v>0</v>
      </c>
      <c r="Z174" s="51">
        <f t="shared" si="5"/>
        <v>0</v>
      </c>
      <c r="AA174" s="52">
        <f t="shared" si="6"/>
        <v>0</v>
      </c>
      <c r="AB174" s="53">
        <f t="shared" si="7"/>
        <v>0</v>
      </c>
      <c r="AC174" s="52">
        <f t="shared" si="8"/>
        <v>0</v>
      </c>
      <c r="AD174" s="70"/>
      <c r="AE174" s="14"/>
      <c r="AF174" s="55"/>
      <c r="AG174" s="55"/>
    </row>
    <row r="175" ht="13.5" customHeight="1">
      <c r="A175" s="80">
        <f t="shared" si="20"/>
        <v>170</v>
      </c>
      <c r="B175" s="26"/>
      <c r="C175" s="39"/>
      <c r="D175" s="40"/>
      <c r="E175" s="83"/>
      <c r="F175" s="42"/>
      <c r="G175" s="84"/>
      <c r="H175" s="84"/>
      <c r="I175" s="45"/>
      <c r="J175" s="46" t="s">
        <v>222</v>
      </c>
      <c r="K175" s="40" t="s">
        <v>222</v>
      </c>
      <c r="L175" s="40" t="s">
        <v>222</v>
      </c>
      <c r="M175" s="40" t="s">
        <v>222</v>
      </c>
      <c r="N175" s="40" t="s">
        <v>222</v>
      </c>
      <c r="O175" s="40" t="s">
        <v>222</v>
      </c>
      <c r="P175" s="48"/>
      <c r="Q175" s="48"/>
      <c r="R175" s="49" t="s">
        <v>222</v>
      </c>
      <c r="S175" s="50" t="s">
        <v>222</v>
      </c>
      <c r="T175" s="85"/>
      <c r="U175" s="52">
        <f t="shared" si="1"/>
        <v>0</v>
      </c>
      <c r="V175" s="85"/>
      <c r="W175" s="52">
        <f t="shared" si="9"/>
        <v>0</v>
      </c>
      <c r="X175" s="51">
        <f t="shared" si="3"/>
        <v>0</v>
      </c>
      <c r="Y175" s="52">
        <f t="shared" si="4"/>
        <v>0</v>
      </c>
      <c r="Z175" s="51">
        <f t="shared" si="5"/>
        <v>0</v>
      </c>
      <c r="AA175" s="52">
        <f t="shared" si="6"/>
        <v>0</v>
      </c>
      <c r="AB175" s="53">
        <f t="shared" si="7"/>
        <v>0</v>
      </c>
      <c r="AC175" s="52">
        <f t="shared" si="8"/>
        <v>0</v>
      </c>
      <c r="AD175" s="70"/>
      <c r="AE175" s="14"/>
      <c r="AF175" s="55"/>
      <c r="AG175" s="55"/>
    </row>
    <row r="176" ht="13.5" customHeight="1">
      <c r="A176" s="80">
        <f t="shared" si="20"/>
        <v>171</v>
      </c>
      <c r="B176" s="26"/>
      <c r="C176" s="39"/>
      <c r="D176" s="40"/>
      <c r="E176" s="83"/>
      <c r="F176" s="42"/>
      <c r="G176" s="84"/>
      <c r="H176" s="84"/>
      <c r="I176" s="45"/>
      <c r="J176" s="46" t="s">
        <v>222</v>
      </c>
      <c r="K176" s="40" t="s">
        <v>222</v>
      </c>
      <c r="L176" s="40" t="s">
        <v>222</v>
      </c>
      <c r="M176" s="40" t="s">
        <v>222</v>
      </c>
      <c r="N176" s="40" t="s">
        <v>222</v>
      </c>
      <c r="O176" s="40" t="s">
        <v>222</v>
      </c>
      <c r="P176" s="48"/>
      <c r="Q176" s="48"/>
      <c r="R176" s="49" t="s">
        <v>222</v>
      </c>
      <c r="S176" s="50" t="s">
        <v>222</v>
      </c>
      <c r="T176" s="85"/>
      <c r="U176" s="52">
        <f t="shared" si="1"/>
        <v>0</v>
      </c>
      <c r="V176" s="85"/>
      <c r="W176" s="52">
        <f t="shared" si="9"/>
        <v>0</v>
      </c>
      <c r="X176" s="51">
        <f t="shared" si="3"/>
        <v>0</v>
      </c>
      <c r="Y176" s="52">
        <f t="shared" si="4"/>
        <v>0</v>
      </c>
      <c r="Z176" s="51">
        <f t="shared" si="5"/>
        <v>0</v>
      </c>
      <c r="AA176" s="52">
        <f t="shared" si="6"/>
        <v>0</v>
      </c>
      <c r="AB176" s="53">
        <f t="shared" si="7"/>
        <v>0</v>
      </c>
      <c r="AC176" s="52">
        <f t="shared" si="8"/>
        <v>0</v>
      </c>
      <c r="AD176" s="70"/>
      <c r="AE176" s="14"/>
      <c r="AF176" s="55"/>
      <c r="AG176" s="55"/>
    </row>
    <row r="177" ht="13.5" customHeight="1">
      <c r="A177" s="80">
        <f t="shared" si="20"/>
        <v>172</v>
      </c>
      <c r="B177" s="26"/>
      <c r="C177" s="39"/>
      <c r="D177" s="40"/>
      <c r="E177" s="83"/>
      <c r="F177" s="42"/>
      <c r="G177" s="84"/>
      <c r="H177" s="84"/>
      <c r="I177" s="45"/>
      <c r="J177" s="46" t="s">
        <v>222</v>
      </c>
      <c r="K177" s="40" t="s">
        <v>222</v>
      </c>
      <c r="L177" s="40" t="s">
        <v>222</v>
      </c>
      <c r="M177" s="40" t="s">
        <v>222</v>
      </c>
      <c r="N177" s="40" t="s">
        <v>222</v>
      </c>
      <c r="O177" s="40" t="s">
        <v>222</v>
      </c>
      <c r="P177" s="48"/>
      <c r="Q177" s="48"/>
      <c r="R177" s="49" t="s">
        <v>222</v>
      </c>
      <c r="S177" s="50" t="s">
        <v>222</v>
      </c>
      <c r="T177" s="85"/>
      <c r="U177" s="52">
        <f t="shared" si="1"/>
        <v>0</v>
      </c>
      <c r="V177" s="85"/>
      <c r="W177" s="52">
        <f t="shared" si="9"/>
        <v>0</v>
      </c>
      <c r="X177" s="51">
        <f t="shared" si="3"/>
        <v>0</v>
      </c>
      <c r="Y177" s="52">
        <f t="shared" si="4"/>
        <v>0</v>
      </c>
      <c r="Z177" s="51">
        <f t="shared" si="5"/>
        <v>0</v>
      </c>
      <c r="AA177" s="52">
        <f t="shared" si="6"/>
        <v>0</v>
      </c>
      <c r="AB177" s="53">
        <f t="shared" si="7"/>
        <v>0</v>
      </c>
      <c r="AC177" s="52">
        <f t="shared" si="8"/>
        <v>0</v>
      </c>
      <c r="AD177" s="70"/>
      <c r="AE177" s="14"/>
      <c r="AF177" s="55"/>
      <c r="AG177" s="55"/>
    </row>
    <row r="178" ht="13.5" customHeight="1">
      <c r="A178" s="80">
        <f t="shared" si="20"/>
        <v>173</v>
      </c>
      <c r="B178" s="26"/>
      <c r="C178" s="39"/>
      <c r="D178" s="40"/>
      <c r="E178" s="83"/>
      <c r="F178" s="42"/>
      <c r="G178" s="84"/>
      <c r="H178" s="84"/>
      <c r="I178" s="45"/>
      <c r="J178" s="46" t="s">
        <v>222</v>
      </c>
      <c r="K178" s="40" t="s">
        <v>222</v>
      </c>
      <c r="L178" s="40" t="s">
        <v>222</v>
      </c>
      <c r="M178" s="40" t="s">
        <v>222</v>
      </c>
      <c r="N178" s="40" t="s">
        <v>222</v>
      </c>
      <c r="O178" s="40" t="s">
        <v>222</v>
      </c>
      <c r="P178" s="48"/>
      <c r="Q178" s="48"/>
      <c r="R178" s="49" t="s">
        <v>222</v>
      </c>
      <c r="S178" s="50" t="s">
        <v>222</v>
      </c>
      <c r="T178" s="85"/>
      <c r="U178" s="52">
        <f t="shared" si="1"/>
        <v>0</v>
      </c>
      <c r="V178" s="85"/>
      <c r="W178" s="52">
        <f t="shared" si="9"/>
        <v>0</v>
      </c>
      <c r="X178" s="51">
        <f t="shared" si="3"/>
        <v>0</v>
      </c>
      <c r="Y178" s="52">
        <f t="shared" si="4"/>
        <v>0</v>
      </c>
      <c r="Z178" s="51">
        <f t="shared" si="5"/>
        <v>0</v>
      </c>
      <c r="AA178" s="52">
        <f t="shared" si="6"/>
        <v>0</v>
      </c>
      <c r="AB178" s="53">
        <f t="shared" si="7"/>
        <v>0</v>
      </c>
      <c r="AC178" s="52">
        <f t="shared" si="8"/>
        <v>0</v>
      </c>
      <c r="AD178" s="70"/>
      <c r="AE178" s="14"/>
      <c r="AF178" s="55"/>
      <c r="AG178" s="55"/>
    </row>
    <row r="179" ht="13.5" customHeight="1">
      <c r="A179" s="80">
        <f t="shared" si="20"/>
        <v>174</v>
      </c>
      <c r="B179" s="26"/>
      <c r="C179" s="39"/>
      <c r="D179" s="40"/>
      <c r="E179" s="83"/>
      <c r="F179" s="42"/>
      <c r="G179" s="84"/>
      <c r="H179" s="84"/>
      <c r="I179" s="45"/>
      <c r="J179" s="46" t="s">
        <v>222</v>
      </c>
      <c r="K179" s="40" t="s">
        <v>222</v>
      </c>
      <c r="L179" s="40" t="s">
        <v>222</v>
      </c>
      <c r="M179" s="40" t="s">
        <v>222</v>
      </c>
      <c r="N179" s="40" t="s">
        <v>222</v>
      </c>
      <c r="O179" s="40" t="s">
        <v>222</v>
      </c>
      <c r="P179" s="48"/>
      <c r="Q179" s="48"/>
      <c r="R179" s="49" t="s">
        <v>222</v>
      </c>
      <c r="S179" s="50" t="s">
        <v>222</v>
      </c>
      <c r="T179" s="85"/>
      <c r="U179" s="52">
        <f t="shared" si="1"/>
        <v>0</v>
      </c>
      <c r="V179" s="85"/>
      <c r="W179" s="52">
        <f t="shared" si="9"/>
        <v>0</v>
      </c>
      <c r="X179" s="51">
        <f t="shared" si="3"/>
        <v>0</v>
      </c>
      <c r="Y179" s="52">
        <f t="shared" si="4"/>
        <v>0</v>
      </c>
      <c r="Z179" s="51">
        <f t="shared" si="5"/>
        <v>0</v>
      </c>
      <c r="AA179" s="52">
        <f t="shared" si="6"/>
        <v>0</v>
      </c>
      <c r="AB179" s="53">
        <f t="shared" si="7"/>
        <v>0</v>
      </c>
      <c r="AC179" s="52">
        <f t="shared" si="8"/>
        <v>0</v>
      </c>
      <c r="AD179" s="70"/>
      <c r="AE179" s="14"/>
      <c r="AF179" s="55"/>
      <c r="AG179" s="55"/>
    </row>
    <row r="180" ht="13.5" customHeight="1">
      <c r="A180" s="80">
        <f t="shared" si="20"/>
        <v>175</v>
      </c>
      <c r="B180" s="26"/>
      <c r="C180" s="39"/>
      <c r="D180" s="40"/>
      <c r="E180" s="83"/>
      <c r="F180" s="42"/>
      <c r="G180" s="84"/>
      <c r="H180" s="84"/>
      <c r="I180" s="45"/>
      <c r="J180" s="46" t="s">
        <v>222</v>
      </c>
      <c r="K180" s="40" t="s">
        <v>222</v>
      </c>
      <c r="L180" s="40" t="s">
        <v>222</v>
      </c>
      <c r="M180" s="40" t="s">
        <v>222</v>
      </c>
      <c r="N180" s="40" t="s">
        <v>222</v>
      </c>
      <c r="O180" s="40" t="s">
        <v>222</v>
      </c>
      <c r="P180" s="48"/>
      <c r="Q180" s="48"/>
      <c r="R180" s="49" t="s">
        <v>222</v>
      </c>
      <c r="S180" s="50" t="s">
        <v>222</v>
      </c>
      <c r="T180" s="85"/>
      <c r="U180" s="52">
        <f t="shared" si="1"/>
        <v>0</v>
      </c>
      <c r="V180" s="85"/>
      <c r="W180" s="52">
        <f t="shared" si="9"/>
        <v>0</v>
      </c>
      <c r="X180" s="51">
        <f t="shared" si="3"/>
        <v>0</v>
      </c>
      <c r="Y180" s="52">
        <f t="shared" si="4"/>
        <v>0</v>
      </c>
      <c r="Z180" s="51">
        <f t="shared" si="5"/>
        <v>0</v>
      </c>
      <c r="AA180" s="52">
        <f t="shared" si="6"/>
        <v>0</v>
      </c>
      <c r="AB180" s="53">
        <f t="shared" si="7"/>
        <v>0</v>
      </c>
      <c r="AC180" s="52">
        <f t="shared" si="8"/>
        <v>0</v>
      </c>
      <c r="AD180" s="70"/>
      <c r="AE180" s="14"/>
      <c r="AF180" s="55"/>
      <c r="AG180" s="55"/>
    </row>
    <row r="181" ht="13.5" customHeight="1">
      <c r="A181" s="80">
        <f t="shared" si="20"/>
        <v>176</v>
      </c>
      <c r="B181" s="26"/>
      <c r="C181" s="39"/>
      <c r="D181" s="40"/>
      <c r="E181" s="83"/>
      <c r="F181" s="42"/>
      <c r="G181" s="84"/>
      <c r="H181" s="84"/>
      <c r="I181" s="45"/>
      <c r="J181" s="46" t="s">
        <v>222</v>
      </c>
      <c r="K181" s="40" t="s">
        <v>222</v>
      </c>
      <c r="L181" s="40" t="s">
        <v>222</v>
      </c>
      <c r="M181" s="40" t="s">
        <v>222</v>
      </c>
      <c r="N181" s="40" t="s">
        <v>222</v>
      </c>
      <c r="O181" s="40" t="s">
        <v>222</v>
      </c>
      <c r="P181" s="48"/>
      <c r="Q181" s="48"/>
      <c r="R181" s="49" t="s">
        <v>222</v>
      </c>
      <c r="S181" s="50" t="s">
        <v>222</v>
      </c>
      <c r="T181" s="85"/>
      <c r="U181" s="52">
        <f t="shared" si="1"/>
        <v>0</v>
      </c>
      <c r="V181" s="85"/>
      <c r="W181" s="52">
        <f t="shared" si="9"/>
        <v>0</v>
      </c>
      <c r="X181" s="51">
        <f t="shared" si="3"/>
        <v>0</v>
      </c>
      <c r="Y181" s="52">
        <f t="shared" si="4"/>
        <v>0</v>
      </c>
      <c r="Z181" s="51">
        <f t="shared" si="5"/>
        <v>0</v>
      </c>
      <c r="AA181" s="52">
        <f t="shared" si="6"/>
        <v>0</v>
      </c>
      <c r="AB181" s="53">
        <f t="shared" si="7"/>
        <v>0</v>
      </c>
      <c r="AC181" s="52">
        <f t="shared" si="8"/>
        <v>0</v>
      </c>
      <c r="AD181" s="70"/>
      <c r="AE181" s="14"/>
      <c r="AF181" s="55"/>
      <c r="AG181" s="55"/>
    </row>
    <row r="182" ht="13.5" customHeight="1">
      <c r="A182" s="80">
        <f t="shared" si="20"/>
        <v>177</v>
      </c>
      <c r="B182" s="26"/>
      <c r="C182" s="39"/>
      <c r="D182" s="40"/>
      <c r="E182" s="83"/>
      <c r="F182" s="42"/>
      <c r="G182" s="84"/>
      <c r="H182" s="84"/>
      <c r="I182" s="45"/>
      <c r="J182" s="46" t="s">
        <v>222</v>
      </c>
      <c r="K182" s="40" t="s">
        <v>222</v>
      </c>
      <c r="L182" s="40" t="s">
        <v>222</v>
      </c>
      <c r="M182" s="40" t="s">
        <v>222</v>
      </c>
      <c r="N182" s="40" t="s">
        <v>222</v>
      </c>
      <c r="O182" s="40" t="s">
        <v>222</v>
      </c>
      <c r="P182" s="48"/>
      <c r="Q182" s="48"/>
      <c r="R182" s="49" t="s">
        <v>222</v>
      </c>
      <c r="S182" s="50" t="s">
        <v>222</v>
      </c>
      <c r="T182" s="85"/>
      <c r="U182" s="52">
        <f t="shared" si="1"/>
        <v>0</v>
      </c>
      <c r="V182" s="85"/>
      <c r="W182" s="52">
        <f t="shared" si="9"/>
        <v>0</v>
      </c>
      <c r="X182" s="51">
        <f t="shared" si="3"/>
        <v>0</v>
      </c>
      <c r="Y182" s="52">
        <f t="shared" si="4"/>
        <v>0</v>
      </c>
      <c r="Z182" s="51">
        <f t="shared" si="5"/>
        <v>0</v>
      </c>
      <c r="AA182" s="52">
        <f t="shared" si="6"/>
        <v>0</v>
      </c>
      <c r="AB182" s="53">
        <f t="shared" si="7"/>
        <v>0</v>
      </c>
      <c r="AC182" s="52">
        <f t="shared" si="8"/>
        <v>0</v>
      </c>
      <c r="AD182" s="70"/>
      <c r="AE182" s="14"/>
      <c r="AF182" s="55"/>
      <c r="AG182" s="55"/>
    </row>
    <row r="183" ht="13.5" customHeight="1">
      <c r="A183" s="80">
        <f t="shared" si="20"/>
        <v>178</v>
      </c>
      <c r="B183" s="26"/>
      <c r="C183" s="39"/>
      <c r="D183" s="40"/>
      <c r="E183" s="83"/>
      <c r="F183" s="42"/>
      <c r="G183" s="84"/>
      <c r="H183" s="84"/>
      <c r="I183" s="45"/>
      <c r="J183" s="46" t="s">
        <v>222</v>
      </c>
      <c r="K183" s="40" t="s">
        <v>222</v>
      </c>
      <c r="L183" s="40" t="s">
        <v>222</v>
      </c>
      <c r="M183" s="40" t="s">
        <v>222</v>
      </c>
      <c r="N183" s="40" t="s">
        <v>222</v>
      </c>
      <c r="O183" s="40" t="s">
        <v>222</v>
      </c>
      <c r="P183" s="48"/>
      <c r="Q183" s="48"/>
      <c r="R183" s="49" t="s">
        <v>222</v>
      </c>
      <c r="S183" s="50" t="s">
        <v>222</v>
      </c>
      <c r="T183" s="85"/>
      <c r="U183" s="52">
        <f t="shared" si="1"/>
        <v>0</v>
      </c>
      <c r="V183" s="85"/>
      <c r="W183" s="52">
        <f t="shared" si="9"/>
        <v>0</v>
      </c>
      <c r="X183" s="51">
        <f t="shared" si="3"/>
        <v>0</v>
      </c>
      <c r="Y183" s="52">
        <f t="shared" si="4"/>
        <v>0</v>
      </c>
      <c r="Z183" s="51">
        <f t="shared" si="5"/>
        <v>0</v>
      </c>
      <c r="AA183" s="52">
        <f t="shared" si="6"/>
        <v>0</v>
      </c>
      <c r="AB183" s="53">
        <f t="shared" si="7"/>
        <v>0</v>
      </c>
      <c r="AC183" s="52">
        <f t="shared" si="8"/>
        <v>0</v>
      </c>
      <c r="AD183" s="70"/>
      <c r="AE183" s="14"/>
      <c r="AF183" s="55"/>
      <c r="AG183" s="55"/>
    </row>
    <row r="184" ht="13.5" customHeight="1">
      <c r="A184" s="80">
        <f t="shared" si="20"/>
        <v>179</v>
      </c>
      <c r="B184" s="26"/>
      <c r="C184" s="39"/>
      <c r="D184" s="40"/>
      <c r="E184" s="83"/>
      <c r="F184" s="42"/>
      <c r="G184" s="84"/>
      <c r="H184" s="84"/>
      <c r="I184" s="45"/>
      <c r="J184" s="46" t="s">
        <v>222</v>
      </c>
      <c r="K184" s="40" t="s">
        <v>222</v>
      </c>
      <c r="L184" s="40" t="s">
        <v>222</v>
      </c>
      <c r="M184" s="40" t="s">
        <v>222</v>
      </c>
      <c r="N184" s="40" t="s">
        <v>222</v>
      </c>
      <c r="O184" s="40" t="s">
        <v>222</v>
      </c>
      <c r="P184" s="48"/>
      <c r="Q184" s="48"/>
      <c r="R184" s="49" t="s">
        <v>222</v>
      </c>
      <c r="S184" s="50" t="s">
        <v>222</v>
      </c>
      <c r="T184" s="85"/>
      <c r="U184" s="52">
        <f t="shared" si="1"/>
        <v>0</v>
      </c>
      <c r="V184" s="85"/>
      <c r="W184" s="52">
        <f t="shared" si="9"/>
        <v>0</v>
      </c>
      <c r="X184" s="51">
        <f t="shared" si="3"/>
        <v>0</v>
      </c>
      <c r="Y184" s="52">
        <f t="shared" si="4"/>
        <v>0</v>
      </c>
      <c r="Z184" s="51">
        <f t="shared" si="5"/>
        <v>0</v>
      </c>
      <c r="AA184" s="52">
        <f t="shared" si="6"/>
        <v>0</v>
      </c>
      <c r="AB184" s="53">
        <f t="shared" si="7"/>
        <v>0</v>
      </c>
      <c r="AC184" s="52">
        <f t="shared" si="8"/>
        <v>0</v>
      </c>
      <c r="AD184" s="70"/>
      <c r="AE184" s="14"/>
      <c r="AF184" s="55"/>
      <c r="AG184" s="55"/>
    </row>
    <row r="185" ht="13.5" customHeight="1">
      <c r="A185" s="80">
        <f t="shared" si="20"/>
        <v>180</v>
      </c>
      <c r="B185" s="26"/>
      <c r="C185" s="39"/>
      <c r="D185" s="40"/>
      <c r="E185" s="83"/>
      <c r="F185" s="42"/>
      <c r="G185" s="84"/>
      <c r="H185" s="84"/>
      <c r="I185" s="45"/>
      <c r="J185" s="46" t="s">
        <v>222</v>
      </c>
      <c r="K185" s="40" t="s">
        <v>222</v>
      </c>
      <c r="L185" s="40" t="s">
        <v>222</v>
      </c>
      <c r="M185" s="40" t="s">
        <v>222</v>
      </c>
      <c r="N185" s="40" t="s">
        <v>222</v>
      </c>
      <c r="O185" s="40" t="s">
        <v>222</v>
      </c>
      <c r="P185" s="48"/>
      <c r="Q185" s="48"/>
      <c r="R185" s="49" t="s">
        <v>222</v>
      </c>
      <c r="S185" s="50" t="s">
        <v>222</v>
      </c>
      <c r="T185" s="85"/>
      <c r="U185" s="52">
        <f t="shared" si="1"/>
        <v>0</v>
      </c>
      <c r="V185" s="85"/>
      <c r="W185" s="52">
        <f t="shared" si="9"/>
        <v>0</v>
      </c>
      <c r="X185" s="51">
        <f t="shared" si="3"/>
        <v>0</v>
      </c>
      <c r="Y185" s="52">
        <f t="shared" si="4"/>
        <v>0</v>
      </c>
      <c r="Z185" s="51">
        <f t="shared" si="5"/>
        <v>0</v>
      </c>
      <c r="AA185" s="52">
        <f t="shared" si="6"/>
        <v>0</v>
      </c>
      <c r="AB185" s="53">
        <f t="shared" si="7"/>
        <v>0</v>
      </c>
      <c r="AC185" s="52">
        <f t="shared" si="8"/>
        <v>0</v>
      </c>
      <c r="AD185" s="70"/>
      <c r="AE185" s="14"/>
      <c r="AF185" s="55"/>
      <c r="AG185" s="55"/>
    </row>
    <row r="186" ht="13.5" customHeight="1">
      <c r="A186" s="80">
        <f t="shared" si="20"/>
        <v>181</v>
      </c>
      <c r="B186" s="26"/>
      <c r="C186" s="39"/>
      <c r="D186" s="40"/>
      <c r="E186" s="83"/>
      <c r="F186" s="42"/>
      <c r="G186" s="84"/>
      <c r="H186" s="84"/>
      <c r="I186" s="45"/>
      <c r="J186" s="46" t="s">
        <v>222</v>
      </c>
      <c r="K186" s="40" t="s">
        <v>222</v>
      </c>
      <c r="L186" s="40" t="s">
        <v>222</v>
      </c>
      <c r="M186" s="40" t="s">
        <v>222</v>
      </c>
      <c r="N186" s="40" t="s">
        <v>222</v>
      </c>
      <c r="O186" s="40" t="s">
        <v>222</v>
      </c>
      <c r="P186" s="48"/>
      <c r="Q186" s="48"/>
      <c r="R186" s="49" t="s">
        <v>222</v>
      </c>
      <c r="S186" s="50" t="s">
        <v>222</v>
      </c>
      <c r="T186" s="85"/>
      <c r="U186" s="52">
        <f t="shared" si="1"/>
        <v>0</v>
      </c>
      <c r="V186" s="85"/>
      <c r="W186" s="52">
        <f t="shared" si="9"/>
        <v>0</v>
      </c>
      <c r="X186" s="51">
        <f t="shared" si="3"/>
        <v>0</v>
      </c>
      <c r="Y186" s="52">
        <f t="shared" si="4"/>
        <v>0</v>
      </c>
      <c r="Z186" s="51">
        <f t="shared" si="5"/>
        <v>0</v>
      </c>
      <c r="AA186" s="52">
        <f t="shared" si="6"/>
        <v>0</v>
      </c>
      <c r="AB186" s="53">
        <f t="shared" si="7"/>
        <v>0</v>
      </c>
      <c r="AC186" s="52">
        <f t="shared" si="8"/>
        <v>0</v>
      </c>
      <c r="AD186" s="70"/>
      <c r="AE186" s="14"/>
      <c r="AF186" s="55"/>
      <c r="AG186" s="55"/>
    </row>
    <row r="187" ht="13.5" customHeight="1">
      <c r="A187" s="80">
        <f t="shared" si="20"/>
        <v>182</v>
      </c>
      <c r="B187" s="26"/>
      <c r="C187" s="39"/>
      <c r="D187" s="40"/>
      <c r="E187" s="83"/>
      <c r="F187" s="42"/>
      <c r="G187" s="84"/>
      <c r="H187" s="84"/>
      <c r="I187" s="45"/>
      <c r="J187" s="46" t="s">
        <v>222</v>
      </c>
      <c r="K187" s="40" t="s">
        <v>222</v>
      </c>
      <c r="L187" s="40" t="s">
        <v>222</v>
      </c>
      <c r="M187" s="40" t="s">
        <v>222</v>
      </c>
      <c r="N187" s="40" t="s">
        <v>222</v>
      </c>
      <c r="O187" s="40" t="s">
        <v>222</v>
      </c>
      <c r="P187" s="48"/>
      <c r="Q187" s="48"/>
      <c r="R187" s="49" t="s">
        <v>222</v>
      </c>
      <c r="S187" s="50" t="s">
        <v>222</v>
      </c>
      <c r="T187" s="85"/>
      <c r="U187" s="52">
        <f t="shared" si="1"/>
        <v>0</v>
      </c>
      <c r="V187" s="85"/>
      <c r="W187" s="52">
        <f t="shared" si="9"/>
        <v>0</v>
      </c>
      <c r="X187" s="51">
        <f t="shared" si="3"/>
        <v>0</v>
      </c>
      <c r="Y187" s="52">
        <f t="shared" si="4"/>
        <v>0</v>
      </c>
      <c r="Z187" s="51">
        <f t="shared" si="5"/>
        <v>0</v>
      </c>
      <c r="AA187" s="52">
        <f t="shared" si="6"/>
        <v>0</v>
      </c>
      <c r="AB187" s="53">
        <f t="shared" si="7"/>
        <v>0</v>
      </c>
      <c r="AC187" s="52">
        <f t="shared" si="8"/>
        <v>0</v>
      </c>
      <c r="AD187" s="70"/>
      <c r="AE187" s="14"/>
      <c r="AF187" s="55"/>
      <c r="AG187" s="55"/>
    </row>
    <row r="188" ht="13.5" customHeight="1">
      <c r="A188" s="80">
        <f t="shared" si="20"/>
        <v>183</v>
      </c>
      <c r="B188" s="26"/>
      <c r="C188" s="39"/>
      <c r="D188" s="40"/>
      <c r="E188" s="83"/>
      <c r="F188" s="42"/>
      <c r="G188" s="84"/>
      <c r="H188" s="84"/>
      <c r="I188" s="45"/>
      <c r="J188" s="46" t="s">
        <v>222</v>
      </c>
      <c r="K188" s="40" t="s">
        <v>222</v>
      </c>
      <c r="L188" s="40" t="s">
        <v>222</v>
      </c>
      <c r="M188" s="40" t="s">
        <v>222</v>
      </c>
      <c r="N188" s="40" t="s">
        <v>222</v>
      </c>
      <c r="O188" s="40" t="s">
        <v>222</v>
      </c>
      <c r="P188" s="48"/>
      <c r="Q188" s="48"/>
      <c r="R188" s="49" t="s">
        <v>222</v>
      </c>
      <c r="S188" s="50" t="s">
        <v>222</v>
      </c>
      <c r="T188" s="85"/>
      <c r="U188" s="52">
        <f t="shared" si="1"/>
        <v>0</v>
      </c>
      <c r="V188" s="85"/>
      <c r="W188" s="52">
        <f t="shared" si="9"/>
        <v>0</v>
      </c>
      <c r="X188" s="51">
        <f t="shared" si="3"/>
        <v>0</v>
      </c>
      <c r="Y188" s="52">
        <f t="shared" si="4"/>
        <v>0</v>
      </c>
      <c r="Z188" s="51">
        <f t="shared" si="5"/>
        <v>0</v>
      </c>
      <c r="AA188" s="52">
        <f t="shared" si="6"/>
        <v>0</v>
      </c>
      <c r="AB188" s="53">
        <f t="shared" si="7"/>
        <v>0</v>
      </c>
      <c r="AC188" s="52">
        <f t="shared" si="8"/>
        <v>0</v>
      </c>
      <c r="AD188" s="70"/>
      <c r="AE188" s="14"/>
      <c r="AF188" s="55"/>
      <c r="AG188" s="55"/>
    </row>
    <row r="189" ht="13.5" customHeight="1">
      <c r="A189" s="80">
        <f t="shared" si="20"/>
        <v>184</v>
      </c>
      <c r="B189" s="26"/>
      <c r="C189" s="39"/>
      <c r="D189" s="40"/>
      <c r="E189" s="83"/>
      <c r="F189" s="42"/>
      <c r="G189" s="84"/>
      <c r="H189" s="84"/>
      <c r="I189" s="45"/>
      <c r="J189" s="46" t="s">
        <v>222</v>
      </c>
      <c r="K189" s="40" t="s">
        <v>222</v>
      </c>
      <c r="L189" s="40" t="s">
        <v>222</v>
      </c>
      <c r="M189" s="40" t="s">
        <v>222</v>
      </c>
      <c r="N189" s="40" t="s">
        <v>222</v>
      </c>
      <c r="O189" s="40" t="s">
        <v>222</v>
      </c>
      <c r="P189" s="48"/>
      <c r="Q189" s="48"/>
      <c r="R189" s="49" t="s">
        <v>222</v>
      </c>
      <c r="S189" s="50" t="s">
        <v>222</v>
      </c>
      <c r="T189" s="85"/>
      <c r="U189" s="52">
        <f t="shared" si="1"/>
        <v>0</v>
      </c>
      <c r="V189" s="85"/>
      <c r="W189" s="52">
        <f t="shared" si="9"/>
        <v>0</v>
      </c>
      <c r="X189" s="51">
        <f t="shared" si="3"/>
        <v>0</v>
      </c>
      <c r="Y189" s="52">
        <f t="shared" si="4"/>
        <v>0</v>
      </c>
      <c r="Z189" s="51">
        <f t="shared" si="5"/>
        <v>0</v>
      </c>
      <c r="AA189" s="52">
        <f t="shared" si="6"/>
        <v>0</v>
      </c>
      <c r="AB189" s="53">
        <f t="shared" si="7"/>
        <v>0</v>
      </c>
      <c r="AC189" s="52">
        <f t="shared" si="8"/>
        <v>0</v>
      </c>
      <c r="AD189" s="70"/>
      <c r="AE189" s="14"/>
      <c r="AF189" s="55"/>
      <c r="AG189" s="55"/>
    </row>
    <row r="190" ht="13.5" customHeight="1">
      <c r="A190" s="80">
        <f t="shared" si="20"/>
        <v>185</v>
      </c>
      <c r="B190" s="26"/>
      <c r="C190" s="39"/>
      <c r="D190" s="40"/>
      <c r="E190" s="83"/>
      <c r="F190" s="42"/>
      <c r="G190" s="84"/>
      <c r="H190" s="84"/>
      <c r="I190" s="45"/>
      <c r="J190" s="46" t="s">
        <v>222</v>
      </c>
      <c r="K190" s="40" t="s">
        <v>222</v>
      </c>
      <c r="L190" s="40" t="s">
        <v>222</v>
      </c>
      <c r="M190" s="40" t="s">
        <v>222</v>
      </c>
      <c r="N190" s="40" t="s">
        <v>222</v>
      </c>
      <c r="O190" s="40" t="s">
        <v>222</v>
      </c>
      <c r="P190" s="48"/>
      <c r="Q190" s="48"/>
      <c r="R190" s="49" t="s">
        <v>222</v>
      </c>
      <c r="S190" s="50" t="s">
        <v>222</v>
      </c>
      <c r="T190" s="85"/>
      <c r="U190" s="52">
        <f t="shared" si="1"/>
        <v>0</v>
      </c>
      <c r="V190" s="85"/>
      <c r="W190" s="52">
        <f t="shared" si="9"/>
        <v>0</v>
      </c>
      <c r="X190" s="51">
        <f t="shared" si="3"/>
        <v>0</v>
      </c>
      <c r="Y190" s="52">
        <f t="shared" si="4"/>
        <v>0</v>
      </c>
      <c r="Z190" s="51">
        <f t="shared" si="5"/>
        <v>0</v>
      </c>
      <c r="AA190" s="52">
        <f t="shared" si="6"/>
        <v>0</v>
      </c>
      <c r="AB190" s="53">
        <f t="shared" si="7"/>
        <v>0</v>
      </c>
      <c r="AC190" s="52">
        <f t="shared" si="8"/>
        <v>0</v>
      </c>
      <c r="AD190" s="70"/>
      <c r="AE190" s="14"/>
      <c r="AF190" s="55"/>
      <c r="AG190" s="55"/>
    </row>
    <row r="191" ht="13.5" customHeight="1">
      <c r="A191" s="80">
        <f t="shared" si="20"/>
        <v>186</v>
      </c>
      <c r="B191" s="26"/>
      <c r="C191" s="39"/>
      <c r="D191" s="40"/>
      <c r="E191" s="83"/>
      <c r="F191" s="42"/>
      <c r="G191" s="84"/>
      <c r="H191" s="84"/>
      <c r="I191" s="45"/>
      <c r="J191" s="46" t="s">
        <v>222</v>
      </c>
      <c r="K191" s="40" t="s">
        <v>222</v>
      </c>
      <c r="L191" s="40" t="s">
        <v>222</v>
      </c>
      <c r="M191" s="40" t="s">
        <v>222</v>
      </c>
      <c r="N191" s="40" t="s">
        <v>222</v>
      </c>
      <c r="O191" s="40" t="s">
        <v>222</v>
      </c>
      <c r="P191" s="48"/>
      <c r="Q191" s="48"/>
      <c r="R191" s="49" t="s">
        <v>222</v>
      </c>
      <c r="S191" s="50" t="s">
        <v>222</v>
      </c>
      <c r="T191" s="85"/>
      <c r="U191" s="52">
        <f t="shared" si="1"/>
        <v>0</v>
      </c>
      <c r="V191" s="85"/>
      <c r="W191" s="52">
        <f t="shared" si="9"/>
        <v>0</v>
      </c>
      <c r="X191" s="51">
        <f t="shared" si="3"/>
        <v>0</v>
      </c>
      <c r="Y191" s="52">
        <f t="shared" si="4"/>
        <v>0</v>
      </c>
      <c r="Z191" s="51">
        <f t="shared" si="5"/>
        <v>0</v>
      </c>
      <c r="AA191" s="52">
        <f t="shared" si="6"/>
        <v>0</v>
      </c>
      <c r="AB191" s="53">
        <f t="shared" si="7"/>
        <v>0</v>
      </c>
      <c r="AC191" s="52">
        <f t="shared" si="8"/>
        <v>0</v>
      </c>
      <c r="AD191" s="70"/>
      <c r="AE191" s="14"/>
      <c r="AF191" s="55"/>
      <c r="AG191" s="55"/>
    </row>
    <row r="192" ht="13.5" customHeight="1">
      <c r="A192" s="80">
        <f t="shared" si="20"/>
        <v>187</v>
      </c>
      <c r="B192" s="26"/>
      <c r="C192" s="39"/>
      <c r="D192" s="40"/>
      <c r="E192" s="83"/>
      <c r="F192" s="42"/>
      <c r="G192" s="84"/>
      <c r="H192" s="84"/>
      <c r="I192" s="45"/>
      <c r="J192" s="46" t="s">
        <v>222</v>
      </c>
      <c r="K192" s="40" t="s">
        <v>222</v>
      </c>
      <c r="L192" s="40" t="s">
        <v>222</v>
      </c>
      <c r="M192" s="40" t="s">
        <v>222</v>
      </c>
      <c r="N192" s="40" t="s">
        <v>222</v>
      </c>
      <c r="O192" s="40" t="s">
        <v>222</v>
      </c>
      <c r="P192" s="48"/>
      <c r="Q192" s="48"/>
      <c r="R192" s="49" t="s">
        <v>222</v>
      </c>
      <c r="S192" s="50" t="s">
        <v>222</v>
      </c>
      <c r="T192" s="85"/>
      <c r="U192" s="52">
        <f t="shared" si="1"/>
        <v>0</v>
      </c>
      <c r="V192" s="85"/>
      <c r="W192" s="52">
        <f t="shared" si="9"/>
        <v>0</v>
      </c>
      <c r="X192" s="51">
        <f t="shared" si="3"/>
        <v>0</v>
      </c>
      <c r="Y192" s="52">
        <f t="shared" si="4"/>
        <v>0</v>
      </c>
      <c r="Z192" s="51">
        <f t="shared" si="5"/>
        <v>0</v>
      </c>
      <c r="AA192" s="52">
        <f t="shared" si="6"/>
        <v>0</v>
      </c>
      <c r="AB192" s="53">
        <f t="shared" si="7"/>
        <v>0</v>
      </c>
      <c r="AC192" s="52">
        <f t="shared" si="8"/>
        <v>0</v>
      </c>
      <c r="AD192" s="70"/>
      <c r="AE192" s="14"/>
      <c r="AF192" s="55"/>
      <c r="AG192" s="55"/>
    </row>
    <row r="193" ht="13.5" customHeight="1">
      <c r="A193" s="80">
        <f t="shared" si="20"/>
        <v>188</v>
      </c>
      <c r="B193" s="26"/>
      <c r="C193" s="39"/>
      <c r="D193" s="40"/>
      <c r="E193" s="83"/>
      <c r="F193" s="42"/>
      <c r="G193" s="84"/>
      <c r="H193" s="84"/>
      <c r="I193" s="45"/>
      <c r="J193" s="46" t="s">
        <v>222</v>
      </c>
      <c r="K193" s="40" t="s">
        <v>222</v>
      </c>
      <c r="L193" s="40" t="s">
        <v>222</v>
      </c>
      <c r="M193" s="40" t="s">
        <v>222</v>
      </c>
      <c r="N193" s="40" t="s">
        <v>222</v>
      </c>
      <c r="O193" s="40" t="s">
        <v>222</v>
      </c>
      <c r="P193" s="48"/>
      <c r="Q193" s="48"/>
      <c r="R193" s="49" t="s">
        <v>222</v>
      </c>
      <c r="S193" s="50" t="s">
        <v>222</v>
      </c>
      <c r="T193" s="85"/>
      <c r="U193" s="52">
        <f t="shared" si="1"/>
        <v>0</v>
      </c>
      <c r="V193" s="85"/>
      <c r="W193" s="52">
        <f t="shared" si="9"/>
        <v>0</v>
      </c>
      <c r="X193" s="51">
        <f t="shared" si="3"/>
        <v>0</v>
      </c>
      <c r="Y193" s="52">
        <f t="shared" si="4"/>
        <v>0</v>
      </c>
      <c r="Z193" s="51">
        <f t="shared" si="5"/>
        <v>0</v>
      </c>
      <c r="AA193" s="52">
        <f t="shared" si="6"/>
        <v>0</v>
      </c>
      <c r="AB193" s="53">
        <f t="shared" si="7"/>
        <v>0</v>
      </c>
      <c r="AC193" s="52">
        <f t="shared" si="8"/>
        <v>0</v>
      </c>
      <c r="AD193" s="70"/>
      <c r="AE193" s="14"/>
      <c r="AF193" s="55"/>
      <c r="AG193" s="55"/>
    </row>
    <row r="194" ht="13.5" customHeight="1">
      <c r="A194" s="80">
        <f t="shared" si="20"/>
        <v>189</v>
      </c>
      <c r="B194" s="26"/>
      <c r="C194" s="39"/>
      <c r="D194" s="40"/>
      <c r="E194" s="83"/>
      <c r="F194" s="42"/>
      <c r="G194" s="84"/>
      <c r="H194" s="84"/>
      <c r="I194" s="45"/>
      <c r="J194" s="46" t="s">
        <v>222</v>
      </c>
      <c r="K194" s="40" t="s">
        <v>222</v>
      </c>
      <c r="L194" s="40" t="s">
        <v>222</v>
      </c>
      <c r="M194" s="40" t="s">
        <v>222</v>
      </c>
      <c r="N194" s="40" t="s">
        <v>222</v>
      </c>
      <c r="O194" s="40" t="s">
        <v>222</v>
      </c>
      <c r="P194" s="48"/>
      <c r="Q194" s="48"/>
      <c r="R194" s="49" t="s">
        <v>222</v>
      </c>
      <c r="S194" s="50" t="s">
        <v>222</v>
      </c>
      <c r="T194" s="85"/>
      <c r="U194" s="52">
        <f t="shared" si="1"/>
        <v>0</v>
      </c>
      <c r="V194" s="85"/>
      <c r="W194" s="52">
        <f t="shared" si="9"/>
        <v>0</v>
      </c>
      <c r="X194" s="51">
        <f t="shared" si="3"/>
        <v>0</v>
      </c>
      <c r="Y194" s="52">
        <f t="shared" si="4"/>
        <v>0</v>
      </c>
      <c r="Z194" s="51">
        <f t="shared" si="5"/>
        <v>0</v>
      </c>
      <c r="AA194" s="52">
        <f t="shared" si="6"/>
        <v>0</v>
      </c>
      <c r="AB194" s="53">
        <f t="shared" si="7"/>
        <v>0</v>
      </c>
      <c r="AC194" s="52">
        <f t="shared" si="8"/>
        <v>0</v>
      </c>
      <c r="AD194" s="70"/>
      <c r="AE194" s="14"/>
      <c r="AF194" s="55"/>
      <c r="AG194" s="55"/>
    </row>
    <row r="195" ht="13.5" customHeight="1">
      <c r="A195" s="80">
        <f t="shared" si="20"/>
        <v>190</v>
      </c>
      <c r="B195" s="26"/>
      <c r="C195" s="39"/>
      <c r="D195" s="40"/>
      <c r="E195" s="83"/>
      <c r="F195" s="42"/>
      <c r="G195" s="84"/>
      <c r="H195" s="84"/>
      <c r="I195" s="45"/>
      <c r="J195" s="46" t="s">
        <v>222</v>
      </c>
      <c r="K195" s="40" t="s">
        <v>222</v>
      </c>
      <c r="L195" s="40" t="s">
        <v>222</v>
      </c>
      <c r="M195" s="40" t="s">
        <v>222</v>
      </c>
      <c r="N195" s="40" t="s">
        <v>222</v>
      </c>
      <c r="O195" s="40" t="s">
        <v>222</v>
      </c>
      <c r="P195" s="48"/>
      <c r="Q195" s="48"/>
      <c r="R195" s="49" t="s">
        <v>222</v>
      </c>
      <c r="S195" s="50" t="s">
        <v>222</v>
      </c>
      <c r="T195" s="85"/>
      <c r="U195" s="52">
        <f t="shared" si="1"/>
        <v>0</v>
      </c>
      <c r="V195" s="85"/>
      <c r="W195" s="52">
        <f t="shared" si="9"/>
        <v>0</v>
      </c>
      <c r="X195" s="51">
        <f t="shared" si="3"/>
        <v>0</v>
      </c>
      <c r="Y195" s="52">
        <f t="shared" si="4"/>
        <v>0</v>
      </c>
      <c r="Z195" s="51">
        <f t="shared" si="5"/>
        <v>0</v>
      </c>
      <c r="AA195" s="52">
        <f t="shared" si="6"/>
        <v>0</v>
      </c>
      <c r="AB195" s="53">
        <f t="shared" si="7"/>
        <v>0</v>
      </c>
      <c r="AC195" s="52">
        <f t="shared" si="8"/>
        <v>0</v>
      </c>
      <c r="AD195" s="70"/>
      <c r="AE195" s="14"/>
      <c r="AF195" s="55"/>
      <c r="AG195" s="55"/>
    </row>
    <row r="196" ht="13.5" customHeight="1">
      <c r="A196" s="80">
        <f t="shared" si="20"/>
        <v>191</v>
      </c>
      <c r="B196" s="26"/>
      <c r="C196" s="39"/>
      <c r="D196" s="40"/>
      <c r="E196" s="83"/>
      <c r="F196" s="42"/>
      <c r="G196" s="84"/>
      <c r="H196" s="84"/>
      <c r="I196" s="45"/>
      <c r="J196" s="46" t="s">
        <v>222</v>
      </c>
      <c r="K196" s="40" t="s">
        <v>222</v>
      </c>
      <c r="L196" s="40" t="s">
        <v>222</v>
      </c>
      <c r="M196" s="40" t="s">
        <v>222</v>
      </c>
      <c r="N196" s="40" t="s">
        <v>222</v>
      </c>
      <c r="O196" s="40" t="s">
        <v>222</v>
      </c>
      <c r="P196" s="48"/>
      <c r="Q196" s="48"/>
      <c r="R196" s="49" t="s">
        <v>222</v>
      </c>
      <c r="S196" s="50" t="s">
        <v>222</v>
      </c>
      <c r="T196" s="85"/>
      <c r="U196" s="52">
        <f t="shared" si="1"/>
        <v>0</v>
      </c>
      <c r="V196" s="85"/>
      <c r="W196" s="52">
        <f t="shared" si="9"/>
        <v>0</v>
      </c>
      <c r="X196" s="51">
        <f t="shared" si="3"/>
        <v>0</v>
      </c>
      <c r="Y196" s="52">
        <f t="shared" si="4"/>
        <v>0</v>
      </c>
      <c r="Z196" s="51">
        <f t="shared" si="5"/>
        <v>0</v>
      </c>
      <c r="AA196" s="52">
        <f t="shared" si="6"/>
        <v>0</v>
      </c>
      <c r="AB196" s="53">
        <f t="shared" si="7"/>
        <v>0</v>
      </c>
      <c r="AC196" s="52">
        <f t="shared" si="8"/>
        <v>0</v>
      </c>
      <c r="AD196" s="70"/>
      <c r="AE196" s="14"/>
      <c r="AF196" s="55"/>
      <c r="AG196" s="55"/>
    </row>
    <row r="197" ht="13.5" customHeight="1">
      <c r="A197" s="80">
        <f t="shared" si="20"/>
        <v>192</v>
      </c>
      <c r="B197" s="26"/>
      <c r="C197" s="39"/>
      <c r="D197" s="40"/>
      <c r="E197" s="83"/>
      <c r="F197" s="42"/>
      <c r="G197" s="84"/>
      <c r="H197" s="84"/>
      <c r="I197" s="45"/>
      <c r="J197" s="46" t="s">
        <v>222</v>
      </c>
      <c r="K197" s="40" t="s">
        <v>222</v>
      </c>
      <c r="L197" s="40" t="s">
        <v>222</v>
      </c>
      <c r="M197" s="40" t="s">
        <v>222</v>
      </c>
      <c r="N197" s="40" t="s">
        <v>222</v>
      </c>
      <c r="O197" s="40" t="s">
        <v>222</v>
      </c>
      <c r="P197" s="48"/>
      <c r="Q197" s="48"/>
      <c r="R197" s="49" t="s">
        <v>222</v>
      </c>
      <c r="S197" s="50" t="s">
        <v>222</v>
      </c>
      <c r="T197" s="85"/>
      <c r="U197" s="52">
        <f t="shared" si="1"/>
        <v>0</v>
      </c>
      <c r="V197" s="85"/>
      <c r="W197" s="52">
        <f t="shared" si="9"/>
        <v>0</v>
      </c>
      <c r="X197" s="51">
        <f t="shared" si="3"/>
        <v>0</v>
      </c>
      <c r="Y197" s="52">
        <f t="shared" si="4"/>
        <v>0</v>
      </c>
      <c r="Z197" s="51">
        <f t="shared" si="5"/>
        <v>0</v>
      </c>
      <c r="AA197" s="52">
        <f t="shared" si="6"/>
        <v>0</v>
      </c>
      <c r="AB197" s="53">
        <f t="shared" si="7"/>
        <v>0</v>
      </c>
      <c r="AC197" s="52">
        <f t="shared" si="8"/>
        <v>0</v>
      </c>
      <c r="AD197" s="70"/>
      <c r="AE197" s="14"/>
      <c r="AF197" s="55"/>
      <c r="AG197" s="55"/>
    </row>
    <row r="198" ht="13.5" customHeight="1">
      <c r="A198" s="80">
        <f t="shared" si="20"/>
        <v>193</v>
      </c>
      <c r="B198" s="26"/>
      <c r="C198" s="39"/>
      <c r="D198" s="40"/>
      <c r="E198" s="83"/>
      <c r="F198" s="42"/>
      <c r="G198" s="84"/>
      <c r="H198" s="84"/>
      <c r="I198" s="45"/>
      <c r="J198" s="46" t="s">
        <v>222</v>
      </c>
      <c r="K198" s="40" t="s">
        <v>222</v>
      </c>
      <c r="L198" s="40" t="s">
        <v>222</v>
      </c>
      <c r="M198" s="40" t="s">
        <v>222</v>
      </c>
      <c r="N198" s="40" t="s">
        <v>222</v>
      </c>
      <c r="O198" s="40" t="s">
        <v>222</v>
      </c>
      <c r="P198" s="48"/>
      <c r="Q198" s="48"/>
      <c r="R198" s="49" t="s">
        <v>222</v>
      </c>
      <c r="S198" s="50" t="s">
        <v>222</v>
      </c>
      <c r="T198" s="85"/>
      <c r="U198" s="52">
        <f t="shared" si="1"/>
        <v>0</v>
      </c>
      <c r="V198" s="85"/>
      <c r="W198" s="52">
        <f t="shared" si="9"/>
        <v>0</v>
      </c>
      <c r="X198" s="51">
        <f t="shared" si="3"/>
        <v>0</v>
      </c>
      <c r="Y198" s="52">
        <f t="shared" si="4"/>
        <v>0</v>
      </c>
      <c r="Z198" s="51">
        <f t="shared" si="5"/>
        <v>0</v>
      </c>
      <c r="AA198" s="52">
        <f t="shared" si="6"/>
        <v>0</v>
      </c>
      <c r="AB198" s="53">
        <f t="shared" si="7"/>
        <v>0</v>
      </c>
      <c r="AC198" s="52">
        <f t="shared" si="8"/>
        <v>0</v>
      </c>
      <c r="AD198" s="70"/>
      <c r="AE198" s="14"/>
      <c r="AF198" s="55"/>
      <c r="AG198" s="55"/>
    </row>
    <row r="199" ht="13.5" customHeight="1">
      <c r="A199" s="80">
        <f t="shared" si="20"/>
        <v>194</v>
      </c>
      <c r="B199" s="26"/>
      <c r="C199" s="39"/>
      <c r="D199" s="40"/>
      <c r="E199" s="83"/>
      <c r="F199" s="42"/>
      <c r="G199" s="84"/>
      <c r="H199" s="84"/>
      <c r="I199" s="45"/>
      <c r="J199" s="46" t="s">
        <v>222</v>
      </c>
      <c r="K199" s="40" t="s">
        <v>222</v>
      </c>
      <c r="L199" s="40" t="s">
        <v>222</v>
      </c>
      <c r="M199" s="40" t="s">
        <v>222</v>
      </c>
      <c r="N199" s="40" t="s">
        <v>222</v>
      </c>
      <c r="O199" s="40" t="s">
        <v>222</v>
      </c>
      <c r="P199" s="48"/>
      <c r="Q199" s="48"/>
      <c r="R199" s="49" t="s">
        <v>222</v>
      </c>
      <c r="S199" s="50" t="s">
        <v>222</v>
      </c>
      <c r="T199" s="85"/>
      <c r="U199" s="52">
        <f t="shared" si="1"/>
        <v>0</v>
      </c>
      <c r="V199" s="85"/>
      <c r="W199" s="52">
        <f t="shared" si="9"/>
        <v>0</v>
      </c>
      <c r="X199" s="51">
        <f t="shared" si="3"/>
        <v>0</v>
      </c>
      <c r="Y199" s="52">
        <f t="shared" si="4"/>
        <v>0</v>
      </c>
      <c r="Z199" s="51">
        <f t="shared" si="5"/>
        <v>0</v>
      </c>
      <c r="AA199" s="52">
        <f t="shared" si="6"/>
        <v>0</v>
      </c>
      <c r="AB199" s="53">
        <f t="shared" si="7"/>
        <v>0</v>
      </c>
      <c r="AC199" s="52">
        <f t="shared" si="8"/>
        <v>0</v>
      </c>
      <c r="AD199" s="70"/>
      <c r="AE199" s="14"/>
      <c r="AF199" s="55"/>
      <c r="AG199" s="55"/>
    </row>
    <row r="200" ht="13.5" customHeight="1">
      <c r="A200" s="80">
        <f t="shared" si="20"/>
        <v>195</v>
      </c>
      <c r="B200" s="26"/>
      <c r="C200" s="39"/>
      <c r="D200" s="40"/>
      <c r="E200" s="83"/>
      <c r="F200" s="42"/>
      <c r="G200" s="84"/>
      <c r="H200" s="84"/>
      <c r="I200" s="45"/>
      <c r="J200" s="46" t="s">
        <v>222</v>
      </c>
      <c r="K200" s="40" t="s">
        <v>222</v>
      </c>
      <c r="L200" s="40" t="s">
        <v>222</v>
      </c>
      <c r="M200" s="40" t="s">
        <v>222</v>
      </c>
      <c r="N200" s="40" t="s">
        <v>222</v>
      </c>
      <c r="O200" s="40" t="s">
        <v>222</v>
      </c>
      <c r="P200" s="48"/>
      <c r="Q200" s="48"/>
      <c r="R200" s="49" t="s">
        <v>222</v>
      </c>
      <c r="S200" s="50" t="s">
        <v>222</v>
      </c>
      <c r="T200" s="85"/>
      <c r="U200" s="52">
        <f t="shared" si="1"/>
        <v>0</v>
      </c>
      <c r="V200" s="85"/>
      <c r="W200" s="52">
        <f t="shared" si="9"/>
        <v>0</v>
      </c>
      <c r="X200" s="51">
        <f t="shared" si="3"/>
        <v>0</v>
      </c>
      <c r="Y200" s="52">
        <f t="shared" si="4"/>
        <v>0</v>
      </c>
      <c r="Z200" s="51">
        <f t="shared" si="5"/>
        <v>0</v>
      </c>
      <c r="AA200" s="52">
        <f t="shared" si="6"/>
        <v>0</v>
      </c>
      <c r="AB200" s="53">
        <f t="shared" si="7"/>
        <v>0</v>
      </c>
      <c r="AC200" s="52">
        <f t="shared" si="8"/>
        <v>0</v>
      </c>
      <c r="AD200" s="70"/>
      <c r="AE200" s="14"/>
      <c r="AF200" s="55"/>
      <c r="AG200" s="55"/>
    </row>
    <row r="201" ht="13.5" customHeight="1">
      <c r="A201" s="80">
        <f t="shared" si="20"/>
        <v>196</v>
      </c>
      <c r="B201" s="26"/>
      <c r="C201" s="39"/>
      <c r="D201" s="40"/>
      <c r="E201" s="83"/>
      <c r="F201" s="42"/>
      <c r="G201" s="84"/>
      <c r="H201" s="84"/>
      <c r="I201" s="45"/>
      <c r="J201" s="46" t="s">
        <v>222</v>
      </c>
      <c r="K201" s="40" t="s">
        <v>222</v>
      </c>
      <c r="L201" s="40" t="s">
        <v>222</v>
      </c>
      <c r="M201" s="40" t="s">
        <v>222</v>
      </c>
      <c r="N201" s="40" t="s">
        <v>222</v>
      </c>
      <c r="O201" s="40" t="s">
        <v>222</v>
      </c>
      <c r="P201" s="48"/>
      <c r="Q201" s="48"/>
      <c r="R201" s="49" t="s">
        <v>222</v>
      </c>
      <c r="S201" s="50" t="s">
        <v>222</v>
      </c>
      <c r="T201" s="85"/>
      <c r="U201" s="52">
        <f t="shared" si="1"/>
        <v>0</v>
      </c>
      <c r="V201" s="85"/>
      <c r="W201" s="52">
        <f t="shared" si="9"/>
        <v>0</v>
      </c>
      <c r="X201" s="51">
        <f t="shared" si="3"/>
        <v>0</v>
      </c>
      <c r="Y201" s="52">
        <f t="shared" si="4"/>
        <v>0</v>
      </c>
      <c r="Z201" s="51">
        <f t="shared" si="5"/>
        <v>0</v>
      </c>
      <c r="AA201" s="52">
        <f t="shared" si="6"/>
        <v>0</v>
      </c>
      <c r="AB201" s="53">
        <f t="shared" si="7"/>
        <v>0</v>
      </c>
      <c r="AC201" s="52">
        <f t="shared" si="8"/>
        <v>0</v>
      </c>
      <c r="AD201" s="70"/>
      <c r="AE201" s="14"/>
      <c r="AF201" s="55"/>
      <c r="AG201" s="55"/>
    </row>
    <row r="202" ht="13.5" customHeight="1">
      <c r="A202" s="80">
        <f t="shared" si="20"/>
        <v>197</v>
      </c>
      <c r="B202" s="26"/>
      <c r="C202" s="39"/>
      <c r="D202" s="40"/>
      <c r="E202" s="83"/>
      <c r="F202" s="42"/>
      <c r="G202" s="84"/>
      <c r="H202" s="84"/>
      <c r="I202" s="45"/>
      <c r="J202" s="46" t="s">
        <v>222</v>
      </c>
      <c r="K202" s="40" t="s">
        <v>222</v>
      </c>
      <c r="L202" s="40" t="s">
        <v>222</v>
      </c>
      <c r="M202" s="40" t="s">
        <v>222</v>
      </c>
      <c r="N202" s="40" t="s">
        <v>222</v>
      </c>
      <c r="O202" s="40" t="s">
        <v>222</v>
      </c>
      <c r="P202" s="48"/>
      <c r="Q202" s="48"/>
      <c r="R202" s="49" t="s">
        <v>222</v>
      </c>
      <c r="S202" s="50" t="s">
        <v>222</v>
      </c>
      <c r="T202" s="85"/>
      <c r="U202" s="52">
        <f t="shared" si="1"/>
        <v>0</v>
      </c>
      <c r="V202" s="85"/>
      <c r="W202" s="52">
        <f t="shared" si="9"/>
        <v>0</v>
      </c>
      <c r="X202" s="51">
        <f t="shared" si="3"/>
        <v>0</v>
      </c>
      <c r="Y202" s="52">
        <f t="shared" si="4"/>
        <v>0</v>
      </c>
      <c r="Z202" s="51">
        <f t="shared" si="5"/>
        <v>0</v>
      </c>
      <c r="AA202" s="52">
        <f t="shared" si="6"/>
        <v>0</v>
      </c>
      <c r="AB202" s="53">
        <f t="shared" si="7"/>
        <v>0</v>
      </c>
      <c r="AC202" s="52">
        <f t="shared" si="8"/>
        <v>0</v>
      </c>
      <c r="AD202" s="70"/>
      <c r="AE202" s="14"/>
      <c r="AF202" s="55"/>
      <c r="AG202" s="55"/>
    </row>
    <row r="203" ht="13.5" customHeight="1">
      <c r="A203" s="80">
        <f t="shared" si="20"/>
        <v>198</v>
      </c>
      <c r="B203" s="26"/>
      <c r="C203" s="39"/>
      <c r="D203" s="40"/>
      <c r="E203" s="83"/>
      <c r="F203" s="42"/>
      <c r="G203" s="84"/>
      <c r="H203" s="84"/>
      <c r="I203" s="45"/>
      <c r="J203" s="46" t="s">
        <v>222</v>
      </c>
      <c r="K203" s="40" t="s">
        <v>222</v>
      </c>
      <c r="L203" s="40" t="s">
        <v>222</v>
      </c>
      <c r="M203" s="40" t="s">
        <v>222</v>
      </c>
      <c r="N203" s="40" t="s">
        <v>222</v>
      </c>
      <c r="O203" s="40" t="s">
        <v>222</v>
      </c>
      <c r="P203" s="48"/>
      <c r="Q203" s="48"/>
      <c r="R203" s="49" t="s">
        <v>222</v>
      </c>
      <c r="S203" s="50" t="s">
        <v>222</v>
      </c>
      <c r="T203" s="85"/>
      <c r="U203" s="52">
        <f t="shared" si="1"/>
        <v>0</v>
      </c>
      <c r="V203" s="85"/>
      <c r="W203" s="52">
        <f t="shared" si="9"/>
        <v>0</v>
      </c>
      <c r="X203" s="51">
        <f t="shared" si="3"/>
        <v>0</v>
      </c>
      <c r="Y203" s="52">
        <f t="shared" si="4"/>
        <v>0</v>
      </c>
      <c r="Z203" s="51">
        <f t="shared" si="5"/>
        <v>0</v>
      </c>
      <c r="AA203" s="52">
        <f t="shared" si="6"/>
        <v>0</v>
      </c>
      <c r="AB203" s="53">
        <f t="shared" si="7"/>
        <v>0</v>
      </c>
      <c r="AC203" s="52">
        <f t="shared" si="8"/>
        <v>0</v>
      </c>
      <c r="AD203" s="70"/>
      <c r="AE203" s="14"/>
      <c r="AF203" s="55"/>
      <c r="AG203" s="55"/>
    </row>
    <row r="204" ht="13.5" customHeight="1">
      <c r="A204" s="80">
        <f t="shared" si="20"/>
        <v>199</v>
      </c>
      <c r="B204" s="26"/>
      <c r="C204" s="39"/>
      <c r="D204" s="40"/>
      <c r="E204" s="83"/>
      <c r="F204" s="42"/>
      <c r="G204" s="84"/>
      <c r="H204" s="84"/>
      <c r="I204" s="45"/>
      <c r="J204" s="46" t="s">
        <v>222</v>
      </c>
      <c r="K204" s="40" t="s">
        <v>222</v>
      </c>
      <c r="L204" s="40" t="s">
        <v>222</v>
      </c>
      <c r="M204" s="40" t="s">
        <v>222</v>
      </c>
      <c r="N204" s="40" t="s">
        <v>222</v>
      </c>
      <c r="O204" s="40" t="s">
        <v>222</v>
      </c>
      <c r="P204" s="48"/>
      <c r="Q204" s="48"/>
      <c r="R204" s="49" t="s">
        <v>222</v>
      </c>
      <c r="S204" s="50" t="s">
        <v>222</v>
      </c>
      <c r="T204" s="85"/>
      <c r="U204" s="52">
        <f t="shared" si="1"/>
        <v>0</v>
      </c>
      <c r="V204" s="85"/>
      <c r="W204" s="52">
        <f t="shared" si="9"/>
        <v>0</v>
      </c>
      <c r="X204" s="51">
        <f t="shared" si="3"/>
        <v>0</v>
      </c>
      <c r="Y204" s="52">
        <f t="shared" si="4"/>
        <v>0</v>
      </c>
      <c r="Z204" s="51">
        <f t="shared" si="5"/>
        <v>0</v>
      </c>
      <c r="AA204" s="52">
        <f t="shared" si="6"/>
        <v>0</v>
      </c>
      <c r="AB204" s="53">
        <f t="shared" si="7"/>
        <v>0</v>
      </c>
      <c r="AC204" s="52">
        <f t="shared" si="8"/>
        <v>0</v>
      </c>
      <c r="AD204" s="70"/>
      <c r="AE204" s="14"/>
      <c r="AF204" s="55"/>
      <c r="AG204" s="55"/>
    </row>
    <row r="205" ht="13.5" customHeight="1">
      <c r="A205" s="80">
        <f t="shared" si="20"/>
        <v>200</v>
      </c>
      <c r="B205" s="26"/>
      <c r="C205" s="39"/>
      <c r="D205" s="40"/>
      <c r="E205" s="83"/>
      <c r="F205" s="42"/>
      <c r="G205" s="84"/>
      <c r="H205" s="84"/>
      <c r="I205" s="45"/>
      <c r="J205" s="46" t="s">
        <v>222</v>
      </c>
      <c r="K205" s="40" t="s">
        <v>222</v>
      </c>
      <c r="L205" s="40" t="s">
        <v>222</v>
      </c>
      <c r="M205" s="40" t="s">
        <v>222</v>
      </c>
      <c r="N205" s="40" t="s">
        <v>222</v>
      </c>
      <c r="O205" s="40" t="s">
        <v>222</v>
      </c>
      <c r="P205" s="48"/>
      <c r="Q205" s="48"/>
      <c r="R205" s="49" t="s">
        <v>222</v>
      </c>
      <c r="S205" s="50" t="s">
        <v>222</v>
      </c>
      <c r="T205" s="85"/>
      <c r="U205" s="52">
        <f t="shared" si="1"/>
        <v>0</v>
      </c>
      <c r="V205" s="85"/>
      <c r="W205" s="52">
        <f t="shared" si="9"/>
        <v>0</v>
      </c>
      <c r="X205" s="51">
        <f t="shared" si="3"/>
        <v>0</v>
      </c>
      <c r="Y205" s="52">
        <f t="shared" si="4"/>
        <v>0</v>
      </c>
      <c r="Z205" s="51">
        <f t="shared" si="5"/>
        <v>0</v>
      </c>
      <c r="AA205" s="52">
        <f t="shared" si="6"/>
        <v>0</v>
      </c>
      <c r="AB205" s="53">
        <f t="shared" si="7"/>
        <v>0</v>
      </c>
      <c r="AC205" s="52">
        <f t="shared" si="8"/>
        <v>0</v>
      </c>
      <c r="AD205" s="70"/>
      <c r="AE205" s="14"/>
      <c r="AF205" s="55"/>
      <c r="AG205" s="55"/>
    </row>
    <row r="206" ht="13.5" customHeight="1">
      <c r="A206" s="80">
        <f t="shared" si="20"/>
        <v>201</v>
      </c>
      <c r="B206" s="26"/>
      <c r="C206" s="39"/>
      <c r="D206" s="40"/>
      <c r="E206" s="83"/>
      <c r="F206" s="42"/>
      <c r="G206" s="84"/>
      <c r="H206" s="84"/>
      <c r="I206" s="45"/>
      <c r="J206" s="46" t="s">
        <v>222</v>
      </c>
      <c r="K206" s="40" t="s">
        <v>222</v>
      </c>
      <c r="L206" s="40" t="s">
        <v>222</v>
      </c>
      <c r="M206" s="40" t="s">
        <v>222</v>
      </c>
      <c r="N206" s="40" t="s">
        <v>222</v>
      </c>
      <c r="O206" s="40" t="s">
        <v>222</v>
      </c>
      <c r="P206" s="48"/>
      <c r="Q206" s="48"/>
      <c r="R206" s="49" t="s">
        <v>222</v>
      </c>
      <c r="S206" s="50" t="s">
        <v>222</v>
      </c>
      <c r="T206" s="85"/>
      <c r="U206" s="52">
        <f t="shared" si="1"/>
        <v>0</v>
      </c>
      <c r="V206" s="85"/>
      <c r="W206" s="52">
        <f t="shared" si="9"/>
        <v>0</v>
      </c>
      <c r="X206" s="51">
        <f t="shared" si="3"/>
        <v>0</v>
      </c>
      <c r="Y206" s="52">
        <f t="shared" si="4"/>
        <v>0</v>
      </c>
      <c r="Z206" s="51">
        <f t="shared" si="5"/>
        <v>0</v>
      </c>
      <c r="AA206" s="52">
        <f t="shared" si="6"/>
        <v>0</v>
      </c>
      <c r="AB206" s="53">
        <f t="shared" si="7"/>
        <v>0</v>
      </c>
      <c r="AC206" s="52">
        <f t="shared" si="8"/>
        <v>0</v>
      </c>
      <c r="AD206" s="70"/>
      <c r="AE206" s="14"/>
      <c r="AF206" s="55"/>
      <c r="AG206" s="55"/>
    </row>
    <row r="207" ht="13.5" customHeight="1">
      <c r="A207" s="80">
        <f t="shared" si="20"/>
        <v>202</v>
      </c>
      <c r="B207" s="26"/>
      <c r="C207" s="39"/>
      <c r="D207" s="40"/>
      <c r="E207" s="83"/>
      <c r="F207" s="42"/>
      <c r="G207" s="84"/>
      <c r="H207" s="84"/>
      <c r="I207" s="45"/>
      <c r="J207" s="46" t="s">
        <v>222</v>
      </c>
      <c r="K207" s="40" t="s">
        <v>222</v>
      </c>
      <c r="L207" s="40" t="s">
        <v>222</v>
      </c>
      <c r="M207" s="40" t="s">
        <v>222</v>
      </c>
      <c r="N207" s="40" t="s">
        <v>222</v>
      </c>
      <c r="O207" s="40" t="s">
        <v>222</v>
      </c>
      <c r="P207" s="48"/>
      <c r="Q207" s="48"/>
      <c r="R207" s="49" t="s">
        <v>222</v>
      </c>
      <c r="S207" s="50" t="s">
        <v>222</v>
      </c>
      <c r="T207" s="85"/>
      <c r="U207" s="52">
        <f t="shared" si="1"/>
        <v>0</v>
      </c>
      <c r="V207" s="85"/>
      <c r="W207" s="52">
        <f t="shared" si="9"/>
        <v>0</v>
      </c>
      <c r="X207" s="51">
        <f t="shared" si="3"/>
        <v>0</v>
      </c>
      <c r="Y207" s="52">
        <f t="shared" si="4"/>
        <v>0</v>
      </c>
      <c r="Z207" s="51">
        <f t="shared" si="5"/>
        <v>0</v>
      </c>
      <c r="AA207" s="52">
        <f t="shared" si="6"/>
        <v>0</v>
      </c>
      <c r="AB207" s="53">
        <f t="shared" si="7"/>
        <v>0</v>
      </c>
      <c r="AC207" s="52">
        <f t="shared" si="8"/>
        <v>0</v>
      </c>
      <c r="AD207" s="70"/>
      <c r="AE207" s="14"/>
      <c r="AF207" s="55"/>
      <c r="AG207" s="55"/>
    </row>
    <row r="208" ht="13.5" customHeight="1">
      <c r="A208" s="80">
        <f t="shared" si="20"/>
        <v>203</v>
      </c>
      <c r="B208" s="26"/>
      <c r="C208" s="39"/>
      <c r="D208" s="40"/>
      <c r="E208" s="83"/>
      <c r="F208" s="42"/>
      <c r="G208" s="84"/>
      <c r="H208" s="84"/>
      <c r="I208" s="45"/>
      <c r="J208" s="46" t="s">
        <v>222</v>
      </c>
      <c r="K208" s="40" t="s">
        <v>222</v>
      </c>
      <c r="L208" s="40" t="s">
        <v>222</v>
      </c>
      <c r="M208" s="40" t="s">
        <v>222</v>
      </c>
      <c r="N208" s="40" t="s">
        <v>222</v>
      </c>
      <c r="O208" s="40" t="s">
        <v>222</v>
      </c>
      <c r="P208" s="48"/>
      <c r="Q208" s="48"/>
      <c r="R208" s="49" t="s">
        <v>222</v>
      </c>
      <c r="S208" s="50" t="s">
        <v>222</v>
      </c>
      <c r="T208" s="85"/>
      <c r="U208" s="52">
        <f t="shared" si="1"/>
        <v>0</v>
      </c>
      <c r="V208" s="85"/>
      <c r="W208" s="52">
        <f t="shared" si="9"/>
        <v>0</v>
      </c>
      <c r="X208" s="51">
        <f t="shared" si="3"/>
        <v>0</v>
      </c>
      <c r="Y208" s="52">
        <f t="shared" si="4"/>
        <v>0</v>
      </c>
      <c r="Z208" s="51">
        <f t="shared" si="5"/>
        <v>0</v>
      </c>
      <c r="AA208" s="52">
        <f t="shared" si="6"/>
        <v>0</v>
      </c>
      <c r="AB208" s="53">
        <f t="shared" si="7"/>
        <v>0</v>
      </c>
      <c r="AC208" s="52">
        <f t="shared" si="8"/>
        <v>0</v>
      </c>
      <c r="AD208" s="70"/>
      <c r="AE208" s="14"/>
      <c r="AF208" s="55"/>
      <c r="AG208" s="55"/>
    </row>
    <row r="209" ht="13.5" customHeight="1">
      <c r="A209" s="80">
        <f t="shared" si="20"/>
        <v>204</v>
      </c>
      <c r="B209" s="26"/>
      <c r="C209" s="39"/>
      <c r="D209" s="40"/>
      <c r="E209" s="83"/>
      <c r="F209" s="42"/>
      <c r="G209" s="84"/>
      <c r="H209" s="84"/>
      <c r="I209" s="45"/>
      <c r="J209" s="46" t="s">
        <v>222</v>
      </c>
      <c r="K209" s="40" t="s">
        <v>222</v>
      </c>
      <c r="L209" s="40" t="s">
        <v>222</v>
      </c>
      <c r="M209" s="40" t="s">
        <v>222</v>
      </c>
      <c r="N209" s="40" t="s">
        <v>222</v>
      </c>
      <c r="O209" s="40" t="s">
        <v>222</v>
      </c>
      <c r="P209" s="48"/>
      <c r="Q209" s="48"/>
      <c r="R209" s="49" t="s">
        <v>222</v>
      </c>
      <c r="S209" s="50" t="s">
        <v>222</v>
      </c>
      <c r="T209" s="85"/>
      <c r="U209" s="52">
        <f t="shared" si="1"/>
        <v>0</v>
      </c>
      <c r="V209" s="85"/>
      <c r="W209" s="52">
        <f t="shared" si="9"/>
        <v>0</v>
      </c>
      <c r="X209" s="51">
        <f t="shared" si="3"/>
        <v>0</v>
      </c>
      <c r="Y209" s="52">
        <f t="shared" si="4"/>
        <v>0</v>
      </c>
      <c r="Z209" s="51">
        <f t="shared" si="5"/>
        <v>0</v>
      </c>
      <c r="AA209" s="52">
        <f t="shared" si="6"/>
        <v>0</v>
      </c>
      <c r="AB209" s="53">
        <f t="shared" si="7"/>
        <v>0</v>
      </c>
      <c r="AC209" s="52">
        <f t="shared" si="8"/>
        <v>0</v>
      </c>
      <c r="AD209" s="70"/>
      <c r="AE209" s="14"/>
      <c r="AF209" s="55"/>
      <c r="AG209" s="55"/>
    </row>
    <row r="210" ht="13.5" customHeight="1">
      <c r="A210" s="80">
        <f t="shared" si="20"/>
        <v>205</v>
      </c>
      <c r="B210" s="26"/>
      <c r="C210" s="39"/>
      <c r="D210" s="40"/>
      <c r="E210" s="83"/>
      <c r="F210" s="42"/>
      <c r="G210" s="84"/>
      <c r="H210" s="84"/>
      <c r="I210" s="45"/>
      <c r="J210" s="46" t="s">
        <v>222</v>
      </c>
      <c r="K210" s="40" t="s">
        <v>222</v>
      </c>
      <c r="L210" s="40" t="s">
        <v>222</v>
      </c>
      <c r="M210" s="40" t="s">
        <v>222</v>
      </c>
      <c r="N210" s="40" t="s">
        <v>222</v>
      </c>
      <c r="O210" s="40" t="s">
        <v>222</v>
      </c>
      <c r="P210" s="48"/>
      <c r="Q210" s="48"/>
      <c r="R210" s="49" t="s">
        <v>222</v>
      </c>
      <c r="S210" s="50" t="s">
        <v>222</v>
      </c>
      <c r="T210" s="85"/>
      <c r="U210" s="52">
        <f t="shared" si="1"/>
        <v>0</v>
      </c>
      <c r="V210" s="85"/>
      <c r="W210" s="52">
        <f t="shared" si="9"/>
        <v>0</v>
      </c>
      <c r="X210" s="51">
        <f t="shared" si="3"/>
        <v>0</v>
      </c>
      <c r="Y210" s="52">
        <f t="shared" si="4"/>
        <v>0</v>
      </c>
      <c r="Z210" s="51">
        <f t="shared" si="5"/>
        <v>0</v>
      </c>
      <c r="AA210" s="52">
        <f t="shared" si="6"/>
        <v>0</v>
      </c>
      <c r="AB210" s="53">
        <f t="shared" si="7"/>
        <v>0</v>
      </c>
      <c r="AC210" s="52">
        <f t="shared" si="8"/>
        <v>0</v>
      </c>
      <c r="AD210" s="70"/>
      <c r="AE210" s="14"/>
      <c r="AF210" s="55"/>
      <c r="AG210" s="55"/>
    </row>
    <row r="211" ht="13.5" customHeight="1">
      <c r="A211" s="80">
        <f t="shared" si="20"/>
        <v>206</v>
      </c>
      <c r="B211" s="26"/>
      <c r="C211" s="39"/>
      <c r="D211" s="40"/>
      <c r="E211" s="83"/>
      <c r="F211" s="42"/>
      <c r="G211" s="84"/>
      <c r="H211" s="84"/>
      <c r="I211" s="45"/>
      <c r="J211" s="46" t="s">
        <v>222</v>
      </c>
      <c r="K211" s="40" t="s">
        <v>222</v>
      </c>
      <c r="L211" s="40" t="s">
        <v>222</v>
      </c>
      <c r="M211" s="40" t="s">
        <v>222</v>
      </c>
      <c r="N211" s="40" t="s">
        <v>222</v>
      </c>
      <c r="O211" s="40" t="s">
        <v>222</v>
      </c>
      <c r="P211" s="48"/>
      <c r="Q211" s="48"/>
      <c r="R211" s="49" t="s">
        <v>222</v>
      </c>
      <c r="S211" s="50" t="s">
        <v>222</v>
      </c>
      <c r="T211" s="85"/>
      <c r="U211" s="52">
        <f t="shared" si="1"/>
        <v>0</v>
      </c>
      <c r="V211" s="85"/>
      <c r="W211" s="52">
        <f t="shared" si="9"/>
        <v>0</v>
      </c>
      <c r="X211" s="51">
        <f t="shared" si="3"/>
        <v>0</v>
      </c>
      <c r="Y211" s="52">
        <f t="shared" si="4"/>
        <v>0</v>
      </c>
      <c r="Z211" s="51">
        <f t="shared" si="5"/>
        <v>0</v>
      </c>
      <c r="AA211" s="52">
        <f t="shared" si="6"/>
        <v>0</v>
      </c>
      <c r="AB211" s="53">
        <f t="shared" si="7"/>
        <v>0</v>
      </c>
      <c r="AC211" s="52">
        <f t="shared" si="8"/>
        <v>0</v>
      </c>
      <c r="AD211" s="70"/>
      <c r="AE211" s="14"/>
      <c r="AF211" s="55"/>
      <c r="AG211" s="55"/>
    </row>
    <row r="212" ht="13.5" customHeight="1">
      <c r="A212" s="80">
        <f t="shared" si="20"/>
        <v>207</v>
      </c>
      <c r="B212" s="26"/>
      <c r="C212" s="39"/>
      <c r="D212" s="40"/>
      <c r="E212" s="83"/>
      <c r="F212" s="42"/>
      <c r="G212" s="84"/>
      <c r="H212" s="84"/>
      <c r="I212" s="45"/>
      <c r="J212" s="46" t="s">
        <v>222</v>
      </c>
      <c r="K212" s="40" t="s">
        <v>222</v>
      </c>
      <c r="L212" s="40" t="s">
        <v>222</v>
      </c>
      <c r="M212" s="40" t="s">
        <v>222</v>
      </c>
      <c r="N212" s="40" t="s">
        <v>222</v>
      </c>
      <c r="O212" s="40" t="s">
        <v>222</v>
      </c>
      <c r="P212" s="48"/>
      <c r="Q212" s="48"/>
      <c r="R212" s="49" t="s">
        <v>222</v>
      </c>
      <c r="S212" s="50" t="s">
        <v>222</v>
      </c>
      <c r="T212" s="85"/>
      <c r="U212" s="52">
        <f t="shared" si="1"/>
        <v>0</v>
      </c>
      <c r="V212" s="85"/>
      <c r="W212" s="52">
        <f t="shared" si="9"/>
        <v>0</v>
      </c>
      <c r="X212" s="51">
        <f t="shared" si="3"/>
        <v>0</v>
      </c>
      <c r="Y212" s="52">
        <f t="shared" si="4"/>
        <v>0</v>
      </c>
      <c r="Z212" s="51">
        <f t="shared" si="5"/>
        <v>0</v>
      </c>
      <c r="AA212" s="52">
        <f t="shared" si="6"/>
        <v>0</v>
      </c>
      <c r="AB212" s="53">
        <f t="shared" si="7"/>
        <v>0</v>
      </c>
      <c r="AC212" s="52">
        <f t="shared" si="8"/>
        <v>0</v>
      </c>
      <c r="AD212" s="70"/>
      <c r="AE212" s="14"/>
      <c r="AF212" s="55"/>
      <c r="AG212" s="55"/>
    </row>
    <row r="213" ht="13.5" customHeight="1">
      <c r="A213" s="80">
        <f t="shared" si="20"/>
        <v>208</v>
      </c>
      <c r="B213" s="26"/>
      <c r="C213" s="39"/>
      <c r="D213" s="40"/>
      <c r="E213" s="83"/>
      <c r="F213" s="42"/>
      <c r="G213" s="84"/>
      <c r="H213" s="84"/>
      <c r="I213" s="45"/>
      <c r="J213" s="46" t="s">
        <v>222</v>
      </c>
      <c r="K213" s="40" t="s">
        <v>222</v>
      </c>
      <c r="L213" s="40" t="s">
        <v>222</v>
      </c>
      <c r="M213" s="40" t="s">
        <v>222</v>
      </c>
      <c r="N213" s="40" t="s">
        <v>222</v>
      </c>
      <c r="O213" s="40" t="s">
        <v>222</v>
      </c>
      <c r="P213" s="48"/>
      <c r="Q213" s="48"/>
      <c r="R213" s="49" t="s">
        <v>222</v>
      </c>
      <c r="S213" s="50" t="s">
        <v>222</v>
      </c>
      <c r="T213" s="85"/>
      <c r="U213" s="52">
        <f t="shared" si="1"/>
        <v>0</v>
      </c>
      <c r="V213" s="85"/>
      <c r="W213" s="52">
        <f t="shared" si="9"/>
        <v>0</v>
      </c>
      <c r="X213" s="51">
        <f t="shared" si="3"/>
        <v>0</v>
      </c>
      <c r="Y213" s="52">
        <f t="shared" si="4"/>
        <v>0</v>
      </c>
      <c r="Z213" s="51">
        <f t="shared" si="5"/>
        <v>0</v>
      </c>
      <c r="AA213" s="52">
        <f t="shared" si="6"/>
        <v>0</v>
      </c>
      <c r="AB213" s="53">
        <f t="shared" si="7"/>
        <v>0</v>
      </c>
      <c r="AC213" s="52">
        <f t="shared" si="8"/>
        <v>0</v>
      </c>
      <c r="AD213" s="70"/>
      <c r="AE213" s="14"/>
      <c r="AF213" s="55"/>
      <c r="AG213" s="55"/>
    </row>
    <row r="214" ht="13.5" customHeight="1">
      <c r="A214" s="80">
        <f t="shared" si="20"/>
        <v>209</v>
      </c>
      <c r="B214" s="26"/>
      <c r="C214" s="39"/>
      <c r="D214" s="40"/>
      <c r="E214" s="83"/>
      <c r="F214" s="42"/>
      <c r="G214" s="84"/>
      <c r="H214" s="84"/>
      <c r="I214" s="45"/>
      <c r="J214" s="46" t="s">
        <v>222</v>
      </c>
      <c r="K214" s="40" t="s">
        <v>222</v>
      </c>
      <c r="L214" s="40" t="s">
        <v>222</v>
      </c>
      <c r="M214" s="40" t="s">
        <v>222</v>
      </c>
      <c r="N214" s="40" t="s">
        <v>222</v>
      </c>
      <c r="O214" s="40" t="s">
        <v>222</v>
      </c>
      <c r="P214" s="48"/>
      <c r="Q214" s="48"/>
      <c r="R214" s="49" t="s">
        <v>222</v>
      </c>
      <c r="S214" s="50" t="s">
        <v>222</v>
      </c>
      <c r="T214" s="85"/>
      <c r="U214" s="52">
        <f t="shared" si="1"/>
        <v>0</v>
      </c>
      <c r="V214" s="85"/>
      <c r="W214" s="52">
        <f t="shared" si="9"/>
        <v>0</v>
      </c>
      <c r="X214" s="51">
        <f t="shared" si="3"/>
        <v>0</v>
      </c>
      <c r="Y214" s="52">
        <f t="shared" si="4"/>
        <v>0</v>
      </c>
      <c r="Z214" s="51">
        <f t="shared" si="5"/>
        <v>0</v>
      </c>
      <c r="AA214" s="52">
        <f t="shared" si="6"/>
        <v>0</v>
      </c>
      <c r="AB214" s="53">
        <f t="shared" si="7"/>
        <v>0</v>
      </c>
      <c r="AC214" s="52">
        <f t="shared" si="8"/>
        <v>0</v>
      </c>
      <c r="AD214" s="70"/>
      <c r="AE214" s="14"/>
      <c r="AF214" s="55"/>
      <c r="AG214" s="55"/>
    </row>
    <row r="215" ht="13.5" customHeight="1">
      <c r="A215" s="80">
        <f t="shared" si="20"/>
        <v>210</v>
      </c>
      <c r="B215" s="26"/>
      <c r="C215" s="39"/>
      <c r="D215" s="40"/>
      <c r="E215" s="83"/>
      <c r="F215" s="42"/>
      <c r="G215" s="84"/>
      <c r="H215" s="84"/>
      <c r="I215" s="45"/>
      <c r="J215" s="46" t="s">
        <v>222</v>
      </c>
      <c r="K215" s="40" t="s">
        <v>222</v>
      </c>
      <c r="L215" s="40" t="s">
        <v>222</v>
      </c>
      <c r="M215" s="40" t="s">
        <v>222</v>
      </c>
      <c r="N215" s="40" t="s">
        <v>222</v>
      </c>
      <c r="O215" s="40" t="s">
        <v>222</v>
      </c>
      <c r="P215" s="48"/>
      <c r="Q215" s="48"/>
      <c r="R215" s="49" t="s">
        <v>222</v>
      </c>
      <c r="S215" s="50" t="s">
        <v>222</v>
      </c>
      <c r="T215" s="85"/>
      <c r="U215" s="86"/>
      <c r="V215" s="85"/>
      <c r="W215" s="86"/>
      <c r="X215" s="85"/>
      <c r="Y215" s="70"/>
      <c r="Z215" s="70"/>
      <c r="AA215" s="70"/>
      <c r="AB215" s="70"/>
      <c r="AC215" s="70"/>
      <c r="AD215" s="70"/>
      <c r="AE215" s="14"/>
      <c r="AF215" s="55"/>
      <c r="AG215" s="55"/>
    </row>
    <row r="216" ht="13.5" customHeight="1">
      <c r="A216" s="80">
        <f t="shared" si="20"/>
        <v>211</v>
      </c>
      <c r="B216" s="26"/>
      <c r="C216" s="39"/>
      <c r="D216" s="40"/>
      <c r="E216" s="83"/>
      <c r="F216" s="42"/>
      <c r="G216" s="84"/>
      <c r="H216" s="84"/>
      <c r="I216" s="45"/>
      <c r="J216" s="46" t="s">
        <v>222</v>
      </c>
      <c r="K216" s="40" t="s">
        <v>222</v>
      </c>
      <c r="L216" s="40" t="s">
        <v>222</v>
      </c>
      <c r="M216" s="40" t="s">
        <v>222</v>
      </c>
      <c r="N216" s="40" t="s">
        <v>222</v>
      </c>
      <c r="O216" s="40" t="s">
        <v>222</v>
      </c>
      <c r="P216" s="48"/>
      <c r="Q216" s="48"/>
      <c r="R216" s="49" t="s">
        <v>222</v>
      </c>
      <c r="S216" s="50" t="s">
        <v>222</v>
      </c>
      <c r="T216" s="85"/>
      <c r="U216" s="86"/>
      <c r="V216" s="85"/>
      <c r="W216" s="86"/>
      <c r="X216" s="85"/>
      <c r="Y216" s="70"/>
      <c r="Z216" s="70"/>
      <c r="AA216" s="70"/>
      <c r="AB216" s="70"/>
      <c r="AC216" s="70"/>
      <c r="AD216" s="70"/>
      <c r="AE216" s="14"/>
      <c r="AF216" s="55"/>
      <c r="AG216" s="55"/>
    </row>
    <row r="217" ht="13.5" customHeight="1">
      <c r="A217" s="80">
        <f t="shared" si="20"/>
        <v>212</v>
      </c>
      <c r="B217" s="26"/>
      <c r="C217" s="39"/>
      <c r="D217" s="40"/>
      <c r="E217" s="83"/>
      <c r="F217" s="42"/>
      <c r="G217" s="84"/>
      <c r="H217" s="84"/>
      <c r="I217" s="45"/>
      <c r="J217" s="46" t="s">
        <v>222</v>
      </c>
      <c r="K217" s="40" t="s">
        <v>222</v>
      </c>
      <c r="L217" s="40" t="s">
        <v>222</v>
      </c>
      <c r="M217" s="40" t="s">
        <v>222</v>
      </c>
      <c r="N217" s="40" t="s">
        <v>222</v>
      </c>
      <c r="O217" s="40" t="s">
        <v>222</v>
      </c>
      <c r="P217" s="48"/>
      <c r="Q217" s="48"/>
      <c r="R217" s="49" t="s">
        <v>222</v>
      </c>
      <c r="S217" s="50" t="s">
        <v>222</v>
      </c>
      <c r="T217" s="85"/>
      <c r="U217" s="86"/>
      <c r="V217" s="85"/>
      <c r="W217" s="86"/>
      <c r="X217" s="85"/>
      <c r="Y217" s="70"/>
      <c r="Z217" s="70"/>
      <c r="AA217" s="70"/>
      <c r="AB217" s="70"/>
      <c r="AC217" s="70"/>
      <c r="AD217" s="70"/>
      <c r="AE217" s="14"/>
      <c r="AF217" s="55"/>
      <c r="AG217" s="55"/>
    </row>
    <row r="218" ht="13.5" customHeight="1">
      <c r="A218" s="80">
        <f t="shared" si="20"/>
        <v>213</v>
      </c>
      <c r="B218" s="26"/>
      <c r="C218" s="39"/>
      <c r="D218" s="40"/>
      <c r="E218" s="83"/>
      <c r="F218" s="42"/>
      <c r="G218" s="84"/>
      <c r="H218" s="84"/>
      <c r="I218" s="45"/>
      <c r="J218" s="46" t="s">
        <v>222</v>
      </c>
      <c r="K218" s="40" t="s">
        <v>222</v>
      </c>
      <c r="L218" s="40" t="s">
        <v>222</v>
      </c>
      <c r="M218" s="40" t="s">
        <v>222</v>
      </c>
      <c r="N218" s="40" t="s">
        <v>222</v>
      </c>
      <c r="O218" s="40" t="s">
        <v>222</v>
      </c>
      <c r="P218" s="48"/>
      <c r="Q218" s="48"/>
      <c r="R218" s="49" t="s">
        <v>222</v>
      </c>
      <c r="S218" s="50" t="s">
        <v>222</v>
      </c>
      <c r="T218" s="85"/>
      <c r="U218" s="86"/>
      <c r="V218" s="85"/>
      <c r="W218" s="86"/>
      <c r="X218" s="85"/>
      <c r="Y218" s="70"/>
      <c r="Z218" s="70"/>
      <c r="AA218" s="70"/>
      <c r="AB218" s="70"/>
      <c r="AC218" s="70"/>
      <c r="AD218" s="70"/>
      <c r="AE218" s="14"/>
      <c r="AF218" s="55"/>
      <c r="AG218" s="55"/>
    </row>
    <row r="219" ht="13.5" customHeight="1">
      <c r="A219" s="80">
        <f t="shared" si="20"/>
        <v>214</v>
      </c>
      <c r="B219" s="26"/>
      <c r="C219" s="39"/>
      <c r="D219" s="40"/>
      <c r="E219" s="83"/>
      <c r="F219" s="42"/>
      <c r="G219" s="84"/>
      <c r="H219" s="84"/>
      <c r="I219" s="45"/>
      <c r="J219" s="46" t="s">
        <v>222</v>
      </c>
      <c r="K219" s="40" t="s">
        <v>222</v>
      </c>
      <c r="L219" s="40" t="s">
        <v>222</v>
      </c>
      <c r="M219" s="40" t="s">
        <v>222</v>
      </c>
      <c r="N219" s="40" t="s">
        <v>222</v>
      </c>
      <c r="O219" s="40" t="s">
        <v>222</v>
      </c>
      <c r="P219" s="48"/>
      <c r="Q219" s="48"/>
      <c r="R219" s="49" t="s">
        <v>222</v>
      </c>
      <c r="S219" s="50" t="s">
        <v>222</v>
      </c>
      <c r="T219" s="85"/>
      <c r="U219" s="86"/>
      <c r="V219" s="85"/>
      <c r="W219" s="86"/>
      <c r="X219" s="85"/>
      <c r="Y219" s="70"/>
      <c r="Z219" s="70"/>
      <c r="AA219" s="70"/>
      <c r="AB219" s="70"/>
      <c r="AC219" s="70"/>
      <c r="AD219" s="70"/>
      <c r="AE219" s="14"/>
      <c r="AF219" s="55"/>
      <c r="AG219" s="55"/>
    </row>
    <row r="220" ht="13.5" customHeight="1">
      <c r="A220" s="80">
        <f t="shared" si="20"/>
        <v>215</v>
      </c>
      <c r="B220" s="26"/>
      <c r="C220" s="39"/>
      <c r="D220" s="40"/>
      <c r="E220" s="83"/>
      <c r="F220" s="42"/>
      <c r="G220" s="84"/>
      <c r="H220" s="84"/>
      <c r="I220" s="45"/>
      <c r="J220" s="46" t="s">
        <v>222</v>
      </c>
      <c r="K220" s="40" t="s">
        <v>222</v>
      </c>
      <c r="L220" s="40" t="s">
        <v>222</v>
      </c>
      <c r="M220" s="40" t="s">
        <v>222</v>
      </c>
      <c r="N220" s="40" t="s">
        <v>222</v>
      </c>
      <c r="O220" s="40" t="s">
        <v>222</v>
      </c>
      <c r="P220" s="48"/>
      <c r="Q220" s="48"/>
      <c r="R220" s="49" t="s">
        <v>222</v>
      </c>
      <c r="S220" s="50" t="s">
        <v>222</v>
      </c>
      <c r="T220" s="85"/>
      <c r="U220" s="86"/>
      <c r="V220" s="85"/>
      <c r="W220" s="86"/>
      <c r="X220" s="85"/>
      <c r="Y220" s="70"/>
      <c r="Z220" s="70"/>
      <c r="AA220" s="70"/>
      <c r="AB220" s="70"/>
      <c r="AC220" s="70"/>
      <c r="AD220" s="70"/>
      <c r="AE220" s="14"/>
      <c r="AF220" s="55"/>
      <c r="AG220" s="55"/>
    </row>
    <row r="221" ht="13.5" customHeight="1">
      <c r="A221" s="80">
        <f t="shared" si="20"/>
        <v>216</v>
      </c>
      <c r="B221" s="26"/>
      <c r="C221" s="39"/>
      <c r="D221" s="40"/>
      <c r="E221" s="83"/>
      <c r="F221" s="42"/>
      <c r="G221" s="84"/>
      <c r="H221" s="84"/>
      <c r="I221" s="45"/>
      <c r="J221" s="46" t="s">
        <v>222</v>
      </c>
      <c r="K221" s="40" t="s">
        <v>222</v>
      </c>
      <c r="L221" s="40" t="s">
        <v>222</v>
      </c>
      <c r="M221" s="40" t="s">
        <v>222</v>
      </c>
      <c r="N221" s="40" t="s">
        <v>222</v>
      </c>
      <c r="O221" s="40" t="s">
        <v>222</v>
      </c>
      <c r="P221" s="48"/>
      <c r="Q221" s="48"/>
      <c r="R221" s="49" t="s">
        <v>222</v>
      </c>
      <c r="S221" s="50" t="s">
        <v>222</v>
      </c>
      <c r="T221" s="85"/>
      <c r="U221" s="86"/>
      <c r="V221" s="85"/>
      <c r="W221" s="86"/>
      <c r="X221" s="85"/>
      <c r="Y221" s="70"/>
      <c r="Z221" s="70"/>
      <c r="AA221" s="70"/>
      <c r="AB221" s="70"/>
      <c r="AC221" s="70"/>
      <c r="AD221" s="70"/>
      <c r="AE221" s="14"/>
      <c r="AF221" s="55"/>
      <c r="AG221" s="55"/>
    </row>
    <row r="222" ht="13.5" customHeight="1">
      <c r="A222" s="80">
        <f t="shared" si="20"/>
        <v>217</v>
      </c>
      <c r="B222" s="26"/>
      <c r="C222" s="39"/>
      <c r="D222" s="40"/>
      <c r="E222" s="83"/>
      <c r="F222" s="42"/>
      <c r="G222" s="84"/>
      <c r="H222" s="84"/>
      <c r="I222" s="45"/>
      <c r="J222" s="46" t="s">
        <v>222</v>
      </c>
      <c r="K222" s="40" t="s">
        <v>222</v>
      </c>
      <c r="L222" s="40" t="s">
        <v>222</v>
      </c>
      <c r="M222" s="40" t="s">
        <v>222</v>
      </c>
      <c r="N222" s="40" t="s">
        <v>222</v>
      </c>
      <c r="O222" s="40" t="s">
        <v>222</v>
      </c>
      <c r="P222" s="48"/>
      <c r="Q222" s="48"/>
      <c r="R222" s="49" t="s">
        <v>222</v>
      </c>
      <c r="S222" s="50" t="s">
        <v>222</v>
      </c>
      <c r="T222" s="85"/>
      <c r="U222" s="86"/>
      <c r="V222" s="85"/>
      <c r="W222" s="86"/>
      <c r="X222" s="85"/>
      <c r="Y222" s="70"/>
      <c r="Z222" s="70"/>
      <c r="AA222" s="70"/>
      <c r="AB222" s="70"/>
      <c r="AC222" s="70"/>
      <c r="AD222" s="70"/>
      <c r="AE222" s="14"/>
      <c r="AF222" s="55"/>
      <c r="AG222" s="55"/>
    </row>
    <row r="223" ht="13.5" customHeight="1">
      <c r="A223" s="80">
        <f t="shared" si="20"/>
        <v>218</v>
      </c>
      <c r="B223" s="26"/>
      <c r="C223" s="39"/>
      <c r="D223" s="40"/>
      <c r="E223" s="83"/>
      <c r="F223" s="42"/>
      <c r="G223" s="84"/>
      <c r="H223" s="84"/>
      <c r="I223" s="45"/>
      <c r="J223" s="46" t="s">
        <v>222</v>
      </c>
      <c r="K223" s="40" t="s">
        <v>222</v>
      </c>
      <c r="L223" s="40" t="s">
        <v>222</v>
      </c>
      <c r="M223" s="40" t="s">
        <v>222</v>
      </c>
      <c r="N223" s="40" t="s">
        <v>222</v>
      </c>
      <c r="O223" s="40" t="s">
        <v>222</v>
      </c>
      <c r="P223" s="48"/>
      <c r="Q223" s="48"/>
      <c r="R223" s="49" t="s">
        <v>222</v>
      </c>
      <c r="S223" s="50" t="s">
        <v>222</v>
      </c>
      <c r="T223" s="85"/>
      <c r="U223" s="86"/>
      <c r="V223" s="85"/>
      <c r="W223" s="86"/>
      <c r="X223" s="85"/>
      <c r="Y223" s="70"/>
      <c r="Z223" s="70"/>
      <c r="AA223" s="70"/>
      <c r="AB223" s="70"/>
      <c r="AC223" s="70"/>
      <c r="AD223" s="70"/>
      <c r="AE223" s="14"/>
      <c r="AF223" s="55"/>
      <c r="AG223" s="55"/>
    </row>
    <row r="224" ht="13.5" customHeight="1">
      <c r="A224" s="80">
        <f t="shared" si="20"/>
        <v>219</v>
      </c>
      <c r="B224" s="26"/>
      <c r="C224" s="39"/>
      <c r="D224" s="40"/>
      <c r="E224" s="83"/>
      <c r="F224" s="42"/>
      <c r="G224" s="84"/>
      <c r="H224" s="84"/>
      <c r="I224" s="45"/>
      <c r="J224" s="46" t="s">
        <v>222</v>
      </c>
      <c r="K224" s="40" t="s">
        <v>222</v>
      </c>
      <c r="L224" s="40" t="s">
        <v>222</v>
      </c>
      <c r="M224" s="40" t="s">
        <v>222</v>
      </c>
      <c r="N224" s="40" t="s">
        <v>222</v>
      </c>
      <c r="O224" s="40" t="s">
        <v>222</v>
      </c>
      <c r="P224" s="48"/>
      <c r="Q224" s="48"/>
      <c r="R224" s="49" t="s">
        <v>222</v>
      </c>
      <c r="S224" s="50" t="s">
        <v>222</v>
      </c>
      <c r="T224" s="85"/>
      <c r="U224" s="86"/>
      <c r="V224" s="85"/>
      <c r="W224" s="86"/>
      <c r="X224" s="85"/>
      <c r="Y224" s="70"/>
      <c r="Z224" s="70"/>
      <c r="AA224" s="70"/>
      <c r="AB224" s="70"/>
      <c r="AC224" s="70"/>
      <c r="AD224" s="70"/>
      <c r="AE224" s="14"/>
      <c r="AF224" s="55"/>
      <c r="AG224" s="55"/>
    </row>
    <row r="225" ht="13.5" customHeight="1">
      <c r="A225" s="80">
        <f t="shared" si="20"/>
        <v>220</v>
      </c>
      <c r="B225" s="26"/>
      <c r="C225" s="39"/>
      <c r="D225" s="40"/>
      <c r="E225" s="83"/>
      <c r="F225" s="42"/>
      <c r="G225" s="84"/>
      <c r="H225" s="84"/>
      <c r="I225" s="45"/>
      <c r="J225" s="46" t="s">
        <v>222</v>
      </c>
      <c r="K225" s="40" t="s">
        <v>222</v>
      </c>
      <c r="L225" s="40" t="s">
        <v>222</v>
      </c>
      <c r="M225" s="40" t="s">
        <v>222</v>
      </c>
      <c r="N225" s="40" t="s">
        <v>222</v>
      </c>
      <c r="O225" s="40" t="s">
        <v>222</v>
      </c>
      <c r="P225" s="48"/>
      <c r="Q225" s="48"/>
      <c r="R225" s="49" t="s">
        <v>222</v>
      </c>
      <c r="S225" s="50" t="s">
        <v>222</v>
      </c>
      <c r="T225" s="85"/>
      <c r="U225" s="86"/>
      <c r="V225" s="85"/>
      <c r="W225" s="86"/>
      <c r="X225" s="85"/>
      <c r="Y225" s="70"/>
      <c r="Z225" s="70"/>
      <c r="AA225" s="70"/>
      <c r="AB225" s="70"/>
      <c r="AC225" s="70"/>
      <c r="AD225" s="70"/>
      <c r="AE225" s="14"/>
      <c r="AF225" s="55"/>
      <c r="AG225" s="55"/>
    </row>
    <row r="226" ht="13.5" customHeight="1">
      <c r="A226" s="80">
        <f t="shared" si="20"/>
        <v>221</v>
      </c>
      <c r="B226" s="26"/>
      <c r="C226" s="39"/>
      <c r="D226" s="40"/>
      <c r="E226" s="83"/>
      <c r="F226" s="42"/>
      <c r="G226" s="84"/>
      <c r="H226" s="84"/>
      <c r="I226" s="45"/>
      <c r="J226" s="46" t="s">
        <v>222</v>
      </c>
      <c r="K226" s="40" t="s">
        <v>222</v>
      </c>
      <c r="L226" s="40" t="s">
        <v>222</v>
      </c>
      <c r="M226" s="40" t="s">
        <v>222</v>
      </c>
      <c r="N226" s="40" t="s">
        <v>222</v>
      </c>
      <c r="O226" s="40" t="s">
        <v>222</v>
      </c>
      <c r="P226" s="48"/>
      <c r="Q226" s="48"/>
      <c r="R226" s="49" t="s">
        <v>222</v>
      </c>
      <c r="S226" s="50" t="s">
        <v>222</v>
      </c>
      <c r="T226" s="85"/>
      <c r="U226" s="86"/>
      <c r="V226" s="85"/>
      <c r="W226" s="86"/>
      <c r="X226" s="85"/>
      <c r="Y226" s="70"/>
      <c r="Z226" s="70"/>
      <c r="AA226" s="70"/>
      <c r="AB226" s="70"/>
      <c r="AC226" s="70"/>
      <c r="AD226" s="70"/>
      <c r="AE226" s="14"/>
      <c r="AF226" s="55"/>
      <c r="AG226" s="55"/>
    </row>
    <row r="227" ht="13.5" customHeight="1">
      <c r="A227" s="80">
        <f t="shared" si="20"/>
        <v>222</v>
      </c>
      <c r="B227" s="26"/>
      <c r="C227" s="39"/>
      <c r="D227" s="40"/>
      <c r="E227" s="83"/>
      <c r="F227" s="42"/>
      <c r="G227" s="84"/>
      <c r="H227" s="84"/>
      <c r="I227" s="45"/>
      <c r="J227" s="46" t="s">
        <v>222</v>
      </c>
      <c r="K227" s="40" t="s">
        <v>222</v>
      </c>
      <c r="L227" s="40" t="s">
        <v>222</v>
      </c>
      <c r="M227" s="40" t="s">
        <v>222</v>
      </c>
      <c r="N227" s="40" t="s">
        <v>222</v>
      </c>
      <c r="O227" s="40" t="s">
        <v>222</v>
      </c>
      <c r="P227" s="48"/>
      <c r="Q227" s="48"/>
      <c r="R227" s="49" t="s">
        <v>222</v>
      </c>
      <c r="S227" s="50" t="s">
        <v>222</v>
      </c>
      <c r="T227" s="85"/>
      <c r="U227" s="86"/>
      <c r="V227" s="85"/>
      <c r="W227" s="86"/>
      <c r="X227" s="85"/>
      <c r="Y227" s="70"/>
      <c r="Z227" s="70"/>
      <c r="AA227" s="70"/>
      <c r="AB227" s="70"/>
      <c r="AC227" s="70"/>
      <c r="AD227" s="70"/>
      <c r="AE227" s="14"/>
      <c r="AF227" s="55"/>
      <c r="AG227" s="55"/>
    </row>
    <row r="228" ht="13.5" customHeight="1">
      <c r="A228" s="80">
        <f t="shared" si="20"/>
        <v>223</v>
      </c>
      <c r="B228" s="26"/>
      <c r="C228" s="39"/>
      <c r="D228" s="40"/>
      <c r="E228" s="83"/>
      <c r="F228" s="42"/>
      <c r="G228" s="84"/>
      <c r="H228" s="84"/>
      <c r="I228" s="45"/>
      <c r="J228" s="46" t="s">
        <v>222</v>
      </c>
      <c r="K228" s="40" t="s">
        <v>222</v>
      </c>
      <c r="L228" s="40" t="s">
        <v>222</v>
      </c>
      <c r="M228" s="40" t="s">
        <v>222</v>
      </c>
      <c r="N228" s="40" t="s">
        <v>222</v>
      </c>
      <c r="O228" s="40" t="s">
        <v>222</v>
      </c>
      <c r="P228" s="48"/>
      <c r="Q228" s="48"/>
      <c r="R228" s="49" t="s">
        <v>222</v>
      </c>
      <c r="S228" s="50" t="s">
        <v>222</v>
      </c>
      <c r="T228" s="85"/>
      <c r="U228" s="86"/>
      <c r="V228" s="85"/>
      <c r="W228" s="86"/>
      <c r="X228" s="85"/>
      <c r="Y228" s="70"/>
      <c r="Z228" s="70"/>
      <c r="AA228" s="70"/>
      <c r="AB228" s="70"/>
      <c r="AC228" s="70"/>
      <c r="AD228" s="70"/>
      <c r="AE228" s="14"/>
      <c r="AF228" s="55"/>
      <c r="AG228" s="55"/>
    </row>
    <row r="229" ht="13.5" customHeight="1">
      <c r="A229" s="80">
        <f t="shared" si="20"/>
        <v>224</v>
      </c>
      <c r="B229" s="26"/>
      <c r="C229" s="39"/>
      <c r="D229" s="40"/>
      <c r="E229" s="83"/>
      <c r="F229" s="42"/>
      <c r="G229" s="84"/>
      <c r="H229" s="84"/>
      <c r="I229" s="45"/>
      <c r="J229" s="46" t="s">
        <v>222</v>
      </c>
      <c r="K229" s="40" t="s">
        <v>222</v>
      </c>
      <c r="L229" s="40" t="s">
        <v>222</v>
      </c>
      <c r="M229" s="40" t="s">
        <v>222</v>
      </c>
      <c r="N229" s="40" t="s">
        <v>222</v>
      </c>
      <c r="O229" s="40" t="s">
        <v>222</v>
      </c>
      <c r="P229" s="48"/>
      <c r="Q229" s="48"/>
      <c r="R229" s="49" t="s">
        <v>222</v>
      </c>
      <c r="S229" s="50" t="s">
        <v>222</v>
      </c>
      <c r="T229" s="85"/>
      <c r="U229" s="86"/>
      <c r="V229" s="85"/>
      <c r="W229" s="86"/>
      <c r="X229" s="85"/>
      <c r="Y229" s="70"/>
      <c r="Z229" s="70"/>
      <c r="AA229" s="70"/>
      <c r="AB229" s="70"/>
      <c r="AC229" s="70"/>
      <c r="AD229" s="70"/>
      <c r="AE229" s="14"/>
      <c r="AF229" s="55"/>
      <c r="AG229" s="55"/>
    </row>
    <row r="230" ht="13.5" customHeight="1">
      <c r="A230" s="80">
        <f t="shared" si="20"/>
        <v>225</v>
      </c>
      <c r="B230" s="26"/>
      <c r="C230" s="39"/>
      <c r="D230" s="40"/>
      <c r="E230" s="83"/>
      <c r="F230" s="42"/>
      <c r="G230" s="84"/>
      <c r="H230" s="84"/>
      <c r="I230" s="45"/>
      <c r="J230" s="46" t="s">
        <v>222</v>
      </c>
      <c r="K230" s="40" t="s">
        <v>222</v>
      </c>
      <c r="L230" s="40" t="s">
        <v>222</v>
      </c>
      <c r="M230" s="40" t="s">
        <v>222</v>
      </c>
      <c r="N230" s="40" t="s">
        <v>222</v>
      </c>
      <c r="O230" s="40" t="s">
        <v>222</v>
      </c>
      <c r="P230" s="48"/>
      <c r="Q230" s="48"/>
      <c r="R230" s="49" t="s">
        <v>222</v>
      </c>
      <c r="S230" s="50" t="s">
        <v>222</v>
      </c>
      <c r="T230" s="85"/>
      <c r="U230" s="86"/>
      <c r="V230" s="85"/>
      <c r="W230" s="86"/>
      <c r="X230" s="85"/>
      <c r="Y230" s="70"/>
      <c r="Z230" s="70"/>
      <c r="AA230" s="70"/>
      <c r="AB230" s="70"/>
      <c r="AC230" s="70"/>
      <c r="AD230" s="70"/>
      <c r="AE230" s="14"/>
      <c r="AF230" s="55"/>
      <c r="AG230" s="55"/>
    </row>
    <row r="231" ht="13.5" customHeight="1">
      <c r="A231" s="80">
        <f t="shared" si="20"/>
        <v>226</v>
      </c>
      <c r="B231" s="26"/>
      <c r="C231" s="39"/>
      <c r="D231" s="40"/>
      <c r="E231" s="83"/>
      <c r="F231" s="42"/>
      <c r="G231" s="84"/>
      <c r="H231" s="84"/>
      <c r="I231" s="45"/>
      <c r="J231" s="46" t="s">
        <v>222</v>
      </c>
      <c r="K231" s="40" t="s">
        <v>222</v>
      </c>
      <c r="L231" s="40" t="s">
        <v>222</v>
      </c>
      <c r="M231" s="40" t="s">
        <v>222</v>
      </c>
      <c r="N231" s="40" t="s">
        <v>222</v>
      </c>
      <c r="O231" s="40" t="s">
        <v>222</v>
      </c>
      <c r="P231" s="48"/>
      <c r="Q231" s="48"/>
      <c r="R231" s="49" t="s">
        <v>222</v>
      </c>
      <c r="S231" s="50" t="s">
        <v>222</v>
      </c>
      <c r="T231" s="85"/>
      <c r="U231" s="86"/>
      <c r="V231" s="85"/>
      <c r="W231" s="86"/>
      <c r="X231" s="85"/>
      <c r="Y231" s="70"/>
      <c r="Z231" s="70"/>
      <c r="AA231" s="70"/>
      <c r="AB231" s="70"/>
      <c r="AC231" s="70"/>
      <c r="AD231" s="70"/>
      <c r="AE231" s="14"/>
      <c r="AF231" s="55"/>
      <c r="AG231" s="55"/>
    </row>
    <row r="232" ht="13.5" customHeight="1">
      <c r="A232" s="80">
        <f t="shared" si="20"/>
        <v>227</v>
      </c>
      <c r="B232" s="26"/>
      <c r="C232" s="39"/>
      <c r="D232" s="40"/>
      <c r="E232" s="83"/>
      <c r="F232" s="42"/>
      <c r="G232" s="84"/>
      <c r="H232" s="84"/>
      <c r="I232" s="45"/>
      <c r="J232" s="46" t="s">
        <v>222</v>
      </c>
      <c r="K232" s="40" t="s">
        <v>222</v>
      </c>
      <c r="L232" s="40" t="s">
        <v>222</v>
      </c>
      <c r="M232" s="40" t="s">
        <v>222</v>
      </c>
      <c r="N232" s="40" t="s">
        <v>222</v>
      </c>
      <c r="O232" s="40" t="s">
        <v>222</v>
      </c>
      <c r="P232" s="48"/>
      <c r="Q232" s="48"/>
      <c r="R232" s="49" t="s">
        <v>222</v>
      </c>
      <c r="S232" s="50" t="s">
        <v>222</v>
      </c>
      <c r="T232" s="85"/>
      <c r="U232" s="86"/>
      <c r="V232" s="85"/>
      <c r="W232" s="86"/>
      <c r="X232" s="85"/>
      <c r="Y232" s="70"/>
      <c r="Z232" s="70"/>
      <c r="AA232" s="70"/>
      <c r="AB232" s="70"/>
      <c r="AC232" s="70"/>
      <c r="AD232" s="70"/>
      <c r="AE232" s="14"/>
      <c r="AF232" s="55"/>
      <c r="AG232" s="55"/>
    </row>
    <row r="233" ht="13.5" customHeight="1">
      <c r="A233" s="80">
        <f t="shared" si="20"/>
        <v>228</v>
      </c>
      <c r="B233" s="26"/>
      <c r="C233" s="39"/>
      <c r="D233" s="40"/>
      <c r="E233" s="83"/>
      <c r="F233" s="42"/>
      <c r="G233" s="84"/>
      <c r="H233" s="84"/>
      <c r="I233" s="45"/>
      <c r="J233" s="46" t="s">
        <v>222</v>
      </c>
      <c r="K233" s="40" t="s">
        <v>222</v>
      </c>
      <c r="L233" s="40" t="s">
        <v>222</v>
      </c>
      <c r="M233" s="40" t="s">
        <v>222</v>
      </c>
      <c r="N233" s="40" t="s">
        <v>222</v>
      </c>
      <c r="O233" s="40" t="s">
        <v>222</v>
      </c>
      <c r="P233" s="48"/>
      <c r="Q233" s="48"/>
      <c r="R233" s="49" t="s">
        <v>222</v>
      </c>
      <c r="S233" s="50" t="s">
        <v>222</v>
      </c>
      <c r="T233" s="85"/>
      <c r="U233" s="86"/>
      <c r="V233" s="85"/>
      <c r="W233" s="86"/>
      <c r="X233" s="85"/>
      <c r="Y233" s="70"/>
      <c r="Z233" s="70"/>
      <c r="AA233" s="70"/>
      <c r="AB233" s="70"/>
      <c r="AC233" s="70"/>
      <c r="AD233" s="70"/>
      <c r="AE233" s="14"/>
      <c r="AF233" s="55"/>
      <c r="AG233" s="55"/>
    </row>
    <row r="234" ht="13.5" customHeight="1">
      <c r="A234" s="80">
        <f t="shared" si="20"/>
        <v>229</v>
      </c>
      <c r="B234" s="26"/>
      <c r="C234" s="39"/>
      <c r="D234" s="40"/>
      <c r="E234" s="83"/>
      <c r="F234" s="42"/>
      <c r="G234" s="84"/>
      <c r="H234" s="84"/>
      <c r="I234" s="45"/>
      <c r="J234" s="46" t="s">
        <v>222</v>
      </c>
      <c r="K234" s="40" t="s">
        <v>222</v>
      </c>
      <c r="L234" s="40" t="s">
        <v>222</v>
      </c>
      <c r="M234" s="40" t="s">
        <v>222</v>
      </c>
      <c r="N234" s="40" t="s">
        <v>222</v>
      </c>
      <c r="O234" s="40" t="s">
        <v>222</v>
      </c>
      <c r="P234" s="48"/>
      <c r="Q234" s="48"/>
      <c r="R234" s="49" t="s">
        <v>222</v>
      </c>
      <c r="S234" s="50" t="s">
        <v>222</v>
      </c>
      <c r="T234" s="85"/>
      <c r="U234" s="86"/>
      <c r="V234" s="85"/>
      <c r="W234" s="86"/>
      <c r="X234" s="85"/>
      <c r="Y234" s="70"/>
      <c r="Z234" s="70"/>
      <c r="AA234" s="70"/>
      <c r="AB234" s="70"/>
      <c r="AC234" s="70"/>
      <c r="AD234" s="70"/>
      <c r="AE234" s="14"/>
      <c r="AF234" s="55"/>
      <c r="AG234" s="55"/>
    </row>
    <row r="235" ht="13.5" customHeight="1">
      <c r="A235" s="80">
        <f t="shared" si="20"/>
        <v>230</v>
      </c>
      <c r="B235" s="26"/>
      <c r="C235" s="39"/>
      <c r="D235" s="40"/>
      <c r="E235" s="83"/>
      <c r="F235" s="42"/>
      <c r="G235" s="84"/>
      <c r="H235" s="84"/>
      <c r="I235" s="45"/>
      <c r="J235" s="46" t="s">
        <v>222</v>
      </c>
      <c r="K235" s="40" t="s">
        <v>222</v>
      </c>
      <c r="L235" s="40" t="s">
        <v>222</v>
      </c>
      <c r="M235" s="40" t="s">
        <v>222</v>
      </c>
      <c r="N235" s="40" t="s">
        <v>222</v>
      </c>
      <c r="O235" s="40" t="s">
        <v>222</v>
      </c>
      <c r="P235" s="48"/>
      <c r="Q235" s="48"/>
      <c r="R235" s="49" t="s">
        <v>222</v>
      </c>
      <c r="S235" s="50" t="s">
        <v>222</v>
      </c>
      <c r="T235" s="85"/>
      <c r="U235" s="86"/>
      <c r="V235" s="85"/>
      <c r="W235" s="86"/>
      <c r="X235" s="85"/>
      <c r="Y235" s="70"/>
      <c r="Z235" s="70"/>
      <c r="AA235" s="70"/>
      <c r="AB235" s="70"/>
      <c r="AC235" s="70"/>
      <c r="AD235" s="70"/>
      <c r="AE235" s="14"/>
      <c r="AF235" s="55"/>
      <c r="AG235" s="55"/>
    </row>
    <row r="236" ht="13.5" customHeight="1">
      <c r="A236" s="80">
        <f t="shared" si="20"/>
        <v>231</v>
      </c>
      <c r="B236" s="26"/>
      <c r="C236" s="39"/>
      <c r="D236" s="40"/>
      <c r="E236" s="83"/>
      <c r="F236" s="42"/>
      <c r="G236" s="84"/>
      <c r="H236" s="84"/>
      <c r="I236" s="45"/>
      <c r="J236" s="46" t="s">
        <v>222</v>
      </c>
      <c r="K236" s="40" t="s">
        <v>222</v>
      </c>
      <c r="L236" s="40" t="s">
        <v>222</v>
      </c>
      <c r="M236" s="40" t="s">
        <v>222</v>
      </c>
      <c r="N236" s="40" t="s">
        <v>222</v>
      </c>
      <c r="O236" s="40" t="s">
        <v>222</v>
      </c>
      <c r="P236" s="48"/>
      <c r="Q236" s="48"/>
      <c r="R236" s="49" t="s">
        <v>222</v>
      </c>
      <c r="S236" s="50" t="s">
        <v>222</v>
      </c>
      <c r="T236" s="85"/>
      <c r="U236" s="86"/>
      <c r="V236" s="85"/>
      <c r="W236" s="86"/>
      <c r="X236" s="85"/>
      <c r="Y236" s="70"/>
      <c r="Z236" s="70"/>
      <c r="AA236" s="70"/>
      <c r="AB236" s="70"/>
      <c r="AC236" s="70"/>
      <c r="AD236" s="70"/>
      <c r="AE236" s="14"/>
      <c r="AF236" s="55"/>
      <c r="AG236" s="55"/>
    </row>
    <row r="237" ht="13.5" customHeight="1">
      <c r="A237" s="80">
        <f t="shared" si="20"/>
        <v>232</v>
      </c>
      <c r="B237" s="26"/>
      <c r="C237" s="39"/>
      <c r="D237" s="40"/>
      <c r="E237" s="83"/>
      <c r="F237" s="42"/>
      <c r="G237" s="84"/>
      <c r="H237" s="84"/>
      <c r="I237" s="45"/>
      <c r="J237" s="46" t="s">
        <v>222</v>
      </c>
      <c r="K237" s="40" t="s">
        <v>222</v>
      </c>
      <c r="L237" s="40" t="s">
        <v>222</v>
      </c>
      <c r="M237" s="40" t="s">
        <v>222</v>
      </c>
      <c r="N237" s="40" t="s">
        <v>222</v>
      </c>
      <c r="O237" s="40" t="s">
        <v>222</v>
      </c>
      <c r="P237" s="48"/>
      <c r="Q237" s="48"/>
      <c r="R237" s="49" t="s">
        <v>222</v>
      </c>
      <c r="S237" s="50" t="s">
        <v>222</v>
      </c>
      <c r="T237" s="85"/>
      <c r="U237" s="86"/>
      <c r="V237" s="85"/>
      <c r="W237" s="86"/>
      <c r="X237" s="85"/>
      <c r="Y237" s="70"/>
      <c r="Z237" s="70"/>
      <c r="AA237" s="70"/>
      <c r="AB237" s="70"/>
      <c r="AC237" s="70"/>
      <c r="AD237" s="70"/>
      <c r="AE237" s="14"/>
      <c r="AF237" s="55"/>
      <c r="AG237" s="55"/>
    </row>
    <row r="238" ht="13.5" customHeight="1">
      <c r="A238" s="80">
        <f t="shared" si="20"/>
        <v>233</v>
      </c>
      <c r="B238" s="26"/>
      <c r="C238" s="39"/>
      <c r="D238" s="40"/>
      <c r="E238" s="83"/>
      <c r="F238" s="42"/>
      <c r="G238" s="84"/>
      <c r="H238" s="84"/>
      <c r="I238" s="45"/>
      <c r="J238" s="46" t="s">
        <v>222</v>
      </c>
      <c r="K238" s="40" t="s">
        <v>222</v>
      </c>
      <c r="L238" s="40" t="s">
        <v>222</v>
      </c>
      <c r="M238" s="40" t="s">
        <v>222</v>
      </c>
      <c r="N238" s="40" t="s">
        <v>222</v>
      </c>
      <c r="O238" s="40" t="s">
        <v>222</v>
      </c>
      <c r="P238" s="48"/>
      <c r="Q238" s="48"/>
      <c r="R238" s="49" t="s">
        <v>222</v>
      </c>
      <c r="S238" s="50" t="s">
        <v>222</v>
      </c>
      <c r="T238" s="85"/>
      <c r="U238" s="86"/>
      <c r="V238" s="85"/>
      <c r="W238" s="86"/>
      <c r="X238" s="85"/>
      <c r="Y238" s="70"/>
      <c r="Z238" s="70"/>
      <c r="AA238" s="70"/>
      <c r="AB238" s="70"/>
      <c r="AC238" s="70"/>
      <c r="AD238" s="70"/>
      <c r="AE238" s="14"/>
      <c r="AF238" s="55"/>
      <c r="AG238" s="55"/>
    </row>
    <row r="239" ht="13.5" customHeight="1">
      <c r="A239" s="80">
        <f t="shared" si="20"/>
        <v>234</v>
      </c>
      <c r="B239" s="26"/>
      <c r="C239" s="39"/>
      <c r="D239" s="40"/>
      <c r="E239" s="83"/>
      <c r="F239" s="42"/>
      <c r="G239" s="84"/>
      <c r="H239" s="84"/>
      <c r="I239" s="45"/>
      <c r="J239" s="46" t="s">
        <v>222</v>
      </c>
      <c r="K239" s="40" t="s">
        <v>222</v>
      </c>
      <c r="L239" s="40" t="s">
        <v>222</v>
      </c>
      <c r="M239" s="40" t="s">
        <v>222</v>
      </c>
      <c r="N239" s="40" t="s">
        <v>222</v>
      </c>
      <c r="O239" s="40" t="s">
        <v>222</v>
      </c>
      <c r="P239" s="48"/>
      <c r="Q239" s="48"/>
      <c r="R239" s="49" t="s">
        <v>222</v>
      </c>
      <c r="S239" s="50" t="s">
        <v>222</v>
      </c>
      <c r="T239" s="85"/>
      <c r="U239" s="86"/>
      <c r="V239" s="85"/>
      <c r="W239" s="86"/>
      <c r="X239" s="85"/>
      <c r="Y239" s="70"/>
      <c r="Z239" s="70"/>
      <c r="AA239" s="70"/>
      <c r="AB239" s="70"/>
      <c r="AC239" s="70"/>
      <c r="AD239" s="70"/>
      <c r="AE239" s="14"/>
      <c r="AF239" s="55"/>
      <c r="AG239" s="55"/>
    </row>
    <row r="240" ht="13.5" customHeight="1">
      <c r="A240" s="80">
        <f t="shared" si="20"/>
        <v>235</v>
      </c>
      <c r="B240" s="26"/>
      <c r="C240" s="39"/>
      <c r="D240" s="40"/>
      <c r="E240" s="83"/>
      <c r="F240" s="42"/>
      <c r="G240" s="84"/>
      <c r="H240" s="84"/>
      <c r="I240" s="45"/>
      <c r="J240" s="46" t="s">
        <v>222</v>
      </c>
      <c r="K240" s="40" t="s">
        <v>222</v>
      </c>
      <c r="L240" s="40" t="s">
        <v>222</v>
      </c>
      <c r="M240" s="40" t="s">
        <v>222</v>
      </c>
      <c r="N240" s="40" t="s">
        <v>222</v>
      </c>
      <c r="O240" s="40" t="s">
        <v>222</v>
      </c>
      <c r="P240" s="48"/>
      <c r="Q240" s="48"/>
      <c r="R240" s="49" t="s">
        <v>222</v>
      </c>
      <c r="S240" s="50" t="s">
        <v>222</v>
      </c>
      <c r="T240" s="85"/>
      <c r="U240" s="86"/>
      <c r="V240" s="85"/>
      <c r="W240" s="86"/>
      <c r="X240" s="85"/>
      <c r="Y240" s="70"/>
      <c r="Z240" s="70"/>
      <c r="AA240" s="70"/>
      <c r="AB240" s="70"/>
      <c r="AC240" s="70"/>
      <c r="AD240" s="70"/>
      <c r="AE240" s="14"/>
      <c r="AF240" s="55"/>
      <c r="AG240" s="55"/>
    </row>
    <row r="241" ht="13.5" customHeight="1">
      <c r="A241" s="80">
        <f t="shared" si="20"/>
        <v>236</v>
      </c>
      <c r="B241" s="26"/>
      <c r="C241" s="39"/>
      <c r="D241" s="40"/>
      <c r="E241" s="83"/>
      <c r="F241" s="42"/>
      <c r="G241" s="84"/>
      <c r="H241" s="84"/>
      <c r="I241" s="45"/>
      <c r="J241" s="46" t="s">
        <v>222</v>
      </c>
      <c r="K241" s="40" t="s">
        <v>222</v>
      </c>
      <c r="L241" s="40" t="s">
        <v>222</v>
      </c>
      <c r="M241" s="40" t="s">
        <v>222</v>
      </c>
      <c r="N241" s="40" t="s">
        <v>222</v>
      </c>
      <c r="O241" s="40" t="s">
        <v>222</v>
      </c>
      <c r="P241" s="48"/>
      <c r="Q241" s="48"/>
      <c r="R241" s="49" t="s">
        <v>222</v>
      </c>
      <c r="S241" s="50" t="s">
        <v>222</v>
      </c>
      <c r="T241" s="85"/>
      <c r="U241" s="86"/>
      <c r="V241" s="85"/>
      <c r="W241" s="86"/>
      <c r="X241" s="85"/>
      <c r="Y241" s="70"/>
      <c r="Z241" s="70"/>
      <c r="AA241" s="70"/>
      <c r="AB241" s="70"/>
      <c r="AC241" s="70"/>
      <c r="AD241" s="70"/>
      <c r="AE241" s="14"/>
      <c r="AF241" s="55"/>
      <c r="AG241" s="55"/>
    </row>
    <row r="242" ht="13.5" customHeight="1">
      <c r="A242" s="80">
        <f t="shared" si="20"/>
        <v>237</v>
      </c>
      <c r="B242" s="26"/>
      <c r="C242" s="39"/>
      <c r="D242" s="40"/>
      <c r="E242" s="83"/>
      <c r="F242" s="42"/>
      <c r="G242" s="84"/>
      <c r="H242" s="84"/>
      <c r="I242" s="45"/>
      <c r="J242" s="46" t="s">
        <v>222</v>
      </c>
      <c r="K242" s="40" t="s">
        <v>222</v>
      </c>
      <c r="L242" s="40" t="s">
        <v>222</v>
      </c>
      <c r="M242" s="40" t="s">
        <v>222</v>
      </c>
      <c r="N242" s="40" t="s">
        <v>222</v>
      </c>
      <c r="O242" s="40" t="s">
        <v>222</v>
      </c>
      <c r="P242" s="48"/>
      <c r="Q242" s="48"/>
      <c r="R242" s="49" t="s">
        <v>222</v>
      </c>
      <c r="S242" s="50" t="s">
        <v>222</v>
      </c>
      <c r="T242" s="85"/>
      <c r="U242" s="86"/>
      <c r="V242" s="85"/>
      <c r="W242" s="86"/>
      <c r="X242" s="85"/>
      <c r="Y242" s="70"/>
      <c r="Z242" s="70"/>
      <c r="AA242" s="70"/>
      <c r="AB242" s="70"/>
      <c r="AC242" s="70"/>
      <c r="AD242" s="70"/>
      <c r="AE242" s="14"/>
      <c r="AF242" s="55"/>
      <c r="AG242" s="55"/>
    </row>
    <row r="243" ht="13.5" customHeight="1">
      <c r="A243" s="80">
        <f t="shared" si="20"/>
        <v>238</v>
      </c>
      <c r="B243" s="26"/>
      <c r="C243" s="39"/>
      <c r="D243" s="40"/>
      <c r="E243" s="83"/>
      <c r="F243" s="42"/>
      <c r="G243" s="84"/>
      <c r="H243" s="84"/>
      <c r="I243" s="45"/>
      <c r="J243" s="46" t="s">
        <v>222</v>
      </c>
      <c r="K243" s="40" t="s">
        <v>222</v>
      </c>
      <c r="L243" s="40" t="s">
        <v>222</v>
      </c>
      <c r="M243" s="40" t="s">
        <v>222</v>
      </c>
      <c r="N243" s="40" t="s">
        <v>222</v>
      </c>
      <c r="O243" s="40" t="s">
        <v>222</v>
      </c>
      <c r="P243" s="48"/>
      <c r="Q243" s="48"/>
      <c r="R243" s="49" t="s">
        <v>222</v>
      </c>
      <c r="S243" s="50" t="s">
        <v>222</v>
      </c>
      <c r="T243" s="85"/>
      <c r="U243" s="86"/>
      <c r="V243" s="85"/>
      <c r="W243" s="86"/>
      <c r="X243" s="85"/>
      <c r="Y243" s="70"/>
      <c r="Z243" s="70"/>
      <c r="AA243" s="70"/>
      <c r="AB243" s="70"/>
      <c r="AC243" s="70"/>
      <c r="AD243" s="70"/>
      <c r="AE243" s="14"/>
      <c r="AF243" s="55"/>
      <c r="AG243" s="55"/>
    </row>
    <row r="244" ht="13.5" customHeight="1">
      <c r="A244" s="80">
        <f t="shared" si="20"/>
        <v>239</v>
      </c>
      <c r="B244" s="26"/>
      <c r="C244" s="39"/>
      <c r="D244" s="40"/>
      <c r="E244" s="83"/>
      <c r="F244" s="42"/>
      <c r="G244" s="84"/>
      <c r="H244" s="84"/>
      <c r="I244" s="45"/>
      <c r="J244" s="46" t="s">
        <v>222</v>
      </c>
      <c r="K244" s="40" t="s">
        <v>222</v>
      </c>
      <c r="L244" s="40" t="s">
        <v>222</v>
      </c>
      <c r="M244" s="40" t="s">
        <v>222</v>
      </c>
      <c r="N244" s="40" t="s">
        <v>222</v>
      </c>
      <c r="O244" s="40" t="s">
        <v>222</v>
      </c>
      <c r="P244" s="48"/>
      <c r="Q244" s="48"/>
      <c r="R244" s="49" t="s">
        <v>222</v>
      </c>
      <c r="S244" s="50" t="s">
        <v>222</v>
      </c>
      <c r="T244" s="85"/>
      <c r="U244" s="86"/>
      <c r="V244" s="85"/>
      <c r="W244" s="86"/>
      <c r="X244" s="85"/>
      <c r="Y244" s="70"/>
      <c r="Z244" s="70"/>
      <c r="AA244" s="70"/>
      <c r="AB244" s="70"/>
      <c r="AC244" s="70"/>
      <c r="AD244" s="70"/>
      <c r="AE244" s="14"/>
      <c r="AF244" s="55"/>
      <c r="AG244" s="55"/>
    </row>
    <row r="245" ht="13.5" customHeight="1">
      <c r="A245" s="80">
        <f t="shared" si="20"/>
        <v>240</v>
      </c>
      <c r="B245" s="26"/>
      <c r="C245" s="39"/>
      <c r="D245" s="40"/>
      <c r="E245" s="83"/>
      <c r="F245" s="42"/>
      <c r="G245" s="84"/>
      <c r="H245" s="84"/>
      <c r="I245" s="45"/>
      <c r="J245" s="46" t="s">
        <v>222</v>
      </c>
      <c r="K245" s="40" t="s">
        <v>222</v>
      </c>
      <c r="L245" s="40" t="s">
        <v>222</v>
      </c>
      <c r="M245" s="40" t="s">
        <v>222</v>
      </c>
      <c r="N245" s="40" t="s">
        <v>222</v>
      </c>
      <c r="O245" s="40" t="s">
        <v>222</v>
      </c>
      <c r="P245" s="48"/>
      <c r="Q245" s="48"/>
      <c r="R245" s="49" t="s">
        <v>222</v>
      </c>
      <c r="S245" s="50" t="s">
        <v>222</v>
      </c>
      <c r="T245" s="85"/>
      <c r="U245" s="86"/>
      <c r="V245" s="85"/>
      <c r="W245" s="86"/>
      <c r="X245" s="85"/>
      <c r="Y245" s="70"/>
      <c r="Z245" s="70"/>
      <c r="AA245" s="70"/>
      <c r="AB245" s="70"/>
      <c r="AC245" s="70"/>
      <c r="AD245" s="70"/>
      <c r="AE245" s="14"/>
      <c r="AF245" s="55"/>
      <c r="AG245" s="55"/>
    </row>
    <row r="246" ht="13.5" customHeight="1">
      <c r="A246" s="80">
        <f t="shared" si="20"/>
        <v>241</v>
      </c>
      <c r="B246" s="26"/>
      <c r="C246" s="39"/>
      <c r="D246" s="40"/>
      <c r="E246" s="83"/>
      <c r="F246" s="42"/>
      <c r="G246" s="84"/>
      <c r="H246" s="84"/>
      <c r="I246" s="45"/>
      <c r="J246" s="46" t="s">
        <v>222</v>
      </c>
      <c r="K246" s="40" t="s">
        <v>222</v>
      </c>
      <c r="L246" s="40" t="s">
        <v>222</v>
      </c>
      <c r="M246" s="40" t="s">
        <v>222</v>
      </c>
      <c r="N246" s="40" t="s">
        <v>222</v>
      </c>
      <c r="O246" s="40" t="s">
        <v>222</v>
      </c>
      <c r="P246" s="48"/>
      <c r="Q246" s="48"/>
      <c r="R246" s="49" t="s">
        <v>222</v>
      </c>
      <c r="S246" s="50" t="s">
        <v>222</v>
      </c>
      <c r="T246" s="85"/>
      <c r="U246" s="86"/>
      <c r="V246" s="85"/>
      <c r="W246" s="86"/>
      <c r="X246" s="85"/>
      <c r="Y246" s="70"/>
      <c r="Z246" s="70"/>
      <c r="AA246" s="70"/>
      <c r="AB246" s="70"/>
      <c r="AC246" s="70"/>
      <c r="AD246" s="70"/>
      <c r="AE246" s="14"/>
      <c r="AF246" s="55"/>
      <c r="AG246" s="55"/>
    </row>
    <row r="247" ht="13.5" customHeight="1">
      <c r="A247" s="80">
        <f t="shared" si="20"/>
        <v>242</v>
      </c>
      <c r="B247" s="26"/>
      <c r="C247" s="39"/>
      <c r="D247" s="40"/>
      <c r="E247" s="83"/>
      <c r="F247" s="42"/>
      <c r="G247" s="84"/>
      <c r="H247" s="84"/>
      <c r="I247" s="45"/>
      <c r="J247" s="46" t="s">
        <v>222</v>
      </c>
      <c r="K247" s="40" t="s">
        <v>222</v>
      </c>
      <c r="L247" s="40" t="s">
        <v>222</v>
      </c>
      <c r="M247" s="40" t="s">
        <v>222</v>
      </c>
      <c r="N247" s="40" t="s">
        <v>222</v>
      </c>
      <c r="O247" s="40" t="s">
        <v>222</v>
      </c>
      <c r="P247" s="48"/>
      <c r="Q247" s="48"/>
      <c r="R247" s="49" t="s">
        <v>222</v>
      </c>
      <c r="S247" s="50" t="s">
        <v>222</v>
      </c>
      <c r="T247" s="85"/>
      <c r="U247" s="86"/>
      <c r="V247" s="85"/>
      <c r="W247" s="86"/>
      <c r="X247" s="85"/>
      <c r="Y247" s="70"/>
      <c r="Z247" s="70"/>
      <c r="AA247" s="70"/>
      <c r="AB247" s="70"/>
      <c r="AC247" s="70"/>
      <c r="AD247" s="70"/>
      <c r="AE247" s="14"/>
      <c r="AF247" s="55"/>
      <c r="AG247" s="55"/>
    </row>
    <row r="248" ht="13.5" customHeight="1">
      <c r="A248" s="80">
        <f t="shared" si="20"/>
        <v>243</v>
      </c>
      <c r="B248" s="26"/>
      <c r="C248" s="39"/>
      <c r="D248" s="40"/>
      <c r="E248" s="83"/>
      <c r="F248" s="42"/>
      <c r="G248" s="84"/>
      <c r="H248" s="84"/>
      <c r="I248" s="45"/>
      <c r="J248" s="46" t="s">
        <v>222</v>
      </c>
      <c r="K248" s="40" t="s">
        <v>222</v>
      </c>
      <c r="L248" s="40" t="s">
        <v>222</v>
      </c>
      <c r="M248" s="40" t="s">
        <v>222</v>
      </c>
      <c r="N248" s="40" t="s">
        <v>222</v>
      </c>
      <c r="O248" s="40" t="s">
        <v>222</v>
      </c>
      <c r="P248" s="48"/>
      <c r="Q248" s="48"/>
      <c r="R248" s="49" t="s">
        <v>222</v>
      </c>
      <c r="S248" s="50" t="s">
        <v>222</v>
      </c>
      <c r="T248" s="85"/>
      <c r="U248" s="86"/>
      <c r="V248" s="85"/>
      <c r="W248" s="86"/>
      <c r="X248" s="85"/>
      <c r="Y248" s="70"/>
      <c r="Z248" s="70"/>
      <c r="AA248" s="70"/>
      <c r="AB248" s="70"/>
      <c r="AC248" s="70"/>
      <c r="AD248" s="70"/>
      <c r="AE248" s="14"/>
      <c r="AF248" s="55"/>
      <c r="AG248" s="55"/>
    </row>
    <row r="249" ht="13.5" customHeight="1">
      <c r="A249" s="80">
        <f t="shared" si="20"/>
        <v>244</v>
      </c>
      <c r="B249" s="26"/>
      <c r="C249" s="39"/>
      <c r="D249" s="40"/>
      <c r="E249" s="83"/>
      <c r="F249" s="42"/>
      <c r="G249" s="84"/>
      <c r="H249" s="84"/>
      <c r="I249" s="45"/>
      <c r="J249" s="46" t="s">
        <v>222</v>
      </c>
      <c r="K249" s="40" t="s">
        <v>222</v>
      </c>
      <c r="L249" s="40" t="s">
        <v>222</v>
      </c>
      <c r="M249" s="40" t="s">
        <v>222</v>
      </c>
      <c r="N249" s="40" t="s">
        <v>222</v>
      </c>
      <c r="O249" s="40" t="s">
        <v>222</v>
      </c>
      <c r="P249" s="48"/>
      <c r="Q249" s="48"/>
      <c r="R249" s="49" t="s">
        <v>222</v>
      </c>
      <c r="S249" s="50" t="s">
        <v>222</v>
      </c>
      <c r="T249" s="85"/>
      <c r="U249" s="86"/>
      <c r="V249" s="85"/>
      <c r="W249" s="86"/>
      <c r="X249" s="85"/>
      <c r="Y249" s="70"/>
      <c r="Z249" s="70"/>
      <c r="AA249" s="70"/>
      <c r="AB249" s="70"/>
      <c r="AC249" s="70"/>
      <c r="AD249" s="70"/>
      <c r="AE249" s="14"/>
      <c r="AF249" s="55"/>
      <c r="AG249" s="55"/>
    </row>
    <row r="250" ht="13.5" customHeight="1">
      <c r="A250" s="80">
        <f t="shared" si="20"/>
        <v>245</v>
      </c>
      <c r="B250" s="26"/>
      <c r="C250" s="39"/>
      <c r="D250" s="40"/>
      <c r="E250" s="83"/>
      <c r="F250" s="42"/>
      <c r="G250" s="84"/>
      <c r="H250" s="84"/>
      <c r="I250" s="45"/>
      <c r="J250" s="46" t="s">
        <v>222</v>
      </c>
      <c r="K250" s="40" t="s">
        <v>222</v>
      </c>
      <c r="L250" s="40" t="s">
        <v>222</v>
      </c>
      <c r="M250" s="40" t="s">
        <v>222</v>
      </c>
      <c r="N250" s="40" t="s">
        <v>222</v>
      </c>
      <c r="O250" s="40" t="s">
        <v>222</v>
      </c>
      <c r="P250" s="48"/>
      <c r="Q250" s="48"/>
      <c r="R250" s="49" t="s">
        <v>222</v>
      </c>
      <c r="S250" s="50" t="s">
        <v>222</v>
      </c>
      <c r="T250" s="85"/>
      <c r="U250" s="86"/>
      <c r="V250" s="85"/>
      <c r="W250" s="86"/>
      <c r="X250" s="85"/>
      <c r="Y250" s="70"/>
      <c r="Z250" s="70"/>
      <c r="AA250" s="70"/>
      <c r="AB250" s="70"/>
      <c r="AC250" s="70"/>
      <c r="AD250" s="70"/>
      <c r="AE250" s="14"/>
      <c r="AF250" s="55"/>
      <c r="AG250" s="55"/>
    </row>
    <row r="251" ht="13.5" customHeight="1">
      <c r="A251" s="80">
        <f t="shared" si="20"/>
        <v>246</v>
      </c>
      <c r="B251" s="26"/>
      <c r="C251" s="39"/>
      <c r="D251" s="40"/>
      <c r="E251" s="83"/>
      <c r="F251" s="42"/>
      <c r="G251" s="84"/>
      <c r="H251" s="84"/>
      <c r="I251" s="45"/>
      <c r="J251" s="46" t="s">
        <v>222</v>
      </c>
      <c r="K251" s="40" t="s">
        <v>222</v>
      </c>
      <c r="L251" s="40" t="s">
        <v>222</v>
      </c>
      <c r="M251" s="40" t="s">
        <v>222</v>
      </c>
      <c r="N251" s="40" t="s">
        <v>222</v>
      </c>
      <c r="O251" s="40" t="s">
        <v>222</v>
      </c>
      <c r="P251" s="48"/>
      <c r="Q251" s="48"/>
      <c r="R251" s="49" t="s">
        <v>222</v>
      </c>
      <c r="S251" s="50" t="s">
        <v>222</v>
      </c>
      <c r="T251" s="85"/>
      <c r="U251" s="86"/>
      <c r="V251" s="85"/>
      <c r="W251" s="86"/>
      <c r="X251" s="85"/>
      <c r="Y251" s="70"/>
      <c r="Z251" s="70"/>
      <c r="AA251" s="70"/>
      <c r="AB251" s="70"/>
      <c r="AC251" s="70"/>
      <c r="AD251" s="70"/>
      <c r="AE251" s="14"/>
      <c r="AF251" s="55"/>
      <c r="AG251" s="55"/>
    </row>
    <row r="252" ht="13.5" customHeight="1">
      <c r="A252" s="80">
        <f t="shared" si="20"/>
        <v>247</v>
      </c>
      <c r="B252" s="26"/>
      <c r="C252" s="39"/>
      <c r="D252" s="40"/>
      <c r="E252" s="83"/>
      <c r="F252" s="42"/>
      <c r="G252" s="84"/>
      <c r="H252" s="84"/>
      <c r="I252" s="45"/>
      <c r="J252" s="46" t="s">
        <v>222</v>
      </c>
      <c r="K252" s="40" t="s">
        <v>222</v>
      </c>
      <c r="L252" s="40" t="s">
        <v>222</v>
      </c>
      <c r="M252" s="40" t="s">
        <v>222</v>
      </c>
      <c r="N252" s="40" t="s">
        <v>222</v>
      </c>
      <c r="O252" s="40" t="s">
        <v>222</v>
      </c>
      <c r="P252" s="48"/>
      <c r="Q252" s="48"/>
      <c r="R252" s="49" t="s">
        <v>222</v>
      </c>
      <c r="S252" s="50" t="s">
        <v>222</v>
      </c>
      <c r="T252" s="85"/>
      <c r="U252" s="86"/>
      <c r="V252" s="85"/>
      <c r="W252" s="86"/>
      <c r="X252" s="85"/>
      <c r="Y252" s="70"/>
      <c r="Z252" s="70"/>
      <c r="AA252" s="70"/>
      <c r="AB252" s="70"/>
      <c r="AC252" s="70"/>
      <c r="AD252" s="70"/>
      <c r="AE252" s="14"/>
      <c r="AF252" s="55"/>
      <c r="AG252" s="55"/>
    </row>
    <row r="253" ht="13.5" customHeight="1">
      <c r="A253" s="80">
        <f t="shared" si="20"/>
        <v>248</v>
      </c>
      <c r="B253" s="26"/>
      <c r="C253" s="39"/>
      <c r="D253" s="40"/>
      <c r="E253" s="83"/>
      <c r="F253" s="42"/>
      <c r="G253" s="84"/>
      <c r="H253" s="84"/>
      <c r="I253" s="45"/>
      <c r="J253" s="46" t="s">
        <v>222</v>
      </c>
      <c r="K253" s="40" t="s">
        <v>222</v>
      </c>
      <c r="L253" s="40" t="s">
        <v>222</v>
      </c>
      <c r="M253" s="40" t="s">
        <v>222</v>
      </c>
      <c r="N253" s="40" t="s">
        <v>222</v>
      </c>
      <c r="O253" s="40" t="s">
        <v>222</v>
      </c>
      <c r="P253" s="48"/>
      <c r="Q253" s="48"/>
      <c r="R253" s="49" t="s">
        <v>222</v>
      </c>
      <c r="S253" s="50" t="s">
        <v>222</v>
      </c>
      <c r="T253" s="85"/>
      <c r="U253" s="86"/>
      <c r="V253" s="85"/>
      <c r="W253" s="86"/>
      <c r="X253" s="85"/>
      <c r="Y253" s="70"/>
      <c r="Z253" s="70"/>
      <c r="AA253" s="70"/>
      <c r="AB253" s="70"/>
      <c r="AC253" s="70"/>
      <c r="AD253" s="70"/>
      <c r="AE253" s="14"/>
      <c r="AF253" s="55"/>
      <c r="AG253" s="55"/>
    </row>
    <row r="254" ht="13.5" customHeight="1">
      <c r="A254" s="80">
        <f t="shared" si="20"/>
        <v>249</v>
      </c>
      <c r="B254" s="26"/>
      <c r="C254" s="39"/>
      <c r="D254" s="40"/>
      <c r="E254" s="83"/>
      <c r="F254" s="42"/>
      <c r="G254" s="84"/>
      <c r="H254" s="84"/>
      <c r="I254" s="45"/>
      <c r="J254" s="46" t="s">
        <v>222</v>
      </c>
      <c r="K254" s="40" t="s">
        <v>222</v>
      </c>
      <c r="L254" s="40" t="s">
        <v>222</v>
      </c>
      <c r="M254" s="40" t="s">
        <v>222</v>
      </c>
      <c r="N254" s="40" t="s">
        <v>222</v>
      </c>
      <c r="O254" s="40" t="s">
        <v>222</v>
      </c>
      <c r="P254" s="48"/>
      <c r="Q254" s="48"/>
      <c r="R254" s="49" t="s">
        <v>222</v>
      </c>
      <c r="S254" s="50" t="s">
        <v>222</v>
      </c>
      <c r="T254" s="85"/>
      <c r="U254" s="86"/>
      <c r="V254" s="85"/>
      <c r="W254" s="86"/>
      <c r="X254" s="85"/>
      <c r="Y254" s="70"/>
      <c r="Z254" s="70"/>
      <c r="AA254" s="70"/>
      <c r="AB254" s="70"/>
      <c r="AC254" s="70"/>
      <c r="AD254" s="70"/>
      <c r="AE254" s="14"/>
      <c r="AF254" s="55"/>
      <c r="AG254" s="55"/>
    </row>
    <row r="255" ht="13.5" customHeight="1">
      <c r="A255" s="80">
        <f t="shared" si="20"/>
        <v>250</v>
      </c>
      <c r="B255" s="26"/>
      <c r="C255" s="39"/>
      <c r="D255" s="40"/>
      <c r="E255" s="83"/>
      <c r="F255" s="42"/>
      <c r="G255" s="84"/>
      <c r="H255" s="84"/>
      <c r="I255" s="45"/>
      <c r="J255" s="46" t="s">
        <v>222</v>
      </c>
      <c r="K255" s="40" t="s">
        <v>222</v>
      </c>
      <c r="L255" s="40" t="s">
        <v>222</v>
      </c>
      <c r="M255" s="40" t="s">
        <v>222</v>
      </c>
      <c r="N255" s="40" t="s">
        <v>222</v>
      </c>
      <c r="O255" s="40" t="s">
        <v>222</v>
      </c>
      <c r="P255" s="48"/>
      <c r="Q255" s="48"/>
      <c r="R255" s="49" t="s">
        <v>222</v>
      </c>
      <c r="S255" s="50" t="s">
        <v>222</v>
      </c>
      <c r="T255" s="85"/>
      <c r="U255" s="86"/>
      <c r="V255" s="85"/>
      <c r="W255" s="86"/>
      <c r="X255" s="85"/>
      <c r="Y255" s="70"/>
      <c r="Z255" s="70"/>
      <c r="AA255" s="70"/>
      <c r="AB255" s="70"/>
      <c r="AC255" s="70"/>
      <c r="AD255" s="70"/>
      <c r="AE255" s="14"/>
      <c r="AF255" s="55"/>
      <c r="AG255" s="55"/>
    </row>
    <row r="256" ht="13.5" customHeight="1">
      <c r="A256" s="80">
        <f t="shared" si="20"/>
        <v>251</v>
      </c>
      <c r="B256" s="26"/>
      <c r="C256" s="39"/>
      <c r="D256" s="40"/>
      <c r="E256" s="83"/>
      <c r="F256" s="42"/>
      <c r="G256" s="84"/>
      <c r="H256" s="84"/>
      <c r="I256" s="45"/>
      <c r="J256" s="46" t="s">
        <v>222</v>
      </c>
      <c r="K256" s="40" t="s">
        <v>222</v>
      </c>
      <c r="L256" s="40" t="s">
        <v>222</v>
      </c>
      <c r="M256" s="40" t="s">
        <v>222</v>
      </c>
      <c r="N256" s="40" t="s">
        <v>222</v>
      </c>
      <c r="O256" s="40" t="s">
        <v>222</v>
      </c>
      <c r="P256" s="48"/>
      <c r="Q256" s="48"/>
      <c r="R256" s="49" t="s">
        <v>222</v>
      </c>
      <c r="S256" s="50" t="s">
        <v>222</v>
      </c>
      <c r="T256" s="85"/>
      <c r="U256" s="86"/>
      <c r="V256" s="85"/>
      <c r="W256" s="86"/>
      <c r="X256" s="85"/>
      <c r="Y256" s="70"/>
      <c r="Z256" s="70"/>
      <c r="AA256" s="70"/>
      <c r="AB256" s="70"/>
      <c r="AC256" s="70"/>
      <c r="AD256" s="70"/>
      <c r="AE256" s="14"/>
      <c r="AF256" s="55"/>
      <c r="AG256" s="55"/>
    </row>
    <row r="257" ht="13.5" customHeight="1">
      <c r="A257" s="80">
        <f t="shared" si="20"/>
        <v>252</v>
      </c>
      <c r="B257" s="26"/>
      <c r="C257" s="39"/>
      <c r="D257" s="40"/>
      <c r="E257" s="83"/>
      <c r="F257" s="42"/>
      <c r="G257" s="84"/>
      <c r="H257" s="84"/>
      <c r="I257" s="45"/>
      <c r="J257" s="46" t="s">
        <v>222</v>
      </c>
      <c r="K257" s="40" t="s">
        <v>222</v>
      </c>
      <c r="L257" s="40" t="s">
        <v>222</v>
      </c>
      <c r="M257" s="40" t="s">
        <v>222</v>
      </c>
      <c r="N257" s="40" t="s">
        <v>222</v>
      </c>
      <c r="O257" s="40" t="s">
        <v>222</v>
      </c>
      <c r="P257" s="48"/>
      <c r="Q257" s="48"/>
      <c r="R257" s="49" t="s">
        <v>222</v>
      </c>
      <c r="S257" s="50" t="s">
        <v>222</v>
      </c>
      <c r="T257" s="85"/>
      <c r="U257" s="86"/>
      <c r="V257" s="85"/>
      <c r="W257" s="86"/>
      <c r="X257" s="85"/>
      <c r="Y257" s="70"/>
      <c r="Z257" s="70"/>
      <c r="AA257" s="70"/>
      <c r="AB257" s="70"/>
      <c r="AC257" s="70"/>
      <c r="AD257" s="70"/>
      <c r="AE257" s="14"/>
      <c r="AF257" s="55"/>
      <c r="AG257" s="55"/>
    </row>
    <row r="258" ht="13.5" customHeight="1">
      <c r="A258" s="80">
        <f t="shared" si="20"/>
        <v>253</v>
      </c>
      <c r="B258" s="26"/>
      <c r="C258" s="39"/>
      <c r="D258" s="40"/>
      <c r="E258" s="83"/>
      <c r="F258" s="42"/>
      <c r="G258" s="84"/>
      <c r="H258" s="84"/>
      <c r="I258" s="45"/>
      <c r="J258" s="46" t="s">
        <v>222</v>
      </c>
      <c r="K258" s="40" t="s">
        <v>222</v>
      </c>
      <c r="L258" s="40" t="s">
        <v>222</v>
      </c>
      <c r="M258" s="40" t="s">
        <v>222</v>
      </c>
      <c r="N258" s="40" t="s">
        <v>222</v>
      </c>
      <c r="O258" s="40" t="s">
        <v>222</v>
      </c>
      <c r="P258" s="48"/>
      <c r="Q258" s="48"/>
      <c r="R258" s="49" t="s">
        <v>222</v>
      </c>
      <c r="S258" s="50" t="s">
        <v>222</v>
      </c>
      <c r="T258" s="85"/>
      <c r="U258" s="86"/>
      <c r="V258" s="85"/>
      <c r="W258" s="86"/>
      <c r="X258" s="85"/>
      <c r="Y258" s="70"/>
      <c r="Z258" s="70"/>
      <c r="AA258" s="70"/>
      <c r="AB258" s="70"/>
      <c r="AC258" s="70"/>
      <c r="AD258" s="70"/>
      <c r="AE258" s="14"/>
      <c r="AF258" s="55"/>
      <c r="AG258" s="55"/>
    </row>
    <row r="259" ht="13.5" customHeight="1">
      <c r="A259" s="80">
        <f t="shared" si="20"/>
        <v>254</v>
      </c>
      <c r="B259" s="26"/>
      <c r="C259" s="39"/>
      <c r="D259" s="40"/>
      <c r="E259" s="83"/>
      <c r="F259" s="42"/>
      <c r="G259" s="84"/>
      <c r="H259" s="84"/>
      <c r="I259" s="45"/>
      <c r="J259" s="46" t="s">
        <v>222</v>
      </c>
      <c r="K259" s="40" t="s">
        <v>222</v>
      </c>
      <c r="L259" s="40" t="s">
        <v>222</v>
      </c>
      <c r="M259" s="40" t="s">
        <v>222</v>
      </c>
      <c r="N259" s="40" t="s">
        <v>222</v>
      </c>
      <c r="O259" s="40" t="s">
        <v>222</v>
      </c>
      <c r="P259" s="48"/>
      <c r="Q259" s="48"/>
      <c r="R259" s="49" t="s">
        <v>222</v>
      </c>
      <c r="S259" s="50" t="s">
        <v>222</v>
      </c>
      <c r="T259" s="85"/>
      <c r="U259" s="86"/>
      <c r="V259" s="85"/>
      <c r="W259" s="86"/>
      <c r="X259" s="85"/>
      <c r="Y259" s="70"/>
      <c r="Z259" s="70"/>
      <c r="AA259" s="70"/>
      <c r="AB259" s="70"/>
      <c r="AC259" s="70"/>
      <c r="AD259" s="70"/>
      <c r="AE259" s="14"/>
      <c r="AF259" s="55"/>
      <c r="AG259" s="55"/>
    </row>
    <row r="260" ht="13.5" customHeight="1">
      <c r="A260" s="80">
        <f t="shared" si="20"/>
        <v>255</v>
      </c>
      <c r="B260" s="26"/>
      <c r="C260" s="39"/>
      <c r="D260" s="40"/>
      <c r="E260" s="83"/>
      <c r="F260" s="42"/>
      <c r="G260" s="84"/>
      <c r="H260" s="84"/>
      <c r="I260" s="45"/>
      <c r="J260" s="46" t="s">
        <v>222</v>
      </c>
      <c r="K260" s="40" t="s">
        <v>222</v>
      </c>
      <c r="L260" s="40" t="s">
        <v>222</v>
      </c>
      <c r="M260" s="40" t="s">
        <v>222</v>
      </c>
      <c r="N260" s="40" t="s">
        <v>222</v>
      </c>
      <c r="O260" s="40" t="s">
        <v>222</v>
      </c>
      <c r="P260" s="48"/>
      <c r="Q260" s="48"/>
      <c r="R260" s="49" t="s">
        <v>222</v>
      </c>
      <c r="S260" s="50" t="s">
        <v>222</v>
      </c>
      <c r="T260" s="85"/>
      <c r="U260" s="86"/>
      <c r="V260" s="85"/>
      <c r="W260" s="86"/>
      <c r="X260" s="85"/>
      <c r="Y260" s="70"/>
      <c r="Z260" s="70"/>
      <c r="AA260" s="70"/>
      <c r="AB260" s="70"/>
      <c r="AC260" s="70"/>
      <c r="AD260" s="70"/>
      <c r="AE260" s="14"/>
      <c r="AF260" s="55"/>
      <c r="AG260" s="55"/>
    </row>
    <row r="261" ht="13.5" customHeight="1">
      <c r="A261" s="80">
        <f t="shared" si="20"/>
        <v>256</v>
      </c>
      <c r="B261" s="26"/>
      <c r="C261" s="39"/>
      <c r="D261" s="40"/>
      <c r="E261" s="83"/>
      <c r="F261" s="42"/>
      <c r="G261" s="84"/>
      <c r="H261" s="84"/>
      <c r="I261" s="45"/>
      <c r="J261" s="46" t="s">
        <v>222</v>
      </c>
      <c r="K261" s="40" t="s">
        <v>222</v>
      </c>
      <c r="L261" s="40" t="s">
        <v>222</v>
      </c>
      <c r="M261" s="40" t="s">
        <v>222</v>
      </c>
      <c r="N261" s="40" t="s">
        <v>222</v>
      </c>
      <c r="O261" s="40" t="s">
        <v>222</v>
      </c>
      <c r="P261" s="48"/>
      <c r="Q261" s="48"/>
      <c r="R261" s="49" t="s">
        <v>222</v>
      </c>
      <c r="S261" s="50" t="s">
        <v>222</v>
      </c>
      <c r="T261" s="85"/>
      <c r="U261" s="86"/>
      <c r="V261" s="85"/>
      <c r="W261" s="86"/>
      <c r="X261" s="85"/>
      <c r="Y261" s="70"/>
      <c r="Z261" s="70"/>
      <c r="AA261" s="70"/>
      <c r="AB261" s="70"/>
      <c r="AC261" s="70"/>
      <c r="AD261" s="70"/>
      <c r="AE261" s="14"/>
      <c r="AF261" s="55"/>
      <c r="AG261" s="55"/>
    </row>
    <row r="262" ht="13.5" customHeight="1">
      <c r="A262" s="80">
        <f t="shared" si="20"/>
        <v>257</v>
      </c>
      <c r="B262" s="26"/>
      <c r="C262" s="39"/>
      <c r="D262" s="40"/>
      <c r="E262" s="83"/>
      <c r="F262" s="42"/>
      <c r="G262" s="84"/>
      <c r="H262" s="84"/>
      <c r="I262" s="45"/>
      <c r="J262" s="46" t="s">
        <v>222</v>
      </c>
      <c r="K262" s="40" t="s">
        <v>222</v>
      </c>
      <c r="L262" s="40" t="s">
        <v>222</v>
      </c>
      <c r="M262" s="40" t="s">
        <v>222</v>
      </c>
      <c r="N262" s="40" t="s">
        <v>222</v>
      </c>
      <c r="O262" s="40" t="s">
        <v>222</v>
      </c>
      <c r="P262" s="48"/>
      <c r="Q262" s="48"/>
      <c r="R262" s="49" t="s">
        <v>222</v>
      </c>
      <c r="S262" s="50" t="s">
        <v>222</v>
      </c>
      <c r="T262" s="85"/>
      <c r="U262" s="86"/>
      <c r="V262" s="85"/>
      <c r="W262" s="86"/>
      <c r="X262" s="85"/>
      <c r="Y262" s="70"/>
      <c r="Z262" s="70"/>
      <c r="AA262" s="70"/>
      <c r="AB262" s="70"/>
      <c r="AC262" s="70"/>
      <c r="AD262" s="70"/>
      <c r="AE262" s="14"/>
      <c r="AF262" s="55"/>
      <c r="AG262" s="55"/>
    </row>
    <row r="263" ht="13.5" customHeight="1">
      <c r="A263" s="80">
        <f t="shared" si="20"/>
        <v>258</v>
      </c>
      <c r="B263" s="26"/>
      <c r="C263" s="39"/>
      <c r="D263" s="40"/>
      <c r="E263" s="83"/>
      <c r="F263" s="42"/>
      <c r="G263" s="84"/>
      <c r="H263" s="84"/>
      <c r="I263" s="45"/>
      <c r="J263" s="46" t="s">
        <v>222</v>
      </c>
      <c r="K263" s="40" t="s">
        <v>222</v>
      </c>
      <c r="L263" s="40" t="s">
        <v>222</v>
      </c>
      <c r="M263" s="40" t="s">
        <v>222</v>
      </c>
      <c r="N263" s="40" t="s">
        <v>222</v>
      </c>
      <c r="O263" s="40" t="s">
        <v>222</v>
      </c>
      <c r="P263" s="48"/>
      <c r="Q263" s="48"/>
      <c r="R263" s="49" t="s">
        <v>222</v>
      </c>
      <c r="S263" s="50" t="s">
        <v>222</v>
      </c>
      <c r="T263" s="85"/>
      <c r="U263" s="86"/>
      <c r="V263" s="85"/>
      <c r="W263" s="86"/>
      <c r="X263" s="85"/>
      <c r="Y263" s="70"/>
      <c r="Z263" s="70"/>
      <c r="AA263" s="70"/>
      <c r="AB263" s="70"/>
      <c r="AC263" s="70"/>
      <c r="AD263" s="70"/>
      <c r="AE263" s="14"/>
      <c r="AF263" s="55"/>
      <c r="AG263" s="55"/>
    </row>
    <row r="264" ht="13.5" customHeight="1">
      <c r="A264" s="80">
        <f t="shared" si="20"/>
        <v>259</v>
      </c>
      <c r="B264" s="26"/>
      <c r="C264" s="39"/>
      <c r="D264" s="40"/>
      <c r="E264" s="83"/>
      <c r="F264" s="42"/>
      <c r="G264" s="84"/>
      <c r="H264" s="84"/>
      <c r="I264" s="45"/>
      <c r="J264" s="46" t="s">
        <v>222</v>
      </c>
      <c r="K264" s="40" t="s">
        <v>222</v>
      </c>
      <c r="L264" s="40" t="s">
        <v>222</v>
      </c>
      <c r="M264" s="40" t="s">
        <v>222</v>
      </c>
      <c r="N264" s="40" t="s">
        <v>222</v>
      </c>
      <c r="O264" s="40" t="s">
        <v>222</v>
      </c>
      <c r="P264" s="48"/>
      <c r="Q264" s="48"/>
      <c r="R264" s="49" t="s">
        <v>222</v>
      </c>
      <c r="S264" s="50" t="s">
        <v>222</v>
      </c>
      <c r="T264" s="85"/>
      <c r="U264" s="86"/>
      <c r="V264" s="85"/>
      <c r="W264" s="86"/>
      <c r="X264" s="85"/>
      <c r="Y264" s="70"/>
      <c r="Z264" s="70"/>
      <c r="AA264" s="70"/>
      <c r="AB264" s="70"/>
      <c r="AC264" s="70"/>
      <c r="AD264" s="70"/>
      <c r="AE264" s="14"/>
      <c r="AF264" s="55"/>
      <c r="AG264" s="55"/>
    </row>
    <row r="265" ht="13.5" customHeight="1">
      <c r="A265" s="80">
        <f t="shared" si="20"/>
        <v>260</v>
      </c>
      <c r="B265" s="26"/>
      <c r="C265" s="39"/>
      <c r="D265" s="40"/>
      <c r="E265" s="83"/>
      <c r="F265" s="42"/>
      <c r="G265" s="84"/>
      <c r="H265" s="84"/>
      <c r="I265" s="45"/>
      <c r="J265" s="46" t="s">
        <v>222</v>
      </c>
      <c r="K265" s="40" t="s">
        <v>222</v>
      </c>
      <c r="L265" s="40" t="s">
        <v>222</v>
      </c>
      <c r="M265" s="40" t="s">
        <v>222</v>
      </c>
      <c r="N265" s="40" t="s">
        <v>222</v>
      </c>
      <c r="O265" s="40" t="s">
        <v>222</v>
      </c>
      <c r="P265" s="48"/>
      <c r="Q265" s="48"/>
      <c r="R265" s="49" t="s">
        <v>222</v>
      </c>
      <c r="S265" s="50" t="s">
        <v>222</v>
      </c>
      <c r="T265" s="85"/>
      <c r="U265" s="86"/>
      <c r="V265" s="85"/>
      <c r="W265" s="86"/>
      <c r="X265" s="85"/>
      <c r="Y265" s="70"/>
      <c r="Z265" s="70"/>
      <c r="AA265" s="70"/>
      <c r="AB265" s="70"/>
      <c r="AC265" s="70"/>
      <c r="AD265" s="70"/>
      <c r="AE265" s="14"/>
      <c r="AF265" s="55"/>
      <c r="AG265" s="55"/>
    </row>
    <row r="266" ht="13.5" customHeight="1">
      <c r="A266" s="80">
        <f t="shared" si="20"/>
        <v>261</v>
      </c>
      <c r="B266" s="26"/>
      <c r="C266" s="39"/>
      <c r="D266" s="40"/>
      <c r="E266" s="83"/>
      <c r="F266" s="42"/>
      <c r="G266" s="84"/>
      <c r="H266" s="84"/>
      <c r="I266" s="45"/>
      <c r="J266" s="46" t="s">
        <v>222</v>
      </c>
      <c r="K266" s="40" t="s">
        <v>222</v>
      </c>
      <c r="L266" s="40" t="s">
        <v>222</v>
      </c>
      <c r="M266" s="40" t="s">
        <v>222</v>
      </c>
      <c r="N266" s="40" t="s">
        <v>222</v>
      </c>
      <c r="O266" s="40" t="s">
        <v>222</v>
      </c>
      <c r="P266" s="48"/>
      <c r="Q266" s="48"/>
      <c r="R266" s="49" t="s">
        <v>222</v>
      </c>
      <c r="S266" s="50" t="s">
        <v>222</v>
      </c>
      <c r="T266" s="85"/>
      <c r="U266" s="86"/>
      <c r="V266" s="85"/>
      <c r="W266" s="86"/>
      <c r="X266" s="85"/>
      <c r="Y266" s="70"/>
      <c r="Z266" s="70"/>
      <c r="AA266" s="70"/>
      <c r="AB266" s="70"/>
      <c r="AC266" s="70"/>
      <c r="AD266" s="70"/>
      <c r="AE266" s="14"/>
      <c r="AF266" s="55"/>
      <c r="AG266" s="55"/>
    </row>
    <row r="267" ht="13.5" customHeight="1">
      <c r="A267" s="80">
        <f t="shared" si="20"/>
        <v>262</v>
      </c>
      <c r="B267" s="26"/>
      <c r="C267" s="39"/>
      <c r="D267" s="40"/>
      <c r="E267" s="83"/>
      <c r="F267" s="42"/>
      <c r="G267" s="84"/>
      <c r="H267" s="84"/>
      <c r="I267" s="45"/>
      <c r="J267" s="46" t="s">
        <v>222</v>
      </c>
      <c r="K267" s="40" t="s">
        <v>222</v>
      </c>
      <c r="L267" s="40" t="s">
        <v>222</v>
      </c>
      <c r="M267" s="40" t="s">
        <v>222</v>
      </c>
      <c r="N267" s="40" t="s">
        <v>222</v>
      </c>
      <c r="O267" s="40" t="s">
        <v>222</v>
      </c>
      <c r="P267" s="48"/>
      <c r="Q267" s="48"/>
      <c r="R267" s="49" t="s">
        <v>222</v>
      </c>
      <c r="S267" s="50" t="s">
        <v>222</v>
      </c>
      <c r="T267" s="85"/>
      <c r="U267" s="86"/>
      <c r="V267" s="85"/>
      <c r="W267" s="86"/>
      <c r="X267" s="85"/>
      <c r="Y267" s="70"/>
      <c r="Z267" s="70"/>
      <c r="AA267" s="70"/>
      <c r="AB267" s="70"/>
      <c r="AC267" s="70"/>
      <c r="AD267" s="70"/>
      <c r="AE267" s="14"/>
      <c r="AF267" s="55"/>
      <c r="AG267" s="55"/>
    </row>
    <row r="268" ht="13.5" customHeight="1">
      <c r="A268" s="80">
        <f t="shared" si="20"/>
        <v>263</v>
      </c>
      <c r="B268" s="26"/>
      <c r="C268" s="39"/>
      <c r="D268" s="40"/>
      <c r="E268" s="83"/>
      <c r="F268" s="42"/>
      <c r="G268" s="84"/>
      <c r="H268" s="84"/>
      <c r="I268" s="45"/>
      <c r="J268" s="46" t="s">
        <v>222</v>
      </c>
      <c r="K268" s="40" t="s">
        <v>222</v>
      </c>
      <c r="L268" s="40" t="s">
        <v>222</v>
      </c>
      <c r="M268" s="40" t="s">
        <v>222</v>
      </c>
      <c r="N268" s="40" t="s">
        <v>222</v>
      </c>
      <c r="O268" s="40" t="s">
        <v>222</v>
      </c>
      <c r="P268" s="48"/>
      <c r="Q268" s="48"/>
      <c r="R268" s="49" t="s">
        <v>222</v>
      </c>
      <c r="S268" s="50" t="s">
        <v>222</v>
      </c>
      <c r="T268" s="85"/>
      <c r="U268" s="86"/>
      <c r="V268" s="85"/>
      <c r="W268" s="86"/>
      <c r="X268" s="85"/>
      <c r="Y268" s="70"/>
      <c r="Z268" s="70"/>
      <c r="AA268" s="70"/>
      <c r="AB268" s="70"/>
      <c r="AC268" s="70"/>
      <c r="AD268" s="70"/>
      <c r="AE268" s="14"/>
      <c r="AF268" s="55"/>
      <c r="AG268" s="55"/>
    </row>
    <row r="269" ht="13.5" customHeight="1">
      <c r="A269" s="80">
        <f t="shared" si="20"/>
        <v>264</v>
      </c>
      <c r="B269" s="26"/>
      <c r="C269" s="39"/>
      <c r="D269" s="40"/>
      <c r="E269" s="83"/>
      <c r="F269" s="42"/>
      <c r="G269" s="84"/>
      <c r="H269" s="84"/>
      <c r="I269" s="45"/>
      <c r="J269" s="46" t="s">
        <v>222</v>
      </c>
      <c r="K269" s="40" t="s">
        <v>222</v>
      </c>
      <c r="L269" s="40" t="s">
        <v>222</v>
      </c>
      <c r="M269" s="40" t="s">
        <v>222</v>
      </c>
      <c r="N269" s="40" t="s">
        <v>222</v>
      </c>
      <c r="O269" s="40" t="s">
        <v>222</v>
      </c>
      <c r="P269" s="48"/>
      <c r="Q269" s="48"/>
      <c r="R269" s="49" t="s">
        <v>222</v>
      </c>
      <c r="S269" s="50" t="s">
        <v>222</v>
      </c>
      <c r="T269" s="85"/>
      <c r="U269" s="86"/>
      <c r="V269" s="85"/>
      <c r="W269" s="86"/>
      <c r="X269" s="85"/>
      <c r="Y269" s="70"/>
      <c r="Z269" s="70"/>
      <c r="AA269" s="70"/>
      <c r="AB269" s="70"/>
      <c r="AC269" s="70"/>
      <c r="AD269" s="70"/>
      <c r="AE269" s="14"/>
      <c r="AF269" s="55"/>
      <c r="AG269" s="55"/>
    </row>
    <row r="270" ht="13.5" customHeight="1">
      <c r="A270" s="80">
        <f t="shared" si="20"/>
        <v>265</v>
      </c>
      <c r="B270" s="26"/>
      <c r="C270" s="39"/>
      <c r="D270" s="40"/>
      <c r="E270" s="83"/>
      <c r="F270" s="42"/>
      <c r="G270" s="84"/>
      <c r="H270" s="84"/>
      <c r="I270" s="45"/>
      <c r="J270" s="46" t="s">
        <v>222</v>
      </c>
      <c r="K270" s="40" t="s">
        <v>222</v>
      </c>
      <c r="L270" s="40" t="s">
        <v>222</v>
      </c>
      <c r="M270" s="40" t="s">
        <v>222</v>
      </c>
      <c r="N270" s="40" t="s">
        <v>222</v>
      </c>
      <c r="O270" s="40" t="s">
        <v>222</v>
      </c>
      <c r="P270" s="48"/>
      <c r="Q270" s="48"/>
      <c r="R270" s="49" t="s">
        <v>222</v>
      </c>
      <c r="S270" s="50" t="s">
        <v>222</v>
      </c>
      <c r="T270" s="85"/>
      <c r="U270" s="86"/>
      <c r="V270" s="85"/>
      <c r="W270" s="86"/>
      <c r="X270" s="85"/>
      <c r="Y270" s="70"/>
      <c r="Z270" s="70"/>
      <c r="AA270" s="70"/>
      <c r="AB270" s="70"/>
      <c r="AC270" s="70"/>
      <c r="AD270" s="70"/>
      <c r="AE270" s="14"/>
      <c r="AF270" s="55"/>
      <c r="AG270" s="55"/>
    </row>
    <row r="271" ht="13.5" customHeight="1">
      <c r="A271" s="80">
        <f t="shared" si="20"/>
        <v>266</v>
      </c>
      <c r="B271" s="26"/>
      <c r="C271" s="39"/>
      <c r="D271" s="40"/>
      <c r="E271" s="83"/>
      <c r="F271" s="42"/>
      <c r="G271" s="84"/>
      <c r="H271" s="84"/>
      <c r="I271" s="45"/>
      <c r="J271" s="46" t="s">
        <v>222</v>
      </c>
      <c r="K271" s="40" t="s">
        <v>222</v>
      </c>
      <c r="L271" s="40" t="s">
        <v>222</v>
      </c>
      <c r="M271" s="40" t="s">
        <v>222</v>
      </c>
      <c r="N271" s="40" t="s">
        <v>222</v>
      </c>
      <c r="O271" s="40" t="s">
        <v>222</v>
      </c>
      <c r="P271" s="48"/>
      <c r="Q271" s="48"/>
      <c r="R271" s="49" t="s">
        <v>222</v>
      </c>
      <c r="S271" s="50" t="s">
        <v>222</v>
      </c>
      <c r="T271" s="85"/>
      <c r="U271" s="86"/>
      <c r="V271" s="85"/>
      <c r="W271" s="86"/>
      <c r="X271" s="85"/>
      <c r="Y271" s="70"/>
      <c r="Z271" s="70"/>
      <c r="AA271" s="70"/>
      <c r="AB271" s="70"/>
      <c r="AC271" s="70"/>
      <c r="AD271" s="70"/>
      <c r="AE271" s="14"/>
      <c r="AF271" s="55"/>
      <c r="AG271" s="55"/>
    </row>
    <row r="272" ht="13.5" customHeight="1">
      <c r="A272" s="80">
        <f t="shared" si="20"/>
        <v>267</v>
      </c>
      <c r="B272" s="26"/>
      <c r="C272" s="39"/>
      <c r="D272" s="40"/>
      <c r="E272" s="83"/>
      <c r="F272" s="42"/>
      <c r="G272" s="84"/>
      <c r="H272" s="84"/>
      <c r="I272" s="45"/>
      <c r="J272" s="46" t="s">
        <v>222</v>
      </c>
      <c r="K272" s="40" t="s">
        <v>222</v>
      </c>
      <c r="L272" s="40" t="s">
        <v>222</v>
      </c>
      <c r="M272" s="40" t="s">
        <v>222</v>
      </c>
      <c r="N272" s="40" t="s">
        <v>222</v>
      </c>
      <c r="O272" s="40" t="s">
        <v>222</v>
      </c>
      <c r="P272" s="48"/>
      <c r="Q272" s="48"/>
      <c r="R272" s="49" t="s">
        <v>222</v>
      </c>
      <c r="S272" s="50" t="s">
        <v>222</v>
      </c>
      <c r="T272" s="85"/>
      <c r="U272" s="86"/>
      <c r="V272" s="85"/>
      <c r="W272" s="86"/>
      <c r="X272" s="85"/>
      <c r="Y272" s="70"/>
      <c r="Z272" s="70"/>
      <c r="AA272" s="70"/>
      <c r="AB272" s="70"/>
      <c r="AC272" s="70"/>
      <c r="AD272" s="70"/>
      <c r="AE272" s="14"/>
      <c r="AF272" s="55"/>
      <c r="AG272" s="55"/>
    </row>
    <row r="273" ht="13.5" customHeight="1">
      <c r="A273" s="80">
        <f t="shared" si="20"/>
        <v>268</v>
      </c>
      <c r="B273" s="26"/>
      <c r="C273" s="39"/>
      <c r="D273" s="40"/>
      <c r="E273" s="83"/>
      <c r="F273" s="42"/>
      <c r="G273" s="84"/>
      <c r="H273" s="84"/>
      <c r="I273" s="45"/>
      <c r="J273" s="46" t="s">
        <v>222</v>
      </c>
      <c r="K273" s="40" t="s">
        <v>222</v>
      </c>
      <c r="L273" s="40" t="s">
        <v>222</v>
      </c>
      <c r="M273" s="40" t="s">
        <v>222</v>
      </c>
      <c r="N273" s="40" t="s">
        <v>222</v>
      </c>
      <c r="O273" s="40" t="s">
        <v>222</v>
      </c>
      <c r="P273" s="48"/>
      <c r="Q273" s="48"/>
      <c r="R273" s="49" t="s">
        <v>222</v>
      </c>
      <c r="S273" s="50" t="s">
        <v>222</v>
      </c>
      <c r="T273" s="85"/>
      <c r="U273" s="86"/>
      <c r="V273" s="85"/>
      <c r="W273" s="86"/>
      <c r="X273" s="85"/>
      <c r="Y273" s="70"/>
      <c r="Z273" s="70"/>
      <c r="AA273" s="70"/>
      <c r="AB273" s="70"/>
      <c r="AC273" s="70"/>
      <c r="AD273" s="70"/>
      <c r="AE273" s="14"/>
      <c r="AF273" s="55"/>
      <c r="AG273" s="55"/>
    </row>
    <row r="274" ht="13.5" customHeight="1">
      <c r="A274" s="80">
        <f t="shared" si="20"/>
        <v>269</v>
      </c>
      <c r="B274" s="26"/>
      <c r="C274" s="39"/>
      <c r="D274" s="40"/>
      <c r="E274" s="83"/>
      <c r="F274" s="42"/>
      <c r="G274" s="84"/>
      <c r="H274" s="84"/>
      <c r="I274" s="45"/>
      <c r="J274" s="46" t="s">
        <v>222</v>
      </c>
      <c r="K274" s="40" t="s">
        <v>222</v>
      </c>
      <c r="L274" s="40" t="s">
        <v>222</v>
      </c>
      <c r="M274" s="40" t="s">
        <v>222</v>
      </c>
      <c r="N274" s="40" t="s">
        <v>222</v>
      </c>
      <c r="O274" s="40" t="s">
        <v>222</v>
      </c>
      <c r="P274" s="48"/>
      <c r="Q274" s="48"/>
      <c r="R274" s="49" t="s">
        <v>222</v>
      </c>
      <c r="S274" s="50" t="s">
        <v>222</v>
      </c>
      <c r="T274" s="85"/>
      <c r="U274" s="86"/>
      <c r="V274" s="85"/>
      <c r="W274" s="86"/>
      <c r="X274" s="85"/>
      <c r="Y274" s="70"/>
      <c r="Z274" s="70"/>
      <c r="AA274" s="70"/>
      <c r="AB274" s="70"/>
      <c r="AC274" s="70"/>
      <c r="AD274" s="70"/>
      <c r="AE274" s="14"/>
      <c r="AF274" s="55"/>
      <c r="AG274" s="55"/>
    </row>
    <row r="275" ht="13.5" customHeight="1">
      <c r="A275" s="80">
        <f t="shared" si="20"/>
        <v>270</v>
      </c>
      <c r="B275" s="26"/>
      <c r="C275" s="39"/>
      <c r="D275" s="40"/>
      <c r="E275" s="83"/>
      <c r="F275" s="42"/>
      <c r="G275" s="84"/>
      <c r="H275" s="84"/>
      <c r="I275" s="45"/>
      <c r="J275" s="46" t="s">
        <v>222</v>
      </c>
      <c r="K275" s="40" t="s">
        <v>222</v>
      </c>
      <c r="L275" s="40" t="s">
        <v>222</v>
      </c>
      <c r="M275" s="40" t="s">
        <v>222</v>
      </c>
      <c r="N275" s="40" t="s">
        <v>222</v>
      </c>
      <c r="O275" s="40" t="s">
        <v>222</v>
      </c>
      <c r="P275" s="48"/>
      <c r="Q275" s="48"/>
      <c r="R275" s="49" t="s">
        <v>222</v>
      </c>
      <c r="S275" s="50" t="s">
        <v>222</v>
      </c>
      <c r="T275" s="85"/>
      <c r="U275" s="86"/>
      <c r="V275" s="85"/>
      <c r="W275" s="86"/>
      <c r="X275" s="85"/>
      <c r="Y275" s="70"/>
      <c r="Z275" s="70"/>
      <c r="AA275" s="70"/>
      <c r="AB275" s="70"/>
      <c r="AC275" s="70"/>
      <c r="AD275" s="70"/>
      <c r="AE275" s="14"/>
      <c r="AF275" s="55"/>
      <c r="AG275" s="55"/>
    </row>
    <row r="276" ht="13.5" customHeight="1">
      <c r="A276" s="80">
        <f t="shared" si="20"/>
        <v>271</v>
      </c>
      <c r="B276" s="26"/>
      <c r="C276" s="39"/>
      <c r="D276" s="40"/>
      <c r="E276" s="83"/>
      <c r="F276" s="42"/>
      <c r="G276" s="84"/>
      <c r="H276" s="84"/>
      <c r="I276" s="45"/>
      <c r="J276" s="46" t="s">
        <v>222</v>
      </c>
      <c r="K276" s="40" t="s">
        <v>222</v>
      </c>
      <c r="L276" s="40" t="s">
        <v>222</v>
      </c>
      <c r="M276" s="40" t="s">
        <v>222</v>
      </c>
      <c r="N276" s="40" t="s">
        <v>222</v>
      </c>
      <c r="O276" s="40" t="s">
        <v>222</v>
      </c>
      <c r="P276" s="48"/>
      <c r="Q276" s="48"/>
      <c r="R276" s="49" t="s">
        <v>222</v>
      </c>
      <c r="S276" s="50" t="s">
        <v>222</v>
      </c>
      <c r="T276" s="85"/>
      <c r="U276" s="86"/>
      <c r="V276" s="85"/>
      <c r="W276" s="86"/>
      <c r="X276" s="85"/>
      <c r="Y276" s="70"/>
      <c r="Z276" s="70"/>
      <c r="AA276" s="70"/>
      <c r="AB276" s="70"/>
      <c r="AC276" s="70"/>
      <c r="AD276" s="70"/>
      <c r="AE276" s="14"/>
      <c r="AF276" s="55"/>
      <c r="AG276" s="55"/>
    </row>
    <row r="277" ht="13.5" customHeight="1">
      <c r="A277" s="80">
        <f t="shared" si="20"/>
        <v>272</v>
      </c>
      <c r="B277" s="26"/>
      <c r="C277" s="39"/>
      <c r="D277" s="40"/>
      <c r="E277" s="83"/>
      <c r="F277" s="42"/>
      <c r="G277" s="84"/>
      <c r="H277" s="84"/>
      <c r="I277" s="45"/>
      <c r="J277" s="46" t="s">
        <v>222</v>
      </c>
      <c r="K277" s="40" t="s">
        <v>222</v>
      </c>
      <c r="L277" s="40" t="s">
        <v>222</v>
      </c>
      <c r="M277" s="40" t="s">
        <v>222</v>
      </c>
      <c r="N277" s="40" t="s">
        <v>222</v>
      </c>
      <c r="O277" s="40" t="s">
        <v>222</v>
      </c>
      <c r="P277" s="48"/>
      <c r="Q277" s="48"/>
      <c r="R277" s="49" t="s">
        <v>222</v>
      </c>
      <c r="S277" s="50" t="s">
        <v>222</v>
      </c>
      <c r="T277" s="85"/>
      <c r="U277" s="86"/>
      <c r="V277" s="85"/>
      <c r="W277" s="86"/>
      <c r="X277" s="85"/>
      <c r="Y277" s="70"/>
      <c r="Z277" s="70"/>
      <c r="AA277" s="70"/>
      <c r="AB277" s="70"/>
      <c r="AC277" s="70"/>
      <c r="AD277" s="70"/>
      <c r="AE277" s="14"/>
      <c r="AF277" s="55"/>
      <c r="AG277" s="55"/>
    </row>
    <row r="278" ht="13.5" customHeight="1">
      <c r="A278" s="80">
        <f t="shared" si="20"/>
        <v>273</v>
      </c>
      <c r="B278" s="26"/>
      <c r="C278" s="39"/>
      <c r="D278" s="40"/>
      <c r="E278" s="83"/>
      <c r="F278" s="42"/>
      <c r="G278" s="84"/>
      <c r="H278" s="84"/>
      <c r="I278" s="45"/>
      <c r="J278" s="46" t="s">
        <v>222</v>
      </c>
      <c r="K278" s="40" t="s">
        <v>222</v>
      </c>
      <c r="L278" s="40" t="s">
        <v>222</v>
      </c>
      <c r="M278" s="40" t="s">
        <v>222</v>
      </c>
      <c r="N278" s="40" t="s">
        <v>222</v>
      </c>
      <c r="O278" s="40" t="s">
        <v>222</v>
      </c>
      <c r="P278" s="48"/>
      <c r="Q278" s="48"/>
      <c r="R278" s="49" t="s">
        <v>222</v>
      </c>
      <c r="S278" s="50" t="s">
        <v>222</v>
      </c>
      <c r="T278" s="85"/>
      <c r="U278" s="86"/>
      <c r="V278" s="85"/>
      <c r="W278" s="86"/>
      <c r="X278" s="85"/>
      <c r="Y278" s="70"/>
      <c r="Z278" s="70"/>
      <c r="AA278" s="70"/>
      <c r="AB278" s="70"/>
      <c r="AC278" s="70"/>
      <c r="AD278" s="70"/>
      <c r="AE278" s="14"/>
      <c r="AF278" s="55"/>
      <c r="AG278" s="55"/>
    </row>
    <row r="279" ht="13.5" customHeight="1">
      <c r="A279" s="80">
        <f t="shared" si="20"/>
        <v>274</v>
      </c>
      <c r="B279" s="26"/>
      <c r="C279" s="39"/>
      <c r="D279" s="40"/>
      <c r="E279" s="83"/>
      <c r="F279" s="42"/>
      <c r="G279" s="84"/>
      <c r="H279" s="84"/>
      <c r="I279" s="45"/>
      <c r="J279" s="46" t="s">
        <v>222</v>
      </c>
      <c r="K279" s="40" t="s">
        <v>222</v>
      </c>
      <c r="L279" s="40" t="s">
        <v>222</v>
      </c>
      <c r="M279" s="40" t="s">
        <v>222</v>
      </c>
      <c r="N279" s="40" t="s">
        <v>222</v>
      </c>
      <c r="O279" s="40" t="s">
        <v>222</v>
      </c>
      <c r="P279" s="48"/>
      <c r="Q279" s="48"/>
      <c r="R279" s="49" t="s">
        <v>222</v>
      </c>
      <c r="S279" s="50" t="s">
        <v>222</v>
      </c>
      <c r="T279" s="85"/>
      <c r="U279" s="86"/>
      <c r="V279" s="85"/>
      <c r="W279" s="86"/>
      <c r="X279" s="85"/>
      <c r="Y279" s="70"/>
      <c r="Z279" s="70"/>
      <c r="AA279" s="70"/>
      <c r="AB279" s="70"/>
      <c r="AC279" s="70"/>
      <c r="AD279" s="70"/>
      <c r="AE279" s="14"/>
      <c r="AF279" s="55"/>
      <c r="AG279" s="55"/>
    </row>
    <row r="280" ht="13.5" customHeight="1">
      <c r="A280" s="80">
        <f t="shared" si="20"/>
        <v>275</v>
      </c>
      <c r="B280" s="26"/>
      <c r="C280" s="39"/>
      <c r="D280" s="40"/>
      <c r="E280" s="83"/>
      <c r="F280" s="42"/>
      <c r="G280" s="84"/>
      <c r="H280" s="84"/>
      <c r="I280" s="45"/>
      <c r="J280" s="46" t="s">
        <v>222</v>
      </c>
      <c r="K280" s="40" t="s">
        <v>222</v>
      </c>
      <c r="L280" s="40" t="s">
        <v>222</v>
      </c>
      <c r="M280" s="40" t="s">
        <v>222</v>
      </c>
      <c r="N280" s="40" t="s">
        <v>222</v>
      </c>
      <c r="O280" s="40" t="s">
        <v>222</v>
      </c>
      <c r="P280" s="48"/>
      <c r="Q280" s="48"/>
      <c r="R280" s="49" t="s">
        <v>222</v>
      </c>
      <c r="S280" s="50" t="s">
        <v>222</v>
      </c>
      <c r="T280" s="85"/>
      <c r="U280" s="86"/>
      <c r="V280" s="85"/>
      <c r="W280" s="86"/>
      <c r="X280" s="85"/>
      <c r="Y280" s="70"/>
      <c r="Z280" s="70"/>
      <c r="AA280" s="70"/>
      <c r="AB280" s="70"/>
      <c r="AC280" s="70"/>
      <c r="AD280" s="70"/>
      <c r="AE280" s="14"/>
      <c r="AF280" s="55"/>
      <c r="AG280" s="55"/>
    </row>
    <row r="281" ht="13.5" customHeight="1">
      <c r="A281" s="80">
        <f t="shared" si="20"/>
        <v>276</v>
      </c>
      <c r="B281" s="26"/>
      <c r="C281" s="39"/>
      <c r="D281" s="40"/>
      <c r="E281" s="83"/>
      <c r="F281" s="42"/>
      <c r="G281" s="84"/>
      <c r="H281" s="84"/>
      <c r="I281" s="45"/>
      <c r="J281" s="46" t="s">
        <v>222</v>
      </c>
      <c r="K281" s="40" t="s">
        <v>222</v>
      </c>
      <c r="L281" s="40" t="s">
        <v>222</v>
      </c>
      <c r="M281" s="40" t="s">
        <v>222</v>
      </c>
      <c r="N281" s="40" t="s">
        <v>222</v>
      </c>
      <c r="O281" s="40" t="s">
        <v>222</v>
      </c>
      <c r="P281" s="48"/>
      <c r="Q281" s="48"/>
      <c r="R281" s="49" t="s">
        <v>222</v>
      </c>
      <c r="S281" s="50" t="s">
        <v>222</v>
      </c>
      <c r="T281" s="85"/>
      <c r="U281" s="86"/>
      <c r="V281" s="85"/>
      <c r="W281" s="86"/>
      <c r="X281" s="85"/>
      <c r="Y281" s="70"/>
      <c r="Z281" s="70"/>
      <c r="AA281" s="70"/>
      <c r="AB281" s="70"/>
      <c r="AC281" s="70"/>
      <c r="AD281" s="70"/>
      <c r="AE281" s="14"/>
      <c r="AF281" s="55"/>
      <c r="AG281" s="55"/>
    </row>
    <row r="282" ht="13.5" customHeight="1">
      <c r="A282" s="80">
        <f t="shared" si="20"/>
        <v>277</v>
      </c>
      <c r="B282" s="26"/>
      <c r="C282" s="39"/>
      <c r="D282" s="40"/>
      <c r="E282" s="83"/>
      <c r="F282" s="42"/>
      <c r="G282" s="84"/>
      <c r="H282" s="84"/>
      <c r="I282" s="45"/>
      <c r="J282" s="46" t="s">
        <v>222</v>
      </c>
      <c r="K282" s="40" t="s">
        <v>222</v>
      </c>
      <c r="L282" s="40" t="s">
        <v>222</v>
      </c>
      <c r="M282" s="40" t="s">
        <v>222</v>
      </c>
      <c r="N282" s="40" t="s">
        <v>222</v>
      </c>
      <c r="O282" s="40" t="s">
        <v>222</v>
      </c>
      <c r="P282" s="48"/>
      <c r="Q282" s="48"/>
      <c r="R282" s="49" t="s">
        <v>222</v>
      </c>
      <c r="S282" s="50" t="s">
        <v>222</v>
      </c>
      <c r="T282" s="85"/>
      <c r="U282" s="86"/>
      <c r="V282" s="85"/>
      <c r="W282" s="86"/>
      <c r="X282" s="85"/>
      <c r="Y282" s="70"/>
      <c r="Z282" s="70"/>
      <c r="AA282" s="70"/>
      <c r="AB282" s="70"/>
      <c r="AC282" s="70"/>
      <c r="AD282" s="70"/>
      <c r="AE282" s="14"/>
      <c r="AF282" s="55"/>
      <c r="AG282" s="55"/>
    </row>
    <row r="283" ht="13.5" customHeight="1">
      <c r="A283" s="80">
        <f t="shared" si="20"/>
        <v>278</v>
      </c>
      <c r="B283" s="26"/>
      <c r="C283" s="39"/>
      <c r="D283" s="40"/>
      <c r="E283" s="83"/>
      <c r="F283" s="42"/>
      <c r="G283" s="84"/>
      <c r="H283" s="84"/>
      <c r="I283" s="45"/>
      <c r="J283" s="46" t="s">
        <v>222</v>
      </c>
      <c r="K283" s="40" t="s">
        <v>222</v>
      </c>
      <c r="L283" s="40" t="s">
        <v>222</v>
      </c>
      <c r="M283" s="40" t="s">
        <v>222</v>
      </c>
      <c r="N283" s="40" t="s">
        <v>222</v>
      </c>
      <c r="O283" s="40" t="s">
        <v>222</v>
      </c>
      <c r="P283" s="48"/>
      <c r="Q283" s="48"/>
      <c r="R283" s="49" t="s">
        <v>222</v>
      </c>
      <c r="S283" s="50" t="s">
        <v>222</v>
      </c>
      <c r="T283" s="85"/>
      <c r="U283" s="86"/>
      <c r="V283" s="85"/>
      <c r="W283" s="86"/>
      <c r="X283" s="85"/>
      <c r="Y283" s="70"/>
      <c r="Z283" s="70"/>
      <c r="AA283" s="70"/>
      <c r="AB283" s="70"/>
      <c r="AC283" s="70"/>
      <c r="AD283" s="70"/>
      <c r="AE283" s="14"/>
      <c r="AF283" s="55"/>
      <c r="AG283" s="55"/>
    </row>
    <row r="284" ht="13.5" customHeight="1">
      <c r="A284" s="80">
        <f t="shared" si="20"/>
        <v>279</v>
      </c>
      <c r="B284" s="26"/>
      <c r="C284" s="39"/>
      <c r="D284" s="40"/>
      <c r="E284" s="83"/>
      <c r="F284" s="42"/>
      <c r="G284" s="84"/>
      <c r="H284" s="84"/>
      <c r="I284" s="45"/>
      <c r="J284" s="46" t="s">
        <v>222</v>
      </c>
      <c r="K284" s="40" t="s">
        <v>222</v>
      </c>
      <c r="L284" s="40" t="s">
        <v>222</v>
      </c>
      <c r="M284" s="40" t="s">
        <v>222</v>
      </c>
      <c r="N284" s="40" t="s">
        <v>222</v>
      </c>
      <c r="O284" s="40" t="s">
        <v>222</v>
      </c>
      <c r="P284" s="48"/>
      <c r="Q284" s="48"/>
      <c r="R284" s="49" t="s">
        <v>222</v>
      </c>
      <c r="S284" s="50" t="s">
        <v>222</v>
      </c>
      <c r="T284" s="85"/>
      <c r="U284" s="86"/>
      <c r="V284" s="85"/>
      <c r="W284" s="86"/>
      <c r="X284" s="85"/>
      <c r="Y284" s="70"/>
      <c r="Z284" s="70"/>
      <c r="AA284" s="70"/>
      <c r="AB284" s="70"/>
      <c r="AC284" s="70"/>
      <c r="AD284" s="70"/>
      <c r="AE284" s="14"/>
      <c r="AF284" s="55"/>
      <c r="AG284" s="55"/>
    </row>
    <row r="285" ht="13.5" customHeight="1">
      <c r="A285" s="80">
        <f t="shared" si="20"/>
        <v>280</v>
      </c>
      <c r="B285" s="26"/>
      <c r="C285" s="39"/>
      <c r="D285" s="40"/>
      <c r="E285" s="83"/>
      <c r="F285" s="42"/>
      <c r="G285" s="84"/>
      <c r="H285" s="84"/>
      <c r="I285" s="45"/>
      <c r="J285" s="46" t="s">
        <v>222</v>
      </c>
      <c r="K285" s="40" t="s">
        <v>222</v>
      </c>
      <c r="L285" s="40" t="s">
        <v>222</v>
      </c>
      <c r="M285" s="40" t="s">
        <v>222</v>
      </c>
      <c r="N285" s="40" t="s">
        <v>222</v>
      </c>
      <c r="O285" s="40" t="s">
        <v>222</v>
      </c>
      <c r="P285" s="48"/>
      <c r="Q285" s="48"/>
      <c r="R285" s="49" t="s">
        <v>222</v>
      </c>
      <c r="S285" s="50" t="s">
        <v>222</v>
      </c>
      <c r="T285" s="85"/>
      <c r="U285" s="86"/>
      <c r="V285" s="85"/>
      <c r="W285" s="86"/>
      <c r="X285" s="85"/>
      <c r="Y285" s="70"/>
      <c r="Z285" s="70"/>
      <c r="AA285" s="70"/>
      <c r="AB285" s="70"/>
      <c r="AC285" s="70"/>
      <c r="AD285" s="70"/>
      <c r="AE285" s="14"/>
      <c r="AF285" s="55"/>
      <c r="AG285" s="55"/>
    </row>
    <row r="286" ht="13.5" customHeight="1">
      <c r="A286" s="80">
        <f t="shared" si="20"/>
        <v>281</v>
      </c>
      <c r="B286" s="26"/>
      <c r="C286" s="39"/>
      <c r="D286" s="40"/>
      <c r="E286" s="83"/>
      <c r="F286" s="42"/>
      <c r="G286" s="84"/>
      <c r="H286" s="84"/>
      <c r="I286" s="45"/>
      <c r="J286" s="46" t="s">
        <v>222</v>
      </c>
      <c r="K286" s="40" t="s">
        <v>222</v>
      </c>
      <c r="L286" s="40" t="s">
        <v>222</v>
      </c>
      <c r="M286" s="40" t="s">
        <v>222</v>
      </c>
      <c r="N286" s="40" t="s">
        <v>222</v>
      </c>
      <c r="O286" s="40" t="s">
        <v>222</v>
      </c>
      <c r="P286" s="48"/>
      <c r="Q286" s="48"/>
      <c r="R286" s="49" t="s">
        <v>222</v>
      </c>
      <c r="S286" s="50" t="s">
        <v>222</v>
      </c>
      <c r="T286" s="85"/>
      <c r="U286" s="86"/>
      <c r="V286" s="85"/>
      <c r="W286" s="86"/>
      <c r="X286" s="85"/>
      <c r="Y286" s="70"/>
      <c r="Z286" s="70"/>
      <c r="AA286" s="70"/>
      <c r="AB286" s="70"/>
      <c r="AC286" s="70"/>
      <c r="AD286" s="70"/>
      <c r="AE286" s="14"/>
      <c r="AF286" s="55"/>
      <c r="AG286" s="55"/>
    </row>
    <row r="287" ht="13.5" customHeight="1">
      <c r="A287" s="80">
        <f t="shared" si="20"/>
        <v>282</v>
      </c>
      <c r="B287" s="26"/>
      <c r="C287" s="39"/>
      <c r="D287" s="40"/>
      <c r="E287" s="83"/>
      <c r="F287" s="42"/>
      <c r="G287" s="84"/>
      <c r="H287" s="84"/>
      <c r="I287" s="45"/>
      <c r="J287" s="46" t="s">
        <v>222</v>
      </c>
      <c r="K287" s="40" t="s">
        <v>222</v>
      </c>
      <c r="L287" s="40" t="s">
        <v>222</v>
      </c>
      <c r="M287" s="40" t="s">
        <v>222</v>
      </c>
      <c r="N287" s="40" t="s">
        <v>222</v>
      </c>
      <c r="O287" s="40" t="s">
        <v>222</v>
      </c>
      <c r="P287" s="48"/>
      <c r="Q287" s="48"/>
      <c r="R287" s="49" t="s">
        <v>222</v>
      </c>
      <c r="S287" s="50" t="s">
        <v>222</v>
      </c>
      <c r="T287" s="85"/>
      <c r="U287" s="86"/>
      <c r="V287" s="85"/>
      <c r="W287" s="86"/>
      <c r="X287" s="85"/>
      <c r="Y287" s="70"/>
      <c r="Z287" s="70"/>
      <c r="AA287" s="70"/>
      <c r="AB287" s="70"/>
      <c r="AC287" s="70"/>
      <c r="AD287" s="70"/>
      <c r="AE287" s="14"/>
      <c r="AF287" s="55"/>
      <c r="AG287" s="55"/>
    </row>
    <row r="288" ht="13.5" customHeight="1">
      <c r="A288" s="80">
        <f t="shared" si="20"/>
        <v>283</v>
      </c>
      <c r="B288" s="26"/>
      <c r="C288" s="39"/>
      <c r="D288" s="40"/>
      <c r="E288" s="83"/>
      <c r="F288" s="42"/>
      <c r="G288" s="84"/>
      <c r="H288" s="84"/>
      <c r="I288" s="45"/>
      <c r="J288" s="46" t="s">
        <v>222</v>
      </c>
      <c r="K288" s="40" t="s">
        <v>222</v>
      </c>
      <c r="L288" s="40" t="s">
        <v>222</v>
      </c>
      <c r="M288" s="40" t="s">
        <v>222</v>
      </c>
      <c r="N288" s="40" t="s">
        <v>222</v>
      </c>
      <c r="O288" s="40" t="s">
        <v>222</v>
      </c>
      <c r="P288" s="48"/>
      <c r="Q288" s="48"/>
      <c r="R288" s="49" t="s">
        <v>222</v>
      </c>
      <c r="S288" s="50" t="s">
        <v>222</v>
      </c>
      <c r="T288" s="85"/>
      <c r="U288" s="86"/>
      <c r="V288" s="85"/>
      <c r="W288" s="86"/>
      <c r="X288" s="85"/>
      <c r="Y288" s="70"/>
      <c r="Z288" s="70"/>
      <c r="AA288" s="70"/>
      <c r="AB288" s="70"/>
      <c r="AC288" s="70"/>
      <c r="AD288" s="70"/>
      <c r="AE288" s="14"/>
      <c r="AF288" s="55"/>
      <c r="AG288" s="55"/>
    </row>
    <row r="289" ht="13.5" customHeight="1">
      <c r="A289" s="80">
        <f t="shared" si="20"/>
        <v>284</v>
      </c>
      <c r="B289" s="26"/>
      <c r="C289" s="39"/>
      <c r="D289" s="40"/>
      <c r="E289" s="83"/>
      <c r="F289" s="42"/>
      <c r="G289" s="84"/>
      <c r="H289" s="84"/>
      <c r="I289" s="45"/>
      <c r="J289" s="46" t="s">
        <v>222</v>
      </c>
      <c r="K289" s="40" t="s">
        <v>222</v>
      </c>
      <c r="L289" s="40" t="s">
        <v>222</v>
      </c>
      <c r="M289" s="40" t="s">
        <v>222</v>
      </c>
      <c r="N289" s="40" t="s">
        <v>222</v>
      </c>
      <c r="O289" s="40" t="s">
        <v>222</v>
      </c>
      <c r="P289" s="48"/>
      <c r="Q289" s="48"/>
      <c r="R289" s="49" t="s">
        <v>222</v>
      </c>
      <c r="S289" s="50" t="s">
        <v>222</v>
      </c>
      <c r="T289" s="85"/>
      <c r="U289" s="86"/>
      <c r="V289" s="85"/>
      <c r="W289" s="86"/>
      <c r="X289" s="85"/>
      <c r="Y289" s="70"/>
      <c r="Z289" s="70"/>
      <c r="AA289" s="70"/>
      <c r="AB289" s="70"/>
      <c r="AC289" s="70"/>
      <c r="AD289" s="70"/>
      <c r="AE289" s="14"/>
      <c r="AF289" s="55"/>
      <c r="AG289" s="55"/>
    </row>
    <row r="290" ht="13.5" customHeight="1">
      <c r="A290" s="80">
        <f t="shared" si="20"/>
        <v>285</v>
      </c>
      <c r="B290" s="26"/>
      <c r="C290" s="39"/>
      <c r="D290" s="40"/>
      <c r="E290" s="83"/>
      <c r="F290" s="42"/>
      <c r="G290" s="84"/>
      <c r="H290" s="84"/>
      <c r="I290" s="45"/>
      <c r="J290" s="46" t="s">
        <v>222</v>
      </c>
      <c r="K290" s="40" t="s">
        <v>222</v>
      </c>
      <c r="L290" s="40" t="s">
        <v>222</v>
      </c>
      <c r="M290" s="40" t="s">
        <v>222</v>
      </c>
      <c r="N290" s="40" t="s">
        <v>222</v>
      </c>
      <c r="O290" s="40" t="s">
        <v>222</v>
      </c>
      <c r="P290" s="48"/>
      <c r="Q290" s="48"/>
      <c r="R290" s="49" t="s">
        <v>222</v>
      </c>
      <c r="S290" s="50" t="s">
        <v>222</v>
      </c>
      <c r="T290" s="85"/>
      <c r="U290" s="86"/>
      <c r="V290" s="85"/>
      <c r="W290" s="86"/>
      <c r="X290" s="85"/>
      <c r="Y290" s="70"/>
      <c r="Z290" s="70"/>
      <c r="AA290" s="70"/>
      <c r="AB290" s="70"/>
      <c r="AC290" s="70"/>
      <c r="AD290" s="70"/>
      <c r="AE290" s="14"/>
      <c r="AF290" s="55"/>
      <c r="AG290" s="55"/>
    </row>
    <row r="291" ht="13.5" customHeight="1">
      <c r="A291" s="80">
        <f t="shared" si="20"/>
        <v>286</v>
      </c>
      <c r="B291" s="26"/>
      <c r="C291" s="39"/>
      <c r="D291" s="40"/>
      <c r="E291" s="83"/>
      <c r="F291" s="42"/>
      <c r="G291" s="84"/>
      <c r="H291" s="84"/>
      <c r="I291" s="45"/>
      <c r="J291" s="46" t="s">
        <v>222</v>
      </c>
      <c r="K291" s="40" t="s">
        <v>222</v>
      </c>
      <c r="L291" s="40" t="s">
        <v>222</v>
      </c>
      <c r="M291" s="40" t="s">
        <v>222</v>
      </c>
      <c r="N291" s="40" t="s">
        <v>222</v>
      </c>
      <c r="O291" s="40" t="s">
        <v>222</v>
      </c>
      <c r="P291" s="48"/>
      <c r="Q291" s="48"/>
      <c r="R291" s="49" t="s">
        <v>222</v>
      </c>
      <c r="S291" s="50" t="s">
        <v>222</v>
      </c>
      <c r="T291" s="85"/>
      <c r="U291" s="86"/>
      <c r="V291" s="85"/>
      <c r="W291" s="86"/>
      <c r="X291" s="85"/>
      <c r="Y291" s="70"/>
      <c r="Z291" s="70"/>
      <c r="AA291" s="70"/>
      <c r="AB291" s="70"/>
      <c r="AC291" s="70"/>
      <c r="AD291" s="70"/>
      <c r="AE291" s="14"/>
      <c r="AF291" s="55"/>
      <c r="AG291" s="55"/>
    </row>
    <row r="292" ht="13.5" customHeight="1">
      <c r="A292" s="80">
        <f t="shared" si="20"/>
        <v>287</v>
      </c>
      <c r="B292" s="26"/>
      <c r="C292" s="39"/>
      <c r="D292" s="40"/>
      <c r="E292" s="83"/>
      <c r="F292" s="42"/>
      <c r="G292" s="84"/>
      <c r="H292" s="84"/>
      <c r="I292" s="45"/>
      <c r="J292" s="46" t="s">
        <v>222</v>
      </c>
      <c r="K292" s="40" t="s">
        <v>222</v>
      </c>
      <c r="L292" s="40" t="s">
        <v>222</v>
      </c>
      <c r="M292" s="40" t="s">
        <v>222</v>
      </c>
      <c r="N292" s="40" t="s">
        <v>222</v>
      </c>
      <c r="O292" s="40" t="s">
        <v>222</v>
      </c>
      <c r="P292" s="48"/>
      <c r="Q292" s="48"/>
      <c r="R292" s="49" t="s">
        <v>222</v>
      </c>
      <c r="S292" s="50" t="s">
        <v>222</v>
      </c>
      <c r="T292" s="85"/>
      <c r="U292" s="86"/>
      <c r="V292" s="85"/>
      <c r="W292" s="86"/>
      <c r="X292" s="85"/>
      <c r="Y292" s="70"/>
      <c r="Z292" s="70"/>
      <c r="AA292" s="70"/>
      <c r="AB292" s="70"/>
      <c r="AC292" s="70"/>
      <c r="AD292" s="70"/>
      <c r="AE292" s="14"/>
      <c r="AF292" s="55"/>
      <c r="AG292" s="55"/>
    </row>
    <row r="293" ht="13.5" customHeight="1">
      <c r="A293" s="80">
        <f t="shared" si="20"/>
        <v>288</v>
      </c>
      <c r="B293" s="26"/>
      <c r="C293" s="39"/>
      <c r="D293" s="40"/>
      <c r="E293" s="83"/>
      <c r="F293" s="42"/>
      <c r="G293" s="84"/>
      <c r="H293" s="84"/>
      <c r="I293" s="45"/>
      <c r="J293" s="46" t="s">
        <v>222</v>
      </c>
      <c r="K293" s="40" t="s">
        <v>222</v>
      </c>
      <c r="L293" s="40" t="s">
        <v>222</v>
      </c>
      <c r="M293" s="40" t="s">
        <v>222</v>
      </c>
      <c r="N293" s="40" t="s">
        <v>222</v>
      </c>
      <c r="O293" s="40" t="s">
        <v>222</v>
      </c>
      <c r="P293" s="48"/>
      <c r="Q293" s="48"/>
      <c r="R293" s="49" t="s">
        <v>222</v>
      </c>
      <c r="S293" s="50" t="s">
        <v>222</v>
      </c>
      <c r="T293" s="85"/>
      <c r="U293" s="86"/>
      <c r="V293" s="85"/>
      <c r="W293" s="86"/>
      <c r="X293" s="85"/>
      <c r="Y293" s="70"/>
      <c r="Z293" s="70"/>
      <c r="AA293" s="70"/>
      <c r="AB293" s="70"/>
      <c r="AC293" s="70"/>
      <c r="AD293" s="70"/>
      <c r="AE293" s="14"/>
      <c r="AF293" s="55"/>
      <c r="AG293" s="55"/>
    </row>
    <row r="294" ht="13.5" customHeight="1">
      <c r="A294" s="80">
        <f t="shared" si="20"/>
        <v>289</v>
      </c>
      <c r="B294" s="26"/>
      <c r="C294" s="39"/>
      <c r="D294" s="40"/>
      <c r="E294" s="83"/>
      <c r="F294" s="42"/>
      <c r="G294" s="84"/>
      <c r="H294" s="84"/>
      <c r="I294" s="45"/>
      <c r="J294" s="46" t="s">
        <v>222</v>
      </c>
      <c r="K294" s="40" t="s">
        <v>222</v>
      </c>
      <c r="L294" s="40" t="s">
        <v>222</v>
      </c>
      <c r="M294" s="40" t="s">
        <v>222</v>
      </c>
      <c r="N294" s="40" t="s">
        <v>222</v>
      </c>
      <c r="O294" s="40" t="s">
        <v>222</v>
      </c>
      <c r="P294" s="48"/>
      <c r="Q294" s="48"/>
      <c r="R294" s="49" t="s">
        <v>222</v>
      </c>
      <c r="S294" s="50" t="s">
        <v>222</v>
      </c>
      <c r="T294" s="85"/>
      <c r="U294" s="86"/>
      <c r="V294" s="85"/>
      <c r="W294" s="86"/>
      <c r="X294" s="85"/>
      <c r="Y294" s="70"/>
      <c r="Z294" s="70"/>
      <c r="AA294" s="70"/>
      <c r="AB294" s="70"/>
      <c r="AC294" s="70"/>
      <c r="AD294" s="70"/>
      <c r="AE294" s="14"/>
      <c r="AF294" s="55"/>
      <c r="AG294" s="55"/>
    </row>
    <row r="295" ht="13.5" customHeight="1">
      <c r="A295" s="80">
        <f t="shared" si="20"/>
        <v>290</v>
      </c>
      <c r="B295" s="26"/>
      <c r="C295" s="39"/>
      <c r="D295" s="40"/>
      <c r="E295" s="83"/>
      <c r="F295" s="42"/>
      <c r="G295" s="84"/>
      <c r="H295" s="84"/>
      <c r="I295" s="45"/>
      <c r="J295" s="46" t="s">
        <v>222</v>
      </c>
      <c r="K295" s="40" t="s">
        <v>222</v>
      </c>
      <c r="L295" s="40" t="s">
        <v>222</v>
      </c>
      <c r="M295" s="40" t="s">
        <v>222</v>
      </c>
      <c r="N295" s="40" t="s">
        <v>222</v>
      </c>
      <c r="O295" s="40" t="s">
        <v>222</v>
      </c>
      <c r="P295" s="48"/>
      <c r="Q295" s="48"/>
      <c r="R295" s="49" t="s">
        <v>222</v>
      </c>
      <c r="S295" s="50" t="s">
        <v>222</v>
      </c>
      <c r="T295" s="85"/>
      <c r="U295" s="86"/>
      <c r="V295" s="85"/>
      <c r="W295" s="86"/>
      <c r="X295" s="85"/>
      <c r="Y295" s="70"/>
      <c r="Z295" s="70"/>
      <c r="AA295" s="70"/>
      <c r="AB295" s="70"/>
      <c r="AC295" s="70"/>
      <c r="AD295" s="70"/>
      <c r="AE295" s="14"/>
      <c r="AF295" s="55"/>
      <c r="AG295" s="55"/>
    </row>
    <row r="296" ht="13.5" customHeight="1">
      <c r="A296" s="80">
        <f t="shared" si="20"/>
        <v>291</v>
      </c>
      <c r="B296" s="26"/>
      <c r="C296" s="39"/>
      <c r="D296" s="40"/>
      <c r="E296" s="83"/>
      <c r="F296" s="42"/>
      <c r="G296" s="84"/>
      <c r="H296" s="84"/>
      <c r="I296" s="45"/>
      <c r="J296" s="46" t="s">
        <v>222</v>
      </c>
      <c r="K296" s="40" t="s">
        <v>222</v>
      </c>
      <c r="L296" s="40" t="s">
        <v>222</v>
      </c>
      <c r="M296" s="40" t="s">
        <v>222</v>
      </c>
      <c r="N296" s="40" t="s">
        <v>222</v>
      </c>
      <c r="O296" s="40" t="s">
        <v>222</v>
      </c>
      <c r="P296" s="48"/>
      <c r="Q296" s="48"/>
      <c r="R296" s="49" t="s">
        <v>222</v>
      </c>
      <c r="S296" s="50" t="s">
        <v>222</v>
      </c>
      <c r="T296" s="85"/>
      <c r="U296" s="86"/>
      <c r="V296" s="85"/>
      <c r="W296" s="86"/>
      <c r="X296" s="85"/>
      <c r="Y296" s="70"/>
      <c r="Z296" s="70"/>
      <c r="AA296" s="70"/>
      <c r="AB296" s="70"/>
      <c r="AC296" s="70"/>
      <c r="AD296" s="70"/>
      <c r="AE296" s="14"/>
      <c r="AF296" s="55"/>
      <c r="AG296" s="55"/>
    </row>
    <row r="297" ht="13.5" customHeight="1">
      <c r="A297" s="80">
        <f t="shared" si="20"/>
        <v>292</v>
      </c>
      <c r="B297" s="26"/>
      <c r="C297" s="39"/>
      <c r="D297" s="40"/>
      <c r="E297" s="83"/>
      <c r="F297" s="42"/>
      <c r="G297" s="84"/>
      <c r="H297" s="84"/>
      <c r="I297" s="45"/>
      <c r="J297" s="46" t="s">
        <v>222</v>
      </c>
      <c r="K297" s="40" t="s">
        <v>222</v>
      </c>
      <c r="L297" s="40" t="s">
        <v>222</v>
      </c>
      <c r="M297" s="40" t="s">
        <v>222</v>
      </c>
      <c r="N297" s="40" t="s">
        <v>222</v>
      </c>
      <c r="O297" s="40" t="s">
        <v>222</v>
      </c>
      <c r="P297" s="48"/>
      <c r="Q297" s="48"/>
      <c r="R297" s="49" t="s">
        <v>222</v>
      </c>
      <c r="S297" s="50" t="s">
        <v>222</v>
      </c>
      <c r="T297" s="85"/>
      <c r="U297" s="86"/>
      <c r="V297" s="85"/>
      <c r="W297" s="86"/>
      <c r="X297" s="85"/>
      <c r="Y297" s="70"/>
      <c r="Z297" s="70"/>
      <c r="AA297" s="70"/>
      <c r="AB297" s="70"/>
      <c r="AC297" s="70"/>
      <c r="AD297" s="70"/>
      <c r="AE297" s="14"/>
      <c r="AF297" s="55"/>
      <c r="AG297" s="55"/>
    </row>
    <row r="298" ht="13.5" customHeight="1">
      <c r="A298" s="80">
        <f t="shared" si="20"/>
        <v>293</v>
      </c>
      <c r="B298" s="26"/>
      <c r="C298" s="39"/>
      <c r="D298" s="40"/>
      <c r="E298" s="83"/>
      <c r="F298" s="42"/>
      <c r="G298" s="84"/>
      <c r="H298" s="84"/>
      <c r="I298" s="45"/>
      <c r="J298" s="46" t="s">
        <v>222</v>
      </c>
      <c r="K298" s="40" t="s">
        <v>222</v>
      </c>
      <c r="L298" s="40" t="s">
        <v>222</v>
      </c>
      <c r="M298" s="40" t="s">
        <v>222</v>
      </c>
      <c r="N298" s="40" t="s">
        <v>222</v>
      </c>
      <c r="O298" s="40" t="s">
        <v>222</v>
      </c>
      <c r="P298" s="48"/>
      <c r="Q298" s="48"/>
      <c r="R298" s="49" t="s">
        <v>222</v>
      </c>
      <c r="S298" s="50" t="s">
        <v>222</v>
      </c>
      <c r="T298" s="85"/>
      <c r="U298" s="86"/>
      <c r="V298" s="85"/>
      <c r="W298" s="86"/>
      <c r="X298" s="85"/>
      <c r="Y298" s="70"/>
      <c r="Z298" s="70"/>
      <c r="AA298" s="70"/>
      <c r="AB298" s="70"/>
      <c r="AC298" s="70"/>
      <c r="AD298" s="70"/>
      <c r="AE298" s="14"/>
      <c r="AF298" s="55"/>
      <c r="AG298" s="55"/>
    </row>
    <row r="299" ht="13.5" customHeight="1">
      <c r="A299" s="80">
        <f t="shared" si="20"/>
        <v>294</v>
      </c>
      <c r="B299" s="26"/>
      <c r="C299" s="39"/>
      <c r="D299" s="40"/>
      <c r="E299" s="83"/>
      <c r="F299" s="42"/>
      <c r="G299" s="84"/>
      <c r="H299" s="84"/>
      <c r="I299" s="45"/>
      <c r="J299" s="46" t="s">
        <v>222</v>
      </c>
      <c r="K299" s="40" t="s">
        <v>222</v>
      </c>
      <c r="L299" s="40" t="s">
        <v>222</v>
      </c>
      <c r="M299" s="40" t="s">
        <v>222</v>
      </c>
      <c r="N299" s="40" t="s">
        <v>222</v>
      </c>
      <c r="O299" s="40" t="s">
        <v>222</v>
      </c>
      <c r="P299" s="48"/>
      <c r="Q299" s="48"/>
      <c r="R299" s="49" t="s">
        <v>222</v>
      </c>
      <c r="S299" s="50" t="s">
        <v>222</v>
      </c>
      <c r="T299" s="85"/>
      <c r="U299" s="86"/>
      <c r="V299" s="85"/>
      <c r="W299" s="86"/>
      <c r="X299" s="85"/>
      <c r="Y299" s="70"/>
      <c r="Z299" s="70"/>
      <c r="AA299" s="70"/>
      <c r="AB299" s="70"/>
      <c r="AC299" s="70"/>
      <c r="AD299" s="70"/>
      <c r="AE299" s="14"/>
      <c r="AF299" s="55"/>
      <c r="AG299" s="55"/>
    </row>
    <row r="300" ht="13.5" customHeight="1">
      <c r="A300" s="80">
        <f t="shared" si="20"/>
        <v>295</v>
      </c>
      <c r="B300" s="26"/>
      <c r="C300" s="39"/>
      <c r="D300" s="40"/>
      <c r="E300" s="83"/>
      <c r="F300" s="42"/>
      <c r="G300" s="84"/>
      <c r="H300" s="84"/>
      <c r="I300" s="45"/>
      <c r="J300" s="46" t="s">
        <v>222</v>
      </c>
      <c r="K300" s="40" t="s">
        <v>222</v>
      </c>
      <c r="L300" s="40" t="s">
        <v>222</v>
      </c>
      <c r="M300" s="40" t="s">
        <v>222</v>
      </c>
      <c r="N300" s="40" t="s">
        <v>222</v>
      </c>
      <c r="O300" s="40" t="s">
        <v>222</v>
      </c>
      <c r="P300" s="48"/>
      <c r="Q300" s="48"/>
      <c r="R300" s="49" t="s">
        <v>222</v>
      </c>
      <c r="S300" s="50" t="s">
        <v>222</v>
      </c>
      <c r="T300" s="85"/>
      <c r="U300" s="86"/>
      <c r="V300" s="85"/>
      <c r="W300" s="86"/>
      <c r="X300" s="85"/>
      <c r="Y300" s="70"/>
      <c r="Z300" s="70"/>
      <c r="AA300" s="70"/>
      <c r="AB300" s="70"/>
      <c r="AC300" s="70"/>
      <c r="AD300" s="70"/>
      <c r="AE300" s="14"/>
      <c r="AF300" s="55"/>
      <c r="AG300" s="55"/>
    </row>
    <row r="301" ht="13.5" customHeight="1">
      <c r="A301" s="80">
        <f t="shared" si="20"/>
        <v>296</v>
      </c>
      <c r="B301" s="26"/>
      <c r="C301" s="39"/>
      <c r="D301" s="40"/>
      <c r="E301" s="83"/>
      <c r="F301" s="42"/>
      <c r="G301" s="84"/>
      <c r="H301" s="84"/>
      <c r="I301" s="45"/>
      <c r="J301" s="46" t="s">
        <v>222</v>
      </c>
      <c r="K301" s="40" t="s">
        <v>222</v>
      </c>
      <c r="L301" s="40" t="s">
        <v>222</v>
      </c>
      <c r="M301" s="40" t="s">
        <v>222</v>
      </c>
      <c r="N301" s="40" t="s">
        <v>222</v>
      </c>
      <c r="O301" s="40" t="s">
        <v>222</v>
      </c>
      <c r="P301" s="48"/>
      <c r="Q301" s="48"/>
      <c r="R301" s="49" t="s">
        <v>222</v>
      </c>
      <c r="S301" s="50" t="s">
        <v>222</v>
      </c>
      <c r="T301" s="85"/>
      <c r="U301" s="86"/>
      <c r="V301" s="85"/>
      <c r="W301" s="86"/>
      <c r="X301" s="85"/>
      <c r="Y301" s="70"/>
      <c r="Z301" s="70"/>
      <c r="AA301" s="70"/>
      <c r="AB301" s="70"/>
      <c r="AC301" s="70"/>
      <c r="AD301" s="70"/>
      <c r="AE301" s="14"/>
      <c r="AF301" s="55"/>
      <c r="AG301" s="55"/>
    </row>
    <row r="302" ht="13.5" customHeight="1">
      <c r="A302" s="80">
        <f t="shared" si="20"/>
        <v>297</v>
      </c>
      <c r="B302" s="26"/>
      <c r="C302" s="39"/>
      <c r="D302" s="40"/>
      <c r="E302" s="83"/>
      <c r="F302" s="42"/>
      <c r="G302" s="84"/>
      <c r="H302" s="84"/>
      <c r="I302" s="45"/>
      <c r="J302" s="46" t="s">
        <v>222</v>
      </c>
      <c r="K302" s="40" t="s">
        <v>222</v>
      </c>
      <c r="L302" s="40" t="s">
        <v>222</v>
      </c>
      <c r="M302" s="40" t="s">
        <v>222</v>
      </c>
      <c r="N302" s="40" t="s">
        <v>222</v>
      </c>
      <c r="O302" s="40" t="s">
        <v>222</v>
      </c>
      <c r="P302" s="48"/>
      <c r="Q302" s="48"/>
      <c r="R302" s="49" t="s">
        <v>222</v>
      </c>
      <c r="S302" s="50" t="s">
        <v>222</v>
      </c>
      <c r="T302" s="85"/>
      <c r="U302" s="86"/>
      <c r="V302" s="85"/>
      <c r="W302" s="86"/>
      <c r="X302" s="85"/>
      <c r="Y302" s="70"/>
      <c r="Z302" s="70"/>
      <c r="AA302" s="70"/>
      <c r="AB302" s="70"/>
      <c r="AC302" s="70"/>
      <c r="AD302" s="70"/>
      <c r="AE302" s="14"/>
      <c r="AF302" s="55"/>
      <c r="AG302" s="55"/>
    </row>
    <row r="303" ht="13.5" customHeight="1">
      <c r="A303" s="80">
        <f t="shared" si="20"/>
        <v>298</v>
      </c>
      <c r="B303" s="26"/>
      <c r="C303" s="39"/>
      <c r="D303" s="40"/>
      <c r="E303" s="83"/>
      <c r="F303" s="42"/>
      <c r="G303" s="84"/>
      <c r="H303" s="84"/>
      <c r="I303" s="45"/>
      <c r="J303" s="46" t="s">
        <v>222</v>
      </c>
      <c r="K303" s="40" t="s">
        <v>222</v>
      </c>
      <c r="L303" s="40" t="s">
        <v>222</v>
      </c>
      <c r="M303" s="40" t="s">
        <v>222</v>
      </c>
      <c r="N303" s="40" t="s">
        <v>222</v>
      </c>
      <c r="O303" s="40" t="s">
        <v>222</v>
      </c>
      <c r="P303" s="48"/>
      <c r="Q303" s="48"/>
      <c r="R303" s="49" t="s">
        <v>222</v>
      </c>
      <c r="S303" s="50" t="s">
        <v>222</v>
      </c>
      <c r="T303" s="85"/>
      <c r="U303" s="86"/>
      <c r="V303" s="85"/>
      <c r="W303" s="86"/>
      <c r="X303" s="85"/>
      <c r="Y303" s="70"/>
      <c r="Z303" s="70"/>
      <c r="AA303" s="70"/>
      <c r="AB303" s="70"/>
      <c r="AC303" s="70"/>
      <c r="AD303" s="70"/>
      <c r="AE303" s="14"/>
      <c r="AF303" s="55"/>
      <c r="AG303" s="55"/>
    </row>
    <row r="304" ht="13.5" customHeight="1">
      <c r="A304" s="80">
        <f t="shared" si="20"/>
        <v>299</v>
      </c>
      <c r="B304" s="26"/>
      <c r="C304" s="39"/>
      <c r="D304" s="40"/>
      <c r="E304" s="83"/>
      <c r="F304" s="42"/>
      <c r="G304" s="84"/>
      <c r="H304" s="84"/>
      <c r="I304" s="45"/>
      <c r="J304" s="46" t="s">
        <v>222</v>
      </c>
      <c r="K304" s="40" t="s">
        <v>222</v>
      </c>
      <c r="L304" s="40" t="s">
        <v>222</v>
      </c>
      <c r="M304" s="40" t="s">
        <v>222</v>
      </c>
      <c r="N304" s="40" t="s">
        <v>222</v>
      </c>
      <c r="O304" s="40" t="s">
        <v>222</v>
      </c>
      <c r="P304" s="48"/>
      <c r="Q304" s="48"/>
      <c r="R304" s="49" t="s">
        <v>222</v>
      </c>
      <c r="S304" s="50" t="s">
        <v>222</v>
      </c>
      <c r="T304" s="85"/>
      <c r="U304" s="86"/>
      <c r="V304" s="85"/>
      <c r="W304" s="86"/>
      <c r="X304" s="85"/>
      <c r="Y304" s="70"/>
      <c r="Z304" s="70"/>
      <c r="AA304" s="70"/>
      <c r="AB304" s="70"/>
      <c r="AC304" s="70"/>
      <c r="AD304" s="70"/>
      <c r="AE304" s="14"/>
      <c r="AF304" s="55"/>
      <c r="AG304" s="55"/>
    </row>
    <row r="305" ht="13.5" customHeight="1">
      <c r="A305" s="80">
        <f t="shared" si="20"/>
        <v>300</v>
      </c>
      <c r="B305" s="26"/>
      <c r="C305" s="39"/>
      <c r="D305" s="40"/>
      <c r="E305" s="83"/>
      <c r="F305" s="42"/>
      <c r="G305" s="84"/>
      <c r="H305" s="84"/>
      <c r="I305" s="45"/>
      <c r="J305" s="46" t="s">
        <v>222</v>
      </c>
      <c r="K305" s="40" t="s">
        <v>222</v>
      </c>
      <c r="L305" s="40" t="s">
        <v>222</v>
      </c>
      <c r="M305" s="40" t="s">
        <v>222</v>
      </c>
      <c r="N305" s="40" t="s">
        <v>222</v>
      </c>
      <c r="O305" s="40" t="s">
        <v>222</v>
      </c>
      <c r="P305" s="48"/>
      <c r="Q305" s="48"/>
      <c r="R305" s="49" t="s">
        <v>222</v>
      </c>
      <c r="S305" s="50" t="s">
        <v>222</v>
      </c>
      <c r="T305" s="85"/>
      <c r="U305" s="86"/>
      <c r="V305" s="85"/>
      <c r="W305" s="86"/>
      <c r="X305" s="85"/>
      <c r="Y305" s="70"/>
      <c r="Z305" s="70"/>
      <c r="AA305" s="70"/>
      <c r="AB305" s="70"/>
      <c r="AC305" s="70"/>
      <c r="AD305" s="70"/>
      <c r="AE305" s="14"/>
      <c r="AF305" s="55"/>
      <c r="AG305" s="55"/>
    </row>
    <row r="306" ht="13.5" customHeight="1">
      <c r="A306" s="80">
        <f t="shared" si="20"/>
        <v>301</v>
      </c>
      <c r="B306" s="26"/>
      <c r="C306" s="39"/>
      <c r="D306" s="40"/>
      <c r="E306" s="83"/>
      <c r="F306" s="42"/>
      <c r="G306" s="84"/>
      <c r="H306" s="84"/>
      <c r="I306" s="45"/>
      <c r="J306" s="46" t="s">
        <v>222</v>
      </c>
      <c r="K306" s="40" t="s">
        <v>222</v>
      </c>
      <c r="L306" s="40" t="s">
        <v>222</v>
      </c>
      <c r="M306" s="40" t="s">
        <v>222</v>
      </c>
      <c r="N306" s="40" t="s">
        <v>222</v>
      </c>
      <c r="O306" s="40" t="s">
        <v>222</v>
      </c>
      <c r="P306" s="48"/>
      <c r="Q306" s="48"/>
      <c r="R306" s="49" t="s">
        <v>222</v>
      </c>
      <c r="S306" s="50" t="s">
        <v>222</v>
      </c>
      <c r="T306" s="85"/>
      <c r="U306" s="86"/>
      <c r="V306" s="85"/>
      <c r="W306" s="86"/>
      <c r="X306" s="85"/>
      <c r="Y306" s="70"/>
      <c r="Z306" s="70"/>
      <c r="AA306" s="70"/>
      <c r="AB306" s="70"/>
      <c r="AC306" s="70"/>
      <c r="AD306" s="70"/>
      <c r="AE306" s="14"/>
      <c r="AF306" s="55"/>
      <c r="AG306" s="55"/>
    </row>
    <row r="307" ht="13.5" customHeight="1">
      <c r="A307" s="80">
        <f t="shared" si="20"/>
        <v>302</v>
      </c>
      <c r="B307" s="26"/>
      <c r="C307" s="39"/>
      <c r="D307" s="40"/>
      <c r="E307" s="83"/>
      <c r="F307" s="42"/>
      <c r="G307" s="84"/>
      <c r="H307" s="84"/>
      <c r="I307" s="45"/>
      <c r="J307" s="46" t="s">
        <v>222</v>
      </c>
      <c r="K307" s="40" t="s">
        <v>222</v>
      </c>
      <c r="L307" s="40" t="s">
        <v>222</v>
      </c>
      <c r="M307" s="40" t="s">
        <v>222</v>
      </c>
      <c r="N307" s="40" t="s">
        <v>222</v>
      </c>
      <c r="O307" s="40" t="s">
        <v>222</v>
      </c>
      <c r="P307" s="48"/>
      <c r="Q307" s="48"/>
      <c r="R307" s="49" t="s">
        <v>222</v>
      </c>
      <c r="S307" s="50" t="s">
        <v>222</v>
      </c>
      <c r="T307" s="85"/>
      <c r="U307" s="86"/>
      <c r="V307" s="85"/>
      <c r="W307" s="86"/>
      <c r="X307" s="85"/>
      <c r="Y307" s="70"/>
      <c r="Z307" s="70"/>
      <c r="AA307" s="70"/>
      <c r="AB307" s="70"/>
      <c r="AC307" s="70"/>
      <c r="AD307" s="70"/>
      <c r="AE307" s="14"/>
      <c r="AF307" s="55"/>
      <c r="AG307" s="55"/>
    </row>
    <row r="308" ht="13.5" customHeight="1">
      <c r="A308" s="80">
        <f t="shared" si="20"/>
        <v>303</v>
      </c>
      <c r="B308" s="26"/>
      <c r="C308" s="39"/>
      <c r="D308" s="40"/>
      <c r="E308" s="83"/>
      <c r="F308" s="42"/>
      <c r="G308" s="84"/>
      <c r="H308" s="84"/>
      <c r="I308" s="45"/>
      <c r="J308" s="46" t="s">
        <v>222</v>
      </c>
      <c r="K308" s="40" t="s">
        <v>222</v>
      </c>
      <c r="L308" s="40" t="s">
        <v>222</v>
      </c>
      <c r="M308" s="40" t="s">
        <v>222</v>
      </c>
      <c r="N308" s="40" t="s">
        <v>222</v>
      </c>
      <c r="O308" s="40" t="s">
        <v>222</v>
      </c>
      <c r="P308" s="48"/>
      <c r="Q308" s="48"/>
      <c r="R308" s="49" t="s">
        <v>222</v>
      </c>
      <c r="S308" s="50" t="s">
        <v>222</v>
      </c>
      <c r="T308" s="85"/>
      <c r="U308" s="86"/>
      <c r="V308" s="85"/>
      <c r="W308" s="86"/>
      <c r="X308" s="85"/>
      <c r="Y308" s="70"/>
      <c r="Z308" s="70"/>
      <c r="AA308" s="70"/>
      <c r="AB308" s="70"/>
      <c r="AC308" s="70"/>
      <c r="AD308" s="70"/>
      <c r="AE308" s="14"/>
      <c r="AF308" s="55"/>
      <c r="AG308" s="55"/>
    </row>
    <row r="309" ht="13.5" customHeight="1">
      <c r="A309" s="80">
        <f t="shared" si="20"/>
        <v>304</v>
      </c>
      <c r="B309" s="26"/>
      <c r="C309" s="39"/>
      <c r="D309" s="40"/>
      <c r="E309" s="83"/>
      <c r="F309" s="42"/>
      <c r="G309" s="84"/>
      <c r="H309" s="84"/>
      <c r="I309" s="45"/>
      <c r="J309" s="46" t="s">
        <v>222</v>
      </c>
      <c r="K309" s="40" t="s">
        <v>222</v>
      </c>
      <c r="L309" s="40" t="s">
        <v>222</v>
      </c>
      <c r="M309" s="40" t="s">
        <v>222</v>
      </c>
      <c r="N309" s="40" t="s">
        <v>222</v>
      </c>
      <c r="O309" s="40" t="s">
        <v>222</v>
      </c>
      <c r="P309" s="48"/>
      <c r="Q309" s="48"/>
      <c r="R309" s="49" t="s">
        <v>222</v>
      </c>
      <c r="S309" s="50" t="s">
        <v>222</v>
      </c>
      <c r="T309" s="85"/>
      <c r="U309" s="86"/>
      <c r="V309" s="85"/>
      <c r="W309" s="86"/>
      <c r="X309" s="85"/>
      <c r="Y309" s="70"/>
      <c r="Z309" s="70"/>
      <c r="AA309" s="70"/>
      <c r="AB309" s="70"/>
      <c r="AC309" s="70"/>
      <c r="AD309" s="70"/>
      <c r="AE309" s="14"/>
      <c r="AF309" s="55"/>
      <c r="AG309" s="55"/>
    </row>
    <row r="310" ht="13.5" customHeight="1">
      <c r="A310" s="80">
        <f t="shared" si="20"/>
        <v>305</v>
      </c>
      <c r="B310" s="26"/>
      <c r="C310" s="39"/>
      <c r="D310" s="40"/>
      <c r="E310" s="83"/>
      <c r="F310" s="42"/>
      <c r="G310" s="84"/>
      <c r="H310" s="84"/>
      <c r="I310" s="45"/>
      <c r="J310" s="46" t="s">
        <v>222</v>
      </c>
      <c r="K310" s="40" t="s">
        <v>222</v>
      </c>
      <c r="L310" s="40" t="s">
        <v>222</v>
      </c>
      <c r="M310" s="40" t="s">
        <v>222</v>
      </c>
      <c r="N310" s="40" t="s">
        <v>222</v>
      </c>
      <c r="O310" s="40" t="s">
        <v>222</v>
      </c>
      <c r="P310" s="48"/>
      <c r="Q310" s="48"/>
      <c r="R310" s="49" t="s">
        <v>222</v>
      </c>
      <c r="S310" s="50" t="s">
        <v>222</v>
      </c>
      <c r="T310" s="85"/>
      <c r="U310" s="86"/>
      <c r="V310" s="85"/>
      <c r="W310" s="86"/>
      <c r="X310" s="85"/>
      <c r="Y310" s="70"/>
      <c r="Z310" s="70"/>
      <c r="AA310" s="70"/>
      <c r="AB310" s="70"/>
      <c r="AC310" s="70"/>
      <c r="AD310" s="70"/>
      <c r="AE310" s="14"/>
      <c r="AF310" s="55"/>
      <c r="AG310" s="55"/>
    </row>
    <row r="311" ht="13.5" customHeight="1">
      <c r="A311" s="80">
        <f t="shared" si="20"/>
        <v>306</v>
      </c>
      <c r="B311" s="26"/>
      <c r="C311" s="39"/>
      <c r="D311" s="40"/>
      <c r="E311" s="83"/>
      <c r="F311" s="42"/>
      <c r="G311" s="84"/>
      <c r="H311" s="84"/>
      <c r="I311" s="45"/>
      <c r="J311" s="46" t="s">
        <v>222</v>
      </c>
      <c r="K311" s="40" t="s">
        <v>222</v>
      </c>
      <c r="L311" s="40" t="s">
        <v>222</v>
      </c>
      <c r="M311" s="40" t="s">
        <v>222</v>
      </c>
      <c r="N311" s="40" t="s">
        <v>222</v>
      </c>
      <c r="O311" s="40" t="s">
        <v>222</v>
      </c>
      <c r="P311" s="48"/>
      <c r="Q311" s="48"/>
      <c r="R311" s="49" t="s">
        <v>222</v>
      </c>
      <c r="S311" s="50" t="s">
        <v>222</v>
      </c>
      <c r="T311" s="85"/>
      <c r="U311" s="86"/>
      <c r="V311" s="85"/>
      <c r="W311" s="86"/>
      <c r="X311" s="85"/>
      <c r="Y311" s="70"/>
      <c r="Z311" s="70"/>
      <c r="AA311" s="70"/>
      <c r="AB311" s="70"/>
      <c r="AC311" s="70"/>
      <c r="AD311" s="70"/>
      <c r="AE311" s="14"/>
      <c r="AF311" s="55"/>
      <c r="AG311" s="55"/>
    </row>
    <row r="312" ht="13.5" customHeight="1">
      <c r="A312" s="80">
        <f t="shared" si="20"/>
        <v>307</v>
      </c>
      <c r="B312" s="26"/>
      <c r="C312" s="39"/>
      <c r="D312" s="40"/>
      <c r="E312" s="83"/>
      <c r="F312" s="42"/>
      <c r="G312" s="84"/>
      <c r="H312" s="84"/>
      <c r="I312" s="45"/>
      <c r="J312" s="46" t="s">
        <v>222</v>
      </c>
      <c r="K312" s="40" t="s">
        <v>222</v>
      </c>
      <c r="L312" s="40" t="s">
        <v>222</v>
      </c>
      <c r="M312" s="40" t="s">
        <v>222</v>
      </c>
      <c r="N312" s="40" t="s">
        <v>222</v>
      </c>
      <c r="O312" s="40" t="s">
        <v>222</v>
      </c>
      <c r="P312" s="48"/>
      <c r="Q312" s="48"/>
      <c r="R312" s="49" t="s">
        <v>222</v>
      </c>
      <c r="S312" s="50" t="s">
        <v>222</v>
      </c>
      <c r="T312" s="85"/>
      <c r="U312" s="86"/>
      <c r="V312" s="85"/>
      <c r="W312" s="86"/>
      <c r="X312" s="85"/>
      <c r="Y312" s="70"/>
      <c r="Z312" s="70"/>
      <c r="AA312" s="70"/>
      <c r="AB312" s="70"/>
      <c r="AC312" s="70"/>
      <c r="AD312" s="70"/>
      <c r="AE312" s="14"/>
      <c r="AF312" s="55"/>
      <c r="AG312" s="55"/>
    </row>
    <row r="313" ht="13.5" customHeight="1">
      <c r="A313" s="80">
        <f t="shared" si="20"/>
        <v>308</v>
      </c>
      <c r="B313" s="26"/>
      <c r="C313" s="39"/>
      <c r="D313" s="40"/>
      <c r="E313" s="83"/>
      <c r="F313" s="42"/>
      <c r="G313" s="84"/>
      <c r="H313" s="84"/>
      <c r="I313" s="45"/>
      <c r="J313" s="46" t="s">
        <v>222</v>
      </c>
      <c r="K313" s="40" t="s">
        <v>222</v>
      </c>
      <c r="L313" s="40" t="s">
        <v>222</v>
      </c>
      <c r="M313" s="40" t="s">
        <v>222</v>
      </c>
      <c r="N313" s="40" t="s">
        <v>222</v>
      </c>
      <c r="O313" s="40" t="s">
        <v>222</v>
      </c>
      <c r="P313" s="48"/>
      <c r="Q313" s="48"/>
      <c r="R313" s="49" t="s">
        <v>222</v>
      </c>
      <c r="S313" s="50" t="s">
        <v>222</v>
      </c>
      <c r="T313" s="85"/>
      <c r="U313" s="86"/>
      <c r="V313" s="85"/>
      <c r="W313" s="86"/>
      <c r="X313" s="85"/>
      <c r="Y313" s="70"/>
      <c r="Z313" s="70"/>
      <c r="AA313" s="70"/>
      <c r="AB313" s="70"/>
      <c r="AC313" s="70"/>
      <c r="AD313" s="70"/>
      <c r="AE313" s="14"/>
      <c r="AF313" s="55"/>
      <c r="AG313" s="55"/>
    </row>
    <row r="314" ht="13.5" customHeight="1">
      <c r="A314" s="80">
        <f t="shared" si="20"/>
        <v>309</v>
      </c>
      <c r="B314" s="26"/>
      <c r="C314" s="39"/>
      <c r="D314" s="40"/>
      <c r="E314" s="83"/>
      <c r="F314" s="42"/>
      <c r="G314" s="84"/>
      <c r="H314" s="84"/>
      <c r="I314" s="45"/>
      <c r="J314" s="46" t="s">
        <v>222</v>
      </c>
      <c r="K314" s="40" t="s">
        <v>222</v>
      </c>
      <c r="L314" s="40" t="s">
        <v>222</v>
      </c>
      <c r="M314" s="40" t="s">
        <v>222</v>
      </c>
      <c r="N314" s="40" t="s">
        <v>222</v>
      </c>
      <c r="O314" s="40" t="s">
        <v>222</v>
      </c>
      <c r="P314" s="48"/>
      <c r="Q314" s="48"/>
      <c r="R314" s="49" t="s">
        <v>222</v>
      </c>
      <c r="S314" s="50" t="s">
        <v>222</v>
      </c>
      <c r="T314" s="85"/>
      <c r="U314" s="86"/>
      <c r="V314" s="85"/>
      <c r="W314" s="86"/>
      <c r="X314" s="85"/>
      <c r="Y314" s="70"/>
      <c r="Z314" s="70"/>
      <c r="AA314" s="70"/>
      <c r="AB314" s="70"/>
      <c r="AC314" s="70"/>
      <c r="AD314" s="70"/>
      <c r="AE314" s="14"/>
      <c r="AF314" s="55"/>
      <c r="AG314" s="55"/>
    </row>
    <row r="315" ht="13.5" customHeight="1">
      <c r="A315" s="80">
        <f t="shared" si="20"/>
        <v>310</v>
      </c>
      <c r="B315" s="26"/>
      <c r="C315" s="39"/>
      <c r="D315" s="40"/>
      <c r="E315" s="83"/>
      <c r="F315" s="42"/>
      <c r="G315" s="84"/>
      <c r="H315" s="84"/>
      <c r="I315" s="45"/>
      <c r="J315" s="46" t="s">
        <v>222</v>
      </c>
      <c r="K315" s="40" t="s">
        <v>222</v>
      </c>
      <c r="L315" s="40" t="s">
        <v>222</v>
      </c>
      <c r="M315" s="40" t="s">
        <v>222</v>
      </c>
      <c r="N315" s="40" t="s">
        <v>222</v>
      </c>
      <c r="O315" s="40" t="s">
        <v>222</v>
      </c>
      <c r="P315" s="48"/>
      <c r="Q315" s="48"/>
      <c r="R315" s="49" t="s">
        <v>222</v>
      </c>
      <c r="S315" s="50" t="s">
        <v>222</v>
      </c>
      <c r="T315" s="85"/>
      <c r="U315" s="86"/>
      <c r="V315" s="85"/>
      <c r="W315" s="86"/>
      <c r="X315" s="85"/>
      <c r="Y315" s="70"/>
      <c r="Z315" s="70"/>
      <c r="AA315" s="70"/>
      <c r="AB315" s="70"/>
      <c r="AC315" s="70"/>
      <c r="AD315" s="70"/>
      <c r="AE315" s="14"/>
      <c r="AF315" s="55"/>
      <c r="AG315" s="55"/>
    </row>
    <row r="316" ht="13.5" customHeight="1">
      <c r="A316" s="80">
        <f t="shared" si="20"/>
        <v>311</v>
      </c>
      <c r="B316" s="26"/>
      <c r="C316" s="39"/>
      <c r="D316" s="40"/>
      <c r="E316" s="83"/>
      <c r="F316" s="42"/>
      <c r="G316" s="84"/>
      <c r="H316" s="84"/>
      <c r="I316" s="45"/>
      <c r="J316" s="46" t="s">
        <v>222</v>
      </c>
      <c r="K316" s="40" t="s">
        <v>222</v>
      </c>
      <c r="L316" s="40" t="s">
        <v>222</v>
      </c>
      <c r="M316" s="40" t="s">
        <v>222</v>
      </c>
      <c r="N316" s="40" t="s">
        <v>222</v>
      </c>
      <c r="O316" s="40" t="s">
        <v>222</v>
      </c>
      <c r="P316" s="48"/>
      <c r="Q316" s="48"/>
      <c r="R316" s="49" t="s">
        <v>222</v>
      </c>
      <c r="S316" s="50" t="s">
        <v>222</v>
      </c>
      <c r="T316" s="85"/>
      <c r="U316" s="86"/>
      <c r="V316" s="85"/>
      <c r="W316" s="86"/>
      <c r="X316" s="85"/>
      <c r="Y316" s="70"/>
      <c r="Z316" s="70"/>
      <c r="AA316" s="70"/>
      <c r="AB316" s="70"/>
      <c r="AC316" s="70"/>
      <c r="AD316" s="70"/>
      <c r="AE316" s="14"/>
      <c r="AF316" s="55"/>
      <c r="AG316" s="55"/>
    </row>
    <row r="317" ht="13.5" customHeight="1">
      <c r="A317" s="80">
        <f t="shared" si="20"/>
        <v>312</v>
      </c>
      <c r="B317" s="26"/>
      <c r="C317" s="39"/>
      <c r="D317" s="40"/>
      <c r="E317" s="83"/>
      <c r="F317" s="42"/>
      <c r="G317" s="84"/>
      <c r="H317" s="84"/>
      <c r="I317" s="45"/>
      <c r="J317" s="46" t="s">
        <v>222</v>
      </c>
      <c r="K317" s="40" t="s">
        <v>222</v>
      </c>
      <c r="L317" s="40" t="s">
        <v>222</v>
      </c>
      <c r="M317" s="40" t="s">
        <v>222</v>
      </c>
      <c r="N317" s="40" t="s">
        <v>222</v>
      </c>
      <c r="O317" s="40" t="s">
        <v>222</v>
      </c>
      <c r="P317" s="48"/>
      <c r="Q317" s="48"/>
      <c r="R317" s="49" t="s">
        <v>222</v>
      </c>
      <c r="S317" s="50" t="s">
        <v>222</v>
      </c>
      <c r="T317" s="85"/>
      <c r="U317" s="86"/>
      <c r="V317" s="85"/>
      <c r="W317" s="86"/>
      <c r="X317" s="85"/>
      <c r="Y317" s="70"/>
      <c r="Z317" s="70"/>
      <c r="AA317" s="70"/>
      <c r="AB317" s="70"/>
      <c r="AC317" s="70"/>
      <c r="AD317" s="70"/>
      <c r="AE317" s="14"/>
      <c r="AF317" s="55"/>
      <c r="AG317" s="55"/>
    </row>
    <row r="318" ht="13.5" customHeight="1">
      <c r="A318" s="80">
        <f t="shared" si="20"/>
        <v>313</v>
      </c>
      <c r="B318" s="26"/>
      <c r="C318" s="39"/>
      <c r="D318" s="40"/>
      <c r="E318" s="83"/>
      <c r="F318" s="42"/>
      <c r="G318" s="84"/>
      <c r="H318" s="84"/>
      <c r="I318" s="45"/>
      <c r="J318" s="46" t="s">
        <v>222</v>
      </c>
      <c r="K318" s="40" t="s">
        <v>222</v>
      </c>
      <c r="L318" s="40" t="s">
        <v>222</v>
      </c>
      <c r="M318" s="40" t="s">
        <v>222</v>
      </c>
      <c r="N318" s="40" t="s">
        <v>222</v>
      </c>
      <c r="O318" s="40" t="s">
        <v>222</v>
      </c>
      <c r="P318" s="48"/>
      <c r="Q318" s="48"/>
      <c r="R318" s="49" t="s">
        <v>222</v>
      </c>
      <c r="S318" s="50" t="s">
        <v>222</v>
      </c>
      <c r="T318" s="85"/>
      <c r="U318" s="86"/>
      <c r="V318" s="85"/>
      <c r="W318" s="86"/>
      <c r="X318" s="85"/>
      <c r="Y318" s="70"/>
      <c r="Z318" s="70"/>
      <c r="AA318" s="70"/>
      <c r="AB318" s="70"/>
      <c r="AC318" s="70"/>
      <c r="AD318" s="70"/>
      <c r="AE318" s="14"/>
      <c r="AF318" s="55"/>
      <c r="AG318" s="55"/>
    </row>
    <row r="319" ht="13.5" customHeight="1">
      <c r="A319" s="80">
        <f t="shared" si="20"/>
        <v>314</v>
      </c>
      <c r="B319" s="26"/>
      <c r="C319" s="39"/>
      <c r="D319" s="40"/>
      <c r="E319" s="83"/>
      <c r="F319" s="42"/>
      <c r="G319" s="84"/>
      <c r="H319" s="84"/>
      <c r="I319" s="45"/>
      <c r="J319" s="46" t="s">
        <v>222</v>
      </c>
      <c r="K319" s="40" t="s">
        <v>222</v>
      </c>
      <c r="L319" s="40" t="s">
        <v>222</v>
      </c>
      <c r="M319" s="40" t="s">
        <v>222</v>
      </c>
      <c r="N319" s="40" t="s">
        <v>222</v>
      </c>
      <c r="O319" s="40" t="s">
        <v>222</v>
      </c>
      <c r="P319" s="48"/>
      <c r="Q319" s="48"/>
      <c r="R319" s="49" t="s">
        <v>222</v>
      </c>
      <c r="S319" s="50" t="s">
        <v>222</v>
      </c>
      <c r="T319" s="85"/>
      <c r="U319" s="86"/>
      <c r="V319" s="85"/>
      <c r="W319" s="86"/>
      <c r="X319" s="85"/>
      <c r="Y319" s="70"/>
      <c r="Z319" s="70"/>
      <c r="AA319" s="70"/>
      <c r="AB319" s="70"/>
      <c r="AC319" s="70"/>
      <c r="AD319" s="70"/>
      <c r="AE319" s="14"/>
      <c r="AF319" s="55"/>
      <c r="AG319" s="55"/>
    </row>
    <row r="320" ht="13.5" customHeight="1">
      <c r="A320" s="80">
        <f t="shared" si="20"/>
        <v>315</v>
      </c>
      <c r="B320" s="26"/>
      <c r="C320" s="39"/>
      <c r="D320" s="40"/>
      <c r="E320" s="83"/>
      <c r="F320" s="42"/>
      <c r="G320" s="84"/>
      <c r="H320" s="84"/>
      <c r="I320" s="45"/>
      <c r="J320" s="46" t="s">
        <v>222</v>
      </c>
      <c r="K320" s="40" t="s">
        <v>222</v>
      </c>
      <c r="L320" s="40" t="s">
        <v>222</v>
      </c>
      <c r="M320" s="40" t="s">
        <v>222</v>
      </c>
      <c r="N320" s="40" t="s">
        <v>222</v>
      </c>
      <c r="O320" s="40" t="s">
        <v>222</v>
      </c>
      <c r="P320" s="48"/>
      <c r="Q320" s="48"/>
      <c r="R320" s="49" t="s">
        <v>222</v>
      </c>
      <c r="S320" s="50" t="s">
        <v>222</v>
      </c>
      <c r="T320" s="85"/>
      <c r="U320" s="86"/>
      <c r="V320" s="85"/>
      <c r="W320" s="86"/>
      <c r="X320" s="85"/>
      <c r="Y320" s="70"/>
      <c r="Z320" s="70"/>
      <c r="AA320" s="70"/>
      <c r="AB320" s="70"/>
      <c r="AC320" s="70"/>
      <c r="AD320" s="70"/>
      <c r="AE320" s="14"/>
      <c r="AF320" s="55"/>
      <c r="AG320" s="55"/>
    </row>
    <row r="321" ht="13.5" customHeight="1">
      <c r="A321" s="80">
        <f t="shared" si="20"/>
        <v>316</v>
      </c>
      <c r="B321" s="26"/>
      <c r="C321" s="39"/>
      <c r="D321" s="40"/>
      <c r="E321" s="83"/>
      <c r="F321" s="42"/>
      <c r="G321" s="84"/>
      <c r="H321" s="84"/>
      <c r="I321" s="45"/>
      <c r="J321" s="46" t="s">
        <v>222</v>
      </c>
      <c r="K321" s="40" t="s">
        <v>222</v>
      </c>
      <c r="L321" s="40" t="s">
        <v>222</v>
      </c>
      <c r="M321" s="40" t="s">
        <v>222</v>
      </c>
      <c r="N321" s="40" t="s">
        <v>222</v>
      </c>
      <c r="O321" s="40" t="s">
        <v>222</v>
      </c>
      <c r="P321" s="48"/>
      <c r="Q321" s="48"/>
      <c r="R321" s="49" t="s">
        <v>222</v>
      </c>
      <c r="S321" s="50" t="s">
        <v>222</v>
      </c>
      <c r="T321" s="85"/>
      <c r="U321" s="86"/>
      <c r="V321" s="85"/>
      <c r="W321" s="86"/>
      <c r="X321" s="85"/>
      <c r="Y321" s="70"/>
      <c r="Z321" s="70"/>
      <c r="AA321" s="70"/>
      <c r="AB321" s="70"/>
      <c r="AC321" s="70"/>
      <c r="AD321" s="70"/>
      <c r="AE321" s="14"/>
      <c r="AF321" s="55"/>
      <c r="AG321" s="55"/>
    </row>
    <row r="322" ht="13.5" customHeight="1">
      <c r="A322" s="80">
        <f t="shared" si="20"/>
        <v>317</v>
      </c>
      <c r="B322" s="26"/>
      <c r="C322" s="39"/>
      <c r="D322" s="40"/>
      <c r="E322" s="83"/>
      <c r="F322" s="42"/>
      <c r="G322" s="84"/>
      <c r="H322" s="84"/>
      <c r="I322" s="45"/>
      <c r="J322" s="46" t="s">
        <v>222</v>
      </c>
      <c r="K322" s="40" t="s">
        <v>222</v>
      </c>
      <c r="L322" s="40" t="s">
        <v>222</v>
      </c>
      <c r="M322" s="40" t="s">
        <v>222</v>
      </c>
      <c r="N322" s="40" t="s">
        <v>222</v>
      </c>
      <c r="O322" s="40" t="s">
        <v>222</v>
      </c>
      <c r="P322" s="48"/>
      <c r="Q322" s="48"/>
      <c r="R322" s="49" t="s">
        <v>222</v>
      </c>
      <c r="S322" s="50" t="s">
        <v>222</v>
      </c>
      <c r="T322" s="85"/>
      <c r="U322" s="86"/>
      <c r="V322" s="85"/>
      <c r="W322" s="86"/>
      <c r="X322" s="85"/>
      <c r="Y322" s="70"/>
      <c r="Z322" s="70"/>
      <c r="AA322" s="70"/>
      <c r="AB322" s="70"/>
      <c r="AC322" s="70"/>
      <c r="AD322" s="70"/>
      <c r="AE322" s="14"/>
      <c r="AF322" s="55"/>
      <c r="AG322" s="55"/>
    </row>
    <row r="323" ht="13.5" customHeight="1">
      <c r="A323" s="80">
        <f t="shared" si="20"/>
        <v>318</v>
      </c>
      <c r="B323" s="26"/>
      <c r="C323" s="39"/>
      <c r="D323" s="40"/>
      <c r="E323" s="83"/>
      <c r="F323" s="42"/>
      <c r="G323" s="84"/>
      <c r="H323" s="84"/>
      <c r="I323" s="45"/>
      <c r="J323" s="46" t="s">
        <v>222</v>
      </c>
      <c r="K323" s="40" t="s">
        <v>222</v>
      </c>
      <c r="L323" s="40" t="s">
        <v>222</v>
      </c>
      <c r="M323" s="40" t="s">
        <v>222</v>
      </c>
      <c r="N323" s="40" t="s">
        <v>222</v>
      </c>
      <c r="O323" s="40" t="s">
        <v>222</v>
      </c>
      <c r="P323" s="48"/>
      <c r="Q323" s="48"/>
      <c r="R323" s="49" t="s">
        <v>222</v>
      </c>
      <c r="S323" s="50" t="s">
        <v>222</v>
      </c>
      <c r="T323" s="85"/>
      <c r="U323" s="86"/>
      <c r="V323" s="85"/>
      <c r="W323" s="86"/>
      <c r="X323" s="85"/>
      <c r="Y323" s="70"/>
      <c r="Z323" s="70"/>
      <c r="AA323" s="70"/>
      <c r="AB323" s="70"/>
      <c r="AC323" s="70"/>
      <c r="AD323" s="70"/>
      <c r="AE323" s="14"/>
      <c r="AF323" s="55"/>
      <c r="AG323" s="55"/>
    </row>
    <row r="324" ht="13.5" customHeight="1">
      <c r="A324" s="80">
        <f t="shared" si="20"/>
        <v>319</v>
      </c>
      <c r="B324" s="26"/>
      <c r="C324" s="39"/>
      <c r="D324" s="40"/>
      <c r="E324" s="83"/>
      <c r="F324" s="42"/>
      <c r="G324" s="84"/>
      <c r="H324" s="84"/>
      <c r="I324" s="45"/>
      <c r="J324" s="46" t="s">
        <v>222</v>
      </c>
      <c r="K324" s="40" t="s">
        <v>222</v>
      </c>
      <c r="L324" s="40" t="s">
        <v>222</v>
      </c>
      <c r="M324" s="40" t="s">
        <v>222</v>
      </c>
      <c r="N324" s="40" t="s">
        <v>222</v>
      </c>
      <c r="O324" s="40" t="s">
        <v>222</v>
      </c>
      <c r="P324" s="48"/>
      <c r="Q324" s="48"/>
      <c r="R324" s="49" t="s">
        <v>222</v>
      </c>
      <c r="S324" s="50" t="s">
        <v>222</v>
      </c>
      <c r="T324" s="85"/>
      <c r="U324" s="86"/>
      <c r="V324" s="85"/>
      <c r="W324" s="86"/>
      <c r="X324" s="85"/>
      <c r="Y324" s="70"/>
      <c r="Z324" s="70"/>
      <c r="AA324" s="70"/>
      <c r="AB324" s="70"/>
      <c r="AC324" s="70"/>
      <c r="AD324" s="70"/>
      <c r="AE324" s="14"/>
      <c r="AF324" s="55"/>
      <c r="AG324" s="55"/>
    </row>
    <row r="325" ht="13.5" customHeight="1">
      <c r="A325" s="80">
        <f t="shared" si="20"/>
        <v>320</v>
      </c>
      <c r="B325" s="26"/>
      <c r="C325" s="39"/>
      <c r="D325" s="40"/>
      <c r="E325" s="83"/>
      <c r="F325" s="42"/>
      <c r="G325" s="84"/>
      <c r="H325" s="84"/>
      <c r="I325" s="45"/>
      <c r="J325" s="46" t="s">
        <v>222</v>
      </c>
      <c r="K325" s="40" t="s">
        <v>222</v>
      </c>
      <c r="L325" s="40" t="s">
        <v>222</v>
      </c>
      <c r="M325" s="40" t="s">
        <v>222</v>
      </c>
      <c r="N325" s="40" t="s">
        <v>222</v>
      </c>
      <c r="O325" s="40" t="s">
        <v>222</v>
      </c>
      <c r="P325" s="48"/>
      <c r="Q325" s="48"/>
      <c r="R325" s="49" t="s">
        <v>222</v>
      </c>
      <c r="S325" s="50" t="s">
        <v>222</v>
      </c>
      <c r="T325" s="85"/>
      <c r="U325" s="86"/>
      <c r="V325" s="85"/>
      <c r="W325" s="86"/>
      <c r="X325" s="85"/>
      <c r="Y325" s="70"/>
      <c r="Z325" s="70"/>
      <c r="AA325" s="70"/>
      <c r="AB325" s="70"/>
      <c r="AC325" s="70"/>
      <c r="AD325" s="70"/>
      <c r="AE325" s="14"/>
      <c r="AF325" s="55"/>
      <c r="AG325" s="55"/>
    </row>
    <row r="326" ht="13.5" customHeight="1">
      <c r="A326" s="80">
        <f t="shared" si="20"/>
        <v>321</v>
      </c>
      <c r="B326" s="26"/>
      <c r="C326" s="39"/>
      <c r="D326" s="40"/>
      <c r="E326" s="83"/>
      <c r="F326" s="42"/>
      <c r="G326" s="84"/>
      <c r="H326" s="84"/>
      <c r="I326" s="45"/>
      <c r="J326" s="46" t="s">
        <v>222</v>
      </c>
      <c r="K326" s="40" t="s">
        <v>222</v>
      </c>
      <c r="L326" s="40" t="s">
        <v>222</v>
      </c>
      <c r="M326" s="40" t="s">
        <v>222</v>
      </c>
      <c r="N326" s="40" t="s">
        <v>222</v>
      </c>
      <c r="O326" s="40" t="s">
        <v>222</v>
      </c>
      <c r="P326" s="48"/>
      <c r="Q326" s="48"/>
      <c r="R326" s="49" t="s">
        <v>222</v>
      </c>
      <c r="S326" s="50" t="s">
        <v>222</v>
      </c>
      <c r="T326" s="85"/>
      <c r="U326" s="86"/>
      <c r="V326" s="85"/>
      <c r="W326" s="86"/>
      <c r="X326" s="85"/>
      <c r="Y326" s="70"/>
      <c r="Z326" s="70"/>
      <c r="AA326" s="70"/>
      <c r="AB326" s="70"/>
      <c r="AC326" s="70"/>
      <c r="AD326" s="70"/>
      <c r="AE326" s="14"/>
      <c r="AF326" s="55"/>
      <c r="AG326" s="55"/>
    </row>
    <row r="327" ht="13.5" customHeight="1">
      <c r="A327" s="80">
        <f t="shared" si="20"/>
        <v>322</v>
      </c>
      <c r="B327" s="26"/>
      <c r="C327" s="39"/>
      <c r="D327" s="40"/>
      <c r="E327" s="83"/>
      <c r="F327" s="42"/>
      <c r="G327" s="84"/>
      <c r="H327" s="84"/>
      <c r="I327" s="45"/>
      <c r="J327" s="46" t="s">
        <v>222</v>
      </c>
      <c r="K327" s="40" t="s">
        <v>222</v>
      </c>
      <c r="L327" s="40" t="s">
        <v>222</v>
      </c>
      <c r="M327" s="40" t="s">
        <v>222</v>
      </c>
      <c r="N327" s="40" t="s">
        <v>222</v>
      </c>
      <c r="O327" s="40" t="s">
        <v>222</v>
      </c>
      <c r="P327" s="48"/>
      <c r="Q327" s="48"/>
      <c r="R327" s="49" t="s">
        <v>222</v>
      </c>
      <c r="S327" s="50" t="s">
        <v>222</v>
      </c>
      <c r="T327" s="85"/>
      <c r="U327" s="86"/>
      <c r="V327" s="85"/>
      <c r="W327" s="86"/>
      <c r="X327" s="85"/>
      <c r="Y327" s="70"/>
      <c r="Z327" s="70"/>
      <c r="AA327" s="70"/>
      <c r="AB327" s="70"/>
      <c r="AC327" s="70"/>
      <c r="AD327" s="70"/>
      <c r="AE327" s="14"/>
      <c r="AF327" s="55"/>
      <c r="AG327" s="55"/>
    </row>
    <row r="328" ht="13.5" customHeight="1">
      <c r="A328" s="80">
        <f t="shared" si="20"/>
        <v>323</v>
      </c>
      <c r="B328" s="26"/>
      <c r="C328" s="39"/>
      <c r="D328" s="40"/>
      <c r="E328" s="83"/>
      <c r="F328" s="42"/>
      <c r="G328" s="84"/>
      <c r="H328" s="84"/>
      <c r="I328" s="45"/>
      <c r="J328" s="46" t="s">
        <v>222</v>
      </c>
      <c r="K328" s="40" t="s">
        <v>222</v>
      </c>
      <c r="L328" s="40" t="s">
        <v>222</v>
      </c>
      <c r="M328" s="40" t="s">
        <v>222</v>
      </c>
      <c r="N328" s="40" t="s">
        <v>222</v>
      </c>
      <c r="O328" s="40" t="s">
        <v>222</v>
      </c>
      <c r="P328" s="48"/>
      <c r="Q328" s="48"/>
      <c r="R328" s="49" t="s">
        <v>222</v>
      </c>
      <c r="S328" s="50" t="s">
        <v>222</v>
      </c>
      <c r="T328" s="85"/>
      <c r="U328" s="86"/>
      <c r="V328" s="85"/>
      <c r="W328" s="86"/>
      <c r="X328" s="85"/>
      <c r="Y328" s="70"/>
      <c r="Z328" s="70"/>
      <c r="AA328" s="70"/>
      <c r="AB328" s="70"/>
      <c r="AC328" s="70"/>
      <c r="AD328" s="70"/>
      <c r="AE328" s="14"/>
      <c r="AF328" s="55"/>
      <c r="AG328" s="55"/>
    </row>
    <row r="329" ht="13.5" customHeight="1">
      <c r="A329" s="80">
        <f t="shared" si="20"/>
        <v>324</v>
      </c>
      <c r="B329" s="26"/>
      <c r="C329" s="39"/>
      <c r="D329" s="40"/>
      <c r="E329" s="83"/>
      <c r="F329" s="42"/>
      <c r="G329" s="84"/>
      <c r="H329" s="84"/>
      <c r="I329" s="45"/>
      <c r="J329" s="46" t="s">
        <v>222</v>
      </c>
      <c r="K329" s="40" t="s">
        <v>222</v>
      </c>
      <c r="L329" s="40" t="s">
        <v>222</v>
      </c>
      <c r="M329" s="40" t="s">
        <v>222</v>
      </c>
      <c r="N329" s="40" t="s">
        <v>222</v>
      </c>
      <c r="O329" s="40" t="s">
        <v>222</v>
      </c>
      <c r="P329" s="48"/>
      <c r="Q329" s="48"/>
      <c r="R329" s="49" t="s">
        <v>222</v>
      </c>
      <c r="S329" s="50" t="s">
        <v>222</v>
      </c>
      <c r="T329" s="85"/>
      <c r="U329" s="86"/>
      <c r="V329" s="85"/>
      <c r="W329" s="86"/>
      <c r="X329" s="85"/>
      <c r="Y329" s="70"/>
      <c r="Z329" s="70"/>
      <c r="AA329" s="70"/>
      <c r="AB329" s="70"/>
      <c r="AC329" s="70"/>
      <c r="AD329" s="70"/>
      <c r="AE329" s="14"/>
      <c r="AF329" s="55"/>
      <c r="AG329" s="55"/>
    </row>
    <row r="330" ht="13.5" customHeight="1">
      <c r="A330" s="80">
        <f t="shared" si="20"/>
        <v>325</v>
      </c>
      <c r="B330" s="26"/>
      <c r="C330" s="39"/>
      <c r="D330" s="40"/>
      <c r="E330" s="83"/>
      <c r="F330" s="42"/>
      <c r="G330" s="84"/>
      <c r="H330" s="84"/>
      <c r="I330" s="45"/>
      <c r="J330" s="46" t="s">
        <v>222</v>
      </c>
      <c r="K330" s="40" t="s">
        <v>222</v>
      </c>
      <c r="L330" s="40" t="s">
        <v>222</v>
      </c>
      <c r="M330" s="40" t="s">
        <v>222</v>
      </c>
      <c r="N330" s="40" t="s">
        <v>222</v>
      </c>
      <c r="O330" s="40" t="s">
        <v>222</v>
      </c>
      <c r="P330" s="48"/>
      <c r="Q330" s="48"/>
      <c r="R330" s="49" t="s">
        <v>222</v>
      </c>
      <c r="S330" s="50" t="s">
        <v>222</v>
      </c>
      <c r="T330" s="85"/>
      <c r="U330" s="86"/>
      <c r="V330" s="85"/>
      <c r="W330" s="86"/>
      <c r="X330" s="85"/>
      <c r="Y330" s="70"/>
      <c r="Z330" s="70"/>
      <c r="AA330" s="70"/>
      <c r="AB330" s="70"/>
      <c r="AC330" s="70"/>
      <c r="AD330" s="70"/>
      <c r="AE330" s="14"/>
      <c r="AF330" s="55"/>
      <c r="AG330" s="55"/>
    </row>
    <row r="331" ht="13.5" customHeight="1">
      <c r="A331" s="80">
        <f t="shared" si="20"/>
        <v>326</v>
      </c>
      <c r="B331" s="26"/>
      <c r="C331" s="39"/>
      <c r="D331" s="40"/>
      <c r="E331" s="83"/>
      <c r="F331" s="42"/>
      <c r="G331" s="84"/>
      <c r="H331" s="84"/>
      <c r="I331" s="45"/>
      <c r="J331" s="46" t="s">
        <v>222</v>
      </c>
      <c r="K331" s="40" t="s">
        <v>222</v>
      </c>
      <c r="L331" s="40" t="s">
        <v>222</v>
      </c>
      <c r="M331" s="40" t="s">
        <v>222</v>
      </c>
      <c r="N331" s="40" t="s">
        <v>222</v>
      </c>
      <c r="O331" s="40" t="s">
        <v>222</v>
      </c>
      <c r="P331" s="48"/>
      <c r="Q331" s="48"/>
      <c r="R331" s="49" t="s">
        <v>222</v>
      </c>
      <c r="S331" s="50" t="s">
        <v>222</v>
      </c>
      <c r="T331" s="85"/>
      <c r="U331" s="86"/>
      <c r="V331" s="85"/>
      <c r="W331" s="86"/>
      <c r="X331" s="85"/>
      <c r="Y331" s="70"/>
      <c r="Z331" s="70"/>
      <c r="AA331" s="70"/>
      <c r="AB331" s="70"/>
      <c r="AC331" s="70"/>
      <c r="AD331" s="70"/>
      <c r="AE331" s="14"/>
      <c r="AF331" s="55"/>
      <c r="AG331" s="55"/>
    </row>
    <row r="332" ht="13.5" customHeight="1">
      <c r="A332" s="80">
        <f t="shared" si="20"/>
        <v>327</v>
      </c>
      <c r="B332" s="26"/>
      <c r="C332" s="39"/>
      <c r="D332" s="40"/>
      <c r="E332" s="83"/>
      <c r="F332" s="42"/>
      <c r="G332" s="84"/>
      <c r="H332" s="84"/>
      <c r="I332" s="45"/>
      <c r="J332" s="46" t="s">
        <v>222</v>
      </c>
      <c r="K332" s="40" t="s">
        <v>222</v>
      </c>
      <c r="L332" s="40" t="s">
        <v>222</v>
      </c>
      <c r="M332" s="40" t="s">
        <v>222</v>
      </c>
      <c r="N332" s="40" t="s">
        <v>222</v>
      </c>
      <c r="O332" s="40" t="s">
        <v>222</v>
      </c>
      <c r="P332" s="48"/>
      <c r="Q332" s="48"/>
      <c r="R332" s="49" t="s">
        <v>222</v>
      </c>
      <c r="S332" s="50" t="s">
        <v>222</v>
      </c>
      <c r="T332" s="85"/>
      <c r="U332" s="86"/>
      <c r="V332" s="85"/>
      <c r="W332" s="86"/>
      <c r="X332" s="85"/>
      <c r="Y332" s="70"/>
      <c r="Z332" s="70"/>
      <c r="AA332" s="70"/>
      <c r="AB332" s="70"/>
      <c r="AC332" s="70"/>
      <c r="AD332" s="70"/>
      <c r="AE332" s="14"/>
      <c r="AF332" s="55"/>
      <c r="AG332" s="55"/>
    </row>
    <row r="333" ht="13.5" customHeight="1">
      <c r="A333" s="80">
        <f t="shared" si="20"/>
        <v>328</v>
      </c>
      <c r="B333" s="26"/>
      <c r="C333" s="39"/>
      <c r="D333" s="40"/>
      <c r="E333" s="83"/>
      <c r="F333" s="42"/>
      <c r="G333" s="84"/>
      <c r="H333" s="84"/>
      <c r="I333" s="45"/>
      <c r="J333" s="46" t="s">
        <v>222</v>
      </c>
      <c r="K333" s="40" t="s">
        <v>222</v>
      </c>
      <c r="L333" s="40" t="s">
        <v>222</v>
      </c>
      <c r="M333" s="40" t="s">
        <v>222</v>
      </c>
      <c r="N333" s="40" t="s">
        <v>222</v>
      </c>
      <c r="O333" s="40" t="s">
        <v>222</v>
      </c>
      <c r="P333" s="48"/>
      <c r="Q333" s="48"/>
      <c r="R333" s="49" t="s">
        <v>222</v>
      </c>
      <c r="S333" s="50" t="s">
        <v>222</v>
      </c>
      <c r="T333" s="85"/>
      <c r="U333" s="86"/>
      <c r="V333" s="85"/>
      <c r="W333" s="86"/>
      <c r="X333" s="85"/>
      <c r="Y333" s="70"/>
      <c r="Z333" s="70"/>
      <c r="AA333" s="70"/>
      <c r="AB333" s="70"/>
      <c r="AC333" s="70"/>
      <c r="AD333" s="70"/>
      <c r="AE333" s="14"/>
      <c r="AF333" s="55"/>
      <c r="AG333" s="55"/>
    </row>
    <row r="334" ht="13.5" customHeight="1">
      <c r="A334" s="80">
        <f t="shared" si="20"/>
        <v>329</v>
      </c>
      <c r="B334" s="26"/>
      <c r="C334" s="39"/>
      <c r="D334" s="40"/>
      <c r="E334" s="83"/>
      <c r="F334" s="42"/>
      <c r="G334" s="84"/>
      <c r="H334" s="84"/>
      <c r="I334" s="45"/>
      <c r="J334" s="46" t="s">
        <v>222</v>
      </c>
      <c r="K334" s="40" t="s">
        <v>222</v>
      </c>
      <c r="L334" s="40" t="s">
        <v>222</v>
      </c>
      <c r="M334" s="40" t="s">
        <v>222</v>
      </c>
      <c r="N334" s="40" t="s">
        <v>222</v>
      </c>
      <c r="O334" s="40" t="s">
        <v>222</v>
      </c>
      <c r="P334" s="48"/>
      <c r="Q334" s="48"/>
      <c r="R334" s="49" t="s">
        <v>222</v>
      </c>
      <c r="S334" s="50" t="s">
        <v>222</v>
      </c>
      <c r="T334" s="85"/>
      <c r="U334" s="86"/>
      <c r="V334" s="85"/>
      <c r="W334" s="86"/>
      <c r="X334" s="85"/>
      <c r="Y334" s="70"/>
      <c r="Z334" s="70"/>
      <c r="AA334" s="70"/>
      <c r="AB334" s="70"/>
      <c r="AC334" s="70"/>
      <c r="AD334" s="70"/>
      <c r="AE334" s="14"/>
      <c r="AF334" s="55"/>
      <c r="AG334" s="55"/>
    </row>
    <row r="335" ht="13.5" customHeight="1">
      <c r="A335" s="80">
        <f t="shared" si="20"/>
        <v>330</v>
      </c>
      <c r="B335" s="26"/>
      <c r="C335" s="39"/>
      <c r="D335" s="40"/>
      <c r="E335" s="83"/>
      <c r="F335" s="42"/>
      <c r="G335" s="84"/>
      <c r="H335" s="84"/>
      <c r="I335" s="45"/>
      <c r="J335" s="46" t="s">
        <v>222</v>
      </c>
      <c r="K335" s="40" t="s">
        <v>222</v>
      </c>
      <c r="L335" s="40" t="s">
        <v>222</v>
      </c>
      <c r="M335" s="40" t="s">
        <v>222</v>
      </c>
      <c r="N335" s="40" t="s">
        <v>222</v>
      </c>
      <c r="O335" s="40" t="s">
        <v>222</v>
      </c>
      <c r="P335" s="48"/>
      <c r="Q335" s="48"/>
      <c r="R335" s="49" t="s">
        <v>222</v>
      </c>
      <c r="S335" s="50" t="s">
        <v>222</v>
      </c>
      <c r="T335" s="85"/>
      <c r="U335" s="86"/>
      <c r="V335" s="85"/>
      <c r="W335" s="86"/>
      <c r="X335" s="85"/>
      <c r="Y335" s="70"/>
      <c r="Z335" s="70"/>
      <c r="AA335" s="70"/>
      <c r="AB335" s="70"/>
      <c r="AC335" s="70"/>
      <c r="AD335" s="70"/>
      <c r="AE335" s="14"/>
      <c r="AF335" s="55"/>
      <c r="AG335" s="55"/>
    </row>
    <row r="336" ht="13.5" customHeight="1">
      <c r="A336" s="80">
        <f t="shared" si="20"/>
        <v>331</v>
      </c>
      <c r="B336" s="26"/>
      <c r="C336" s="39"/>
      <c r="D336" s="40"/>
      <c r="E336" s="83"/>
      <c r="F336" s="42"/>
      <c r="G336" s="84"/>
      <c r="H336" s="84"/>
      <c r="I336" s="45"/>
      <c r="J336" s="46" t="s">
        <v>222</v>
      </c>
      <c r="K336" s="40" t="s">
        <v>222</v>
      </c>
      <c r="L336" s="40" t="s">
        <v>222</v>
      </c>
      <c r="M336" s="40" t="s">
        <v>222</v>
      </c>
      <c r="N336" s="40" t="s">
        <v>222</v>
      </c>
      <c r="O336" s="40" t="s">
        <v>222</v>
      </c>
      <c r="P336" s="48"/>
      <c r="Q336" s="48"/>
      <c r="R336" s="49" t="s">
        <v>222</v>
      </c>
      <c r="S336" s="50" t="s">
        <v>222</v>
      </c>
      <c r="T336" s="85"/>
      <c r="U336" s="86"/>
      <c r="V336" s="85"/>
      <c r="W336" s="86"/>
      <c r="X336" s="85"/>
      <c r="Y336" s="70"/>
      <c r="Z336" s="70"/>
      <c r="AA336" s="70"/>
      <c r="AB336" s="70"/>
      <c r="AC336" s="70"/>
      <c r="AD336" s="70"/>
      <c r="AE336" s="14"/>
      <c r="AF336" s="55"/>
      <c r="AG336" s="55"/>
    </row>
    <row r="337" ht="13.5" customHeight="1">
      <c r="A337" s="80">
        <f t="shared" si="20"/>
        <v>332</v>
      </c>
      <c r="B337" s="26"/>
      <c r="C337" s="39"/>
      <c r="D337" s="40"/>
      <c r="E337" s="83"/>
      <c r="F337" s="42"/>
      <c r="G337" s="84"/>
      <c r="H337" s="84"/>
      <c r="I337" s="45"/>
      <c r="J337" s="46" t="s">
        <v>222</v>
      </c>
      <c r="K337" s="40" t="s">
        <v>222</v>
      </c>
      <c r="L337" s="40" t="s">
        <v>222</v>
      </c>
      <c r="M337" s="40" t="s">
        <v>222</v>
      </c>
      <c r="N337" s="40" t="s">
        <v>222</v>
      </c>
      <c r="O337" s="40" t="s">
        <v>222</v>
      </c>
      <c r="P337" s="48"/>
      <c r="Q337" s="48"/>
      <c r="R337" s="49" t="s">
        <v>222</v>
      </c>
      <c r="S337" s="50" t="s">
        <v>222</v>
      </c>
      <c r="T337" s="85"/>
      <c r="U337" s="86"/>
      <c r="V337" s="85"/>
      <c r="W337" s="86"/>
      <c r="X337" s="85"/>
      <c r="Y337" s="70"/>
      <c r="Z337" s="70"/>
      <c r="AA337" s="70"/>
      <c r="AB337" s="70"/>
      <c r="AC337" s="70"/>
      <c r="AD337" s="70"/>
      <c r="AE337" s="14"/>
      <c r="AF337" s="55"/>
      <c r="AG337" s="55"/>
    </row>
    <row r="338" ht="13.5" customHeight="1">
      <c r="A338" s="80">
        <f t="shared" si="20"/>
        <v>333</v>
      </c>
      <c r="B338" s="26"/>
      <c r="C338" s="39"/>
      <c r="D338" s="40"/>
      <c r="E338" s="83"/>
      <c r="F338" s="42"/>
      <c r="G338" s="84"/>
      <c r="H338" s="84"/>
      <c r="I338" s="45"/>
      <c r="J338" s="46" t="s">
        <v>222</v>
      </c>
      <c r="K338" s="40" t="s">
        <v>222</v>
      </c>
      <c r="L338" s="40" t="s">
        <v>222</v>
      </c>
      <c r="M338" s="40" t="s">
        <v>222</v>
      </c>
      <c r="N338" s="40" t="s">
        <v>222</v>
      </c>
      <c r="O338" s="40" t="s">
        <v>222</v>
      </c>
      <c r="P338" s="48"/>
      <c r="Q338" s="48"/>
      <c r="R338" s="49" t="s">
        <v>222</v>
      </c>
      <c r="S338" s="50" t="s">
        <v>222</v>
      </c>
      <c r="T338" s="85"/>
      <c r="U338" s="86"/>
      <c r="V338" s="85"/>
      <c r="W338" s="86"/>
      <c r="X338" s="85"/>
      <c r="Y338" s="70"/>
      <c r="Z338" s="70"/>
      <c r="AA338" s="70"/>
      <c r="AB338" s="70"/>
      <c r="AC338" s="70"/>
      <c r="AD338" s="70"/>
      <c r="AE338" s="14"/>
      <c r="AF338" s="55"/>
      <c r="AG338" s="55"/>
    </row>
    <row r="339" ht="13.5" customHeight="1">
      <c r="A339" s="80">
        <f t="shared" si="20"/>
        <v>334</v>
      </c>
      <c r="B339" s="26"/>
      <c r="C339" s="39"/>
      <c r="D339" s="40"/>
      <c r="E339" s="83"/>
      <c r="F339" s="42"/>
      <c r="G339" s="84"/>
      <c r="H339" s="84"/>
      <c r="I339" s="45"/>
      <c r="J339" s="46" t="s">
        <v>222</v>
      </c>
      <c r="K339" s="40" t="s">
        <v>222</v>
      </c>
      <c r="L339" s="40" t="s">
        <v>222</v>
      </c>
      <c r="M339" s="40" t="s">
        <v>222</v>
      </c>
      <c r="N339" s="40" t="s">
        <v>222</v>
      </c>
      <c r="O339" s="40" t="s">
        <v>222</v>
      </c>
      <c r="P339" s="48"/>
      <c r="Q339" s="48"/>
      <c r="R339" s="49" t="s">
        <v>222</v>
      </c>
      <c r="S339" s="50" t="s">
        <v>222</v>
      </c>
      <c r="T339" s="85"/>
      <c r="U339" s="86"/>
      <c r="V339" s="85"/>
      <c r="W339" s="86"/>
      <c r="X339" s="85"/>
      <c r="Y339" s="70"/>
      <c r="Z339" s="70"/>
      <c r="AA339" s="70"/>
      <c r="AB339" s="70"/>
      <c r="AC339" s="70"/>
      <c r="AD339" s="70"/>
      <c r="AE339" s="14"/>
      <c r="AF339" s="55"/>
      <c r="AG339" s="55"/>
    </row>
    <row r="340" ht="13.5" customHeight="1">
      <c r="A340" s="80">
        <f t="shared" si="20"/>
        <v>335</v>
      </c>
      <c r="B340" s="26"/>
      <c r="C340" s="39"/>
      <c r="D340" s="40"/>
      <c r="E340" s="83"/>
      <c r="F340" s="42"/>
      <c r="G340" s="84"/>
      <c r="H340" s="84"/>
      <c r="I340" s="45"/>
      <c r="J340" s="46" t="s">
        <v>222</v>
      </c>
      <c r="K340" s="40" t="s">
        <v>222</v>
      </c>
      <c r="L340" s="40" t="s">
        <v>222</v>
      </c>
      <c r="M340" s="40" t="s">
        <v>222</v>
      </c>
      <c r="N340" s="40" t="s">
        <v>222</v>
      </c>
      <c r="O340" s="40" t="s">
        <v>222</v>
      </c>
      <c r="P340" s="48"/>
      <c r="Q340" s="48"/>
      <c r="R340" s="49" t="s">
        <v>222</v>
      </c>
      <c r="S340" s="50" t="s">
        <v>222</v>
      </c>
      <c r="T340" s="85"/>
      <c r="U340" s="86"/>
      <c r="V340" s="85"/>
      <c r="W340" s="86"/>
      <c r="X340" s="85"/>
      <c r="Y340" s="70"/>
      <c r="Z340" s="70"/>
      <c r="AA340" s="70"/>
      <c r="AB340" s="70"/>
      <c r="AC340" s="70"/>
      <c r="AD340" s="70"/>
      <c r="AE340" s="14"/>
      <c r="AF340" s="55"/>
      <c r="AG340" s="55"/>
    </row>
    <row r="341" ht="13.5" customHeight="1">
      <c r="A341" s="80">
        <f t="shared" si="20"/>
        <v>336</v>
      </c>
      <c r="B341" s="26"/>
      <c r="C341" s="39"/>
      <c r="D341" s="40"/>
      <c r="E341" s="83"/>
      <c r="F341" s="42"/>
      <c r="G341" s="84"/>
      <c r="H341" s="84"/>
      <c r="I341" s="45"/>
      <c r="J341" s="46" t="s">
        <v>222</v>
      </c>
      <c r="K341" s="40" t="s">
        <v>222</v>
      </c>
      <c r="L341" s="40" t="s">
        <v>222</v>
      </c>
      <c r="M341" s="40" t="s">
        <v>222</v>
      </c>
      <c r="N341" s="40" t="s">
        <v>222</v>
      </c>
      <c r="O341" s="40" t="s">
        <v>222</v>
      </c>
      <c r="P341" s="48"/>
      <c r="Q341" s="48"/>
      <c r="R341" s="49" t="s">
        <v>222</v>
      </c>
      <c r="S341" s="50" t="s">
        <v>222</v>
      </c>
      <c r="T341" s="85"/>
      <c r="U341" s="86"/>
      <c r="V341" s="85"/>
      <c r="W341" s="86"/>
      <c r="X341" s="85"/>
      <c r="Y341" s="70"/>
      <c r="Z341" s="70"/>
      <c r="AA341" s="70"/>
      <c r="AB341" s="70"/>
      <c r="AC341" s="70"/>
      <c r="AD341" s="70"/>
      <c r="AE341" s="14"/>
      <c r="AF341" s="55"/>
      <c r="AG341" s="55"/>
    </row>
    <row r="342" ht="13.5" customHeight="1">
      <c r="A342" s="80">
        <f t="shared" si="20"/>
        <v>337</v>
      </c>
      <c r="B342" s="26"/>
      <c r="C342" s="39"/>
      <c r="D342" s="40"/>
      <c r="E342" s="83"/>
      <c r="F342" s="42"/>
      <c r="G342" s="84"/>
      <c r="H342" s="84"/>
      <c r="I342" s="45"/>
      <c r="J342" s="46" t="s">
        <v>222</v>
      </c>
      <c r="K342" s="40" t="s">
        <v>222</v>
      </c>
      <c r="L342" s="40" t="s">
        <v>222</v>
      </c>
      <c r="M342" s="40" t="s">
        <v>222</v>
      </c>
      <c r="N342" s="40" t="s">
        <v>222</v>
      </c>
      <c r="O342" s="40" t="s">
        <v>222</v>
      </c>
      <c r="P342" s="48"/>
      <c r="Q342" s="48"/>
      <c r="R342" s="49" t="s">
        <v>222</v>
      </c>
      <c r="S342" s="50" t="s">
        <v>222</v>
      </c>
      <c r="T342" s="85"/>
      <c r="U342" s="86"/>
      <c r="V342" s="85"/>
      <c r="W342" s="86"/>
      <c r="X342" s="85"/>
      <c r="Y342" s="70"/>
      <c r="Z342" s="70"/>
      <c r="AA342" s="70"/>
      <c r="AB342" s="70"/>
      <c r="AC342" s="70"/>
      <c r="AD342" s="70"/>
      <c r="AE342" s="14"/>
      <c r="AF342" s="55"/>
      <c r="AG342" s="55"/>
    </row>
    <row r="343" ht="13.5" customHeight="1">
      <c r="A343" s="80">
        <f t="shared" si="20"/>
        <v>338</v>
      </c>
      <c r="B343" s="26"/>
      <c r="C343" s="39"/>
      <c r="D343" s="40"/>
      <c r="E343" s="83"/>
      <c r="F343" s="42"/>
      <c r="G343" s="84"/>
      <c r="H343" s="84"/>
      <c r="I343" s="45"/>
      <c r="J343" s="46" t="s">
        <v>222</v>
      </c>
      <c r="K343" s="40" t="s">
        <v>222</v>
      </c>
      <c r="L343" s="40" t="s">
        <v>222</v>
      </c>
      <c r="M343" s="40" t="s">
        <v>222</v>
      </c>
      <c r="N343" s="40" t="s">
        <v>222</v>
      </c>
      <c r="O343" s="40" t="s">
        <v>222</v>
      </c>
      <c r="P343" s="48"/>
      <c r="Q343" s="48"/>
      <c r="R343" s="49" t="s">
        <v>222</v>
      </c>
      <c r="S343" s="50" t="s">
        <v>222</v>
      </c>
      <c r="T343" s="85"/>
      <c r="U343" s="86"/>
      <c r="V343" s="85"/>
      <c r="W343" s="86"/>
      <c r="X343" s="85"/>
      <c r="Y343" s="70"/>
      <c r="Z343" s="70"/>
      <c r="AA343" s="70"/>
      <c r="AB343" s="70"/>
      <c r="AC343" s="70"/>
      <c r="AD343" s="70"/>
      <c r="AE343" s="14"/>
      <c r="AF343" s="55"/>
      <c r="AG343" s="55"/>
    </row>
    <row r="344" ht="13.5" customHeight="1">
      <c r="A344" s="80">
        <f t="shared" si="20"/>
        <v>339</v>
      </c>
      <c r="B344" s="26"/>
      <c r="C344" s="39"/>
      <c r="D344" s="40"/>
      <c r="E344" s="83"/>
      <c r="F344" s="42"/>
      <c r="G344" s="84"/>
      <c r="H344" s="84"/>
      <c r="I344" s="45"/>
      <c r="J344" s="46" t="s">
        <v>222</v>
      </c>
      <c r="K344" s="40" t="s">
        <v>222</v>
      </c>
      <c r="L344" s="40" t="s">
        <v>222</v>
      </c>
      <c r="M344" s="40" t="s">
        <v>222</v>
      </c>
      <c r="N344" s="40" t="s">
        <v>222</v>
      </c>
      <c r="O344" s="40" t="s">
        <v>222</v>
      </c>
      <c r="P344" s="48"/>
      <c r="Q344" s="48"/>
      <c r="R344" s="49" t="s">
        <v>222</v>
      </c>
      <c r="S344" s="50" t="s">
        <v>222</v>
      </c>
      <c r="T344" s="85"/>
      <c r="U344" s="86"/>
      <c r="V344" s="85"/>
      <c r="W344" s="86"/>
      <c r="X344" s="85"/>
      <c r="Y344" s="70"/>
      <c r="Z344" s="70"/>
      <c r="AA344" s="70"/>
      <c r="AB344" s="70"/>
      <c r="AC344" s="70"/>
      <c r="AD344" s="70"/>
      <c r="AE344" s="14"/>
      <c r="AF344" s="55"/>
      <c r="AG344" s="55"/>
    </row>
    <row r="345" ht="13.5" customHeight="1">
      <c r="A345" s="80">
        <f t="shared" si="20"/>
        <v>340</v>
      </c>
      <c r="B345" s="26"/>
      <c r="C345" s="39"/>
      <c r="D345" s="40"/>
      <c r="E345" s="83"/>
      <c r="F345" s="42"/>
      <c r="G345" s="84"/>
      <c r="H345" s="84"/>
      <c r="I345" s="45"/>
      <c r="J345" s="46" t="s">
        <v>222</v>
      </c>
      <c r="K345" s="40" t="s">
        <v>222</v>
      </c>
      <c r="L345" s="40" t="s">
        <v>222</v>
      </c>
      <c r="M345" s="40" t="s">
        <v>222</v>
      </c>
      <c r="N345" s="40" t="s">
        <v>222</v>
      </c>
      <c r="O345" s="40" t="s">
        <v>222</v>
      </c>
      <c r="P345" s="48"/>
      <c r="Q345" s="48"/>
      <c r="R345" s="49" t="s">
        <v>222</v>
      </c>
      <c r="S345" s="50" t="s">
        <v>222</v>
      </c>
      <c r="T345" s="85"/>
      <c r="U345" s="86"/>
      <c r="V345" s="85"/>
      <c r="W345" s="86"/>
      <c r="X345" s="85"/>
      <c r="Y345" s="70"/>
      <c r="Z345" s="70"/>
      <c r="AA345" s="70"/>
      <c r="AB345" s="70"/>
      <c r="AC345" s="70"/>
      <c r="AD345" s="70"/>
      <c r="AE345" s="14"/>
      <c r="AF345" s="55"/>
      <c r="AG345" s="55"/>
    </row>
    <row r="346" ht="13.5" customHeight="1">
      <c r="A346" s="80">
        <f t="shared" si="20"/>
        <v>341</v>
      </c>
      <c r="B346" s="26"/>
      <c r="C346" s="39"/>
      <c r="D346" s="40"/>
      <c r="E346" s="83"/>
      <c r="F346" s="42"/>
      <c r="G346" s="84"/>
      <c r="H346" s="84"/>
      <c r="I346" s="45"/>
      <c r="J346" s="46" t="s">
        <v>222</v>
      </c>
      <c r="K346" s="40" t="s">
        <v>222</v>
      </c>
      <c r="L346" s="40" t="s">
        <v>222</v>
      </c>
      <c r="M346" s="40" t="s">
        <v>222</v>
      </c>
      <c r="N346" s="40" t="s">
        <v>222</v>
      </c>
      <c r="O346" s="40" t="s">
        <v>222</v>
      </c>
      <c r="P346" s="48"/>
      <c r="Q346" s="48"/>
      <c r="R346" s="49" t="s">
        <v>222</v>
      </c>
      <c r="S346" s="50" t="s">
        <v>222</v>
      </c>
      <c r="T346" s="85"/>
      <c r="U346" s="86"/>
      <c r="V346" s="85"/>
      <c r="W346" s="86"/>
      <c r="X346" s="85"/>
      <c r="Y346" s="70"/>
      <c r="Z346" s="70"/>
      <c r="AA346" s="70"/>
      <c r="AB346" s="70"/>
      <c r="AC346" s="70"/>
      <c r="AD346" s="70"/>
      <c r="AE346" s="14"/>
      <c r="AF346" s="55"/>
      <c r="AG346" s="55"/>
    </row>
    <row r="347" ht="13.5" customHeight="1">
      <c r="A347" s="80">
        <f t="shared" si="20"/>
        <v>342</v>
      </c>
      <c r="B347" s="26"/>
      <c r="C347" s="39"/>
      <c r="D347" s="40"/>
      <c r="E347" s="83"/>
      <c r="F347" s="42"/>
      <c r="G347" s="84"/>
      <c r="H347" s="84"/>
      <c r="I347" s="45"/>
      <c r="J347" s="46" t="s">
        <v>222</v>
      </c>
      <c r="K347" s="40" t="s">
        <v>222</v>
      </c>
      <c r="L347" s="40" t="s">
        <v>222</v>
      </c>
      <c r="M347" s="40" t="s">
        <v>222</v>
      </c>
      <c r="N347" s="40" t="s">
        <v>222</v>
      </c>
      <c r="O347" s="40" t="s">
        <v>222</v>
      </c>
      <c r="P347" s="48"/>
      <c r="Q347" s="48"/>
      <c r="R347" s="49" t="s">
        <v>222</v>
      </c>
      <c r="S347" s="50" t="s">
        <v>222</v>
      </c>
      <c r="T347" s="85"/>
      <c r="U347" s="86"/>
      <c r="V347" s="85"/>
      <c r="W347" s="86"/>
      <c r="X347" s="85"/>
      <c r="Y347" s="70"/>
      <c r="Z347" s="70"/>
      <c r="AA347" s="70"/>
      <c r="AB347" s="70"/>
      <c r="AC347" s="70"/>
      <c r="AD347" s="70"/>
      <c r="AE347" s="14"/>
      <c r="AF347" s="55"/>
      <c r="AG347" s="55"/>
    </row>
    <row r="348" ht="13.5" customHeight="1">
      <c r="A348" s="80">
        <f t="shared" si="20"/>
        <v>343</v>
      </c>
      <c r="B348" s="26"/>
      <c r="C348" s="39"/>
      <c r="D348" s="40"/>
      <c r="E348" s="83"/>
      <c r="F348" s="42"/>
      <c r="G348" s="84"/>
      <c r="H348" s="84"/>
      <c r="I348" s="45"/>
      <c r="J348" s="46" t="s">
        <v>222</v>
      </c>
      <c r="K348" s="40" t="s">
        <v>222</v>
      </c>
      <c r="L348" s="40" t="s">
        <v>222</v>
      </c>
      <c r="M348" s="40" t="s">
        <v>222</v>
      </c>
      <c r="N348" s="40" t="s">
        <v>222</v>
      </c>
      <c r="O348" s="40" t="s">
        <v>222</v>
      </c>
      <c r="P348" s="48"/>
      <c r="Q348" s="48"/>
      <c r="R348" s="49" t="s">
        <v>222</v>
      </c>
      <c r="S348" s="50" t="s">
        <v>222</v>
      </c>
      <c r="T348" s="85"/>
      <c r="U348" s="86"/>
      <c r="V348" s="85"/>
      <c r="W348" s="86"/>
      <c r="X348" s="85"/>
      <c r="Y348" s="70"/>
      <c r="Z348" s="70"/>
      <c r="AA348" s="70"/>
      <c r="AB348" s="70"/>
      <c r="AC348" s="70"/>
      <c r="AD348" s="70"/>
      <c r="AE348" s="14"/>
      <c r="AF348" s="55"/>
      <c r="AG348" s="55"/>
    </row>
    <row r="349" ht="13.5" customHeight="1">
      <c r="A349" s="80">
        <f t="shared" si="20"/>
        <v>344</v>
      </c>
      <c r="B349" s="26"/>
      <c r="C349" s="39"/>
      <c r="D349" s="40"/>
      <c r="E349" s="83"/>
      <c r="F349" s="42"/>
      <c r="G349" s="84"/>
      <c r="H349" s="84"/>
      <c r="I349" s="45"/>
      <c r="J349" s="46" t="s">
        <v>222</v>
      </c>
      <c r="K349" s="40" t="s">
        <v>222</v>
      </c>
      <c r="L349" s="40" t="s">
        <v>222</v>
      </c>
      <c r="M349" s="40" t="s">
        <v>222</v>
      </c>
      <c r="N349" s="40" t="s">
        <v>222</v>
      </c>
      <c r="O349" s="40" t="s">
        <v>222</v>
      </c>
      <c r="P349" s="48"/>
      <c r="Q349" s="48"/>
      <c r="R349" s="49" t="s">
        <v>222</v>
      </c>
      <c r="S349" s="50" t="s">
        <v>222</v>
      </c>
      <c r="T349" s="85"/>
      <c r="U349" s="86"/>
      <c r="V349" s="85"/>
      <c r="W349" s="86"/>
      <c r="X349" s="85"/>
      <c r="Y349" s="70"/>
      <c r="Z349" s="70"/>
      <c r="AA349" s="70"/>
      <c r="AB349" s="70"/>
      <c r="AC349" s="70"/>
      <c r="AD349" s="70"/>
      <c r="AE349" s="14"/>
      <c r="AF349" s="55"/>
      <c r="AG349" s="55"/>
    </row>
    <row r="350" ht="13.5" customHeight="1">
      <c r="A350" s="80">
        <f t="shared" si="20"/>
        <v>345</v>
      </c>
      <c r="B350" s="26"/>
      <c r="C350" s="39"/>
      <c r="D350" s="40"/>
      <c r="E350" s="83"/>
      <c r="F350" s="42"/>
      <c r="G350" s="84"/>
      <c r="H350" s="84"/>
      <c r="I350" s="45"/>
      <c r="J350" s="46" t="s">
        <v>222</v>
      </c>
      <c r="K350" s="40" t="s">
        <v>222</v>
      </c>
      <c r="L350" s="40" t="s">
        <v>222</v>
      </c>
      <c r="M350" s="40" t="s">
        <v>222</v>
      </c>
      <c r="N350" s="40" t="s">
        <v>222</v>
      </c>
      <c r="O350" s="40" t="s">
        <v>222</v>
      </c>
      <c r="P350" s="48"/>
      <c r="Q350" s="48"/>
      <c r="R350" s="49" t="s">
        <v>222</v>
      </c>
      <c r="S350" s="50" t="s">
        <v>222</v>
      </c>
      <c r="T350" s="85"/>
      <c r="U350" s="86"/>
      <c r="V350" s="85"/>
      <c r="W350" s="86"/>
      <c r="X350" s="85"/>
      <c r="Y350" s="70"/>
      <c r="Z350" s="70"/>
      <c r="AA350" s="70"/>
      <c r="AB350" s="70"/>
      <c r="AC350" s="70"/>
      <c r="AD350" s="70"/>
      <c r="AE350" s="14"/>
      <c r="AF350" s="55"/>
      <c r="AG350" s="55"/>
    </row>
    <row r="351" ht="13.5" customHeight="1">
      <c r="A351" s="80">
        <f t="shared" si="20"/>
        <v>346</v>
      </c>
      <c r="B351" s="26"/>
      <c r="C351" s="39"/>
      <c r="D351" s="40"/>
      <c r="E351" s="83"/>
      <c r="F351" s="42"/>
      <c r="G351" s="84"/>
      <c r="H351" s="84"/>
      <c r="I351" s="45"/>
      <c r="J351" s="46" t="s">
        <v>222</v>
      </c>
      <c r="K351" s="40" t="s">
        <v>222</v>
      </c>
      <c r="L351" s="40" t="s">
        <v>222</v>
      </c>
      <c r="M351" s="40" t="s">
        <v>222</v>
      </c>
      <c r="N351" s="40" t="s">
        <v>222</v>
      </c>
      <c r="O351" s="40" t="s">
        <v>222</v>
      </c>
      <c r="P351" s="48"/>
      <c r="Q351" s="48"/>
      <c r="R351" s="49" t="s">
        <v>222</v>
      </c>
      <c r="S351" s="50" t="s">
        <v>222</v>
      </c>
      <c r="T351" s="85"/>
      <c r="U351" s="86"/>
      <c r="V351" s="85"/>
      <c r="W351" s="86"/>
      <c r="X351" s="85"/>
      <c r="Y351" s="70"/>
      <c r="Z351" s="70"/>
      <c r="AA351" s="70"/>
      <c r="AB351" s="70"/>
      <c r="AC351" s="70"/>
      <c r="AD351" s="70"/>
      <c r="AE351" s="14"/>
      <c r="AF351" s="55"/>
      <c r="AG351" s="55"/>
    </row>
    <row r="352" ht="13.5" customHeight="1">
      <c r="A352" s="80">
        <f t="shared" si="20"/>
        <v>347</v>
      </c>
      <c r="B352" s="26"/>
      <c r="C352" s="39"/>
      <c r="D352" s="40"/>
      <c r="E352" s="83"/>
      <c r="F352" s="42"/>
      <c r="G352" s="84"/>
      <c r="H352" s="84"/>
      <c r="I352" s="45"/>
      <c r="J352" s="46" t="s">
        <v>222</v>
      </c>
      <c r="K352" s="40" t="s">
        <v>222</v>
      </c>
      <c r="L352" s="40" t="s">
        <v>222</v>
      </c>
      <c r="M352" s="40" t="s">
        <v>222</v>
      </c>
      <c r="N352" s="40" t="s">
        <v>222</v>
      </c>
      <c r="O352" s="40" t="s">
        <v>222</v>
      </c>
      <c r="P352" s="48"/>
      <c r="Q352" s="48"/>
      <c r="R352" s="49" t="s">
        <v>222</v>
      </c>
      <c r="S352" s="50" t="s">
        <v>222</v>
      </c>
      <c r="T352" s="85"/>
      <c r="U352" s="86"/>
      <c r="V352" s="85"/>
      <c r="W352" s="86"/>
      <c r="X352" s="85"/>
      <c r="Y352" s="70"/>
      <c r="Z352" s="70"/>
      <c r="AA352" s="70"/>
      <c r="AB352" s="70"/>
      <c r="AC352" s="70"/>
      <c r="AD352" s="70"/>
      <c r="AE352" s="14"/>
      <c r="AF352" s="55"/>
      <c r="AG352" s="55"/>
    </row>
    <row r="353" ht="13.5" customHeight="1">
      <c r="A353" s="80">
        <f t="shared" si="20"/>
        <v>348</v>
      </c>
      <c r="B353" s="26"/>
      <c r="C353" s="39"/>
      <c r="D353" s="40"/>
      <c r="E353" s="83"/>
      <c r="F353" s="42"/>
      <c r="G353" s="84"/>
      <c r="H353" s="84"/>
      <c r="I353" s="45"/>
      <c r="J353" s="46" t="s">
        <v>222</v>
      </c>
      <c r="K353" s="40" t="s">
        <v>222</v>
      </c>
      <c r="L353" s="40" t="s">
        <v>222</v>
      </c>
      <c r="M353" s="40" t="s">
        <v>222</v>
      </c>
      <c r="N353" s="40" t="s">
        <v>222</v>
      </c>
      <c r="O353" s="40" t="s">
        <v>222</v>
      </c>
      <c r="P353" s="48"/>
      <c r="Q353" s="48"/>
      <c r="R353" s="49" t="s">
        <v>222</v>
      </c>
      <c r="S353" s="50" t="s">
        <v>222</v>
      </c>
      <c r="T353" s="85"/>
      <c r="U353" s="86"/>
      <c r="V353" s="85"/>
      <c r="W353" s="86"/>
      <c r="X353" s="85"/>
      <c r="Y353" s="70"/>
      <c r="Z353" s="70"/>
      <c r="AA353" s="70"/>
      <c r="AB353" s="70"/>
      <c r="AC353" s="70"/>
      <c r="AD353" s="70"/>
      <c r="AE353" s="14"/>
      <c r="AF353" s="55"/>
      <c r="AG353" s="55"/>
    </row>
    <row r="354" ht="13.5" customHeight="1">
      <c r="A354" s="80">
        <f t="shared" si="20"/>
        <v>349</v>
      </c>
      <c r="B354" s="26"/>
      <c r="C354" s="39"/>
      <c r="D354" s="40"/>
      <c r="E354" s="83"/>
      <c r="F354" s="42"/>
      <c r="G354" s="84"/>
      <c r="H354" s="84"/>
      <c r="I354" s="45"/>
      <c r="J354" s="46" t="s">
        <v>222</v>
      </c>
      <c r="K354" s="40" t="s">
        <v>222</v>
      </c>
      <c r="L354" s="40" t="s">
        <v>222</v>
      </c>
      <c r="M354" s="40" t="s">
        <v>222</v>
      </c>
      <c r="N354" s="40" t="s">
        <v>222</v>
      </c>
      <c r="O354" s="40" t="s">
        <v>222</v>
      </c>
      <c r="P354" s="48"/>
      <c r="Q354" s="48"/>
      <c r="R354" s="49" t="s">
        <v>222</v>
      </c>
      <c r="S354" s="50" t="s">
        <v>222</v>
      </c>
      <c r="T354" s="85"/>
      <c r="U354" s="86"/>
      <c r="V354" s="85"/>
      <c r="W354" s="86"/>
      <c r="X354" s="85"/>
      <c r="Y354" s="70"/>
      <c r="Z354" s="70"/>
      <c r="AA354" s="70"/>
      <c r="AB354" s="70"/>
      <c r="AC354" s="70"/>
      <c r="AD354" s="70"/>
      <c r="AE354" s="14"/>
      <c r="AF354" s="55"/>
      <c r="AG354" s="55"/>
    </row>
    <row r="355" ht="13.5" customHeight="1">
      <c r="A355" s="80">
        <f t="shared" si="20"/>
        <v>350</v>
      </c>
      <c r="B355" s="26"/>
      <c r="C355" s="39"/>
      <c r="D355" s="40"/>
      <c r="E355" s="83"/>
      <c r="F355" s="42"/>
      <c r="G355" s="84"/>
      <c r="H355" s="84"/>
      <c r="I355" s="45"/>
      <c r="J355" s="46" t="s">
        <v>222</v>
      </c>
      <c r="K355" s="40" t="s">
        <v>222</v>
      </c>
      <c r="L355" s="40" t="s">
        <v>222</v>
      </c>
      <c r="M355" s="40" t="s">
        <v>222</v>
      </c>
      <c r="N355" s="40" t="s">
        <v>222</v>
      </c>
      <c r="O355" s="40" t="s">
        <v>222</v>
      </c>
      <c r="P355" s="48"/>
      <c r="Q355" s="48"/>
      <c r="R355" s="49" t="s">
        <v>222</v>
      </c>
      <c r="S355" s="50" t="s">
        <v>222</v>
      </c>
      <c r="T355" s="85"/>
      <c r="U355" s="86"/>
      <c r="V355" s="85"/>
      <c r="W355" s="86"/>
      <c r="X355" s="85"/>
      <c r="Y355" s="70"/>
      <c r="Z355" s="70"/>
      <c r="AA355" s="70"/>
      <c r="AB355" s="70"/>
      <c r="AC355" s="70"/>
      <c r="AD355" s="70"/>
      <c r="AE355" s="14"/>
      <c r="AF355" s="55"/>
      <c r="AG355" s="55"/>
    </row>
    <row r="356" ht="13.5" customHeight="1">
      <c r="A356" s="80">
        <f t="shared" si="20"/>
        <v>351</v>
      </c>
      <c r="B356" s="26"/>
      <c r="C356" s="39"/>
      <c r="D356" s="40"/>
      <c r="E356" s="83"/>
      <c r="F356" s="42"/>
      <c r="G356" s="84"/>
      <c r="H356" s="84"/>
      <c r="I356" s="45"/>
      <c r="J356" s="46" t="s">
        <v>222</v>
      </c>
      <c r="K356" s="40" t="s">
        <v>222</v>
      </c>
      <c r="L356" s="40" t="s">
        <v>222</v>
      </c>
      <c r="M356" s="40" t="s">
        <v>222</v>
      </c>
      <c r="N356" s="40" t="s">
        <v>222</v>
      </c>
      <c r="O356" s="40" t="s">
        <v>222</v>
      </c>
      <c r="P356" s="48"/>
      <c r="Q356" s="48"/>
      <c r="R356" s="49" t="s">
        <v>222</v>
      </c>
      <c r="S356" s="50" t="s">
        <v>222</v>
      </c>
      <c r="T356" s="85"/>
      <c r="U356" s="86"/>
      <c r="V356" s="85"/>
      <c r="W356" s="86"/>
      <c r="X356" s="85"/>
      <c r="Y356" s="70"/>
      <c r="Z356" s="70"/>
      <c r="AA356" s="70"/>
      <c r="AB356" s="70"/>
      <c r="AC356" s="70"/>
      <c r="AD356" s="70"/>
      <c r="AE356" s="14"/>
      <c r="AF356" s="55"/>
      <c r="AG356" s="55"/>
    </row>
    <row r="357" ht="13.5" customHeight="1">
      <c r="A357" s="80">
        <f t="shared" si="20"/>
        <v>352</v>
      </c>
      <c r="B357" s="26"/>
      <c r="C357" s="39"/>
      <c r="D357" s="40"/>
      <c r="E357" s="83"/>
      <c r="F357" s="42"/>
      <c r="G357" s="84"/>
      <c r="H357" s="84"/>
      <c r="I357" s="45"/>
      <c r="J357" s="46" t="s">
        <v>222</v>
      </c>
      <c r="K357" s="40" t="s">
        <v>222</v>
      </c>
      <c r="L357" s="40" t="s">
        <v>222</v>
      </c>
      <c r="M357" s="40" t="s">
        <v>222</v>
      </c>
      <c r="N357" s="40" t="s">
        <v>222</v>
      </c>
      <c r="O357" s="40" t="s">
        <v>222</v>
      </c>
      <c r="P357" s="48"/>
      <c r="Q357" s="48"/>
      <c r="R357" s="49" t="s">
        <v>222</v>
      </c>
      <c r="S357" s="50" t="s">
        <v>222</v>
      </c>
      <c r="T357" s="85"/>
      <c r="U357" s="86"/>
      <c r="V357" s="85"/>
      <c r="W357" s="86"/>
      <c r="X357" s="85"/>
      <c r="Y357" s="70"/>
      <c r="Z357" s="70"/>
      <c r="AA357" s="70"/>
      <c r="AB357" s="70"/>
      <c r="AC357" s="70"/>
      <c r="AD357" s="70"/>
      <c r="AE357" s="14"/>
      <c r="AF357" s="55"/>
      <c r="AG357" s="55"/>
    </row>
    <row r="358" ht="13.5" customHeight="1">
      <c r="A358" s="80">
        <f t="shared" si="20"/>
        <v>353</v>
      </c>
      <c r="B358" s="26"/>
      <c r="C358" s="39"/>
      <c r="D358" s="40"/>
      <c r="E358" s="83"/>
      <c r="F358" s="42"/>
      <c r="G358" s="84"/>
      <c r="H358" s="84"/>
      <c r="I358" s="45"/>
      <c r="J358" s="46" t="s">
        <v>222</v>
      </c>
      <c r="K358" s="40" t="s">
        <v>222</v>
      </c>
      <c r="L358" s="40" t="s">
        <v>222</v>
      </c>
      <c r="M358" s="40" t="s">
        <v>222</v>
      </c>
      <c r="N358" s="40" t="s">
        <v>222</v>
      </c>
      <c r="O358" s="40" t="s">
        <v>222</v>
      </c>
      <c r="P358" s="48"/>
      <c r="Q358" s="48"/>
      <c r="R358" s="49" t="s">
        <v>222</v>
      </c>
      <c r="S358" s="50" t="s">
        <v>222</v>
      </c>
      <c r="T358" s="85"/>
      <c r="U358" s="86"/>
      <c r="V358" s="85"/>
      <c r="W358" s="86"/>
      <c r="X358" s="85"/>
      <c r="Y358" s="70"/>
      <c r="Z358" s="70"/>
      <c r="AA358" s="70"/>
      <c r="AB358" s="70"/>
      <c r="AC358" s="70"/>
      <c r="AD358" s="70"/>
      <c r="AE358" s="14"/>
      <c r="AF358" s="55"/>
      <c r="AG358" s="55"/>
    </row>
    <row r="359" ht="13.5" customHeight="1">
      <c r="A359" s="80">
        <f t="shared" si="20"/>
        <v>354</v>
      </c>
      <c r="B359" s="26"/>
      <c r="C359" s="39"/>
      <c r="D359" s="40"/>
      <c r="E359" s="83"/>
      <c r="F359" s="42"/>
      <c r="G359" s="84"/>
      <c r="H359" s="84"/>
      <c r="I359" s="45"/>
      <c r="J359" s="46" t="s">
        <v>222</v>
      </c>
      <c r="K359" s="40" t="s">
        <v>222</v>
      </c>
      <c r="L359" s="40" t="s">
        <v>222</v>
      </c>
      <c r="M359" s="40" t="s">
        <v>222</v>
      </c>
      <c r="N359" s="40" t="s">
        <v>222</v>
      </c>
      <c r="O359" s="40" t="s">
        <v>222</v>
      </c>
      <c r="P359" s="48"/>
      <c r="Q359" s="48"/>
      <c r="R359" s="49" t="s">
        <v>222</v>
      </c>
      <c r="S359" s="50" t="s">
        <v>222</v>
      </c>
      <c r="T359" s="85"/>
      <c r="U359" s="86"/>
      <c r="V359" s="85"/>
      <c r="W359" s="86"/>
      <c r="X359" s="85"/>
      <c r="Y359" s="70"/>
      <c r="Z359" s="70"/>
      <c r="AA359" s="70"/>
      <c r="AB359" s="70"/>
      <c r="AC359" s="70"/>
      <c r="AD359" s="70"/>
      <c r="AE359" s="14"/>
      <c r="AF359" s="55"/>
      <c r="AG359" s="55"/>
    </row>
    <row r="360" ht="13.5" customHeight="1">
      <c r="A360" s="80">
        <f t="shared" si="20"/>
        <v>355</v>
      </c>
      <c r="B360" s="26"/>
      <c r="C360" s="39"/>
      <c r="D360" s="40"/>
      <c r="E360" s="83"/>
      <c r="F360" s="42"/>
      <c r="G360" s="84"/>
      <c r="H360" s="84"/>
      <c r="I360" s="45"/>
      <c r="J360" s="46" t="s">
        <v>222</v>
      </c>
      <c r="K360" s="40" t="s">
        <v>222</v>
      </c>
      <c r="L360" s="40" t="s">
        <v>222</v>
      </c>
      <c r="M360" s="40" t="s">
        <v>222</v>
      </c>
      <c r="N360" s="40" t="s">
        <v>222</v>
      </c>
      <c r="O360" s="40" t="s">
        <v>222</v>
      </c>
      <c r="P360" s="48"/>
      <c r="Q360" s="48"/>
      <c r="R360" s="49" t="s">
        <v>222</v>
      </c>
      <c r="S360" s="50" t="s">
        <v>222</v>
      </c>
      <c r="T360" s="85"/>
      <c r="U360" s="86"/>
      <c r="V360" s="85"/>
      <c r="W360" s="86"/>
      <c r="X360" s="85"/>
      <c r="Y360" s="70"/>
      <c r="Z360" s="70"/>
      <c r="AA360" s="70"/>
      <c r="AB360" s="70"/>
      <c r="AC360" s="70"/>
      <c r="AD360" s="70"/>
      <c r="AE360" s="14"/>
      <c r="AF360" s="55"/>
      <c r="AG360" s="55"/>
    </row>
    <row r="361" ht="13.5" customHeight="1">
      <c r="A361" s="80">
        <f t="shared" si="20"/>
        <v>356</v>
      </c>
      <c r="B361" s="26"/>
      <c r="C361" s="39"/>
      <c r="D361" s="40"/>
      <c r="E361" s="83"/>
      <c r="F361" s="42"/>
      <c r="G361" s="84"/>
      <c r="H361" s="84"/>
      <c r="I361" s="45"/>
      <c r="J361" s="46" t="s">
        <v>222</v>
      </c>
      <c r="K361" s="40" t="s">
        <v>222</v>
      </c>
      <c r="L361" s="40" t="s">
        <v>222</v>
      </c>
      <c r="M361" s="40" t="s">
        <v>222</v>
      </c>
      <c r="N361" s="40" t="s">
        <v>222</v>
      </c>
      <c r="O361" s="40" t="s">
        <v>222</v>
      </c>
      <c r="P361" s="48"/>
      <c r="Q361" s="48"/>
      <c r="R361" s="49" t="s">
        <v>222</v>
      </c>
      <c r="S361" s="50" t="s">
        <v>222</v>
      </c>
      <c r="T361" s="85"/>
      <c r="U361" s="86"/>
      <c r="V361" s="85"/>
      <c r="W361" s="86"/>
      <c r="X361" s="85"/>
      <c r="Y361" s="70"/>
      <c r="Z361" s="70"/>
      <c r="AA361" s="70"/>
      <c r="AB361" s="70"/>
      <c r="AC361" s="70"/>
      <c r="AD361" s="70"/>
      <c r="AE361" s="14"/>
      <c r="AF361" s="55"/>
      <c r="AG361" s="55"/>
    </row>
    <row r="362" ht="13.5" customHeight="1">
      <c r="A362" s="80">
        <f t="shared" si="20"/>
        <v>357</v>
      </c>
      <c r="B362" s="26"/>
      <c r="C362" s="39"/>
      <c r="D362" s="40"/>
      <c r="E362" s="83"/>
      <c r="F362" s="42"/>
      <c r="G362" s="84"/>
      <c r="H362" s="84"/>
      <c r="I362" s="45"/>
      <c r="J362" s="46" t="s">
        <v>222</v>
      </c>
      <c r="K362" s="40" t="s">
        <v>222</v>
      </c>
      <c r="L362" s="40" t="s">
        <v>222</v>
      </c>
      <c r="M362" s="40" t="s">
        <v>222</v>
      </c>
      <c r="N362" s="40" t="s">
        <v>222</v>
      </c>
      <c r="O362" s="40" t="s">
        <v>222</v>
      </c>
      <c r="P362" s="48"/>
      <c r="Q362" s="48"/>
      <c r="R362" s="49" t="s">
        <v>222</v>
      </c>
      <c r="S362" s="50" t="s">
        <v>222</v>
      </c>
      <c r="T362" s="85"/>
      <c r="U362" s="86"/>
      <c r="V362" s="85"/>
      <c r="W362" s="86"/>
      <c r="X362" s="85"/>
      <c r="Y362" s="70"/>
      <c r="Z362" s="70"/>
      <c r="AA362" s="70"/>
      <c r="AB362" s="70"/>
      <c r="AC362" s="70"/>
      <c r="AD362" s="70"/>
      <c r="AE362" s="14"/>
      <c r="AF362" s="55"/>
      <c r="AG362" s="55"/>
    </row>
    <row r="363" ht="13.5" customHeight="1">
      <c r="A363" s="80">
        <f t="shared" si="20"/>
        <v>358</v>
      </c>
      <c r="B363" s="26"/>
      <c r="C363" s="39"/>
      <c r="D363" s="40"/>
      <c r="E363" s="83"/>
      <c r="F363" s="42"/>
      <c r="G363" s="84"/>
      <c r="H363" s="84"/>
      <c r="I363" s="45"/>
      <c r="J363" s="46" t="s">
        <v>222</v>
      </c>
      <c r="K363" s="40" t="s">
        <v>222</v>
      </c>
      <c r="L363" s="40" t="s">
        <v>222</v>
      </c>
      <c r="M363" s="40" t="s">
        <v>222</v>
      </c>
      <c r="N363" s="40" t="s">
        <v>222</v>
      </c>
      <c r="O363" s="40" t="s">
        <v>222</v>
      </c>
      <c r="P363" s="48"/>
      <c r="Q363" s="48"/>
      <c r="R363" s="49" t="s">
        <v>222</v>
      </c>
      <c r="S363" s="50" t="s">
        <v>222</v>
      </c>
      <c r="T363" s="85"/>
      <c r="U363" s="86"/>
      <c r="V363" s="85"/>
      <c r="W363" s="86"/>
      <c r="X363" s="85"/>
      <c r="Y363" s="70"/>
      <c r="Z363" s="70"/>
      <c r="AA363" s="70"/>
      <c r="AB363" s="70"/>
      <c r="AC363" s="70"/>
      <c r="AD363" s="70"/>
      <c r="AE363" s="14"/>
      <c r="AF363" s="55"/>
      <c r="AG363" s="55"/>
    </row>
    <row r="364" ht="13.5" customHeight="1">
      <c r="A364" s="80">
        <f t="shared" si="20"/>
        <v>359</v>
      </c>
      <c r="B364" s="26"/>
      <c r="C364" s="39"/>
      <c r="D364" s="40"/>
      <c r="E364" s="83"/>
      <c r="F364" s="42"/>
      <c r="G364" s="84"/>
      <c r="H364" s="84"/>
      <c r="I364" s="45"/>
      <c r="J364" s="46" t="s">
        <v>222</v>
      </c>
      <c r="K364" s="40" t="s">
        <v>222</v>
      </c>
      <c r="L364" s="40" t="s">
        <v>222</v>
      </c>
      <c r="M364" s="40" t="s">
        <v>222</v>
      </c>
      <c r="N364" s="40" t="s">
        <v>222</v>
      </c>
      <c r="O364" s="40" t="s">
        <v>222</v>
      </c>
      <c r="P364" s="48"/>
      <c r="Q364" s="48"/>
      <c r="R364" s="49" t="s">
        <v>222</v>
      </c>
      <c r="S364" s="50" t="s">
        <v>222</v>
      </c>
      <c r="T364" s="85"/>
      <c r="U364" s="86"/>
      <c r="V364" s="85"/>
      <c r="W364" s="86"/>
      <c r="X364" s="85"/>
      <c r="Y364" s="70"/>
      <c r="Z364" s="70"/>
      <c r="AA364" s="70"/>
      <c r="AB364" s="70"/>
      <c r="AC364" s="70"/>
      <c r="AD364" s="70"/>
      <c r="AE364" s="14"/>
      <c r="AF364" s="55"/>
      <c r="AG364" s="55"/>
    </row>
    <row r="365" ht="13.5" customHeight="1">
      <c r="A365" s="80">
        <f t="shared" si="20"/>
        <v>360</v>
      </c>
      <c r="B365" s="26"/>
      <c r="C365" s="39"/>
      <c r="D365" s="40"/>
      <c r="E365" s="83"/>
      <c r="F365" s="42"/>
      <c r="G365" s="84"/>
      <c r="H365" s="84"/>
      <c r="I365" s="45"/>
      <c r="J365" s="46" t="s">
        <v>222</v>
      </c>
      <c r="K365" s="40" t="s">
        <v>222</v>
      </c>
      <c r="L365" s="40" t="s">
        <v>222</v>
      </c>
      <c r="M365" s="40" t="s">
        <v>222</v>
      </c>
      <c r="N365" s="40" t="s">
        <v>222</v>
      </c>
      <c r="O365" s="40" t="s">
        <v>222</v>
      </c>
      <c r="P365" s="48"/>
      <c r="Q365" s="48"/>
      <c r="R365" s="49" t="s">
        <v>222</v>
      </c>
      <c r="S365" s="50" t="s">
        <v>222</v>
      </c>
      <c r="T365" s="85"/>
      <c r="U365" s="86"/>
      <c r="V365" s="85"/>
      <c r="W365" s="86"/>
      <c r="X365" s="85"/>
      <c r="Y365" s="70"/>
      <c r="Z365" s="70"/>
      <c r="AA365" s="70"/>
      <c r="AB365" s="70"/>
      <c r="AC365" s="70"/>
      <c r="AD365" s="70"/>
      <c r="AE365" s="14"/>
      <c r="AF365" s="55"/>
      <c r="AG365" s="55"/>
    </row>
    <row r="366" ht="13.5" customHeight="1">
      <c r="A366" s="80">
        <f t="shared" si="20"/>
        <v>361</v>
      </c>
      <c r="B366" s="26"/>
      <c r="C366" s="39"/>
      <c r="D366" s="40"/>
      <c r="E366" s="83"/>
      <c r="F366" s="42"/>
      <c r="G366" s="84"/>
      <c r="H366" s="84"/>
      <c r="I366" s="45"/>
      <c r="J366" s="46" t="s">
        <v>222</v>
      </c>
      <c r="K366" s="40" t="s">
        <v>222</v>
      </c>
      <c r="L366" s="40" t="s">
        <v>222</v>
      </c>
      <c r="M366" s="40" t="s">
        <v>222</v>
      </c>
      <c r="N366" s="40" t="s">
        <v>222</v>
      </c>
      <c r="O366" s="40" t="s">
        <v>222</v>
      </c>
      <c r="P366" s="48"/>
      <c r="Q366" s="48"/>
      <c r="R366" s="49" t="s">
        <v>222</v>
      </c>
      <c r="S366" s="50" t="s">
        <v>222</v>
      </c>
      <c r="T366" s="85"/>
      <c r="U366" s="86"/>
      <c r="V366" s="85"/>
      <c r="W366" s="86"/>
      <c r="X366" s="85"/>
      <c r="Y366" s="70"/>
      <c r="Z366" s="70"/>
      <c r="AA366" s="70"/>
      <c r="AB366" s="70"/>
      <c r="AC366" s="70"/>
      <c r="AD366" s="70"/>
      <c r="AE366" s="14"/>
      <c r="AF366" s="55"/>
      <c r="AG366" s="55"/>
    </row>
    <row r="367" ht="13.5" customHeight="1">
      <c r="A367" s="80">
        <f t="shared" si="20"/>
        <v>362</v>
      </c>
      <c r="B367" s="26"/>
      <c r="C367" s="39"/>
      <c r="D367" s="40"/>
      <c r="E367" s="83"/>
      <c r="F367" s="42"/>
      <c r="G367" s="84"/>
      <c r="H367" s="84"/>
      <c r="I367" s="45"/>
      <c r="J367" s="46" t="s">
        <v>222</v>
      </c>
      <c r="K367" s="40" t="s">
        <v>222</v>
      </c>
      <c r="L367" s="40" t="s">
        <v>222</v>
      </c>
      <c r="M367" s="40" t="s">
        <v>222</v>
      </c>
      <c r="N367" s="40" t="s">
        <v>222</v>
      </c>
      <c r="O367" s="40" t="s">
        <v>222</v>
      </c>
      <c r="P367" s="48"/>
      <c r="Q367" s="48"/>
      <c r="R367" s="49" t="s">
        <v>222</v>
      </c>
      <c r="S367" s="50" t="s">
        <v>222</v>
      </c>
      <c r="T367" s="85"/>
      <c r="U367" s="86"/>
      <c r="V367" s="85"/>
      <c r="W367" s="86"/>
      <c r="X367" s="85"/>
      <c r="Y367" s="70"/>
      <c r="Z367" s="70"/>
      <c r="AA367" s="70"/>
      <c r="AB367" s="70"/>
      <c r="AC367" s="70"/>
      <c r="AD367" s="70"/>
      <c r="AE367" s="14"/>
      <c r="AF367" s="55"/>
      <c r="AG367" s="55"/>
    </row>
    <row r="368" ht="13.5" customHeight="1">
      <c r="A368" s="80">
        <f t="shared" si="20"/>
        <v>363</v>
      </c>
      <c r="B368" s="26"/>
      <c r="C368" s="39"/>
      <c r="D368" s="40"/>
      <c r="E368" s="83"/>
      <c r="F368" s="42"/>
      <c r="G368" s="84"/>
      <c r="H368" s="84"/>
      <c r="I368" s="45"/>
      <c r="J368" s="46" t="s">
        <v>222</v>
      </c>
      <c r="K368" s="40" t="s">
        <v>222</v>
      </c>
      <c r="L368" s="40" t="s">
        <v>222</v>
      </c>
      <c r="M368" s="40" t="s">
        <v>222</v>
      </c>
      <c r="N368" s="40" t="s">
        <v>222</v>
      </c>
      <c r="O368" s="40" t="s">
        <v>222</v>
      </c>
      <c r="P368" s="48"/>
      <c r="Q368" s="48"/>
      <c r="R368" s="49" t="s">
        <v>222</v>
      </c>
      <c r="S368" s="50" t="s">
        <v>222</v>
      </c>
      <c r="T368" s="85"/>
      <c r="U368" s="86"/>
      <c r="V368" s="85"/>
      <c r="W368" s="86"/>
      <c r="X368" s="85"/>
      <c r="Y368" s="70"/>
      <c r="Z368" s="70"/>
      <c r="AA368" s="70"/>
      <c r="AB368" s="70"/>
      <c r="AC368" s="70"/>
      <c r="AD368" s="70"/>
      <c r="AE368" s="14"/>
      <c r="AF368" s="55"/>
      <c r="AG368" s="55"/>
    </row>
    <row r="369" ht="13.5" customHeight="1">
      <c r="A369" s="80">
        <f t="shared" si="20"/>
        <v>364</v>
      </c>
      <c r="B369" s="26"/>
      <c r="C369" s="39"/>
      <c r="D369" s="40"/>
      <c r="E369" s="83"/>
      <c r="F369" s="42"/>
      <c r="G369" s="84"/>
      <c r="H369" s="84"/>
      <c r="I369" s="45"/>
      <c r="J369" s="46" t="s">
        <v>222</v>
      </c>
      <c r="K369" s="40" t="s">
        <v>222</v>
      </c>
      <c r="L369" s="40" t="s">
        <v>222</v>
      </c>
      <c r="M369" s="40" t="s">
        <v>222</v>
      </c>
      <c r="N369" s="40" t="s">
        <v>222</v>
      </c>
      <c r="O369" s="40" t="s">
        <v>222</v>
      </c>
      <c r="P369" s="48"/>
      <c r="Q369" s="48"/>
      <c r="R369" s="49" t="s">
        <v>222</v>
      </c>
      <c r="S369" s="50" t="s">
        <v>222</v>
      </c>
      <c r="T369" s="85"/>
      <c r="U369" s="86"/>
      <c r="V369" s="85"/>
      <c r="W369" s="86"/>
      <c r="X369" s="85"/>
      <c r="Y369" s="70"/>
      <c r="Z369" s="70"/>
      <c r="AA369" s="70"/>
      <c r="AB369" s="70"/>
      <c r="AC369" s="70"/>
      <c r="AD369" s="70"/>
      <c r="AE369" s="14"/>
      <c r="AF369" s="55"/>
      <c r="AG369" s="55"/>
    </row>
    <row r="370" ht="13.5" customHeight="1">
      <c r="A370" s="80">
        <f t="shared" si="20"/>
        <v>365</v>
      </c>
      <c r="B370" s="26"/>
      <c r="C370" s="39"/>
      <c r="D370" s="40"/>
      <c r="E370" s="83"/>
      <c r="F370" s="42"/>
      <c r="G370" s="84"/>
      <c r="H370" s="84"/>
      <c r="I370" s="45"/>
      <c r="J370" s="46" t="s">
        <v>222</v>
      </c>
      <c r="K370" s="40" t="s">
        <v>222</v>
      </c>
      <c r="L370" s="40" t="s">
        <v>222</v>
      </c>
      <c r="M370" s="40" t="s">
        <v>222</v>
      </c>
      <c r="N370" s="40" t="s">
        <v>222</v>
      </c>
      <c r="O370" s="40" t="s">
        <v>222</v>
      </c>
      <c r="P370" s="48"/>
      <c r="Q370" s="48"/>
      <c r="R370" s="49" t="s">
        <v>222</v>
      </c>
      <c r="S370" s="50" t="s">
        <v>222</v>
      </c>
      <c r="T370" s="85"/>
      <c r="U370" s="86"/>
      <c r="V370" s="85"/>
      <c r="W370" s="86"/>
      <c r="X370" s="85"/>
      <c r="Y370" s="70"/>
      <c r="Z370" s="70"/>
      <c r="AA370" s="70"/>
      <c r="AB370" s="70"/>
      <c r="AC370" s="70"/>
      <c r="AD370" s="70"/>
      <c r="AE370" s="14"/>
      <c r="AF370" s="55"/>
      <c r="AG370" s="55"/>
    </row>
    <row r="371" ht="13.5" customHeight="1">
      <c r="A371" s="80">
        <f t="shared" si="20"/>
        <v>366</v>
      </c>
      <c r="B371" s="26"/>
      <c r="C371" s="39"/>
      <c r="D371" s="40"/>
      <c r="E371" s="83"/>
      <c r="F371" s="42"/>
      <c r="G371" s="84"/>
      <c r="H371" s="84"/>
      <c r="I371" s="45"/>
      <c r="J371" s="46" t="s">
        <v>222</v>
      </c>
      <c r="K371" s="40" t="s">
        <v>222</v>
      </c>
      <c r="L371" s="40" t="s">
        <v>222</v>
      </c>
      <c r="M371" s="40" t="s">
        <v>222</v>
      </c>
      <c r="N371" s="40" t="s">
        <v>222</v>
      </c>
      <c r="O371" s="40" t="s">
        <v>222</v>
      </c>
      <c r="P371" s="48"/>
      <c r="Q371" s="48"/>
      <c r="R371" s="49" t="s">
        <v>222</v>
      </c>
      <c r="S371" s="50" t="s">
        <v>222</v>
      </c>
      <c r="T371" s="85"/>
      <c r="U371" s="86"/>
      <c r="V371" s="85"/>
      <c r="W371" s="86"/>
      <c r="X371" s="85"/>
      <c r="Y371" s="70"/>
      <c r="Z371" s="70"/>
      <c r="AA371" s="70"/>
      <c r="AB371" s="70"/>
      <c r="AC371" s="70"/>
      <c r="AD371" s="70"/>
      <c r="AE371" s="14"/>
      <c r="AF371" s="55"/>
      <c r="AG371" s="55"/>
    </row>
    <row r="372" ht="13.5" customHeight="1">
      <c r="A372" s="80">
        <f t="shared" si="20"/>
        <v>367</v>
      </c>
      <c r="B372" s="26"/>
      <c r="C372" s="39"/>
      <c r="D372" s="40"/>
      <c r="E372" s="83"/>
      <c r="F372" s="42"/>
      <c r="G372" s="84"/>
      <c r="H372" s="84"/>
      <c r="I372" s="45"/>
      <c r="J372" s="46" t="s">
        <v>222</v>
      </c>
      <c r="K372" s="40" t="s">
        <v>222</v>
      </c>
      <c r="L372" s="40" t="s">
        <v>222</v>
      </c>
      <c r="M372" s="40" t="s">
        <v>222</v>
      </c>
      <c r="N372" s="40" t="s">
        <v>222</v>
      </c>
      <c r="O372" s="40" t="s">
        <v>222</v>
      </c>
      <c r="P372" s="48"/>
      <c r="Q372" s="48"/>
      <c r="R372" s="49" t="s">
        <v>222</v>
      </c>
      <c r="S372" s="50" t="s">
        <v>222</v>
      </c>
      <c r="T372" s="85"/>
      <c r="U372" s="86"/>
      <c r="V372" s="85"/>
      <c r="W372" s="86"/>
      <c r="X372" s="85"/>
      <c r="Y372" s="70"/>
      <c r="Z372" s="70"/>
      <c r="AA372" s="70"/>
      <c r="AB372" s="70"/>
      <c r="AC372" s="70"/>
      <c r="AD372" s="70"/>
      <c r="AE372" s="14"/>
      <c r="AF372" s="55"/>
      <c r="AG372" s="55"/>
    </row>
    <row r="373" ht="13.5" customHeight="1">
      <c r="A373" s="80">
        <f t="shared" si="20"/>
        <v>368</v>
      </c>
      <c r="B373" s="26"/>
      <c r="C373" s="39"/>
      <c r="D373" s="40"/>
      <c r="E373" s="83"/>
      <c r="F373" s="42"/>
      <c r="G373" s="84"/>
      <c r="H373" s="84"/>
      <c r="I373" s="45"/>
      <c r="J373" s="46" t="s">
        <v>222</v>
      </c>
      <c r="K373" s="40" t="s">
        <v>222</v>
      </c>
      <c r="L373" s="40" t="s">
        <v>222</v>
      </c>
      <c r="M373" s="40" t="s">
        <v>222</v>
      </c>
      <c r="N373" s="40" t="s">
        <v>222</v>
      </c>
      <c r="O373" s="40" t="s">
        <v>222</v>
      </c>
      <c r="P373" s="48"/>
      <c r="Q373" s="48"/>
      <c r="R373" s="49" t="s">
        <v>222</v>
      </c>
      <c r="S373" s="50" t="s">
        <v>222</v>
      </c>
      <c r="T373" s="85"/>
      <c r="U373" s="86"/>
      <c r="V373" s="85"/>
      <c r="W373" s="86"/>
      <c r="X373" s="85"/>
      <c r="Y373" s="70"/>
      <c r="Z373" s="70"/>
      <c r="AA373" s="70"/>
      <c r="AB373" s="70"/>
      <c r="AC373" s="70"/>
      <c r="AD373" s="70"/>
      <c r="AE373" s="14"/>
      <c r="AF373" s="55"/>
      <c r="AG373" s="55"/>
    </row>
    <row r="374" ht="13.5" customHeight="1">
      <c r="A374" s="80">
        <f t="shared" si="20"/>
        <v>369</v>
      </c>
      <c r="B374" s="26"/>
      <c r="C374" s="39"/>
      <c r="D374" s="40"/>
      <c r="E374" s="83"/>
      <c r="F374" s="42"/>
      <c r="G374" s="84"/>
      <c r="H374" s="84"/>
      <c r="I374" s="45"/>
      <c r="J374" s="46" t="s">
        <v>222</v>
      </c>
      <c r="K374" s="40" t="s">
        <v>222</v>
      </c>
      <c r="L374" s="40" t="s">
        <v>222</v>
      </c>
      <c r="M374" s="40" t="s">
        <v>222</v>
      </c>
      <c r="N374" s="40" t="s">
        <v>222</v>
      </c>
      <c r="O374" s="40" t="s">
        <v>222</v>
      </c>
      <c r="P374" s="48"/>
      <c r="Q374" s="48"/>
      <c r="R374" s="49" t="s">
        <v>222</v>
      </c>
      <c r="S374" s="50" t="s">
        <v>222</v>
      </c>
      <c r="T374" s="85"/>
      <c r="U374" s="86"/>
      <c r="V374" s="85"/>
      <c r="W374" s="86"/>
      <c r="X374" s="85"/>
      <c r="Y374" s="70"/>
      <c r="Z374" s="70"/>
      <c r="AA374" s="70"/>
      <c r="AB374" s="70"/>
      <c r="AC374" s="70"/>
      <c r="AD374" s="70"/>
      <c r="AE374" s="14"/>
      <c r="AF374" s="55"/>
      <c r="AG374" s="55"/>
    </row>
    <row r="375" ht="13.5" customHeight="1">
      <c r="A375" s="80">
        <f t="shared" si="20"/>
        <v>370</v>
      </c>
      <c r="B375" s="26"/>
      <c r="C375" s="39"/>
      <c r="D375" s="40"/>
      <c r="E375" s="83"/>
      <c r="F375" s="42"/>
      <c r="G375" s="84"/>
      <c r="H375" s="84"/>
      <c r="I375" s="45"/>
      <c r="J375" s="46" t="s">
        <v>222</v>
      </c>
      <c r="K375" s="40" t="s">
        <v>222</v>
      </c>
      <c r="L375" s="40" t="s">
        <v>222</v>
      </c>
      <c r="M375" s="40" t="s">
        <v>222</v>
      </c>
      <c r="N375" s="40" t="s">
        <v>222</v>
      </c>
      <c r="O375" s="40" t="s">
        <v>222</v>
      </c>
      <c r="P375" s="48"/>
      <c r="Q375" s="48"/>
      <c r="R375" s="49" t="s">
        <v>222</v>
      </c>
      <c r="S375" s="50" t="s">
        <v>222</v>
      </c>
      <c r="T375" s="85"/>
      <c r="U375" s="86"/>
      <c r="V375" s="85"/>
      <c r="W375" s="86"/>
      <c r="X375" s="85"/>
      <c r="Y375" s="70"/>
      <c r="Z375" s="70"/>
      <c r="AA375" s="70"/>
      <c r="AB375" s="70"/>
      <c r="AC375" s="70"/>
      <c r="AD375" s="70"/>
      <c r="AE375" s="14"/>
      <c r="AF375" s="55"/>
      <c r="AG375" s="55"/>
    </row>
    <row r="376" ht="13.5" customHeight="1">
      <c r="A376" s="80">
        <f t="shared" si="20"/>
        <v>371</v>
      </c>
      <c r="B376" s="26"/>
      <c r="C376" s="39"/>
      <c r="D376" s="40"/>
      <c r="E376" s="83"/>
      <c r="F376" s="42"/>
      <c r="G376" s="84"/>
      <c r="H376" s="84"/>
      <c r="I376" s="45"/>
      <c r="J376" s="46" t="s">
        <v>222</v>
      </c>
      <c r="K376" s="40" t="s">
        <v>222</v>
      </c>
      <c r="L376" s="40" t="s">
        <v>222</v>
      </c>
      <c r="M376" s="40" t="s">
        <v>222</v>
      </c>
      <c r="N376" s="40" t="s">
        <v>222</v>
      </c>
      <c r="O376" s="40" t="s">
        <v>222</v>
      </c>
      <c r="P376" s="48"/>
      <c r="Q376" s="48"/>
      <c r="R376" s="49" t="s">
        <v>222</v>
      </c>
      <c r="S376" s="50" t="s">
        <v>222</v>
      </c>
      <c r="T376" s="85"/>
      <c r="U376" s="86"/>
      <c r="V376" s="85"/>
      <c r="W376" s="86"/>
      <c r="X376" s="85"/>
      <c r="Y376" s="70"/>
      <c r="Z376" s="70"/>
      <c r="AA376" s="70"/>
      <c r="AB376" s="70"/>
      <c r="AC376" s="70"/>
      <c r="AD376" s="70"/>
      <c r="AE376" s="14"/>
      <c r="AF376" s="55"/>
      <c r="AG376" s="55"/>
    </row>
    <row r="377" ht="13.5" customHeight="1">
      <c r="A377" s="80">
        <f t="shared" si="20"/>
        <v>372</v>
      </c>
      <c r="B377" s="26"/>
      <c r="C377" s="39"/>
      <c r="D377" s="40"/>
      <c r="E377" s="83"/>
      <c r="F377" s="42"/>
      <c r="G377" s="84"/>
      <c r="H377" s="84"/>
      <c r="I377" s="45"/>
      <c r="J377" s="46" t="s">
        <v>222</v>
      </c>
      <c r="K377" s="40" t="s">
        <v>222</v>
      </c>
      <c r="L377" s="40" t="s">
        <v>222</v>
      </c>
      <c r="M377" s="40" t="s">
        <v>222</v>
      </c>
      <c r="N377" s="40" t="s">
        <v>222</v>
      </c>
      <c r="O377" s="40" t="s">
        <v>222</v>
      </c>
      <c r="P377" s="48"/>
      <c r="Q377" s="48"/>
      <c r="R377" s="49" t="s">
        <v>222</v>
      </c>
      <c r="S377" s="50" t="s">
        <v>222</v>
      </c>
      <c r="T377" s="85"/>
      <c r="U377" s="86"/>
      <c r="V377" s="85"/>
      <c r="W377" s="86"/>
      <c r="X377" s="85"/>
      <c r="Y377" s="70"/>
      <c r="Z377" s="70"/>
      <c r="AA377" s="70"/>
      <c r="AB377" s="70"/>
      <c r="AC377" s="70"/>
      <c r="AD377" s="70"/>
      <c r="AE377" s="14"/>
      <c r="AF377" s="55"/>
      <c r="AG377" s="55"/>
    </row>
    <row r="378" ht="13.5" customHeight="1">
      <c r="A378" s="80">
        <f t="shared" si="20"/>
        <v>373</v>
      </c>
      <c r="B378" s="26"/>
      <c r="C378" s="39"/>
      <c r="D378" s="40"/>
      <c r="E378" s="83"/>
      <c r="F378" s="42"/>
      <c r="G378" s="84"/>
      <c r="H378" s="84"/>
      <c r="I378" s="45"/>
      <c r="J378" s="46" t="s">
        <v>222</v>
      </c>
      <c r="K378" s="40" t="s">
        <v>222</v>
      </c>
      <c r="L378" s="40" t="s">
        <v>222</v>
      </c>
      <c r="M378" s="40" t="s">
        <v>222</v>
      </c>
      <c r="N378" s="40" t="s">
        <v>222</v>
      </c>
      <c r="O378" s="40" t="s">
        <v>222</v>
      </c>
      <c r="P378" s="48"/>
      <c r="Q378" s="48"/>
      <c r="R378" s="49" t="s">
        <v>222</v>
      </c>
      <c r="S378" s="50" t="s">
        <v>222</v>
      </c>
      <c r="T378" s="85"/>
      <c r="U378" s="86"/>
      <c r="V378" s="85"/>
      <c r="W378" s="86"/>
      <c r="X378" s="85"/>
      <c r="Y378" s="70"/>
      <c r="Z378" s="70"/>
      <c r="AA378" s="70"/>
      <c r="AB378" s="70"/>
      <c r="AC378" s="70"/>
      <c r="AD378" s="70"/>
      <c r="AE378" s="14"/>
      <c r="AF378" s="55"/>
      <c r="AG378" s="55"/>
    </row>
    <row r="379" ht="13.5" customHeight="1">
      <c r="A379" s="80">
        <f t="shared" si="20"/>
        <v>374</v>
      </c>
      <c r="B379" s="26"/>
      <c r="C379" s="39"/>
      <c r="D379" s="40"/>
      <c r="E379" s="83"/>
      <c r="F379" s="42"/>
      <c r="G379" s="84"/>
      <c r="H379" s="84"/>
      <c r="I379" s="45"/>
      <c r="J379" s="46" t="s">
        <v>222</v>
      </c>
      <c r="K379" s="40" t="s">
        <v>222</v>
      </c>
      <c r="L379" s="40" t="s">
        <v>222</v>
      </c>
      <c r="M379" s="40" t="s">
        <v>222</v>
      </c>
      <c r="N379" s="40" t="s">
        <v>222</v>
      </c>
      <c r="O379" s="40" t="s">
        <v>222</v>
      </c>
      <c r="P379" s="48"/>
      <c r="Q379" s="48"/>
      <c r="R379" s="49" t="s">
        <v>222</v>
      </c>
      <c r="S379" s="50" t="s">
        <v>222</v>
      </c>
      <c r="T379" s="85"/>
      <c r="U379" s="86"/>
      <c r="V379" s="85"/>
      <c r="W379" s="86"/>
      <c r="X379" s="85"/>
      <c r="Y379" s="70"/>
      <c r="Z379" s="70"/>
      <c r="AA379" s="70"/>
      <c r="AB379" s="70"/>
      <c r="AC379" s="70"/>
      <c r="AD379" s="70"/>
      <c r="AE379" s="14"/>
      <c r="AF379" s="55"/>
      <c r="AG379" s="55"/>
    </row>
    <row r="380" ht="13.5" customHeight="1">
      <c r="A380" s="80">
        <f t="shared" si="20"/>
        <v>375</v>
      </c>
      <c r="B380" s="26"/>
      <c r="C380" s="39"/>
      <c r="D380" s="40"/>
      <c r="E380" s="83"/>
      <c r="F380" s="42"/>
      <c r="G380" s="84"/>
      <c r="H380" s="84"/>
      <c r="I380" s="45"/>
      <c r="J380" s="46" t="s">
        <v>222</v>
      </c>
      <c r="K380" s="40" t="s">
        <v>222</v>
      </c>
      <c r="L380" s="40" t="s">
        <v>222</v>
      </c>
      <c r="M380" s="40" t="s">
        <v>222</v>
      </c>
      <c r="N380" s="40" t="s">
        <v>222</v>
      </c>
      <c r="O380" s="40" t="s">
        <v>222</v>
      </c>
      <c r="P380" s="48"/>
      <c r="Q380" s="48"/>
      <c r="R380" s="49" t="s">
        <v>222</v>
      </c>
      <c r="S380" s="50" t="s">
        <v>222</v>
      </c>
      <c r="T380" s="85"/>
      <c r="U380" s="86"/>
      <c r="V380" s="85"/>
      <c r="W380" s="86"/>
      <c r="X380" s="85"/>
      <c r="Y380" s="70"/>
      <c r="Z380" s="70"/>
      <c r="AA380" s="70"/>
      <c r="AB380" s="70"/>
      <c r="AC380" s="70"/>
      <c r="AD380" s="70"/>
      <c r="AE380" s="14"/>
      <c r="AF380" s="55"/>
      <c r="AG380" s="55"/>
    </row>
    <row r="381" ht="13.5" customHeight="1">
      <c r="A381" s="80">
        <f t="shared" si="20"/>
        <v>376</v>
      </c>
      <c r="B381" s="26"/>
      <c r="C381" s="39"/>
      <c r="D381" s="40"/>
      <c r="E381" s="83"/>
      <c r="F381" s="42"/>
      <c r="G381" s="84"/>
      <c r="H381" s="84"/>
      <c r="I381" s="45"/>
      <c r="J381" s="46" t="s">
        <v>222</v>
      </c>
      <c r="K381" s="40" t="s">
        <v>222</v>
      </c>
      <c r="L381" s="40" t="s">
        <v>222</v>
      </c>
      <c r="M381" s="40" t="s">
        <v>222</v>
      </c>
      <c r="N381" s="40" t="s">
        <v>222</v>
      </c>
      <c r="O381" s="40" t="s">
        <v>222</v>
      </c>
      <c r="P381" s="48"/>
      <c r="Q381" s="48"/>
      <c r="R381" s="49" t="s">
        <v>222</v>
      </c>
      <c r="S381" s="50" t="s">
        <v>222</v>
      </c>
      <c r="T381" s="85"/>
      <c r="U381" s="86"/>
      <c r="V381" s="85"/>
      <c r="W381" s="86"/>
      <c r="X381" s="85"/>
      <c r="Y381" s="70"/>
      <c r="Z381" s="70"/>
      <c r="AA381" s="70"/>
      <c r="AB381" s="70"/>
      <c r="AC381" s="70"/>
      <c r="AD381" s="70"/>
      <c r="AE381" s="14"/>
      <c r="AF381" s="55"/>
      <c r="AG381" s="55"/>
    </row>
    <row r="382" ht="13.5" customHeight="1">
      <c r="A382" s="80">
        <f t="shared" si="20"/>
        <v>377</v>
      </c>
      <c r="B382" s="26"/>
      <c r="C382" s="39"/>
      <c r="D382" s="40"/>
      <c r="E382" s="83"/>
      <c r="F382" s="42"/>
      <c r="G382" s="84"/>
      <c r="H382" s="84"/>
      <c r="I382" s="45"/>
      <c r="J382" s="46" t="s">
        <v>222</v>
      </c>
      <c r="K382" s="40" t="s">
        <v>222</v>
      </c>
      <c r="L382" s="40" t="s">
        <v>222</v>
      </c>
      <c r="M382" s="40" t="s">
        <v>222</v>
      </c>
      <c r="N382" s="40" t="s">
        <v>222</v>
      </c>
      <c r="O382" s="40" t="s">
        <v>222</v>
      </c>
      <c r="P382" s="48"/>
      <c r="Q382" s="48"/>
      <c r="R382" s="49" t="s">
        <v>222</v>
      </c>
      <c r="S382" s="50" t="s">
        <v>222</v>
      </c>
      <c r="T382" s="85"/>
      <c r="U382" s="86"/>
      <c r="V382" s="85"/>
      <c r="W382" s="86"/>
      <c r="X382" s="85"/>
      <c r="Y382" s="70"/>
      <c r="Z382" s="70"/>
      <c r="AA382" s="70"/>
      <c r="AB382" s="70"/>
      <c r="AC382" s="70"/>
      <c r="AD382" s="70"/>
      <c r="AE382" s="14"/>
      <c r="AF382" s="55"/>
      <c r="AG382" s="55"/>
    </row>
    <row r="383" ht="13.5" customHeight="1">
      <c r="A383" s="80">
        <f t="shared" si="20"/>
        <v>378</v>
      </c>
      <c r="B383" s="26"/>
      <c r="C383" s="39"/>
      <c r="D383" s="40"/>
      <c r="E383" s="83"/>
      <c r="F383" s="42"/>
      <c r="G383" s="84"/>
      <c r="H383" s="84"/>
      <c r="I383" s="45"/>
      <c r="J383" s="46" t="s">
        <v>222</v>
      </c>
      <c r="K383" s="40" t="s">
        <v>222</v>
      </c>
      <c r="L383" s="40" t="s">
        <v>222</v>
      </c>
      <c r="M383" s="40" t="s">
        <v>222</v>
      </c>
      <c r="N383" s="40" t="s">
        <v>222</v>
      </c>
      <c r="O383" s="40" t="s">
        <v>222</v>
      </c>
      <c r="P383" s="48"/>
      <c r="Q383" s="48"/>
      <c r="R383" s="49" t="s">
        <v>222</v>
      </c>
      <c r="S383" s="50" t="s">
        <v>222</v>
      </c>
      <c r="T383" s="85"/>
      <c r="U383" s="86"/>
      <c r="V383" s="85"/>
      <c r="W383" s="86"/>
      <c r="X383" s="85"/>
      <c r="Y383" s="70"/>
      <c r="Z383" s="70"/>
      <c r="AA383" s="70"/>
      <c r="AB383" s="70"/>
      <c r="AC383" s="70"/>
      <c r="AD383" s="70"/>
      <c r="AE383" s="14"/>
      <c r="AF383" s="55"/>
      <c r="AG383" s="55"/>
    </row>
    <row r="384" ht="13.5" customHeight="1">
      <c r="A384" s="80">
        <f t="shared" si="20"/>
        <v>379</v>
      </c>
      <c r="B384" s="26"/>
      <c r="C384" s="39"/>
      <c r="D384" s="40"/>
      <c r="E384" s="83"/>
      <c r="F384" s="42"/>
      <c r="G384" s="84"/>
      <c r="H384" s="84"/>
      <c r="I384" s="45"/>
      <c r="J384" s="46" t="s">
        <v>222</v>
      </c>
      <c r="K384" s="40" t="s">
        <v>222</v>
      </c>
      <c r="L384" s="40" t="s">
        <v>222</v>
      </c>
      <c r="M384" s="40" t="s">
        <v>222</v>
      </c>
      <c r="N384" s="40" t="s">
        <v>222</v>
      </c>
      <c r="O384" s="40" t="s">
        <v>222</v>
      </c>
      <c r="P384" s="48"/>
      <c r="Q384" s="48"/>
      <c r="R384" s="49" t="s">
        <v>222</v>
      </c>
      <c r="S384" s="50" t="s">
        <v>222</v>
      </c>
      <c r="T384" s="85"/>
      <c r="U384" s="86"/>
      <c r="V384" s="85"/>
      <c r="W384" s="86"/>
      <c r="X384" s="85"/>
      <c r="Y384" s="70"/>
      <c r="Z384" s="70"/>
      <c r="AA384" s="70"/>
      <c r="AB384" s="70"/>
      <c r="AC384" s="70"/>
      <c r="AD384" s="70"/>
      <c r="AE384" s="14"/>
      <c r="AF384" s="55"/>
      <c r="AG384" s="55"/>
    </row>
    <row r="385" ht="13.5" customHeight="1">
      <c r="A385" s="80">
        <f t="shared" si="20"/>
        <v>380</v>
      </c>
      <c r="B385" s="26"/>
      <c r="C385" s="39"/>
      <c r="D385" s="40"/>
      <c r="E385" s="83"/>
      <c r="F385" s="42"/>
      <c r="G385" s="84"/>
      <c r="H385" s="84"/>
      <c r="I385" s="45"/>
      <c r="J385" s="46" t="s">
        <v>222</v>
      </c>
      <c r="K385" s="40" t="s">
        <v>222</v>
      </c>
      <c r="L385" s="40" t="s">
        <v>222</v>
      </c>
      <c r="M385" s="40" t="s">
        <v>222</v>
      </c>
      <c r="N385" s="40" t="s">
        <v>222</v>
      </c>
      <c r="O385" s="40" t="s">
        <v>222</v>
      </c>
      <c r="P385" s="48"/>
      <c r="Q385" s="48"/>
      <c r="R385" s="49" t="s">
        <v>222</v>
      </c>
      <c r="S385" s="50" t="s">
        <v>222</v>
      </c>
      <c r="T385" s="85"/>
      <c r="U385" s="86"/>
      <c r="V385" s="85"/>
      <c r="W385" s="86"/>
      <c r="X385" s="85"/>
      <c r="Y385" s="70"/>
      <c r="Z385" s="70"/>
      <c r="AA385" s="70"/>
      <c r="AB385" s="70"/>
      <c r="AC385" s="70"/>
      <c r="AD385" s="70"/>
      <c r="AE385" s="14"/>
      <c r="AF385" s="55"/>
      <c r="AG385" s="55"/>
    </row>
    <row r="386" ht="13.5" customHeight="1">
      <c r="A386" s="80">
        <f t="shared" si="20"/>
        <v>381</v>
      </c>
      <c r="B386" s="26"/>
      <c r="C386" s="39"/>
      <c r="D386" s="40"/>
      <c r="E386" s="83"/>
      <c r="F386" s="42"/>
      <c r="G386" s="84"/>
      <c r="H386" s="84"/>
      <c r="I386" s="45"/>
      <c r="J386" s="46" t="s">
        <v>222</v>
      </c>
      <c r="K386" s="40" t="s">
        <v>222</v>
      </c>
      <c r="L386" s="40" t="s">
        <v>222</v>
      </c>
      <c r="M386" s="40" t="s">
        <v>222</v>
      </c>
      <c r="N386" s="40" t="s">
        <v>222</v>
      </c>
      <c r="O386" s="40" t="s">
        <v>222</v>
      </c>
      <c r="P386" s="48"/>
      <c r="Q386" s="48"/>
      <c r="R386" s="49" t="s">
        <v>222</v>
      </c>
      <c r="S386" s="50" t="s">
        <v>222</v>
      </c>
      <c r="T386" s="85"/>
      <c r="U386" s="86"/>
      <c r="V386" s="85"/>
      <c r="W386" s="86"/>
      <c r="X386" s="85"/>
      <c r="Y386" s="70"/>
      <c r="Z386" s="70"/>
      <c r="AA386" s="70"/>
      <c r="AB386" s="70"/>
      <c r="AC386" s="70"/>
      <c r="AD386" s="70"/>
      <c r="AE386" s="14"/>
      <c r="AF386" s="55"/>
      <c r="AG386" s="55"/>
    </row>
    <row r="387" ht="13.5" customHeight="1">
      <c r="A387" s="80">
        <f t="shared" si="20"/>
        <v>382</v>
      </c>
      <c r="B387" s="26"/>
      <c r="C387" s="39"/>
      <c r="D387" s="40"/>
      <c r="E387" s="83"/>
      <c r="F387" s="42"/>
      <c r="G387" s="84"/>
      <c r="H387" s="84"/>
      <c r="I387" s="45"/>
      <c r="J387" s="46" t="s">
        <v>222</v>
      </c>
      <c r="K387" s="40" t="s">
        <v>222</v>
      </c>
      <c r="L387" s="40" t="s">
        <v>222</v>
      </c>
      <c r="M387" s="40" t="s">
        <v>222</v>
      </c>
      <c r="N387" s="40" t="s">
        <v>222</v>
      </c>
      <c r="O387" s="40" t="s">
        <v>222</v>
      </c>
      <c r="P387" s="48"/>
      <c r="Q387" s="48"/>
      <c r="R387" s="49" t="s">
        <v>222</v>
      </c>
      <c r="S387" s="50" t="s">
        <v>222</v>
      </c>
      <c r="T387" s="85"/>
      <c r="U387" s="86"/>
      <c r="V387" s="85"/>
      <c r="W387" s="86"/>
      <c r="X387" s="85"/>
      <c r="Y387" s="70"/>
      <c r="Z387" s="70"/>
      <c r="AA387" s="70"/>
      <c r="AB387" s="70"/>
      <c r="AC387" s="70"/>
      <c r="AD387" s="70"/>
      <c r="AE387" s="14"/>
      <c r="AF387" s="55"/>
      <c r="AG387" s="55"/>
    </row>
    <row r="388" ht="13.5" customHeight="1">
      <c r="A388" s="80">
        <f t="shared" si="20"/>
        <v>383</v>
      </c>
      <c r="B388" s="26"/>
      <c r="C388" s="39"/>
      <c r="D388" s="40"/>
      <c r="E388" s="83"/>
      <c r="F388" s="42"/>
      <c r="G388" s="84"/>
      <c r="H388" s="84"/>
      <c r="I388" s="45"/>
      <c r="J388" s="46" t="s">
        <v>222</v>
      </c>
      <c r="K388" s="40" t="s">
        <v>222</v>
      </c>
      <c r="L388" s="40" t="s">
        <v>222</v>
      </c>
      <c r="M388" s="40" t="s">
        <v>222</v>
      </c>
      <c r="N388" s="40" t="s">
        <v>222</v>
      </c>
      <c r="O388" s="40" t="s">
        <v>222</v>
      </c>
      <c r="P388" s="48"/>
      <c r="Q388" s="48"/>
      <c r="R388" s="49" t="s">
        <v>222</v>
      </c>
      <c r="S388" s="50" t="s">
        <v>222</v>
      </c>
      <c r="T388" s="85"/>
      <c r="U388" s="86"/>
      <c r="V388" s="85"/>
      <c r="W388" s="86"/>
      <c r="X388" s="85"/>
      <c r="Y388" s="70"/>
      <c r="Z388" s="70"/>
      <c r="AA388" s="70"/>
      <c r="AB388" s="70"/>
      <c r="AC388" s="70"/>
      <c r="AD388" s="70"/>
      <c r="AE388" s="14"/>
      <c r="AF388" s="55"/>
      <c r="AG388" s="55"/>
    </row>
    <row r="389" ht="13.5" customHeight="1">
      <c r="A389" s="80">
        <f t="shared" si="20"/>
        <v>384</v>
      </c>
      <c r="B389" s="26"/>
      <c r="C389" s="39"/>
      <c r="D389" s="40"/>
      <c r="E389" s="83"/>
      <c r="F389" s="42"/>
      <c r="G389" s="84"/>
      <c r="H389" s="84"/>
      <c r="I389" s="45"/>
      <c r="J389" s="46" t="s">
        <v>222</v>
      </c>
      <c r="K389" s="40" t="s">
        <v>222</v>
      </c>
      <c r="L389" s="40" t="s">
        <v>222</v>
      </c>
      <c r="M389" s="40" t="s">
        <v>222</v>
      </c>
      <c r="N389" s="40" t="s">
        <v>222</v>
      </c>
      <c r="O389" s="40" t="s">
        <v>222</v>
      </c>
      <c r="P389" s="48"/>
      <c r="Q389" s="48"/>
      <c r="R389" s="49" t="s">
        <v>222</v>
      </c>
      <c r="S389" s="50" t="s">
        <v>222</v>
      </c>
      <c r="T389" s="85"/>
      <c r="U389" s="86"/>
      <c r="V389" s="85"/>
      <c r="W389" s="86"/>
      <c r="X389" s="85"/>
      <c r="Y389" s="70"/>
      <c r="Z389" s="70"/>
      <c r="AA389" s="70"/>
      <c r="AB389" s="70"/>
      <c r="AC389" s="70"/>
      <c r="AD389" s="70"/>
      <c r="AE389" s="14"/>
      <c r="AF389" s="55"/>
      <c r="AG389" s="55"/>
    </row>
    <row r="390" ht="13.5" customHeight="1">
      <c r="A390" s="80">
        <f t="shared" si="20"/>
        <v>385</v>
      </c>
      <c r="B390" s="26"/>
      <c r="C390" s="39"/>
      <c r="D390" s="40"/>
      <c r="E390" s="83"/>
      <c r="F390" s="42"/>
      <c r="G390" s="84"/>
      <c r="H390" s="84"/>
      <c r="I390" s="45"/>
      <c r="J390" s="46" t="s">
        <v>222</v>
      </c>
      <c r="K390" s="40" t="s">
        <v>222</v>
      </c>
      <c r="L390" s="40" t="s">
        <v>222</v>
      </c>
      <c r="M390" s="40" t="s">
        <v>222</v>
      </c>
      <c r="N390" s="40" t="s">
        <v>222</v>
      </c>
      <c r="O390" s="40" t="s">
        <v>222</v>
      </c>
      <c r="P390" s="48"/>
      <c r="Q390" s="48"/>
      <c r="R390" s="49" t="s">
        <v>222</v>
      </c>
      <c r="S390" s="50" t="s">
        <v>222</v>
      </c>
      <c r="T390" s="85"/>
      <c r="U390" s="86"/>
      <c r="V390" s="85"/>
      <c r="W390" s="86"/>
      <c r="X390" s="85"/>
      <c r="Y390" s="70"/>
      <c r="Z390" s="70"/>
      <c r="AA390" s="70"/>
      <c r="AB390" s="70"/>
      <c r="AC390" s="70"/>
      <c r="AD390" s="70"/>
      <c r="AE390" s="14"/>
      <c r="AF390" s="55"/>
      <c r="AG390" s="55"/>
    </row>
    <row r="391" ht="13.5" customHeight="1">
      <c r="A391" s="80">
        <f t="shared" si="20"/>
        <v>386</v>
      </c>
      <c r="B391" s="26"/>
      <c r="C391" s="39"/>
      <c r="D391" s="40"/>
      <c r="E391" s="83"/>
      <c r="F391" s="42"/>
      <c r="G391" s="84"/>
      <c r="H391" s="84"/>
      <c r="I391" s="45"/>
      <c r="J391" s="46" t="s">
        <v>222</v>
      </c>
      <c r="K391" s="40" t="s">
        <v>222</v>
      </c>
      <c r="L391" s="40" t="s">
        <v>222</v>
      </c>
      <c r="M391" s="40" t="s">
        <v>222</v>
      </c>
      <c r="N391" s="40" t="s">
        <v>222</v>
      </c>
      <c r="O391" s="40" t="s">
        <v>222</v>
      </c>
      <c r="P391" s="48"/>
      <c r="Q391" s="48"/>
      <c r="R391" s="49" t="s">
        <v>222</v>
      </c>
      <c r="S391" s="50" t="s">
        <v>222</v>
      </c>
      <c r="T391" s="85"/>
      <c r="U391" s="86"/>
      <c r="V391" s="85"/>
      <c r="W391" s="86"/>
      <c r="X391" s="85"/>
      <c r="Y391" s="70"/>
      <c r="Z391" s="70"/>
      <c r="AA391" s="70"/>
      <c r="AB391" s="70"/>
      <c r="AC391" s="70"/>
      <c r="AD391" s="70"/>
      <c r="AE391" s="14"/>
      <c r="AF391" s="55"/>
      <c r="AG391" s="55"/>
    </row>
    <row r="392" ht="13.5" customHeight="1">
      <c r="A392" s="80">
        <f t="shared" si="20"/>
        <v>387</v>
      </c>
      <c r="B392" s="26"/>
      <c r="C392" s="39"/>
      <c r="D392" s="40"/>
      <c r="E392" s="83"/>
      <c r="F392" s="42"/>
      <c r="G392" s="84"/>
      <c r="H392" s="84"/>
      <c r="I392" s="45"/>
      <c r="J392" s="46" t="s">
        <v>222</v>
      </c>
      <c r="K392" s="40" t="s">
        <v>222</v>
      </c>
      <c r="L392" s="40" t="s">
        <v>222</v>
      </c>
      <c r="M392" s="40" t="s">
        <v>222</v>
      </c>
      <c r="N392" s="40" t="s">
        <v>222</v>
      </c>
      <c r="O392" s="40" t="s">
        <v>222</v>
      </c>
      <c r="P392" s="48"/>
      <c r="Q392" s="48"/>
      <c r="R392" s="49" t="s">
        <v>222</v>
      </c>
      <c r="S392" s="50" t="s">
        <v>222</v>
      </c>
      <c r="T392" s="85"/>
      <c r="U392" s="86"/>
      <c r="V392" s="85"/>
      <c r="W392" s="86"/>
      <c r="X392" s="85"/>
      <c r="Y392" s="70"/>
      <c r="Z392" s="70"/>
      <c r="AA392" s="70"/>
      <c r="AB392" s="70"/>
      <c r="AC392" s="70"/>
      <c r="AD392" s="70"/>
      <c r="AE392" s="14"/>
      <c r="AF392" s="55"/>
      <c r="AG392" s="55"/>
    </row>
    <row r="393" ht="13.5" customHeight="1">
      <c r="A393" s="80">
        <f t="shared" si="20"/>
        <v>388</v>
      </c>
      <c r="B393" s="26"/>
      <c r="C393" s="39"/>
      <c r="D393" s="40"/>
      <c r="E393" s="83"/>
      <c r="F393" s="42"/>
      <c r="G393" s="84"/>
      <c r="H393" s="84"/>
      <c r="I393" s="45"/>
      <c r="J393" s="46" t="s">
        <v>222</v>
      </c>
      <c r="K393" s="40" t="s">
        <v>222</v>
      </c>
      <c r="L393" s="40" t="s">
        <v>222</v>
      </c>
      <c r="M393" s="40" t="s">
        <v>222</v>
      </c>
      <c r="N393" s="40" t="s">
        <v>222</v>
      </c>
      <c r="O393" s="40" t="s">
        <v>222</v>
      </c>
      <c r="P393" s="48"/>
      <c r="Q393" s="48"/>
      <c r="R393" s="49" t="s">
        <v>222</v>
      </c>
      <c r="S393" s="50" t="s">
        <v>222</v>
      </c>
      <c r="T393" s="85"/>
      <c r="U393" s="86"/>
      <c r="V393" s="85"/>
      <c r="W393" s="86"/>
      <c r="X393" s="85"/>
      <c r="Y393" s="70"/>
      <c r="Z393" s="70"/>
      <c r="AA393" s="70"/>
      <c r="AB393" s="70"/>
      <c r="AC393" s="70"/>
      <c r="AD393" s="70"/>
      <c r="AE393" s="14"/>
      <c r="AF393" s="55"/>
      <c r="AG393" s="55"/>
    </row>
    <row r="394" ht="13.5" customHeight="1">
      <c r="A394" s="80">
        <f t="shared" si="20"/>
        <v>389</v>
      </c>
      <c r="B394" s="26"/>
      <c r="C394" s="39"/>
      <c r="D394" s="40"/>
      <c r="E394" s="83"/>
      <c r="F394" s="42"/>
      <c r="G394" s="84"/>
      <c r="H394" s="84"/>
      <c r="I394" s="45"/>
      <c r="J394" s="46" t="s">
        <v>222</v>
      </c>
      <c r="K394" s="40" t="s">
        <v>222</v>
      </c>
      <c r="L394" s="40" t="s">
        <v>222</v>
      </c>
      <c r="M394" s="40" t="s">
        <v>222</v>
      </c>
      <c r="N394" s="40" t="s">
        <v>222</v>
      </c>
      <c r="O394" s="40" t="s">
        <v>222</v>
      </c>
      <c r="P394" s="48"/>
      <c r="Q394" s="48"/>
      <c r="R394" s="49" t="s">
        <v>222</v>
      </c>
      <c r="S394" s="50" t="s">
        <v>222</v>
      </c>
      <c r="T394" s="85"/>
      <c r="U394" s="86"/>
      <c r="V394" s="85"/>
      <c r="W394" s="86"/>
      <c r="X394" s="85"/>
      <c r="Y394" s="70"/>
      <c r="Z394" s="70"/>
      <c r="AA394" s="70"/>
      <c r="AB394" s="70"/>
      <c r="AC394" s="70"/>
      <c r="AD394" s="70"/>
      <c r="AE394" s="14"/>
      <c r="AF394" s="55"/>
      <c r="AG394" s="55"/>
    </row>
    <row r="395" ht="13.5" customHeight="1">
      <c r="A395" s="80">
        <f t="shared" si="20"/>
        <v>390</v>
      </c>
      <c r="B395" s="26"/>
      <c r="C395" s="39"/>
      <c r="D395" s="40"/>
      <c r="E395" s="83"/>
      <c r="F395" s="42"/>
      <c r="G395" s="84"/>
      <c r="H395" s="84"/>
      <c r="I395" s="45"/>
      <c r="J395" s="46" t="s">
        <v>222</v>
      </c>
      <c r="K395" s="40" t="s">
        <v>222</v>
      </c>
      <c r="L395" s="40" t="s">
        <v>222</v>
      </c>
      <c r="M395" s="40" t="s">
        <v>222</v>
      </c>
      <c r="N395" s="40" t="s">
        <v>222</v>
      </c>
      <c r="O395" s="40" t="s">
        <v>222</v>
      </c>
      <c r="P395" s="48"/>
      <c r="Q395" s="48"/>
      <c r="R395" s="49" t="s">
        <v>222</v>
      </c>
      <c r="S395" s="50" t="s">
        <v>222</v>
      </c>
      <c r="T395" s="85"/>
      <c r="U395" s="86"/>
      <c r="V395" s="85"/>
      <c r="W395" s="86"/>
      <c r="X395" s="85"/>
      <c r="Y395" s="70"/>
      <c r="Z395" s="70"/>
      <c r="AA395" s="70"/>
      <c r="AB395" s="70"/>
      <c r="AC395" s="70"/>
      <c r="AD395" s="70"/>
      <c r="AE395" s="14"/>
      <c r="AF395" s="55"/>
      <c r="AG395" s="55"/>
    </row>
    <row r="396" ht="13.5" customHeight="1">
      <c r="A396" s="80">
        <f t="shared" si="20"/>
        <v>391</v>
      </c>
      <c r="B396" s="26"/>
      <c r="C396" s="39"/>
      <c r="D396" s="40"/>
      <c r="E396" s="83"/>
      <c r="F396" s="42"/>
      <c r="G396" s="84"/>
      <c r="H396" s="84"/>
      <c r="I396" s="45"/>
      <c r="J396" s="46" t="s">
        <v>222</v>
      </c>
      <c r="K396" s="40" t="s">
        <v>222</v>
      </c>
      <c r="L396" s="40" t="s">
        <v>222</v>
      </c>
      <c r="M396" s="40" t="s">
        <v>222</v>
      </c>
      <c r="N396" s="40" t="s">
        <v>222</v>
      </c>
      <c r="O396" s="40" t="s">
        <v>222</v>
      </c>
      <c r="P396" s="48"/>
      <c r="Q396" s="48"/>
      <c r="R396" s="49" t="s">
        <v>222</v>
      </c>
      <c r="S396" s="50" t="s">
        <v>222</v>
      </c>
      <c r="T396" s="85"/>
      <c r="U396" s="86"/>
      <c r="V396" s="85"/>
      <c r="W396" s="86"/>
      <c r="X396" s="85"/>
      <c r="Y396" s="70"/>
      <c r="Z396" s="70"/>
      <c r="AA396" s="70"/>
      <c r="AB396" s="70"/>
      <c r="AC396" s="70"/>
      <c r="AD396" s="70"/>
      <c r="AE396" s="14"/>
      <c r="AF396" s="55"/>
      <c r="AG396" s="55"/>
    </row>
    <row r="397" ht="13.5" customHeight="1">
      <c r="A397" s="80">
        <f t="shared" si="20"/>
        <v>392</v>
      </c>
      <c r="B397" s="26"/>
      <c r="C397" s="39"/>
      <c r="D397" s="40"/>
      <c r="E397" s="83"/>
      <c r="F397" s="42"/>
      <c r="G397" s="84"/>
      <c r="H397" s="84"/>
      <c r="I397" s="45"/>
      <c r="J397" s="46" t="s">
        <v>222</v>
      </c>
      <c r="K397" s="40" t="s">
        <v>222</v>
      </c>
      <c r="L397" s="40" t="s">
        <v>222</v>
      </c>
      <c r="M397" s="40" t="s">
        <v>222</v>
      </c>
      <c r="N397" s="40" t="s">
        <v>222</v>
      </c>
      <c r="O397" s="40" t="s">
        <v>222</v>
      </c>
      <c r="P397" s="48"/>
      <c r="Q397" s="48"/>
      <c r="R397" s="49" t="s">
        <v>222</v>
      </c>
      <c r="S397" s="50" t="s">
        <v>222</v>
      </c>
      <c r="T397" s="85"/>
      <c r="U397" s="86"/>
      <c r="V397" s="85"/>
      <c r="W397" s="86"/>
      <c r="X397" s="85"/>
      <c r="Y397" s="70"/>
      <c r="Z397" s="70"/>
      <c r="AA397" s="70"/>
      <c r="AB397" s="70"/>
      <c r="AC397" s="70"/>
      <c r="AD397" s="70"/>
      <c r="AE397" s="14"/>
      <c r="AF397" s="55"/>
      <c r="AG397" s="55"/>
    </row>
    <row r="398" ht="13.5" customHeight="1">
      <c r="A398" s="80">
        <f t="shared" si="20"/>
        <v>393</v>
      </c>
      <c r="B398" s="26"/>
      <c r="C398" s="39"/>
      <c r="D398" s="40"/>
      <c r="E398" s="83"/>
      <c r="F398" s="42"/>
      <c r="G398" s="84"/>
      <c r="H398" s="84"/>
      <c r="I398" s="45"/>
      <c r="J398" s="46" t="s">
        <v>222</v>
      </c>
      <c r="K398" s="40" t="s">
        <v>222</v>
      </c>
      <c r="L398" s="40" t="s">
        <v>222</v>
      </c>
      <c r="M398" s="40" t="s">
        <v>222</v>
      </c>
      <c r="N398" s="40" t="s">
        <v>222</v>
      </c>
      <c r="O398" s="40" t="s">
        <v>222</v>
      </c>
      <c r="P398" s="48"/>
      <c r="Q398" s="48"/>
      <c r="R398" s="49" t="s">
        <v>222</v>
      </c>
      <c r="S398" s="50" t="s">
        <v>222</v>
      </c>
      <c r="T398" s="85"/>
      <c r="U398" s="86"/>
      <c r="V398" s="85"/>
      <c r="W398" s="86"/>
      <c r="X398" s="85"/>
      <c r="Y398" s="70"/>
      <c r="Z398" s="70"/>
      <c r="AA398" s="70"/>
      <c r="AB398" s="70"/>
      <c r="AC398" s="70"/>
      <c r="AD398" s="70"/>
      <c r="AE398" s="14"/>
      <c r="AF398" s="55"/>
      <c r="AG398" s="55"/>
    </row>
    <row r="399" ht="13.5" customHeight="1">
      <c r="A399" s="80">
        <f t="shared" si="20"/>
        <v>394</v>
      </c>
      <c r="B399" s="26"/>
      <c r="C399" s="39"/>
      <c r="D399" s="40"/>
      <c r="E399" s="83"/>
      <c r="F399" s="42"/>
      <c r="G399" s="84"/>
      <c r="H399" s="84"/>
      <c r="I399" s="45"/>
      <c r="J399" s="46" t="s">
        <v>222</v>
      </c>
      <c r="K399" s="40" t="s">
        <v>222</v>
      </c>
      <c r="L399" s="40" t="s">
        <v>222</v>
      </c>
      <c r="M399" s="40" t="s">
        <v>222</v>
      </c>
      <c r="N399" s="40" t="s">
        <v>222</v>
      </c>
      <c r="O399" s="40" t="s">
        <v>222</v>
      </c>
      <c r="P399" s="48"/>
      <c r="Q399" s="48"/>
      <c r="R399" s="49" t="s">
        <v>222</v>
      </c>
      <c r="S399" s="50" t="s">
        <v>222</v>
      </c>
      <c r="T399" s="85"/>
      <c r="U399" s="86"/>
      <c r="V399" s="85"/>
      <c r="W399" s="86"/>
      <c r="X399" s="85"/>
      <c r="Y399" s="70"/>
      <c r="Z399" s="70"/>
      <c r="AA399" s="70"/>
      <c r="AB399" s="70"/>
      <c r="AC399" s="70"/>
      <c r="AD399" s="70"/>
      <c r="AE399" s="14"/>
      <c r="AF399" s="55"/>
      <c r="AG399" s="55"/>
    </row>
    <row r="400" ht="13.5" customHeight="1">
      <c r="A400" s="80">
        <f t="shared" si="20"/>
        <v>395</v>
      </c>
      <c r="B400" s="26"/>
      <c r="C400" s="39"/>
      <c r="D400" s="40"/>
      <c r="E400" s="83"/>
      <c r="F400" s="42"/>
      <c r="G400" s="84"/>
      <c r="H400" s="84"/>
      <c r="I400" s="45"/>
      <c r="J400" s="46" t="s">
        <v>222</v>
      </c>
      <c r="K400" s="40" t="s">
        <v>222</v>
      </c>
      <c r="L400" s="40" t="s">
        <v>222</v>
      </c>
      <c r="M400" s="40" t="s">
        <v>222</v>
      </c>
      <c r="N400" s="40" t="s">
        <v>222</v>
      </c>
      <c r="O400" s="40" t="s">
        <v>222</v>
      </c>
      <c r="P400" s="48"/>
      <c r="Q400" s="48"/>
      <c r="R400" s="49" t="s">
        <v>222</v>
      </c>
      <c r="S400" s="50" t="s">
        <v>222</v>
      </c>
      <c r="T400" s="85"/>
      <c r="U400" s="86"/>
      <c r="V400" s="85"/>
      <c r="W400" s="86"/>
      <c r="X400" s="85"/>
      <c r="Y400" s="70"/>
      <c r="Z400" s="70"/>
      <c r="AA400" s="70"/>
      <c r="AB400" s="70"/>
      <c r="AC400" s="70"/>
      <c r="AD400" s="70"/>
      <c r="AE400" s="14"/>
      <c r="AF400" s="55"/>
      <c r="AG400" s="55"/>
    </row>
    <row r="401" ht="13.5" customHeight="1">
      <c r="A401" s="80">
        <f t="shared" si="20"/>
        <v>396</v>
      </c>
      <c r="B401" s="26"/>
      <c r="C401" s="39"/>
      <c r="D401" s="40"/>
      <c r="E401" s="83"/>
      <c r="F401" s="42"/>
      <c r="G401" s="84"/>
      <c r="H401" s="84"/>
      <c r="I401" s="45"/>
      <c r="J401" s="46" t="s">
        <v>222</v>
      </c>
      <c r="K401" s="40" t="s">
        <v>222</v>
      </c>
      <c r="L401" s="40" t="s">
        <v>222</v>
      </c>
      <c r="M401" s="40" t="s">
        <v>222</v>
      </c>
      <c r="N401" s="40" t="s">
        <v>222</v>
      </c>
      <c r="O401" s="40" t="s">
        <v>222</v>
      </c>
      <c r="P401" s="48"/>
      <c r="Q401" s="48"/>
      <c r="R401" s="49" t="s">
        <v>222</v>
      </c>
      <c r="S401" s="50" t="s">
        <v>222</v>
      </c>
      <c r="T401" s="85"/>
      <c r="U401" s="86"/>
      <c r="V401" s="85"/>
      <c r="W401" s="86"/>
      <c r="X401" s="85"/>
      <c r="Y401" s="70"/>
      <c r="Z401" s="70"/>
      <c r="AA401" s="70"/>
      <c r="AB401" s="70"/>
      <c r="AC401" s="70"/>
      <c r="AD401" s="70"/>
      <c r="AE401" s="14"/>
      <c r="AF401" s="55"/>
      <c r="AG401" s="55"/>
    </row>
    <row r="402" ht="13.5" customHeight="1">
      <c r="A402" s="80">
        <f t="shared" si="20"/>
        <v>397</v>
      </c>
      <c r="B402" s="26"/>
      <c r="C402" s="39"/>
      <c r="D402" s="40"/>
      <c r="E402" s="83"/>
      <c r="F402" s="42"/>
      <c r="G402" s="84"/>
      <c r="H402" s="84"/>
      <c r="I402" s="45"/>
      <c r="J402" s="46" t="s">
        <v>222</v>
      </c>
      <c r="K402" s="40" t="s">
        <v>222</v>
      </c>
      <c r="L402" s="40" t="s">
        <v>222</v>
      </c>
      <c r="M402" s="40" t="s">
        <v>222</v>
      </c>
      <c r="N402" s="40" t="s">
        <v>222</v>
      </c>
      <c r="O402" s="40" t="s">
        <v>222</v>
      </c>
      <c r="P402" s="48"/>
      <c r="Q402" s="48"/>
      <c r="R402" s="49" t="s">
        <v>222</v>
      </c>
      <c r="S402" s="50" t="s">
        <v>222</v>
      </c>
      <c r="T402" s="85"/>
      <c r="U402" s="86"/>
      <c r="V402" s="85"/>
      <c r="W402" s="86"/>
      <c r="X402" s="85"/>
      <c r="Y402" s="70"/>
      <c r="Z402" s="70"/>
      <c r="AA402" s="70"/>
      <c r="AB402" s="70"/>
      <c r="AC402" s="70"/>
      <c r="AD402" s="70"/>
      <c r="AE402" s="14"/>
      <c r="AF402" s="55"/>
      <c r="AG402" s="55"/>
    </row>
    <row r="403" ht="13.5" customHeight="1">
      <c r="A403" s="80">
        <f t="shared" si="20"/>
        <v>398</v>
      </c>
      <c r="B403" s="26"/>
      <c r="C403" s="39"/>
      <c r="D403" s="40"/>
      <c r="E403" s="83"/>
      <c r="F403" s="42"/>
      <c r="G403" s="84"/>
      <c r="H403" s="84"/>
      <c r="I403" s="45"/>
      <c r="J403" s="46" t="s">
        <v>222</v>
      </c>
      <c r="K403" s="40" t="s">
        <v>222</v>
      </c>
      <c r="L403" s="40" t="s">
        <v>222</v>
      </c>
      <c r="M403" s="40" t="s">
        <v>222</v>
      </c>
      <c r="N403" s="40" t="s">
        <v>222</v>
      </c>
      <c r="O403" s="40" t="s">
        <v>222</v>
      </c>
      <c r="P403" s="48"/>
      <c r="Q403" s="48"/>
      <c r="R403" s="49" t="s">
        <v>222</v>
      </c>
      <c r="S403" s="50" t="s">
        <v>222</v>
      </c>
      <c r="T403" s="85"/>
      <c r="U403" s="86"/>
      <c r="V403" s="85"/>
      <c r="W403" s="86"/>
      <c r="X403" s="85"/>
      <c r="Y403" s="70"/>
      <c r="Z403" s="70"/>
      <c r="AA403" s="70"/>
      <c r="AB403" s="70"/>
      <c r="AC403" s="70"/>
      <c r="AD403" s="70"/>
      <c r="AE403" s="14"/>
      <c r="AF403" s="55"/>
      <c r="AG403" s="55"/>
    </row>
    <row r="404" ht="13.5" customHeight="1">
      <c r="A404" s="80">
        <f t="shared" si="20"/>
        <v>399</v>
      </c>
      <c r="B404" s="26"/>
      <c r="C404" s="39"/>
      <c r="D404" s="40"/>
      <c r="E404" s="83"/>
      <c r="F404" s="42"/>
      <c r="G404" s="84"/>
      <c r="H404" s="84"/>
      <c r="I404" s="45"/>
      <c r="J404" s="46" t="s">
        <v>222</v>
      </c>
      <c r="K404" s="40" t="s">
        <v>222</v>
      </c>
      <c r="L404" s="40" t="s">
        <v>222</v>
      </c>
      <c r="M404" s="40" t="s">
        <v>222</v>
      </c>
      <c r="N404" s="40" t="s">
        <v>222</v>
      </c>
      <c r="O404" s="40" t="s">
        <v>222</v>
      </c>
      <c r="P404" s="48"/>
      <c r="Q404" s="48"/>
      <c r="R404" s="49" t="s">
        <v>222</v>
      </c>
      <c r="S404" s="50" t="s">
        <v>222</v>
      </c>
      <c r="T404" s="85"/>
      <c r="U404" s="86"/>
      <c r="V404" s="85"/>
      <c r="W404" s="86"/>
      <c r="X404" s="85"/>
      <c r="Y404" s="70"/>
      <c r="Z404" s="70"/>
      <c r="AA404" s="70"/>
      <c r="AB404" s="70"/>
      <c r="AC404" s="70"/>
      <c r="AD404" s="70"/>
      <c r="AE404" s="14"/>
      <c r="AF404" s="55"/>
      <c r="AG404" s="55"/>
    </row>
    <row r="405" ht="13.5" customHeight="1">
      <c r="A405" s="80">
        <f t="shared" si="20"/>
        <v>400</v>
      </c>
      <c r="B405" s="26"/>
      <c r="C405" s="39"/>
      <c r="D405" s="40"/>
      <c r="E405" s="83"/>
      <c r="F405" s="42"/>
      <c r="G405" s="84"/>
      <c r="H405" s="84"/>
      <c r="I405" s="45"/>
      <c r="J405" s="46" t="s">
        <v>222</v>
      </c>
      <c r="K405" s="40" t="s">
        <v>222</v>
      </c>
      <c r="L405" s="40" t="s">
        <v>222</v>
      </c>
      <c r="M405" s="40" t="s">
        <v>222</v>
      </c>
      <c r="N405" s="40" t="s">
        <v>222</v>
      </c>
      <c r="O405" s="40" t="s">
        <v>222</v>
      </c>
      <c r="P405" s="48"/>
      <c r="Q405" s="48"/>
      <c r="R405" s="49" t="s">
        <v>222</v>
      </c>
      <c r="S405" s="50" t="s">
        <v>222</v>
      </c>
      <c r="T405" s="85"/>
      <c r="U405" s="86"/>
      <c r="V405" s="85"/>
      <c r="W405" s="86"/>
      <c r="X405" s="85"/>
      <c r="Y405" s="70"/>
      <c r="Z405" s="70"/>
      <c r="AA405" s="70"/>
      <c r="AB405" s="70"/>
      <c r="AC405" s="70"/>
      <c r="AD405" s="70"/>
      <c r="AE405" s="14"/>
      <c r="AF405" s="55"/>
      <c r="AG405" s="55"/>
    </row>
    <row r="406" ht="13.5" customHeight="1">
      <c r="A406" s="80">
        <f t="shared" si="20"/>
        <v>401</v>
      </c>
      <c r="B406" s="26"/>
      <c r="C406" s="39"/>
      <c r="D406" s="40"/>
      <c r="E406" s="83"/>
      <c r="F406" s="42"/>
      <c r="G406" s="84"/>
      <c r="H406" s="84"/>
      <c r="I406" s="45"/>
      <c r="J406" s="46" t="s">
        <v>222</v>
      </c>
      <c r="K406" s="40" t="s">
        <v>222</v>
      </c>
      <c r="L406" s="40" t="s">
        <v>222</v>
      </c>
      <c r="M406" s="40" t="s">
        <v>222</v>
      </c>
      <c r="N406" s="40" t="s">
        <v>222</v>
      </c>
      <c r="O406" s="40" t="s">
        <v>222</v>
      </c>
      <c r="P406" s="48"/>
      <c r="Q406" s="48"/>
      <c r="R406" s="49" t="s">
        <v>222</v>
      </c>
      <c r="S406" s="50" t="s">
        <v>222</v>
      </c>
      <c r="T406" s="85"/>
      <c r="U406" s="86"/>
      <c r="V406" s="85"/>
      <c r="W406" s="86"/>
      <c r="X406" s="85"/>
      <c r="Y406" s="70"/>
      <c r="Z406" s="70"/>
      <c r="AA406" s="70"/>
      <c r="AB406" s="70"/>
      <c r="AC406" s="70"/>
      <c r="AD406" s="70"/>
      <c r="AE406" s="14"/>
      <c r="AF406" s="55"/>
      <c r="AG406" s="55"/>
    </row>
    <row r="407" ht="13.5" customHeight="1">
      <c r="A407" s="80">
        <f t="shared" si="20"/>
        <v>402</v>
      </c>
      <c r="B407" s="26"/>
      <c r="C407" s="39"/>
      <c r="D407" s="40"/>
      <c r="E407" s="83"/>
      <c r="F407" s="42"/>
      <c r="G407" s="84"/>
      <c r="H407" s="84"/>
      <c r="I407" s="45"/>
      <c r="J407" s="46" t="s">
        <v>222</v>
      </c>
      <c r="K407" s="40" t="s">
        <v>222</v>
      </c>
      <c r="L407" s="40" t="s">
        <v>222</v>
      </c>
      <c r="M407" s="40" t="s">
        <v>222</v>
      </c>
      <c r="N407" s="40" t="s">
        <v>222</v>
      </c>
      <c r="O407" s="40" t="s">
        <v>222</v>
      </c>
      <c r="P407" s="48"/>
      <c r="Q407" s="48"/>
      <c r="R407" s="49" t="s">
        <v>222</v>
      </c>
      <c r="S407" s="50" t="s">
        <v>222</v>
      </c>
      <c r="T407" s="85"/>
      <c r="U407" s="86"/>
      <c r="V407" s="85"/>
      <c r="W407" s="86"/>
      <c r="X407" s="85"/>
      <c r="Y407" s="70"/>
      <c r="Z407" s="70"/>
      <c r="AA407" s="70"/>
      <c r="AB407" s="70"/>
      <c r="AC407" s="70"/>
      <c r="AD407" s="70"/>
      <c r="AE407" s="14"/>
      <c r="AF407" s="55"/>
      <c r="AG407" s="55"/>
    </row>
    <row r="408" ht="13.5" customHeight="1">
      <c r="A408" s="80">
        <f t="shared" si="20"/>
        <v>403</v>
      </c>
      <c r="B408" s="26"/>
      <c r="C408" s="39"/>
      <c r="D408" s="40"/>
      <c r="E408" s="83"/>
      <c r="F408" s="42"/>
      <c r="G408" s="84"/>
      <c r="H408" s="84"/>
      <c r="I408" s="45"/>
      <c r="J408" s="46" t="s">
        <v>222</v>
      </c>
      <c r="K408" s="40" t="s">
        <v>222</v>
      </c>
      <c r="L408" s="40" t="s">
        <v>222</v>
      </c>
      <c r="M408" s="40" t="s">
        <v>222</v>
      </c>
      <c r="N408" s="40" t="s">
        <v>222</v>
      </c>
      <c r="O408" s="40" t="s">
        <v>222</v>
      </c>
      <c r="P408" s="48"/>
      <c r="Q408" s="48"/>
      <c r="R408" s="49" t="s">
        <v>222</v>
      </c>
      <c r="S408" s="50" t="s">
        <v>222</v>
      </c>
      <c r="T408" s="85"/>
      <c r="U408" s="86"/>
      <c r="V408" s="85"/>
      <c r="W408" s="86"/>
      <c r="X408" s="85"/>
      <c r="Y408" s="70"/>
      <c r="Z408" s="70"/>
      <c r="AA408" s="70"/>
      <c r="AB408" s="70"/>
      <c r="AC408" s="70"/>
      <c r="AD408" s="70"/>
      <c r="AE408" s="14"/>
      <c r="AF408" s="55"/>
      <c r="AG408" s="55"/>
    </row>
    <row r="409" ht="13.5" customHeight="1">
      <c r="A409" s="80">
        <f t="shared" si="20"/>
        <v>404</v>
      </c>
      <c r="B409" s="26"/>
      <c r="C409" s="39"/>
      <c r="D409" s="40"/>
      <c r="E409" s="83"/>
      <c r="F409" s="42"/>
      <c r="G409" s="84"/>
      <c r="H409" s="84"/>
      <c r="I409" s="45"/>
      <c r="J409" s="46" t="s">
        <v>222</v>
      </c>
      <c r="K409" s="40" t="s">
        <v>222</v>
      </c>
      <c r="L409" s="40" t="s">
        <v>222</v>
      </c>
      <c r="M409" s="40" t="s">
        <v>222</v>
      </c>
      <c r="N409" s="40" t="s">
        <v>222</v>
      </c>
      <c r="O409" s="40" t="s">
        <v>222</v>
      </c>
      <c r="P409" s="48"/>
      <c r="Q409" s="48"/>
      <c r="R409" s="49" t="s">
        <v>222</v>
      </c>
      <c r="S409" s="50" t="s">
        <v>222</v>
      </c>
      <c r="T409" s="85"/>
      <c r="U409" s="86"/>
      <c r="V409" s="85"/>
      <c r="W409" s="86"/>
      <c r="X409" s="85"/>
      <c r="Y409" s="70"/>
      <c r="Z409" s="70"/>
      <c r="AA409" s="70"/>
      <c r="AB409" s="70"/>
      <c r="AC409" s="70"/>
      <c r="AD409" s="70"/>
      <c r="AE409" s="14"/>
      <c r="AF409" s="55"/>
      <c r="AG409" s="55"/>
    </row>
    <row r="410" ht="13.5" customHeight="1">
      <c r="A410" s="80">
        <f t="shared" si="20"/>
        <v>405</v>
      </c>
      <c r="B410" s="26"/>
      <c r="C410" s="39"/>
      <c r="D410" s="40"/>
      <c r="E410" s="83"/>
      <c r="F410" s="42"/>
      <c r="G410" s="84"/>
      <c r="H410" s="84"/>
      <c r="I410" s="45"/>
      <c r="J410" s="46" t="s">
        <v>222</v>
      </c>
      <c r="K410" s="40" t="s">
        <v>222</v>
      </c>
      <c r="L410" s="40" t="s">
        <v>222</v>
      </c>
      <c r="M410" s="40" t="s">
        <v>222</v>
      </c>
      <c r="N410" s="40" t="s">
        <v>222</v>
      </c>
      <c r="O410" s="40" t="s">
        <v>222</v>
      </c>
      <c r="P410" s="48"/>
      <c r="Q410" s="48"/>
      <c r="R410" s="49" t="s">
        <v>222</v>
      </c>
      <c r="S410" s="50" t="s">
        <v>222</v>
      </c>
      <c r="T410" s="85"/>
      <c r="U410" s="86"/>
      <c r="V410" s="85"/>
      <c r="W410" s="86"/>
      <c r="X410" s="85"/>
      <c r="Y410" s="70"/>
      <c r="Z410" s="70"/>
      <c r="AA410" s="70"/>
      <c r="AB410" s="70"/>
      <c r="AC410" s="70"/>
      <c r="AD410" s="70"/>
      <c r="AE410" s="14"/>
      <c r="AF410" s="55"/>
      <c r="AG410" s="55"/>
    </row>
    <row r="411" ht="13.5" customHeight="1">
      <c r="A411" s="80">
        <f t="shared" si="20"/>
        <v>406</v>
      </c>
      <c r="B411" s="26"/>
      <c r="C411" s="39"/>
      <c r="D411" s="40"/>
      <c r="E411" s="83"/>
      <c r="F411" s="42"/>
      <c r="G411" s="84"/>
      <c r="H411" s="84"/>
      <c r="I411" s="45"/>
      <c r="J411" s="46" t="s">
        <v>222</v>
      </c>
      <c r="K411" s="40" t="s">
        <v>222</v>
      </c>
      <c r="L411" s="40" t="s">
        <v>222</v>
      </c>
      <c r="M411" s="40" t="s">
        <v>222</v>
      </c>
      <c r="N411" s="40" t="s">
        <v>222</v>
      </c>
      <c r="O411" s="40" t="s">
        <v>222</v>
      </c>
      <c r="P411" s="48"/>
      <c r="Q411" s="48"/>
      <c r="R411" s="49" t="s">
        <v>222</v>
      </c>
      <c r="S411" s="50" t="s">
        <v>222</v>
      </c>
      <c r="T411" s="85"/>
      <c r="U411" s="86"/>
      <c r="V411" s="85"/>
      <c r="W411" s="86"/>
      <c r="X411" s="85"/>
      <c r="Y411" s="70"/>
      <c r="Z411" s="70"/>
      <c r="AA411" s="70"/>
      <c r="AB411" s="70"/>
      <c r="AC411" s="70"/>
      <c r="AD411" s="70"/>
      <c r="AE411" s="14"/>
      <c r="AF411" s="55"/>
      <c r="AG411" s="55"/>
    </row>
    <row r="412" ht="13.5" customHeight="1">
      <c r="A412" s="80">
        <f t="shared" si="20"/>
        <v>407</v>
      </c>
      <c r="B412" s="26"/>
      <c r="C412" s="39"/>
      <c r="D412" s="40"/>
      <c r="E412" s="83"/>
      <c r="F412" s="42"/>
      <c r="G412" s="84"/>
      <c r="H412" s="84"/>
      <c r="I412" s="45"/>
      <c r="J412" s="46" t="s">
        <v>222</v>
      </c>
      <c r="K412" s="40" t="s">
        <v>222</v>
      </c>
      <c r="L412" s="40" t="s">
        <v>222</v>
      </c>
      <c r="M412" s="40" t="s">
        <v>222</v>
      </c>
      <c r="N412" s="40" t="s">
        <v>222</v>
      </c>
      <c r="O412" s="40" t="s">
        <v>222</v>
      </c>
      <c r="P412" s="48"/>
      <c r="Q412" s="48"/>
      <c r="R412" s="49" t="s">
        <v>222</v>
      </c>
      <c r="S412" s="50" t="s">
        <v>222</v>
      </c>
      <c r="T412" s="85"/>
      <c r="U412" s="86"/>
      <c r="V412" s="85"/>
      <c r="W412" s="86"/>
      <c r="X412" s="85"/>
      <c r="Y412" s="70"/>
      <c r="Z412" s="70"/>
      <c r="AA412" s="70"/>
      <c r="AB412" s="70"/>
      <c r="AC412" s="70"/>
      <c r="AD412" s="70"/>
      <c r="AE412" s="14"/>
      <c r="AF412" s="55"/>
      <c r="AG412" s="55"/>
    </row>
    <row r="413" ht="13.5" customHeight="1">
      <c r="A413" s="80">
        <f t="shared" si="20"/>
        <v>408</v>
      </c>
      <c r="B413" s="26"/>
      <c r="C413" s="39"/>
      <c r="D413" s="40"/>
      <c r="E413" s="83"/>
      <c r="F413" s="42"/>
      <c r="G413" s="84"/>
      <c r="H413" s="84"/>
      <c r="I413" s="45"/>
      <c r="J413" s="46" t="s">
        <v>222</v>
      </c>
      <c r="K413" s="40" t="s">
        <v>222</v>
      </c>
      <c r="L413" s="40" t="s">
        <v>222</v>
      </c>
      <c r="M413" s="40" t="s">
        <v>222</v>
      </c>
      <c r="N413" s="40" t="s">
        <v>222</v>
      </c>
      <c r="O413" s="40" t="s">
        <v>222</v>
      </c>
      <c r="P413" s="48"/>
      <c r="Q413" s="48"/>
      <c r="R413" s="49" t="s">
        <v>222</v>
      </c>
      <c r="S413" s="50" t="s">
        <v>222</v>
      </c>
      <c r="T413" s="85"/>
      <c r="U413" s="86"/>
      <c r="V413" s="85"/>
      <c r="W413" s="86"/>
      <c r="X413" s="85"/>
      <c r="Y413" s="70"/>
      <c r="Z413" s="70"/>
      <c r="AA413" s="70"/>
      <c r="AB413" s="70"/>
      <c r="AC413" s="70"/>
      <c r="AD413" s="70"/>
      <c r="AE413" s="14"/>
      <c r="AF413" s="55"/>
      <c r="AG413" s="55"/>
    </row>
    <row r="414" ht="13.5" customHeight="1">
      <c r="A414" s="80">
        <f t="shared" si="20"/>
        <v>409</v>
      </c>
      <c r="B414" s="26"/>
      <c r="C414" s="39"/>
      <c r="D414" s="40"/>
      <c r="E414" s="83"/>
      <c r="F414" s="42"/>
      <c r="G414" s="84"/>
      <c r="H414" s="84"/>
      <c r="I414" s="45"/>
      <c r="J414" s="46" t="s">
        <v>222</v>
      </c>
      <c r="K414" s="40" t="s">
        <v>222</v>
      </c>
      <c r="L414" s="40" t="s">
        <v>222</v>
      </c>
      <c r="M414" s="40" t="s">
        <v>222</v>
      </c>
      <c r="N414" s="40" t="s">
        <v>222</v>
      </c>
      <c r="O414" s="40" t="s">
        <v>222</v>
      </c>
      <c r="P414" s="48"/>
      <c r="Q414" s="48"/>
      <c r="R414" s="49" t="s">
        <v>222</v>
      </c>
      <c r="S414" s="50" t="s">
        <v>222</v>
      </c>
      <c r="T414" s="85"/>
      <c r="U414" s="86"/>
      <c r="V414" s="85"/>
      <c r="W414" s="86"/>
      <c r="X414" s="85"/>
      <c r="Y414" s="70"/>
      <c r="Z414" s="70"/>
      <c r="AA414" s="70"/>
      <c r="AB414" s="70"/>
      <c r="AC414" s="70"/>
      <c r="AD414" s="70"/>
      <c r="AE414" s="14"/>
      <c r="AF414" s="55"/>
      <c r="AG414" s="55"/>
    </row>
    <row r="415" ht="13.5" customHeight="1">
      <c r="A415" s="80">
        <f t="shared" si="20"/>
        <v>410</v>
      </c>
      <c r="B415" s="26"/>
      <c r="C415" s="39"/>
      <c r="D415" s="40"/>
      <c r="E415" s="83"/>
      <c r="F415" s="42"/>
      <c r="G415" s="84"/>
      <c r="H415" s="84"/>
      <c r="I415" s="45"/>
      <c r="J415" s="46" t="s">
        <v>222</v>
      </c>
      <c r="K415" s="40" t="s">
        <v>222</v>
      </c>
      <c r="L415" s="40" t="s">
        <v>222</v>
      </c>
      <c r="M415" s="40" t="s">
        <v>222</v>
      </c>
      <c r="N415" s="40" t="s">
        <v>222</v>
      </c>
      <c r="O415" s="40" t="s">
        <v>222</v>
      </c>
      <c r="P415" s="48"/>
      <c r="Q415" s="48"/>
      <c r="R415" s="49" t="s">
        <v>222</v>
      </c>
      <c r="S415" s="50" t="s">
        <v>222</v>
      </c>
      <c r="T415" s="85"/>
      <c r="U415" s="86"/>
      <c r="V415" s="85"/>
      <c r="W415" s="86"/>
      <c r="X415" s="85"/>
      <c r="Y415" s="70"/>
      <c r="Z415" s="70"/>
      <c r="AA415" s="70"/>
      <c r="AB415" s="70"/>
      <c r="AC415" s="70"/>
      <c r="AD415" s="70"/>
      <c r="AE415" s="14"/>
      <c r="AF415" s="55"/>
      <c r="AG415" s="55"/>
    </row>
    <row r="416" ht="13.5" customHeight="1">
      <c r="A416" s="80">
        <f t="shared" si="20"/>
        <v>411</v>
      </c>
      <c r="B416" s="26"/>
      <c r="C416" s="39"/>
      <c r="D416" s="40"/>
      <c r="E416" s="83"/>
      <c r="F416" s="42"/>
      <c r="G416" s="84"/>
      <c r="H416" s="84"/>
      <c r="I416" s="45"/>
      <c r="J416" s="46" t="s">
        <v>222</v>
      </c>
      <c r="K416" s="40" t="s">
        <v>222</v>
      </c>
      <c r="L416" s="40" t="s">
        <v>222</v>
      </c>
      <c r="M416" s="40" t="s">
        <v>222</v>
      </c>
      <c r="N416" s="40" t="s">
        <v>222</v>
      </c>
      <c r="O416" s="40" t="s">
        <v>222</v>
      </c>
      <c r="P416" s="48"/>
      <c r="Q416" s="48"/>
      <c r="R416" s="49" t="s">
        <v>222</v>
      </c>
      <c r="S416" s="50" t="s">
        <v>222</v>
      </c>
      <c r="T416" s="85"/>
      <c r="U416" s="86"/>
      <c r="V416" s="85"/>
      <c r="W416" s="86"/>
      <c r="X416" s="85"/>
      <c r="Y416" s="70"/>
      <c r="Z416" s="70"/>
      <c r="AA416" s="70"/>
      <c r="AB416" s="70"/>
      <c r="AC416" s="70"/>
      <c r="AD416" s="70"/>
      <c r="AE416" s="14"/>
      <c r="AF416" s="55"/>
      <c r="AG416" s="55"/>
    </row>
    <row r="417" ht="13.5" customHeight="1">
      <c r="A417" s="80">
        <f t="shared" si="20"/>
        <v>412</v>
      </c>
      <c r="B417" s="26"/>
      <c r="C417" s="39"/>
      <c r="D417" s="40"/>
      <c r="E417" s="83"/>
      <c r="F417" s="42"/>
      <c r="G417" s="84"/>
      <c r="H417" s="84"/>
      <c r="I417" s="45"/>
      <c r="J417" s="46" t="s">
        <v>222</v>
      </c>
      <c r="K417" s="40" t="s">
        <v>222</v>
      </c>
      <c r="L417" s="40" t="s">
        <v>222</v>
      </c>
      <c r="M417" s="40" t="s">
        <v>222</v>
      </c>
      <c r="N417" s="40" t="s">
        <v>222</v>
      </c>
      <c r="O417" s="40" t="s">
        <v>222</v>
      </c>
      <c r="P417" s="48"/>
      <c r="Q417" s="48"/>
      <c r="R417" s="49" t="s">
        <v>222</v>
      </c>
      <c r="S417" s="50" t="s">
        <v>222</v>
      </c>
      <c r="T417" s="85"/>
      <c r="U417" s="86"/>
      <c r="V417" s="85"/>
      <c r="W417" s="86"/>
      <c r="X417" s="85"/>
      <c r="Y417" s="70"/>
      <c r="Z417" s="70"/>
      <c r="AA417" s="70"/>
      <c r="AB417" s="70"/>
      <c r="AC417" s="70"/>
      <c r="AD417" s="70"/>
      <c r="AE417" s="14"/>
      <c r="AF417" s="55"/>
      <c r="AG417" s="55"/>
    </row>
    <row r="418" ht="13.5" customHeight="1">
      <c r="A418" s="80">
        <f t="shared" si="20"/>
        <v>413</v>
      </c>
      <c r="B418" s="26"/>
      <c r="C418" s="39"/>
      <c r="D418" s="40"/>
      <c r="E418" s="83"/>
      <c r="F418" s="42"/>
      <c r="G418" s="84"/>
      <c r="H418" s="84"/>
      <c r="I418" s="45"/>
      <c r="J418" s="46" t="s">
        <v>222</v>
      </c>
      <c r="K418" s="40" t="s">
        <v>222</v>
      </c>
      <c r="L418" s="40" t="s">
        <v>222</v>
      </c>
      <c r="M418" s="40" t="s">
        <v>222</v>
      </c>
      <c r="N418" s="40" t="s">
        <v>222</v>
      </c>
      <c r="O418" s="40" t="s">
        <v>222</v>
      </c>
      <c r="P418" s="48"/>
      <c r="Q418" s="48"/>
      <c r="R418" s="49" t="s">
        <v>222</v>
      </c>
      <c r="S418" s="50" t="s">
        <v>222</v>
      </c>
      <c r="T418" s="85"/>
      <c r="U418" s="86"/>
      <c r="V418" s="85"/>
      <c r="W418" s="86"/>
      <c r="X418" s="85"/>
      <c r="Y418" s="70"/>
      <c r="Z418" s="70"/>
      <c r="AA418" s="70"/>
      <c r="AB418" s="70"/>
      <c r="AC418" s="70"/>
      <c r="AD418" s="70"/>
      <c r="AE418" s="14"/>
      <c r="AF418" s="55"/>
      <c r="AG418" s="55"/>
    </row>
    <row r="419" ht="13.5" customHeight="1">
      <c r="A419" s="80">
        <f t="shared" si="20"/>
        <v>414</v>
      </c>
      <c r="B419" s="26"/>
      <c r="C419" s="39"/>
      <c r="D419" s="40"/>
      <c r="E419" s="83"/>
      <c r="F419" s="42"/>
      <c r="G419" s="84"/>
      <c r="H419" s="84"/>
      <c r="I419" s="45"/>
      <c r="J419" s="46" t="s">
        <v>222</v>
      </c>
      <c r="K419" s="40" t="s">
        <v>222</v>
      </c>
      <c r="L419" s="40" t="s">
        <v>222</v>
      </c>
      <c r="M419" s="40" t="s">
        <v>222</v>
      </c>
      <c r="N419" s="40" t="s">
        <v>222</v>
      </c>
      <c r="O419" s="40" t="s">
        <v>222</v>
      </c>
      <c r="P419" s="48"/>
      <c r="Q419" s="48"/>
      <c r="R419" s="49" t="s">
        <v>222</v>
      </c>
      <c r="S419" s="50" t="s">
        <v>222</v>
      </c>
      <c r="T419" s="85"/>
      <c r="U419" s="86"/>
      <c r="V419" s="85"/>
      <c r="W419" s="86"/>
      <c r="X419" s="85"/>
      <c r="Y419" s="70"/>
      <c r="Z419" s="70"/>
      <c r="AA419" s="70"/>
      <c r="AB419" s="70"/>
      <c r="AC419" s="70"/>
      <c r="AD419" s="70"/>
      <c r="AE419" s="14"/>
      <c r="AF419" s="55"/>
      <c r="AG419" s="55"/>
    </row>
    <row r="420" ht="13.5" customHeight="1">
      <c r="A420" s="80">
        <f t="shared" si="20"/>
        <v>415</v>
      </c>
      <c r="B420" s="26"/>
      <c r="C420" s="39"/>
      <c r="D420" s="40"/>
      <c r="E420" s="83"/>
      <c r="F420" s="42"/>
      <c r="G420" s="84"/>
      <c r="H420" s="84"/>
      <c r="I420" s="45"/>
      <c r="J420" s="46" t="s">
        <v>222</v>
      </c>
      <c r="K420" s="40" t="s">
        <v>222</v>
      </c>
      <c r="L420" s="40" t="s">
        <v>222</v>
      </c>
      <c r="M420" s="40" t="s">
        <v>222</v>
      </c>
      <c r="N420" s="40" t="s">
        <v>222</v>
      </c>
      <c r="O420" s="40" t="s">
        <v>222</v>
      </c>
      <c r="P420" s="48"/>
      <c r="Q420" s="48"/>
      <c r="R420" s="49" t="s">
        <v>222</v>
      </c>
      <c r="S420" s="50" t="s">
        <v>222</v>
      </c>
      <c r="T420" s="85"/>
      <c r="U420" s="86"/>
      <c r="V420" s="85"/>
      <c r="W420" s="86"/>
      <c r="X420" s="85"/>
      <c r="Y420" s="70"/>
      <c r="Z420" s="70"/>
      <c r="AA420" s="70"/>
      <c r="AB420" s="70"/>
      <c r="AC420" s="70"/>
      <c r="AD420" s="70"/>
      <c r="AE420" s="14"/>
      <c r="AF420" s="55"/>
      <c r="AG420" s="55"/>
    </row>
    <row r="421" ht="13.5" customHeight="1">
      <c r="A421" s="80">
        <f t="shared" si="20"/>
        <v>416</v>
      </c>
      <c r="B421" s="26"/>
      <c r="C421" s="39"/>
      <c r="D421" s="40"/>
      <c r="E421" s="83"/>
      <c r="F421" s="42"/>
      <c r="G421" s="84"/>
      <c r="H421" s="84"/>
      <c r="I421" s="45"/>
      <c r="J421" s="46" t="s">
        <v>222</v>
      </c>
      <c r="K421" s="40" t="s">
        <v>222</v>
      </c>
      <c r="L421" s="40" t="s">
        <v>222</v>
      </c>
      <c r="M421" s="40" t="s">
        <v>222</v>
      </c>
      <c r="N421" s="40" t="s">
        <v>222</v>
      </c>
      <c r="O421" s="40" t="s">
        <v>222</v>
      </c>
      <c r="P421" s="48"/>
      <c r="Q421" s="48"/>
      <c r="R421" s="49" t="s">
        <v>222</v>
      </c>
      <c r="S421" s="50" t="s">
        <v>222</v>
      </c>
      <c r="T421" s="85"/>
      <c r="U421" s="86"/>
      <c r="V421" s="85"/>
      <c r="W421" s="86"/>
      <c r="X421" s="85"/>
      <c r="Y421" s="70"/>
      <c r="Z421" s="70"/>
      <c r="AA421" s="70"/>
      <c r="AB421" s="70"/>
      <c r="AC421" s="70"/>
      <c r="AD421" s="70"/>
      <c r="AE421" s="14"/>
      <c r="AF421" s="55"/>
      <c r="AG421" s="55"/>
    </row>
    <row r="422" ht="13.5" customHeight="1">
      <c r="A422" s="80">
        <f t="shared" si="20"/>
        <v>417</v>
      </c>
      <c r="B422" s="26"/>
      <c r="C422" s="39"/>
      <c r="D422" s="40"/>
      <c r="E422" s="83"/>
      <c r="F422" s="42"/>
      <c r="G422" s="84"/>
      <c r="H422" s="84"/>
      <c r="I422" s="45"/>
      <c r="J422" s="46" t="s">
        <v>222</v>
      </c>
      <c r="K422" s="40" t="s">
        <v>222</v>
      </c>
      <c r="L422" s="40" t="s">
        <v>222</v>
      </c>
      <c r="M422" s="40" t="s">
        <v>222</v>
      </c>
      <c r="N422" s="40" t="s">
        <v>222</v>
      </c>
      <c r="O422" s="40" t="s">
        <v>222</v>
      </c>
      <c r="P422" s="48"/>
      <c r="Q422" s="48"/>
      <c r="R422" s="49" t="s">
        <v>222</v>
      </c>
      <c r="S422" s="50" t="s">
        <v>222</v>
      </c>
      <c r="T422" s="85"/>
      <c r="U422" s="86"/>
      <c r="V422" s="85"/>
      <c r="W422" s="86"/>
      <c r="X422" s="85"/>
      <c r="Y422" s="70"/>
      <c r="Z422" s="70"/>
      <c r="AA422" s="70"/>
      <c r="AB422" s="70"/>
      <c r="AC422" s="70"/>
      <c r="AD422" s="70"/>
      <c r="AE422" s="14"/>
      <c r="AF422" s="55"/>
      <c r="AG422" s="55"/>
    </row>
    <row r="423" ht="13.5" customHeight="1">
      <c r="A423" s="80">
        <f t="shared" si="20"/>
        <v>418</v>
      </c>
      <c r="B423" s="26"/>
      <c r="C423" s="39"/>
      <c r="D423" s="40"/>
      <c r="E423" s="83"/>
      <c r="F423" s="42"/>
      <c r="G423" s="84"/>
      <c r="H423" s="84"/>
      <c r="I423" s="45"/>
      <c r="J423" s="46" t="s">
        <v>222</v>
      </c>
      <c r="K423" s="40" t="s">
        <v>222</v>
      </c>
      <c r="L423" s="40" t="s">
        <v>222</v>
      </c>
      <c r="M423" s="40" t="s">
        <v>222</v>
      </c>
      <c r="N423" s="40" t="s">
        <v>222</v>
      </c>
      <c r="O423" s="40" t="s">
        <v>222</v>
      </c>
      <c r="P423" s="48"/>
      <c r="Q423" s="48"/>
      <c r="R423" s="49" t="s">
        <v>222</v>
      </c>
      <c r="S423" s="50" t="s">
        <v>222</v>
      </c>
      <c r="T423" s="85"/>
      <c r="U423" s="86"/>
      <c r="V423" s="85"/>
      <c r="W423" s="86"/>
      <c r="X423" s="85"/>
      <c r="Y423" s="70"/>
      <c r="Z423" s="70"/>
      <c r="AA423" s="70"/>
      <c r="AB423" s="70"/>
      <c r="AC423" s="70"/>
      <c r="AD423" s="70"/>
      <c r="AE423" s="14"/>
      <c r="AF423" s="55"/>
      <c r="AG423" s="55"/>
    </row>
    <row r="424" ht="13.5" customHeight="1">
      <c r="A424" s="80">
        <f t="shared" si="20"/>
        <v>419</v>
      </c>
      <c r="B424" s="26"/>
      <c r="C424" s="39"/>
      <c r="D424" s="40"/>
      <c r="E424" s="83"/>
      <c r="F424" s="42"/>
      <c r="G424" s="84"/>
      <c r="H424" s="84"/>
      <c r="I424" s="45"/>
      <c r="J424" s="46" t="s">
        <v>222</v>
      </c>
      <c r="K424" s="40" t="s">
        <v>222</v>
      </c>
      <c r="L424" s="40" t="s">
        <v>222</v>
      </c>
      <c r="M424" s="40" t="s">
        <v>222</v>
      </c>
      <c r="N424" s="40" t="s">
        <v>222</v>
      </c>
      <c r="O424" s="40" t="s">
        <v>222</v>
      </c>
      <c r="P424" s="48"/>
      <c r="Q424" s="48"/>
      <c r="R424" s="49" t="s">
        <v>222</v>
      </c>
      <c r="S424" s="50" t="s">
        <v>222</v>
      </c>
      <c r="T424" s="85"/>
      <c r="U424" s="86"/>
      <c r="V424" s="85"/>
      <c r="W424" s="86"/>
      <c r="X424" s="85"/>
      <c r="Y424" s="70"/>
      <c r="Z424" s="70"/>
      <c r="AA424" s="70"/>
      <c r="AB424" s="70"/>
      <c r="AC424" s="70"/>
      <c r="AD424" s="70"/>
      <c r="AE424" s="14"/>
      <c r="AF424" s="55"/>
      <c r="AG424" s="55"/>
    </row>
    <row r="425" ht="13.5" customHeight="1">
      <c r="A425" s="80">
        <f t="shared" si="20"/>
        <v>420</v>
      </c>
      <c r="B425" s="26"/>
      <c r="C425" s="39"/>
      <c r="D425" s="40"/>
      <c r="E425" s="83"/>
      <c r="F425" s="42"/>
      <c r="G425" s="84"/>
      <c r="H425" s="84"/>
      <c r="I425" s="45"/>
      <c r="J425" s="46" t="s">
        <v>222</v>
      </c>
      <c r="K425" s="40" t="s">
        <v>222</v>
      </c>
      <c r="L425" s="40" t="s">
        <v>222</v>
      </c>
      <c r="M425" s="40" t="s">
        <v>222</v>
      </c>
      <c r="N425" s="40" t="s">
        <v>222</v>
      </c>
      <c r="O425" s="40" t="s">
        <v>222</v>
      </c>
      <c r="P425" s="48"/>
      <c r="Q425" s="48"/>
      <c r="R425" s="49" t="s">
        <v>222</v>
      </c>
      <c r="S425" s="50" t="s">
        <v>222</v>
      </c>
      <c r="T425" s="85"/>
      <c r="U425" s="86"/>
      <c r="V425" s="85"/>
      <c r="W425" s="86"/>
      <c r="X425" s="85"/>
      <c r="Y425" s="70"/>
      <c r="Z425" s="70"/>
      <c r="AA425" s="70"/>
      <c r="AB425" s="70"/>
      <c r="AC425" s="70"/>
      <c r="AD425" s="70"/>
      <c r="AE425" s="14"/>
      <c r="AF425" s="55"/>
      <c r="AG425" s="55"/>
    </row>
    <row r="426" ht="13.5" customHeight="1">
      <c r="A426" s="80">
        <f t="shared" si="20"/>
        <v>421</v>
      </c>
      <c r="B426" s="26"/>
      <c r="C426" s="39"/>
      <c r="D426" s="40"/>
      <c r="E426" s="83"/>
      <c r="F426" s="42"/>
      <c r="G426" s="84"/>
      <c r="H426" s="84"/>
      <c r="I426" s="45"/>
      <c r="J426" s="46" t="s">
        <v>222</v>
      </c>
      <c r="K426" s="40" t="s">
        <v>222</v>
      </c>
      <c r="L426" s="40" t="s">
        <v>222</v>
      </c>
      <c r="M426" s="40" t="s">
        <v>222</v>
      </c>
      <c r="N426" s="40" t="s">
        <v>222</v>
      </c>
      <c r="O426" s="40" t="s">
        <v>222</v>
      </c>
      <c r="P426" s="48"/>
      <c r="Q426" s="48"/>
      <c r="R426" s="49" t="s">
        <v>222</v>
      </c>
      <c r="S426" s="50" t="s">
        <v>222</v>
      </c>
      <c r="T426" s="85"/>
      <c r="U426" s="86"/>
      <c r="V426" s="85"/>
      <c r="W426" s="86"/>
      <c r="X426" s="85"/>
      <c r="Y426" s="70"/>
      <c r="Z426" s="70"/>
      <c r="AA426" s="70"/>
      <c r="AB426" s="70"/>
      <c r="AC426" s="70"/>
      <c r="AD426" s="70"/>
      <c r="AE426" s="14"/>
      <c r="AF426" s="55"/>
      <c r="AG426" s="55"/>
    </row>
    <row r="427" ht="13.5" customHeight="1">
      <c r="A427" s="80">
        <f t="shared" si="20"/>
        <v>422</v>
      </c>
      <c r="B427" s="26"/>
      <c r="C427" s="39"/>
      <c r="D427" s="40"/>
      <c r="E427" s="83"/>
      <c r="F427" s="42"/>
      <c r="G427" s="84"/>
      <c r="H427" s="84"/>
      <c r="I427" s="45"/>
      <c r="J427" s="46" t="s">
        <v>222</v>
      </c>
      <c r="K427" s="40" t="s">
        <v>222</v>
      </c>
      <c r="L427" s="40" t="s">
        <v>222</v>
      </c>
      <c r="M427" s="40" t="s">
        <v>222</v>
      </c>
      <c r="N427" s="40" t="s">
        <v>222</v>
      </c>
      <c r="O427" s="40" t="s">
        <v>222</v>
      </c>
      <c r="P427" s="48"/>
      <c r="Q427" s="48"/>
      <c r="R427" s="49" t="s">
        <v>222</v>
      </c>
      <c r="S427" s="50" t="s">
        <v>222</v>
      </c>
      <c r="T427" s="85"/>
      <c r="U427" s="86"/>
      <c r="V427" s="85"/>
      <c r="W427" s="86"/>
      <c r="X427" s="85"/>
      <c r="Y427" s="70"/>
      <c r="Z427" s="70"/>
      <c r="AA427" s="70"/>
      <c r="AB427" s="70"/>
      <c r="AC427" s="70"/>
      <c r="AD427" s="70"/>
      <c r="AE427" s="14"/>
      <c r="AF427" s="55"/>
      <c r="AG427" s="55"/>
    </row>
    <row r="428" ht="13.5" customHeight="1">
      <c r="A428" s="80">
        <f t="shared" si="20"/>
        <v>423</v>
      </c>
      <c r="B428" s="26"/>
      <c r="C428" s="39"/>
      <c r="D428" s="40"/>
      <c r="E428" s="83"/>
      <c r="F428" s="42"/>
      <c r="G428" s="84"/>
      <c r="H428" s="84"/>
      <c r="I428" s="45"/>
      <c r="J428" s="46" t="s">
        <v>222</v>
      </c>
      <c r="K428" s="40" t="s">
        <v>222</v>
      </c>
      <c r="L428" s="40" t="s">
        <v>222</v>
      </c>
      <c r="M428" s="40" t="s">
        <v>222</v>
      </c>
      <c r="N428" s="40" t="s">
        <v>222</v>
      </c>
      <c r="O428" s="40" t="s">
        <v>222</v>
      </c>
      <c r="P428" s="48"/>
      <c r="Q428" s="48"/>
      <c r="R428" s="49" t="s">
        <v>222</v>
      </c>
      <c r="S428" s="50" t="s">
        <v>222</v>
      </c>
      <c r="T428" s="85"/>
      <c r="U428" s="86"/>
      <c r="V428" s="85"/>
      <c r="W428" s="86"/>
      <c r="X428" s="85"/>
      <c r="Y428" s="70"/>
      <c r="Z428" s="70"/>
      <c r="AA428" s="70"/>
      <c r="AB428" s="70"/>
      <c r="AC428" s="70"/>
      <c r="AD428" s="70"/>
      <c r="AE428" s="14"/>
      <c r="AF428" s="55"/>
      <c r="AG428" s="55"/>
    </row>
    <row r="429" ht="13.5" customHeight="1">
      <c r="A429" s="80">
        <f t="shared" si="20"/>
        <v>424</v>
      </c>
      <c r="B429" s="26"/>
      <c r="C429" s="39"/>
      <c r="D429" s="40"/>
      <c r="E429" s="83"/>
      <c r="F429" s="42"/>
      <c r="G429" s="84"/>
      <c r="H429" s="84"/>
      <c r="I429" s="45"/>
      <c r="J429" s="46" t="s">
        <v>222</v>
      </c>
      <c r="K429" s="40" t="s">
        <v>222</v>
      </c>
      <c r="L429" s="40" t="s">
        <v>222</v>
      </c>
      <c r="M429" s="40" t="s">
        <v>222</v>
      </c>
      <c r="N429" s="40" t="s">
        <v>222</v>
      </c>
      <c r="O429" s="40" t="s">
        <v>222</v>
      </c>
      <c r="P429" s="48"/>
      <c r="Q429" s="48"/>
      <c r="R429" s="49" t="s">
        <v>222</v>
      </c>
      <c r="S429" s="50" t="s">
        <v>222</v>
      </c>
      <c r="T429" s="85"/>
      <c r="U429" s="86"/>
      <c r="V429" s="85"/>
      <c r="W429" s="86"/>
      <c r="X429" s="85"/>
      <c r="Y429" s="70"/>
      <c r="Z429" s="70"/>
      <c r="AA429" s="70"/>
      <c r="AB429" s="70"/>
      <c r="AC429" s="70"/>
      <c r="AD429" s="70"/>
      <c r="AE429" s="14"/>
      <c r="AF429" s="55"/>
      <c r="AG429" s="55"/>
    </row>
    <row r="430" ht="13.5" customHeight="1">
      <c r="A430" s="80">
        <f t="shared" si="20"/>
        <v>425</v>
      </c>
      <c r="B430" s="26"/>
      <c r="C430" s="39"/>
      <c r="D430" s="40"/>
      <c r="E430" s="83"/>
      <c r="F430" s="42"/>
      <c r="G430" s="84"/>
      <c r="H430" s="84"/>
      <c r="I430" s="45"/>
      <c r="J430" s="46" t="s">
        <v>222</v>
      </c>
      <c r="K430" s="40" t="s">
        <v>222</v>
      </c>
      <c r="L430" s="40" t="s">
        <v>222</v>
      </c>
      <c r="M430" s="40" t="s">
        <v>222</v>
      </c>
      <c r="N430" s="40" t="s">
        <v>222</v>
      </c>
      <c r="O430" s="40" t="s">
        <v>222</v>
      </c>
      <c r="P430" s="48"/>
      <c r="Q430" s="48"/>
      <c r="R430" s="49" t="s">
        <v>222</v>
      </c>
      <c r="S430" s="50" t="s">
        <v>222</v>
      </c>
      <c r="T430" s="85"/>
      <c r="U430" s="86"/>
      <c r="V430" s="85"/>
      <c r="W430" s="86"/>
      <c r="X430" s="85"/>
      <c r="Y430" s="70"/>
      <c r="Z430" s="70"/>
      <c r="AA430" s="70"/>
      <c r="AB430" s="70"/>
      <c r="AC430" s="70"/>
      <c r="AD430" s="70"/>
      <c r="AE430" s="14"/>
      <c r="AF430" s="55"/>
      <c r="AG430" s="55"/>
    </row>
    <row r="431" ht="13.5" customHeight="1">
      <c r="A431" s="80">
        <f t="shared" si="20"/>
        <v>426</v>
      </c>
      <c r="B431" s="26"/>
      <c r="C431" s="39"/>
      <c r="D431" s="40"/>
      <c r="E431" s="83"/>
      <c r="F431" s="42"/>
      <c r="G431" s="84"/>
      <c r="H431" s="84"/>
      <c r="I431" s="45"/>
      <c r="J431" s="46" t="s">
        <v>222</v>
      </c>
      <c r="K431" s="40" t="s">
        <v>222</v>
      </c>
      <c r="L431" s="40" t="s">
        <v>222</v>
      </c>
      <c r="M431" s="40" t="s">
        <v>222</v>
      </c>
      <c r="N431" s="40" t="s">
        <v>222</v>
      </c>
      <c r="O431" s="40" t="s">
        <v>222</v>
      </c>
      <c r="P431" s="48"/>
      <c r="Q431" s="48"/>
      <c r="R431" s="49" t="s">
        <v>222</v>
      </c>
      <c r="S431" s="50" t="s">
        <v>222</v>
      </c>
      <c r="T431" s="85"/>
      <c r="U431" s="86"/>
      <c r="V431" s="85"/>
      <c r="W431" s="86"/>
      <c r="X431" s="85"/>
      <c r="Y431" s="70"/>
      <c r="Z431" s="70"/>
      <c r="AA431" s="70"/>
      <c r="AB431" s="70"/>
      <c r="AC431" s="70"/>
      <c r="AD431" s="70"/>
      <c r="AE431" s="14"/>
      <c r="AF431" s="55"/>
      <c r="AG431" s="55"/>
    </row>
    <row r="432" ht="13.5" customHeight="1">
      <c r="A432" s="80">
        <f t="shared" si="20"/>
        <v>427</v>
      </c>
      <c r="B432" s="26"/>
      <c r="C432" s="39"/>
      <c r="D432" s="40"/>
      <c r="E432" s="83"/>
      <c r="F432" s="42"/>
      <c r="G432" s="84"/>
      <c r="H432" s="84"/>
      <c r="I432" s="45"/>
      <c r="J432" s="46" t="s">
        <v>222</v>
      </c>
      <c r="K432" s="40" t="s">
        <v>222</v>
      </c>
      <c r="L432" s="40" t="s">
        <v>222</v>
      </c>
      <c r="M432" s="40" t="s">
        <v>222</v>
      </c>
      <c r="N432" s="40" t="s">
        <v>222</v>
      </c>
      <c r="O432" s="40" t="s">
        <v>222</v>
      </c>
      <c r="P432" s="48"/>
      <c r="Q432" s="48"/>
      <c r="R432" s="49" t="s">
        <v>222</v>
      </c>
      <c r="S432" s="50" t="s">
        <v>222</v>
      </c>
      <c r="T432" s="85"/>
      <c r="U432" s="86"/>
      <c r="V432" s="85"/>
      <c r="W432" s="86"/>
      <c r="X432" s="85"/>
      <c r="Y432" s="70"/>
      <c r="Z432" s="70"/>
      <c r="AA432" s="70"/>
      <c r="AB432" s="70"/>
      <c r="AC432" s="70"/>
      <c r="AD432" s="70"/>
      <c r="AE432" s="14"/>
      <c r="AF432" s="55"/>
      <c r="AG432" s="55"/>
    </row>
    <row r="433" ht="13.5" customHeight="1">
      <c r="A433" s="80">
        <f t="shared" si="20"/>
        <v>428</v>
      </c>
      <c r="B433" s="26"/>
      <c r="C433" s="39"/>
      <c r="D433" s="40"/>
      <c r="E433" s="83"/>
      <c r="F433" s="42"/>
      <c r="G433" s="84"/>
      <c r="H433" s="84"/>
      <c r="I433" s="45"/>
      <c r="J433" s="46" t="s">
        <v>222</v>
      </c>
      <c r="K433" s="40" t="s">
        <v>222</v>
      </c>
      <c r="L433" s="40" t="s">
        <v>222</v>
      </c>
      <c r="M433" s="40" t="s">
        <v>222</v>
      </c>
      <c r="N433" s="40" t="s">
        <v>222</v>
      </c>
      <c r="O433" s="40" t="s">
        <v>222</v>
      </c>
      <c r="P433" s="48"/>
      <c r="Q433" s="48"/>
      <c r="R433" s="49" t="s">
        <v>222</v>
      </c>
      <c r="S433" s="50" t="s">
        <v>222</v>
      </c>
      <c r="T433" s="85"/>
      <c r="U433" s="86"/>
      <c r="V433" s="85"/>
      <c r="W433" s="86"/>
      <c r="X433" s="85"/>
      <c r="Y433" s="70"/>
      <c r="Z433" s="70"/>
      <c r="AA433" s="70"/>
      <c r="AB433" s="70"/>
      <c r="AC433" s="70"/>
      <c r="AD433" s="70"/>
      <c r="AE433" s="14"/>
      <c r="AF433" s="55"/>
      <c r="AG433" s="55"/>
    </row>
    <row r="434" ht="13.5" customHeight="1">
      <c r="A434" s="80">
        <f t="shared" si="20"/>
        <v>429</v>
      </c>
      <c r="B434" s="26"/>
      <c r="C434" s="39"/>
      <c r="D434" s="40"/>
      <c r="E434" s="83"/>
      <c r="F434" s="42"/>
      <c r="G434" s="84"/>
      <c r="H434" s="84"/>
      <c r="I434" s="45"/>
      <c r="J434" s="46" t="s">
        <v>222</v>
      </c>
      <c r="K434" s="40" t="s">
        <v>222</v>
      </c>
      <c r="L434" s="40" t="s">
        <v>222</v>
      </c>
      <c r="M434" s="40" t="s">
        <v>222</v>
      </c>
      <c r="N434" s="40" t="s">
        <v>222</v>
      </c>
      <c r="O434" s="40" t="s">
        <v>222</v>
      </c>
      <c r="P434" s="48"/>
      <c r="Q434" s="48"/>
      <c r="R434" s="49" t="s">
        <v>222</v>
      </c>
      <c r="S434" s="50" t="s">
        <v>222</v>
      </c>
      <c r="T434" s="85"/>
      <c r="U434" s="86"/>
      <c r="V434" s="85"/>
      <c r="W434" s="86"/>
      <c r="X434" s="85"/>
      <c r="Y434" s="70"/>
      <c r="Z434" s="70"/>
      <c r="AA434" s="70"/>
      <c r="AB434" s="70"/>
      <c r="AC434" s="70"/>
      <c r="AD434" s="70"/>
      <c r="AE434" s="14"/>
      <c r="AF434" s="55"/>
      <c r="AG434" s="55"/>
    </row>
    <row r="435" ht="13.5" customHeight="1">
      <c r="A435" s="80">
        <f t="shared" si="20"/>
        <v>430</v>
      </c>
      <c r="B435" s="26"/>
      <c r="C435" s="39"/>
      <c r="D435" s="40"/>
      <c r="E435" s="83"/>
      <c r="F435" s="42"/>
      <c r="G435" s="84"/>
      <c r="H435" s="84"/>
      <c r="I435" s="45"/>
      <c r="J435" s="46" t="s">
        <v>222</v>
      </c>
      <c r="K435" s="40" t="s">
        <v>222</v>
      </c>
      <c r="L435" s="40" t="s">
        <v>222</v>
      </c>
      <c r="M435" s="40" t="s">
        <v>222</v>
      </c>
      <c r="N435" s="40" t="s">
        <v>222</v>
      </c>
      <c r="O435" s="40" t="s">
        <v>222</v>
      </c>
      <c r="P435" s="48"/>
      <c r="Q435" s="48"/>
      <c r="R435" s="49" t="s">
        <v>222</v>
      </c>
      <c r="S435" s="50" t="s">
        <v>222</v>
      </c>
      <c r="T435" s="85"/>
      <c r="U435" s="86"/>
      <c r="V435" s="85"/>
      <c r="W435" s="86"/>
      <c r="X435" s="85"/>
      <c r="Y435" s="70"/>
      <c r="Z435" s="70"/>
      <c r="AA435" s="70"/>
      <c r="AB435" s="70"/>
      <c r="AC435" s="70"/>
      <c r="AD435" s="70"/>
      <c r="AE435" s="14"/>
      <c r="AF435" s="55"/>
      <c r="AG435" s="55"/>
    </row>
    <row r="436" ht="13.5" customHeight="1">
      <c r="A436" s="80">
        <f t="shared" si="20"/>
        <v>431</v>
      </c>
      <c r="B436" s="26"/>
      <c r="C436" s="39"/>
      <c r="D436" s="40"/>
      <c r="E436" s="83"/>
      <c r="F436" s="42"/>
      <c r="G436" s="84"/>
      <c r="H436" s="84"/>
      <c r="I436" s="45"/>
      <c r="J436" s="46" t="s">
        <v>222</v>
      </c>
      <c r="K436" s="40" t="s">
        <v>222</v>
      </c>
      <c r="L436" s="40" t="s">
        <v>222</v>
      </c>
      <c r="M436" s="40" t="s">
        <v>222</v>
      </c>
      <c r="N436" s="40" t="s">
        <v>222</v>
      </c>
      <c r="O436" s="40" t="s">
        <v>222</v>
      </c>
      <c r="P436" s="48"/>
      <c r="Q436" s="48"/>
      <c r="R436" s="49" t="s">
        <v>222</v>
      </c>
      <c r="S436" s="50" t="s">
        <v>222</v>
      </c>
      <c r="T436" s="85"/>
      <c r="U436" s="86"/>
      <c r="V436" s="85"/>
      <c r="W436" s="86"/>
      <c r="X436" s="85"/>
      <c r="Y436" s="70"/>
      <c r="Z436" s="70"/>
      <c r="AA436" s="70"/>
      <c r="AB436" s="70"/>
      <c r="AC436" s="70"/>
      <c r="AD436" s="70"/>
      <c r="AE436" s="14"/>
      <c r="AF436" s="55"/>
      <c r="AG436" s="55"/>
    </row>
    <row r="437" ht="13.5" customHeight="1">
      <c r="A437" s="80">
        <f t="shared" si="20"/>
        <v>432</v>
      </c>
      <c r="B437" s="26"/>
      <c r="C437" s="39"/>
      <c r="D437" s="40"/>
      <c r="E437" s="83"/>
      <c r="F437" s="42"/>
      <c r="G437" s="84"/>
      <c r="H437" s="84"/>
      <c r="I437" s="45"/>
      <c r="J437" s="46" t="s">
        <v>222</v>
      </c>
      <c r="K437" s="40" t="s">
        <v>222</v>
      </c>
      <c r="L437" s="40" t="s">
        <v>222</v>
      </c>
      <c r="M437" s="40" t="s">
        <v>222</v>
      </c>
      <c r="N437" s="40" t="s">
        <v>222</v>
      </c>
      <c r="O437" s="40" t="s">
        <v>222</v>
      </c>
      <c r="P437" s="48"/>
      <c r="Q437" s="48"/>
      <c r="R437" s="49" t="s">
        <v>222</v>
      </c>
      <c r="S437" s="50" t="s">
        <v>222</v>
      </c>
      <c r="T437" s="85"/>
      <c r="U437" s="86"/>
      <c r="V437" s="85"/>
      <c r="W437" s="86"/>
      <c r="X437" s="85"/>
      <c r="Y437" s="70"/>
      <c r="Z437" s="70"/>
      <c r="AA437" s="70"/>
      <c r="AB437" s="70"/>
      <c r="AC437" s="70"/>
      <c r="AD437" s="70"/>
      <c r="AE437" s="14"/>
      <c r="AF437" s="55"/>
      <c r="AG437" s="55"/>
    </row>
    <row r="438" ht="13.5" customHeight="1">
      <c r="A438" s="80">
        <f t="shared" si="20"/>
        <v>433</v>
      </c>
      <c r="B438" s="26"/>
      <c r="C438" s="39"/>
      <c r="D438" s="40"/>
      <c r="E438" s="83"/>
      <c r="F438" s="42"/>
      <c r="G438" s="84"/>
      <c r="H438" s="84"/>
      <c r="I438" s="45"/>
      <c r="J438" s="46" t="s">
        <v>222</v>
      </c>
      <c r="K438" s="40" t="s">
        <v>222</v>
      </c>
      <c r="L438" s="40" t="s">
        <v>222</v>
      </c>
      <c r="M438" s="40" t="s">
        <v>222</v>
      </c>
      <c r="N438" s="40" t="s">
        <v>222</v>
      </c>
      <c r="O438" s="40" t="s">
        <v>222</v>
      </c>
      <c r="P438" s="48"/>
      <c r="Q438" s="48"/>
      <c r="R438" s="49" t="s">
        <v>222</v>
      </c>
      <c r="S438" s="50" t="s">
        <v>222</v>
      </c>
      <c r="T438" s="85"/>
      <c r="U438" s="86"/>
      <c r="V438" s="85"/>
      <c r="W438" s="86"/>
      <c r="X438" s="85"/>
      <c r="Y438" s="70"/>
      <c r="Z438" s="70"/>
      <c r="AA438" s="70"/>
      <c r="AB438" s="70"/>
      <c r="AC438" s="70"/>
      <c r="AD438" s="70"/>
      <c r="AE438" s="14"/>
      <c r="AF438" s="55"/>
      <c r="AG438" s="55"/>
    </row>
    <row r="439" ht="13.5" customHeight="1">
      <c r="A439" s="80">
        <f t="shared" si="20"/>
        <v>434</v>
      </c>
      <c r="B439" s="26"/>
      <c r="C439" s="39"/>
      <c r="D439" s="40"/>
      <c r="E439" s="83"/>
      <c r="F439" s="42"/>
      <c r="G439" s="84"/>
      <c r="H439" s="84"/>
      <c r="I439" s="45"/>
      <c r="J439" s="46" t="s">
        <v>222</v>
      </c>
      <c r="K439" s="40" t="s">
        <v>222</v>
      </c>
      <c r="L439" s="40" t="s">
        <v>222</v>
      </c>
      <c r="M439" s="40" t="s">
        <v>222</v>
      </c>
      <c r="N439" s="40" t="s">
        <v>222</v>
      </c>
      <c r="O439" s="40" t="s">
        <v>222</v>
      </c>
      <c r="P439" s="48"/>
      <c r="Q439" s="48"/>
      <c r="R439" s="49" t="s">
        <v>222</v>
      </c>
      <c r="S439" s="50" t="s">
        <v>222</v>
      </c>
      <c r="T439" s="85"/>
      <c r="U439" s="86"/>
      <c r="V439" s="85"/>
      <c r="W439" s="86"/>
      <c r="X439" s="85"/>
      <c r="Y439" s="70"/>
      <c r="Z439" s="70"/>
      <c r="AA439" s="70"/>
      <c r="AB439" s="70"/>
      <c r="AC439" s="70"/>
      <c r="AD439" s="70"/>
      <c r="AE439" s="14"/>
      <c r="AF439" s="55"/>
      <c r="AG439" s="55"/>
    </row>
    <row r="440" ht="13.5" customHeight="1">
      <c r="A440" s="80">
        <f t="shared" si="20"/>
        <v>435</v>
      </c>
      <c r="B440" s="26"/>
      <c r="C440" s="39"/>
      <c r="D440" s="40"/>
      <c r="E440" s="83"/>
      <c r="F440" s="42"/>
      <c r="G440" s="84"/>
      <c r="H440" s="84"/>
      <c r="I440" s="45"/>
      <c r="J440" s="46" t="s">
        <v>222</v>
      </c>
      <c r="K440" s="40" t="s">
        <v>222</v>
      </c>
      <c r="L440" s="40" t="s">
        <v>222</v>
      </c>
      <c r="M440" s="40" t="s">
        <v>222</v>
      </c>
      <c r="N440" s="40" t="s">
        <v>222</v>
      </c>
      <c r="O440" s="40" t="s">
        <v>222</v>
      </c>
      <c r="P440" s="48"/>
      <c r="Q440" s="48"/>
      <c r="R440" s="49" t="s">
        <v>222</v>
      </c>
      <c r="S440" s="50" t="s">
        <v>222</v>
      </c>
      <c r="T440" s="85"/>
      <c r="U440" s="86"/>
      <c r="V440" s="85"/>
      <c r="W440" s="86"/>
      <c r="X440" s="85"/>
      <c r="Y440" s="70"/>
      <c r="Z440" s="70"/>
      <c r="AA440" s="70"/>
      <c r="AB440" s="70"/>
      <c r="AC440" s="70"/>
      <c r="AD440" s="70"/>
      <c r="AE440" s="14"/>
      <c r="AF440" s="55"/>
      <c r="AG440" s="55"/>
    </row>
    <row r="441" ht="13.5" customHeight="1">
      <c r="A441" s="80">
        <f t="shared" si="20"/>
        <v>436</v>
      </c>
      <c r="B441" s="26"/>
      <c r="C441" s="39"/>
      <c r="D441" s="40"/>
      <c r="E441" s="83"/>
      <c r="F441" s="42"/>
      <c r="G441" s="84"/>
      <c r="H441" s="84"/>
      <c r="I441" s="45"/>
      <c r="J441" s="46" t="s">
        <v>222</v>
      </c>
      <c r="K441" s="40" t="s">
        <v>222</v>
      </c>
      <c r="L441" s="40" t="s">
        <v>222</v>
      </c>
      <c r="M441" s="40" t="s">
        <v>222</v>
      </c>
      <c r="N441" s="40" t="s">
        <v>222</v>
      </c>
      <c r="O441" s="40" t="s">
        <v>222</v>
      </c>
      <c r="P441" s="48"/>
      <c r="Q441" s="48"/>
      <c r="R441" s="49" t="s">
        <v>222</v>
      </c>
      <c r="S441" s="50" t="s">
        <v>222</v>
      </c>
      <c r="T441" s="85"/>
      <c r="U441" s="86"/>
      <c r="V441" s="85"/>
      <c r="W441" s="86"/>
      <c r="X441" s="85"/>
      <c r="Y441" s="70"/>
      <c r="Z441" s="70"/>
      <c r="AA441" s="70"/>
      <c r="AB441" s="70"/>
      <c r="AC441" s="70"/>
      <c r="AD441" s="70"/>
      <c r="AE441" s="14"/>
      <c r="AF441" s="55"/>
      <c r="AG441" s="55"/>
    </row>
    <row r="442" ht="13.5" customHeight="1">
      <c r="A442" s="80">
        <f t="shared" si="20"/>
        <v>437</v>
      </c>
      <c r="B442" s="26"/>
      <c r="C442" s="39"/>
      <c r="D442" s="40"/>
      <c r="E442" s="83"/>
      <c r="F442" s="42"/>
      <c r="G442" s="84"/>
      <c r="H442" s="84"/>
      <c r="I442" s="45"/>
      <c r="J442" s="46" t="s">
        <v>222</v>
      </c>
      <c r="K442" s="40" t="s">
        <v>222</v>
      </c>
      <c r="L442" s="40" t="s">
        <v>222</v>
      </c>
      <c r="M442" s="40" t="s">
        <v>222</v>
      </c>
      <c r="N442" s="40" t="s">
        <v>222</v>
      </c>
      <c r="O442" s="40" t="s">
        <v>222</v>
      </c>
      <c r="P442" s="48"/>
      <c r="Q442" s="48"/>
      <c r="R442" s="49" t="s">
        <v>222</v>
      </c>
      <c r="S442" s="50" t="s">
        <v>222</v>
      </c>
      <c r="T442" s="85"/>
      <c r="U442" s="86"/>
      <c r="V442" s="85"/>
      <c r="W442" s="86"/>
      <c r="X442" s="85"/>
      <c r="Y442" s="70"/>
      <c r="Z442" s="70"/>
      <c r="AA442" s="70"/>
      <c r="AB442" s="70"/>
      <c r="AC442" s="70"/>
      <c r="AD442" s="70"/>
      <c r="AE442" s="14"/>
      <c r="AF442" s="55"/>
      <c r="AG442" s="55"/>
    </row>
    <row r="443" ht="13.5" customHeight="1">
      <c r="A443" s="80">
        <f t="shared" si="20"/>
        <v>438</v>
      </c>
      <c r="B443" s="26"/>
      <c r="C443" s="39"/>
      <c r="D443" s="40"/>
      <c r="E443" s="83"/>
      <c r="F443" s="42"/>
      <c r="G443" s="84"/>
      <c r="H443" s="84"/>
      <c r="I443" s="45"/>
      <c r="J443" s="46" t="s">
        <v>222</v>
      </c>
      <c r="K443" s="40" t="s">
        <v>222</v>
      </c>
      <c r="L443" s="40" t="s">
        <v>222</v>
      </c>
      <c r="M443" s="40" t="s">
        <v>222</v>
      </c>
      <c r="N443" s="40" t="s">
        <v>222</v>
      </c>
      <c r="O443" s="40" t="s">
        <v>222</v>
      </c>
      <c r="P443" s="48"/>
      <c r="Q443" s="48"/>
      <c r="R443" s="49" t="s">
        <v>222</v>
      </c>
      <c r="S443" s="50" t="s">
        <v>222</v>
      </c>
      <c r="T443" s="85"/>
      <c r="U443" s="86"/>
      <c r="V443" s="85"/>
      <c r="W443" s="86"/>
      <c r="X443" s="85"/>
      <c r="Y443" s="70"/>
      <c r="Z443" s="70"/>
      <c r="AA443" s="70"/>
      <c r="AB443" s="70"/>
      <c r="AC443" s="70"/>
      <c r="AD443" s="70"/>
      <c r="AE443" s="14"/>
      <c r="AF443" s="55"/>
      <c r="AG443" s="55"/>
    </row>
    <row r="444" ht="13.5" customHeight="1">
      <c r="A444" s="80">
        <f t="shared" si="20"/>
        <v>439</v>
      </c>
      <c r="B444" s="26"/>
      <c r="C444" s="39"/>
      <c r="D444" s="40"/>
      <c r="E444" s="83"/>
      <c r="F444" s="42"/>
      <c r="G444" s="84"/>
      <c r="H444" s="84"/>
      <c r="I444" s="45"/>
      <c r="J444" s="46" t="s">
        <v>222</v>
      </c>
      <c r="K444" s="40" t="s">
        <v>222</v>
      </c>
      <c r="L444" s="40" t="s">
        <v>222</v>
      </c>
      <c r="M444" s="40" t="s">
        <v>222</v>
      </c>
      <c r="N444" s="40" t="s">
        <v>222</v>
      </c>
      <c r="O444" s="40" t="s">
        <v>222</v>
      </c>
      <c r="P444" s="48"/>
      <c r="Q444" s="48"/>
      <c r="R444" s="49" t="s">
        <v>222</v>
      </c>
      <c r="S444" s="50" t="s">
        <v>222</v>
      </c>
      <c r="T444" s="85"/>
      <c r="U444" s="86"/>
      <c r="V444" s="85"/>
      <c r="W444" s="86"/>
      <c r="X444" s="85"/>
      <c r="Y444" s="70"/>
      <c r="Z444" s="70"/>
      <c r="AA444" s="70"/>
      <c r="AB444" s="70"/>
      <c r="AC444" s="70"/>
      <c r="AD444" s="70"/>
      <c r="AE444" s="14"/>
      <c r="AF444" s="55"/>
      <c r="AG444" s="55"/>
    </row>
    <row r="445" ht="13.5" customHeight="1">
      <c r="A445" s="80">
        <f t="shared" si="20"/>
        <v>440</v>
      </c>
      <c r="B445" s="26"/>
      <c r="C445" s="39"/>
      <c r="D445" s="40"/>
      <c r="E445" s="83"/>
      <c r="F445" s="42"/>
      <c r="G445" s="84"/>
      <c r="H445" s="84"/>
      <c r="I445" s="45"/>
      <c r="J445" s="46" t="s">
        <v>222</v>
      </c>
      <c r="K445" s="40" t="s">
        <v>222</v>
      </c>
      <c r="L445" s="40" t="s">
        <v>222</v>
      </c>
      <c r="M445" s="40" t="s">
        <v>222</v>
      </c>
      <c r="N445" s="40" t="s">
        <v>222</v>
      </c>
      <c r="O445" s="40" t="s">
        <v>222</v>
      </c>
      <c r="P445" s="48"/>
      <c r="Q445" s="48"/>
      <c r="R445" s="49" t="s">
        <v>222</v>
      </c>
      <c r="S445" s="50" t="s">
        <v>222</v>
      </c>
      <c r="T445" s="85"/>
      <c r="U445" s="86"/>
      <c r="V445" s="85"/>
      <c r="W445" s="86"/>
      <c r="X445" s="85"/>
      <c r="Y445" s="70"/>
      <c r="Z445" s="70"/>
      <c r="AA445" s="70"/>
      <c r="AB445" s="70"/>
      <c r="AC445" s="70"/>
      <c r="AD445" s="70"/>
      <c r="AE445" s="14"/>
      <c r="AF445" s="55"/>
      <c r="AG445" s="55"/>
    </row>
    <row r="446" ht="13.5" customHeight="1">
      <c r="A446" s="80">
        <f t="shared" si="20"/>
        <v>441</v>
      </c>
      <c r="B446" s="26"/>
      <c r="C446" s="39"/>
      <c r="D446" s="40"/>
      <c r="E446" s="83"/>
      <c r="F446" s="42"/>
      <c r="G446" s="84"/>
      <c r="H446" s="84"/>
      <c r="I446" s="45"/>
      <c r="J446" s="46" t="s">
        <v>222</v>
      </c>
      <c r="K446" s="40" t="s">
        <v>222</v>
      </c>
      <c r="L446" s="40" t="s">
        <v>222</v>
      </c>
      <c r="M446" s="40" t="s">
        <v>222</v>
      </c>
      <c r="N446" s="40" t="s">
        <v>222</v>
      </c>
      <c r="O446" s="40" t="s">
        <v>222</v>
      </c>
      <c r="P446" s="48"/>
      <c r="Q446" s="48"/>
      <c r="R446" s="49" t="s">
        <v>222</v>
      </c>
      <c r="S446" s="50" t="s">
        <v>222</v>
      </c>
      <c r="T446" s="85"/>
      <c r="U446" s="86"/>
      <c r="V446" s="85"/>
      <c r="W446" s="86"/>
      <c r="X446" s="85"/>
      <c r="Y446" s="70"/>
      <c r="Z446" s="70"/>
      <c r="AA446" s="70"/>
      <c r="AB446" s="70"/>
      <c r="AC446" s="70"/>
      <c r="AD446" s="70"/>
      <c r="AE446" s="14"/>
      <c r="AF446" s="55"/>
      <c r="AG446" s="55"/>
    </row>
    <row r="447" ht="13.5" customHeight="1">
      <c r="A447" s="80">
        <f t="shared" si="20"/>
        <v>442</v>
      </c>
      <c r="B447" s="26"/>
      <c r="C447" s="39"/>
      <c r="D447" s="40"/>
      <c r="E447" s="83"/>
      <c r="F447" s="42"/>
      <c r="G447" s="84"/>
      <c r="H447" s="84"/>
      <c r="I447" s="45"/>
      <c r="J447" s="46" t="s">
        <v>222</v>
      </c>
      <c r="K447" s="40" t="s">
        <v>222</v>
      </c>
      <c r="L447" s="40" t="s">
        <v>222</v>
      </c>
      <c r="M447" s="40" t="s">
        <v>222</v>
      </c>
      <c r="N447" s="40" t="s">
        <v>222</v>
      </c>
      <c r="O447" s="40" t="s">
        <v>222</v>
      </c>
      <c r="P447" s="48"/>
      <c r="Q447" s="48"/>
      <c r="R447" s="49" t="s">
        <v>222</v>
      </c>
      <c r="S447" s="50" t="s">
        <v>222</v>
      </c>
      <c r="T447" s="85"/>
      <c r="U447" s="86"/>
      <c r="V447" s="85"/>
      <c r="W447" s="86"/>
      <c r="X447" s="85"/>
      <c r="Y447" s="70"/>
      <c r="Z447" s="70"/>
      <c r="AA447" s="70"/>
      <c r="AB447" s="70"/>
      <c r="AC447" s="70"/>
      <c r="AD447" s="70"/>
      <c r="AE447" s="14"/>
      <c r="AF447" s="55"/>
      <c r="AG447" s="55"/>
    </row>
    <row r="448" ht="13.5" customHeight="1">
      <c r="A448" s="80">
        <f t="shared" si="20"/>
        <v>443</v>
      </c>
      <c r="B448" s="26"/>
      <c r="C448" s="39"/>
      <c r="D448" s="40"/>
      <c r="E448" s="83"/>
      <c r="F448" s="42"/>
      <c r="G448" s="84"/>
      <c r="H448" s="84"/>
      <c r="I448" s="45"/>
      <c r="J448" s="46" t="s">
        <v>222</v>
      </c>
      <c r="K448" s="40" t="s">
        <v>222</v>
      </c>
      <c r="L448" s="40" t="s">
        <v>222</v>
      </c>
      <c r="M448" s="40" t="s">
        <v>222</v>
      </c>
      <c r="N448" s="40" t="s">
        <v>222</v>
      </c>
      <c r="O448" s="40" t="s">
        <v>222</v>
      </c>
      <c r="P448" s="48"/>
      <c r="Q448" s="48"/>
      <c r="R448" s="49" t="s">
        <v>222</v>
      </c>
      <c r="S448" s="50" t="s">
        <v>222</v>
      </c>
      <c r="T448" s="85"/>
      <c r="U448" s="86"/>
      <c r="V448" s="85"/>
      <c r="W448" s="86"/>
      <c r="X448" s="85"/>
      <c r="Y448" s="70"/>
      <c r="Z448" s="70"/>
      <c r="AA448" s="70"/>
      <c r="AB448" s="70"/>
      <c r="AC448" s="70"/>
      <c r="AD448" s="70"/>
      <c r="AE448" s="14"/>
      <c r="AF448" s="55"/>
      <c r="AG448" s="55"/>
    </row>
    <row r="449" ht="13.5" customHeight="1">
      <c r="A449" s="80">
        <f t="shared" si="20"/>
        <v>444</v>
      </c>
      <c r="B449" s="26"/>
      <c r="C449" s="39"/>
      <c r="D449" s="40"/>
      <c r="E449" s="83"/>
      <c r="F449" s="42"/>
      <c r="G449" s="84"/>
      <c r="H449" s="84"/>
      <c r="I449" s="45"/>
      <c r="J449" s="46" t="s">
        <v>222</v>
      </c>
      <c r="K449" s="40" t="s">
        <v>222</v>
      </c>
      <c r="L449" s="40" t="s">
        <v>222</v>
      </c>
      <c r="M449" s="40" t="s">
        <v>222</v>
      </c>
      <c r="N449" s="40" t="s">
        <v>222</v>
      </c>
      <c r="O449" s="40" t="s">
        <v>222</v>
      </c>
      <c r="P449" s="48"/>
      <c r="Q449" s="48"/>
      <c r="R449" s="49" t="s">
        <v>222</v>
      </c>
      <c r="S449" s="50" t="s">
        <v>222</v>
      </c>
      <c r="T449" s="85"/>
      <c r="U449" s="86"/>
      <c r="V449" s="85"/>
      <c r="W449" s="86"/>
      <c r="X449" s="85"/>
      <c r="Y449" s="70"/>
      <c r="Z449" s="70"/>
      <c r="AA449" s="70"/>
      <c r="AB449" s="70"/>
      <c r="AC449" s="70"/>
      <c r="AD449" s="70"/>
      <c r="AE449" s="14"/>
      <c r="AF449" s="55"/>
      <c r="AG449" s="55"/>
    </row>
    <row r="450" ht="13.5" customHeight="1">
      <c r="A450" s="80">
        <f t="shared" si="20"/>
        <v>445</v>
      </c>
      <c r="B450" s="26"/>
      <c r="C450" s="39"/>
      <c r="D450" s="40"/>
      <c r="E450" s="83"/>
      <c r="F450" s="42"/>
      <c r="G450" s="84"/>
      <c r="H450" s="84"/>
      <c r="I450" s="45"/>
      <c r="J450" s="46" t="s">
        <v>222</v>
      </c>
      <c r="K450" s="40" t="s">
        <v>222</v>
      </c>
      <c r="L450" s="40" t="s">
        <v>222</v>
      </c>
      <c r="M450" s="40" t="s">
        <v>222</v>
      </c>
      <c r="N450" s="40" t="s">
        <v>222</v>
      </c>
      <c r="O450" s="40" t="s">
        <v>222</v>
      </c>
      <c r="P450" s="48"/>
      <c r="Q450" s="48"/>
      <c r="R450" s="49" t="s">
        <v>222</v>
      </c>
      <c r="S450" s="50" t="s">
        <v>222</v>
      </c>
      <c r="T450" s="85"/>
      <c r="U450" s="86"/>
      <c r="V450" s="85"/>
      <c r="W450" s="86"/>
      <c r="X450" s="85"/>
      <c r="Y450" s="70"/>
      <c r="Z450" s="70"/>
      <c r="AA450" s="70"/>
      <c r="AB450" s="70"/>
      <c r="AC450" s="70"/>
      <c r="AD450" s="70"/>
      <c r="AE450" s="14"/>
      <c r="AF450" s="55"/>
      <c r="AG450" s="55"/>
    </row>
    <row r="451" ht="13.5" customHeight="1">
      <c r="A451" s="80">
        <f t="shared" si="20"/>
        <v>446</v>
      </c>
      <c r="B451" s="26"/>
      <c r="C451" s="39"/>
      <c r="D451" s="40"/>
      <c r="E451" s="83"/>
      <c r="F451" s="42"/>
      <c r="G451" s="84"/>
      <c r="H451" s="84"/>
      <c r="I451" s="45"/>
      <c r="J451" s="46" t="s">
        <v>222</v>
      </c>
      <c r="K451" s="40" t="s">
        <v>222</v>
      </c>
      <c r="L451" s="40" t="s">
        <v>222</v>
      </c>
      <c r="M451" s="40" t="s">
        <v>222</v>
      </c>
      <c r="N451" s="40" t="s">
        <v>222</v>
      </c>
      <c r="O451" s="40" t="s">
        <v>222</v>
      </c>
      <c r="P451" s="48"/>
      <c r="Q451" s="48"/>
      <c r="R451" s="49" t="s">
        <v>222</v>
      </c>
      <c r="S451" s="50" t="s">
        <v>222</v>
      </c>
      <c r="T451" s="85"/>
      <c r="U451" s="86"/>
      <c r="V451" s="85"/>
      <c r="W451" s="86"/>
      <c r="X451" s="85"/>
      <c r="Y451" s="70"/>
      <c r="Z451" s="70"/>
      <c r="AA451" s="70"/>
      <c r="AB451" s="70"/>
      <c r="AC451" s="70"/>
      <c r="AD451" s="70"/>
      <c r="AE451" s="14"/>
      <c r="AF451" s="55"/>
      <c r="AG451" s="55"/>
    </row>
    <row r="452" ht="13.5" customHeight="1">
      <c r="A452" s="80">
        <f t="shared" si="20"/>
        <v>447</v>
      </c>
      <c r="B452" s="26"/>
      <c r="C452" s="39"/>
      <c r="D452" s="40"/>
      <c r="E452" s="83"/>
      <c r="F452" s="42"/>
      <c r="G452" s="84"/>
      <c r="H452" s="84"/>
      <c r="I452" s="45"/>
      <c r="J452" s="46" t="s">
        <v>222</v>
      </c>
      <c r="K452" s="40" t="s">
        <v>222</v>
      </c>
      <c r="L452" s="40" t="s">
        <v>222</v>
      </c>
      <c r="M452" s="40" t="s">
        <v>222</v>
      </c>
      <c r="N452" s="40" t="s">
        <v>222</v>
      </c>
      <c r="O452" s="40" t="s">
        <v>222</v>
      </c>
      <c r="P452" s="48"/>
      <c r="Q452" s="48"/>
      <c r="R452" s="49" t="s">
        <v>222</v>
      </c>
      <c r="S452" s="50" t="s">
        <v>222</v>
      </c>
      <c r="T452" s="85"/>
      <c r="U452" s="86"/>
      <c r="V452" s="85"/>
      <c r="W452" s="86"/>
      <c r="X452" s="85"/>
      <c r="Y452" s="70"/>
      <c r="Z452" s="70"/>
      <c r="AA452" s="70"/>
      <c r="AB452" s="70"/>
      <c r="AC452" s="70"/>
      <c r="AD452" s="70"/>
      <c r="AE452" s="14"/>
      <c r="AF452" s="55"/>
      <c r="AG452" s="55"/>
    </row>
    <row r="453" ht="13.5" customHeight="1">
      <c r="A453" s="80">
        <f t="shared" si="20"/>
        <v>448</v>
      </c>
      <c r="B453" s="26"/>
      <c r="C453" s="39"/>
      <c r="D453" s="40"/>
      <c r="E453" s="83"/>
      <c r="F453" s="42"/>
      <c r="G453" s="84"/>
      <c r="H453" s="84"/>
      <c r="I453" s="45"/>
      <c r="J453" s="46" t="s">
        <v>222</v>
      </c>
      <c r="K453" s="40" t="s">
        <v>222</v>
      </c>
      <c r="L453" s="40" t="s">
        <v>222</v>
      </c>
      <c r="M453" s="40" t="s">
        <v>222</v>
      </c>
      <c r="N453" s="40" t="s">
        <v>222</v>
      </c>
      <c r="O453" s="40" t="s">
        <v>222</v>
      </c>
      <c r="P453" s="48"/>
      <c r="Q453" s="48"/>
      <c r="R453" s="49" t="s">
        <v>222</v>
      </c>
      <c r="S453" s="50" t="s">
        <v>222</v>
      </c>
      <c r="T453" s="85"/>
      <c r="U453" s="86"/>
      <c r="V453" s="85"/>
      <c r="W453" s="86"/>
      <c r="X453" s="85"/>
      <c r="Y453" s="70"/>
      <c r="Z453" s="70"/>
      <c r="AA453" s="70"/>
      <c r="AB453" s="70"/>
      <c r="AC453" s="70"/>
      <c r="AD453" s="70"/>
      <c r="AE453" s="14"/>
      <c r="AF453" s="55"/>
      <c r="AG453" s="55"/>
    </row>
    <row r="454" ht="13.5" customHeight="1">
      <c r="A454" s="80">
        <f t="shared" si="20"/>
        <v>449</v>
      </c>
      <c r="B454" s="26"/>
      <c r="C454" s="39"/>
      <c r="D454" s="40"/>
      <c r="E454" s="83"/>
      <c r="F454" s="42"/>
      <c r="G454" s="84"/>
      <c r="H454" s="84"/>
      <c r="I454" s="45"/>
      <c r="J454" s="46" t="s">
        <v>222</v>
      </c>
      <c r="K454" s="40" t="s">
        <v>222</v>
      </c>
      <c r="L454" s="40" t="s">
        <v>222</v>
      </c>
      <c r="M454" s="40" t="s">
        <v>222</v>
      </c>
      <c r="N454" s="40" t="s">
        <v>222</v>
      </c>
      <c r="O454" s="40" t="s">
        <v>222</v>
      </c>
      <c r="P454" s="48"/>
      <c r="Q454" s="48"/>
      <c r="R454" s="49" t="s">
        <v>222</v>
      </c>
      <c r="S454" s="50" t="s">
        <v>222</v>
      </c>
      <c r="T454" s="85"/>
      <c r="U454" s="86"/>
      <c r="V454" s="85"/>
      <c r="W454" s="86"/>
      <c r="X454" s="85"/>
      <c r="Y454" s="70"/>
      <c r="Z454" s="70"/>
      <c r="AA454" s="70"/>
      <c r="AB454" s="70"/>
      <c r="AC454" s="70"/>
      <c r="AD454" s="70"/>
      <c r="AE454" s="14"/>
      <c r="AF454" s="55"/>
      <c r="AG454" s="55"/>
    </row>
    <row r="455" ht="13.5" customHeight="1">
      <c r="A455" s="80">
        <f t="shared" si="20"/>
        <v>450</v>
      </c>
      <c r="B455" s="26"/>
      <c r="C455" s="39"/>
      <c r="D455" s="40"/>
      <c r="E455" s="83"/>
      <c r="F455" s="42"/>
      <c r="G455" s="84"/>
      <c r="H455" s="84"/>
      <c r="I455" s="45"/>
      <c r="J455" s="46" t="s">
        <v>222</v>
      </c>
      <c r="K455" s="40" t="s">
        <v>222</v>
      </c>
      <c r="L455" s="40" t="s">
        <v>222</v>
      </c>
      <c r="M455" s="40" t="s">
        <v>222</v>
      </c>
      <c r="N455" s="40" t="s">
        <v>222</v>
      </c>
      <c r="O455" s="40" t="s">
        <v>222</v>
      </c>
      <c r="P455" s="48"/>
      <c r="Q455" s="48"/>
      <c r="R455" s="49" t="s">
        <v>222</v>
      </c>
      <c r="S455" s="50" t="s">
        <v>222</v>
      </c>
      <c r="T455" s="85"/>
      <c r="U455" s="86"/>
      <c r="V455" s="85"/>
      <c r="W455" s="86"/>
      <c r="X455" s="85"/>
      <c r="Y455" s="70"/>
      <c r="Z455" s="70"/>
      <c r="AA455" s="70"/>
      <c r="AB455" s="70"/>
      <c r="AC455" s="70"/>
      <c r="AD455" s="70"/>
      <c r="AE455" s="14"/>
      <c r="AF455" s="55"/>
      <c r="AG455" s="55"/>
    </row>
    <row r="456" ht="13.5" customHeight="1">
      <c r="A456" s="80">
        <f t="shared" si="20"/>
        <v>451</v>
      </c>
      <c r="B456" s="26"/>
      <c r="C456" s="39"/>
      <c r="D456" s="40"/>
      <c r="E456" s="83"/>
      <c r="F456" s="42"/>
      <c r="G456" s="84"/>
      <c r="H456" s="84"/>
      <c r="I456" s="45"/>
      <c r="J456" s="46" t="s">
        <v>222</v>
      </c>
      <c r="K456" s="40" t="s">
        <v>222</v>
      </c>
      <c r="L456" s="40" t="s">
        <v>222</v>
      </c>
      <c r="M456" s="40" t="s">
        <v>222</v>
      </c>
      <c r="N456" s="40" t="s">
        <v>222</v>
      </c>
      <c r="O456" s="40" t="s">
        <v>222</v>
      </c>
      <c r="P456" s="48"/>
      <c r="Q456" s="48"/>
      <c r="R456" s="49" t="s">
        <v>222</v>
      </c>
      <c r="S456" s="50" t="s">
        <v>222</v>
      </c>
      <c r="T456" s="85"/>
      <c r="U456" s="86"/>
      <c r="V456" s="85"/>
      <c r="W456" s="86"/>
      <c r="X456" s="85"/>
      <c r="Y456" s="70"/>
      <c r="Z456" s="70"/>
      <c r="AA456" s="70"/>
      <c r="AB456" s="70"/>
      <c r="AC456" s="70"/>
      <c r="AD456" s="70"/>
      <c r="AE456" s="14"/>
      <c r="AF456" s="55"/>
      <c r="AG456" s="55"/>
    </row>
    <row r="457" ht="13.5" customHeight="1">
      <c r="A457" s="80">
        <f t="shared" si="20"/>
        <v>452</v>
      </c>
      <c r="B457" s="26"/>
      <c r="C457" s="39"/>
      <c r="D457" s="40"/>
      <c r="E457" s="83"/>
      <c r="F457" s="42"/>
      <c r="G457" s="84"/>
      <c r="H457" s="84"/>
      <c r="I457" s="45"/>
      <c r="J457" s="46" t="s">
        <v>222</v>
      </c>
      <c r="K457" s="40" t="s">
        <v>222</v>
      </c>
      <c r="L457" s="40" t="s">
        <v>222</v>
      </c>
      <c r="M457" s="40" t="s">
        <v>222</v>
      </c>
      <c r="N457" s="40" t="s">
        <v>222</v>
      </c>
      <c r="O457" s="40" t="s">
        <v>222</v>
      </c>
      <c r="P457" s="48"/>
      <c r="Q457" s="48"/>
      <c r="R457" s="49" t="s">
        <v>222</v>
      </c>
      <c r="S457" s="50" t="s">
        <v>222</v>
      </c>
      <c r="T457" s="85"/>
      <c r="U457" s="86"/>
      <c r="V457" s="85"/>
      <c r="W457" s="86"/>
      <c r="X457" s="85"/>
      <c r="Y457" s="70"/>
      <c r="Z457" s="70"/>
      <c r="AA457" s="70"/>
      <c r="AB457" s="70"/>
      <c r="AC457" s="70"/>
      <c r="AD457" s="70"/>
      <c r="AE457" s="14"/>
      <c r="AF457" s="55"/>
      <c r="AG457" s="55"/>
    </row>
    <row r="458" ht="13.5" customHeight="1">
      <c r="A458" s="80">
        <f t="shared" si="20"/>
        <v>453</v>
      </c>
      <c r="B458" s="26"/>
      <c r="C458" s="39"/>
      <c r="D458" s="40"/>
      <c r="E458" s="83"/>
      <c r="F458" s="42"/>
      <c r="G458" s="84"/>
      <c r="H458" s="84"/>
      <c r="I458" s="45"/>
      <c r="J458" s="46" t="s">
        <v>222</v>
      </c>
      <c r="K458" s="40" t="s">
        <v>222</v>
      </c>
      <c r="L458" s="40" t="s">
        <v>222</v>
      </c>
      <c r="M458" s="40" t="s">
        <v>222</v>
      </c>
      <c r="N458" s="40" t="s">
        <v>222</v>
      </c>
      <c r="O458" s="40" t="s">
        <v>222</v>
      </c>
      <c r="P458" s="48"/>
      <c r="Q458" s="48"/>
      <c r="R458" s="49" t="s">
        <v>222</v>
      </c>
      <c r="S458" s="50" t="s">
        <v>222</v>
      </c>
      <c r="T458" s="85"/>
      <c r="U458" s="86"/>
      <c r="V458" s="85"/>
      <c r="W458" s="86"/>
      <c r="X458" s="85"/>
      <c r="Y458" s="70"/>
      <c r="Z458" s="70"/>
      <c r="AA458" s="70"/>
      <c r="AB458" s="70"/>
      <c r="AC458" s="70"/>
      <c r="AD458" s="70"/>
      <c r="AE458" s="14"/>
      <c r="AF458" s="55"/>
      <c r="AG458" s="55"/>
    </row>
    <row r="459" ht="13.5" customHeight="1">
      <c r="A459" s="80">
        <f t="shared" si="20"/>
        <v>454</v>
      </c>
      <c r="B459" s="26"/>
      <c r="C459" s="39"/>
      <c r="D459" s="40"/>
      <c r="E459" s="83"/>
      <c r="F459" s="42"/>
      <c r="G459" s="84"/>
      <c r="H459" s="84"/>
      <c r="I459" s="45"/>
      <c r="J459" s="46" t="s">
        <v>222</v>
      </c>
      <c r="K459" s="40" t="s">
        <v>222</v>
      </c>
      <c r="L459" s="40" t="s">
        <v>222</v>
      </c>
      <c r="M459" s="40" t="s">
        <v>222</v>
      </c>
      <c r="N459" s="40" t="s">
        <v>222</v>
      </c>
      <c r="O459" s="40" t="s">
        <v>222</v>
      </c>
      <c r="P459" s="48"/>
      <c r="Q459" s="48"/>
      <c r="R459" s="49" t="s">
        <v>222</v>
      </c>
      <c r="S459" s="50" t="s">
        <v>222</v>
      </c>
      <c r="T459" s="85"/>
      <c r="U459" s="86"/>
      <c r="V459" s="85"/>
      <c r="W459" s="86"/>
      <c r="X459" s="85"/>
      <c r="Y459" s="70"/>
      <c r="Z459" s="70"/>
      <c r="AA459" s="70"/>
      <c r="AB459" s="70"/>
      <c r="AC459" s="70"/>
      <c r="AD459" s="70"/>
      <c r="AE459" s="14"/>
      <c r="AF459" s="55"/>
      <c r="AG459" s="55"/>
    </row>
    <row r="460" ht="13.5" customHeight="1">
      <c r="A460" s="80">
        <f t="shared" si="20"/>
        <v>455</v>
      </c>
      <c r="B460" s="26"/>
      <c r="C460" s="39"/>
      <c r="D460" s="40"/>
      <c r="E460" s="83"/>
      <c r="F460" s="42"/>
      <c r="G460" s="84"/>
      <c r="H460" s="84"/>
      <c r="I460" s="45"/>
      <c r="J460" s="46" t="s">
        <v>222</v>
      </c>
      <c r="K460" s="40" t="s">
        <v>222</v>
      </c>
      <c r="L460" s="40" t="s">
        <v>222</v>
      </c>
      <c r="M460" s="40" t="s">
        <v>222</v>
      </c>
      <c r="N460" s="40" t="s">
        <v>222</v>
      </c>
      <c r="O460" s="40" t="s">
        <v>222</v>
      </c>
      <c r="P460" s="48"/>
      <c r="Q460" s="48"/>
      <c r="R460" s="49" t="s">
        <v>222</v>
      </c>
      <c r="S460" s="50" t="s">
        <v>222</v>
      </c>
      <c r="T460" s="85"/>
      <c r="U460" s="86"/>
      <c r="V460" s="85"/>
      <c r="W460" s="86"/>
      <c r="X460" s="85"/>
      <c r="Y460" s="70"/>
      <c r="Z460" s="70"/>
      <c r="AA460" s="70"/>
      <c r="AB460" s="70"/>
      <c r="AC460" s="70"/>
      <c r="AD460" s="70"/>
      <c r="AE460" s="14"/>
      <c r="AF460" s="55"/>
      <c r="AG460" s="55"/>
    </row>
    <row r="461" ht="13.5" customHeight="1">
      <c r="A461" s="80">
        <f t="shared" si="20"/>
        <v>456</v>
      </c>
      <c r="B461" s="26"/>
      <c r="C461" s="39"/>
      <c r="D461" s="40"/>
      <c r="E461" s="83"/>
      <c r="F461" s="42"/>
      <c r="G461" s="84"/>
      <c r="H461" s="84"/>
      <c r="I461" s="45"/>
      <c r="J461" s="46" t="s">
        <v>222</v>
      </c>
      <c r="K461" s="40" t="s">
        <v>222</v>
      </c>
      <c r="L461" s="40" t="s">
        <v>222</v>
      </c>
      <c r="M461" s="40" t="s">
        <v>222</v>
      </c>
      <c r="N461" s="40" t="s">
        <v>222</v>
      </c>
      <c r="O461" s="40" t="s">
        <v>222</v>
      </c>
      <c r="P461" s="48"/>
      <c r="Q461" s="48"/>
      <c r="R461" s="49" t="s">
        <v>222</v>
      </c>
      <c r="S461" s="50" t="s">
        <v>222</v>
      </c>
      <c r="T461" s="85"/>
      <c r="U461" s="86"/>
      <c r="V461" s="85"/>
      <c r="W461" s="86"/>
      <c r="X461" s="85"/>
      <c r="Y461" s="70"/>
      <c r="Z461" s="70"/>
      <c r="AA461" s="70"/>
      <c r="AB461" s="70"/>
      <c r="AC461" s="70"/>
      <c r="AD461" s="70"/>
      <c r="AE461" s="14"/>
      <c r="AF461" s="55"/>
      <c r="AG461" s="55"/>
    </row>
    <row r="462" ht="13.5" customHeight="1">
      <c r="A462" s="80">
        <f t="shared" si="20"/>
        <v>457</v>
      </c>
      <c r="B462" s="26"/>
      <c r="C462" s="39"/>
      <c r="D462" s="40"/>
      <c r="E462" s="83"/>
      <c r="F462" s="42"/>
      <c r="G462" s="84"/>
      <c r="H462" s="84"/>
      <c r="I462" s="45"/>
      <c r="J462" s="46" t="s">
        <v>222</v>
      </c>
      <c r="K462" s="40" t="s">
        <v>222</v>
      </c>
      <c r="L462" s="40" t="s">
        <v>222</v>
      </c>
      <c r="M462" s="40" t="s">
        <v>222</v>
      </c>
      <c r="N462" s="40" t="s">
        <v>222</v>
      </c>
      <c r="O462" s="40" t="s">
        <v>222</v>
      </c>
      <c r="P462" s="48"/>
      <c r="Q462" s="48"/>
      <c r="R462" s="49" t="s">
        <v>222</v>
      </c>
      <c r="S462" s="50" t="s">
        <v>222</v>
      </c>
      <c r="T462" s="85"/>
      <c r="U462" s="86"/>
      <c r="V462" s="85"/>
      <c r="W462" s="86"/>
      <c r="X462" s="85"/>
      <c r="Y462" s="70"/>
      <c r="Z462" s="70"/>
      <c r="AA462" s="70"/>
      <c r="AB462" s="70"/>
      <c r="AC462" s="70"/>
      <c r="AD462" s="70"/>
      <c r="AE462" s="14"/>
      <c r="AF462" s="55"/>
      <c r="AG462" s="55"/>
    </row>
    <row r="463" ht="13.5" customHeight="1">
      <c r="A463" s="80">
        <f t="shared" si="20"/>
        <v>458</v>
      </c>
      <c r="B463" s="26"/>
      <c r="C463" s="39"/>
      <c r="D463" s="40"/>
      <c r="E463" s="83"/>
      <c r="F463" s="42"/>
      <c r="G463" s="84"/>
      <c r="H463" s="84"/>
      <c r="I463" s="45"/>
      <c r="J463" s="46" t="s">
        <v>222</v>
      </c>
      <c r="K463" s="40" t="s">
        <v>222</v>
      </c>
      <c r="L463" s="40" t="s">
        <v>222</v>
      </c>
      <c r="M463" s="40" t="s">
        <v>222</v>
      </c>
      <c r="N463" s="40" t="s">
        <v>222</v>
      </c>
      <c r="O463" s="40" t="s">
        <v>222</v>
      </c>
      <c r="P463" s="48"/>
      <c r="Q463" s="48"/>
      <c r="R463" s="49" t="s">
        <v>222</v>
      </c>
      <c r="S463" s="50" t="s">
        <v>222</v>
      </c>
      <c r="T463" s="85"/>
      <c r="U463" s="86"/>
      <c r="V463" s="85"/>
      <c r="W463" s="86"/>
      <c r="X463" s="85"/>
      <c r="Y463" s="70"/>
      <c r="Z463" s="70"/>
      <c r="AA463" s="70"/>
      <c r="AB463" s="70"/>
      <c r="AC463" s="70"/>
      <c r="AD463" s="70"/>
      <c r="AE463" s="14"/>
      <c r="AF463" s="55"/>
      <c r="AG463" s="55"/>
    </row>
    <row r="464" ht="13.5" customHeight="1">
      <c r="A464" s="80">
        <f t="shared" si="20"/>
        <v>459</v>
      </c>
      <c r="B464" s="26"/>
      <c r="C464" s="39"/>
      <c r="D464" s="40"/>
      <c r="E464" s="83"/>
      <c r="F464" s="42"/>
      <c r="G464" s="84"/>
      <c r="H464" s="84"/>
      <c r="I464" s="45"/>
      <c r="J464" s="46" t="s">
        <v>222</v>
      </c>
      <c r="K464" s="40" t="s">
        <v>222</v>
      </c>
      <c r="L464" s="40" t="s">
        <v>222</v>
      </c>
      <c r="M464" s="40" t="s">
        <v>222</v>
      </c>
      <c r="N464" s="40" t="s">
        <v>222</v>
      </c>
      <c r="O464" s="40" t="s">
        <v>222</v>
      </c>
      <c r="P464" s="48"/>
      <c r="Q464" s="48"/>
      <c r="R464" s="49" t="s">
        <v>222</v>
      </c>
      <c r="S464" s="50" t="s">
        <v>222</v>
      </c>
      <c r="T464" s="85"/>
      <c r="U464" s="86"/>
      <c r="V464" s="85"/>
      <c r="W464" s="86"/>
      <c r="X464" s="85"/>
      <c r="Y464" s="70"/>
      <c r="Z464" s="70"/>
      <c r="AA464" s="70"/>
      <c r="AB464" s="70"/>
      <c r="AC464" s="70"/>
      <c r="AD464" s="70"/>
      <c r="AE464" s="14"/>
      <c r="AF464" s="55"/>
      <c r="AG464" s="55"/>
    </row>
    <row r="465" ht="13.5" customHeight="1">
      <c r="A465" s="80">
        <f t="shared" si="20"/>
        <v>460</v>
      </c>
      <c r="B465" s="26"/>
      <c r="C465" s="39"/>
      <c r="D465" s="40"/>
      <c r="E465" s="83"/>
      <c r="F465" s="42"/>
      <c r="G465" s="84"/>
      <c r="H465" s="84"/>
      <c r="I465" s="45"/>
      <c r="J465" s="46" t="s">
        <v>222</v>
      </c>
      <c r="K465" s="40" t="s">
        <v>222</v>
      </c>
      <c r="L465" s="40" t="s">
        <v>222</v>
      </c>
      <c r="M465" s="40" t="s">
        <v>222</v>
      </c>
      <c r="N465" s="40" t="s">
        <v>222</v>
      </c>
      <c r="O465" s="40" t="s">
        <v>222</v>
      </c>
      <c r="P465" s="48"/>
      <c r="Q465" s="48"/>
      <c r="R465" s="49" t="s">
        <v>222</v>
      </c>
      <c r="S465" s="50" t="s">
        <v>222</v>
      </c>
      <c r="T465" s="85"/>
      <c r="U465" s="86"/>
      <c r="V465" s="85"/>
      <c r="W465" s="86"/>
      <c r="X465" s="85"/>
      <c r="Y465" s="70"/>
      <c r="Z465" s="70"/>
      <c r="AA465" s="70"/>
      <c r="AB465" s="70"/>
      <c r="AC465" s="70"/>
      <c r="AD465" s="70"/>
      <c r="AE465" s="14"/>
      <c r="AF465" s="55"/>
      <c r="AG465" s="55"/>
    </row>
    <row r="466" ht="13.5" customHeight="1">
      <c r="A466" s="80">
        <f t="shared" si="20"/>
        <v>461</v>
      </c>
      <c r="B466" s="26"/>
      <c r="C466" s="39"/>
      <c r="D466" s="40"/>
      <c r="E466" s="83"/>
      <c r="F466" s="42"/>
      <c r="G466" s="84"/>
      <c r="H466" s="84"/>
      <c r="I466" s="45"/>
      <c r="J466" s="46" t="s">
        <v>222</v>
      </c>
      <c r="K466" s="40" t="s">
        <v>222</v>
      </c>
      <c r="L466" s="40" t="s">
        <v>222</v>
      </c>
      <c r="M466" s="40" t="s">
        <v>222</v>
      </c>
      <c r="N466" s="40" t="s">
        <v>222</v>
      </c>
      <c r="O466" s="40" t="s">
        <v>222</v>
      </c>
      <c r="P466" s="48"/>
      <c r="Q466" s="48"/>
      <c r="R466" s="49" t="s">
        <v>222</v>
      </c>
      <c r="S466" s="50" t="s">
        <v>222</v>
      </c>
      <c r="T466" s="85"/>
      <c r="U466" s="86"/>
      <c r="V466" s="85"/>
      <c r="W466" s="86"/>
      <c r="X466" s="85"/>
      <c r="Y466" s="70"/>
      <c r="Z466" s="70"/>
      <c r="AA466" s="70"/>
      <c r="AB466" s="70"/>
      <c r="AC466" s="70"/>
      <c r="AD466" s="70"/>
      <c r="AE466" s="14"/>
      <c r="AF466" s="55"/>
      <c r="AG466" s="55"/>
    </row>
    <row r="467" ht="13.5" customHeight="1">
      <c r="A467" s="80">
        <f t="shared" si="20"/>
        <v>462</v>
      </c>
      <c r="B467" s="26"/>
      <c r="C467" s="39"/>
      <c r="D467" s="40"/>
      <c r="E467" s="83"/>
      <c r="F467" s="42"/>
      <c r="G467" s="84"/>
      <c r="H467" s="84"/>
      <c r="I467" s="45"/>
      <c r="J467" s="46" t="s">
        <v>222</v>
      </c>
      <c r="K467" s="40" t="s">
        <v>222</v>
      </c>
      <c r="L467" s="40" t="s">
        <v>222</v>
      </c>
      <c r="M467" s="40" t="s">
        <v>222</v>
      </c>
      <c r="N467" s="40" t="s">
        <v>222</v>
      </c>
      <c r="O467" s="40" t="s">
        <v>222</v>
      </c>
      <c r="P467" s="48"/>
      <c r="Q467" s="48"/>
      <c r="R467" s="49" t="s">
        <v>222</v>
      </c>
      <c r="S467" s="50" t="s">
        <v>222</v>
      </c>
      <c r="T467" s="85"/>
      <c r="U467" s="86"/>
      <c r="V467" s="85"/>
      <c r="W467" s="86"/>
      <c r="X467" s="85"/>
      <c r="Y467" s="70"/>
      <c r="Z467" s="70"/>
      <c r="AA467" s="70"/>
      <c r="AB467" s="70"/>
      <c r="AC467" s="70"/>
      <c r="AD467" s="70"/>
      <c r="AE467" s="14"/>
      <c r="AF467" s="55"/>
      <c r="AG467" s="55"/>
    </row>
    <row r="468" ht="13.5" customHeight="1">
      <c r="A468" s="80">
        <f t="shared" si="20"/>
        <v>463</v>
      </c>
      <c r="B468" s="26"/>
      <c r="C468" s="39"/>
      <c r="D468" s="40"/>
      <c r="E468" s="83"/>
      <c r="F468" s="42"/>
      <c r="G468" s="84"/>
      <c r="H468" s="84"/>
      <c r="I468" s="45"/>
      <c r="J468" s="46" t="s">
        <v>222</v>
      </c>
      <c r="K468" s="40" t="s">
        <v>222</v>
      </c>
      <c r="L468" s="40" t="s">
        <v>222</v>
      </c>
      <c r="M468" s="40" t="s">
        <v>222</v>
      </c>
      <c r="N468" s="40" t="s">
        <v>222</v>
      </c>
      <c r="O468" s="40" t="s">
        <v>222</v>
      </c>
      <c r="P468" s="48"/>
      <c r="Q468" s="48"/>
      <c r="R468" s="49" t="s">
        <v>222</v>
      </c>
      <c r="S468" s="50" t="s">
        <v>222</v>
      </c>
      <c r="T468" s="85"/>
      <c r="U468" s="86"/>
      <c r="V468" s="85"/>
      <c r="W468" s="86"/>
      <c r="X468" s="85"/>
      <c r="Y468" s="70"/>
      <c r="Z468" s="70"/>
      <c r="AA468" s="70"/>
      <c r="AB468" s="70"/>
      <c r="AC468" s="70"/>
      <c r="AD468" s="70"/>
      <c r="AE468" s="14"/>
      <c r="AF468" s="55"/>
      <c r="AG468" s="55"/>
    </row>
    <row r="469" ht="13.5" customHeight="1">
      <c r="A469" s="80">
        <f t="shared" si="20"/>
        <v>464</v>
      </c>
      <c r="B469" s="26"/>
      <c r="C469" s="39"/>
      <c r="D469" s="40"/>
      <c r="E469" s="83"/>
      <c r="F469" s="42"/>
      <c r="G469" s="84"/>
      <c r="H469" s="84"/>
      <c r="I469" s="45"/>
      <c r="J469" s="46" t="s">
        <v>222</v>
      </c>
      <c r="K469" s="40" t="s">
        <v>222</v>
      </c>
      <c r="L469" s="40" t="s">
        <v>222</v>
      </c>
      <c r="M469" s="40" t="s">
        <v>222</v>
      </c>
      <c r="N469" s="40" t="s">
        <v>222</v>
      </c>
      <c r="O469" s="40" t="s">
        <v>222</v>
      </c>
      <c r="P469" s="48"/>
      <c r="Q469" s="48"/>
      <c r="R469" s="49" t="s">
        <v>222</v>
      </c>
      <c r="S469" s="50" t="s">
        <v>222</v>
      </c>
      <c r="T469" s="85"/>
      <c r="U469" s="86"/>
      <c r="V469" s="85"/>
      <c r="W469" s="86"/>
      <c r="X469" s="85"/>
      <c r="Y469" s="70"/>
      <c r="Z469" s="70"/>
      <c r="AA469" s="70"/>
      <c r="AB469" s="70"/>
      <c r="AC469" s="70"/>
      <c r="AD469" s="70"/>
      <c r="AE469" s="14"/>
      <c r="AF469" s="55"/>
      <c r="AG469" s="55"/>
    </row>
    <row r="470" ht="13.5" customHeight="1">
      <c r="A470" s="80">
        <f t="shared" si="20"/>
        <v>465</v>
      </c>
      <c r="B470" s="26"/>
      <c r="C470" s="39"/>
      <c r="D470" s="40"/>
      <c r="E470" s="83"/>
      <c r="F470" s="42"/>
      <c r="G470" s="84"/>
      <c r="H470" s="84"/>
      <c r="I470" s="45"/>
      <c r="J470" s="46" t="s">
        <v>222</v>
      </c>
      <c r="K470" s="40" t="s">
        <v>222</v>
      </c>
      <c r="L470" s="40" t="s">
        <v>222</v>
      </c>
      <c r="M470" s="40" t="s">
        <v>222</v>
      </c>
      <c r="N470" s="40" t="s">
        <v>222</v>
      </c>
      <c r="O470" s="40" t="s">
        <v>222</v>
      </c>
      <c r="P470" s="48"/>
      <c r="Q470" s="48"/>
      <c r="R470" s="49" t="s">
        <v>222</v>
      </c>
      <c r="S470" s="50" t="s">
        <v>222</v>
      </c>
      <c r="T470" s="85"/>
      <c r="U470" s="86"/>
      <c r="V470" s="85"/>
      <c r="W470" s="86"/>
      <c r="X470" s="85"/>
      <c r="Y470" s="70"/>
      <c r="Z470" s="70"/>
      <c r="AA470" s="70"/>
      <c r="AB470" s="70"/>
      <c r="AC470" s="70"/>
      <c r="AD470" s="70"/>
      <c r="AE470" s="14"/>
      <c r="AF470" s="55"/>
      <c r="AG470" s="55"/>
    </row>
    <row r="471" ht="13.5" customHeight="1">
      <c r="A471" s="80">
        <f t="shared" si="20"/>
        <v>466</v>
      </c>
      <c r="B471" s="26"/>
      <c r="C471" s="39"/>
      <c r="D471" s="40"/>
      <c r="E471" s="83"/>
      <c r="F471" s="42"/>
      <c r="G471" s="84"/>
      <c r="H471" s="84"/>
      <c r="I471" s="45"/>
      <c r="J471" s="46" t="s">
        <v>222</v>
      </c>
      <c r="K471" s="40" t="s">
        <v>222</v>
      </c>
      <c r="L471" s="40" t="s">
        <v>222</v>
      </c>
      <c r="M471" s="40" t="s">
        <v>222</v>
      </c>
      <c r="N471" s="40" t="s">
        <v>222</v>
      </c>
      <c r="O471" s="40" t="s">
        <v>222</v>
      </c>
      <c r="P471" s="48"/>
      <c r="Q471" s="48"/>
      <c r="R471" s="49" t="s">
        <v>222</v>
      </c>
      <c r="S471" s="50" t="s">
        <v>222</v>
      </c>
      <c r="T471" s="85"/>
      <c r="U471" s="86"/>
      <c r="V471" s="85"/>
      <c r="W471" s="86"/>
      <c r="X471" s="85"/>
      <c r="Y471" s="70"/>
      <c r="Z471" s="70"/>
      <c r="AA471" s="70"/>
      <c r="AB471" s="70"/>
      <c r="AC471" s="70"/>
      <c r="AD471" s="70"/>
      <c r="AE471" s="14"/>
      <c r="AF471" s="55"/>
      <c r="AG471" s="55"/>
    </row>
    <row r="472" ht="13.5" customHeight="1">
      <c r="A472" s="80">
        <f t="shared" si="20"/>
        <v>467</v>
      </c>
      <c r="B472" s="26"/>
      <c r="C472" s="39"/>
      <c r="D472" s="40"/>
      <c r="E472" s="83"/>
      <c r="F472" s="42"/>
      <c r="G472" s="84"/>
      <c r="H472" s="84"/>
      <c r="I472" s="45"/>
      <c r="J472" s="46" t="s">
        <v>222</v>
      </c>
      <c r="K472" s="40" t="s">
        <v>222</v>
      </c>
      <c r="L472" s="40" t="s">
        <v>222</v>
      </c>
      <c r="M472" s="40" t="s">
        <v>222</v>
      </c>
      <c r="N472" s="40" t="s">
        <v>222</v>
      </c>
      <c r="O472" s="40" t="s">
        <v>222</v>
      </c>
      <c r="P472" s="48"/>
      <c r="Q472" s="48"/>
      <c r="R472" s="49" t="s">
        <v>222</v>
      </c>
      <c r="S472" s="50" t="s">
        <v>222</v>
      </c>
      <c r="T472" s="85"/>
      <c r="U472" s="86"/>
      <c r="V472" s="85"/>
      <c r="W472" s="86"/>
      <c r="X472" s="85"/>
      <c r="Y472" s="70"/>
      <c r="Z472" s="70"/>
      <c r="AA472" s="70"/>
      <c r="AB472" s="70"/>
      <c r="AC472" s="70"/>
      <c r="AD472" s="70"/>
      <c r="AE472" s="14"/>
      <c r="AF472" s="55"/>
      <c r="AG472" s="55"/>
    </row>
    <row r="473" ht="13.5" customHeight="1">
      <c r="A473" s="80">
        <f t="shared" si="20"/>
        <v>468</v>
      </c>
      <c r="B473" s="26"/>
      <c r="C473" s="39"/>
      <c r="D473" s="40"/>
      <c r="E473" s="83"/>
      <c r="F473" s="42"/>
      <c r="G473" s="84"/>
      <c r="H473" s="84"/>
      <c r="I473" s="45"/>
      <c r="J473" s="46" t="s">
        <v>222</v>
      </c>
      <c r="K473" s="40" t="s">
        <v>222</v>
      </c>
      <c r="L473" s="40" t="s">
        <v>222</v>
      </c>
      <c r="M473" s="40" t="s">
        <v>222</v>
      </c>
      <c r="N473" s="40" t="s">
        <v>222</v>
      </c>
      <c r="O473" s="40" t="s">
        <v>222</v>
      </c>
      <c r="P473" s="48"/>
      <c r="Q473" s="48"/>
      <c r="R473" s="49" t="s">
        <v>222</v>
      </c>
      <c r="S473" s="50" t="s">
        <v>222</v>
      </c>
      <c r="T473" s="85"/>
      <c r="U473" s="86"/>
      <c r="V473" s="85"/>
      <c r="W473" s="86"/>
      <c r="X473" s="85"/>
      <c r="Y473" s="70"/>
      <c r="Z473" s="70"/>
      <c r="AA473" s="70"/>
      <c r="AB473" s="70"/>
      <c r="AC473" s="70"/>
      <c r="AD473" s="70"/>
      <c r="AE473" s="14"/>
      <c r="AF473" s="55"/>
      <c r="AG473" s="55"/>
    </row>
    <row r="474" ht="13.5" customHeight="1">
      <c r="A474" s="80">
        <f t="shared" si="20"/>
        <v>469</v>
      </c>
      <c r="B474" s="26"/>
      <c r="C474" s="39"/>
      <c r="D474" s="40"/>
      <c r="E474" s="83"/>
      <c r="F474" s="42"/>
      <c r="G474" s="84"/>
      <c r="H474" s="84"/>
      <c r="I474" s="45"/>
      <c r="J474" s="46" t="s">
        <v>222</v>
      </c>
      <c r="K474" s="40" t="s">
        <v>222</v>
      </c>
      <c r="L474" s="40" t="s">
        <v>222</v>
      </c>
      <c r="M474" s="40" t="s">
        <v>222</v>
      </c>
      <c r="N474" s="40" t="s">
        <v>222</v>
      </c>
      <c r="O474" s="40" t="s">
        <v>222</v>
      </c>
      <c r="P474" s="48"/>
      <c r="Q474" s="48"/>
      <c r="R474" s="49" t="s">
        <v>222</v>
      </c>
      <c r="S474" s="50" t="s">
        <v>222</v>
      </c>
      <c r="T474" s="85"/>
      <c r="U474" s="86"/>
      <c r="V474" s="85"/>
      <c r="W474" s="86"/>
      <c r="X474" s="85"/>
      <c r="Y474" s="70"/>
      <c r="Z474" s="70"/>
      <c r="AA474" s="70"/>
      <c r="AB474" s="70"/>
      <c r="AC474" s="70"/>
      <c r="AD474" s="70"/>
      <c r="AE474" s="14"/>
      <c r="AF474" s="55"/>
      <c r="AG474" s="55"/>
    </row>
    <row r="475" ht="13.5" customHeight="1">
      <c r="A475" s="80">
        <f t="shared" si="20"/>
        <v>470</v>
      </c>
      <c r="B475" s="26"/>
      <c r="C475" s="39"/>
      <c r="D475" s="40"/>
      <c r="E475" s="83"/>
      <c r="F475" s="42"/>
      <c r="G475" s="84"/>
      <c r="H475" s="84"/>
      <c r="I475" s="45"/>
      <c r="J475" s="46" t="s">
        <v>222</v>
      </c>
      <c r="K475" s="40" t="s">
        <v>222</v>
      </c>
      <c r="L475" s="40" t="s">
        <v>222</v>
      </c>
      <c r="M475" s="40" t="s">
        <v>222</v>
      </c>
      <c r="N475" s="40" t="s">
        <v>222</v>
      </c>
      <c r="O475" s="40" t="s">
        <v>222</v>
      </c>
      <c r="P475" s="48"/>
      <c r="Q475" s="48"/>
      <c r="R475" s="49" t="s">
        <v>222</v>
      </c>
      <c r="S475" s="50" t="s">
        <v>222</v>
      </c>
      <c r="T475" s="85"/>
      <c r="U475" s="86"/>
      <c r="V475" s="85"/>
      <c r="W475" s="86"/>
      <c r="X475" s="85"/>
      <c r="Y475" s="70"/>
      <c r="Z475" s="70"/>
      <c r="AA475" s="70"/>
      <c r="AB475" s="70"/>
      <c r="AC475" s="70"/>
      <c r="AD475" s="70"/>
      <c r="AE475" s="14"/>
      <c r="AF475" s="55"/>
      <c r="AG475" s="55"/>
    </row>
    <row r="476" ht="13.5" customHeight="1">
      <c r="A476" s="80">
        <f t="shared" si="20"/>
        <v>471</v>
      </c>
      <c r="B476" s="26"/>
      <c r="C476" s="39"/>
      <c r="D476" s="40"/>
      <c r="E476" s="83"/>
      <c r="F476" s="42"/>
      <c r="G476" s="84"/>
      <c r="H476" s="84"/>
      <c r="I476" s="45"/>
      <c r="J476" s="46" t="s">
        <v>222</v>
      </c>
      <c r="K476" s="40" t="s">
        <v>222</v>
      </c>
      <c r="L476" s="40" t="s">
        <v>222</v>
      </c>
      <c r="M476" s="40" t="s">
        <v>222</v>
      </c>
      <c r="N476" s="40" t="s">
        <v>222</v>
      </c>
      <c r="O476" s="40" t="s">
        <v>222</v>
      </c>
      <c r="P476" s="48"/>
      <c r="Q476" s="48"/>
      <c r="R476" s="49" t="s">
        <v>222</v>
      </c>
      <c r="S476" s="50" t="s">
        <v>222</v>
      </c>
      <c r="T476" s="85"/>
      <c r="U476" s="86"/>
      <c r="V476" s="85"/>
      <c r="W476" s="86"/>
      <c r="X476" s="85"/>
      <c r="Y476" s="70"/>
      <c r="Z476" s="70"/>
      <c r="AA476" s="70"/>
      <c r="AB476" s="70"/>
      <c r="AC476" s="70"/>
      <c r="AD476" s="70"/>
      <c r="AE476" s="14"/>
      <c r="AF476" s="55"/>
      <c r="AG476" s="55"/>
    </row>
    <row r="477" ht="13.5" customHeight="1">
      <c r="A477" s="80">
        <f t="shared" si="20"/>
        <v>472</v>
      </c>
      <c r="B477" s="26"/>
      <c r="C477" s="39"/>
      <c r="D477" s="40"/>
      <c r="E477" s="83"/>
      <c r="F477" s="42"/>
      <c r="G477" s="84"/>
      <c r="H477" s="84"/>
      <c r="I477" s="45"/>
      <c r="J477" s="46" t="s">
        <v>222</v>
      </c>
      <c r="K477" s="40" t="s">
        <v>222</v>
      </c>
      <c r="L477" s="40" t="s">
        <v>222</v>
      </c>
      <c r="M477" s="40" t="s">
        <v>222</v>
      </c>
      <c r="N477" s="40" t="s">
        <v>222</v>
      </c>
      <c r="O477" s="40" t="s">
        <v>222</v>
      </c>
      <c r="P477" s="48"/>
      <c r="Q477" s="48"/>
      <c r="R477" s="49" t="s">
        <v>222</v>
      </c>
      <c r="S477" s="50" t="s">
        <v>222</v>
      </c>
      <c r="T477" s="85"/>
      <c r="U477" s="86"/>
      <c r="V477" s="85"/>
      <c r="W477" s="86"/>
      <c r="X477" s="85"/>
      <c r="Y477" s="70"/>
      <c r="Z477" s="70"/>
      <c r="AA477" s="70"/>
      <c r="AB477" s="70"/>
      <c r="AC477" s="70"/>
      <c r="AD477" s="70"/>
      <c r="AE477" s="14"/>
      <c r="AF477" s="55"/>
      <c r="AG477" s="55"/>
    </row>
    <row r="478" ht="13.5" customHeight="1">
      <c r="A478" s="80">
        <f t="shared" si="20"/>
        <v>473</v>
      </c>
      <c r="B478" s="26"/>
      <c r="C478" s="39"/>
      <c r="D478" s="40"/>
      <c r="E478" s="83"/>
      <c r="F478" s="42"/>
      <c r="G478" s="84"/>
      <c r="H478" s="84"/>
      <c r="I478" s="45"/>
      <c r="J478" s="46" t="s">
        <v>222</v>
      </c>
      <c r="K478" s="40" t="s">
        <v>222</v>
      </c>
      <c r="L478" s="40" t="s">
        <v>222</v>
      </c>
      <c r="M478" s="40" t="s">
        <v>222</v>
      </c>
      <c r="N478" s="40" t="s">
        <v>222</v>
      </c>
      <c r="O478" s="40" t="s">
        <v>222</v>
      </c>
      <c r="P478" s="48"/>
      <c r="Q478" s="48"/>
      <c r="R478" s="49" t="s">
        <v>222</v>
      </c>
      <c r="S478" s="50" t="s">
        <v>222</v>
      </c>
      <c r="T478" s="85"/>
      <c r="U478" s="86"/>
      <c r="V478" s="85"/>
      <c r="W478" s="86"/>
      <c r="X478" s="85"/>
      <c r="Y478" s="70"/>
      <c r="Z478" s="70"/>
      <c r="AA478" s="70"/>
      <c r="AB478" s="70"/>
      <c r="AC478" s="70"/>
      <c r="AD478" s="70"/>
      <c r="AE478" s="14"/>
      <c r="AF478" s="55"/>
      <c r="AG478" s="55"/>
    </row>
    <row r="479" ht="13.5" customHeight="1">
      <c r="A479" s="80">
        <f t="shared" si="20"/>
        <v>474</v>
      </c>
      <c r="B479" s="26"/>
      <c r="C479" s="39"/>
      <c r="D479" s="40"/>
      <c r="E479" s="83"/>
      <c r="F479" s="42"/>
      <c r="G479" s="84"/>
      <c r="H479" s="84"/>
      <c r="I479" s="45"/>
      <c r="J479" s="46" t="s">
        <v>222</v>
      </c>
      <c r="K479" s="40" t="s">
        <v>222</v>
      </c>
      <c r="L479" s="40" t="s">
        <v>222</v>
      </c>
      <c r="M479" s="40" t="s">
        <v>222</v>
      </c>
      <c r="N479" s="40" t="s">
        <v>222</v>
      </c>
      <c r="O479" s="40" t="s">
        <v>222</v>
      </c>
      <c r="P479" s="48"/>
      <c r="Q479" s="48"/>
      <c r="R479" s="49" t="s">
        <v>222</v>
      </c>
      <c r="S479" s="50" t="s">
        <v>222</v>
      </c>
      <c r="T479" s="85"/>
      <c r="U479" s="86"/>
      <c r="V479" s="85"/>
      <c r="W479" s="86"/>
      <c r="X479" s="85"/>
      <c r="Y479" s="70"/>
      <c r="Z479" s="70"/>
      <c r="AA479" s="70"/>
      <c r="AB479" s="70"/>
      <c r="AC479" s="70"/>
      <c r="AD479" s="70"/>
      <c r="AE479" s="14"/>
      <c r="AF479" s="55"/>
      <c r="AG479" s="55"/>
    </row>
    <row r="480" ht="13.5" customHeight="1">
      <c r="A480" s="80">
        <f t="shared" si="20"/>
        <v>475</v>
      </c>
      <c r="B480" s="26"/>
      <c r="C480" s="39"/>
      <c r="D480" s="40"/>
      <c r="E480" s="83"/>
      <c r="F480" s="42"/>
      <c r="G480" s="84"/>
      <c r="H480" s="84"/>
      <c r="I480" s="45"/>
      <c r="J480" s="46" t="s">
        <v>222</v>
      </c>
      <c r="K480" s="40" t="s">
        <v>222</v>
      </c>
      <c r="L480" s="40" t="s">
        <v>222</v>
      </c>
      <c r="M480" s="40" t="s">
        <v>222</v>
      </c>
      <c r="N480" s="40" t="s">
        <v>222</v>
      </c>
      <c r="O480" s="40" t="s">
        <v>222</v>
      </c>
      <c r="P480" s="48"/>
      <c r="Q480" s="48"/>
      <c r="R480" s="49" t="s">
        <v>222</v>
      </c>
      <c r="S480" s="50" t="s">
        <v>222</v>
      </c>
      <c r="T480" s="85"/>
      <c r="U480" s="86"/>
      <c r="V480" s="85"/>
      <c r="W480" s="86"/>
      <c r="X480" s="85"/>
      <c r="Y480" s="70"/>
      <c r="Z480" s="70"/>
      <c r="AA480" s="70"/>
      <c r="AB480" s="70"/>
      <c r="AC480" s="70"/>
      <c r="AD480" s="70"/>
      <c r="AE480" s="14"/>
      <c r="AF480" s="55"/>
      <c r="AG480" s="55"/>
    </row>
    <row r="481" ht="13.5" customHeight="1">
      <c r="A481" s="80">
        <f t="shared" si="20"/>
        <v>476</v>
      </c>
      <c r="B481" s="26"/>
      <c r="C481" s="39"/>
      <c r="D481" s="40"/>
      <c r="E481" s="83"/>
      <c r="F481" s="42"/>
      <c r="G481" s="84"/>
      <c r="H481" s="84"/>
      <c r="I481" s="45"/>
      <c r="J481" s="46" t="s">
        <v>222</v>
      </c>
      <c r="K481" s="40" t="s">
        <v>222</v>
      </c>
      <c r="L481" s="40" t="s">
        <v>222</v>
      </c>
      <c r="M481" s="40" t="s">
        <v>222</v>
      </c>
      <c r="N481" s="40" t="s">
        <v>222</v>
      </c>
      <c r="O481" s="40" t="s">
        <v>222</v>
      </c>
      <c r="P481" s="48"/>
      <c r="Q481" s="48"/>
      <c r="R481" s="49" t="s">
        <v>222</v>
      </c>
      <c r="S481" s="50" t="s">
        <v>222</v>
      </c>
      <c r="T481" s="85"/>
      <c r="U481" s="86"/>
      <c r="V481" s="85"/>
      <c r="W481" s="86"/>
      <c r="X481" s="85"/>
      <c r="Y481" s="70"/>
      <c r="Z481" s="70"/>
      <c r="AA481" s="70"/>
      <c r="AB481" s="70"/>
      <c r="AC481" s="70"/>
      <c r="AD481" s="70"/>
      <c r="AE481" s="14"/>
      <c r="AF481" s="55"/>
      <c r="AG481" s="55"/>
    </row>
    <row r="482" ht="13.5" customHeight="1">
      <c r="A482" s="80">
        <f t="shared" si="20"/>
        <v>477</v>
      </c>
      <c r="B482" s="26"/>
      <c r="C482" s="39"/>
      <c r="D482" s="40"/>
      <c r="E482" s="83"/>
      <c r="F482" s="42"/>
      <c r="G482" s="84"/>
      <c r="H482" s="84"/>
      <c r="I482" s="45"/>
      <c r="J482" s="46" t="s">
        <v>222</v>
      </c>
      <c r="K482" s="40" t="s">
        <v>222</v>
      </c>
      <c r="L482" s="40" t="s">
        <v>222</v>
      </c>
      <c r="M482" s="40" t="s">
        <v>222</v>
      </c>
      <c r="N482" s="40" t="s">
        <v>222</v>
      </c>
      <c r="O482" s="40" t="s">
        <v>222</v>
      </c>
      <c r="P482" s="48"/>
      <c r="Q482" s="48"/>
      <c r="R482" s="49" t="s">
        <v>222</v>
      </c>
      <c r="S482" s="50" t="s">
        <v>222</v>
      </c>
      <c r="T482" s="85"/>
      <c r="U482" s="86"/>
      <c r="V482" s="85"/>
      <c r="W482" s="86"/>
      <c r="X482" s="85"/>
      <c r="Y482" s="70"/>
      <c r="Z482" s="70"/>
      <c r="AA482" s="70"/>
      <c r="AB482" s="70"/>
      <c r="AC482" s="70"/>
      <c r="AD482" s="70"/>
      <c r="AE482" s="14"/>
      <c r="AF482" s="55"/>
      <c r="AG482" s="55"/>
    </row>
    <row r="483" ht="13.5" customHeight="1">
      <c r="A483" s="80">
        <f t="shared" si="20"/>
        <v>478</v>
      </c>
      <c r="B483" s="26"/>
      <c r="C483" s="39"/>
      <c r="D483" s="40"/>
      <c r="E483" s="83"/>
      <c r="F483" s="42"/>
      <c r="G483" s="84"/>
      <c r="H483" s="84"/>
      <c r="I483" s="45"/>
      <c r="J483" s="46" t="s">
        <v>222</v>
      </c>
      <c r="K483" s="40" t="s">
        <v>222</v>
      </c>
      <c r="L483" s="40" t="s">
        <v>222</v>
      </c>
      <c r="M483" s="40" t="s">
        <v>222</v>
      </c>
      <c r="N483" s="40" t="s">
        <v>222</v>
      </c>
      <c r="O483" s="40" t="s">
        <v>222</v>
      </c>
      <c r="P483" s="48"/>
      <c r="Q483" s="48"/>
      <c r="R483" s="49" t="s">
        <v>222</v>
      </c>
      <c r="S483" s="50" t="s">
        <v>222</v>
      </c>
      <c r="T483" s="85"/>
      <c r="U483" s="86"/>
      <c r="V483" s="85"/>
      <c r="W483" s="86"/>
      <c r="X483" s="85"/>
      <c r="Y483" s="70"/>
      <c r="Z483" s="70"/>
      <c r="AA483" s="70"/>
      <c r="AB483" s="70"/>
      <c r="AC483" s="70"/>
      <c r="AD483" s="70"/>
      <c r="AE483" s="14"/>
      <c r="AF483" s="55"/>
      <c r="AG483" s="55"/>
    </row>
    <row r="484" ht="13.5" customHeight="1">
      <c r="A484" s="80">
        <f t="shared" si="20"/>
        <v>479</v>
      </c>
      <c r="B484" s="26"/>
      <c r="C484" s="39"/>
      <c r="D484" s="40"/>
      <c r="E484" s="83"/>
      <c r="F484" s="42"/>
      <c r="G484" s="84"/>
      <c r="H484" s="84"/>
      <c r="I484" s="45"/>
      <c r="J484" s="46" t="s">
        <v>222</v>
      </c>
      <c r="K484" s="40" t="s">
        <v>222</v>
      </c>
      <c r="L484" s="40" t="s">
        <v>222</v>
      </c>
      <c r="M484" s="40" t="s">
        <v>222</v>
      </c>
      <c r="N484" s="40" t="s">
        <v>222</v>
      </c>
      <c r="O484" s="40" t="s">
        <v>222</v>
      </c>
      <c r="P484" s="48"/>
      <c r="Q484" s="48"/>
      <c r="R484" s="49" t="s">
        <v>222</v>
      </c>
      <c r="S484" s="50" t="s">
        <v>222</v>
      </c>
      <c r="T484" s="85"/>
      <c r="U484" s="86"/>
      <c r="V484" s="85"/>
      <c r="W484" s="86"/>
      <c r="X484" s="85"/>
      <c r="Y484" s="70"/>
      <c r="Z484" s="70"/>
      <c r="AA484" s="70"/>
      <c r="AB484" s="70"/>
      <c r="AC484" s="70"/>
      <c r="AD484" s="70"/>
      <c r="AE484" s="14"/>
      <c r="AF484" s="55"/>
      <c r="AG484" s="55"/>
    </row>
    <row r="485" ht="13.5" customHeight="1">
      <c r="A485" s="80">
        <f t="shared" si="20"/>
        <v>480</v>
      </c>
      <c r="B485" s="26"/>
      <c r="C485" s="39"/>
      <c r="D485" s="40"/>
      <c r="E485" s="83"/>
      <c r="F485" s="42"/>
      <c r="G485" s="84"/>
      <c r="H485" s="84"/>
      <c r="I485" s="45"/>
      <c r="J485" s="46" t="s">
        <v>222</v>
      </c>
      <c r="K485" s="40" t="s">
        <v>222</v>
      </c>
      <c r="L485" s="40" t="s">
        <v>222</v>
      </c>
      <c r="M485" s="40" t="s">
        <v>222</v>
      </c>
      <c r="N485" s="40" t="s">
        <v>222</v>
      </c>
      <c r="O485" s="40" t="s">
        <v>222</v>
      </c>
      <c r="P485" s="48"/>
      <c r="Q485" s="48"/>
      <c r="R485" s="49" t="s">
        <v>222</v>
      </c>
      <c r="S485" s="50" t="s">
        <v>222</v>
      </c>
      <c r="T485" s="85"/>
      <c r="U485" s="86"/>
      <c r="V485" s="85"/>
      <c r="W485" s="86"/>
      <c r="X485" s="85"/>
      <c r="Y485" s="70"/>
      <c r="Z485" s="70"/>
      <c r="AA485" s="70"/>
      <c r="AB485" s="70"/>
      <c r="AC485" s="70"/>
      <c r="AD485" s="70"/>
      <c r="AE485" s="14"/>
      <c r="AF485" s="55"/>
      <c r="AG485" s="55"/>
    </row>
    <row r="486" ht="13.5" customHeight="1">
      <c r="A486" s="80">
        <f t="shared" si="20"/>
        <v>481</v>
      </c>
      <c r="B486" s="26"/>
      <c r="C486" s="39"/>
      <c r="D486" s="40"/>
      <c r="E486" s="83"/>
      <c r="F486" s="42"/>
      <c r="G486" s="84"/>
      <c r="H486" s="84"/>
      <c r="I486" s="45"/>
      <c r="J486" s="46" t="s">
        <v>222</v>
      </c>
      <c r="K486" s="40" t="s">
        <v>222</v>
      </c>
      <c r="L486" s="40" t="s">
        <v>222</v>
      </c>
      <c r="M486" s="40" t="s">
        <v>222</v>
      </c>
      <c r="N486" s="40" t="s">
        <v>222</v>
      </c>
      <c r="O486" s="40" t="s">
        <v>222</v>
      </c>
      <c r="P486" s="48"/>
      <c r="Q486" s="48"/>
      <c r="R486" s="49" t="s">
        <v>222</v>
      </c>
      <c r="S486" s="50" t="s">
        <v>222</v>
      </c>
      <c r="T486" s="85"/>
      <c r="U486" s="86"/>
      <c r="V486" s="85"/>
      <c r="W486" s="86"/>
      <c r="X486" s="85"/>
      <c r="Y486" s="70"/>
      <c r="Z486" s="70"/>
      <c r="AA486" s="70"/>
      <c r="AB486" s="70"/>
      <c r="AC486" s="70"/>
      <c r="AD486" s="70"/>
      <c r="AE486" s="14"/>
      <c r="AF486" s="55"/>
      <c r="AG486" s="55"/>
    </row>
    <row r="487" ht="13.5" customHeight="1">
      <c r="A487" s="80">
        <f t="shared" si="20"/>
        <v>482</v>
      </c>
      <c r="B487" s="26"/>
      <c r="C487" s="39"/>
      <c r="D487" s="40"/>
      <c r="E487" s="83"/>
      <c r="F487" s="42"/>
      <c r="G487" s="84"/>
      <c r="H487" s="84"/>
      <c r="I487" s="45"/>
      <c r="J487" s="46" t="s">
        <v>222</v>
      </c>
      <c r="K487" s="40" t="s">
        <v>222</v>
      </c>
      <c r="L487" s="40" t="s">
        <v>222</v>
      </c>
      <c r="M487" s="40" t="s">
        <v>222</v>
      </c>
      <c r="N487" s="40" t="s">
        <v>222</v>
      </c>
      <c r="O487" s="40" t="s">
        <v>222</v>
      </c>
      <c r="P487" s="48"/>
      <c r="Q487" s="48"/>
      <c r="R487" s="49" t="s">
        <v>222</v>
      </c>
      <c r="S487" s="50" t="s">
        <v>222</v>
      </c>
      <c r="T487" s="85"/>
      <c r="U487" s="86"/>
      <c r="V487" s="85"/>
      <c r="W487" s="86"/>
      <c r="X487" s="85"/>
      <c r="Y487" s="70"/>
      <c r="Z487" s="70"/>
      <c r="AA487" s="70"/>
      <c r="AB487" s="70"/>
      <c r="AC487" s="70"/>
      <c r="AD487" s="70"/>
      <c r="AE487" s="14"/>
      <c r="AF487" s="55"/>
      <c r="AG487" s="55"/>
    </row>
    <row r="488" ht="13.5" customHeight="1">
      <c r="A488" s="80">
        <f t="shared" si="20"/>
        <v>483</v>
      </c>
      <c r="B488" s="26"/>
      <c r="C488" s="39"/>
      <c r="D488" s="40"/>
      <c r="E488" s="83"/>
      <c r="F488" s="42"/>
      <c r="G488" s="84"/>
      <c r="H488" s="84"/>
      <c r="I488" s="45"/>
      <c r="J488" s="46" t="s">
        <v>222</v>
      </c>
      <c r="K488" s="40" t="s">
        <v>222</v>
      </c>
      <c r="L488" s="40" t="s">
        <v>222</v>
      </c>
      <c r="M488" s="40" t="s">
        <v>222</v>
      </c>
      <c r="N488" s="40" t="s">
        <v>222</v>
      </c>
      <c r="O488" s="40" t="s">
        <v>222</v>
      </c>
      <c r="P488" s="48"/>
      <c r="Q488" s="48"/>
      <c r="R488" s="49" t="s">
        <v>222</v>
      </c>
      <c r="S488" s="50" t="s">
        <v>222</v>
      </c>
      <c r="T488" s="85"/>
      <c r="U488" s="86"/>
      <c r="V488" s="85"/>
      <c r="W488" s="86"/>
      <c r="X488" s="85"/>
      <c r="Y488" s="70"/>
      <c r="Z488" s="70"/>
      <c r="AA488" s="70"/>
      <c r="AB488" s="70"/>
      <c r="AC488" s="70"/>
      <c r="AD488" s="70"/>
      <c r="AE488" s="14"/>
      <c r="AF488" s="55"/>
      <c r="AG488" s="55"/>
    </row>
    <row r="489" ht="13.5" customHeight="1">
      <c r="A489" s="80">
        <f t="shared" si="20"/>
        <v>484</v>
      </c>
      <c r="B489" s="26"/>
      <c r="C489" s="39"/>
      <c r="D489" s="40"/>
      <c r="E489" s="83"/>
      <c r="F489" s="42"/>
      <c r="G489" s="84"/>
      <c r="H489" s="84"/>
      <c r="I489" s="45"/>
      <c r="J489" s="46" t="s">
        <v>222</v>
      </c>
      <c r="K489" s="40" t="s">
        <v>222</v>
      </c>
      <c r="L489" s="40" t="s">
        <v>222</v>
      </c>
      <c r="M489" s="40" t="s">
        <v>222</v>
      </c>
      <c r="N489" s="40" t="s">
        <v>222</v>
      </c>
      <c r="O489" s="40" t="s">
        <v>222</v>
      </c>
      <c r="P489" s="48"/>
      <c r="Q489" s="48"/>
      <c r="R489" s="49" t="s">
        <v>222</v>
      </c>
      <c r="S489" s="50" t="s">
        <v>222</v>
      </c>
      <c r="T489" s="85"/>
      <c r="U489" s="86"/>
      <c r="V489" s="85"/>
      <c r="W489" s="86"/>
      <c r="X489" s="85"/>
      <c r="Y489" s="70"/>
      <c r="Z489" s="70"/>
      <c r="AA489" s="70"/>
      <c r="AB489" s="70"/>
      <c r="AC489" s="70"/>
      <c r="AD489" s="70"/>
      <c r="AE489" s="14"/>
      <c r="AF489" s="55"/>
      <c r="AG489" s="55"/>
    </row>
    <row r="490" ht="13.5" customHeight="1">
      <c r="A490" s="80">
        <f t="shared" si="20"/>
        <v>485</v>
      </c>
      <c r="B490" s="26"/>
      <c r="C490" s="39"/>
      <c r="D490" s="40"/>
      <c r="E490" s="83"/>
      <c r="F490" s="42"/>
      <c r="G490" s="84"/>
      <c r="H490" s="84"/>
      <c r="I490" s="45"/>
      <c r="J490" s="46" t="s">
        <v>222</v>
      </c>
      <c r="K490" s="40" t="s">
        <v>222</v>
      </c>
      <c r="L490" s="40" t="s">
        <v>222</v>
      </c>
      <c r="M490" s="40" t="s">
        <v>222</v>
      </c>
      <c r="N490" s="40" t="s">
        <v>222</v>
      </c>
      <c r="O490" s="40" t="s">
        <v>222</v>
      </c>
      <c r="P490" s="48"/>
      <c r="Q490" s="48"/>
      <c r="R490" s="49" t="s">
        <v>222</v>
      </c>
      <c r="S490" s="50" t="s">
        <v>222</v>
      </c>
      <c r="T490" s="85"/>
      <c r="U490" s="86"/>
      <c r="V490" s="85"/>
      <c r="W490" s="86"/>
      <c r="X490" s="85"/>
      <c r="Y490" s="70"/>
      <c r="Z490" s="70"/>
      <c r="AA490" s="70"/>
      <c r="AB490" s="70"/>
      <c r="AC490" s="70"/>
      <c r="AD490" s="70"/>
      <c r="AE490" s="14"/>
      <c r="AF490" s="55"/>
      <c r="AG490" s="55"/>
    </row>
    <row r="491" ht="13.5" customHeight="1">
      <c r="A491" s="80">
        <f t="shared" si="20"/>
        <v>486</v>
      </c>
      <c r="B491" s="26"/>
      <c r="C491" s="39"/>
      <c r="D491" s="40"/>
      <c r="E491" s="83"/>
      <c r="F491" s="42"/>
      <c r="G491" s="84"/>
      <c r="H491" s="84"/>
      <c r="I491" s="45"/>
      <c r="J491" s="46" t="s">
        <v>222</v>
      </c>
      <c r="K491" s="40" t="s">
        <v>222</v>
      </c>
      <c r="L491" s="40" t="s">
        <v>222</v>
      </c>
      <c r="M491" s="40" t="s">
        <v>222</v>
      </c>
      <c r="N491" s="40" t="s">
        <v>222</v>
      </c>
      <c r="O491" s="40" t="s">
        <v>222</v>
      </c>
      <c r="P491" s="48"/>
      <c r="Q491" s="48"/>
      <c r="R491" s="49" t="s">
        <v>222</v>
      </c>
      <c r="S491" s="50" t="s">
        <v>222</v>
      </c>
      <c r="T491" s="85"/>
      <c r="U491" s="86"/>
      <c r="V491" s="85"/>
      <c r="W491" s="86"/>
      <c r="X491" s="85"/>
      <c r="Y491" s="70"/>
      <c r="Z491" s="70"/>
      <c r="AA491" s="70"/>
      <c r="AB491" s="70"/>
      <c r="AC491" s="70"/>
      <c r="AD491" s="70"/>
      <c r="AE491" s="14"/>
      <c r="AF491" s="55"/>
      <c r="AG491" s="55"/>
    </row>
    <row r="492" ht="13.5" customHeight="1">
      <c r="A492" s="80">
        <f t="shared" si="20"/>
        <v>487</v>
      </c>
      <c r="B492" s="26"/>
      <c r="C492" s="39"/>
      <c r="D492" s="40"/>
      <c r="E492" s="83"/>
      <c r="F492" s="42"/>
      <c r="G492" s="84"/>
      <c r="H492" s="84"/>
      <c r="I492" s="45"/>
      <c r="J492" s="46" t="s">
        <v>222</v>
      </c>
      <c r="K492" s="40" t="s">
        <v>222</v>
      </c>
      <c r="L492" s="40" t="s">
        <v>222</v>
      </c>
      <c r="M492" s="40" t="s">
        <v>222</v>
      </c>
      <c r="N492" s="40" t="s">
        <v>222</v>
      </c>
      <c r="O492" s="40" t="s">
        <v>222</v>
      </c>
      <c r="P492" s="48"/>
      <c r="Q492" s="48"/>
      <c r="R492" s="49" t="s">
        <v>222</v>
      </c>
      <c r="S492" s="50" t="s">
        <v>222</v>
      </c>
      <c r="T492" s="85"/>
      <c r="U492" s="86"/>
      <c r="V492" s="85"/>
      <c r="W492" s="86"/>
      <c r="X492" s="85"/>
      <c r="Y492" s="70"/>
      <c r="Z492" s="70"/>
      <c r="AA492" s="70"/>
      <c r="AB492" s="70"/>
      <c r="AC492" s="70"/>
      <c r="AD492" s="70"/>
      <c r="AE492" s="14"/>
      <c r="AF492" s="55"/>
      <c r="AG492" s="55"/>
    </row>
    <row r="493" ht="13.5" customHeight="1">
      <c r="A493" s="80">
        <f t="shared" si="20"/>
        <v>488</v>
      </c>
      <c r="B493" s="26"/>
      <c r="C493" s="39"/>
      <c r="D493" s="40"/>
      <c r="E493" s="83"/>
      <c r="F493" s="42"/>
      <c r="G493" s="84"/>
      <c r="H493" s="84"/>
      <c r="I493" s="45"/>
      <c r="J493" s="46" t="s">
        <v>222</v>
      </c>
      <c r="K493" s="40" t="s">
        <v>222</v>
      </c>
      <c r="L493" s="40" t="s">
        <v>222</v>
      </c>
      <c r="M493" s="40" t="s">
        <v>222</v>
      </c>
      <c r="N493" s="40" t="s">
        <v>222</v>
      </c>
      <c r="O493" s="40" t="s">
        <v>222</v>
      </c>
      <c r="P493" s="48"/>
      <c r="Q493" s="48"/>
      <c r="R493" s="49" t="s">
        <v>222</v>
      </c>
      <c r="S493" s="50" t="s">
        <v>222</v>
      </c>
      <c r="T493" s="85"/>
      <c r="U493" s="86"/>
      <c r="V493" s="85"/>
      <c r="W493" s="86"/>
      <c r="X493" s="85"/>
      <c r="Y493" s="70"/>
      <c r="Z493" s="70"/>
      <c r="AA493" s="70"/>
      <c r="AB493" s="70"/>
      <c r="AC493" s="70"/>
      <c r="AD493" s="70"/>
      <c r="AE493" s="14"/>
      <c r="AF493" s="55"/>
      <c r="AG493" s="55"/>
    </row>
    <row r="494" ht="13.5" customHeight="1">
      <c r="A494" s="80">
        <f t="shared" si="20"/>
        <v>489</v>
      </c>
      <c r="B494" s="26"/>
      <c r="C494" s="39"/>
      <c r="D494" s="40"/>
      <c r="E494" s="83"/>
      <c r="F494" s="42"/>
      <c r="G494" s="84"/>
      <c r="H494" s="84"/>
      <c r="I494" s="45"/>
      <c r="J494" s="46" t="s">
        <v>222</v>
      </c>
      <c r="K494" s="40" t="s">
        <v>222</v>
      </c>
      <c r="L494" s="40" t="s">
        <v>222</v>
      </c>
      <c r="M494" s="40" t="s">
        <v>222</v>
      </c>
      <c r="N494" s="40" t="s">
        <v>222</v>
      </c>
      <c r="O494" s="40" t="s">
        <v>222</v>
      </c>
      <c r="P494" s="48"/>
      <c r="Q494" s="48"/>
      <c r="R494" s="49" t="s">
        <v>222</v>
      </c>
      <c r="S494" s="50" t="s">
        <v>222</v>
      </c>
      <c r="T494" s="85"/>
      <c r="U494" s="86"/>
      <c r="V494" s="85"/>
      <c r="W494" s="86"/>
      <c r="X494" s="85"/>
      <c r="Y494" s="70"/>
      <c r="Z494" s="70"/>
      <c r="AA494" s="70"/>
      <c r="AB494" s="70"/>
      <c r="AC494" s="70"/>
      <c r="AD494" s="70"/>
      <c r="AE494" s="14"/>
      <c r="AF494" s="55"/>
      <c r="AG494" s="55"/>
    </row>
    <row r="495" ht="13.5" customHeight="1">
      <c r="A495" s="80">
        <f t="shared" si="20"/>
        <v>490</v>
      </c>
      <c r="B495" s="26"/>
      <c r="C495" s="39"/>
      <c r="D495" s="40"/>
      <c r="E495" s="83"/>
      <c r="F495" s="42"/>
      <c r="G495" s="84"/>
      <c r="H495" s="84"/>
      <c r="I495" s="45"/>
      <c r="J495" s="46" t="s">
        <v>222</v>
      </c>
      <c r="K495" s="40" t="s">
        <v>222</v>
      </c>
      <c r="L495" s="40" t="s">
        <v>222</v>
      </c>
      <c r="M495" s="40" t="s">
        <v>222</v>
      </c>
      <c r="N495" s="40" t="s">
        <v>222</v>
      </c>
      <c r="O495" s="40" t="s">
        <v>222</v>
      </c>
      <c r="P495" s="48"/>
      <c r="Q495" s="48"/>
      <c r="R495" s="49" t="s">
        <v>222</v>
      </c>
      <c r="S495" s="50" t="s">
        <v>222</v>
      </c>
      <c r="T495" s="85"/>
      <c r="U495" s="86"/>
      <c r="V495" s="85"/>
      <c r="W495" s="86"/>
      <c r="X495" s="85"/>
      <c r="Y495" s="70"/>
      <c r="Z495" s="70"/>
      <c r="AA495" s="70"/>
      <c r="AB495" s="70"/>
      <c r="AC495" s="70"/>
      <c r="AD495" s="70"/>
      <c r="AE495" s="14"/>
      <c r="AF495" s="55"/>
      <c r="AG495" s="55"/>
    </row>
    <row r="496" ht="13.5" customHeight="1">
      <c r="A496" s="80">
        <f t="shared" si="20"/>
        <v>491</v>
      </c>
      <c r="B496" s="26"/>
      <c r="C496" s="39"/>
      <c r="D496" s="40"/>
      <c r="E496" s="83"/>
      <c r="F496" s="42"/>
      <c r="G496" s="84"/>
      <c r="H496" s="84"/>
      <c r="I496" s="45"/>
      <c r="J496" s="46" t="s">
        <v>222</v>
      </c>
      <c r="K496" s="40" t="s">
        <v>222</v>
      </c>
      <c r="L496" s="40" t="s">
        <v>222</v>
      </c>
      <c r="M496" s="40" t="s">
        <v>222</v>
      </c>
      <c r="N496" s="40" t="s">
        <v>222</v>
      </c>
      <c r="O496" s="40" t="s">
        <v>222</v>
      </c>
      <c r="P496" s="48"/>
      <c r="Q496" s="48"/>
      <c r="R496" s="49" t="s">
        <v>222</v>
      </c>
      <c r="S496" s="50" t="s">
        <v>222</v>
      </c>
      <c r="T496" s="85"/>
      <c r="U496" s="86"/>
      <c r="V496" s="85"/>
      <c r="W496" s="86"/>
      <c r="X496" s="85"/>
      <c r="Y496" s="70"/>
      <c r="Z496" s="70"/>
      <c r="AA496" s="70"/>
      <c r="AB496" s="70"/>
      <c r="AC496" s="70"/>
      <c r="AD496" s="70"/>
      <c r="AE496" s="14"/>
      <c r="AF496" s="55"/>
      <c r="AG496" s="55"/>
    </row>
    <row r="497" ht="13.5" customHeight="1">
      <c r="A497" s="80">
        <f t="shared" si="20"/>
        <v>492</v>
      </c>
      <c r="B497" s="26"/>
      <c r="C497" s="39"/>
      <c r="D497" s="40"/>
      <c r="E497" s="83"/>
      <c r="F497" s="42"/>
      <c r="G497" s="84"/>
      <c r="H497" s="84"/>
      <c r="I497" s="45"/>
      <c r="J497" s="46" t="s">
        <v>222</v>
      </c>
      <c r="K497" s="40" t="s">
        <v>222</v>
      </c>
      <c r="L497" s="40" t="s">
        <v>222</v>
      </c>
      <c r="M497" s="40" t="s">
        <v>222</v>
      </c>
      <c r="N497" s="40" t="s">
        <v>222</v>
      </c>
      <c r="O497" s="40" t="s">
        <v>222</v>
      </c>
      <c r="P497" s="48"/>
      <c r="Q497" s="48"/>
      <c r="R497" s="49" t="s">
        <v>222</v>
      </c>
      <c r="S497" s="50" t="s">
        <v>222</v>
      </c>
      <c r="T497" s="85"/>
      <c r="U497" s="86"/>
      <c r="V497" s="85"/>
      <c r="W497" s="86"/>
      <c r="X497" s="85"/>
      <c r="Y497" s="70"/>
      <c r="Z497" s="70"/>
      <c r="AA497" s="70"/>
      <c r="AB497" s="70"/>
      <c r="AC497" s="70"/>
      <c r="AD497" s="70"/>
      <c r="AE497" s="14"/>
      <c r="AF497" s="55"/>
      <c r="AG497" s="55"/>
    </row>
    <row r="498" ht="13.5" customHeight="1">
      <c r="A498" s="80">
        <f t="shared" si="20"/>
        <v>493</v>
      </c>
      <c r="B498" s="26"/>
      <c r="C498" s="39"/>
      <c r="D498" s="40"/>
      <c r="E498" s="83"/>
      <c r="F498" s="42"/>
      <c r="G498" s="84"/>
      <c r="H498" s="84"/>
      <c r="I498" s="45"/>
      <c r="J498" s="46" t="s">
        <v>222</v>
      </c>
      <c r="K498" s="40" t="s">
        <v>222</v>
      </c>
      <c r="L498" s="40" t="s">
        <v>222</v>
      </c>
      <c r="M498" s="40" t="s">
        <v>222</v>
      </c>
      <c r="N498" s="40" t="s">
        <v>222</v>
      </c>
      <c r="O498" s="40" t="s">
        <v>222</v>
      </c>
      <c r="P498" s="48"/>
      <c r="Q498" s="48"/>
      <c r="R498" s="49" t="s">
        <v>222</v>
      </c>
      <c r="S498" s="50" t="s">
        <v>222</v>
      </c>
      <c r="T498" s="85"/>
      <c r="U498" s="86"/>
      <c r="V498" s="85"/>
      <c r="W498" s="86"/>
      <c r="X498" s="85"/>
      <c r="Y498" s="70"/>
      <c r="Z498" s="70"/>
      <c r="AA498" s="70"/>
      <c r="AB498" s="70"/>
      <c r="AC498" s="70"/>
      <c r="AD498" s="70"/>
      <c r="AE498" s="14"/>
      <c r="AF498" s="55"/>
      <c r="AG498" s="55"/>
    </row>
    <row r="499" ht="13.5" customHeight="1">
      <c r="A499" s="80">
        <f t="shared" si="20"/>
        <v>494</v>
      </c>
      <c r="B499" s="26"/>
      <c r="C499" s="39"/>
      <c r="D499" s="40"/>
      <c r="E499" s="83"/>
      <c r="F499" s="42"/>
      <c r="G499" s="84"/>
      <c r="H499" s="84"/>
      <c r="I499" s="45"/>
      <c r="J499" s="46" t="s">
        <v>222</v>
      </c>
      <c r="K499" s="40" t="s">
        <v>222</v>
      </c>
      <c r="L499" s="40" t="s">
        <v>222</v>
      </c>
      <c r="M499" s="40" t="s">
        <v>222</v>
      </c>
      <c r="N499" s="40" t="s">
        <v>222</v>
      </c>
      <c r="O499" s="40" t="s">
        <v>222</v>
      </c>
      <c r="P499" s="48"/>
      <c r="Q499" s="48"/>
      <c r="R499" s="49" t="s">
        <v>222</v>
      </c>
      <c r="S499" s="50" t="s">
        <v>222</v>
      </c>
      <c r="T499" s="85"/>
      <c r="U499" s="86"/>
      <c r="V499" s="85"/>
      <c r="W499" s="86"/>
      <c r="X499" s="85"/>
      <c r="Y499" s="70"/>
      <c r="Z499" s="70"/>
      <c r="AA499" s="70"/>
      <c r="AB499" s="70"/>
      <c r="AC499" s="70"/>
      <c r="AD499" s="70"/>
      <c r="AE499" s="14"/>
      <c r="AF499" s="55"/>
      <c r="AG499" s="55"/>
    </row>
    <row r="500" ht="13.5" customHeight="1">
      <c r="A500" s="80">
        <f t="shared" si="20"/>
        <v>495</v>
      </c>
      <c r="B500" s="26"/>
      <c r="C500" s="39"/>
      <c r="D500" s="40"/>
      <c r="E500" s="83"/>
      <c r="F500" s="42"/>
      <c r="G500" s="84"/>
      <c r="H500" s="84"/>
      <c r="I500" s="45"/>
      <c r="J500" s="46" t="s">
        <v>222</v>
      </c>
      <c r="K500" s="40" t="s">
        <v>222</v>
      </c>
      <c r="L500" s="40" t="s">
        <v>222</v>
      </c>
      <c r="M500" s="40" t="s">
        <v>222</v>
      </c>
      <c r="N500" s="40" t="s">
        <v>222</v>
      </c>
      <c r="O500" s="40" t="s">
        <v>222</v>
      </c>
      <c r="P500" s="48"/>
      <c r="Q500" s="48"/>
      <c r="R500" s="49" t="s">
        <v>222</v>
      </c>
      <c r="S500" s="50" t="s">
        <v>222</v>
      </c>
      <c r="T500" s="85"/>
      <c r="U500" s="86"/>
      <c r="V500" s="85"/>
      <c r="W500" s="86"/>
      <c r="X500" s="85"/>
      <c r="Y500" s="70"/>
      <c r="Z500" s="70"/>
      <c r="AA500" s="70"/>
      <c r="AB500" s="70"/>
      <c r="AC500" s="70"/>
      <c r="AD500" s="70"/>
      <c r="AE500" s="14"/>
      <c r="AF500" s="55"/>
      <c r="AG500" s="55"/>
    </row>
    <row r="501" ht="13.5" customHeight="1">
      <c r="A501" s="80">
        <f t="shared" si="20"/>
        <v>496</v>
      </c>
      <c r="B501" s="26"/>
      <c r="C501" s="39"/>
      <c r="D501" s="40"/>
      <c r="E501" s="83"/>
      <c r="F501" s="42"/>
      <c r="G501" s="84"/>
      <c r="H501" s="84"/>
      <c r="I501" s="45"/>
      <c r="J501" s="46" t="s">
        <v>222</v>
      </c>
      <c r="K501" s="40" t="s">
        <v>222</v>
      </c>
      <c r="L501" s="40" t="s">
        <v>222</v>
      </c>
      <c r="M501" s="40" t="s">
        <v>222</v>
      </c>
      <c r="N501" s="40" t="s">
        <v>222</v>
      </c>
      <c r="O501" s="40" t="s">
        <v>222</v>
      </c>
      <c r="P501" s="48"/>
      <c r="Q501" s="48"/>
      <c r="R501" s="49" t="s">
        <v>222</v>
      </c>
      <c r="S501" s="50" t="s">
        <v>222</v>
      </c>
      <c r="T501" s="85"/>
      <c r="U501" s="86"/>
      <c r="V501" s="85"/>
      <c r="W501" s="86"/>
      <c r="X501" s="85"/>
      <c r="Y501" s="70"/>
      <c r="Z501" s="70"/>
      <c r="AA501" s="70"/>
      <c r="AB501" s="70"/>
      <c r="AC501" s="70"/>
      <c r="AD501" s="70"/>
      <c r="AE501" s="14"/>
      <c r="AF501" s="55"/>
      <c r="AG501" s="55"/>
    </row>
    <row r="502" ht="13.5" customHeight="1">
      <c r="A502" s="80">
        <f t="shared" si="20"/>
        <v>497</v>
      </c>
      <c r="B502" s="26"/>
      <c r="C502" s="39"/>
      <c r="D502" s="40"/>
      <c r="E502" s="83"/>
      <c r="F502" s="42"/>
      <c r="G502" s="84"/>
      <c r="H502" s="84"/>
      <c r="I502" s="45"/>
      <c r="J502" s="46" t="s">
        <v>222</v>
      </c>
      <c r="K502" s="40" t="s">
        <v>222</v>
      </c>
      <c r="L502" s="40" t="s">
        <v>222</v>
      </c>
      <c r="M502" s="40" t="s">
        <v>222</v>
      </c>
      <c r="N502" s="40" t="s">
        <v>222</v>
      </c>
      <c r="O502" s="40" t="s">
        <v>222</v>
      </c>
      <c r="P502" s="48"/>
      <c r="Q502" s="48"/>
      <c r="R502" s="49" t="s">
        <v>222</v>
      </c>
      <c r="S502" s="50" t="s">
        <v>222</v>
      </c>
      <c r="T502" s="85"/>
      <c r="U502" s="86"/>
      <c r="V502" s="85"/>
      <c r="W502" s="86"/>
      <c r="X502" s="85"/>
      <c r="Y502" s="70"/>
      <c r="Z502" s="70"/>
      <c r="AA502" s="70"/>
      <c r="AB502" s="70"/>
      <c r="AC502" s="70"/>
      <c r="AD502" s="70"/>
      <c r="AE502" s="14"/>
      <c r="AF502" s="55"/>
      <c r="AG502" s="55"/>
    </row>
    <row r="503" ht="13.5" customHeight="1">
      <c r="A503" s="80">
        <f t="shared" si="20"/>
        <v>498</v>
      </c>
      <c r="B503" s="26"/>
      <c r="C503" s="39"/>
      <c r="D503" s="40"/>
      <c r="E503" s="83"/>
      <c r="F503" s="42"/>
      <c r="G503" s="84"/>
      <c r="H503" s="84"/>
      <c r="I503" s="45"/>
      <c r="J503" s="46" t="s">
        <v>222</v>
      </c>
      <c r="K503" s="40" t="s">
        <v>222</v>
      </c>
      <c r="L503" s="40" t="s">
        <v>222</v>
      </c>
      <c r="M503" s="40" t="s">
        <v>222</v>
      </c>
      <c r="N503" s="40" t="s">
        <v>222</v>
      </c>
      <c r="O503" s="40" t="s">
        <v>222</v>
      </c>
      <c r="P503" s="48"/>
      <c r="Q503" s="48"/>
      <c r="R503" s="49" t="s">
        <v>222</v>
      </c>
      <c r="S503" s="50" t="s">
        <v>222</v>
      </c>
      <c r="T503" s="85"/>
      <c r="U503" s="86"/>
      <c r="V503" s="85"/>
      <c r="W503" s="86"/>
      <c r="X503" s="85"/>
      <c r="Y503" s="70"/>
      <c r="Z503" s="70"/>
      <c r="AA503" s="70"/>
      <c r="AB503" s="70"/>
      <c r="AC503" s="70"/>
      <c r="AD503" s="70"/>
      <c r="AE503" s="14"/>
      <c r="AF503" s="55"/>
      <c r="AG503" s="55"/>
    </row>
    <row r="504" ht="13.5" customHeight="1">
      <c r="A504" s="80">
        <f t="shared" si="20"/>
        <v>499</v>
      </c>
      <c r="B504" s="26"/>
      <c r="C504" s="39"/>
      <c r="D504" s="40"/>
      <c r="E504" s="83"/>
      <c r="F504" s="42"/>
      <c r="G504" s="84"/>
      <c r="H504" s="84"/>
      <c r="I504" s="45"/>
      <c r="J504" s="46" t="s">
        <v>222</v>
      </c>
      <c r="K504" s="40" t="s">
        <v>222</v>
      </c>
      <c r="L504" s="40" t="s">
        <v>222</v>
      </c>
      <c r="M504" s="40" t="s">
        <v>222</v>
      </c>
      <c r="N504" s="40" t="s">
        <v>222</v>
      </c>
      <c r="O504" s="40" t="s">
        <v>222</v>
      </c>
      <c r="P504" s="48"/>
      <c r="Q504" s="48"/>
      <c r="R504" s="49" t="s">
        <v>222</v>
      </c>
      <c r="S504" s="50" t="s">
        <v>222</v>
      </c>
      <c r="T504" s="85"/>
      <c r="U504" s="86"/>
      <c r="V504" s="85"/>
      <c r="W504" s="86"/>
      <c r="X504" s="85"/>
      <c r="Y504" s="70"/>
      <c r="Z504" s="70"/>
      <c r="AA504" s="70"/>
      <c r="AB504" s="70"/>
      <c r="AC504" s="70"/>
      <c r="AD504" s="70"/>
      <c r="AE504" s="14"/>
      <c r="AF504" s="55"/>
      <c r="AG504" s="55"/>
    </row>
    <row r="505" ht="13.5" customHeight="1">
      <c r="A505" s="80">
        <f t="shared" si="20"/>
        <v>500</v>
      </c>
      <c r="B505" s="26"/>
      <c r="C505" s="39"/>
      <c r="D505" s="40"/>
      <c r="E505" s="83"/>
      <c r="F505" s="42"/>
      <c r="G505" s="84"/>
      <c r="H505" s="84"/>
      <c r="I505" s="45"/>
      <c r="J505" s="46" t="s">
        <v>222</v>
      </c>
      <c r="K505" s="40" t="s">
        <v>222</v>
      </c>
      <c r="L505" s="40" t="s">
        <v>222</v>
      </c>
      <c r="M505" s="40" t="s">
        <v>222</v>
      </c>
      <c r="N505" s="40" t="s">
        <v>222</v>
      </c>
      <c r="O505" s="40" t="s">
        <v>222</v>
      </c>
      <c r="P505" s="48"/>
      <c r="Q505" s="48"/>
      <c r="R505" s="49" t="s">
        <v>222</v>
      </c>
      <c r="S505" s="50" t="s">
        <v>222</v>
      </c>
      <c r="T505" s="85"/>
      <c r="U505" s="86"/>
      <c r="V505" s="85"/>
      <c r="W505" s="86"/>
      <c r="X505" s="85"/>
      <c r="Y505" s="70"/>
      <c r="Z505" s="70"/>
      <c r="AA505" s="70"/>
      <c r="AB505" s="70"/>
      <c r="AC505" s="70"/>
      <c r="AD505" s="70"/>
      <c r="AE505" s="14"/>
      <c r="AF505" s="55"/>
      <c r="AG505" s="55"/>
    </row>
    <row r="506" ht="13.5" customHeight="1">
      <c r="A506" s="80">
        <f t="shared" si="20"/>
        <v>501</v>
      </c>
      <c r="B506" s="26"/>
      <c r="C506" s="39"/>
      <c r="D506" s="40"/>
      <c r="E506" s="83"/>
      <c r="F506" s="42"/>
      <c r="G506" s="84"/>
      <c r="H506" s="84"/>
      <c r="I506" s="45"/>
      <c r="J506" s="46" t="s">
        <v>222</v>
      </c>
      <c r="K506" s="40" t="s">
        <v>222</v>
      </c>
      <c r="L506" s="40" t="s">
        <v>222</v>
      </c>
      <c r="M506" s="40" t="s">
        <v>222</v>
      </c>
      <c r="N506" s="40" t="s">
        <v>222</v>
      </c>
      <c r="O506" s="40" t="s">
        <v>222</v>
      </c>
      <c r="P506" s="48"/>
      <c r="Q506" s="48"/>
      <c r="R506" s="49" t="s">
        <v>222</v>
      </c>
      <c r="S506" s="50" t="s">
        <v>222</v>
      </c>
      <c r="T506" s="85"/>
      <c r="U506" s="86"/>
      <c r="V506" s="85"/>
      <c r="W506" s="86"/>
      <c r="X506" s="85"/>
      <c r="Y506" s="70"/>
      <c r="Z506" s="70"/>
      <c r="AA506" s="70"/>
      <c r="AB506" s="70"/>
      <c r="AC506" s="70"/>
      <c r="AD506" s="70"/>
      <c r="AE506" s="14"/>
      <c r="AF506" s="55"/>
      <c r="AG506" s="55"/>
    </row>
    <row r="507" ht="13.5" customHeight="1">
      <c r="A507" s="80">
        <f t="shared" si="20"/>
        <v>502</v>
      </c>
      <c r="B507" s="26"/>
      <c r="C507" s="39"/>
      <c r="D507" s="40"/>
      <c r="E507" s="83"/>
      <c r="F507" s="42"/>
      <c r="G507" s="84"/>
      <c r="H507" s="84"/>
      <c r="I507" s="45"/>
      <c r="J507" s="46" t="s">
        <v>222</v>
      </c>
      <c r="K507" s="40" t="s">
        <v>222</v>
      </c>
      <c r="L507" s="40" t="s">
        <v>222</v>
      </c>
      <c r="M507" s="40" t="s">
        <v>222</v>
      </c>
      <c r="N507" s="40" t="s">
        <v>222</v>
      </c>
      <c r="O507" s="40" t="s">
        <v>222</v>
      </c>
      <c r="P507" s="48"/>
      <c r="Q507" s="48"/>
      <c r="R507" s="49" t="s">
        <v>222</v>
      </c>
      <c r="S507" s="50" t="s">
        <v>222</v>
      </c>
      <c r="T507" s="85"/>
      <c r="U507" s="86"/>
      <c r="V507" s="85"/>
      <c r="W507" s="86"/>
      <c r="X507" s="85"/>
      <c r="Y507" s="70"/>
      <c r="Z507" s="70"/>
      <c r="AA507" s="70"/>
      <c r="AB507" s="70"/>
      <c r="AC507" s="70"/>
      <c r="AD507" s="70"/>
      <c r="AE507" s="14"/>
      <c r="AF507" s="55"/>
      <c r="AG507" s="55"/>
    </row>
    <row r="508" ht="13.5" customHeight="1">
      <c r="A508" s="80">
        <f t="shared" si="20"/>
        <v>503</v>
      </c>
      <c r="B508" s="26"/>
      <c r="C508" s="39"/>
      <c r="D508" s="40"/>
      <c r="E508" s="83"/>
      <c r="F508" s="42"/>
      <c r="G508" s="84"/>
      <c r="H508" s="84"/>
      <c r="I508" s="45"/>
      <c r="J508" s="46" t="s">
        <v>222</v>
      </c>
      <c r="K508" s="40" t="s">
        <v>222</v>
      </c>
      <c r="L508" s="40" t="s">
        <v>222</v>
      </c>
      <c r="M508" s="40" t="s">
        <v>222</v>
      </c>
      <c r="N508" s="40" t="s">
        <v>222</v>
      </c>
      <c r="O508" s="40" t="s">
        <v>222</v>
      </c>
      <c r="P508" s="48"/>
      <c r="Q508" s="48"/>
      <c r="R508" s="49" t="s">
        <v>222</v>
      </c>
      <c r="S508" s="50" t="s">
        <v>222</v>
      </c>
      <c r="T508" s="85"/>
      <c r="U508" s="86"/>
      <c r="V508" s="85"/>
      <c r="W508" s="86"/>
      <c r="X508" s="85"/>
      <c r="Y508" s="70"/>
      <c r="Z508" s="70"/>
      <c r="AA508" s="70"/>
      <c r="AB508" s="70"/>
      <c r="AC508" s="70"/>
      <c r="AD508" s="70"/>
      <c r="AE508" s="14"/>
      <c r="AF508" s="55"/>
      <c r="AG508" s="55"/>
    </row>
    <row r="509" ht="13.5" customHeight="1">
      <c r="A509" s="80">
        <f t="shared" si="20"/>
        <v>504</v>
      </c>
      <c r="B509" s="26"/>
      <c r="C509" s="39"/>
      <c r="D509" s="40"/>
      <c r="E509" s="83"/>
      <c r="F509" s="42"/>
      <c r="G509" s="84"/>
      <c r="H509" s="84"/>
      <c r="I509" s="45"/>
      <c r="J509" s="46" t="s">
        <v>222</v>
      </c>
      <c r="K509" s="40" t="s">
        <v>222</v>
      </c>
      <c r="L509" s="40" t="s">
        <v>222</v>
      </c>
      <c r="M509" s="40" t="s">
        <v>222</v>
      </c>
      <c r="N509" s="40" t="s">
        <v>222</v>
      </c>
      <c r="O509" s="40" t="s">
        <v>222</v>
      </c>
      <c r="P509" s="48"/>
      <c r="Q509" s="48"/>
      <c r="R509" s="49" t="s">
        <v>222</v>
      </c>
      <c r="S509" s="50" t="s">
        <v>222</v>
      </c>
      <c r="T509" s="85"/>
      <c r="U509" s="86"/>
      <c r="V509" s="85"/>
      <c r="W509" s="86"/>
      <c r="X509" s="85"/>
      <c r="Y509" s="70"/>
      <c r="Z509" s="70"/>
      <c r="AA509" s="70"/>
      <c r="AB509" s="70"/>
      <c r="AC509" s="70"/>
      <c r="AD509" s="70"/>
      <c r="AE509" s="14"/>
      <c r="AF509" s="55"/>
      <c r="AG509" s="55"/>
    </row>
    <row r="510" ht="13.5" customHeight="1">
      <c r="A510" s="80">
        <f t="shared" si="20"/>
        <v>505</v>
      </c>
      <c r="B510" s="26"/>
      <c r="C510" s="39"/>
      <c r="D510" s="40"/>
      <c r="E510" s="83"/>
      <c r="F510" s="42"/>
      <c r="G510" s="84"/>
      <c r="H510" s="84"/>
      <c r="I510" s="45"/>
      <c r="J510" s="46" t="s">
        <v>222</v>
      </c>
      <c r="K510" s="40" t="s">
        <v>222</v>
      </c>
      <c r="L510" s="40" t="s">
        <v>222</v>
      </c>
      <c r="M510" s="40" t="s">
        <v>222</v>
      </c>
      <c r="N510" s="40" t="s">
        <v>222</v>
      </c>
      <c r="O510" s="40" t="s">
        <v>222</v>
      </c>
      <c r="P510" s="48"/>
      <c r="Q510" s="48"/>
      <c r="R510" s="49" t="s">
        <v>222</v>
      </c>
      <c r="S510" s="50" t="s">
        <v>222</v>
      </c>
      <c r="T510" s="85"/>
      <c r="U510" s="86"/>
      <c r="V510" s="85"/>
      <c r="W510" s="86"/>
      <c r="X510" s="85"/>
      <c r="Y510" s="70"/>
      <c r="Z510" s="70"/>
      <c r="AA510" s="70"/>
      <c r="AB510" s="70"/>
      <c r="AC510" s="70"/>
      <c r="AD510" s="70"/>
      <c r="AE510" s="14"/>
      <c r="AF510" s="55"/>
      <c r="AG510" s="55"/>
    </row>
    <row r="511" ht="13.5" customHeight="1">
      <c r="A511" s="80">
        <f t="shared" si="20"/>
        <v>506</v>
      </c>
      <c r="B511" s="26"/>
      <c r="C511" s="39"/>
      <c r="D511" s="40"/>
      <c r="E511" s="83"/>
      <c r="F511" s="42"/>
      <c r="G511" s="84"/>
      <c r="H511" s="84"/>
      <c r="I511" s="45"/>
      <c r="J511" s="46" t="s">
        <v>222</v>
      </c>
      <c r="K511" s="40" t="s">
        <v>222</v>
      </c>
      <c r="L511" s="40" t="s">
        <v>222</v>
      </c>
      <c r="M511" s="40" t="s">
        <v>222</v>
      </c>
      <c r="N511" s="40" t="s">
        <v>222</v>
      </c>
      <c r="O511" s="40" t="s">
        <v>222</v>
      </c>
      <c r="P511" s="48"/>
      <c r="Q511" s="48"/>
      <c r="R511" s="49" t="s">
        <v>222</v>
      </c>
      <c r="S511" s="50" t="s">
        <v>222</v>
      </c>
      <c r="T511" s="85"/>
      <c r="U511" s="86"/>
      <c r="V511" s="85"/>
      <c r="W511" s="86"/>
      <c r="X511" s="85"/>
      <c r="Y511" s="70"/>
      <c r="Z511" s="70"/>
      <c r="AA511" s="70"/>
      <c r="AB511" s="70"/>
      <c r="AC511" s="70"/>
      <c r="AD511" s="70"/>
      <c r="AE511" s="14"/>
      <c r="AF511" s="55"/>
      <c r="AG511" s="55"/>
    </row>
    <row r="512" ht="13.5" customHeight="1">
      <c r="A512" s="80">
        <f t="shared" si="20"/>
        <v>507</v>
      </c>
      <c r="B512" s="26"/>
      <c r="C512" s="39"/>
      <c r="D512" s="40"/>
      <c r="E512" s="83"/>
      <c r="F512" s="42"/>
      <c r="G512" s="84"/>
      <c r="H512" s="84"/>
      <c r="I512" s="45"/>
      <c r="J512" s="46" t="s">
        <v>222</v>
      </c>
      <c r="K512" s="40" t="s">
        <v>222</v>
      </c>
      <c r="L512" s="40" t="s">
        <v>222</v>
      </c>
      <c r="M512" s="40" t="s">
        <v>222</v>
      </c>
      <c r="N512" s="40" t="s">
        <v>222</v>
      </c>
      <c r="O512" s="40" t="s">
        <v>222</v>
      </c>
      <c r="P512" s="48"/>
      <c r="Q512" s="48"/>
      <c r="R512" s="49" t="s">
        <v>222</v>
      </c>
      <c r="S512" s="50" t="s">
        <v>222</v>
      </c>
      <c r="T512" s="85"/>
      <c r="U512" s="86"/>
      <c r="V512" s="85"/>
      <c r="W512" s="86"/>
      <c r="X512" s="85"/>
      <c r="Y512" s="70"/>
      <c r="Z512" s="70"/>
      <c r="AA512" s="70"/>
      <c r="AB512" s="70"/>
      <c r="AC512" s="70"/>
      <c r="AD512" s="70"/>
      <c r="AE512" s="14"/>
      <c r="AF512" s="55"/>
      <c r="AG512" s="55"/>
    </row>
    <row r="513" ht="13.5" customHeight="1">
      <c r="A513" s="80">
        <f t="shared" si="20"/>
        <v>508</v>
      </c>
      <c r="B513" s="26"/>
      <c r="C513" s="39"/>
      <c r="D513" s="40"/>
      <c r="E513" s="83"/>
      <c r="F513" s="42"/>
      <c r="G513" s="84"/>
      <c r="H513" s="84"/>
      <c r="I513" s="45"/>
      <c r="J513" s="46" t="s">
        <v>222</v>
      </c>
      <c r="K513" s="40" t="s">
        <v>222</v>
      </c>
      <c r="L513" s="40" t="s">
        <v>222</v>
      </c>
      <c r="M513" s="40" t="s">
        <v>222</v>
      </c>
      <c r="N513" s="40" t="s">
        <v>222</v>
      </c>
      <c r="O513" s="40" t="s">
        <v>222</v>
      </c>
      <c r="P513" s="48"/>
      <c r="Q513" s="48"/>
      <c r="R513" s="49" t="s">
        <v>222</v>
      </c>
      <c r="S513" s="50" t="s">
        <v>222</v>
      </c>
      <c r="T513" s="85"/>
      <c r="U513" s="86"/>
      <c r="V513" s="85"/>
      <c r="W513" s="86"/>
      <c r="X513" s="85"/>
      <c r="Y513" s="70"/>
      <c r="Z513" s="70"/>
      <c r="AA513" s="70"/>
      <c r="AB513" s="70"/>
      <c r="AC513" s="70"/>
      <c r="AD513" s="70"/>
      <c r="AE513" s="14"/>
      <c r="AF513" s="55"/>
      <c r="AG513" s="55"/>
    </row>
    <row r="514" ht="13.5" customHeight="1">
      <c r="A514" s="80">
        <f t="shared" si="20"/>
        <v>509</v>
      </c>
      <c r="B514" s="26"/>
      <c r="C514" s="39"/>
      <c r="D514" s="40"/>
      <c r="E514" s="83"/>
      <c r="F514" s="42"/>
      <c r="G514" s="84"/>
      <c r="H514" s="84"/>
      <c r="I514" s="45"/>
      <c r="J514" s="46" t="s">
        <v>222</v>
      </c>
      <c r="K514" s="40" t="s">
        <v>222</v>
      </c>
      <c r="L514" s="40" t="s">
        <v>222</v>
      </c>
      <c r="M514" s="40" t="s">
        <v>222</v>
      </c>
      <c r="N514" s="40" t="s">
        <v>222</v>
      </c>
      <c r="O514" s="40" t="s">
        <v>222</v>
      </c>
      <c r="P514" s="48"/>
      <c r="Q514" s="48"/>
      <c r="R514" s="49" t="s">
        <v>222</v>
      </c>
      <c r="S514" s="50" t="s">
        <v>222</v>
      </c>
      <c r="T514" s="85"/>
      <c r="U514" s="86"/>
      <c r="V514" s="85"/>
      <c r="W514" s="86"/>
      <c r="X514" s="85"/>
      <c r="Y514" s="70"/>
      <c r="Z514" s="70"/>
      <c r="AA514" s="70"/>
      <c r="AB514" s="70"/>
      <c r="AC514" s="70"/>
      <c r="AD514" s="70"/>
      <c r="AE514" s="14"/>
      <c r="AF514" s="55"/>
      <c r="AG514" s="55"/>
    </row>
    <row r="515" ht="13.5" customHeight="1">
      <c r="A515" s="80">
        <f t="shared" si="20"/>
        <v>510</v>
      </c>
      <c r="B515" s="26"/>
      <c r="C515" s="39"/>
      <c r="D515" s="40"/>
      <c r="E515" s="83"/>
      <c r="F515" s="42"/>
      <c r="G515" s="84"/>
      <c r="H515" s="84"/>
      <c r="I515" s="45"/>
      <c r="J515" s="46" t="s">
        <v>222</v>
      </c>
      <c r="K515" s="40" t="s">
        <v>222</v>
      </c>
      <c r="L515" s="40" t="s">
        <v>222</v>
      </c>
      <c r="M515" s="40" t="s">
        <v>222</v>
      </c>
      <c r="N515" s="40" t="s">
        <v>222</v>
      </c>
      <c r="O515" s="40" t="s">
        <v>222</v>
      </c>
      <c r="P515" s="48"/>
      <c r="Q515" s="48"/>
      <c r="R515" s="49" t="s">
        <v>222</v>
      </c>
      <c r="S515" s="50" t="s">
        <v>222</v>
      </c>
      <c r="T515" s="85"/>
      <c r="U515" s="86"/>
      <c r="V515" s="85"/>
      <c r="W515" s="86"/>
      <c r="X515" s="85"/>
      <c r="Y515" s="70"/>
      <c r="Z515" s="70"/>
      <c r="AA515" s="70"/>
      <c r="AB515" s="70"/>
      <c r="AC515" s="70"/>
      <c r="AD515" s="70"/>
      <c r="AE515" s="14"/>
      <c r="AF515" s="55"/>
      <c r="AG515" s="55"/>
    </row>
    <row r="516" ht="13.5" customHeight="1">
      <c r="A516" s="80">
        <f t="shared" si="20"/>
        <v>511</v>
      </c>
      <c r="B516" s="26"/>
      <c r="C516" s="39"/>
      <c r="D516" s="40"/>
      <c r="E516" s="83"/>
      <c r="F516" s="42"/>
      <c r="G516" s="84"/>
      <c r="H516" s="84"/>
      <c r="I516" s="45"/>
      <c r="J516" s="46" t="s">
        <v>222</v>
      </c>
      <c r="K516" s="40" t="s">
        <v>222</v>
      </c>
      <c r="L516" s="40" t="s">
        <v>222</v>
      </c>
      <c r="M516" s="40" t="s">
        <v>222</v>
      </c>
      <c r="N516" s="40" t="s">
        <v>222</v>
      </c>
      <c r="O516" s="40" t="s">
        <v>222</v>
      </c>
      <c r="P516" s="48"/>
      <c r="Q516" s="48"/>
      <c r="R516" s="49" t="s">
        <v>222</v>
      </c>
      <c r="S516" s="50" t="s">
        <v>222</v>
      </c>
      <c r="T516" s="85"/>
      <c r="U516" s="86"/>
      <c r="V516" s="85"/>
      <c r="W516" s="86"/>
      <c r="X516" s="85"/>
      <c r="Y516" s="70"/>
      <c r="Z516" s="70"/>
      <c r="AA516" s="70"/>
      <c r="AB516" s="70"/>
      <c r="AC516" s="70"/>
      <c r="AD516" s="70"/>
      <c r="AE516" s="14"/>
      <c r="AF516" s="55"/>
      <c r="AG516" s="55"/>
    </row>
    <row r="517" ht="13.5" customHeight="1">
      <c r="A517" s="80">
        <f t="shared" si="20"/>
        <v>512</v>
      </c>
      <c r="B517" s="26"/>
      <c r="C517" s="39"/>
      <c r="D517" s="40"/>
      <c r="E517" s="83"/>
      <c r="F517" s="42"/>
      <c r="G517" s="84"/>
      <c r="H517" s="84"/>
      <c r="I517" s="45"/>
      <c r="J517" s="46" t="s">
        <v>222</v>
      </c>
      <c r="K517" s="40" t="s">
        <v>222</v>
      </c>
      <c r="L517" s="40" t="s">
        <v>222</v>
      </c>
      <c r="M517" s="40" t="s">
        <v>222</v>
      </c>
      <c r="N517" s="40" t="s">
        <v>222</v>
      </c>
      <c r="O517" s="40" t="s">
        <v>222</v>
      </c>
      <c r="P517" s="48"/>
      <c r="Q517" s="48"/>
      <c r="R517" s="49" t="s">
        <v>222</v>
      </c>
      <c r="S517" s="50" t="s">
        <v>222</v>
      </c>
      <c r="T517" s="85"/>
      <c r="U517" s="86"/>
      <c r="V517" s="85"/>
      <c r="W517" s="86"/>
      <c r="X517" s="85"/>
      <c r="Y517" s="70"/>
      <c r="Z517" s="70"/>
      <c r="AA517" s="70"/>
      <c r="AB517" s="70"/>
      <c r="AC517" s="70"/>
      <c r="AD517" s="70"/>
      <c r="AE517" s="14"/>
      <c r="AF517" s="55"/>
      <c r="AG517" s="55"/>
    </row>
    <row r="518" ht="13.5" customHeight="1">
      <c r="A518" s="80">
        <f t="shared" si="20"/>
        <v>513</v>
      </c>
      <c r="B518" s="26"/>
      <c r="C518" s="39"/>
      <c r="D518" s="40"/>
      <c r="E518" s="83"/>
      <c r="F518" s="42"/>
      <c r="G518" s="84"/>
      <c r="H518" s="84"/>
      <c r="I518" s="45"/>
      <c r="J518" s="46" t="s">
        <v>222</v>
      </c>
      <c r="K518" s="40" t="s">
        <v>222</v>
      </c>
      <c r="L518" s="40" t="s">
        <v>222</v>
      </c>
      <c r="M518" s="40" t="s">
        <v>222</v>
      </c>
      <c r="N518" s="40" t="s">
        <v>222</v>
      </c>
      <c r="O518" s="40" t="s">
        <v>222</v>
      </c>
      <c r="P518" s="48"/>
      <c r="Q518" s="48"/>
      <c r="R518" s="49" t="s">
        <v>222</v>
      </c>
      <c r="S518" s="50" t="s">
        <v>222</v>
      </c>
      <c r="T518" s="85"/>
      <c r="U518" s="86"/>
      <c r="V518" s="85"/>
      <c r="W518" s="86"/>
      <c r="X518" s="85"/>
      <c r="Y518" s="70"/>
      <c r="Z518" s="70"/>
      <c r="AA518" s="70"/>
      <c r="AB518" s="70"/>
      <c r="AC518" s="70"/>
      <c r="AD518" s="70"/>
      <c r="AE518" s="14"/>
      <c r="AF518" s="55"/>
      <c r="AG518" s="55"/>
    </row>
    <row r="519" ht="13.5" customHeight="1">
      <c r="A519" s="80">
        <f t="shared" si="20"/>
        <v>514</v>
      </c>
      <c r="B519" s="26"/>
      <c r="C519" s="39"/>
      <c r="D519" s="40"/>
      <c r="E519" s="83"/>
      <c r="F519" s="42"/>
      <c r="G519" s="84"/>
      <c r="H519" s="84"/>
      <c r="I519" s="45"/>
      <c r="J519" s="46" t="s">
        <v>222</v>
      </c>
      <c r="K519" s="40" t="s">
        <v>222</v>
      </c>
      <c r="L519" s="40" t="s">
        <v>222</v>
      </c>
      <c r="M519" s="40" t="s">
        <v>222</v>
      </c>
      <c r="N519" s="40" t="s">
        <v>222</v>
      </c>
      <c r="O519" s="40" t="s">
        <v>222</v>
      </c>
      <c r="P519" s="48"/>
      <c r="Q519" s="48"/>
      <c r="R519" s="49" t="s">
        <v>222</v>
      </c>
      <c r="S519" s="50" t="s">
        <v>222</v>
      </c>
      <c r="T519" s="85"/>
      <c r="U519" s="86"/>
      <c r="V519" s="85"/>
      <c r="W519" s="86"/>
      <c r="X519" s="85"/>
      <c r="Y519" s="70"/>
      <c r="Z519" s="70"/>
      <c r="AA519" s="70"/>
      <c r="AB519" s="70"/>
      <c r="AC519" s="70"/>
      <c r="AD519" s="70"/>
      <c r="AE519" s="14"/>
      <c r="AF519" s="55"/>
      <c r="AG519" s="55"/>
    </row>
    <row r="520" ht="13.5" customHeight="1">
      <c r="A520" s="80">
        <f t="shared" si="20"/>
        <v>515</v>
      </c>
      <c r="B520" s="26"/>
      <c r="C520" s="39"/>
      <c r="D520" s="40"/>
      <c r="E520" s="83"/>
      <c r="F520" s="42"/>
      <c r="G520" s="84"/>
      <c r="H520" s="84"/>
      <c r="I520" s="45"/>
      <c r="J520" s="46" t="s">
        <v>222</v>
      </c>
      <c r="K520" s="40" t="s">
        <v>222</v>
      </c>
      <c r="L520" s="40" t="s">
        <v>222</v>
      </c>
      <c r="M520" s="40" t="s">
        <v>222</v>
      </c>
      <c r="N520" s="40" t="s">
        <v>222</v>
      </c>
      <c r="O520" s="40" t="s">
        <v>222</v>
      </c>
      <c r="P520" s="48"/>
      <c r="Q520" s="48"/>
      <c r="R520" s="49" t="s">
        <v>222</v>
      </c>
      <c r="S520" s="50" t="s">
        <v>222</v>
      </c>
      <c r="T520" s="85"/>
      <c r="U520" s="86"/>
      <c r="V520" s="85"/>
      <c r="W520" s="86"/>
      <c r="X520" s="85"/>
      <c r="Y520" s="70"/>
      <c r="Z520" s="70"/>
      <c r="AA520" s="70"/>
      <c r="AB520" s="70"/>
      <c r="AC520" s="70"/>
      <c r="AD520" s="70"/>
      <c r="AE520" s="14"/>
      <c r="AF520" s="55"/>
      <c r="AG520" s="55"/>
    </row>
    <row r="521" ht="13.5" customHeight="1">
      <c r="A521" s="80">
        <f t="shared" si="20"/>
        <v>516</v>
      </c>
      <c r="B521" s="26"/>
      <c r="C521" s="39"/>
      <c r="D521" s="40"/>
      <c r="E521" s="83"/>
      <c r="F521" s="42"/>
      <c r="G521" s="84"/>
      <c r="H521" s="84"/>
      <c r="I521" s="45"/>
      <c r="J521" s="46" t="s">
        <v>222</v>
      </c>
      <c r="K521" s="40" t="s">
        <v>222</v>
      </c>
      <c r="L521" s="40" t="s">
        <v>222</v>
      </c>
      <c r="M521" s="40" t="s">
        <v>222</v>
      </c>
      <c r="N521" s="40" t="s">
        <v>222</v>
      </c>
      <c r="O521" s="40" t="s">
        <v>222</v>
      </c>
      <c r="P521" s="48"/>
      <c r="Q521" s="48"/>
      <c r="R521" s="49" t="s">
        <v>222</v>
      </c>
      <c r="S521" s="50" t="s">
        <v>222</v>
      </c>
      <c r="T521" s="85"/>
      <c r="U521" s="86"/>
      <c r="V521" s="85"/>
      <c r="W521" s="86"/>
      <c r="X521" s="85"/>
      <c r="Y521" s="70"/>
      <c r="Z521" s="70"/>
      <c r="AA521" s="70"/>
      <c r="AB521" s="70"/>
      <c r="AC521" s="70"/>
      <c r="AD521" s="70"/>
      <c r="AE521" s="14"/>
      <c r="AF521" s="55"/>
      <c r="AG521" s="55"/>
    </row>
    <row r="522" ht="13.5" customHeight="1">
      <c r="A522" s="80">
        <f t="shared" si="20"/>
        <v>517</v>
      </c>
      <c r="B522" s="26"/>
      <c r="C522" s="39"/>
      <c r="D522" s="40"/>
      <c r="E522" s="83"/>
      <c r="F522" s="42"/>
      <c r="G522" s="84"/>
      <c r="H522" s="84"/>
      <c r="I522" s="45"/>
      <c r="J522" s="46" t="s">
        <v>222</v>
      </c>
      <c r="K522" s="40" t="s">
        <v>222</v>
      </c>
      <c r="L522" s="40" t="s">
        <v>222</v>
      </c>
      <c r="M522" s="40" t="s">
        <v>222</v>
      </c>
      <c r="N522" s="40" t="s">
        <v>222</v>
      </c>
      <c r="O522" s="40" t="s">
        <v>222</v>
      </c>
      <c r="P522" s="48"/>
      <c r="Q522" s="48"/>
      <c r="R522" s="49" t="s">
        <v>222</v>
      </c>
      <c r="S522" s="50" t="s">
        <v>222</v>
      </c>
      <c r="T522" s="85"/>
      <c r="U522" s="86"/>
      <c r="V522" s="85"/>
      <c r="W522" s="86"/>
      <c r="X522" s="85"/>
      <c r="Y522" s="70"/>
      <c r="Z522" s="70"/>
      <c r="AA522" s="70"/>
      <c r="AB522" s="70"/>
      <c r="AC522" s="70"/>
      <c r="AD522" s="70"/>
      <c r="AE522" s="14"/>
      <c r="AF522" s="55"/>
      <c r="AG522" s="55"/>
    </row>
    <row r="523" ht="13.5" customHeight="1">
      <c r="A523" s="80">
        <f t="shared" si="20"/>
        <v>518</v>
      </c>
      <c r="B523" s="26"/>
      <c r="C523" s="39"/>
      <c r="D523" s="40"/>
      <c r="E523" s="83"/>
      <c r="F523" s="42"/>
      <c r="G523" s="84"/>
      <c r="H523" s="84"/>
      <c r="I523" s="45"/>
      <c r="J523" s="46" t="s">
        <v>222</v>
      </c>
      <c r="K523" s="40" t="s">
        <v>222</v>
      </c>
      <c r="L523" s="40" t="s">
        <v>222</v>
      </c>
      <c r="M523" s="40" t="s">
        <v>222</v>
      </c>
      <c r="N523" s="40" t="s">
        <v>222</v>
      </c>
      <c r="O523" s="40" t="s">
        <v>222</v>
      </c>
      <c r="P523" s="48"/>
      <c r="Q523" s="48"/>
      <c r="R523" s="49" t="s">
        <v>222</v>
      </c>
      <c r="S523" s="50" t="s">
        <v>222</v>
      </c>
      <c r="T523" s="85"/>
      <c r="U523" s="86"/>
      <c r="V523" s="85"/>
      <c r="W523" s="86"/>
      <c r="X523" s="85"/>
      <c r="Y523" s="70"/>
      <c r="Z523" s="70"/>
      <c r="AA523" s="70"/>
      <c r="AB523" s="70"/>
      <c r="AC523" s="70"/>
      <c r="AD523" s="70"/>
      <c r="AE523" s="14"/>
      <c r="AF523" s="55"/>
      <c r="AG523" s="55"/>
    </row>
    <row r="524" ht="13.5" customHeight="1">
      <c r="A524" s="80">
        <f t="shared" si="20"/>
        <v>519</v>
      </c>
      <c r="B524" s="26"/>
      <c r="C524" s="39"/>
      <c r="D524" s="40"/>
      <c r="E524" s="83"/>
      <c r="F524" s="42"/>
      <c r="G524" s="84"/>
      <c r="H524" s="84"/>
      <c r="I524" s="45"/>
      <c r="J524" s="46" t="s">
        <v>222</v>
      </c>
      <c r="K524" s="40" t="s">
        <v>222</v>
      </c>
      <c r="L524" s="40" t="s">
        <v>222</v>
      </c>
      <c r="M524" s="40" t="s">
        <v>222</v>
      </c>
      <c r="N524" s="40" t="s">
        <v>222</v>
      </c>
      <c r="O524" s="40" t="s">
        <v>222</v>
      </c>
      <c r="P524" s="48"/>
      <c r="Q524" s="48"/>
      <c r="R524" s="49" t="s">
        <v>222</v>
      </c>
      <c r="S524" s="50" t="s">
        <v>222</v>
      </c>
      <c r="T524" s="85"/>
      <c r="U524" s="86"/>
      <c r="V524" s="85"/>
      <c r="W524" s="86"/>
      <c r="X524" s="85"/>
      <c r="Y524" s="70"/>
      <c r="Z524" s="70"/>
      <c r="AA524" s="70"/>
      <c r="AB524" s="70"/>
      <c r="AC524" s="70"/>
      <c r="AD524" s="70"/>
      <c r="AE524" s="14"/>
      <c r="AF524" s="55"/>
      <c r="AG524" s="55"/>
    </row>
    <row r="525" ht="13.5" customHeight="1">
      <c r="A525" s="80">
        <f t="shared" si="20"/>
        <v>520</v>
      </c>
      <c r="B525" s="26"/>
      <c r="C525" s="39"/>
      <c r="D525" s="40"/>
      <c r="E525" s="83"/>
      <c r="F525" s="42"/>
      <c r="G525" s="84"/>
      <c r="H525" s="84"/>
      <c r="I525" s="45"/>
      <c r="J525" s="46" t="s">
        <v>222</v>
      </c>
      <c r="K525" s="40" t="s">
        <v>222</v>
      </c>
      <c r="L525" s="40" t="s">
        <v>222</v>
      </c>
      <c r="M525" s="40" t="s">
        <v>222</v>
      </c>
      <c r="N525" s="40" t="s">
        <v>222</v>
      </c>
      <c r="O525" s="40" t="s">
        <v>222</v>
      </c>
      <c r="P525" s="48"/>
      <c r="Q525" s="48"/>
      <c r="R525" s="49" t="s">
        <v>222</v>
      </c>
      <c r="S525" s="50" t="s">
        <v>222</v>
      </c>
      <c r="T525" s="85"/>
      <c r="U525" s="86"/>
      <c r="V525" s="85"/>
      <c r="W525" s="86"/>
      <c r="X525" s="85"/>
      <c r="Y525" s="70"/>
      <c r="Z525" s="70"/>
      <c r="AA525" s="70"/>
      <c r="AB525" s="70"/>
      <c r="AC525" s="70"/>
      <c r="AD525" s="70"/>
      <c r="AE525" s="14"/>
      <c r="AF525" s="55"/>
      <c r="AG525" s="55"/>
    </row>
    <row r="526" ht="13.5" customHeight="1">
      <c r="A526" s="80">
        <f t="shared" si="20"/>
        <v>521</v>
      </c>
      <c r="B526" s="26"/>
      <c r="C526" s="39"/>
      <c r="D526" s="40"/>
      <c r="E526" s="83"/>
      <c r="F526" s="42"/>
      <c r="G526" s="84"/>
      <c r="H526" s="84"/>
      <c r="I526" s="45"/>
      <c r="J526" s="46" t="s">
        <v>222</v>
      </c>
      <c r="K526" s="40" t="s">
        <v>222</v>
      </c>
      <c r="L526" s="40" t="s">
        <v>222</v>
      </c>
      <c r="M526" s="40" t="s">
        <v>222</v>
      </c>
      <c r="N526" s="40" t="s">
        <v>222</v>
      </c>
      <c r="O526" s="40" t="s">
        <v>222</v>
      </c>
      <c r="P526" s="48"/>
      <c r="Q526" s="48"/>
      <c r="R526" s="49" t="s">
        <v>222</v>
      </c>
      <c r="S526" s="50" t="s">
        <v>222</v>
      </c>
      <c r="T526" s="85"/>
      <c r="U526" s="86"/>
      <c r="V526" s="85"/>
      <c r="W526" s="86"/>
      <c r="X526" s="85"/>
      <c r="Y526" s="70"/>
      <c r="Z526" s="70"/>
      <c r="AA526" s="70"/>
      <c r="AB526" s="70"/>
      <c r="AC526" s="70"/>
      <c r="AD526" s="70"/>
      <c r="AE526" s="14"/>
      <c r="AF526" s="55"/>
      <c r="AG526" s="55"/>
    </row>
    <row r="527" ht="13.5" customHeight="1">
      <c r="A527" s="80">
        <f t="shared" si="20"/>
        <v>522</v>
      </c>
      <c r="B527" s="26"/>
      <c r="C527" s="39"/>
      <c r="D527" s="40"/>
      <c r="E527" s="83"/>
      <c r="F527" s="42"/>
      <c r="G527" s="84"/>
      <c r="H527" s="84"/>
      <c r="I527" s="45"/>
      <c r="J527" s="46" t="s">
        <v>222</v>
      </c>
      <c r="K527" s="40" t="s">
        <v>222</v>
      </c>
      <c r="L527" s="40" t="s">
        <v>222</v>
      </c>
      <c r="M527" s="40" t="s">
        <v>222</v>
      </c>
      <c r="N527" s="40" t="s">
        <v>222</v>
      </c>
      <c r="O527" s="40" t="s">
        <v>222</v>
      </c>
      <c r="P527" s="48"/>
      <c r="Q527" s="48"/>
      <c r="R527" s="49" t="s">
        <v>222</v>
      </c>
      <c r="S527" s="50" t="s">
        <v>222</v>
      </c>
      <c r="T527" s="85"/>
      <c r="U527" s="86"/>
      <c r="V527" s="85"/>
      <c r="W527" s="86"/>
      <c r="X527" s="85"/>
      <c r="Y527" s="70"/>
      <c r="Z527" s="70"/>
      <c r="AA527" s="70"/>
      <c r="AB527" s="70"/>
      <c r="AC527" s="70"/>
      <c r="AD527" s="70"/>
      <c r="AE527" s="14"/>
      <c r="AF527" s="55"/>
      <c r="AG527" s="55"/>
    </row>
    <row r="528" ht="13.5" customHeight="1">
      <c r="A528" s="80">
        <f t="shared" si="20"/>
        <v>523</v>
      </c>
      <c r="B528" s="26"/>
      <c r="C528" s="39"/>
      <c r="D528" s="40"/>
      <c r="E528" s="83"/>
      <c r="F528" s="42"/>
      <c r="G528" s="84"/>
      <c r="H528" s="84"/>
      <c r="I528" s="45"/>
      <c r="J528" s="46" t="s">
        <v>222</v>
      </c>
      <c r="K528" s="40" t="s">
        <v>222</v>
      </c>
      <c r="L528" s="40" t="s">
        <v>222</v>
      </c>
      <c r="M528" s="40" t="s">
        <v>222</v>
      </c>
      <c r="N528" s="40" t="s">
        <v>222</v>
      </c>
      <c r="O528" s="40" t="s">
        <v>222</v>
      </c>
      <c r="P528" s="48"/>
      <c r="Q528" s="48"/>
      <c r="R528" s="49" t="s">
        <v>222</v>
      </c>
      <c r="S528" s="50" t="s">
        <v>222</v>
      </c>
      <c r="T528" s="85"/>
      <c r="U528" s="86"/>
      <c r="V528" s="85"/>
      <c r="W528" s="86"/>
      <c r="X528" s="85"/>
      <c r="Y528" s="70"/>
      <c r="Z528" s="70"/>
      <c r="AA528" s="70"/>
      <c r="AB528" s="70"/>
      <c r="AC528" s="70"/>
      <c r="AD528" s="70"/>
      <c r="AE528" s="14"/>
      <c r="AF528" s="55"/>
      <c r="AG528" s="55"/>
    </row>
    <row r="529" ht="13.5" customHeight="1">
      <c r="A529" s="80">
        <f t="shared" si="20"/>
        <v>524</v>
      </c>
      <c r="B529" s="26"/>
      <c r="C529" s="39"/>
      <c r="D529" s="40"/>
      <c r="E529" s="83"/>
      <c r="F529" s="42"/>
      <c r="G529" s="84"/>
      <c r="H529" s="84"/>
      <c r="I529" s="45"/>
      <c r="J529" s="46" t="s">
        <v>222</v>
      </c>
      <c r="K529" s="40" t="s">
        <v>222</v>
      </c>
      <c r="L529" s="40" t="s">
        <v>222</v>
      </c>
      <c r="M529" s="40" t="s">
        <v>222</v>
      </c>
      <c r="N529" s="40" t="s">
        <v>222</v>
      </c>
      <c r="O529" s="40" t="s">
        <v>222</v>
      </c>
      <c r="P529" s="48"/>
      <c r="Q529" s="48"/>
      <c r="R529" s="49" t="s">
        <v>222</v>
      </c>
      <c r="S529" s="50" t="s">
        <v>222</v>
      </c>
      <c r="T529" s="85"/>
      <c r="U529" s="86"/>
      <c r="V529" s="85"/>
      <c r="W529" s="86"/>
      <c r="X529" s="85"/>
      <c r="Y529" s="70"/>
      <c r="Z529" s="70"/>
      <c r="AA529" s="70"/>
      <c r="AB529" s="70"/>
      <c r="AC529" s="70"/>
      <c r="AD529" s="70"/>
      <c r="AE529" s="14"/>
      <c r="AF529" s="55"/>
      <c r="AG529" s="55"/>
    </row>
    <row r="530" ht="13.5" customHeight="1">
      <c r="A530" s="80">
        <f t="shared" si="20"/>
        <v>525</v>
      </c>
      <c r="B530" s="26"/>
      <c r="C530" s="39"/>
      <c r="D530" s="40"/>
      <c r="E530" s="83"/>
      <c r="F530" s="42"/>
      <c r="G530" s="84"/>
      <c r="H530" s="84"/>
      <c r="I530" s="45"/>
      <c r="J530" s="46" t="s">
        <v>222</v>
      </c>
      <c r="K530" s="40" t="s">
        <v>222</v>
      </c>
      <c r="L530" s="40" t="s">
        <v>222</v>
      </c>
      <c r="M530" s="40" t="s">
        <v>222</v>
      </c>
      <c r="N530" s="40" t="s">
        <v>222</v>
      </c>
      <c r="O530" s="40" t="s">
        <v>222</v>
      </c>
      <c r="P530" s="48"/>
      <c r="Q530" s="48"/>
      <c r="R530" s="49" t="s">
        <v>222</v>
      </c>
      <c r="S530" s="50" t="s">
        <v>222</v>
      </c>
      <c r="T530" s="85"/>
      <c r="U530" s="86"/>
      <c r="V530" s="85"/>
      <c r="W530" s="86"/>
      <c r="X530" s="85"/>
      <c r="Y530" s="70"/>
      <c r="Z530" s="70"/>
      <c r="AA530" s="70"/>
      <c r="AB530" s="70"/>
      <c r="AC530" s="70"/>
      <c r="AD530" s="70"/>
      <c r="AE530" s="14"/>
      <c r="AF530" s="55"/>
      <c r="AG530" s="55"/>
    </row>
    <row r="531" ht="13.5" customHeight="1">
      <c r="A531" s="80">
        <f t="shared" si="20"/>
        <v>526</v>
      </c>
      <c r="B531" s="26"/>
      <c r="C531" s="39"/>
      <c r="D531" s="40"/>
      <c r="E531" s="83"/>
      <c r="F531" s="42"/>
      <c r="G531" s="84"/>
      <c r="H531" s="84"/>
      <c r="I531" s="45"/>
      <c r="J531" s="46" t="s">
        <v>222</v>
      </c>
      <c r="K531" s="40" t="s">
        <v>222</v>
      </c>
      <c r="L531" s="40" t="s">
        <v>222</v>
      </c>
      <c r="M531" s="40" t="s">
        <v>222</v>
      </c>
      <c r="N531" s="40" t="s">
        <v>222</v>
      </c>
      <c r="O531" s="40" t="s">
        <v>222</v>
      </c>
      <c r="P531" s="48"/>
      <c r="Q531" s="48"/>
      <c r="R531" s="49" t="s">
        <v>222</v>
      </c>
      <c r="S531" s="50" t="s">
        <v>222</v>
      </c>
      <c r="T531" s="85"/>
      <c r="U531" s="86"/>
      <c r="V531" s="85"/>
      <c r="W531" s="86"/>
      <c r="X531" s="85"/>
      <c r="Y531" s="70"/>
      <c r="Z531" s="70"/>
      <c r="AA531" s="70"/>
      <c r="AB531" s="70"/>
      <c r="AC531" s="70"/>
      <c r="AD531" s="70"/>
      <c r="AE531" s="14"/>
      <c r="AF531" s="55"/>
      <c r="AG531" s="55"/>
    </row>
    <row r="532" ht="13.5" customHeight="1">
      <c r="A532" s="80">
        <f t="shared" si="20"/>
        <v>527</v>
      </c>
      <c r="B532" s="26"/>
      <c r="C532" s="39"/>
      <c r="D532" s="40"/>
      <c r="E532" s="83"/>
      <c r="F532" s="42"/>
      <c r="G532" s="84"/>
      <c r="H532" s="84"/>
      <c r="I532" s="45"/>
      <c r="J532" s="46" t="s">
        <v>222</v>
      </c>
      <c r="K532" s="40" t="s">
        <v>222</v>
      </c>
      <c r="L532" s="40" t="s">
        <v>222</v>
      </c>
      <c r="M532" s="40" t="s">
        <v>222</v>
      </c>
      <c r="N532" s="40" t="s">
        <v>222</v>
      </c>
      <c r="O532" s="40" t="s">
        <v>222</v>
      </c>
      <c r="P532" s="48"/>
      <c r="Q532" s="48"/>
      <c r="R532" s="49" t="s">
        <v>222</v>
      </c>
      <c r="S532" s="50" t="s">
        <v>222</v>
      </c>
      <c r="T532" s="85"/>
      <c r="U532" s="86"/>
      <c r="V532" s="85"/>
      <c r="W532" s="86"/>
      <c r="X532" s="85"/>
      <c r="Y532" s="70"/>
      <c r="Z532" s="70"/>
      <c r="AA532" s="70"/>
      <c r="AB532" s="70"/>
      <c r="AC532" s="70"/>
      <c r="AD532" s="70"/>
      <c r="AE532" s="14"/>
      <c r="AF532" s="55"/>
      <c r="AG532" s="55"/>
    </row>
    <row r="533" ht="13.5" customHeight="1">
      <c r="A533" s="80">
        <f t="shared" si="20"/>
        <v>528</v>
      </c>
      <c r="B533" s="26"/>
      <c r="C533" s="39"/>
      <c r="D533" s="40"/>
      <c r="E533" s="83"/>
      <c r="F533" s="42"/>
      <c r="G533" s="84"/>
      <c r="H533" s="84"/>
      <c r="I533" s="45"/>
      <c r="J533" s="46" t="s">
        <v>222</v>
      </c>
      <c r="K533" s="40" t="s">
        <v>222</v>
      </c>
      <c r="L533" s="40" t="s">
        <v>222</v>
      </c>
      <c r="M533" s="40" t="s">
        <v>222</v>
      </c>
      <c r="N533" s="40" t="s">
        <v>222</v>
      </c>
      <c r="O533" s="40" t="s">
        <v>222</v>
      </c>
      <c r="P533" s="48"/>
      <c r="Q533" s="48"/>
      <c r="R533" s="49" t="s">
        <v>222</v>
      </c>
      <c r="S533" s="50" t="s">
        <v>222</v>
      </c>
      <c r="T533" s="85"/>
      <c r="U533" s="86"/>
      <c r="V533" s="85"/>
      <c r="W533" s="86"/>
      <c r="X533" s="85"/>
      <c r="Y533" s="70"/>
      <c r="Z533" s="70"/>
      <c r="AA533" s="70"/>
      <c r="AB533" s="70"/>
      <c r="AC533" s="70"/>
      <c r="AD533" s="70"/>
      <c r="AE533" s="14"/>
      <c r="AF533" s="55"/>
      <c r="AG533" s="55"/>
    </row>
    <row r="534" ht="13.5" customHeight="1">
      <c r="A534" s="80">
        <f t="shared" si="20"/>
        <v>529</v>
      </c>
      <c r="B534" s="26"/>
      <c r="C534" s="39"/>
      <c r="D534" s="40"/>
      <c r="E534" s="83"/>
      <c r="F534" s="42"/>
      <c r="G534" s="84"/>
      <c r="H534" s="84"/>
      <c r="I534" s="45"/>
      <c r="J534" s="46" t="s">
        <v>222</v>
      </c>
      <c r="K534" s="40" t="s">
        <v>222</v>
      </c>
      <c r="L534" s="40" t="s">
        <v>222</v>
      </c>
      <c r="M534" s="40" t="s">
        <v>222</v>
      </c>
      <c r="N534" s="40" t="s">
        <v>222</v>
      </c>
      <c r="O534" s="40" t="s">
        <v>222</v>
      </c>
      <c r="P534" s="48"/>
      <c r="Q534" s="48"/>
      <c r="R534" s="49" t="s">
        <v>222</v>
      </c>
      <c r="S534" s="50" t="s">
        <v>222</v>
      </c>
      <c r="T534" s="85"/>
      <c r="U534" s="86"/>
      <c r="V534" s="85"/>
      <c r="W534" s="86"/>
      <c r="X534" s="85"/>
      <c r="Y534" s="70"/>
      <c r="Z534" s="70"/>
      <c r="AA534" s="70"/>
      <c r="AB534" s="70"/>
      <c r="AC534" s="70"/>
      <c r="AD534" s="70"/>
      <c r="AE534" s="14"/>
      <c r="AF534" s="55"/>
      <c r="AG534" s="55"/>
    </row>
    <row r="535" ht="13.5" customHeight="1">
      <c r="A535" s="80">
        <f t="shared" si="20"/>
        <v>530</v>
      </c>
      <c r="B535" s="26"/>
      <c r="C535" s="39"/>
      <c r="D535" s="40"/>
      <c r="E535" s="83"/>
      <c r="F535" s="42"/>
      <c r="G535" s="84"/>
      <c r="H535" s="84"/>
      <c r="I535" s="45"/>
      <c r="J535" s="46" t="s">
        <v>222</v>
      </c>
      <c r="K535" s="40" t="s">
        <v>222</v>
      </c>
      <c r="L535" s="40" t="s">
        <v>222</v>
      </c>
      <c r="M535" s="40" t="s">
        <v>222</v>
      </c>
      <c r="N535" s="40" t="s">
        <v>222</v>
      </c>
      <c r="O535" s="40" t="s">
        <v>222</v>
      </c>
      <c r="P535" s="48"/>
      <c r="Q535" s="48"/>
      <c r="R535" s="49" t="s">
        <v>222</v>
      </c>
      <c r="S535" s="50" t="s">
        <v>222</v>
      </c>
      <c r="T535" s="85"/>
      <c r="U535" s="86"/>
      <c r="V535" s="85"/>
      <c r="W535" s="86"/>
      <c r="X535" s="85"/>
      <c r="Y535" s="70"/>
      <c r="Z535" s="70"/>
      <c r="AA535" s="70"/>
      <c r="AB535" s="70"/>
      <c r="AC535" s="70"/>
      <c r="AD535" s="70"/>
      <c r="AE535" s="14"/>
      <c r="AF535" s="55"/>
      <c r="AG535" s="55"/>
    </row>
    <row r="536" ht="13.5" customHeight="1">
      <c r="A536" s="80">
        <f t="shared" si="20"/>
        <v>531</v>
      </c>
      <c r="B536" s="26"/>
      <c r="C536" s="39"/>
      <c r="D536" s="40"/>
      <c r="E536" s="83"/>
      <c r="F536" s="42"/>
      <c r="G536" s="84"/>
      <c r="H536" s="84"/>
      <c r="I536" s="45"/>
      <c r="J536" s="46" t="s">
        <v>222</v>
      </c>
      <c r="K536" s="40" t="s">
        <v>222</v>
      </c>
      <c r="L536" s="40" t="s">
        <v>222</v>
      </c>
      <c r="M536" s="40" t="s">
        <v>222</v>
      </c>
      <c r="N536" s="40" t="s">
        <v>222</v>
      </c>
      <c r="O536" s="40" t="s">
        <v>222</v>
      </c>
      <c r="P536" s="48"/>
      <c r="Q536" s="48"/>
      <c r="R536" s="49" t="s">
        <v>222</v>
      </c>
      <c r="S536" s="50" t="s">
        <v>222</v>
      </c>
      <c r="T536" s="85"/>
      <c r="U536" s="86"/>
      <c r="V536" s="85"/>
      <c r="W536" s="86"/>
      <c r="X536" s="85"/>
      <c r="Y536" s="70"/>
      <c r="Z536" s="70"/>
      <c r="AA536" s="70"/>
      <c r="AB536" s="70"/>
      <c r="AC536" s="70"/>
      <c r="AD536" s="70"/>
      <c r="AE536" s="14"/>
      <c r="AF536" s="55"/>
      <c r="AG536" s="55"/>
    </row>
    <row r="537" ht="13.5" customHeight="1">
      <c r="A537" s="80">
        <f t="shared" si="20"/>
        <v>532</v>
      </c>
      <c r="B537" s="26"/>
      <c r="C537" s="39"/>
      <c r="D537" s="40"/>
      <c r="E537" s="83"/>
      <c r="F537" s="42"/>
      <c r="G537" s="84"/>
      <c r="H537" s="84"/>
      <c r="I537" s="45"/>
      <c r="J537" s="46" t="s">
        <v>222</v>
      </c>
      <c r="K537" s="40" t="s">
        <v>222</v>
      </c>
      <c r="L537" s="40" t="s">
        <v>222</v>
      </c>
      <c r="M537" s="40" t="s">
        <v>222</v>
      </c>
      <c r="N537" s="40" t="s">
        <v>222</v>
      </c>
      <c r="O537" s="40" t="s">
        <v>222</v>
      </c>
      <c r="P537" s="48"/>
      <c r="Q537" s="48"/>
      <c r="R537" s="49" t="s">
        <v>222</v>
      </c>
      <c r="S537" s="50" t="s">
        <v>222</v>
      </c>
      <c r="T537" s="85"/>
      <c r="U537" s="86"/>
      <c r="V537" s="85"/>
      <c r="W537" s="86"/>
      <c r="X537" s="85"/>
      <c r="Y537" s="70"/>
      <c r="Z537" s="70"/>
      <c r="AA537" s="70"/>
      <c r="AB537" s="70"/>
      <c r="AC537" s="70"/>
      <c r="AD537" s="70"/>
      <c r="AE537" s="14"/>
      <c r="AF537" s="55"/>
      <c r="AG537" s="55"/>
    </row>
    <row r="538" ht="13.5" customHeight="1">
      <c r="A538" s="80">
        <f t="shared" si="20"/>
        <v>533</v>
      </c>
      <c r="B538" s="26"/>
      <c r="C538" s="39"/>
      <c r="D538" s="40"/>
      <c r="E538" s="83"/>
      <c r="F538" s="42"/>
      <c r="G538" s="84"/>
      <c r="H538" s="84"/>
      <c r="I538" s="45"/>
      <c r="J538" s="46" t="s">
        <v>222</v>
      </c>
      <c r="K538" s="40" t="s">
        <v>222</v>
      </c>
      <c r="L538" s="40" t="s">
        <v>222</v>
      </c>
      <c r="M538" s="40" t="s">
        <v>222</v>
      </c>
      <c r="N538" s="40" t="s">
        <v>222</v>
      </c>
      <c r="O538" s="40" t="s">
        <v>222</v>
      </c>
      <c r="P538" s="48"/>
      <c r="Q538" s="48"/>
      <c r="R538" s="49" t="s">
        <v>222</v>
      </c>
      <c r="S538" s="50" t="s">
        <v>222</v>
      </c>
      <c r="T538" s="85"/>
      <c r="U538" s="86"/>
      <c r="V538" s="85"/>
      <c r="W538" s="86"/>
      <c r="X538" s="85"/>
      <c r="Y538" s="70"/>
      <c r="Z538" s="70"/>
      <c r="AA538" s="70"/>
      <c r="AB538" s="70"/>
      <c r="AC538" s="70"/>
      <c r="AD538" s="70"/>
      <c r="AE538" s="14"/>
      <c r="AF538" s="55"/>
      <c r="AG538" s="55"/>
    </row>
    <row r="539" ht="13.5" customHeight="1">
      <c r="A539" s="80">
        <f t="shared" si="20"/>
        <v>534</v>
      </c>
      <c r="B539" s="26"/>
      <c r="C539" s="39"/>
      <c r="D539" s="40"/>
      <c r="E539" s="83"/>
      <c r="F539" s="42"/>
      <c r="G539" s="84"/>
      <c r="H539" s="84"/>
      <c r="I539" s="45"/>
      <c r="J539" s="46" t="s">
        <v>222</v>
      </c>
      <c r="K539" s="40" t="s">
        <v>222</v>
      </c>
      <c r="L539" s="40" t="s">
        <v>222</v>
      </c>
      <c r="M539" s="40" t="s">
        <v>222</v>
      </c>
      <c r="N539" s="40" t="s">
        <v>222</v>
      </c>
      <c r="O539" s="40" t="s">
        <v>222</v>
      </c>
      <c r="P539" s="48"/>
      <c r="Q539" s="48"/>
      <c r="R539" s="49" t="s">
        <v>222</v>
      </c>
      <c r="S539" s="50" t="s">
        <v>222</v>
      </c>
      <c r="T539" s="85"/>
      <c r="U539" s="86"/>
      <c r="V539" s="85"/>
      <c r="W539" s="86"/>
      <c r="X539" s="85"/>
      <c r="Y539" s="70"/>
      <c r="Z539" s="70"/>
      <c r="AA539" s="70"/>
      <c r="AB539" s="70"/>
      <c r="AC539" s="70"/>
      <c r="AD539" s="70"/>
      <c r="AE539" s="14"/>
      <c r="AF539" s="55"/>
      <c r="AG539" s="55"/>
    </row>
    <row r="540" ht="13.5" customHeight="1">
      <c r="A540" s="80">
        <f t="shared" si="20"/>
        <v>535</v>
      </c>
      <c r="B540" s="26"/>
      <c r="C540" s="39"/>
      <c r="D540" s="40"/>
      <c r="E540" s="83"/>
      <c r="F540" s="42"/>
      <c r="G540" s="84"/>
      <c r="H540" s="84"/>
      <c r="I540" s="45"/>
      <c r="J540" s="46" t="s">
        <v>222</v>
      </c>
      <c r="K540" s="40" t="s">
        <v>222</v>
      </c>
      <c r="L540" s="40" t="s">
        <v>222</v>
      </c>
      <c r="M540" s="40" t="s">
        <v>222</v>
      </c>
      <c r="N540" s="40" t="s">
        <v>222</v>
      </c>
      <c r="O540" s="40" t="s">
        <v>222</v>
      </c>
      <c r="P540" s="48"/>
      <c r="Q540" s="48"/>
      <c r="R540" s="49" t="s">
        <v>222</v>
      </c>
      <c r="S540" s="50" t="s">
        <v>222</v>
      </c>
      <c r="T540" s="85"/>
      <c r="U540" s="86"/>
      <c r="V540" s="85"/>
      <c r="W540" s="86"/>
      <c r="X540" s="85"/>
      <c r="Y540" s="70"/>
      <c r="Z540" s="70"/>
      <c r="AA540" s="70"/>
      <c r="AB540" s="70"/>
      <c r="AC540" s="70"/>
      <c r="AD540" s="70"/>
      <c r="AE540" s="14"/>
      <c r="AF540" s="55"/>
      <c r="AG540" s="55"/>
    </row>
    <row r="541" ht="13.5" customHeight="1">
      <c r="A541" s="80">
        <f t="shared" si="20"/>
        <v>536</v>
      </c>
      <c r="B541" s="26"/>
      <c r="C541" s="39"/>
      <c r="D541" s="40"/>
      <c r="E541" s="83"/>
      <c r="F541" s="42"/>
      <c r="G541" s="84"/>
      <c r="H541" s="84"/>
      <c r="I541" s="45"/>
      <c r="J541" s="46" t="s">
        <v>222</v>
      </c>
      <c r="K541" s="40" t="s">
        <v>222</v>
      </c>
      <c r="L541" s="40" t="s">
        <v>222</v>
      </c>
      <c r="M541" s="40" t="s">
        <v>222</v>
      </c>
      <c r="N541" s="40" t="s">
        <v>222</v>
      </c>
      <c r="O541" s="40" t="s">
        <v>222</v>
      </c>
      <c r="P541" s="48"/>
      <c r="Q541" s="48"/>
      <c r="R541" s="49" t="s">
        <v>222</v>
      </c>
      <c r="S541" s="50" t="s">
        <v>222</v>
      </c>
      <c r="T541" s="85"/>
      <c r="U541" s="86"/>
      <c r="V541" s="85"/>
      <c r="W541" s="86"/>
      <c r="X541" s="85"/>
      <c r="Y541" s="70"/>
      <c r="Z541" s="70"/>
      <c r="AA541" s="70"/>
      <c r="AB541" s="70"/>
      <c r="AC541" s="70"/>
      <c r="AD541" s="70"/>
      <c r="AE541" s="14"/>
      <c r="AF541" s="55"/>
      <c r="AG541" s="55"/>
    </row>
    <row r="542" ht="13.5" customHeight="1">
      <c r="A542" s="80">
        <f t="shared" si="20"/>
        <v>537</v>
      </c>
      <c r="B542" s="26"/>
      <c r="C542" s="39"/>
      <c r="D542" s="40"/>
      <c r="E542" s="83"/>
      <c r="F542" s="42"/>
      <c r="G542" s="84"/>
      <c r="H542" s="84"/>
      <c r="I542" s="45"/>
      <c r="J542" s="46" t="s">
        <v>222</v>
      </c>
      <c r="K542" s="40" t="s">
        <v>222</v>
      </c>
      <c r="L542" s="40" t="s">
        <v>222</v>
      </c>
      <c r="M542" s="40" t="s">
        <v>222</v>
      </c>
      <c r="N542" s="40" t="s">
        <v>222</v>
      </c>
      <c r="O542" s="40" t="s">
        <v>222</v>
      </c>
      <c r="P542" s="48"/>
      <c r="Q542" s="48"/>
      <c r="R542" s="49" t="s">
        <v>222</v>
      </c>
      <c r="S542" s="50" t="s">
        <v>222</v>
      </c>
      <c r="T542" s="85"/>
      <c r="U542" s="86"/>
      <c r="V542" s="85"/>
      <c r="W542" s="86"/>
      <c r="X542" s="85"/>
      <c r="Y542" s="70"/>
      <c r="Z542" s="70"/>
      <c r="AA542" s="70"/>
      <c r="AB542" s="70"/>
      <c r="AC542" s="70"/>
      <c r="AD542" s="70"/>
      <c r="AE542" s="14"/>
      <c r="AF542" s="55"/>
      <c r="AG542" s="55"/>
    </row>
    <row r="543" ht="13.5" customHeight="1">
      <c r="A543" s="80">
        <f t="shared" si="20"/>
        <v>538</v>
      </c>
      <c r="B543" s="26"/>
      <c r="C543" s="39"/>
      <c r="D543" s="40"/>
      <c r="E543" s="83"/>
      <c r="F543" s="42"/>
      <c r="G543" s="84"/>
      <c r="H543" s="84"/>
      <c r="I543" s="45"/>
      <c r="J543" s="46" t="s">
        <v>222</v>
      </c>
      <c r="K543" s="40" t="s">
        <v>222</v>
      </c>
      <c r="L543" s="40" t="s">
        <v>222</v>
      </c>
      <c r="M543" s="40" t="s">
        <v>222</v>
      </c>
      <c r="N543" s="40" t="s">
        <v>222</v>
      </c>
      <c r="O543" s="40" t="s">
        <v>222</v>
      </c>
      <c r="P543" s="48"/>
      <c r="Q543" s="48"/>
      <c r="R543" s="49" t="s">
        <v>222</v>
      </c>
      <c r="S543" s="50" t="s">
        <v>222</v>
      </c>
      <c r="T543" s="85"/>
      <c r="U543" s="86"/>
      <c r="V543" s="85"/>
      <c r="W543" s="86"/>
      <c r="X543" s="85"/>
      <c r="Y543" s="70"/>
      <c r="Z543" s="70"/>
      <c r="AA543" s="70"/>
      <c r="AB543" s="70"/>
      <c r="AC543" s="70"/>
      <c r="AD543" s="70"/>
      <c r="AE543" s="14"/>
      <c r="AF543" s="55"/>
      <c r="AG543" s="55"/>
    </row>
    <row r="544" ht="13.5" customHeight="1">
      <c r="A544" s="80">
        <f t="shared" si="20"/>
        <v>539</v>
      </c>
      <c r="B544" s="26"/>
      <c r="C544" s="39"/>
      <c r="D544" s="40"/>
      <c r="E544" s="83"/>
      <c r="F544" s="42"/>
      <c r="G544" s="84"/>
      <c r="H544" s="84"/>
      <c r="I544" s="45"/>
      <c r="J544" s="46" t="s">
        <v>222</v>
      </c>
      <c r="K544" s="40" t="s">
        <v>222</v>
      </c>
      <c r="L544" s="40" t="s">
        <v>222</v>
      </c>
      <c r="M544" s="40" t="s">
        <v>222</v>
      </c>
      <c r="N544" s="40" t="s">
        <v>222</v>
      </c>
      <c r="O544" s="40" t="s">
        <v>222</v>
      </c>
      <c r="P544" s="48"/>
      <c r="Q544" s="48"/>
      <c r="R544" s="49" t="s">
        <v>222</v>
      </c>
      <c r="S544" s="50" t="s">
        <v>222</v>
      </c>
      <c r="T544" s="85"/>
      <c r="U544" s="86"/>
      <c r="V544" s="85"/>
      <c r="W544" s="86"/>
      <c r="X544" s="85"/>
      <c r="Y544" s="70"/>
      <c r="Z544" s="70"/>
      <c r="AA544" s="70"/>
      <c r="AB544" s="70"/>
      <c r="AC544" s="70"/>
      <c r="AD544" s="70"/>
      <c r="AE544" s="14"/>
      <c r="AF544" s="55"/>
      <c r="AG544" s="55"/>
    </row>
    <row r="545" ht="13.5" customHeight="1">
      <c r="A545" s="80">
        <f t="shared" si="20"/>
        <v>540</v>
      </c>
      <c r="B545" s="26"/>
      <c r="C545" s="39"/>
      <c r="D545" s="40"/>
      <c r="E545" s="83"/>
      <c r="F545" s="42"/>
      <c r="G545" s="84"/>
      <c r="H545" s="84"/>
      <c r="I545" s="45"/>
      <c r="J545" s="46" t="s">
        <v>222</v>
      </c>
      <c r="K545" s="40" t="s">
        <v>222</v>
      </c>
      <c r="L545" s="40" t="s">
        <v>222</v>
      </c>
      <c r="M545" s="40" t="s">
        <v>222</v>
      </c>
      <c r="N545" s="40" t="s">
        <v>222</v>
      </c>
      <c r="O545" s="40" t="s">
        <v>222</v>
      </c>
      <c r="P545" s="48"/>
      <c r="Q545" s="48"/>
      <c r="R545" s="49" t="s">
        <v>222</v>
      </c>
      <c r="S545" s="50" t="s">
        <v>222</v>
      </c>
      <c r="T545" s="85"/>
      <c r="U545" s="86"/>
      <c r="V545" s="85"/>
      <c r="W545" s="86"/>
      <c r="X545" s="85"/>
      <c r="Y545" s="70"/>
      <c r="Z545" s="70"/>
      <c r="AA545" s="70"/>
      <c r="AB545" s="70"/>
      <c r="AC545" s="70"/>
      <c r="AD545" s="70"/>
      <c r="AE545" s="14"/>
      <c r="AF545" s="55"/>
      <c r="AG545" s="55"/>
    </row>
    <row r="546" ht="13.5" customHeight="1">
      <c r="A546" s="3"/>
      <c r="B546" s="15"/>
      <c r="C546" s="3"/>
      <c r="D546" s="4"/>
      <c r="E546" s="5"/>
      <c r="F546" s="6"/>
      <c r="G546" s="3"/>
      <c r="H546" s="3"/>
      <c r="I546" s="7"/>
      <c r="J546" s="6" t="s">
        <v>222</v>
      </c>
      <c r="K546" s="4" t="s">
        <v>222</v>
      </c>
      <c r="L546" s="4" t="s">
        <v>222</v>
      </c>
      <c r="M546" s="4" t="s">
        <v>222</v>
      </c>
      <c r="N546" s="4" t="s">
        <v>222</v>
      </c>
      <c r="O546" s="4" t="s">
        <v>222</v>
      </c>
      <c r="P546" s="9"/>
      <c r="Q546" s="9"/>
      <c r="R546" s="87" t="s">
        <v>222</v>
      </c>
      <c r="S546" s="11" t="s">
        <v>222</v>
      </c>
      <c r="T546" s="85"/>
      <c r="U546" s="86"/>
      <c r="V546" s="85"/>
      <c r="W546" s="86"/>
      <c r="X546" s="85"/>
      <c r="Y546" s="70"/>
      <c r="Z546" s="70"/>
      <c r="AA546" s="70"/>
      <c r="AB546" s="70"/>
      <c r="AC546" s="70"/>
      <c r="AD546" s="70"/>
      <c r="AE546" s="14"/>
      <c r="AF546" s="3"/>
      <c r="AG546" s="3"/>
    </row>
    <row r="547" ht="13.5" customHeight="1">
      <c r="A547" s="3"/>
      <c r="B547" s="15"/>
      <c r="C547" s="3"/>
      <c r="D547" s="4"/>
      <c r="E547" s="5"/>
      <c r="F547" s="6"/>
      <c r="G547" s="3"/>
      <c r="H547" s="3"/>
      <c r="I547" s="7"/>
      <c r="J547" s="6" t="s">
        <v>222</v>
      </c>
      <c r="K547" s="4" t="s">
        <v>222</v>
      </c>
      <c r="L547" s="4" t="s">
        <v>222</v>
      </c>
      <c r="M547" s="4" t="s">
        <v>222</v>
      </c>
      <c r="N547" s="4" t="s">
        <v>222</v>
      </c>
      <c r="O547" s="4" t="s">
        <v>222</v>
      </c>
      <c r="P547" s="9"/>
      <c r="Q547" s="9"/>
      <c r="R547" s="87" t="s">
        <v>222</v>
      </c>
      <c r="S547" s="11" t="s">
        <v>222</v>
      </c>
      <c r="T547" s="85"/>
      <c r="U547" s="86"/>
      <c r="V547" s="85"/>
      <c r="W547" s="86"/>
      <c r="X547" s="85"/>
      <c r="Y547" s="70"/>
      <c r="Z547" s="70"/>
      <c r="AA547" s="70"/>
      <c r="AB547" s="70"/>
      <c r="AC547" s="70"/>
      <c r="AD547" s="70"/>
      <c r="AE547" s="14"/>
      <c r="AF547" s="3"/>
      <c r="AG547" s="3"/>
    </row>
    <row r="548" ht="13.5" customHeight="1">
      <c r="A548" s="3"/>
      <c r="B548" s="15"/>
      <c r="C548" s="3"/>
      <c r="D548" s="4"/>
      <c r="E548" s="5"/>
      <c r="F548" s="6"/>
      <c r="G548" s="3"/>
      <c r="H548" s="3"/>
      <c r="I548" s="7"/>
      <c r="J548" s="6" t="s">
        <v>222</v>
      </c>
      <c r="K548" s="4" t="s">
        <v>222</v>
      </c>
      <c r="L548" s="4" t="s">
        <v>222</v>
      </c>
      <c r="M548" s="4" t="s">
        <v>222</v>
      </c>
      <c r="N548" s="4" t="s">
        <v>222</v>
      </c>
      <c r="O548" s="4" t="s">
        <v>222</v>
      </c>
      <c r="P548" s="9"/>
      <c r="Q548" s="9"/>
      <c r="R548" s="87" t="s">
        <v>222</v>
      </c>
      <c r="S548" s="11" t="s">
        <v>222</v>
      </c>
      <c r="T548" s="85"/>
      <c r="U548" s="86"/>
      <c r="V548" s="85"/>
      <c r="W548" s="86"/>
      <c r="X548" s="85"/>
      <c r="Y548" s="70"/>
      <c r="Z548" s="70"/>
      <c r="AA548" s="70"/>
      <c r="AB548" s="70"/>
      <c r="AC548" s="70"/>
      <c r="AD548" s="70"/>
      <c r="AE548" s="14"/>
      <c r="AF548" s="3"/>
      <c r="AG548" s="3"/>
    </row>
    <row r="549" ht="13.5" customHeight="1">
      <c r="A549" s="3"/>
      <c r="B549" s="15"/>
      <c r="C549" s="3"/>
      <c r="D549" s="4"/>
      <c r="E549" s="5"/>
      <c r="F549" s="6"/>
      <c r="G549" s="3"/>
      <c r="H549" s="3"/>
      <c r="I549" s="7"/>
      <c r="J549" s="6" t="s">
        <v>222</v>
      </c>
      <c r="K549" s="4" t="s">
        <v>222</v>
      </c>
      <c r="L549" s="4" t="s">
        <v>222</v>
      </c>
      <c r="M549" s="4" t="s">
        <v>222</v>
      </c>
      <c r="N549" s="4" t="s">
        <v>222</v>
      </c>
      <c r="O549" s="4" t="s">
        <v>222</v>
      </c>
      <c r="P549" s="9"/>
      <c r="Q549" s="9"/>
      <c r="R549" s="87" t="s">
        <v>222</v>
      </c>
      <c r="S549" s="11" t="s">
        <v>222</v>
      </c>
      <c r="T549" s="85"/>
      <c r="U549" s="86"/>
      <c r="V549" s="85"/>
      <c r="W549" s="86"/>
      <c r="X549" s="85"/>
      <c r="Y549" s="70"/>
      <c r="Z549" s="70"/>
      <c r="AA549" s="70"/>
      <c r="AB549" s="70"/>
      <c r="AC549" s="70"/>
      <c r="AD549" s="70"/>
      <c r="AE549" s="14"/>
      <c r="AF549" s="3"/>
      <c r="AG549" s="3"/>
    </row>
    <row r="550" ht="13.5" customHeight="1">
      <c r="A550" s="3"/>
      <c r="B550" s="15"/>
      <c r="C550" s="3"/>
      <c r="D550" s="4"/>
      <c r="E550" s="5"/>
      <c r="F550" s="6"/>
      <c r="G550" s="3"/>
      <c r="H550" s="3"/>
      <c r="I550" s="7"/>
      <c r="J550" s="6" t="s">
        <v>222</v>
      </c>
      <c r="K550" s="4" t="s">
        <v>222</v>
      </c>
      <c r="L550" s="4" t="s">
        <v>222</v>
      </c>
      <c r="M550" s="4" t="s">
        <v>222</v>
      </c>
      <c r="N550" s="4" t="s">
        <v>222</v>
      </c>
      <c r="O550" s="4" t="s">
        <v>222</v>
      </c>
      <c r="P550" s="9"/>
      <c r="Q550" s="9"/>
      <c r="R550" s="87" t="s">
        <v>222</v>
      </c>
      <c r="S550" s="11" t="s">
        <v>222</v>
      </c>
      <c r="T550" s="85"/>
      <c r="U550" s="86"/>
      <c r="V550" s="85"/>
      <c r="W550" s="86"/>
      <c r="X550" s="85"/>
      <c r="Y550" s="70"/>
      <c r="Z550" s="70"/>
      <c r="AA550" s="70"/>
      <c r="AB550" s="70"/>
      <c r="AC550" s="70"/>
      <c r="AD550" s="70"/>
      <c r="AE550" s="14"/>
      <c r="AF550" s="3"/>
      <c r="AG550" s="3"/>
    </row>
    <row r="551" ht="13.5" customHeight="1">
      <c r="A551" s="3"/>
      <c r="B551" s="15"/>
      <c r="C551" s="3"/>
      <c r="D551" s="4"/>
      <c r="E551" s="5"/>
      <c r="F551" s="6"/>
      <c r="G551" s="3"/>
      <c r="H551" s="3"/>
      <c r="I551" s="7"/>
      <c r="J551" s="6" t="s">
        <v>222</v>
      </c>
      <c r="K551" s="4" t="s">
        <v>222</v>
      </c>
      <c r="L551" s="4" t="s">
        <v>222</v>
      </c>
      <c r="M551" s="4" t="s">
        <v>222</v>
      </c>
      <c r="N551" s="4" t="s">
        <v>222</v>
      </c>
      <c r="O551" s="4" t="s">
        <v>222</v>
      </c>
      <c r="P551" s="9"/>
      <c r="Q551" s="9"/>
      <c r="R551" s="87" t="s">
        <v>222</v>
      </c>
      <c r="S551" s="11" t="s">
        <v>222</v>
      </c>
      <c r="T551" s="85"/>
      <c r="U551" s="86"/>
      <c r="V551" s="85"/>
      <c r="W551" s="86"/>
      <c r="X551" s="85"/>
      <c r="Y551" s="70"/>
      <c r="Z551" s="70"/>
      <c r="AA551" s="70"/>
      <c r="AB551" s="70"/>
      <c r="AC551" s="70"/>
      <c r="AD551" s="70"/>
      <c r="AE551" s="14"/>
      <c r="AF551" s="3"/>
      <c r="AG551" s="3"/>
    </row>
    <row r="552" ht="13.5" customHeight="1">
      <c r="A552" s="3"/>
      <c r="B552" s="15"/>
      <c r="C552" s="3"/>
      <c r="D552" s="4"/>
      <c r="E552" s="5"/>
      <c r="F552" s="6"/>
      <c r="G552" s="3"/>
      <c r="H552" s="3"/>
      <c r="I552" s="7"/>
      <c r="J552" s="6" t="s">
        <v>222</v>
      </c>
      <c r="K552" s="4" t="s">
        <v>222</v>
      </c>
      <c r="L552" s="4" t="s">
        <v>222</v>
      </c>
      <c r="M552" s="4" t="s">
        <v>222</v>
      </c>
      <c r="N552" s="4" t="s">
        <v>222</v>
      </c>
      <c r="O552" s="4" t="s">
        <v>222</v>
      </c>
      <c r="P552" s="9"/>
      <c r="Q552" s="9"/>
      <c r="R552" s="87" t="s">
        <v>222</v>
      </c>
      <c r="S552" s="11" t="s">
        <v>222</v>
      </c>
      <c r="T552" s="12"/>
      <c r="U552" s="13"/>
      <c r="V552" s="12"/>
      <c r="W552" s="13"/>
      <c r="X552" s="12"/>
      <c r="Y552" s="14"/>
      <c r="Z552" s="14"/>
      <c r="AA552" s="14"/>
      <c r="AB552" s="14"/>
      <c r="AC552" s="14"/>
      <c r="AD552" s="14"/>
      <c r="AE552" s="14"/>
      <c r="AF552" s="3"/>
      <c r="AG552" s="3"/>
    </row>
    <row r="553" ht="13.5" customHeight="1">
      <c r="A553" s="3"/>
      <c r="B553" s="15"/>
      <c r="C553" s="3"/>
      <c r="D553" s="4"/>
      <c r="E553" s="5"/>
      <c r="F553" s="6"/>
      <c r="G553" s="3"/>
      <c r="H553" s="3"/>
      <c r="I553" s="7"/>
      <c r="J553" s="88" t="s">
        <v>222</v>
      </c>
      <c r="K553" s="4" t="s">
        <v>222</v>
      </c>
      <c r="L553" s="4" t="s">
        <v>222</v>
      </c>
      <c r="M553" s="4" t="s">
        <v>222</v>
      </c>
      <c r="N553" s="4" t="s">
        <v>222</v>
      </c>
      <c r="O553" s="4" t="s">
        <v>222</v>
      </c>
      <c r="P553" s="9"/>
      <c r="Q553" s="9"/>
      <c r="R553" s="87" t="s">
        <v>222</v>
      </c>
      <c r="S553" s="11" t="s">
        <v>222</v>
      </c>
      <c r="T553" s="12"/>
      <c r="U553" s="13"/>
      <c r="V553" s="12"/>
      <c r="W553" s="13"/>
      <c r="X553" s="12"/>
      <c r="Y553" s="14"/>
      <c r="Z553" s="14"/>
      <c r="AA553" s="14"/>
      <c r="AB553" s="14"/>
      <c r="AC553" s="14"/>
      <c r="AD553" s="14"/>
      <c r="AE553" s="14"/>
      <c r="AF553" s="3"/>
      <c r="AG553" s="3"/>
    </row>
    <row r="554" ht="13.5" customHeight="1">
      <c r="A554" s="3"/>
      <c r="B554" s="15"/>
      <c r="C554" s="3"/>
      <c r="D554" s="4"/>
      <c r="E554" s="5"/>
      <c r="F554" s="6"/>
      <c r="G554" s="3"/>
      <c r="H554" s="3"/>
      <c r="I554" s="7"/>
      <c r="J554" s="6" t="s">
        <v>222</v>
      </c>
      <c r="K554" s="4" t="s">
        <v>222</v>
      </c>
      <c r="L554" s="4" t="s">
        <v>222</v>
      </c>
      <c r="M554" s="4" t="s">
        <v>222</v>
      </c>
      <c r="N554" s="4" t="s">
        <v>222</v>
      </c>
      <c r="O554" s="4" t="s">
        <v>222</v>
      </c>
      <c r="P554" s="9"/>
      <c r="Q554" s="9"/>
      <c r="R554" s="87" t="s">
        <v>222</v>
      </c>
      <c r="S554" s="11" t="s">
        <v>222</v>
      </c>
      <c r="T554" s="12"/>
      <c r="U554" s="13"/>
      <c r="V554" s="12"/>
      <c r="W554" s="13"/>
      <c r="X554" s="12"/>
      <c r="Y554" s="14"/>
      <c r="Z554" s="14"/>
      <c r="AA554" s="14"/>
      <c r="AB554" s="14"/>
      <c r="AC554" s="14"/>
      <c r="AD554" s="14"/>
      <c r="AE554" s="14"/>
      <c r="AF554" s="3"/>
      <c r="AG554" s="3"/>
    </row>
    <row r="555" ht="13.5" customHeight="1">
      <c r="A555" s="3"/>
      <c r="B555" s="15"/>
      <c r="C555" s="3"/>
      <c r="D555" s="4"/>
      <c r="E555" s="5"/>
      <c r="F555" s="6"/>
      <c r="G555" s="3"/>
      <c r="H555" s="3"/>
      <c r="I555" s="7"/>
      <c r="J555" s="6" t="s">
        <v>222</v>
      </c>
      <c r="K555" s="4" t="s">
        <v>222</v>
      </c>
      <c r="L555" s="4" t="s">
        <v>222</v>
      </c>
      <c r="M555" s="4" t="s">
        <v>222</v>
      </c>
      <c r="N555" s="4" t="s">
        <v>222</v>
      </c>
      <c r="O555" s="4" t="s">
        <v>222</v>
      </c>
      <c r="P555" s="9"/>
      <c r="Q555" s="9"/>
      <c r="R555" s="87" t="s">
        <v>222</v>
      </c>
      <c r="S555" s="11" t="s">
        <v>222</v>
      </c>
      <c r="T555" s="12"/>
      <c r="U555" s="13"/>
      <c r="V555" s="12"/>
      <c r="W555" s="13"/>
      <c r="X555" s="12"/>
      <c r="Y555" s="14"/>
      <c r="Z555" s="14"/>
      <c r="AA555" s="14"/>
      <c r="AB555" s="14"/>
      <c r="AC555" s="14"/>
      <c r="AD555" s="14"/>
      <c r="AE555" s="14"/>
      <c r="AF555" s="3"/>
      <c r="AG555" s="3"/>
    </row>
    <row r="556" ht="13.5" customHeight="1">
      <c r="A556" s="3"/>
      <c r="B556" s="15"/>
      <c r="C556" s="3"/>
      <c r="D556" s="4"/>
      <c r="E556" s="5"/>
      <c r="F556" s="6"/>
      <c r="G556" s="3"/>
      <c r="H556" s="3"/>
      <c r="I556" s="7"/>
      <c r="J556" s="6" t="s">
        <v>222</v>
      </c>
      <c r="K556" s="4" t="s">
        <v>222</v>
      </c>
      <c r="L556" s="4" t="s">
        <v>222</v>
      </c>
      <c r="M556" s="4" t="s">
        <v>222</v>
      </c>
      <c r="N556" s="4" t="s">
        <v>222</v>
      </c>
      <c r="O556" s="4" t="s">
        <v>222</v>
      </c>
      <c r="P556" s="9"/>
      <c r="Q556" s="9"/>
      <c r="R556" s="87" t="s">
        <v>222</v>
      </c>
      <c r="S556" s="11" t="s">
        <v>222</v>
      </c>
      <c r="T556" s="12"/>
      <c r="U556" s="13"/>
      <c r="V556" s="12"/>
      <c r="W556" s="13"/>
      <c r="X556" s="12"/>
      <c r="Y556" s="14"/>
      <c r="Z556" s="14"/>
      <c r="AA556" s="14"/>
      <c r="AB556" s="14"/>
      <c r="AC556" s="14"/>
      <c r="AD556" s="14"/>
      <c r="AE556" s="14"/>
      <c r="AF556" s="3"/>
      <c r="AG556" s="3"/>
    </row>
    <row r="557" ht="13.5" customHeight="1">
      <c r="A557" s="3"/>
      <c r="B557" s="15"/>
      <c r="C557" s="3"/>
      <c r="D557" s="4"/>
      <c r="E557" s="5"/>
      <c r="F557" s="6"/>
      <c r="G557" s="3"/>
      <c r="H557" s="3"/>
      <c r="I557" s="7"/>
      <c r="J557" s="6" t="s">
        <v>222</v>
      </c>
      <c r="K557" s="4" t="s">
        <v>222</v>
      </c>
      <c r="L557" s="4" t="s">
        <v>222</v>
      </c>
      <c r="M557" s="4" t="s">
        <v>222</v>
      </c>
      <c r="N557" s="4" t="s">
        <v>222</v>
      </c>
      <c r="O557" s="4" t="s">
        <v>222</v>
      </c>
      <c r="P557" s="9"/>
      <c r="R557" s="89" t="s">
        <v>222</v>
      </c>
      <c r="S557" s="11" t="s">
        <v>222</v>
      </c>
      <c r="T557" s="12"/>
      <c r="U557" s="13"/>
      <c r="V557" s="12"/>
      <c r="W557" s="13"/>
      <c r="X557" s="12"/>
      <c r="Y557" s="14"/>
      <c r="Z557" s="14"/>
      <c r="AA557" s="14"/>
      <c r="AB557" s="14"/>
      <c r="AC557" s="14"/>
      <c r="AD557" s="14"/>
      <c r="AE557" s="14"/>
      <c r="AF557" s="3"/>
      <c r="AG557" s="3"/>
    </row>
    <row r="558" ht="13.5" customHeight="1">
      <c r="A558" s="3"/>
      <c r="B558" s="15"/>
      <c r="C558" s="3"/>
      <c r="D558" s="4"/>
      <c r="E558" s="5"/>
      <c r="F558" s="6"/>
      <c r="G558" s="3"/>
      <c r="H558" s="3"/>
      <c r="I558" s="7"/>
      <c r="J558" s="6" t="s">
        <v>222</v>
      </c>
      <c r="K558" s="4" t="s">
        <v>222</v>
      </c>
      <c r="L558" s="4" t="s">
        <v>222</v>
      </c>
      <c r="M558" s="4" t="s">
        <v>222</v>
      </c>
      <c r="N558" s="4" t="s">
        <v>222</v>
      </c>
      <c r="O558" s="4" t="s">
        <v>222</v>
      </c>
      <c r="P558" s="9"/>
      <c r="Q558" s="9"/>
      <c r="R558" s="87" t="s">
        <v>222</v>
      </c>
      <c r="S558" s="11" t="s">
        <v>222</v>
      </c>
      <c r="T558" s="12"/>
      <c r="U558" s="13"/>
      <c r="V558" s="12"/>
      <c r="W558" s="13"/>
      <c r="X558" s="12"/>
      <c r="Y558" s="14"/>
      <c r="Z558" s="14"/>
      <c r="AA558" s="14"/>
      <c r="AB558" s="14"/>
      <c r="AC558" s="14"/>
      <c r="AD558" s="14"/>
      <c r="AE558" s="14"/>
      <c r="AF558" s="3"/>
      <c r="AG558" s="3"/>
    </row>
    <row r="559" ht="13.5" customHeight="1">
      <c r="A559" s="3"/>
      <c r="B559" s="15"/>
      <c r="C559" s="3"/>
      <c r="D559" s="4"/>
      <c r="E559" s="5"/>
      <c r="F559" s="6"/>
      <c r="G559" s="3"/>
      <c r="H559" s="3"/>
      <c r="I559" s="7"/>
      <c r="J559" s="6" t="s">
        <v>222</v>
      </c>
      <c r="K559" s="4" t="s">
        <v>222</v>
      </c>
      <c r="L559" s="4" t="s">
        <v>222</v>
      </c>
      <c r="M559" s="4" t="s">
        <v>222</v>
      </c>
      <c r="N559" s="4" t="s">
        <v>222</v>
      </c>
      <c r="O559" s="4" t="s">
        <v>222</v>
      </c>
      <c r="P559" s="9"/>
      <c r="Q559" s="9"/>
      <c r="R559" s="87" t="s">
        <v>222</v>
      </c>
      <c r="S559" s="11" t="s">
        <v>222</v>
      </c>
      <c r="T559" s="12"/>
      <c r="U559" s="13"/>
      <c r="V559" s="12"/>
      <c r="W559" s="13"/>
      <c r="X559" s="12"/>
      <c r="Y559" s="14"/>
      <c r="Z559" s="14"/>
      <c r="AA559" s="14"/>
      <c r="AB559" s="14"/>
      <c r="AC559" s="14"/>
      <c r="AD559" s="14"/>
      <c r="AE559" s="14"/>
      <c r="AF559" s="3"/>
      <c r="AG559" s="3"/>
    </row>
    <row r="560" ht="13.5" customHeight="1">
      <c r="A560" s="3"/>
      <c r="B560" s="15"/>
      <c r="C560" s="3"/>
      <c r="D560" s="4"/>
      <c r="E560" s="5"/>
      <c r="F560" s="6"/>
      <c r="G560" s="3"/>
      <c r="H560" s="3"/>
      <c r="I560" s="7"/>
      <c r="J560" s="6" t="s">
        <v>222</v>
      </c>
      <c r="K560" s="4" t="s">
        <v>222</v>
      </c>
      <c r="L560" s="4" t="s">
        <v>222</v>
      </c>
      <c r="M560" s="4" t="s">
        <v>222</v>
      </c>
      <c r="N560" s="4" t="s">
        <v>222</v>
      </c>
      <c r="O560" s="4" t="s">
        <v>222</v>
      </c>
      <c r="P560" s="9"/>
      <c r="Q560" s="9"/>
      <c r="R560" s="87" t="s">
        <v>222</v>
      </c>
      <c r="S560" s="11" t="s">
        <v>222</v>
      </c>
      <c r="T560" s="12"/>
      <c r="U560" s="13"/>
      <c r="V560" s="12"/>
      <c r="W560" s="13"/>
      <c r="X560" s="12"/>
      <c r="Y560" s="14"/>
      <c r="Z560" s="14"/>
      <c r="AA560" s="14"/>
      <c r="AB560" s="14"/>
      <c r="AC560" s="14"/>
      <c r="AD560" s="14"/>
      <c r="AE560" s="14"/>
      <c r="AF560" s="3"/>
      <c r="AG560" s="3"/>
    </row>
    <row r="561" ht="13.5" customHeight="1">
      <c r="A561" s="3"/>
      <c r="B561" s="15"/>
      <c r="C561" s="3"/>
      <c r="D561" s="4"/>
      <c r="E561" s="5"/>
      <c r="F561" s="6"/>
      <c r="G561" s="3"/>
      <c r="H561" s="3"/>
      <c r="I561" s="7"/>
      <c r="J561" s="6" t="s">
        <v>222</v>
      </c>
      <c r="K561" s="4" t="s">
        <v>222</v>
      </c>
      <c r="L561" s="4" t="s">
        <v>222</v>
      </c>
      <c r="M561" s="4" t="s">
        <v>222</v>
      </c>
      <c r="N561" s="4" t="s">
        <v>222</v>
      </c>
      <c r="O561" s="4" t="s">
        <v>222</v>
      </c>
      <c r="P561" s="9"/>
      <c r="Q561" s="9"/>
      <c r="R561" s="87" t="s">
        <v>222</v>
      </c>
      <c r="S561" s="11" t="s">
        <v>222</v>
      </c>
      <c r="T561" s="12"/>
      <c r="U561" s="13"/>
      <c r="V561" s="12"/>
      <c r="W561" s="13"/>
      <c r="X561" s="12"/>
      <c r="Y561" s="14"/>
      <c r="Z561" s="14"/>
      <c r="AA561" s="14"/>
      <c r="AB561" s="14"/>
      <c r="AC561" s="14"/>
      <c r="AD561" s="14"/>
      <c r="AE561" s="14"/>
      <c r="AF561" s="3"/>
      <c r="AG561" s="3"/>
    </row>
    <row r="562" ht="13.5" customHeight="1">
      <c r="A562" s="3"/>
      <c r="B562" s="15"/>
      <c r="C562" s="3"/>
      <c r="D562" s="4"/>
      <c r="E562" s="5"/>
      <c r="F562" s="6"/>
      <c r="G562" s="3"/>
      <c r="H562" s="3"/>
      <c r="I562" s="7"/>
      <c r="J562" s="6" t="s">
        <v>222</v>
      </c>
      <c r="K562" s="4" t="s">
        <v>222</v>
      </c>
      <c r="L562" s="4" t="s">
        <v>222</v>
      </c>
      <c r="M562" s="4" t="s">
        <v>222</v>
      </c>
      <c r="N562" s="4" t="s">
        <v>222</v>
      </c>
      <c r="O562" s="4" t="s">
        <v>222</v>
      </c>
      <c r="P562" s="9"/>
      <c r="Q562" s="9"/>
      <c r="R562" s="87" t="s">
        <v>222</v>
      </c>
      <c r="S562" s="11" t="s">
        <v>222</v>
      </c>
      <c r="T562" s="12"/>
      <c r="U562" s="13"/>
      <c r="V562" s="12"/>
      <c r="W562" s="13"/>
      <c r="X562" s="12"/>
      <c r="Y562" s="14"/>
      <c r="Z562" s="14"/>
      <c r="AA562" s="14"/>
      <c r="AB562" s="14"/>
      <c r="AC562" s="14"/>
      <c r="AD562" s="14"/>
      <c r="AE562" s="14"/>
      <c r="AF562" s="3"/>
      <c r="AG562" s="3"/>
    </row>
    <row r="563" ht="13.5" customHeight="1">
      <c r="A563" s="3"/>
      <c r="B563" s="15"/>
      <c r="C563" s="3"/>
      <c r="D563" s="4"/>
      <c r="E563" s="5"/>
      <c r="F563" s="6"/>
      <c r="G563" s="3"/>
      <c r="H563" s="3"/>
      <c r="I563" s="7"/>
      <c r="J563" s="6" t="s">
        <v>222</v>
      </c>
      <c r="K563" s="4" t="s">
        <v>222</v>
      </c>
      <c r="L563" s="4" t="s">
        <v>222</v>
      </c>
      <c r="M563" s="4" t="s">
        <v>222</v>
      </c>
      <c r="N563" s="4" t="s">
        <v>222</v>
      </c>
      <c r="O563" s="4" t="s">
        <v>222</v>
      </c>
      <c r="P563" s="9"/>
      <c r="Q563" s="9"/>
      <c r="R563" s="87" t="s">
        <v>222</v>
      </c>
      <c r="S563" s="11" t="s">
        <v>222</v>
      </c>
      <c r="T563" s="12"/>
      <c r="U563" s="13"/>
      <c r="V563" s="12"/>
      <c r="W563" s="13"/>
      <c r="X563" s="12"/>
      <c r="Y563" s="14"/>
      <c r="Z563" s="14"/>
      <c r="AA563" s="14"/>
      <c r="AB563" s="14"/>
      <c r="AC563" s="14"/>
      <c r="AD563" s="14"/>
      <c r="AE563" s="14"/>
      <c r="AF563" s="3"/>
      <c r="AG563" s="3"/>
    </row>
    <row r="564" ht="13.5" customHeight="1">
      <c r="A564" s="3"/>
      <c r="B564" s="15"/>
      <c r="C564" s="3"/>
      <c r="D564" s="4"/>
      <c r="E564" s="5"/>
      <c r="F564" s="6"/>
      <c r="G564" s="3"/>
      <c r="H564" s="3"/>
      <c r="I564" s="7"/>
      <c r="J564" s="6" t="s">
        <v>222</v>
      </c>
      <c r="K564" s="4" t="s">
        <v>222</v>
      </c>
      <c r="L564" s="4" t="s">
        <v>222</v>
      </c>
      <c r="M564" s="4" t="s">
        <v>222</v>
      </c>
      <c r="N564" s="4" t="s">
        <v>222</v>
      </c>
      <c r="O564" s="4" t="s">
        <v>222</v>
      </c>
      <c r="P564" s="9"/>
      <c r="Q564" s="9"/>
      <c r="R564" s="87" t="s">
        <v>222</v>
      </c>
      <c r="S564" s="11" t="s">
        <v>222</v>
      </c>
      <c r="T564" s="12"/>
      <c r="U564" s="13"/>
      <c r="V564" s="12"/>
      <c r="W564" s="13"/>
      <c r="X564" s="12"/>
      <c r="Y564" s="14"/>
      <c r="Z564" s="14"/>
      <c r="AA564" s="14"/>
      <c r="AB564" s="14"/>
      <c r="AC564" s="14"/>
      <c r="AD564" s="14"/>
      <c r="AE564" s="14"/>
      <c r="AF564" s="3"/>
      <c r="AG564" s="3"/>
    </row>
    <row r="565" ht="13.5" customHeight="1">
      <c r="A565" s="3"/>
      <c r="B565" s="15"/>
      <c r="C565" s="3"/>
      <c r="D565" s="4"/>
      <c r="E565" s="5"/>
      <c r="F565" s="6"/>
      <c r="G565" s="3"/>
      <c r="H565" s="3"/>
      <c r="I565" s="7"/>
      <c r="J565" s="6" t="s">
        <v>222</v>
      </c>
      <c r="K565" s="4" t="s">
        <v>222</v>
      </c>
      <c r="L565" s="4" t="s">
        <v>222</v>
      </c>
      <c r="M565" s="4" t="s">
        <v>222</v>
      </c>
      <c r="N565" s="4" t="s">
        <v>222</v>
      </c>
      <c r="O565" s="4" t="s">
        <v>222</v>
      </c>
      <c r="P565" s="9"/>
      <c r="Q565" s="9"/>
      <c r="R565" s="87" t="s">
        <v>222</v>
      </c>
      <c r="S565" s="11" t="s">
        <v>222</v>
      </c>
      <c r="T565" s="12"/>
      <c r="U565" s="13"/>
      <c r="V565" s="12"/>
      <c r="W565" s="13"/>
      <c r="X565" s="12"/>
      <c r="Y565" s="14"/>
      <c r="Z565" s="14"/>
      <c r="AA565" s="14"/>
      <c r="AB565" s="14"/>
      <c r="AC565" s="14"/>
      <c r="AD565" s="14"/>
      <c r="AE565" s="14"/>
      <c r="AF565" s="3"/>
      <c r="AG565" s="3"/>
    </row>
    <row r="566" ht="13.5" customHeight="1">
      <c r="A566" s="3"/>
      <c r="B566" s="15"/>
      <c r="C566" s="3"/>
      <c r="D566" s="4"/>
      <c r="E566" s="5"/>
      <c r="F566" s="6"/>
      <c r="G566" s="3"/>
      <c r="H566" s="3"/>
      <c r="I566" s="7"/>
      <c r="J566" s="6" t="s">
        <v>222</v>
      </c>
      <c r="K566" s="4" t="s">
        <v>222</v>
      </c>
      <c r="L566" s="4" t="s">
        <v>222</v>
      </c>
      <c r="M566" s="4" t="s">
        <v>222</v>
      </c>
      <c r="N566" s="4" t="s">
        <v>222</v>
      </c>
      <c r="O566" s="4" t="s">
        <v>222</v>
      </c>
      <c r="P566" s="9"/>
      <c r="Q566" s="9"/>
      <c r="R566" s="87" t="s">
        <v>222</v>
      </c>
      <c r="S566" s="11" t="s">
        <v>222</v>
      </c>
      <c r="T566" s="12"/>
      <c r="U566" s="13"/>
      <c r="V566" s="12"/>
      <c r="W566" s="13"/>
      <c r="X566" s="12"/>
      <c r="Y566" s="14"/>
      <c r="Z566" s="14"/>
      <c r="AA566" s="14"/>
      <c r="AB566" s="14"/>
      <c r="AC566" s="14"/>
      <c r="AD566" s="14"/>
      <c r="AE566" s="14"/>
      <c r="AF566" s="3"/>
      <c r="AG566" s="3"/>
    </row>
    <row r="567" ht="13.5" customHeight="1">
      <c r="A567" s="3"/>
      <c r="B567" s="15"/>
      <c r="C567" s="3"/>
      <c r="D567" s="4"/>
      <c r="E567" s="5"/>
      <c r="F567" s="6"/>
      <c r="G567" s="3"/>
      <c r="H567" s="3"/>
      <c r="I567" s="7"/>
      <c r="J567" s="6" t="s">
        <v>222</v>
      </c>
      <c r="K567" s="4" t="s">
        <v>222</v>
      </c>
      <c r="L567" s="4" t="s">
        <v>222</v>
      </c>
      <c r="M567" s="4" t="s">
        <v>222</v>
      </c>
      <c r="N567" s="4" t="s">
        <v>222</v>
      </c>
      <c r="O567" s="4" t="s">
        <v>222</v>
      </c>
      <c r="P567" s="9"/>
      <c r="Q567" s="9"/>
      <c r="R567" s="87" t="s">
        <v>222</v>
      </c>
      <c r="S567" s="11" t="s">
        <v>222</v>
      </c>
      <c r="T567" s="12"/>
      <c r="U567" s="13"/>
      <c r="V567" s="12"/>
      <c r="W567" s="13"/>
      <c r="X567" s="12"/>
      <c r="Y567" s="14"/>
      <c r="Z567" s="14"/>
      <c r="AA567" s="14"/>
      <c r="AB567" s="14"/>
      <c r="AC567" s="14"/>
      <c r="AD567" s="14"/>
      <c r="AE567" s="14"/>
      <c r="AF567" s="3"/>
      <c r="AG567" s="3"/>
    </row>
    <row r="568" ht="13.5" customHeight="1">
      <c r="A568" s="3"/>
      <c r="B568" s="15"/>
      <c r="C568" s="3"/>
      <c r="D568" s="4"/>
      <c r="E568" s="5"/>
      <c r="F568" s="6"/>
      <c r="G568" s="3"/>
      <c r="H568" s="3"/>
      <c r="I568" s="7"/>
      <c r="J568" s="6" t="s">
        <v>222</v>
      </c>
      <c r="K568" s="4" t="s">
        <v>222</v>
      </c>
      <c r="L568" s="4" t="s">
        <v>222</v>
      </c>
      <c r="M568" s="4" t="s">
        <v>222</v>
      </c>
      <c r="N568" s="4" t="s">
        <v>222</v>
      </c>
      <c r="O568" s="4" t="s">
        <v>222</v>
      </c>
      <c r="P568" s="9"/>
      <c r="Q568" s="9"/>
      <c r="R568" s="87" t="s">
        <v>222</v>
      </c>
      <c r="S568" s="11" t="s">
        <v>222</v>
      </c>
      <c r="T568" s="12"/>
      <c r="U568" s="13"/>
      <c r="V568" s="12"/>
      <c r="W568" s="13"/>
      <c r="X568" s="12"/>
      <c r="Y568" s="14"/>
      <c r="Z568" s="14"/>
      <c r="AA568" s="14"/>
      <c r="AB568" s="14"/>
      <c r="AC568" s="14"/>
      <c r="AD568" s="14"/>
      <c r="AE568" s="14"/>
      <c r="AF568" s="3"/>
      <c r="AG568" s="3"/>
    </row>
    <row r="569" ht="13.5" customHeight="1">
      <c r="A569" s="3"/>
      <c r="B569" s="15"/>
      <c r="C569" s="3"/>
      <c r="D569" s="4"/>
      <c r="E569" s="5"/>
      <c r="F569" s="6"/>
      <c r="G569" s="3"/>
      <c r="H569" s="3"/>
      <c r="I569" s="7"/>
      <c r="J569" s="6" t="s">
        <v>222</v>
      </c>
      <c r="K569" s="4" t="s">
        <v>222</v>
      </c>
      <c r="L569" s="4" t="s">
        <v>222</v>
      </c>
      <c r="M569" s="4" t="s">
        <v>222</v>
      </c>
      <c r="N569" s="4" t="s">
        <v>222</v>
      </c>
      <c r="O569" s="4" t="s">
        <v>222</v>
      </c>
      <c r="P569" s="9"/>
      <c r="Q569" s="9"/>
      <c r="R569" s="87" t="s">
        <v>222</v>
      </c>
      <c r="S569" s="11" t="s">
        <v>222</v>
      </c>
      <c r="T569" s="12"/>
      <c r="U569" s="13"/>
      <c r="V569" s="12"/>
      <c r="W569" s="13"/>
      <c r="X569" s="12"/>
      <c r="Y569" s="14"/>
      <c r="Z569" s="14"/>
      <c r="AA569" s="14"/>
      <c r="AB569" s="14"/>
      <c r="AC569" s="14"/>
      <c r="AD569" s="14"/>
      <c r="AE569" s="14"/>
      <c r="AF569" s="3"/>
      <c r="AG569" s="3"/>
    </row>
    <row r="570" ht="13.5" customHeight="1">
      <c r="A570" s="3"/>
      <c r="B570" s="15"/>
      <c r="C570" s="3"/>
      <c r="D570" s="4"/>
      <c r="E570" s="5"/>
      <c r="F570" s="6"/>
      <c r="G570" s="3"/>
      <c r="H570" s="3"/>
      <c r="I570" s="7"/>
      <c r="J570" s="6" t="s">
        <v>222</v>
      </c>
      <c r="K570" s="4" t="s">
        <v>222</v>
      </c>
      <c r="L570" s="4" t="s">
        <v>222</v>
      </c>
      <c r="M570" s="4" t="s">
        <v>222</v>
      </c>
      <c r="N570" s="4" t="s">
        <v>222</v>
      </c>
      <c r="O570" s="4" t="s">
        <v>222</v>
      </c>
      <c r="P570" s="9"/>
      <c r="Q570" s="9"/>
      <c r="R570" s="87" t="s">
        <v>222</v>
      </c>
      <c r="S570" s="11" t="s">
        <v>222</v>
      </c>
      <c r="T570" s="12"/>
      <c r="U570" s="13"/>
      <c r="V570" s="12"/>
      <c r="W570" s="13"/>
      <c r="X570" s="12"/>
      <c r="Y570" s="14"/>
      <c r="Z570" s="14"/>
      <c r="AA570" s="14"/>
      <c r="AB570" s="14"/>
      <c r="AC570" s="14"/>
      <c r="AD570" s="14"/>
      <c r="AE570" s="14"/>
      <c r="AF570" s="3"/>
      <c r="AG570" s="3"/>
    </row>
    <row r="571" ht="13.5" customHeight="1">
      <c r="A571" s="3"/>
      <c r="B571" s="15"/>
      <c r="C571" s="3"/>
      <c r="D571" s="4"/>
      <c r="E571" s="5"/>
      <c r="F571" s="6"/>
      <c r="G571" s="3"/>
      <c r="H571" s="3"/>
      <c r="I571" s="7"/>
      <c r="J571" s="6" t="s">
        <v>222</v>
      </c>
      <c r="K571" s="4" t="s">
        <v>222</v>
      </c>
      <c r="L571" s="4" t="s">
        <v>222</v>
      </c>
      <c r="M571" s="4" t="s">
        <v>222</v>
      </c>
      <c r="N571" s="4" t="s">
        <v>222</v>
      </c>
      <c r="O571" s="4" t="s">
        <v>222</v>
      </c>
      <c r="P571" s="9"/>
      <c r="Q571" s="9"/>
      <c r="R571" s="87" t="s">
        <v>222</v>
      </c>
      <c r="S571" s="11" t="s">
        <v>222</v>
      </c>
      <c r="T571" s="12"/>
      <c r="U571" s="13"/>
      <c r="V571" s="12"/>
      <c r="W571" s="13"/>
      <c r="X571" s="12"/>
      <c r="Y571" s="14"/>
      <c r="Z571" s="14"/>
      <c r="AA571" s="14"/>
      <c r="AB571" s="14"/>
      <c r="AC571" s="14"/>
      <c r="AD571" s="14"/>
      <c r="AE571" s="14"/>
      <c r="AF571" s="3"/>
      <c r="AG571" s="3"/>
    </row>
    <row r="572" ht="13.5" customHeight="1">
      <c r="A572" s="3"/>
      <c r="B572" s="15"/>
      <c r="C572" s="3"/>
      <c r="D572" s="4"/>
      <c r="E572" s="5"/>
      <c r="F572" s="6"/>
      <c r="G572" s="3"/>
      <c r="H572" s="3"/>
      <c r="I572" s="7"/>
      <c r="J572" s="6" t="s">
        <v>222</v>
      </c>
      <c r="K572" s="4" t="s">
        <v>222</v>
      </c>
      <c r="L572" s="4" t="s">
        <v>222</v>
      </c>
      <c r="M572" s="4" t="s">
        <v>222</v>
      </c>
      <c r="N572" s="4" t="s">
        <v>222</v>
      </c>
      <c r="O572" s="4" t="s">
        <v>222</v>
      </c>
      <c r="P572" s="9"/>
      <c r="Q572" s="9"/>
      <c r="R572" s="87" t="s">
        <v>222</v>
      </c>
      <c r="S572" s="11" t="s">
        <v>222</v>
      </c>
      <c r="T572" s="12"/>
      <c r="U572" s="13"/>
      <c r="V572" s="12"/>
      <c r="W572" s="13"/>
      <c r="X572" s="12"/>
      <c r="Y572" s="14"/>
      <c r="Z572" s="14"/>
      <c r="AA572" s="14"/>
      <c r="AB572" s="14"/>
      <c r="AC572" s="14"/>
      <c r="AD572" s="14"/>
      <c r="AE572" s="14"/>
      <c r="AF572" s="3"/>
      <c r="AG572" s="3"/>
    </row>
    <row r="573" ht="13.5" customHeight="1">
      <c r="A573" s="3"/>
      <c r="B573" s="15"/>
      <c r="C573" s="3"/>
      <c r="D573" s="4"/>
      <c r="E573" s="5"/>
      <c r="F573" s="6"/>
      <c r="G573" s="3"/>
      <c r="H573" s="3"/>
      <c r="I573" s="7"/>
      <c r="J573" s="6" t="s">
        <v>222</v>
      </c>
      <c r="K573" s="4" t="s">
        <v>222</v>
      </c>
      <c r="L573" s="4" t="s">
        <v>222</v>
      </c>
      <c r="M573" s="4" t="s">
        <v>222</v>
      </c>
      <c r="N573" s="4" t="s">
        <v>222</v>
      </c>
      <c r="O573" s="4" t="s">
        <v>222</v>
      </c>
      <c r="P573" s="9"/>
      <c r="Q573" s="9"/>
      <c r="R573" s="87" t="s">
        <v>222</v>
      </c>
      <c r="S573" s="11" t="s">
        <v>222</v>
      </c>
      <c r="T573" s="12"/>
      <c r="U573" s="13"/>
      <c r="V573" s="12"/>
      <c r="W573" s="13"/>
      <c r="X573" s="12"/>
      <c r="Y573" s="14"/>
      <c r="Z573" s="14"/>
      <c r="AA573" s="14"/>
      <c r="AB573" s="14"/>
      <c r="AC573" s="14"/>
      <c r="AD573" s="14"/>
      <c r="AE573" s="14"/>
      <c r="AF573" s="3"/>
      <c r="AG573" s="3"/>
    </row>
    <row r="574" ht="13.5" customHeight="1">
      <c r="A574" s="3"/>
      <c r="B574" s="15"/>
      <c r="C574" s="3"/>
      <c r="D574" s="4"/>
      <c r="E574" s="5"/>
      <c r="F574" s="6"/>
      <c r="G574" s="3"/>
      <c r="H574" s="3"/>
      <c r="I574" s="7"/>
      <c r="J574" s="6" t="s">
        <v>222</v>
      </c>
      <c r="K574" s="4" t="s">
        <v>222</v>
      </c>
      <c r="L574" s="4" t="s">
        <v>222</v>
      </c>
      <c r="M574" s="4" t="s">
        <v>222</v>
      </c>
      <c r="N574" s="4" t="s">
        <v>222</v>
      </c>
      <c r="O574" s="4" t="s">
        <v>222</v>
      </c>
      <c r="P574" s="9"/>
      <c r="Q574" s="9"/>
      <c r="R574" s="87" t="s">
        <v>222</v>
      </c>
      <c r="S574" s="11" t="s">
        <v>222</v>
      </c>
      <c r="T574" s="12"/>
      <c r="U574" s="13"/>
      <c r="V574" s="12"/>
      <c r="W574" s="13"/>
      <c r="X574" s="12"/>
      <c r="Y574" s="14"/>
      <c r="Z574" s="14"/>
      <c r="AA574" s="14"/>
      <c r="AB574" s="14"/>
      <c r="AC574" s="14"/>
      <c r="AD574" s="14"/>
      <c r="AE574" s="14"/>
      <c r="AF574" s="3"/>
      <c r="AG574" s="3"/>
    </row>
    <row r="575" ht="13.5" customHeight="1">
      <c r="A575" s="3"/>
      <c r="B575" s="15"/>
      <c r="C575" s="3"/>
      <c r="D575" s="4"/>
      <c r="E575" s="5"/>
      <c r="F575" s="6"/>
      <c r="G575" s="3"/>
      <c r="H575" s="3"/>
      <c r="I575" s="7"/>
      <c r="J575" s="6" t="s">
        <v>222</v>
      </c>
      <c r="K575" s="4" t="s">
        <v>222</v>
      </c>
      <c r="L575" s="4" t="s">
        <v>222</v>
      </c>
      <c r="M575" s="4" t="s">
        <v>222</v>
      </c>
      <c r="N575" s="4" t="s">
        <v>222</v>
      </c>
      <c r="O575" s="4" t="s">
        <v>222</v>
      </c>
      <c r="P575" s="9"/>
      <c r="Q575" s="9"/>
      <c r="R575" s="87" t="s">
        <v>222</v>
      </c>
      <c r="S575" s="11" t="s">
        <v>222</v>
      </c>
      <c r="T575" s="12"/>
      <c r="U575" s="13"/>
      <c r="V575" s="12"/>
      <c r="W575" s="13"/>
      <c r="X575" s="12"/>
      <c r="Y575" s="14"/>
      <c r="Z575" s="14"/>
      <c r="AA575" s="14"/>
      <c r="AB575" s="14"/>
      <c r="AC575" s="14"/>
      <c r="AD575" s="14"/>
      <c r="AE575" s="14"/>
      <c r="AF575" s="3"/>
      <c r="AG575" s="3"/>
    </row>
    <row r="576" ht="13.5" customHeight="1">
      <c r="A576" s="3"/>
      <c r="B576" s="15"/>
      <c r="C576" s="3"/>
      <c r="D576" s="4"/>
      <c r="E576" s="5"/>
      <c r="F576" s="6"/>
      <c r="G576" s="3"/>
      <c r="H576" s="3"/>
      <c r="I576" s="7"/>
      <c r="J576" s="6" t="s">
        <v>222</v>
      </c>
      <c r="K576" s="4" t="s">
        <v>222</v>
      </c>
      <c r="L576" s="4" t="s">
        <v>222</v>
      </c>
      <c r="M576" s="4" t="s">
        <v>222</v>
      </c>
      <c r="N576" s="4" t="s">
        <v>222</v>
      </c>
      <c r="O576" s="4" t="s">
        <v>222</v>
      </c>
      <c r="P576" s="9"/>
      <c r="Q576" s="9"/>
      <c r="R576" s="87" t="s">
        <v>222</v>
      </c>
      <c r="S576" s="11" t="s">
        <v>222</v>
      </c>
      <c r="T576" s="12"/>
      <c r="U576" s="13"/>
      <c r="V576" s="12"/>
      <c r="W576" s="13"/>
      <c r="X576" s="12"/>
      <c r="Y576" s="14"/>
      <c r="Z576" s="14"/>
      <c r="AA576" s="14"/>
      <c r="AB576" s="14"/>
      <c r="AC576" s="14"/>
      <c r="AD576" s="14"/>
      <c r="AE576" s="14"/>
      <c r="AF576" s="3"/>
      <c r="AG576" s="3"/>
    </row>
    <row r="577" ht="13.5" customHeight="1">
      <c r="A577" s="3"/>
      <c r="B577" s="15"/>
      <c r="C577" s="3"/>
      <c r="D577" s="4"/>
      <c r="E577" s="5"/>
      <c r="F577" s="6"/>
      <c r="G577" s="3"/>
      <c r="H577" s="3"/>
      <c r="I577" s="7"/>
      <c r="J577" s="6" t="s">
        <v>222</v>
      </c>
      <c r="K577" s="4" t="s">
        <v>222</v>
      </c>
      <c r="L577" s="4" t="s">
        <v>222</v>
      </c>
      <c r="M577" s="4" t="s">
        <v>222</v>
      </c>
      <c r="N577" s="4" t="s">
        <v>222</v>
      </c>
      <c r="O577" s="4" t="s">
        <v>222</v>
      </c>
      <c r="P577" s="9"/>
      <c r="Q577" s="9"/>
      <c r="R577" s="87" t="s">
        <v>222</v>
      </c>
      <c r="S577" s="11" t="s">
        <v>222</v>
      </c>
      <c r="T577" s="12"/>
      <c r="U577" s="13"/>
      <c r="V577" s="12"/>
      <c r="W577" s="13"/>
      <c r="X577" s="12"/>
      <c r="Y577" s="14"/>
      <c r="Z577" s="14"/>
      <c r="AA577" s="14"/>
      <c r="AB577" s="14"/>
      <c r="AC577" s="14"/>
      <c r="AD577" s="14"/>
      <c r="AE577" s="14"/>
      <c r="AF577" s="3"/>
      <c r="AG577" s="3"/>
    </row>
    <row r="578" ht="13.5" customHeight="1">
      <c r="A578" s="3"/>
      <c r="B578" s="15"/>
      <c r="C578" s="3"/>
      <c r="D578" s="4"/>
      <c r="E578" s="5"/>
      <c r="F578" s="6"/>
      <c r="G578" s="3"/>
      <c r="H578" s="3"/>
      <c r="I578" s="7"/>
      <c r="J578" s="6" t="s">
        <v>222</v>
      </c>
      <c r="K578" s="4" t="s">
        <v>222</v>
      </c>
      <c r="L578" s="4" t="s">
        <v>222</v>
      </c>
      <c r="M578" s="4" t="s">
        <v>222</v>
      </c>
      <c r="N578" s="4" t="s">
        <v>222</v>
      </c>
      <c r="O578" s="4" t="s">
        <v>222</v>
      </c>
      <c r="P578" s="9"/>
      <c r="Q578" s="9"/>
      <c r="R578" s="87" t="s">
        <v>222</v>
      </c>
      <c r="S578" s="11" t="s">
        <v>222</v>
      </c>
      <c r="T578" s="12"/>
      <c r="U578" s="13"/>
      <c r="V578" s="12"/>
      <c r="W578" s="13"/>
      <c r="X578" s="12"/>
      <c r="Y578" s="14"/>
      <c r="Z578" s="14"/>
      <c r="AA578" s="14"/>
      <c r="AB578" s="14"/>
      <c r="AC578" s="14"/>
      <c r="AD578" s="14"/>
      <c r="AE578" s="14"/>
      <c r="AF578" s="3"/>
      <c r="AG578" s="3"/>
    </row>
    <row r="579" ht="13.5" customHeight="1">
      <c r="A579" s="3"/>
      <c r="B579" s="15"/>
      <c r="C579" s="3"/>
      <c r="D579" s="4"/>
      <c r="E579" s="5"/>
      <c r="F579" s="6"/>
      <c r="G579" s="3"/>
      <c r="H579" s="3"/>
      <c r="I579" s="7"/>
      <c r="J579" s="6" t="s">
        <v>222</v>
      </c>
      <c r="K579" s="4" t="s">
        <v>222</v>
      </c>
      <c r="L579" s="4" t="s">
        <v>222</v>
      </c>
      <c r="M579" s="4" t="s">
        <v>222</v>
      </c>
      <c r="N579" s="4" t="s">
        <v>222</v>
      </c>
      <c r="O579" s="4" t="s">
        <v>222</v>
      </c>
      <c r="P579" s="9"/>
      <c r="Q579" s="9"/>
      <c r="R579" s="87" t="s">
        <v>222</v>
      </c>
      <c r="S579" s="11" t="s">
        <v>222</v>
      </c>
      <c r="T579" s="12"/>
      <c r="U579" s="13"/>
      <c r="V579" s="12"/>
      <c r="W579" s="13"/>
      <c r="X579" s="12"/>
      <c r="Y579" s="14"/>
      <c r="Z579" s="14"/>
      <c r="AA579" s="14"/>
      <c r="AB579" s="14"/>
      <c r="AC579" s="14"/>
      <c r="AD579" s="14"/>
      <c r="AE579" s="14"/>
      <c r="AF579" s="3"/>
      <c r="AG579" s="3"/>
    </row>
    <row r="580" ht="13.5" customHeight="1">
      <c r="A580" s="3"/>
      <c r="B580" s="15"/>
      <c r="C580" s="3"/>
      <c r="D580" s="4"/>
      <c r="E580" s="5"/>
      <c r="F580" s="6"/>
      <c r="G580" s="3"/>
      <c r="H580" s="3"/>
      <c r="I580" s="7"/>
      <c r="J580" s="6" t="s">
        <v>222</v>
      </c>
      <c r="K580" s="4" t="s">
        <v>222</v>
      </c>
      <c r="L580" s="4" t="s">
        <v>222</v>
      </c>
      <c r="M580" s="4" t="s">
        <v>222</v>
      </c>
      <c r="N580" s="4" t="s">
        <v>222</v>
      </c>
      <c r="O580" s="4" t="s">
        <v>222</v>
      </c>
      <c r="P580" s="9"/>
      <c r="Q580" s="9"/>
      <c r="R580" s="87" t="s">
        <v>222</v>
      </c>
      <c r="S580" s="11" t="s">
        <v>222</v>
      </c>
      <c r="T580" s="12"/>
      <c r="U580" s="13"/>
      <c r="V580" s="12"/>
      <c r="W580" s="13"/>
      <c r="X580" s="12"/>
      <c r="Y580" s="14"/>
      <c r="Z580" s="14"/>
      <c r="AA580" s="14"/>
      <c r="AB580" s="14"/>
      <c r="AC580" s="14"/>
      <c r="AD580" s="14"/>
      <c r="AE580" s="14"/>
      <c r="AF580" s="3"/>
      <c r="AG580" s="3"/>
    </row>
    <row r="581" ht="13.5" customHeight="1">
      <c r="A581" s="3"/>
      <c r="B581" s="15"/>
      <c r="C581" s="3"/>
      <c r="D581" s="4"/>
      <c r="E581" s="5"/>
      <c r="F581" s="6"/>
      <c r="G581" s="3"/>
      <c r="H581" s="3"/>
      <c r="I581" s="7"/>
      <c r="J581" s="6" t="s">
        <v>222</v>
      </c>
      <c r="K581" s="4" t="s">
        <v>222</v>
      </c>
      <c r="L581" s="4" t="s">
        <v>222</v>
      </c>
      <c r="M581" s="4" t="s">
        <v>222</v>
      </c>
      <c r="N581" s="4" t="s">
        <v>222</v>
      </c>
      <c r="O581" s="4" t="s">
        <v>222</v>
      </c>
      <c r="P581" s="9"/>
      <c r="Q581" s="9"/>
      <c r="R581" s="87" t="s">
        <v>222</v>
      </c>
      <c r="S581" s="11" t="s">
        <v>222</v>
      </c>
      <c r="T581" s="12"/>
      <c r="U581" s="13"/>
      <c r="V581" s="12"/>
      <c r="W581" s="13"/>
      <c r="X581" s="12"/>
      <c r="Y581" s="14"/>
      <c r="Z581" s="14"/>
      <c r="AA581" s="14"/>
      <c r="AB581" s="14"/>
      <c r="AC581" s="14"/>
      <c r="AD581" s="14"/>
      <c r="AE581" s="14"/>
      <c r="AF581" s="3"/>
      <c r="AG581" s="3"/>
    </row>
    <row r="582" ht="13.5" customHeight="1">
      <c r="A582" s="3"/>
      <c r="B582" s="15"/>
      <c r="C582" s="3"/>
      <c r="D582" s="4"/>
      <c r="E582" s="5"/>
      <c r="F582" s="6"/>
      <c r="G582" s="3"/>
      <c r="H582" s="3"/>
      <c r="I582" s="7"/>
      <c r="J582" s="6" t="s">
        <v>222</v>
      </c>
      <c r="K582" s="4" t="s">
        <v>222</v>
      </c>
      <c r="L582" s="4" t="s">
        <v>222</v>
      </c>
      <c r="M582" s="4" t="s">
        <v>222</v>
      </c>
      <c r="N582" s="4" t="s">
        <v>222</v>
      </c>
      <c r="O582" s="4" t="s">
        <v>222</v>
      </c>
      <c r="P582" s="9"/>
      <c r="Q582" s="9"/>
      <c r="R582" s="87" t="s">
        <v>222</v>
      </c>
      <c r="S582" s="11" t="s">
        <v>222</v>
      </c>
      <c r="T582" s="12"/>
      <c r="U582" s="13"/>
      <c r="V582" s="12"/>
      <c r="W582" s="13"/>
      <c r="X582" s="12"/>
      <c r="Y582" s="14"/>
      <c r="Z582" s="14"/>
      <c r="AA582" s="14"/>
      <c r="AB582" s="14"/>
      <c r="AC582" s="14"/>
      <c r="AD582" s="14"/>
      <c r="AE582" s="14"/>
      <c r="AF582" s="3"/>
      <c r="AG582" s="3"/>
    </row>
    <row r="583" ht="13.5" customHeight="1">
      <c r="A583" s="3"/>
      <c r="B583" s="15"/>
      <c r="C583" s="3"/>
      <c r="D583" s="4"/>
      <c r="E583" s="5"/>
      <c r="F583" s="6"/>
      <c r="G583" s="3"/>
      <c r="H583" s="3"/>
      <c r="I583" s="7"/>
      <c r="J583" s="6" t="s">
        <v>222</v>
      </c>
      <c r="K583" s="4" t="s">
        <v>222</v>
      </c>
      <c r="L583" s="4" t="s">
        <v>222</v>
      </c>
      <c r="M583" s="4" t="s">
        <v>222</v>
      </c>
      <c r="N583" s="4" t="s">
        <v>222</v>
      </c>
      <c r="O583" s="4" t="s">
        <v>222</v>
      </c>
      <c r="P583" s="9"/>
      <c r="Q583" s="9"/>
      <c r="R583" s="87" t="s">
        <v>222</v>
      </c>
      <c r="S583" s="11" t="s">
        <v>222</v>
      </c>
      <c r="T583" s="12"/>
      <c r="U583" s="13"/>
      <c r="V583" s="12"/>
      <c r="W583" s="13"/>
      <c r="X583" s="12"/>
      <c r="Y583" s="14"/>
      <c r="Z583" s="14"/>
      <c r="AA583" s="14"/>
      <c r="AB583" s="14"/>
      <c r="AC583" s="14"/>
      <c r="AD583" s="14"/>
      <c r="AE583" s="14"/>
      <c r="AF583" s="3"/>
      <c r="AG583" s="3"/>
    </row>
    <row r="584" ht="13.5" customHeight="1">
      <c r="A584" s="3"/>
      <c r="B584" s="15"/>
      <c r="C584" s="3"/>
      <c r="D584" s="4"/>
      <c r="E584" s="5"/>
      <c r="F584" s="6"/>
      <c r="G584" s="3"/>
      <c r="H584" s="3"/>
      <c r="I584" s="7"/>
      <c r="J584" s="6" t="s">
        <v>222</v>
      </c>
      <c r="K584" s="4" t="s">
        <v>222</v>
      </c>
      <c r="L584" s="4" t="s">
        <v>222</v>
      </c>
      <c r="M584" s="4" t="s">
        <v>222</v>
      </c>
      <c r="N584" s="4" t="s">
        <v>222</v>
      </c>
      <c r="O584" s="4" t="s">
        <v>222</v>
      </c>
      <c r="P584" s="9"/>
      <c r="Q584" s="9"/>
      <c r="R584" s="87" t="s">
        <v>222</v>
      </c>
      <c r="S584" s="11" t="s">
        <v>222</v>
      </c>
      <c r="T584" s="12"/>
      <c r="U584" s="13"/>
      <c r="V584" s="12"/>
      <c r="W584" s="13"/>
      <c r="X584" s="12"/>
      <c r="Y584" s="14"/>
      <c r="Z584" s="14"/>
      <c r="AA584" s="14"/>
      <c r="AB584" s="14"/>
      <c r="AC584" s="14"/>
      <c r="AD584" s="14"/>
      <c r="AE584" s="14"/>
      <c r="AF584" s="3"/>
      <c r="AG584" s="3"/>
    </row>
    <row r="585" ht="13.5" customHeight="1">
      <c r="A585" s="3"/>
      <c r="B585" s="15"/>
      <c r="C585" s="3"/>
      <c r="D585" s="4"/>
      <c r="E585" s="5"/>
      <c r="F585" s="6"/>
      <c r="G585" s="3"/>
      <c r="H585" s="3"/>
      <c r="I585" s="7"/>
      <c r="J585" s="6" t="s">
        <v>222</v>
      </c>
      <c r="K585" s="4" t="s">
        <v>222</v>
      </c>
      <c r="L585" s="4" t="s">
        <v>222</v>
      </c>
      <c r="M585" s="4" t="s">
        <v>222</v>
      </c>
      <c r="N585" s="4" t="s">
        <v>222</v>
      </c>
      <c r="O585" s="4" t="s">
        <v>222</v>
      </c>
      <c r="P585" s="9"/>
      <c r="Q585" s="9"/>
      <c r="R585" s="87" t="s">
        <v>222</v>
      </c>
      <c r="S585" s="11" t="s">
        <v>222</v>
      </c>
      <c r="T585" s="12"/>
      <c r="U585" s="13"/>
      <c r="V585" s="12"/>
      <c r="W585" s="13"/>
      <c r="X585" s="12"/>
      <c r="Y585" s="14"/>
      <c r="Z585" s="14"/>
      <c r="AA585" s="14"/>
      <c r="AB585" s="14"/>
      <c r="AC585" s="14"/>
      <c r="AD585" s="14"/>
      <c r="AE585" s="14"/>
      <c r="AF585" s="3"/>
      <c r="AG585" s="3"/>
    </row>
    <row r="586" ht="13.5" customHeight="1">
      <c r="A586" s="3"/>
      <c r="B586" s="15"/>
      <c r="C586" s="3"/>
      <c r="D586" s="4"/>
      <c r="E586" s="5"/>
      <c r="F586" s="6"/>
      <c r="G586" s="3"/>
      <c r="H586" s="3"/>
      <c r="I586" s="7"/>
      <c r="J586" s="6" t="s">
        <v>222</v>
      </c>
      <c r="K586" s="4" t="s">
        <v>222</v>
      </c>
      <c r="L586" s="4" t="s">
        <v>222</v>
      </c>
      <c r="M586" s="4" t="s">
        <v>222</v>
      </c>
      <c r="N586" s="4" t="s">
        <v>222</v>
      </c>
      <c r="O586" s="4" t="s">
        <v>222</v>
      </c>
      <c r="P586" s="9"/>
      <c r="Q586" s="9"/>
      <c r="R586" s="87" t="s">
        <v>222</v>
      </c>
      <c r="S586" s="11" t="s">
        <v>222</v>
      </c>
      <c r="T586" s="12"/>
      <c r="U586" s="13"/>
      <c r="V586" s="12"/>
      <c r="W586" s="13"/>
      <c r="X586" s="12"/>
      <c r="Y586" s="14"/>
      <c r="Z586" s="14"/>
      <c r="AA586" s="14"/>
      <c r="AB586" s="14"/>
      <c r="AC586" s="14"/>
      <c r="AD586" s="14"/>
      <c r="AE586" s="14"/>
      <c r="AF586" s="3"/>
      <c r="AG586" s="3"/>
    </row>
    <row r="587" ht="13.5" customHeight="1">
      <c r="A587" s="3"/>
      <c r="B587" s="15"/>
      <c r="C587" s="3"/>
      <c r="D587" s="4"/>
      <c r="E587" s="5"/>
      <c r="F587" s="6"/>
      <c r="G587" s="3"/>
      <c r="H587" s="3"/>
      <c r="I587" s="7"/>
      <c r="J587" s="6" t="s">
        <v>222</v>
      </c>
      <c r="K587" s="4" t="s">
        <v>222</v>
      </c>
      <c r="L587" s="4" t="s">
        <v>222</v>
      </c>
      <c r="M587" s="4" t="s">
        <v>222</v>
      </c>
      <c r="N587" s="4" t="s">
        <v>222</v>
      </c>
      <c r="O587" s="4" t="s">
        <v>222</v>
      </c>
      <c r="P587" s="9"/>
      <c r="Q587" s="9"/>
      <c r="R587" s="87" t="s">
        <v>222</v>
      </c>
      <c r="S587" s="11" t="s">
        <v>222</v>
      </c>
      <c r="T587" s="12"/>
      <c r="U587" s="13"/>
      <c r="V587" s="12"/>
      <c r="W587" s="13"/>
      <c r="X587" s="12"/>
      <c r="Y587" s="14"/>
      <c r="Z587" s="14"/>
      <c r="AA587" s="14"/>
      <c r="AB587" s="14"/>
      <c r="AC587" s="14"/>
      <c r="AD587" s="14"/>
      <c r="AE587" s="14"/>
      <c r="AF587" s="3"/>
      <c r="AG587" s="3"/>
    </row>
    <row r="588" ht="13.5" customHeight="1">
      <c r="A588" s="3"/>
      <c r="B588" s="15"/>
      <c r="C588" s="3"/>
      <c r="D588" s="4"/>
      <c r="E588" s="5"/>
      <c r="F588" s="6"/>
      <c r="G588" s="3"/>
      <c r="H588" s="3"/>
      <c r="I588" s="7"/>
      <c r="J588" s="6" t="s">
        <v>222</v>
      </c>
      <c r="K588" s="4" t="s">
        <v>222</v>
      </c>
      <c r="L588" s="4" t="s">
        <v>222</v>
      </c>
      <c r="M588" s="4" t="s">
        <v>222</v>
      </c>
      <c r="N588" s="4" t="s">
        <v>222</v>
      </c>
      <c r="O588" s="4" t="s">
        <v>222</v>
      </c>
      <c r="P588" s="9"/>
      <c r="Q588" s="9"/>
      <c r="R588" s="87" t="s">
        <v>222</v>
      </c>
      <c r="S588" s="11" t="s">
        <v>222</v>
      </c>
      <c r="T588" s="12"/>
      <c r="U588" s="13"/>
      <c r="V588" s="12"/>
      <c r="W588" s="13"/>
      <c r="X588" s="12"/>
      <c r="Y588" s="14"/>
      <c r="Z588" s="14"/>
      <c r="AA588" s="14"/>
      <c r="AB588" s="14"/>
      <c r="AC588" s="14"/>
      <c r="AD588" s="14"/>
      <c r="AE588" s="14"/>
      <c r="AF588" s="3"/>
      <c r="AG588" s="3"/>
    </row>
    <row r="589" ht="13.5" customHeight="1">
      <c r="A589" s="3"/>
      <c r="B589" s="15"/>
      <c r="C589" s="3"/>
      <c r="D589" s="4"/>
      <c r="E589" s="5"/>
      <c r="F589" s="6"/>
      <c r="G589" s="3"/>
      <c r="H589" s="3"/>
      <c r="I589" s="7"/>
      <c r="J589" s="6" t="s">
        <v>222</v>
      </c>
      <c r="K589" s="4" t="s">
        <v>222</v>
      </c>
      <c r="L589" s="4" t="s">
        <v>222</v>
      </c>
      <c r="M589" s="4" t="s">
        <v>222</v>
      </c>
      <c r="N589" s="4" t="s">
        <v>222</v>
      </c>
      <c r="O589" s="4" t="s">
        <v>222</v>
      </c>
      <c r="P589" s="9"/>
      <c r="Q589" s="9"/>
      <c r="R589" s="87" t="s">
        <v>222</v>
      </c>
      <c r="S589" s="11" t="s">
        <v>222</v>
      </c>
      <c r="T589" s="12"/>
      <c r="U589" s="13"/>
      <c r="V589" s="12"/>
      <c r="W589" s="13"/>
      <c r="X589" s="12"/>
      <c r="Y589" s="14"/>
      <c r="Z589" s="14"/>
      <c r="AA589" s="14"/>
      <c r="AB589" s="14"/>
      <c r="AC589" s="14"/>
      <c r="AD589" s="14"/>
      <c r="AE589" s="14"/>
      <c r="AF589" s="3"/>
      <c r="AG589" s="3"/>
    </row>
    <row r="590" ht="13.5" customHeight="1">
      <c r="A590" s="3"/>
      <c r="B590" s="15"/>
      <c r="C590" s="3"/>
      <c r="D590" s="4"/>
      <c r="E590" s="5"/>
      <c r="F590" s="6"/>
      <c r="G590" s="3"/>
      <c r="H590" s="3"/>
      <c r="I590" s="7"/>
      <c r="J590" s="6" t="s">
        <v>222</v>
      </c>
      <c r="K590" s="4" t="s">
        <v>222</v>
      </c>
      <c r="L590" s="4" t="s">
        <v>222</v>
      </c>
      <c r="M590" s="4" t="s">
        <v>222</v>
      </c>
      <c r="N590" s="4" t="s">
        <v>222</v>
      </c>
      <c r="O590" s="4" t="s">
        <v>222</v>
      </c>
      <c r="P590" s="9"/>
      <c r="Q590" s="9"/>
      <c r="R590" s="87" t="s">
        <v>222</v>
      </c>
      <c r="S590" s="11" t="s">
        <v>222</v>
      </c>
      <c r="T590" s="12"/>
      <c r="U590" s="13"/>
      <c r="V590" s="12"/>
      <c r="W590" s="13"/>
      <c r="X590" s="12"/>
      <c r="Y590" s="14"/>
      <c r="Z590" s="14"/>
      <c r="AA590" s="14"/>
      <c r="AB590" s="14"/>
      <c r="AC590" s="14"/>
      <c r="AD590" s="14"/>
      <c r="AE590" s="14"/>
      <c r="AF590" s="3"/>
      <c r="AG590" s="3"/>
    </row>
    <row r="591" ht="13.5" customHeight="1">
      <c r="A591" s="3"/>
      <c r="B591" s="15"/>
      <c r="C591" s="3"/>
      <c r="D591" s="4"/>
      <c r="E591" s="5"/>
      <c r="F591" s="6"/>
      <c r="G591" s="3"/>
      <c r="H591" s="3"/>
      <c r="I591" s="7"/>
      <c r="J591" s="6" t="s">
        <v>222</v>
      </c>
      <c r="K591" s="4" t="s">
        <v>222</v>
      </c>
      <c r="L591" s="4" t="s">
        <v>222</v>
      </c>
      <c r="M591" s="4" t="s">
        <v>222</v>
      </c>
      <c r="N591" s="4" t="s">
        <v>222</v>
      </c>
      <c r="O591" s="4" t="s">
        <v>222</v>
      </c>
      <c r="P591" s="9"/>
      <c r="Q591" s="9"/>
      <c r="R591" s="87" t="s">
        <v>222</v>
      </c>
      <c r="S591" s="11" t="s">
        <v>222</v>
      </c>
      <c r="T591" s="12"/>
      <c r="U591" s="13"/>
      <c r="V591" s="12"/>
      <c r="W591" s="13"/>
      <c r="X591" s="12"/>
      <c r="Y591" s="14"/>
      <c r="Z591" s="14"/>
      <c r="AA591" s="14"/>
      <c r="AB591" s="14"/>
      <c r="AC591" s="14"/>
      <c r="AD591" s="14"/>
      <c r="AE591" s="14"/>
      <c r="AF591" s="3"/>
      <c r="AG591" s="3"/>
    </row>
    <row r="592" ht="13.5" customHeight="1">
      <c r="A592" s="3"/>
      <c r="B592" s="15"/>
      <c r="C592" s="3"/>
      <c r="D592" s="4"/>
      <c r="E592" s="5"/>
      <c r="F592" s="6"/>
      <c r="G592" s="3"/>
      <c r="H592" s="3"/>
      <c r="I592" s="7"/>
      <c r="J592" s="6" t="s">
        <v>222</v>
      </c>
      <c r="K592" s="4" t="s">
        <v>222</v>
      </c>
      <c r="L592" s="4" t="s">
        <v>222</v>
      </c>
      <c r="M592" s="4" t="s">
        <v>222</v>
      </c>
      <c r="N592" s="4" t="s">
        <v>222</v>
      </c>
      <c r="O592" s="4" t="s">
        <v>222</v>
      </c>
      <c r="P592" s="9"/>
      <c r="Q592" s="9"/>
      <c r="R592" s="87" t="s">
        <v>222</v>
      </c>
      <c r="S592" s="11" t="s">
        <v>222</v>
      </c>
      <c r="T592" s="12"/>
      <c r="U592" s="13"/>
      <c r="V592" s="12"/>
      <c r="W592" s="13"/>
      <c r="X592" s="12"/>
      <c r="Y592" s="14"/>
      <c r="Z592" s="14"/>
      <c r="AA592" s="14"/>
      <c r="AB592" s="14"/>
      <c r="AC592" s="14"/>
      <c r="AD592" s="14"/>
      <c r="AE592" s="14"/>
      <c r="AF592" s="3"/>
      <c r="AG592" s="3"/>
    </row>
    <row r="593" ht="13.5" customHeight="1">
      <c r="A593" s="3"/>
      <c r="B593" s="15"/>
      <c r="C593" s="3"/>
      <c r="D593" s="4"/>
      <c r="E593" s="5"/>
      <c r="F593" s="6"/>
      <c r="G593" s="3"/>
      <c r="H593" s="3"/>
      <c r="I593" s="7"/>
      <c r="J593" s="6" t="s">
        <v>222</v>
      </c>
      <c r="K593" s="4" t="s">
        <v>222</v>
      </c>
      <c r="L593" s="4" t="s">
        <v>222</v>
      </c>
      <c r="M593" s="4" t="s">
        <v>222</v>
      </c>
      <c r="N593" s="4" t="s">
        <v>222</v>
      </c>
      <c r="O593" s="4" t="s">
        <v>222</v>
      </c>
      <c r="P593" s="9"/>
      <c r="Q593" s="9"/>
      <c r="R593" s="87" t="s">
        <v>222</v>
      </c>
      <c r="S593" s="11" t="s">
        <v>222</v>
      </c>
      <c r="T593" s="12"/>
      <c r="U593" s="13"/>
      <c r="V593" s="12"/>
      <c r="W593" s="13"/>
      <c r="X593" s="12"/>
      <c r="Y593" s="14"/>
      <c r="Z593" s="14"/>
      <c r="AA593" s="14"/>
      <c r="AB593" s="14"/>
      <c r="AC593" s="14"/>
      <c r="AD593" s="14"/>
      <c r="AE593" s="14"/>
      <c r="AF593" s="3"/>
      <c r="AG593" s="3"/>
    </row>
    <row r="594" ht="13.5" customHeight="1">
      <c r="A594" s="3"/>
      <c r="B594" s="15"/>
      <c r="C594" s="3"/>
      <c r="D594" s="4"/>
      <c r="E594" s="5"/>
      <c r="F594" s="6"/>
      <c r="G594" s="3"/>
      <c r="H594" s="3"/>
      <c r="I594" s="7"/>
      <c r="J594" s="6" t="s">
        <v>222</v>
      </c>
      <c r="K594" s="4" t="s">
        <v>222</v>
      </c>
      <c r="L594" s="4" t="s">
        <v>222</v>
      </c>
      <c r="M594" s="4" t="s">
        <v>222</v>
      </c>
      <c r="N594" s="4" t="s">
        <v>222</v>
      </c>
      <c r="O594" s="4" t="s">
        <v>222</v>
      </c>
      <c r="P594" s="9"/>
      <c r="Q594" s="9"/>
      <c r="R594" s="87" t="s">
        <v>222</v>
      </c>
      <c r="S594" s="11" t="s">
        <v>222</v>
      </c>
      <c r="T594" s="12"/>
      <c r="U594" s="13"/>
      <c r="V594" s="12"/>
      <c r="W594" s="13"/>
      <c r="X594" s="12"/>
      <c r="Y594" s="14"/>
      <c r="Z594" s="14"/>
      <c r="AA594" s="14"/>
      <c r="AB594" s="14"/>
      <c r="AC594" s="14"/>
      <c r="AD594" s="14"/>
      <c r="AE594" s="14"/>
      <c r="AF594" s="3"/>
      <c r="AG594" s="3"/>
    </row>
    <row r="595" ht="13.5" customHeight="1">
      <c r="A595" s="3"/>
      <c r="B595" s="15"/>
      <c r="C595" s="3"/>
      <c r="D595" s="4"/>
      <c r="E595" s="5"/>
      <c r="F595" s="6"/>
      <c r="G595" s="3"/>
      <c r="H595" s="3"/>
      <c r="I595" s="7"/>
      <c r="J595" s="6" t="s">
        <v>222</v>
      </c>
      <c r="K595" s="4" t="s">
        <v>222</v>
      </c>
      <c r="L595" s="4" t="s">
        <v>222</v>
      </c>
      <c r="M595" s="4" t="s">
        <v>222</v>
      </c>
      <c r="N595" s="4" t="s">
        <v>222</v>
      </c>
      <c r="O595" s="4" t="s">
        <v>222</v>
      </c>
      <c r="P595" s="9"/>
      <c r="Q595" s="9"/>
      <c r="R595" s="87" t="s">
        <v>222</v>
      </c>
      <c r="S595" s="11" t="s">
        <v>222</v>
      </c>
      <c r="T595" s="12"/>
      <c r="U595" s="13"/>
      <c r="V595" s="12"/>
      <c r="W595" s="13"/>
      <c r="X595" s="12"/>
      <c r="Y595" s="14"/>
      <c r="Z595" s="14"/>
      <c r="AA595" s="14"/>
      <c r="AB595" s="14"/>
      <c r="AC595" s="14"/>
      <c r="AD595" s="14"/>
      <c r="AE595" s="14"/>
      <c r="AF595" s="3"/>
      <c r="AG595" s="3"/>
    </row>
    <row r="596" ht="13.5" customHeight="1">
      <c r="A596" s="3"/>
      <c r="B596" s="15"/>
      <c r="C596" s="3"/>
      <c r="D596" s="4"/>
      <c r="E596" s="5"/>
      <c r="F596" s="6"/>
      <c r="G596" s="3"/>
      <c r="H596" s="3"/>
      <c r="I596" s="7"/>
      <c r="J596" s="6" t="s">
        <v>222</v>
      </c>
      <c r="K596" s="4" t="s">
        <v>222</v>
      </c>
      <c r="L596" s="4" t="s">
        <v>222</v>
      </c>
      <c r="M596" s="4" t="s">
        <v>222</v>
      </c>
      <c r="N596" s="4" t="s">
        <v>222</v>
      </c>
      <c r="O596" s="4" t="s">
        <v>222</v>
      </c>
      <c r="P596" s="9"/>
      <c r="Q596" s="9"/>
      <c r="R596" s="87" t="s">
        <v>222</v>
      </c>
      <c r="S596" s="11" t="s">
        <v>222</v>
      </c>
      <c r="T596" s="12"/>
      <c r="U596" s="13"/>
      <c r="V596" s="12"/>
      <c r="W596" s="13"/>
      <c r="X596" s="12"/>
      <c r="Y596" s="14"/>
      <c r="Z596" s="14"/>
      <c r="AA596" s="14"/>
      <c r="AB596" s="14"/>
      <c r="AC596" s="14"/>
      <c r="AD596" s="14"/>
      <c r="AE596" s="14"/>
      <c r="AF596" s="3"/>
      <c r="AG596" s="3"/>
    </row>
    <row r="597" ht="13.5" customHeight="1">
      <c r="A597" s="3"/>
      <c r="B597" s="15"/>
      <c r="C597" s="3"/>
      <c r="D597" s="4"/>
      <c r="E597" s="5"/>
      <c r="F597" s="6"/>
      <c r="G597" s="3"/>
      <c r="H597" s="3"/>
      <c r="I597" s="7"/>
      <c r="J597" s="6" t="s">
        <v>222</v>
      </c>
      <c r="K597" s="4" t="s">
        <v>222</v>
      </c>
      <c r="L597" s="4" t="s">
        <v>222</v>
      </c>
      <c r="M597" s="4" t="s">
        <v>222</v>
      </c>
      <c r="N597" s="4" t="s">
        <v>222</v>
      </c>
      <c r="O597" s="4" t="s">
        <v>222</v>
      </c>
      <c r="P597" s="9"/>
      <c r="Q597" s="9"/>
      <c r="R597" s="87" t="s">
        <v>222</v>
      </c>
      <c r="S597" s="11" t="s">
        <v>222</v>
      </c>
      <c r="T597" s="12"/>
      <c r="U597" s="13"/>
      <c r="V597" s="12"/>
      <c r="W597" s="13"/>
      <c r="X597" s="12"/>
      <c r="Y597" s="14"/>
      <c r="Z597" s="14"/>
      <c r="AA597" s="14"/>
      <c r="AB597" s="14"/>
      <c r="AC597" s="14"/>
      <c r="AD597" s="14"/>
      <c r="AE597" s="14"/>
      <c r="AF597" s="3"/>
      <c r="AG597" s="3"/>
    </row>
    <row r="598" ht="13.5" customHeight="1">
      <c r="A598" s="3"/>
      <c r="B598" s="15"/>
      <c r="C598" s="3"/>
      <c r="D598" s="4"/>
      <c r="E598" s="5"/>
      <c r="F598" s="6"/>
      <c r="G598" s="3"/>
      <c r="H598" s="3"/>
      <c r="I598" s="7"/>
      <c r="J598" s="6" t="s">
        <v>222</v>
      </c>
      <c r="K598" s="4" t="s">
        <v>222</v>
      </c>
      <c r="L598" s="4" t="s">
        <v>222</v>
      </c>
      <c r="M598" s="4" t="s">
        <v>222</v>
      </c>
      <c r="N598" s="4" t="s">
        <v>222</v>
      </c>
      <c r="O598" s="4" t="s">
        <v>222</v>
      </c>
      <c r="P598" s="9"/>
      <c r="Q598" s="9"/>
      <c r="R598" s="87" t="s">
        <v>222</v>
      </c>
      <c r="S598" s="11" t="s">
        <v>222</v>
      </c>
      <c r="T598" s="12"/>
      <c r="U598" s="13"/>
      <c r="V598" s="12"/>
      <c r="W598" s="13"/>
      <c r="X598" s="12"/>
      <c r="Y598" s="14"/>
      <c r="Z598" s="14"/>
      <c r="AA598" s="14"/>
      <c r="AB598" s="14"/>
      <c r="AC598" s="14"/>
      <c r="AD598" s="14"/>
      <c r="AE598" s="14"/>
      <c r="AF598" s="3"/>
      <c r="AG598" s="3"/>
    </row>
    <row r="599" ht="13.5" customHeight="1">
      <c r="A599" s="3"/>
      <c r="B599" s="15"/>
      <c r="C599" s="3"/>
      <c r="D599" s="4"/>
      <c r="E599" s="5"/>
      <c r="F599" s="6"/>
      <c r="G599" s="3"/>
      <c r="H599" s="3"/>
      <c r="I599" s="7"/>
      <c r="J599" s="6" t="s">
        <v>222</v>
      </c>
      <c r="K599" s="4" t="s">
        <v>222</v>
      </c>
      <c r="L599" s="4" t="s">
        <v>222</v>
      </c>
      <c r="M599" s="4" t="s">
        <v>222</v>
      </c>
      <c r="N599" s="4" t="s">
        <v>222</v>
      </c>
      <c r="O599" s="4" t="s">
        <v>222</v>
      </c>
      <c r="P599" s="9"/>
      <c r="Q599" s="9"/>
      <c r="R599" s="87" t="s">
        <v>222</v>
      </c>
      <c r="S599" s="11" t="s">
        <v>222</v>
      </c>
      <c r="T599" s="12"/>
      <c r="U599" s="13"/>
      <c r="V599" s="12"/>
      <c r="W599" s="13"/>
      <c r="X599" s="12"/>
      <c r="Y599" s="14"/>
      <c r="Z599" s="14"/>
      <c r="AA599" s="14"/>
      <c r="AB599" s="14"/>
      <c r="AC599" s="14"/>
      <c r="AD599" s="14"/>
      <c r="AE599" s="14"/>
      <c r="AF599" s="3"/>
      <c r="AG599" s="3"/>
    </row>
    <row r="600" ht="13.5" customHeight="1">
      <c r="A600" s="3"/>
      <c r="B600" s="15"/>
      <c r="C600" s="3"/>
      <c r="D600" s="4"/>
      <c r="E600" s="5"/>
      <c r="F600" s="6"/>
      <c r="G600" s="3"/>
      <c r="H600" s="3"/>
      <c r="I600" s="7"/>
      <c r="J600" s="6" t="s">
        <v>222</v>
      </c>
      <c r="K600" s="4" t="s">
        <v>222</v>
      </c>
      <c r="L600" s="4" t="s">
        <v>222</v>
      </c>
      <c r="M600" s="4" t="s">
        <v>222</v>
      </c>
      <c r="N600" s="4" t="s">
        <v>222</v>
      </c>
      <c r="O600" s="4" t="s">
        <v>222</v>
      </c>
      <c r="P600" s="9"/>
      <c r="Q600" s="9"/>
      <c r="R600" s="87" t="s">
        <v>222</v>
      </c>
      <c r="S600" s="11" t="s">
        <v>222</v>
      </c>
      <c r="T600" s="12"/>
      <c r="U600" s="13"/>
      <c r="V600" s="12"/>
      <c r="W600" s="13"/>
      <c r="X600" s="12"/>
      <c r="Y600" s="14"/>
      <c r="Z600" s="14"/>
      <c r="AA600" s="14"/>
      <c r="AB600" s="14"/>
      <c r="AC600" s="14"/>
      <c r="AD600" s="14"/>
      <c r="AE600" s="14"/>
      <c r="AF600" s="3"/>
      <c r="AG600" s="3"/>
    </row>
    <row r="601" ht="13.5" customHeight="1">
      <c r="A601" s="3"/>
      <c r="B601" s="15"/>
      <c r="C601" s="3"/>
      <c r="D601" s="4"/>
      <c r="E601" s="5"/>
      <c r="F601" s="6"/>
      <c r="G601" s="3"/>
      <c r="H601" s="3"/>
      <c r="I601" s="7"/>
      <c r="J601" s="6" t="s">
        <v>222</v>
      </c>
      <c r="K601" s="4" t="s">
        <v>222</v>
      </c>
      <c r="L601" s="4" t="s">
        <v>222</v>
      </c>
      <c r="M601" s="4" t="s">
        <v>222</v>
      </c>
      <c r="N601" s="4" t="s">
        <v>222</v>
      </c>
      <c r="O601" s="4" t="s">
        <v>222</v>
      </c>
      <c r="P601" s="9"/>
      <c r="Q601" s="9"/>
      <c r="R601" s="87" t="s">
        <v>222</v>
      </c>
      <c r="S601" s="11" t="s">
        <v>222</v>
      </c>
      <c r="T601" s="12"/>
      <c r="U601" s="13"/>
      <c r="V601" s="12"/>
      <c r="W601" s="13"/>
      <c r="X601" s="12"/>
      <c r="Y601" s="14"/>
      <c r="Z601" s="14"/>
      <c r="AA601" s="14"/>
      <c r="AB601" s="14"/>
      <c r="AC601" s="14"/>
      <c r="AD601" s="14"/>
      <c r="AE601" s="14"/>
      <c r="AF601" s="3"/>
      <c r="AG601" s="3"/>
    </row>
    <row r="602" ht="13.5" customHeight="1">
      <c r="A602" s="3"/>
      <c r="B602" s="15"/>
      <c r="C602" s="3"/>
      <c r="D602" s="4"/>
      <c r="E602" s="5"/>
      <c r="F602" s="6"/>
      <c r="G602" s="3"/>
      <c r="H602" s="3"/>
      <c r="I602" s="7"/>
      <c r="J602" s="6" t="s">
        <v>222</v>
      </c>
      <c r="K602" s="4" t="s">
        <v>222</v>
      </c>
      <c r="L602" s="4" t="s">
        <v>222</v>
      </c>
      <c r="M602" s="4" t="s">
        <v>222</v>
      </c>
      <c r="N602" s="4" t="s">
        <v>222</v>
      </c>
      <c r="O602" s="4" t="s">
        <v>222</v>
      </c>
      <c r="P602" s="9"/>
      <c r="Q602" s="9"/>
      <c r="R602" s="87" t="s">
        <v>222</v>
      </c>
      <c r="S602" s="11" t="s">
        <v>222</v>
      </c>
      <c r="T602" s="12"/>
      <c r="U602" s="13"/>
      <c r="V602" s="12"/>
      <c r="W602" s="13"/>
      <c r="X602" s="12"/>
      <c r="Y602" s="14"/>
      <c r="Z602" s="14"/>
      <c r="AA602" s="14"/>
      <c r="AB602" s="14"/>
      <c r="AC602" s="14"/>
      <c r="AD602" s="14"/>
      <c r="AE602" s="14"/>
      <c r="AF602" s="3"/>
      <c r="AG602" s="3"/>
    </row>
    <row r="603" ht="13.5" customHeight="1">
      <c r="A603" s="3"/>
      <c r="B603" s="15"/>
      <c r="C603" s="3"/>
      <c r="D603" s="4"/>
      <c r="E603" s="5"/>
      <c r="F603" s="6"/>
      <c r="G603" s="3"/>
      <c r="H603" s="3"/>
      <c r="I603" s="7"/>
      <c r="J603" s="6" t="s">
        <v>222</v>
      </c>
      <c r="K603" s="4" t="s">
        <v>222</v>
      </c>
      <c r="L603" s="4" t="s">
        <v>222</v>
      </c>
      <c r="M603" s="4" t="s">
        <v>222</v>
      </c>
      <c r="N603" s="4" t="s">
        <v>222</v>
      </c>
      <c r="O603" s="4" t="s">
        <v>222</v>
      </c>
      <c r="P603" s="9"/>
      <c r="Q603" s="9"/>
      <c r="R603" s="87" t="s">
        <v>222</v>
      </c>
      <c r="S603" s="11" t="s">
        <v>222</v>
      </c>
      <c r="T603" s="12"/>
      <c r="U603" s="13"/>
      <c r="V603" s="12"/>
      <c r="W603" s="13"/>
      <c r="X603" s="12"/>
      <c r="Y603" s="14"/>
      <c r="Z603" s="14"/>
      <c r="AA603" s="14"/>
      <c r="AB603" s="14"/>
      <c r="AC603" s="14"/>
      <c r="AD603" s="14"/>
      <c r="AE603" s="14"/>
      <c r="AF603" s="3"/>
      <c r="AG603" s="3"/>
    </row>
    <row r="604" ht="13.5" customHeight="1">
      <c r="A604" s="3"/>
      <c r="B604" s="15"/>
      <c r="C604" s="3"/>
      <c r="D604" s="4"/>
      <c r="E604" s="5"/>
      <c r="F604" s="6"/>
      <c r="G604" s="3"/>
      <c r="H604" s="3"/>
      <c r="I604" s="7"/>
      <c r="J604" s="6" t="s">
        <v>222</v>
      </c>
      <c r="K604" s="4" t="s">
        <v>222</v>
      </c>
      <c r="L604" s="4" t="s">
        <v>222</v>
      </c>
      <c r="M604" s="4" t="s">
        <v>222</v>
      </c>
      <c r="N604" s="4" t="s">
        <v>222</v>
      </c>
      <c r="O604" s="4" t="s">
        <v>222</v>
      </c>
      <c r="P604" s="9"/>
      <c r="Q604" s="9"/>
      <c r="R604" s="87" t="s">
        <v>222</v>
      </c>
      <c r="S604" s="11" t="s">
        <v>222</v>
      </c>
      <c r="T604" s="12"/>
      <c r="U604" s="13"/>
      <c r="V604" s="12"/>
      <c r="W604" s="13"/>
      <c r="X604" s="12"/>
      <c r="Y604" s="14"/>
      <c r="Z604" s="14"/>
      <c r="AA604" s="14"/>
      <c r="AB604" s="14"/>
      <c r="AC604" s="14"/>
      <c r="AD604" s="14"/>
      <c r="AE604" s="14"/>
      <c r="AF604" s="3"/>
      <c r="AG604" s="3"/>
    </row>
    <row r="605" ht="13.5" customHeight="1">
      <c r="A605" s="3"/>
      <c r="B605" s="15"/>
      <c r="C605" s="3"/>
      <c r="D605" s="4"/>
      <c r="E605" s="5"/>
      <c r="F605" s="6"/>
      <c r="G605" s="3"/>
      <c r="H605" s="3"/>
      <c r="I605" s="7"/>
      <c r="J605" s="6" t="s">
        <v>222</v>
      </c>
      <c r="K605" s="4" t="s">
        <v>222</v>
      </c>
      <c r="L605" s="4" t="s">
        <v>222</v>
      </c>
      <c r="M605" s="4" t="s">
        <v>222</v>
      </c>
      <c r="N605" s="4" t="s">
        <v>222</v>
      </c>
      <c r="O605" s="4" t="s">
        <v>222</v>
      </c>
      <c r="P605" s="9"/>
      <c r="Q605" s="9"/>
      <c r="R605" s="87" t="s">
        <v>222</v>
      </c>
      <c r="S605" s="11" t="s">
        <v>222</v>
      </c>
      <c r="T605" s="12"/>
      <c r="U605" s="13"/>
      <c r="V605" s="12"/>
      <c r="W605" s="13"/>
      <c r="X605" s="12"/>
      <c r="Y605" s="14"/>
      <c r="Z605" s="14"/>
      <c r="AA605" s="14"/>
      <c r="AB605" s="14"/>
      <c r="AC605" s="14"/>
      <c r="AD605" s="14"/>
      <c r="AE605" s="14"/>
      <c r="AF605" s="3"/>
      <c r="AG605" s="3"/>
    </row>
    <row r="606" ht="13.5" customHeight="1">
      <c r="A606" s="3"/>
      <c r="B606" s="15"/>
      <c r="C606" s="3"/>
      <c r="D606" s="4"/>
      <c r="E606" s="5"/>
      <c r="F606" s="6"/>
      <c r="G606" s="3"/>
      <c r="H606" s="3"/>
      <c r="I606" s="7"/>
      <c r="J606" s="6" t="s">
        <v>222</v>
      </c>
      <c r="K606" s="4" t="s">
        <v>222</v>
      </c>
      <c r="L606" s="4" t="s">
        <v>222</v>
      </c>
      <c r="M606" s="4" t="s">
        <v>222</v>
      </c>
      <c r="N606" s="4" t="s">
        <v>222</v>
      </c>
      <c r="O606" s="4" t="s">
        <v>222</v>
      </c>
      <c r="P606" s="9"/>
      <c r="Q606" s="9"/>
      <c r="R606" s="87" t="s">
        <v>222</v>
      </c>
      <c r="S606" s="11" t="s">
        <v>222</v>
      </c>
      <c r="T606" s="12"/>
      <c r="U606" s="13"/>
      <c r="V606" s="12"/>
      <c r="W606" s="13"/>
      <c r="X606" s="12"/>
      <c r="Y606" s="14"/>
      <c r="Z606" s="14"/>
      <c r="AA606" s="14"/>
      <c r="AB606" s="14"/>
      <c r="AC606" s="14"/>
      <c r="AD606" s="14"/>
      <c r="AE606" s="14"/>
      <c r="AF606" s="3"/>
      <c r="AG606" s="3"/>
    </row>
    <row r="607" ht="13.5" customHeight="1">
      <c r="A607" s="3"/>
      <c r="B607" s="15"/>
      <c r="C607" s="3"/>
      <c r="D607" s="4"/>
      <c r="E607" s="5"/>
      <c r="F607" s="6"/>
      <c r="G607" s="3"/>
      <c r="H607" s="3"/>
      <c r="I607" s="7"/>
      <c r="J607" s="6" t="s">
        <v>222</v>
      </c>
      <c r="K607" s="4" t="s">
        <v>222</v>
      </c>
      <c r="L607" s="4" t="s">
        <v>222</v>
      </c>
      <c r="M607" s="4" t="s">
        <v>222</v>
      </c>
      <c r="N607" s="4" t="s">
        <v>222</v>
      </c>
      <c r="O607" s="4" t="s">
        <v>222</v>
      </c>
      <c r="P607" s="9"/>
      <c r="Q607" s="9"/>
      <c r="R607" s="87" t="s">
        <v>222</v>
      </c>
      <c r="S607" s="11" t="s">
        <v>222</v>
      </c>
      <c r="T607" s="12"/>
      <c r="U607" s="13"/>
      <c r="V607" s="12"/>
      <c r="W607" s="13"/>
      <c r="X607" s="12"/>
      <c r="Y607" s="14"/>
      <c r="Z607" s="14"/>
      <c r="AA607" s="14"/>
      <c r="AB607" s="14"/>
      <c r="AC607" s="14"/>
      <c r="AD607" s="14"/>
      <c r="AE607" s="14"/>
      <c r="AF607" s="3"/>
      <c r="AG607" s="3"/>
    </row>
    <row r="608" ht="13.5" customHeight="1">
      <c r="A608" s="3"/>
      <c r="B608" s="15"/>
      <c r="C608" s="3"/>
      <c r="D608" s="4"/>
      <c r="E608" s="5"/>
      <c r="F608" s="6"/>
      <c r="G608" s="3"/>
      <c r="H608" s="3"/>
      <c r="I608" s="7"/>
      <c r="J608" s="6" t="s">
        <v>222</v>
      </c>
      <c r="K608" s="4" t="s">
        <v>222</v>
      </c>
      <c r="L608" s="4" t="s">
        <v>222</v>
      </c>
      <c r="M608" s="4" t="s">
        <v>222</v>
      </c>
      <c r="N608" s="4" t="s">
        <v>222</v>
      </c>
      <c r="O608" s="4" t="s">
        <v>222</v>
      </c>
      <c r="P608" s="9"/>
      <c r="Q608" s="9"/>
      <c r="R608" s="87" t="s">
        <v>222</v>
      </c>
      <c r="S608" s="11" t="s">
        <v>222</v>
      </c>
      <c r="T608" s="12"/>
      <c r="U608" s="13"/>
      <c r="V608" s="12"/>
      <c r="W608" s="13"/>
      <c r="X608" s="12"/>
      <c r="Y608" s="14"/>
      <c r="Z608" s="14"/>
      <c r="AA608" s="14"/>
      <c r="AB608" s="14"/>
      <c r="AC608" s="14"/>
      <c r="AD608" s="14"/>
      <c r="AE608" s="14"/>
      <c r="AF608" s="3"/>
      <c r="AG608" s="3"/>
    </row>
    <row r="609" ht="13.5" customHeight="1">
      <c r="A609" s="3"/>
      <c r="B609" s="15"/>
      <c r="C609" s="3"/>
      <c r="D609" s="4"/>
      <c r="E609" s="5"/>
      <c r="F609" s="6"/>
      <c r="G609" s="3"/>
      <c r="H609" s="3"/>
      <c r="I609" s="7"/>
      <c r="J609" s="6" t="s">
        <v>222</v>
      </c>
      <c r="K609" s="4" t="s">
        <v>222</v>
      </c>
      <c r="L609" s="4" t="s">
        <v>222</v>
      </c>
      <c r="M609" s="4" t="s">
        <v>222</v>
      </c>
      <c r="N609" s="4" t="s">
        <v>222</v>
      </c>
      <c r="O609" s="4" t="s">
        <v>222</v>
      </c>
      <c r="P609" s="9"/>
      <c r="Q609" s="9"/>
      <c r="R609" s="87" t="s">
        <v>222</v>
      </c>
      <c r="S609" s="11" t="s">
        <v>222</v>
      </c>
      <c r="T609" s="12"/>
      <c r="U609" s="13"/>
      <c r="V609" s="12"/>
      <c r="W609" s="13"/>
      <c r="X609" s="12"/>
      <c r="Y609" s="14"/>
      <c r="Z609" s="14"/>
      <c r="AA609" s="14"/>
      <c r="AB609" s="14"/>
      <c r="AC609" s="14"/>
      <c r="AD609" s="14"/>
      <c r="AE609" s="14"/>
      <c r="AF609" s="3"/>
      <c r="AG609" s="3"/>
    </row>
    <row r="610" ht="13.5" customHeight="1">
      <c r="A610" s="3"/>
      <c r="B610" s="15"/>
      <c r="C610" s="3"/>
      <c r="D610" s="4"/>
      <c r="E610" s="5"/>
      <c r="F610" s="6"/>
      <c r="G610" s="3"/>
      <c r="H610" s="3"/>
      <c r="I610" s="7"/>
      <c r="J610" s="6" t="s">
        <v>222</v>
      </c>
      <c r="K610" s="4" t="s">
        <v>222</v>
      </c>
      <c r="L610" s="4" t="s">
        <v>222</v>
      </c>
      <c r="M610" s="4" t="s">
        <v>222</v>
      </c>
      <c r="N610" s="4" t="s">
        <v>222</v>
      </c>
      <c r="O610" s="4" t="s">
        <v>222</v>
      </c>
      <c r="P610" s="9"/>
      <c r="Q610" s="9"/>
      <c r="R610" s="87" t="s">
        <v>222</v>
      </c>
      <c r="S610" s="11" t="s">
        <v>222</v>
      </c>
      <c r="T610" s="12"/>
      <c r="U610" s="13"/>
      <c r="V610" s="12"/>
      <c r="W610" s="13"/>
      <c r="X610" s="12"/>
      <c r="Y610" s="14"/>
      <c r="Z610" s="14"/>
      <c r="AA610" s="14"/>
      <c r="AB610" s="14"/>
      <c r="AC610" s="14"/>
      <c r="AD610" s="14"/>
      <c r="AE610" s="14"/>
      <c r="AF610" s="3"/>
      <c r="AG610" s="3"/>
    </row>
    <row r="611" ht="13.5" customHeight="1">
      <c r="A611" s="3"/>
      <c r="B611" s="15"/>
      <c r="C611" s="3"/>
      <c r="D611" s="4"/>
      <c r="E611" s="5"/>
      <c r="F611" s="6"/>
      <c r="G611" s="3"/>
      <c r="H611" s="3"/>
      <c r="I611" s="7"/>
      <c r="J611" s="6" t="s">
        <v>222</v>
      </c>
      <c r="K611" s="4" t="s">
        <v>222</v>
      </c>
      <c r="L611" s="4" t="s">
        <v>222</v>
      </c>
      <c r="M611" s="4" t="s">
        <v>222</v>
      </c>
      <c r="N611" s="4" t="s">
        <v>222</v>
      </c>
      <c r="O611" s="4" t="s">
        <v>222</v>
      </c>
      <c r="P611" s="9"/>
      <c r="Q611" s="9"/>
      <c r="R611" s="87" t="s">
        <v>222</v>
      </c>
      <c r="S611" s="11" t="s">
        <v>222</v>
      </c>
      <c r="T611" s="12"/>
      <c r="U611" s="13"/>
      <c r="V611" s="12"/>
      <c r="W611" s="13"/>
      <c r="X611" s="12"/>
      <c r="Y611" s="14"/>
      <c r="Z611" s="14"/>
      <c r="AA611" s="14"/>
      <c r="AB611" s="14"/>
      <c r="AC611" s="14"/>
      <c r="AD611" s="14"/>
      <c r="AE611" s="14"/>
      <c r="AF611" s="3"/>
      <c r="AG611" s="3"/>
    </row>
    <row r="612" ht="13.5" customHeight="1">
      <c r="A612" s="3"/>
      <c r="B612" s="15"/>
      <c r="C612" s="3"/>
      <c r="D612" s="4"/>
      <c r="E612" s="5"/>
      <c r="F612" s="6"/>
      <c r="G612" s="3"/>
      <c r="H612" s="3"/>
      <c r="I612" s="7"/>
      <c r="J612" s="6" t="s">
        <v>222</v>
      </c>
      <c r="K612" s="4" t="s">
        <v>222</v>
      </c>
      <c r="L612" s="4" t="s">
        <v>222</v>
      </c>
      <c r="M612" s="4" t="s">
        <v>222</v>
      </c>
      <c r="N612" s="4" t="s">
        <v>222</v>
      </c>
      <c r="O612" s="4" t="s">
        <v>222</v>
      </c>
      <c r="P612" s="9"/>
      <c r="Q612" s="9"/>
      <c r="R612" s="87" t="s">
        <v>222</v>
      </c>
      <c r="S612" s="11" t="s">
        <v>222</v>
      </c>
      <c r="T612" s="12"/>
      <c r="U612" s="13"/>
      <c r="V612" s="12"/>
      <c r="W612" s="13"/>
      <c r="X612" s="12"/>
      <c r="Y612" s="14"/>
      <c r="Z612" s="14"/>
      <c r="AA612" s="14"/>
      <c r="AB612" s="14"/>
      <c r="AC612" s="14"/>
      <c r="AD612" s="14"/>
      <c r="AE612" s="14"/>
      <c r="AF612" s="3"/>
      <c r="AG612" s="3"/>
    </row>
    <row r="613" ht="13.5" customHeight="1">
      <c r="A613" s="3"/>
      <c r="B613" s="15"/>
      <c r="C613" s="3"/>
      <c r="D613" s="4"/>
      <c r="E613" s="5"/>
      <c r="F613" s="6"/>
      <c r="G613" s="3"/>
      <c r="H613" s="3"/>
      <c r="I613" s="7"/>
      <c r="J613" s="6" t="s">
        <v>222</v>
      </c>
      <c r="K613" s="4" t="s">
        <v>222</v>
      </c>
      <c r="L613" s="4" t="s">
        <v>222</v>
      </c>
      <c r="M613" s="4" t="s">
        <v>222</v>
      </c>
      <c r="N613" s="4" t="s">
        <v>222</v>
      </c>
      <c r="O613" s="4" t="s">
        <v>222</v>
      </c>
      <c r="P613" s="9"/>
      <c r="Q613" s="9"/>
      <c r="R613" s="87" t="s">
        <v>222</v>
      </c>
      <c r="S613" s="11" t="s">
        <v>222</v>
      </c>
      <c r="T613" s="12"/>
      <c r="U613" s="13"/>
      <c r="V613" s="12"/>
      <c r="W613" s="13"/>
      <c r="X613" s="12"/>
      <c r="Y613" s="14"/>
      <c r="Z613" s="14"/>
      <c r="AA613" s="14"/>
      <c r="AB613" s="14"/>
      <c r="AC613" s="14"/>
      <c r="AD613" s="14"/>
      <c r="AE613" s="14"/>
      <c r="AF613" s="3"/>
      <c r="AG613" s="3"/>
    </row>
    <row r="614" ht="13.5" customHeight="1">
      <c r="A614" s="3"/>
      <c r="B614" s="15"/>
      <c r="C614" s="3"/>
      <c r="D614" s="4"/>
      <c r="E614" s="5"/>
      <c r="F614" s="6"/>
      <c r="G614" s="3"/>
      <c r="H614" s="3"/>
      <c r="I614" s="7"/>
      <c r="J614" s="6" t="s">
        <v>222</v>
      </c>
      <c r="K614" s="4" t="s">
        <v>222</v>
      </c>
      <c r="L614" s="4" t="s">
        <v>222</v>
      </c>
      <c r="M614" s="4" t="s">
        <v>222</v>
      </c>
      <c r="N614" s="4" t="s">
        <v>222</v>
      </c>
      <c r="O614" s="4" t="s">
        <v>222</v>
      </c>
      <c r="P614" s="9"/>
      <c r="Q614" s="9"/>
      <c r="R614" s="87" t="s">
        <v>222</v>
      </c>
      <c r="S614" s="11" t="s">
        <v>222</v>
      </c>
      <c r="T614" s="12"/>
      <c r="U614" s="13"/>
      <c r="V614" s="12"/>
      <c r="W614" s="13"/>
      <c r="X614" s="12"/>
      <c r="Y614" s="14"/>
      <c r="Z614" s="14"/>
      <c r="AA614" s="14"/>
      <c r="AB614" s="14"/>
      <c r="AC614" s="14"/>
      <c r="AD614" s="14"/>
      <c r="AE614" s="14"/>
      <c r="AF614" s="3"/>
      <c r="AG614" s="3"/>
    </row>
    <row r="615" ht="13.5" customHeight="1">
      <c r="A615" s="3"/>
      <c r="B615" s="15"/>
      <c r="C615" s="3"/>
      <c r="D615" s="4"/>
      <c r="E615" s="5"/>
      <c r="F615" s="6"/>
      <c r="G615" s="3"/>
      <c r="H615" s="3"/>
      <c r="I615" s="7"/>
      <c r="J615" s="6" t="s">
        <v>222</v>
      </c>
      <c r="K615" s="4" t="s">
        <v>222</v>
      </c>
      <c r="L615" s="4" t="s">
        <v>222</v>
      </c>
      <c r="M615" s="4" t="s">
        <v>222</v>
      </c>
      <c r="N615" s="4" t="s">
        <v>222</v>
      </c>
      <c r="O615" s="4" t="s">
        <v>222</v>
      </c>
      <c r="P615" s="9"/>
      <c r="Q615" s="9"/>
      <c r="R615" s="87" t="s">
        <v>222</v>
      </c>
      <c r="S615" s="11" t="s">
        <v>222</v>
      </c>
      <c r="T615" s="12"/>
      <c r="U615" s="13"/>
      <c r="V615" s="12"/>
      <c r="W615" s="13"/>
      <c r="X615" s="12"/>
      <c r="Y615" s="14"/>
      <c r="Z615" s="14"/>
      <c r="AA615" s="14"/>
      <c r="AB615" s="14"/>
      <c r="AC615" s="14"/>
      <c r="AD615" s="14"/>
      <c r="AE615" s="14"/>
      <c r="AF615" s="3"/>
      <c r="AG615" s="3"/>
    </row>
    <row r="616" ht="13.5" customHeight="1">
      <c r="A616" s="3"/>
      <c r="B616" s="15"/>
      <c r="C616" s="3"/>
      <c r="D616" s="4"/>
      <c r="E616" s="5"/>
      <c r="F616" s="6"/>
      <c r="G616" s="3"/>
      <c r="H616" s="3"/>
      <c r="I616" s="7"/>
      <c r="J616" s="6" t="s">
        <v>222</v>
      </c>
      <c r="K616" s="4" t="s">
        <v>222</v>
      </c>
      <c r="L616" s="4" t="s">
        <v>222</v>
      </c>
      <c r="M616" s="4" t="s">
        <v>222</v>
      </c>
      <c r="N616" s="4" t="s">
        <v>222</v>
      </c>
      <c r="O616" s="4" t="s">
        <v>222</v>
      </c>
      <c r="P616" s="9"/>
      <c r="Q616" s="9"/>
      <c r="R616" s="87" t="s">
        <v>222</v>
      </c>
      <c r="S616" s="11" t="s">
        <v>222</v>
      </c>
      <c r="T616" s="12"/>
      <c r="U616" s="13"/>
      <c r="V616" s="12"/>
      <c r="W616" s="13"/>
      <c r="X616" s="12"/>
      <c r="Y616" s="14"/>
      <c r="Z616" s="14"/>
      <c r="AA616" s="14"/>
      <c r="AB616" s="14"/>
      <c r="AC616" s="14"/>
      <c r="AD616" s="14"/>
      <c r="AE616" s="14"/>
      <c r="AF616" s="3"/>
      <c r="AG616" s="3"/>
    </row>
    <row r="617" ht="13.5" customHeight="1">
      <c r="A617" s="3"/>
      <c r="B617" s="15"/>
      <c r="C617" s="3"/>
      <c r="D617" s="4"/>
      <c r="E617" s="5"/>
      <c r="F617" s="6"/>
      <c r="G617" s="3"/>
      <c r="H617" s="3"/>
      <c r="I617" s="7"/>
      <c r="J617" s="6" t="s">
        <v>222</v>
      </c>
      <c r="K617" s="4" t="s">
        <v>222</v>
      </c>
      <c r="L617" s="4" t="s">
        <v>222</v>
      </c>
      <c r="M617" s="4" t="s">
        <v>222</v>
      </c>
      <c r="N617" s="4" t="s">
        <v>222</v>
      </c>
      <c r="O617" s="4" t="s">
        <v>222</v>
      </c>
      <c r="P617" s="9"/>
      <c r="Q617" s="9"/>
      <c r="R617" s="87" t="s">
        <v>222</v>
      </c>
      <c r="S617" s="11" t="s">
        <v>222</v>
      </c>
      <c r="T617" s="12"/>
      <c r="U617" s="13"/>
      <c r="V617" s="12"/>
      <c r="W617" s="13"/>
      <c r="X617" s="12"/>
      <c r="Y617" s="14"/>
      <c r="Z617" s="14"/>
      <c r="AA617" s="14"/>
      <c r="AB617" s="14"/>
      <c r="AC617" s="14"/>
      <c r="AD617" s="14"/>
      <c r="AE617" s="14"/>
      <c r="AF617" s="3"/>
      <c r="AG617" s="3"/>
    </row>
    <row r="618" ht="13.5" customHeight="1">
      <c r="A618" s="3"/>
      <c r="B618" s="15"/>
      <c r="C618" s="3"/>
      <c r="D618" s="4"/>
      <c r="E618" s="5"/>
      <c r="F618" s="6"/>
      <c r="G618" s="3"/>
      <c r="H618" s="3"/>
      <c r="I618" s="7"/>
      <c r="J618" s="6" t="s">
        <v>222</v>
      </c>
      <c r="K618" s="4" t="s">
        <v>222</v>
      </c>
      <c r="L618" s="4" t="s">
        <v>222</v>
      </c>
      <c r="M618" s="4" t="s">
        <v>222</v>
      </c>
      <c r="N618" s="4" t="s">
        <v>222</v>
      </c>
      <c r="O618" s="4" t="s">
        <v>222</v>
      </c>
      <c r="P618" s="9"/>
      <c r="Q618" s="9"/>
      <c r="R618" s="87" t="s">
        <v>222</v>
      </c>
      <c r="S618" s="11" t="s">
        <v>222</v>
      </c>
      <c r="T618" s="12"/>
      <c r="U618" s="13"/>
      <c r="V618" s="12"/>
      <c r="W618" s="13"/>
      <c r="X618" s="12"/>
      <c r="Y618" s="14"/>
      <c r="Z618" s="14"/>
      <c r="AA618" s="14"/>
      <c r="AB618" s="14"/>
      <c r="AC618" s="14"/>
      <c r="AD618" s="14"/>
      <c r="AE618" s="14"/>
      <c r="AF618" s="3"/>
      <c r="AG618" s="3"/>
    </row>
    <row r="619" ht="13.5" customHeight="1">
      <c r="A619" s="3"/>
      <c r="B619" s="15"/>
      <c r="C619" s="3"/>
      <c r="D619" s="4"/>
      <c r="E619" s="5"/>
      <c r="F619" s="6"/>
      <c r="G619" s="3"/>
      <c r="H619" s="3"/>
      <c r="I619" s="7"/>
      <c r="J619" s="6" t="s">
        <v>222</v>
      </c>
      <c r="K619" s="4" t="s">
        <v>222</v>
      </c>
      <c r="L619" s="4" t="s">
        <v>222</v>
      </c>
      <c r="M619" s="4" t="s">
        <v>222</v>
      </c>
      <c r="N619" s="4" t="s">
        <v>222</v>
      </c>
      <c r="O619" s="4" t="s">
        <v>222</v>
      </c>
      <c r="P619" s="9"/>
      <c r="Q619" s="9"/>
      <c r="R619" s="87" t="s">
        <v>222</v>
      </c>
      <c r="S619" s="11" t="s">
        <v>222</v>
      </c>
      <c r="T619" s="12"/>
      <c r="U619" s="13"/>
      <c r="V619" s="12"/>
      <c r="W619" s="13"/>
      <c r="X619" s="12"/>
      <c r="Y619" s="14"/>
      <c r="Z619" s="14"/>
      <c r="AA619" s="14"/>
      <c r="AB619" s="14"/>
      <c r="AC619" s="14"/>
      <c r="AD619" s="14"/>
      <c r="AE619" s="14"/>
      <c r="AF619" s="3"/>
      <c r="AG619" s="3"/>
    </row>
    <row r="620" ht="13.5" customHeight="1">
      <c r="A620" s="3"/>
      <c r="B620" s="15"/>
      <c r="C620" s="3"/>
      <c r="D620" s="4"/>
      <c r="E620" s="5"/>
      <c r="F620" s="6"/>
      <c r="G620" s="3"/>
      <c r="H620" s="3"/>
      <c r="I620" s="7"/>
      <c r="J620" s="6" t="s">
        <v>222</v>
      </c>
      <c r="K620" s="4" t="s">
        <v>222</v>
      </c>
      <c r="L620" s="4" t="s">
        <v>222</v>
      </c>
      <c r="M620" s="4" t="s">
        <v>222</v>
      </c>
      <c r="N620" s="4" t="s">
        <v>222</v>
      </c>
      <c r="O620" s="4" t="s">
        <v>222</v>
      </c>
      <c r="P620" s="9"/>
      <c r="Q620" s="9"/>
      <c r="R620" s="87" t="s">
        <v>222</v>
      </c>
      <c r="S620" s="11" t="s">
        <v>222</v>
      </c>
      <c r="T620" s="12"/>
      <c r="U620" s="13"/>
      <c r="V620" s="12"/>
      <c r="W620" s="13"/>
      <c r="X620" s="12"/>
      <c r="Y620" s="14"/>
      <c r="Z620" s="14"/>
      <c r="AA620" s="14"/>
      <c r="AB620" s="14"/>
      <c r="AC620" s="14"/>
      <c r="AD620" s="14"/>
      <c r="AE620" s="14"/>
      <c r="AF620" s="3"/>
      <c r="AG620" s="3"/>
    </row>
    <row r="621" ht="13.5" customHeight="1">
      <c r="A621" s="3"/>
      <c r="B621" s="15"/>
      <c r="C621" s="3"/>
      <c r="D621" s="4"/>
      <c r="E621" s="5"/>
      <c r="F621" s="6"/>
      <c r="G621" s="3"/>
      <c r="H621" s="3"/>
      <c r="I621" s="7"/>
      <c r="J621" s="6" t="s">
        <v>222</v>
      </c>
      <c r="K621" s="4" t="s">
        <v>222</v>
      </c>
      <c r="L621" s="4" t="s">
        <v>222</v>
      </c>
      <c r="M621" s="4" t="s">
        <v>222</v>
      </c>
      <c r="N621" s="4" t="s">
        <v>222</v>
      </c>
      <c r="O621" s="4" t="s">
        <v>222</v>
      </c>
      <c r="P621" s="9"/>
      <c r="Q621" s="9"/>
      <c r="R621" s="87" t="s">
        <v>222</v>
      </c>
      <c r="S621" s="11" t="s">
        <v>222</v>
      </c>
      <c r="T621" s="12"/>
      <c r="U621" s="13"/>
      <c r="V621" s="12"/>
      <c r="W621" s="13"/>
      <c r="X621" s="12"/>
      <c r="Y621" s="14"/>
      <c r="Z621" s="14"/>
      <c r="AA621" s="14"/>
      <c r="AB621" s="14"/>
      <c r="AC621" s="14"/>
      <c r="AD621" s="14"/>
      <c r="AE621" s="14"/>
      <c r="AF621" s="3"/>
      <c r="AG621" s="3"/>
    </row>
    <row r="622" ht="13.5" customHeight="1">
      <c r="A622" s="3"/>
      <c r="B622" s="15"/>
      <c r="C622" s="3"/>
      <c r="D622" s="4"/>
      <c r="E622" s="5"/>
      <c r="F622" s="6"/>
      <c r="G622" s="3"/>
      <c r="H622" s="3"/>
      <c r="I622" s="7"/>
      <c r="J622" s="6" t="s">
        <v>222</v>
      </c>
      <c r="K622" s="4" t="s">
        <v>222</v>
      </c>
      <c r="L622" s="4" t="s">
        <v>222</v>
      </c>
      <c r="M622" s="4" t="s">
        <v>222</v>
      </c>
      <c r="N622" s="4" t="s">
        <v>222</v>
      </c>
      <c r="O622" s="4" t="s">
        <v>222</v>
      </c>
      <c r="P622" s="9"/>
      <c r="Q622" s="9"/>
      <c r="R622" s="87" t="s">
        <v>222</v>
      </c>
      <c r="S622" s="11" t="s">
        <v>222</v>
      </c>
      <c r="T622" s="12"/>
      <c r="U622" s="13"/>
      <c r="V622" s="12"/>
      <c r="W622" s="13"/>
      <c r="X622" s="12"/>
      <c r="Y622" s="14"/>
      <c r="Z622" s="14"/>
      <c r="AA622" s="14"/>
      <c r="AB622" s="14"/>
      <c r="AC622" s="14"/>
      <c r="AD622" s="14"/>
      <c r="AE622" s="14"/>
      <c r="AF622" s="3"/>
      <c r="AG622" s="3"/>
    </row>
    <row r="623" ht="13.5" customHeight="1">
      <c r="A623" s="3"/>
      <c r="B623" s="15"/>
      <c r="C623" s="3"/>
      <c r="D623" s="4"/>
      <c r="E623" s="5"/>
      <c r="F623" s="6"/>
      <c r="G623" s="3"/>
      <c r="H623" s="3"/>
      <c r="I623" s="7"/>
      <c r="J623" s="6" t="s">
        <v>222</v>
      </c>
      <c r="K623" s="4" t="s">
        <v>222</v>
      </c>
      <c r="L623" s="4" t="s">
        <v>222</v>
      </c>
      <c r="M623" s="4" t="s">
        <v>222</v>
      </c>
      <c r="N623" s="4" t="s">
        <v>222</v>
      </c>
      <c r="O623" s="4" t="s">
        <v>222</v>
      </c>
      <c r="P623" s="9"/>
      <c r="Q623" s="9"/>
      <c r="R623" s="87" t="s">
        <v>222</v>
      </c>
      <c r="S623" s="11" t="s">
        <v>222</v>
      </c>
      <c r="T623" s="12"/>
      <c r="U623" s="13"/>
      <c r="V623" s="12"/>
      <c r="W623" s="13"/>
      <c r="X623" s="12"/>
      <c r="Y623" s="14"/>
      <c r="Z623" s="14"/>
      <c r="AA623" s="14"/>
      <c r="AB623" s="14"/>
      <c r="AC623" s="14"/>
      <c r="AD623" s="14"/>
      <c r="AE623" s="14"/>
      <c r="AF623" s="3"/>
      <c r="AG623" s="3"/>
    </row>
    <row r="624" ht="13.5" customHeight="1">
      <c r="A624" s="3"/>
      <c r="B624" s="15"/>
      <c r="C624" s="3"/>
      <c r="D624" s="4"/>
      <c r="E624" s="5"/>
      <c r="F624" s="6"/>
      <c r="G624" s="3"/>
      <c r="H624" s="3"/>
      <c r="I624" s="7"/>
      <c r="J624" s="6" t="s">
        <v>222</v>
      </c>
      <c r="K624" s="4" t="s">
        <v>222</v>
      </c>
      <c r="L624" s="4" t="s">
        <v>222</v>
      </c>
      <c r="M624" s="4" t="s">
        <v>222</v>
      </c>
      <c r="N624" s="4" t="s">
        <v>222</v>
      </c>
      <c r="O624" s="4" t="s">
        <v>222</v>
      </c>
      <c r="P624" s="9"/>
      <c r="Q624" s="9"/>
      <c r="R624" s="87" t="s">
        <v>222</v>
      </c>
      <c r="S624" s="11" t="s">
        <v>222</v>
      </c>
      <c r="T624" s="12"/>
      <c r="U624" s="13"/>
      <c r="V624" s="12"/>
      <c r="W624" s="13"/>
      <c r="X624" s="12"/>
      <c r="Y624" s="14"/>
      <c r="Z624" s="14"/>
      <c r="AA624" s="14"/>
      <c r="AB624" s="14"/>
      <c r="AC624" s="14"/>
      <c r="AD624" s="14"/>
      <c r="AE624" s="14"/>
      <c r="AF624" s="3"/>
      <c r="AG624" s="3"/>
    </row>
    <row r="625" ht="13.5" customHeight="1">
      <c r="A625" s="3"/>
      <c r="B625" s="15"/>
      <c r="C625" s="3"/>
      <c r="D625" s="4"/>
      <c r="E625" s="5"/>
      <c r="F625" s="6"/>
      <c r="G625" s="3"/>
      <c r="H625" s="3"/>
      <c r="I625" s="7"/>
      <c r="J625" s="6" t="s">
        <v>222</v>
      </c>
      <c r="K625" s="4" t="s">
        <v>222</v>
      </c>
      <c r="L625" s="4" t="s">
        <v>222</v>
      </c>
      <c r="M625" s="4" t="s">
        <v>222</v>
      </c>
      <c r="N625" s="4" t="s">
        <v>222</v>
      </c>
      <c r="O625" s="4" t="s">
        <v>222</v>
      </c>
      <c r="P625" s="9"/>
      <c r="Q625" s="9"/>
      <c r="R625" s="87" t="s">
        <v>222</v>
      </c>
      <c r="S625" s="11" t="s">
        <v>222</v>
      </c>
      <c r="T625" s="12"/>
      <c r="U625" s="13"/>
      <c r="V625" s="12"/>
      <c r="W625" s="13"/>
      <c r="X625" s="12"/>
      <c r="Y625" s="14"/>
      <c r="Z625" s="14"/>
      <c r="AA625" s="14"/>
      <c r="AB625" s="14"/>
      <c r="AC625" s="14"/>
      <c r="AD625" s="14"/>
      <c r="AE625" s="14"/>
      <c r="AF625" s="3"/>
      <c r="AG625" s="3"/>
    </row>
    <row r="626" ht="13.5" customHeight="1">
      <c r="A626" s="3"/>
      <c r="B626" s="15"/>
      <c r="C626" s="3"/>
      <c r="D626" s="4"/>
      <c r="E626" s="5"/>
      <c r="F626" s="6"/>
      <c r="G626" s="3"/>
      <c r="H626" s="3"/>
      <c r="I626" s="7"/>
      <c r="J626" s="6" t="s">
        <v>222</v>
      </c>
      <c r="K626" s="4" t="s">
        <v>222</v>
      </c>
      <c r="L626" s="4" t="s">
        <v>222</v>
      </c>
      <c r="M626" s="4" t="s">
        <v>222</v>
      </c>
      <c r="N626" s="4" t="s">
        <v>222</v>
      </c>
      <c r="O626" s="4" t="s">
        <v>222</v>
      </c>
      <c r="P626" s="9"/>
      <c r="Q626" s="9"/>
      <c r="R626" s="87" t="s">
        <v>222</v>
      </c>
      <c r="S626" s="11" t="s">
        <v>222</v>
      </c>
      <c r="T626" s="12"/>
      <c r="U626" s="13"/>
      <c r="V626" s="12"/>
      <c r="W626" s="13"/>
      <c r="X626" s="12"/>
      <c r="Y626" s="14"/>
      <c r="Z626" s="14"/>
      <c r="AA626" s="14"/>
      <c r="AB626" s="14"/>
      <c r="AC626" s="14"/>
      <c r="AD626" s="14"/>
      <c r="AE626" s="14"/>
      <c r="AF626" s="3"/>
      <c r="AG626" s="3"/>
    </row>
    <row r="627" ht="13.5" customHeight="1">
      <c r="A627" s="3"/>
      <c r="B627" s="15"/>
      <c r="C627" s="3"/>
      <c r="D627" s="4"/>
      <c r="E627" s="5"/>
      <c r="F627" s="6"/>
      <c r="G627" s="3"/>
      <c r="H627" s="3"/>
      <c r="I627" s="7"/>
      <c r="J627" s="6" t="s">
        <v>222</v>
      </c>
      <c r="K627" s="4" t="s">
        <v>222</v>
      </c>
      <c r="L627" s="4" t="s">
        <v>222</v>
      </c>
      <c r="M627" s="4" t="s">
        <v>222</v>
      </c>
      <c r="N627" s="4" t="s">
        <v>222</v>
      </c>
      <c r="O627" s="4" t="s">
        <v>222</v>
      </c>
      <c r="P627" s="9"/>
      <c r="Q627" s="9"/>
      <c r="R627" s="87" t="s">
        <v>222</v>
      </c>
      <c r="S627" s="11" t="s">
        <v>222</v>
      </c>
      <c r="T627" s="12"/>
      <c r="U627" s="13"/>
      <c r="V627" s="12"/>
      <c r="W627" s="13"/>
      <c r="X627" s="12"/>
      <c r="Y627" s="14"/>
      <c r="Z627" s="14"/>
      <c r="AA627" s="14"/>
      <c r="AB627" s="14"/>
      <c r="AC627" s="14"/>
      <c r="AD627" s="14"/>
      <c r="AE627" s="14"/>
      <c r="AF627" s="3"/>
      <c r="AG627" s="3"/>
    </row>
    <row r="628" ht="13.5" customHeight="1">
      <c r="A628" s="3"/>
      <c r="B628" s="15"/>
      <c r="C628" s="3"/>
      <c r="D628" s="4"/>
      <c r="E628" s="5"/>
      <c r="F628" s="6"/>
      <c r="G628" s="3"/>
      <c r="H628" s="3"/>
      <c r="I628" s="7"/>
      <c r="J628" s="6" t="s">
        <v>222</v>
      </c>
      <c r="K628" s="4" t="s">
        <v>222</v>
      </c>
      <c r="L628" s="4" t="s">
        <v>222</v>
      </c>
      <c r="M628" s="4" t="s">
        <v>222</v>
      </c>
      <c r="N628" s="4" t="s">
        <v>222</v>
      </c>
      <c r="O628" s="4" t="s">
        <v>222</v>
      </c>
      <c r="P628" s="9"/>
      <c r="Q628" s="9"/>
      <c r="R628" s="87" t="s">
        <v>222</v>
      </c>
      <c r="S628" s="11" t="s">
        <v>222</v>
      </c>
      <c r="T628" s="12"/>
      <c r="U628" s="13"/>
      <c r="V628" s="12"/>
      <c r="W628" s="13"/>
      <c r="X628" s="12"/>
      <c r="Y628" s="14"/>
      <c r="Z628" s="14"/>
      <c r="AA628" s="14"/>
      <c r="AB628" s="14"/>
      <c r="AC628" s="14"/>
      <c r="AD628" s="14"/>
      <c r="AE628" s="14"/>
      <c r="AF628" s="3"/>
      <c r="AG628" s="3"/>
    </row>
    <row r="629" ht="13.5" customHeight="1">
      <c r="A629" s="3"/>
      <c r="B629" s="15"/>
      <c r="C629" s="3"/>
      <c r="D629" s="4"/>
      <c r="E629" s="5"/>
      <c r="F629" s="6"/>
      <c r="G629" s="3"/>
      <c r="H629" s="3"/>
      <c r="I629" s="7"/>
      <c r="J629" s="6" t="s">
        <v>222</v>
      </c>
      <c r="K629" s="4" t="s">
        <v>222</v>
      </c>
      <c r="L629" s="4" t="s">
        <v>222</v>
      </c>
      <c r="M629" s="4" t="s">
        <v>222</v>
      </c>
      <c r="N629" s="4" t="s">
        <v>222</v>
      </c>
      <c r="O629" s="4" t="s">
        <v>222</v>
      </c>
      <c r="P629" s="9"/>
      <c r="Q629" s="9"/>
      <c r="R629" s="87" t="s">
        <v>222</v>
      </c>
      <c r="S629" s="11" t="s">
        <v>222</v>
      </c>
      <c r="T629" s="12"/>
      <c r="U629" s="13"/>
      <c r="V629" s="12"/>
      <c r="W629" s="13"/>
      <c r="X629" s="12"/>
      <c r="Y629" s="14"/>
      <c r="Z629" s="14"/>
      <c r="AA629" s="14"/>
      <c r="AB629" s="14"/>
      <c r="AC629" s="14"/>
      <c r="AD629" s="14"/>
      <c r="AE629" s="14"/>
      <c r="AF629" s="3"/>
      <c r="AG629" s="3"/>
    </row>
    <row r="630" ht="13.5" customHeight="1">
      <c r="A630" s="3"/>
      <c r="B630" s="15"/>
      <c r="C630" s="3"/>
      <c r="D630" s="4"/>
      <c r="E630" s="5"/>
      <c r="F630" s="6"/>
      <c r="G630" s="3"/>
      <c r="H630" s="3"/>
      <c r="I630" s="7"/>
      <c r="J630" s="6" t="s">
        <v>222</v>
      </c>
      <c r="K630" s="4" t="s">
        <v>222</v>
      </c>
      <c r="L630" s="4" t="s">
        <v>222</v>
      </c>
      <c r="M630" s="4" t="s">
        <v>222</v>
      </c>
      <c r="N630" s="4" t="s">
        <v>222</v>
      </c>
      <c r="O630" s="4" t="s">
        <v>222</v>
      </c>
      <c r="P630" s="9"/>
      <c r="Q630" s="9"/>
      <c r="R630" s="87" t="s">
        <v>222</v>
      </c>
      <c r="S630" s="11" t="s">
        <v>222</v>
      </c>
      <c r="T630" s="12"/>
      <c r="U630" s="13"/>
      <c r="V630" s="12"/>
      <c r="W630" s="13"/>
      <c r="X630" s="12"/>
      <c r="Y630" s="14"/>
      <c r="Z630" s="14"/>
      <c r="AA630" s="14"/>
      <c r="AB630" s="14"/>
      <c r="AC630" s="14"/>
      <c r="AD630" s="14"/>
      <c r="AE630" s="14"/>
      <c r="AF630" s="3"/>
      <c r="AG630" s="3"/>
    </row>
    <row r="631" ht="13.5" customHeight="1">
      <c r="A631" s="3"/>
      <c r="B631" s="15"/>
      <c r="C631" s="3"/>
      <c r="D631" s="4"/>
      <c r="E631" s="5"/>
      <c r="F631" s="6"/>
      <c r="G631" s="3"/>
      <c r="H631" s="3"/>
      <c r="I631" s="7"/>
      <c r="J631" s="6" t="s">
        <v>222</v>
      </c>
      <c r="K631" s="4" t="s">
        <v>222</v>
      </c>
      <c r="L631" s="4" t="s">
        <v>222</v>
      </c>
      <c r="M631" s="4" t="s">
        <v>222</v>
      </c>
      <c r="N631" s="4" t="s">
        <v>222</v>
      </c>
      <c r="O631" s="4" t="s">
        <v>222</v>
      </c>
      <c r="P631" s="9"/>
      <c r="Q631" s="9"/>
      <c r="R631" s="87" t="s">
        <v>222</v>
      </c>
      <c r="S631" s="11" t="s">
        <v>222</v>
      </c>
      <c r="T631" s="12"/>
      <c r="U631" s="13"/>
      <c r="V631" s="12"/>
      <c r="W631" s="13"/>
      <c r="X631" s="12"/>
      <c r="Y631" s="14"/>
      <c r="Z631" s="14"/>
      <c r="AA631" s="14"/>
      <c r="AB631" s="14"/>
      <c r="AC631" s="14"/>
      <c r="AD631" s="14"/>
      <c r="AE631" s="14"/>
      <c r="AF631" s="3"/>
      <c r="AG631" s="3"/>
    </row>
    <row r="632" ht="13.5" customHeight="1">
      <c r="A632" s="3"/>
      <c r="B632" s="15"/>
      <c r="C632" s="3"/>
      <c r="D632" s="4"/>
      <c r="E632" s="5"/>
      <c r="F632" s="6"/>
      <c r="G632" s="3"/>
      <c r="H632" s="3"/>
      <c r="I632" s="7"/>
      <c r="J632" s="6" t="s">
        <v>222</v>
      </c>
      <c r="K632" s="4" t="s">
        <v>222</v>
      </c>
      <c r="L632" s="4" t="s">
        <v>222</v>
      </c>
      <c r="M632" s="4" t="s">
        <v>222</v>
      </c>
      <c r="N632" s="4" t="s">
        <v>222</v>
      </c>
      <c r="O632" s="4" t="s">
        <v>222</v>
      </c>
      <c r="P632" s="9"/>
      <c r="Q632" s="9"/>
      <c r="R632" s="87" t="s">
        <v>222</v>
      </c>
      <c r="S632" s="11" t="s">
        <v>222</v>
      </c>
      <c r="T632" s="12"/>
      <c r="U632" s="13"/>
      <c r="V632" s="12"/>
      <c r="W632" s="13"/>
      <c r="X632" s="12"/>
      <c r="Y632" s="14"/>
      <c r="Z632" s="14"/>
      <c r="AA632" s="14"/>
      <c r="AB632" s="14"/>
      <c r="AC632" s="14"/>
      <c r="AD632" s="14"/>
      <c r="AE632" s="14"/>
      <c r="AF632" s="3"/>
      <c r="AG632" s="3"/>
    </row>
    <row r="633" ht="13.5" customHeight="1">
      <c r="A633" s="3"/>
      <c r="B633" s="15"/>
      <c r="C633" s="3"/>
      <c r="D633" s="4"/>
      <c r="E633" s="5"/>
      <c r="F633" s="6"/>
      <c r="G633" s="3"/>
      <c r="H633" s="3"/>
      <c r="I633" s="7"/>
      <c r="J633" s="6" t="s">
        <v>222</v>
      </c>
      <c r="K633" s="4" t="s">
        <v>222</v>
      </c>
      <c r="L633" s="4" t="s">
        <v>222</v>
      </c>
      <c r="M633" s="4" t="s">
        <v>222</v>
      </c>
      <c r="N633" s="4" t="s">
        <v>222</v>
      </c>
      <c r="O633" s="4" t="s">
        <v>222</v>
      </c>
      <c r="P633" s="9"/>
      <c r="Q633" s="9"/>
      <c r="R633" s="87" t="s">
        <v>222</v>
      </c>
      <c r="S633" s="11" t="s">
        <v>222</v>
      </c>
      <c r="T633" s="12"/>
      <c r="U633" s="13"/>
      <c r="V633" s="12"/>
      <c r="W633" s="13"/>
      <c r="X633" s="12"/>
      <c r="Y633" s="14"/>
      <c r="Z633" s="14"/>
      <c r="AA633" s="14"/>
      <c r="AB633" s="14"/>
      <c r="AC633" s="14"/>
      <c r="AD633" s="14"/>
      <c r="AE633" s="14"/>
      <c r="AF633" s="3"/>
      <c r="AG633" s="3"/>
    </row>
    <row r="634" ht="13.5" customHeight="1">
      <c r="A634" s="3"/>
      <c r="B634" s="15"/>
      <c r="C634" s="3"/>
      <c r="D634" s="4"/>
      <c r="E634" s="5"/>
      <c r="F634" s="6"/>
      <c r="G634" s="3"/>
      <c r="H634" s="3"/>
      <c r="I634" s="7"/>
      <c r="J634" s="6" t="s">
        <v>222</v>
      </c>
      <c r="K634" s="4" t="s">
        <v>222</v>
      </c>
      <c r="L634" s="4" t="s">
        <v>222</v>
      </c>
      <c r="M634" s="4" t="s">
        <v>222</v>
      </c>
      <c r="N634" s="4" t="s">
        <v>222</v>
      </c>
      <c r="O634" s="4" t="s">
        <v>222</v>
      </c>
      <c r="P634" s="9"/>
      <c r="Q634" s="9"/>
      <c r="R634" s="87" t="s">
        <v>222</v>
      </c>
      <c r="S634" s="11" t="s">
        <v>222</v>
      </c>
      <c r="T634" s="12"/>
      <c r="U634" s="13"/>
      <c r="V634" s="12"/>
      <c r="W634" s="13"/>
      <c r="X634" s="12"/>
      <c r="Y634" s="14"/>
      <c r="Z634" s="14"/>
      <c r="AA634" s="14"/>
      <c r="AB634" s="14"/>
      <c r="AC634" s="14"/>
      <c r="AD634" s="14"/>
      <c r="AE634" s="14"/>
      <c r="AF634" s="3"/>
      <c r="AG634" s="3"/>
    </row>
    <row r="635" ht="13.5" customHeight="1">
      <c r="A635" s="3"/>
      <c r="B635" s="15"/>
      <c r="C635" s="3"/>
      <c r="D635" s="4"/>
      <c r="E635" s="5"/>
      <c r="F635" s="6"/>
      <c r="G635" s="3"/>
      <c r="H635" s="3"/>
      <c r="I635" s="7"/>
      <c r="J635" s="6" t="s">
        <v>222</v>
      </c>
      <c r="K635" s="4" t="s">
        <v>222</v>
      </c>
      <c r="L635" s="4" t="s">
        <v>222</v>
      </c>
      <c r="M635" s="4" t="s">
        <v>222</v>
      </c>
      <c r="N635" s="4" t="s">
        <v>222</v>
      </c>
      <c r="O635" s="4" t="s">
        <v>222</v>
      </c>
      <c r="P635" s="9"/>
      <c r="Q635" s="9"/>
      <c r="R635" s="87" t="s">
        <v>222</v>
      </c>
      <c r="S635" s="11" t="s">
        <v>222</v>
      </c>
      <c r="T635" s="12"/>
      <c r="U635" s="13"/>
      <c r="V635" s="12"/>
      <c r="W635" s="13"/>
      <c r="X635" s="12"/>
      <c r="Y635" s="14"/>
      <c r="Z635" s="14"/>
      <c r="AA635" s="14"/>
      <c r="AB635" s="14"/>
      <c r="AC635" s="14"/>
      <c r="AD635" s="14"/>
      <c r="AE635" s="14"/>
      <c r="AF635" s="3"/>
      <c r="AG635" s="3"/>
    </row>
    <row r="636" ht="13.5" customHeight="1">
      <c r="A636" s="3"/>
      <c r="B636" s="15"/>
      <c r="C636" s="3"/>
      <c r="D636" s="4"/>
      <c r="E636" s="5"/>
      <c r="F636" s="6"/>
      <c r="G636" s="3"/>
      <c r="H636" s="3"/>
      <c r="I636" s="7"/>
      <c r="J636" s="6" t="s">
        <v>222</v>
      </c>
      <c r="K636" s="4" t="s">
        <v>222</v>
      </c>
      <c r="L636" s="4" t="s">
        <v>222</v>
      </c>
      <c r="M636" s="4" t="s">
        <v>222</v>
      </c>
      <c r="N636" s="4" t="s">
        <v>222</v>
      </c>
      <c r="O636" s="4" t="s">
        <v>222</v>
      </c>
      <c r="P636" s="9"/>
      <c r="Q636" s="9"/>
      <c r="R636" s="87" t="s">
        <v>222</v>
      </c>
      <c r="S636" s="11" t="s">
        <v>222</v>
      </c>
      <c r="T636" s="12"/>
      <c r="U636" s="13"/>
      <c r="V636" s="12"/>
      <c r="W636" s="13"/>
      <c r="X636" s="12"/>
      <c r="Y636" s="14"/>
      <c r="Z636" s="14"/>
      <c r="AA636" s="14"/>
      <c r="AB636" s="14"/>
      <c r="AC636" s="14"/>
      <c r="AD636" s="14"/>
      <c r="AE636" s="14"/>
      <c r="AF636" s="3"/>
      <c r="AG636" s="3"/>
    </row>
    <row r="637" ht="13.5" customHeight="1">
      <c r="A637" s="3"/>
      <c r="B637" s="15"/>
      <c r="C637" s="3"/>
      <c r="D637" s="4"/>
      <c r="E637" s="5"/>
      <c r="F637" s="6"/>
      <c r="G637" s="3"/>
      <c r="H637" s="3"/>
      <c r="I637" s="7"/>
      <c r="J637" s="6" t="s">
        <v>222</v>
      </c>
      <c r="K637" s="4" t="s">
        <v>222</v>
      </c>
      <c r="L637" s="4" t="s">
        <v>222</v>
      </c>
      <c r="M637" s="4" t="s">
        <v>222</v>
      </c>
      <c r="N637" s="4" t="s">
        <v>222</v>
      </c>
      <c r="O637" s="4" t="s">
        <v>222</v>
      </c>
      <c r="P637" s="9"/>
      <c r="Q637" s="9"/>
      <c r="R637" s="87" t="s">
        <v>222</v>
      </c>
      <c r="S637" s="11" t="s">
        <v>222</v>
      </c>
      <c r="T637" s="12"/>
      <c r="U637" s="13"/>
      <c r="V637" s="12"/>
      <c r="W637" s="13"/>
      <c r="X637" s="12"/>
      <c r="Y637" s="14"/>
      <c r="Z637" s="14"/>
      <c r="AA637" s="14"/>
      <c r="AB637" s="14"/>
      <c r="AC637" s="14"/>
      <c r="AD637" s="14"/>
      <c r="AE637" s="14"/>
      <c r="AF637" s="3"/>
      <c r="AG637" s="3"/>
    </row>
    <row r="638" ht="13.5" customHeight="1">
      <c r="A638" s="3"/>
      <c r="B638" s="15"/>
      <c r="C638" s="3"/>
      <c r="D638" s="4"/>
      <c r="E638" s="5"/>
      <c r="F638" s="6"/>
      <c r="G638" s="3"/>
      <c r="H638" s="3"/>
      <c r="I638" s="7"/>
      <c r="J638" s="6" t="s">
        <v>222</v>
      </c>
      <c r="K638" s="4" t="s">
        <v>222</v>
      </c>
      <c r="L638" s="4" t="s">
        <v>222</v>
      </c>
      <c r="M638" s="4" t="s">
        <v>222</v>
      </c>
      <c r="N638" s="4" t="s">
        <v>222</v>
      </c>
      <c r="O638" s="4" t="s">
        <v>222</v>
      </c>
      <c r="P638" s="9"/>
      <c r="Q638" s="9"/>
      <c r="R638" s="87" t="s">
        <v>222</v>
      </c>
      <c r="S638" s="11" t="s">
        <v>222</v>
      </c>
      <c r="T638" s="12"/>
      <c r="U638" s="13"/>
      <c r="V638" s="12"/>
      <c r="W638" s="13"/>
      <c r="X638" s="12"/>
      <c r="Y638" s="14"/>
      <c r="Z638" s="14"/>
      <c r="AA638" s="14"/>
      <c r="AB638" s="14"/>
      <c r="AC638" s="14"/>
      <c r="AD638" s="14"/>
      <c r="AE638" s="14"/>
      <c r="AF638" s="3"/>
      <c r="AG638" s="3"/>
    </row>
    <row r="639" ht="13.5" customHeight="1">
      <c r="A639" s="3"/>
      <c r="B639" s="15"/>
      <c r="C639" s="3"/>
      <c r="D639" s="4"/>
      <c r="E639" s="5"/>
      <c r="F639" s="6"/>
      <c r="G639" s="3"/>
      <c r="H639" s="3"/>
      <c r="I639" s="7"/>
      <c r="J639" s="6" t="s">
        <v>222</v>
      </c>
      <c r="K639" s="4" t="s">
        <v>222</v>
      </c>
      <c r="L639" s="4" t="s">
        <v>222</v>
      </c>
      <c r="M639" s="4" t="s">
        <v>222</v>
      </c>
      <c r="N639" s="4" t="s">
        <v>222</v>
      </c>
      <c r="O639" s="4" t="s">
        <v>222</v>
      </c>
      <c r="P639" s="9"/>
      <c r="Q639" s="9"/>
      <c r="R639" s="87" t="s">
        <v>222</v>
      </c>
      <c r="S639" s="11" t="s">
        <v>222</v>
      </c>
      <c r="T639" s="12"/>
      <c r="U639" s="13"/>
      <c r="V639" s="12"/>
      <c r="W639" s="13"/>
      <c r="X639" s="12"/>
      <c r="Y639" s="14"/>
      <c r="Z639" s="14"/>
      <c r="AA639" s="14"/>
      <c r="AB639" s="14"/>
      <c r="AC639" s="14"/>
      <c r="AD639" s="14"/>
      <c r="AE639" s="14"/>
      <c r="AF639" s="3"/>
      <c r="AG639" s="3"/>
    </row>
    <row r="640" ht="13.5" customHeight="1">
      <c r="A640" s="3"/>
      <c r="B640" s="15"/>
      <c r="C640" s="3"/>
      <c r="D640" s="4"/>
      <c r="E640" s="5"/>
      <c r="F640" s="6"/>
      <c r="G640" s="3"/>
      <c r="H640" s="3"/>
      <c r="I640" s="7"/>
      <c r="J640" s="6" t="s">
        <v>222</v>
      </c>
      <c r="K640" s="4" t="s">
        <v>222</v>
      </c>
      <c r="L640" s="4" t="s">
        <v>222</v>
      </c>
      <c r="M640" s="4" t="s">
        <v>222</v>
      </c>
      <c r="N640" s="4" t="s">
        <v>222</v>
      </c>
      <c r="O640" s="4" t="s">
        <v>222</v>
      </c>
      <c r="P640" s="9"/>
      <c r="Q640" s="9"/>
      <c r="R640" s="87" t="s">
        <v>222</v>
      </c>
      <c r="S640" s="11" t="s">
        <v>222</v>
      </c>
      <c r="T640" s="12"/>
      <c r="U640" s="13"/>
      <c r="V640" s="12"/>
      <c r="W640" s="13"/>
      <c r="X640" s="12"/>
      <c r="Y640" s="14"/>
      <c r="Z640" s="14"/>
      <c r="AA640" s="14"/>
      <c r="AB640" s="14"/>
      <c r="AC640" s="14"/>
      <c r="AD640" s="14"/>
      <c r="AE640" s="14"/>
      <c r="AF640" s="3"/>
      <c r="AG640" s="3"/>
    </row>
    <row r="641" ht="13.5" customHeight="1">
      <c r="A641" s="3"/>
      <c r="B641" s="15"/>
      <c r="C641" s="3"/>
      <c r="D641" s="4"/>
      <c r="E641" s="5"/>
      <c r="F641" s="6"/>
      <c r="G641" s="3"/>
      <c r="H641" s="3"/>
      <c r="I641" s="7"/>
      <c r="J641" s="6" t="s">
        <v>222</v>
      </c>
      <c r="K641" s="4" t="s">
        <v>222</v>
      </c>
      <c r="L641" s="4" t="s">
        <v>222</v>
      </c>
      <c r="M641" s="4" t="s">
        <v>222</v>
      </c>
      <c r="N641" s="4" t="s">
        <v>222</v>
      </c>
      <c r="O641" s="4" t="s">
        <v>222</v>
      </c>
      <c r="P641" s="9"/>
      <c r="Q641" s="9"/>
      <c r="R641" s="87" t="s">
        <v>222</v>
      </c>
      <c r="S641" s="11" t="s">
        <v>222</v>
      </c>
      <c r="T641" s="12"/>
      <c r="U641" s="13"/>
      <c r="V641" s="12"/>
      <c r="W641" s="13"/>
      <c r="X641" s="12"/>
      <c r="Y641" s="14"/>
      <c r="Z641" s="14"/>
      <c r="AA641" s="14"/>
      <c r="AB641" s="14"/>
      <c r="AC641" s="14"/>
      <c r="AD641" s="14"/>
      <c r="AE641" s="14"/>
      <c r="AF641" s="3"/>
      <c r="AG641" s="3"/>
    </row>
    <row r="642" ht="13.5" customHeight="1">
      <c r="A642" s="3"/>
      <c r="B642" s="15"/>
      <c r="C642" s="3"/>
      <c r="D642" s="4"/>
      <c r="E642" s="5"/>
      <c r="F642" s="6"/>
      <c r="G642" s="3"/>
      <c r="H642" s="3"/>
      <c r="I642" s="7"/>
      <c r="J642" s="6" t="s">
        <v>222</v>
      </c>
      <c r="K642" s="4" t="s">
        <v>222</v>
      </c>
      <c r="L642" s="4" t="s">
        <v>222</v>
      </c>
      <c r="M642" s="4" t="s">
        <v>222</v>
      </c>
      <c r="N642" s="4" t="s">
        <v>222</v>
      </c>
      <c r="O642" s="4" t="s">
        <v>222</v>
      </c>
      <c r="P642" s="9"/>
      <c r="Q642" s="9"/>
      <c r="R642" s="87" t="s">
        <v>222</v>
      </c>
      <c r="S642" s="11" t="s">
        <v>222</v>
      </c>
      <c r="T642" s="12"/>
      <c r="U642" s="13"/>
      <c r="V642" s="12"/>
      <c r="W642" s="13"/>
      <c r="X642" s="12"/>
      <c r="Y642" s="14"/>
      <c r="Z642" s="14"/>
      <c r="AA642" s="14"/>
      <c r="AB642" s="14"/>
      <c r="AC642" s="14"/>
      <c r="AD642" s="14"/>
      <c r="AE642" s="14"/>
      <c r="AF642" s="3"/>
      <c r="AG642" s="3"/>
    </row>
    <row r="643" ht="13.5" customHeight="1">
      <c r="A643" s="3"/>
      <c r="B643" s="15"/>
      <c r="C643" s="3"/>
      <c r="D643" s="4"/>
      <c r="E643" s="5"/>
      <c r="F643" s="6"/>
      <c r="G643" s="3"/>
      <c r="H643" s="3"/>
      <c r="I643" s="7"/>
      <c r="J643" s="6" t="s">
        <v>222</v>
      </c>
      <c r="K643" s="4" t="s">
        <v>222</v>
      </c>
      <c r="L643" s="4" t="s">
        <v>222</v>
      </c>
      <c r="M643" s="4" t="s">
        <v>222</v>
      </c>
      <c r="N643" s="4" t="s">
        <v>222</v>
      </c>
      <c r="O643" s="4" t="s">
        <v>222</v>
      </c>
      <c r="P643" s="9"/>
      <c r="Q643" s="9"/>
      <c r="R643" s="87" t="s">
        <v>222</v>
      </c>
      <c r="S643" s="11" t="s">
        <v>222</v>
      </c>
      <c r="T643" s="12"/>
      <c r="U643" s="13"/>
      <c r="V643" s="12"/>
      <c r="W643" s="13"/>
      <c r="X643" s="12"/>
      <c r="Y643" s="14"/>
      <c r="Z643" s="14"/>
      <c r="AA643" s="14"/>
      <c r="AB643" s="14"/>
      <c r="AC643" s="14"/>
      <c r="AD643" s="14"/>
      <c r="AE643" s="14"/>
      <c r="AF643" s="3"/>
      <c r="AG643" s="3"/>
    </row>
    <row r="644" ht="13.5" customHeight="1">
      <c r="A644" s="3"/>
      <c r="B644" s="15"/>
      <c r="C644" s="3"/>
      <c r="D644" s="4"/>
      <c r="E644" s="5"/>
      <c r="F644" s="6"/>
      <c r="G644" s="3"/>
      <c r="H644" s="3"/>
      <c r="I644" s="7"/>
      <c r="J644" s="6" t="s">
        <v>222</v>
      </c>
      <c r="K644" s="4" t="s">
        <v>222</v>
      </c>
      <c r="L644" s="4" t="s">
        <v>222</v>
      </c>
      <c r="M644" s="4" t="s">
        <v>222</v>
      </c>
      <c r="N644" s="4" t="s">
        <v>222</v>
      </c>
      <c r="O644" s="4" t="s">
        <v>222</v>
      </c>
      <c r="P644" s="9"/>
      <c r="Q644" s="9"/>
      <c r="R644" s="87" t="s">
        <v>222</v>
      </c>
      <c r="S644" s="11" t="s">
        <v>222</v>
      </c>
      <c r="T644" s="12"/>
      <c r="U644" s="13"/>
      <c r="V644" s="12"/>
      <c r="W644" s="13"/>
      <c r="X644" s="12"/>
      <c r="Y644" s="14"/>
      <c r="Z644" s="14"/>
      <c r="AA644" s="14"/>
      <c r="AB644" s="14"/>
      <c r="AC644" s="14"/>
      <c r="AD644" s="14"/>
      <c r="AE644" s="14"/>
      <c r="AF644" s="3"/>
      <c r="AG644" s="3"/>
    </row>
    <row r="645" ht="13.5" customHeight="1">
      <c r="A645" s="3"/>
      <c r="B645" s="15"/>
      <c r="C645" s="3"/>
      <c r="D645" s="4"/>
      <c r="E645" s="5"/>
      <c r="F645" s="6"/>
      <c r="G645" s="3"/>
      <c r="H645" s="3"/>
      <c r="I645" s="7"/>
      <c r="J645" s="6" t="s">
        <v>222</v>
      </c>
      <c r="K645" s="4" t="s">
        <v>222</v>
      </c>
      <c r="L645" s="4" t="s">
        <v>222</v>
      </c>
      <c r="M645" s="4" t="s">
        <v>222</v>
      </c>
      <c r="N645" s="4" t="s">
        <v>222</v>
      </c>
      <c r="O645" s="4" t="s">
        <v>222</v>
      </c>
      <c r="P645" s="9"/>
      <c r="Q645" s="9"/>
      <c r="R645" s="87" t="s">
        <v>222</v>
      </c>
      <c r="S645" s="11" t="s">
        <v>222</v>
      </c>
      <c r="T645" s="12"/>
      <c r="U645" s="13"/>
      <c r="V645" s="12"/>
      <c r="W645" s="13"/>
      <c r="X645" s="12"/>
      <c r="Y645" s="14"/>
      <c r="Z645" s="14"/>
      <c r="AA645" s="14"/>
      <c r="AB645" s="14"/>
      <c r="AC645" s="14"/>
      <c r="AD645" s="14"/>
      <c r="AE645" s="14"/>
      <c r="AF645" s="3"/>
      <c r="AG645" s="3"/>
    </row>
    <row r="646" ht="13.5" customHeight="1">
      <c r="A646" s="3"/>
      <c r="B646" s="15"/>
      <c r="C646" s="3"/>
      <c r="D646" s="4"/>
      <c r="E646" s="5"/>
      <c r="F646" s="6"/>
      <c r="G646" s="3"/>
      <c r="H646" s="3"/>
      <c r="I646" s="7"/>
      <c r="J646" s="6" t="s">
        <v>222</v>
      </c>
      <c r="K646" s="4" t="s">
        <v>222</v>
      </c>
      <c r="L646" s="4" t="s">
        <v>222</v>
      </c>
      <c r="M646" s="4" t="s">
        <v>222</v>
      </c>
      <c r="N646" s="4" t="s">
        <v>222</v>
      </c>
      <c r="O646" s="4" t="s">
        <v>222</v>
      </c>
      <c r="P646" s="9"/>
      <c r="Q646" s="9"/>
      <c r="R646" s="87" t="s">
        <v>222</v>
      </c>
      <c r="S646" s="11" t="s">
        <v>222</v>
      </c>
      <c r="T646" s="12"/>
      <c r="U646" s="13"/>
      <c r="V646" s="12"/>
      <c r="W646" s="13"/>
      <c r="X646" s="12"/>
      <c r="Y646" s="14"/>
      <c r="Z646" s="14"/>
      <c r="AA646" s="14"/>
      <c r="AB646" s="14"/>
      <c r="AC646" s="14"/>
      <c r="AD646" s="14"/>
      <c r="AE646" s="14"/>
      <c r="AF646" s="3"/>
      <c r="AG646" s="3"/>
    </row>
    <row r="647" ht="13.5" customHeight="1">
      <c r="A647" s="3"/>
      <c r="B647" s="15"/>
      <c r="C647" s="3"/>
      <c r="D647" s="4"/>
      <c r="E647" s="5"/>
      <c r="F647" s="6"/>
      <c r="G647" s="3"/>
      <c r="H647" s="3"/>
      <c r="I647" s="7"/>
      <c r="J647" s="6" t="s">
        <v>222</v>
      </c>
      <c r="K647" s="4" t="s">
        <v>222</v>
      </c>
      <c r="L647" s="4" t="s">
        <v>222</v>
      </c>
      <c r="M647" s="4" t="s">
        <v>222</v>
      </c>
      <c r="N647" s="4" t="s">
        <v>222</v>
      </c>
      <c r="O647" s="4" t="s">
        <v>222</v>
      </c>
      <c r="P647" s="9"/>
      <c r="Q647" s="9"/>
      <c r="R647" s="87" t="s">
        <v>222</v>
      </c>
      <c r="S647" s="11" t="s">
        <v>222</v>
      </c>
      <c r="T647" s="12"/>
      <c r="U647" s="13"/>
      <c r="V647" s="12"/>
      <c r="W647" s="13"/>
      <c r="X647" s="12"/>
      <c r="Y647" s="14"/>
      <c r="Z647" s="14"/>
      <c r="AA647" s="14"/>
      <c r="AB647" s="14"/>
      <c r="AC647" s="14"/>
      <c r="AD647" s="14"/>
      <c r="AE647" s="14"/>
      <c r="AF647" s="3"/>
      <c r="AG647" s="3"/>
    </row>
    <row r="648" ht="13.5" customHeight="1">
      <c r="A648" s="3"/>
      <c r="B648" s="15"/>
      <c r="C648" s="3"/>
      <c r="D648" s="4"/>
      <c r="E648" s="5"/>
      <c r="F648" s="6"/>
      <c r="G648" s="3"/>
      <c r="H648" s="3"/>
      <c r="I648" s="7"/>
      <c r="J648" s="6" t="s">
        <v>222</v>
      </c>
      <c r="K648" s="4" t="s">
        <v>222</v>
      </c>
      <c r="L648" s="4" t="s">
        <v>222</v>
      </c>
      <c r="M648" s="4" t="s">
        <v>222</v>
      </c>
      <c r="N648" s="4" t="s">
        <v>222</v>
      </c>
      <c r="O648" s="4" t="s">
        <v>222</v>
      </c>
      <c r="P648" s="9"/>
      <c r="Q648" s="9"/>
      <c r="R648" s="87" t="s">
        <v>222</v>
      </c>
      <c r="S648" s="11" t="s">
        <v>222</v>
      </c>
      <c r="T648" s="12"/>
      <c r="U648" s="13"/>
      <c r="V648" s="12"/>
      <c r="W648" s="13"/>
      <c r="X648" s="12"/>
      <c r="Y648" s="14"/>
      <c r="Z648" s="14"/>
      <c r="AA648" s="14"/>
      <c r="AB648" s="14"/>
      <c r="AC648" s="14"/>
      <c r="AD648" s="14"/>
      <c r="AE648" s="14"/>
      <c r="AF648" s="3"/>
      <c r="AG648" s="3"/>
    </row>
    <row r="649" ht="13.5" customHeight="1">
      <c r="A649" s="3"/>
      <c r="B649" s="15"/>
      <c r="C649" s="3"/>
      <c r="D649" s="4"/>
      <c r="E649" s="5"/>
      <c r="F649" s="6"/>
      <c r="G649" s="3"/>
      <c r="H649" s="3"/>
      <c r="I649" s="7"/>
      <c r="J649" s="6" t="s">
        <v>222</v>
      </c>
      <c r="K649" s="4" t="s">
        <v>222</v>
      </c>
      <c r="L649" s="4" t="s">
        <v>222</v>
      </c>
      <c r="M649" s="4" t="s">
        <v>222</v>
      </c>
      <c r="N649" s="4" t="s">
        <v>222</v>
      </c>
      <c r="O649" s="4" t="s">
        <v>222</v>
      </c>
      <c r="P649" s="9"/>
      <c r="Q649" s="9"/>
      <c r="R649" s="87" t="s">
        <v>222</v>
      </c>
      <c r="S649" s="11" t="s">
        <v>222</v>
      </c>
      <c r="T649" s="12"/>
      <c r="U649" s="13"/>
      <c r="V649" s="12"/>
      <c r="W649" s="13"/>
      <c r="X649" s="12"/>
      <c r="Y649" s="14"/>
      <c r="Z649" s="14"/>
      <c r="AA649" s="14"/>
      <c r="AB649" s="14"/>
      <c r="AC649" s="14"/>
      <c r="AD649" s="14"/>
      <c r="AE649" s="14"/>
      <c r="AF649" s="3"/>
      <c r="AG649" s="3"/>
    </row>
    <row r="650" ht="13.5" customHeight="1">
      <c r="A650" s="3"/>
      <c r="B650" s="15"/>
      <c r="C650" s="3"/>
      <c r="D650" s="4"/>
      <c r="E650" s="5"/>
      <c r="F650" s="6"/>
      <c r="G650" s="3"/>
      <c r="H650" s="3"/>
      <c r="I650" s="7"/>
      <c r="J650" s="6" t="s">
        <v>222</v>
      </c>
      <c r="K650" s="4" t="s">
        <v>222</v>
      </c>
      <c r="L650" s="4" t="s">
        <v>222</v>
      </c>
      <c r="M650" s="4" t="s">
        <v>222</v>
      </c>
      <c r="N650" s="4" t="s">
        <v>222</v>
      </c>
      <c r="O650" s="4" t="s">
        <v>222</v>
      </c>
      <c r="P650" s="9"/>
      <c r="Q650" s="9"/>
      <c r="R650" s="87" t="s">
        <v>222</v>
      </c>
      <c r="S650" s="11" t="s">
        <v>222</v>
      </c>
      <c r="T650" s="12"/>
      <c r="U650" s="13"/>
      <c r="V650" s="12"/>
      <c r="W650" s="13"/>
      <c r="X650" s="12"/>
      <c r="Y650" s="14"/>
      <c r="Z650" s="14"/>
      <c r="AA650" s="14"/>
      <c r="AB650" s="14"/>
      <c r="AC650" s="14"/>
      <c r="AD650" s="14"/>
      <c r="AE650" s="14"/>
      <c r="AF650" s="3"/>
      <c r="AG650" s="3"/>
    </row>
    <row r="651" ht="13.5" customHeight="1">
      <c r="A651" s="3"/>
      <c r="B651" s="15"/>
      <c r="C651" s="3"/>
      <c r="D651" s="4"/>
      <c r="E651" s="5"/>
      <c r="F651" s="6"/>
      <c r="G651" s="3"/>
      <c r="H651" s="3"/>
      <c r="I651" s="7"/>
      <c r="J651" s="6" t="s">
        <v>222</v>
      </c>
      <c r="K651" s="4" t="s">
        <v>222</v>
      </c>
      <c r="L651" s="4" t="s">
        <v>222</v>
      </c>
      <c r="M651" s="4" t="s">
        <v>222</v>
      </c>
      <c r="N651" s="4" t="s">
        <v>222</v>
      </c>
      <c r="O651" s="4" t="s">
        <v>222</v>
      </c>
      <c r="P651" s="9"/>
      <c r="Q651" s="9"/>
      <c r="R651" s="87" t="s">
        <v>222</v>
      </c>
      <c r="S651" s="11" t="s">
        <v>222</v>
      </c>
      <c r="T651" s="12"/>
      <c r="U651" s="13"/>
      <c r="V651" s="12"/>
      <c r="W651" s="13"/>
      <c r="X651" s="12"/>
      <c r="Y651" s="14"/>
      <c r="Z651" s="14"/>
      <c r="AA651" s="14"/>
      <c r="AB651" s="14"/>
      <c r="AC651" s="14"/>
      <c r="AD651" s="14"/>
      <c r="AE651" s="14"/>
      <c r="AF651" s="3"/>
      <c r="AG651" s="3"/>
    </row>
    <row r="652" ht="13.5" customHeight="1">
      <c r="A652" s="3"/>
      <c r="B652" s="15"/>
      <c r="C652" s="3"/>
      <c r="D652" s="4"/>
      <c r="E652" s="5"/>
      <c r="F652" s="6"/>
      <c r="G652" s="3"/>
      <c r="H652" s="3"/>
      <c r="I652" s="7"/>
      <c r="J652" s="6" t="s">
        <v>222</v>
      </c>
      <c r="K652" s="4" t="s">
        <v>222</v>
      </c>
      <c r="L652" s="4" t="s">
        <v>222</v>
      </c>
      <c r="M652" s="4" t="s">
        <v>222</v>
      </c>
      <c r="N652" s="4" t="s">
        <v>222</v>
      </c>
      <c r="O652" s="4" t="s">
        <v>222</v>
      </c>
      <c r="P652" s="9"/>
      <c r="Q652" s="9"/>
      <c r="R652" s="87" t="s">
        <v>222</v>
      </c>
      <c r="S652" s="11" t="s">
        <v>222</v>
      </c>
      <c r="T652" s="12"/>
      <c r="U652" s="13"/>
      <c r="V652" s="12"/>
      <c r="W652" s="13"/>
      <c r="X652" s="12"/>
      <c r="Y652" s="14"/>
      <c r="Z652" s="14"/>
      <c r="AA652" s="14"/>
      <c r="AB652" s="14"/>
      <c r="AC652" s="14"/>
      <c r="AD652" s="14"/>
      <c r="AE652" s="14"/>
      <c r="AF652" s="3"/>
      <c r="AG652" s="3"/>
    </row>
    <row r="653" ht="13.5" customHeight="1">
      <c r="A653" s="3"/>
      <c r="B653" s="15"/>
      <c r="C653" s="3"/>
      <c r="D653" s="4"/>
      <c r="E653" s="5"/>
      <c r="F653" s="6"/>
      <c r="G653" s="3"/>
      <c r="H653" s="3"/>
      <c r="I653" s="7"/>
      <c r="J653" s="6" t="s">
        <v>222</v>
      </c>
      <c r="K653" s="4" t="s">
        <v>222</v>
      </c>
      <c r="L653" s="4" t="s">
        <v>222</v>
      </c>
      <c r="M653" s="4" t="s">
        <v>222</v>
      </c>
      <c r="N653" s="4" t="s">
        <v>222</v>
      </c>
      <c r="O653" s="4" t="s">
        <v>222</v>
      </c>
      <c r="P653" s="9"/>
      <c r="Q653" s="9"/>
      <c r="R653" s="87" t="s">
        <v>222</v>
      </c>
      <c r="S653" s="11" t="s">
        <v>222</v>
      </c>
      <c r="T653" s="12"/>
      <c r="U653" s="13"/>
      <c r="V653" s="12"/>
      <c r="W653" s="13"/>
      <c r="X653" s="12"/>
      <c r="Y653" s="14"/>
      <c r="Z653" s="14"/>
      <c r="AA653" s="14"/>
      <c r="AB653" s="14"/>
      <c r="AC653" s="14"/>
      <c r="AD653" s="14"/>
      <c r="AE653" s="14"/>
      <c r="AF653" s="3"/>
      <c r="AG653" s="3"/>
    </row>
    <row r="654" ht="13.5" customHeight="1">
      <c r="A654" s="3"/>
      <c r="B654" s="15"/>
      <c r="C654" s="3"/>
      <c r="D654" s="4"/>
      <c r="E654" s="5"/>
      <c r="F654" s="6"/>
      <c r="G654" s="3"/>
      <c r="H654" s="3"/>
      <c r="I654" s="7"/>
      <c r="J654" s="6" t="s">
        <v>222</v>
      </c>
      <c r="K654" s="4" t="s">
        <v>222</v>
      </c>
      <c r="L654" s="4" t="s">
        <v>222</v>
      </c>
      <c r="M654" s="4" t="s">
        <v>222</v>
      </c>
      <c r="N654" s="4" t="s">
        <v>222</v>
      </c>
      <c r="O654" s="4" t="s">
        <v>222</v>
      </c>
      <c r="P654" s="9"/>
      <c r="Q654" s="9"/>
      <c r="R654" s="87" t="s">
        <v>222</v>
      </c>
      <c r="S654" s="11" t="s">
        <v>222</v>
      </c>
      <c r="T654" s="12"/>
      <c r="U654" s="13"/>
      <c r="V654" s="12"/>
      <c r="W654" s="13"/>
      <c r="X654" s="12"/>
      <c r="Y654" s="14"/>
      <c r="Z654" s="14"/>
      <c r="AA654" s="14"/>
      <c r="AB654" s="14"/>
      <c r="AC654" s="14"/>
      <c r="AD654" s="14"/>
      <c r="AE654" s="14"/>
      <c r="AF654" s="3"/>
      <c r="AG654" s="3"/>
    </row>
    <row r="655" ht="13.5" customHeight="1">
      <c r="A655" s="3"/>
      <c r="B655" s="15"/>
      <c r="C655" s="3"/>
      <c r="D655" s="4"/>
      <c r="E655" s="5"/>
      <c r="F655" s="6"/>
      <c r="G655" s="3"/>
      <c r="H655" s="3"/>
      <c r="I655" s="7"/>
      <c r="J655" s="6" t="s">
        <v>222</v>
      </c>
      <c r="K655" s="4" t="s">
        <v>222</v>
      </c>
      <c r="L655" s="4" t="s">
        <v>222</v>
      </c>
      <c r="M655" s="4" t="s">
        <v>222</v>
      </c>
      <c r="N655" s="4" t="s">
        <v>222</v>
      </c>
      <c r="O655" s="4" t="s">
        <v>222</v>
      </c>
      <c r="P655" s="9"/>
      <c r="Q655" s="9"/>
      <c r="R655" s="87" t="s">
        <v>222</v>
      </c>
      <c r="S655" s="11" t="s">
        <v>222</v>
      </c>
      <c r="T655" s="12"/>
      <c r="U655" s="13"/>
      <c r="V655" s="12"/>
      <c r="W655" s="13"/>
      <c r="X655" s="12"/>
      <c r="Y655" s="14"/>
      <c r="Z655" s="14"/>
      <c r="AA655" s="14"/>
      <c r="AB655" s="14"/>
      <c r="AC655" s="14"/>
      <c r="AD655" s="14"/>
      <c r="AE655" s="14"/>
      <c r="AF655" s="3"/>
      <c r="AG655" s="3"/>
    </row>
    <row r="656" ht="13.5" customHeight="1">
      <c r="A656" s="3"/>
      <c r="B656" s="15"/>
      <c r="C656" s="3"/>
      <c r="D656" s="4"/>
      <c r="E656" s="5"/>
      <c r="F656" s="6"/>
      <c r="G656" s="3"/>
      <c r="H656" s="3"/>
      <c r="I656" s="7"/>
      <c r="J656" s="6" t="s">
        <v>222</v>
      </c>
      <c r="K656" s="4" t="s">
        <v>222</v>
      </c>
      <c r="L656" s="4" t="s">
        <v>222</v>
      </c>
      <c r="M656" s="4" t="s">
        <v>222</v>
      </c>
      <c r="N656" s="4" t="s">
        <v>222</v>
      </c>
      <c r="O656" s="4" t="s">
        <v>222</v>
      </c>
      <c r="P656" s="9"/>
      <c r="Q656" s="9"/>
      <c r="R656" s="87" t="s">
        <v>222</v>
      </c>
      <c r="S656" s="11" t="s">
        <v>222</v>
      </c>
      <c r="T656" s="12"/>
      <c r="U656" s="13"/>
      <c r="V656" s="12"/>
      <c r="W656" s="13"/>
      <c r="X656" s="12"/>
      <c r="Y656" s="14"/>
      <c r="Z656" s="14"/>
      <c r="AA656" s="14"/>
      <c r="AB656" s="14"/>
      <c r="AC656" s="14"/>
      <c r="AD656" s="14"/>
      <c r="AE656" s="14"/>
      <c r="AF656" s="3"/>
      <c r="AG656" s="3"/>
    </row>
    <row r="657" ht="13.5" customHeight="1">
      <c r="A657" s="3"/>
      <c r="B657" s="15"/>
      <c r="C657" s="3"/>
      <c r="D657" s="4"/>
      <c r="E657" s="5"/>
      <c r="F657" s="6"/>
      <c r="G657" s="3"/>
      <c r="H657" s="3"/>
      <c r="I657" s="7"/>
      <c r="J657" s="6" t="s">
        <v>222</v>
      </c>
      <c r="K657" s="4" t="s">
        <v>222</v>
      </c>
      <c r="L657" s="4" t="s">
        <v>222</v>
      </c>
      <c r="M657" s="4" t="s">
        <v>222</v>
      </c>
      <c r="N657" s="4" t="s">
        <v>222</v>
      </c>
      <c r="O657" s="4" t="s">
        <v>222</v>
      </c>
      <c r="P657" s="9"/>
      <c r="Q657" s="9"/>
      <c r="R657" s="87" t="s">
        <v>222</v>
      </c>
      <c r="S657" s="11" t="s">
        <v>222</v>
      </c>
      <c r="T657" s="12"/>
      <c r="U657" s="13"/>
      <c r="V657" s="12"/>
      <c r="W657" s="13"/>
      <c r="X657" s="12"/>
      <c r="Y657" s="14"/>
      <c r="Z657" s="14"/>
      <c r="AA657" s="14"/>
      <c r="AB657" s="14"/>
      <c r="AC657" s="14"/>
      <c r="AD657" s="14"/>
      <c r="AE657" s="14"/>
      <c r="AF657" s="3"/>
      <c r="AG657" s="3"/>
    </row>
    <row r="658" ht="13.5" customHeight="1">
      <c r="A658" s="3"/>
      <c r="B658" s="15"/>
      <c r="C658" s="3"/>
      <c r="D658" s="4"/>
      <c r="E658" s="5"/>
      <c r="F658" s="6"/>
      <c r="G658" s="3"/>
      <c r="H658" s="3"/>
      <c r="I658" s="7"/>
      <c r="J658" s="6" t="s">
        <v>222</v>
      </c>
      <c r="K658" s="4" t="s">
        <v>222</v>
      </c>
      <c r="L658" s="4" t="s">
        <v>222</v>
      </c>
      <c r="M658" s="4" t="s">
        <v>222</v>
      </c>
      <c r="N658" s="4" t="s">
        <v>222</v>
      </c>
      <c r="O658" s="4" t="s">
        <v>222</v>
      </c>
      <c r="P658" s="9"/>
      <c r="Q658" s="9"/>
      <c r="R658" s="87" t="s">
        <v>222</v>
      </c>
      <c r="S658" s="11" t="s">
        <v>222</v>
      </c>
      <c r="T658" s="12"/>
      <c r="U658" s="13"/>
      <c r="V658" s="12"/>
      <c r="W658" s="13"/>
      <c r="X658" s="12"/>
      <c r="Y658" s="14"/>
      <c r="Z658" s="14"/>
      <c r="AA658" s="14"/>
      <c r="AB658" s="14"/>
      <c r="AC658" s="14"/>
      <c r="AD658" s="14"/>
      <c r="AE658" s="14"/>
      <c r="AF658" s="3"/>
      <c r="AG658" s="3"/>
    </row>
    <row r="659" ht="13.5" customHeight="1">
      <c r="A659" s="3"/>
      <c r="B659" s="15"/>
      <c r="C659" s="3"/>
      <c r="D659" s="4"/>
      <c r="E659" s="5"/>
      <c r="F659" s="6"/>
      <c r="G659" s="3"/>
      <c r="H659" s="3"/>
      <c r="I659" s="7"/>
      <c r="J659" s="6" t="s">
        <v>222</v>
      </c>
      <c r="K659" s="4" t="s">
        <v>222</v>
      </c>
      <c r="L659" s="4" t="s">
        <v>222</v>
      </c>
      <c r="M659" s="4" t="s">
        <v>222</v>
      </c>
      <c r="N659" s="4" t="s">
        <v>222</v>
      </c>
      <c r="O659" s="4" t="s">
        <v>222</v>
      </c>
      <c r="P659" s="9"/>
      <c r="Q659" s="9"/>
      <c r="R659" s="87" t="s">
        <v>222</v>
      </c>
      <c r="S659" s="11" t="s">
        <v>222</v>
      </c>
      <c r="T659" s="12"/>
      <c r="U659" s="13"/>
      <c r="V659" s="12"/>
      <c r="W659" s="13"/>
      <c r="X659" s="12"/>
      <c r="Y659" s="14"/>
      <c r="Z659" s="14"/>
      <c r="AA659" s="14"/>
      <c r="AB659" s="14"/>
      <c r="AC659" s="14"/>
      <c r="AD659" s="14"/>
      <c r="AE659" s="14"/>
      <c r="AF659" s="3"/>
      <c r="AG659" s="3"/>
    </row>
    <row r="660" ht="13.5" customHeight="1">
      <c r="A660" s="3"/>
      <c r="B660" s="15"/>
      <c r="C660" s="3"/>
      <c r="D660" s="4"/>
      <c r="E660" s="5"/>
      <c r="F660" s="6"/>
      <c r="G660" s="3"/>
      <c r="H660" s="3"/>
      <c r="I660" s="7"/>
      <c r="J660" s="6" t="s">
        <v>222</v>
      </c>
      <c r="K660" s="4" t="s">
        <v>222</v>
      </c>
      <c r="L660" s="4" t="s">
        <v>222</v>
      </c>
      <c r="M660" s="4" t="s">
        <v>222</v>
      </c>
      <c r="N660" s="4" t="s">
        <v>222</v>
      </c>
      <c r="O660" s="4" t="s">
        <v>222</v>
      </c>
      <c r="P660" s="9"/>
      <c r="Q660" s="9"/>
      <c r="R660" s="87" t="s">
        <v>222</v>
      </c>
      <c r="S660" s="11" t="s">
        <v>222</v>
      </c>
      <c r="T660" s="12"/>
      <c r="U660" s="13"/>
      <c r="V660" s="12"/>
      <c r="W660" s="13"/>
      <c r="X660" s="12"/>
      <c r="Y660" s="14"/>
      <c r="Z660" s="14"/>
      <c r="AA660" s="14"/>
      <c r="AB660" s="14"/>
      <c r="AC660" s="14"/>
      <c r="AD660" s="14"/>
      <c r="AE660" s="14"/>
      <c r="AF660" s="3"/>
      <c r="AG660" s="3"/>
    </row>
    <row r="661" ht="13.5" customHeight="1">
      <c r="A661" s="3"/>
      <c r="B661" s="15"/>
      <c r="C661" s="3"/>
      <c r="D661" s="4"/>
      <c r="E661" s="5"/>
      <c r="F661" s="6"/>
      <c r="G661" s="3"/>
      <c r="H661" s="3"/>
      <c r="I661" s="7"/>
      <c r="J661" s="6" t="s">
        <v>222</v>
      </c>
      <c r="K661" s="4" t="s">
        <v>222</v>
      </c>
      <c r="L661" s="4" t="s">
        <v>222</v>
      </c>
      <c r="M661" s="4" t="s">
        <v>222</v>
      </c>
      <c r="N661" s="4" t="s">
        <v>222</v>
      </c>
      <c r="O661" s="4" t="s">
        <v>222</v>
      </c>
      <c r="P661" s="9"/>
      <c r="Q661" s="9"/>
      <c r="R661" s="87" t="s">
        <v>222</v>
      </c>
      <c r="S661" s="11" t="s">
        <v>222</v>
      </c>
      <c r="T661" s="12"/>
      <c r="U661" s="13"/>
      <c r="V661" s="12"/>
      <c r="W661" s="13"/>
      <c r="X661" s="12"/>
      <c r="Y661" s="14"/>
      <c r="Z661" s="14"/>
      <c r="AA661" s="14"/>
      <c r="AB661" s="14"/>
      <c r="AC661" s="14"/>
      <c r="AD661" s="14"/>
      <c r="AE661" s="14"/>
      <c r="AF661" s="3"/>
      <c r="AG661" s="3"/>
    </row>
    <row r="662" ht="13.5" customHeight="1">
      <c r="A662" s="3"/>
      <c r="B662" s="15"/>
      <c r="C662" s="3"/>
      <c r="D662" s="4"/>
      <c r="E662" s="5"/>
      <c r="F662" s="6"/>
      <c r="G662" s="3"/>
      <c r="H662" s="3"/>
      <c r="I662" s="7"/>
      <c r="J662" s="6" t="s">
        <v>222</v>
      </c>
      <c r="K662" s="4" t="s">
        <v>222</v>
      </c>
      <c r="L662" s="4" t="s">
        <v>222</v>
      </c>
      <c r="M662" s="4" t="s">
        <v>222</v>
      </c>
      <c r="N662" s="4" t="s">
        <v>222</v>
      </c>
      <c r="O662" s="4" t="s">
        <v>222</v>
      </c>
      <c r="P662" s="9"/>
      <c r="Q662" s="9"/>
      <c r="R662" s="87" t="s">
        <v>222</v>
      </c>
      <c r="S662" s="11" t="s">
        <v>222</v>
      </c>
      <c r="T662" s="12"/>
      <c r="U662" s="13"/>
      <c r="V662" s="12"/>
      <c r="W662" s="13"/>
      <c r="X662" s="12"/>
      <c r="Y662" s="14"/>
      <c r="Z662" s="14"/>
      <c r="AA662" s="14"/>
      <c r="AB662" s="14"/>
      <c r="AC662" s="14"/>
      <c r="AD662" s="14"/>
      <c r="AE662" s="14"/>
      <c r="AF662" s="3"/>
      <c r="AG662" s="3"/>
    </row>
    <row r="663" ht="13.5" customHeight="1">
      <c r="A663" s="3"/>
      <c r="B663" s="15"/>
      <c r="C663" s="3"/>
      <c r="D663" s="4"/>
      <c r="E663" s="5"/>
      <c r="F663" s="6"/>
      <c r="G663" s="3"/>
      <c r="H663" s="3"/>
      <c r="I663" s="7"/>
      <c r="J663" s="6" t="s">
        <v>222</v>
      </c>
      <c r="K663" s="4" t="s">
        <v>222</v>
      </c>
      <c r="L663" s="4" t="s">
        <v>222</v>
      </c>
      <c r="M663" s="4" t="s">
        <v>222</v>
      </c>
      <c r="N663" s="4" t="s">
        <v>222</v>
      </c>
      <c r="O663" s="4" t="s">
        <v>222</v>
      </c>
      <c r="P663" s="9"/>
      <c r="Q663" s="9"/>
      <c r="R663" s="87" t="s">
        <v>222</v>
      </c>
      <c r="S663" s="11" t="s">
        <v>222</v>
      </c>
      <c r="T663" s="12"/>
      <c r="U663" s="13"/>
      <c r="V663" s="12"/>
      <c r="W663" s="13"/>
      <c r="X663" s="12"/>
      <c r="Y663" s="14"/>
      <c r="Z663" s="14"/>
      <c r="AA663" s="14"/>
      <c r="AB663" s="14"/>
      <c r="AC663" s="14"/>
      <c r="AD663" s="14"/>
      <c r="AE663" s="14"/>
      <c r="AF663" s="3"/>
      <c r="AG663" s="3"/>
    </row>
    <row r="664" ht="13.5" customHeight="1">
      <c r="A664" s="3"/>
      <c r="B664" s="15"/>
      <c r="C664" s="3"/>
      <c r="D664" s="4"/>
      <c r="E664" s="5"/>
      <c r="F664" s="6"/>
      <c r="G664" s="3"/>
      <c r="H664" s="3"/>
      <c r="I664" s="7"/>
      <c r="J664" s="6" t="s">
        <v>222</v>
      </c>
      <c r="K664" s="4" t="s">
        <v>222</v>
      </c>
      <c r="L664" s="4" t="s">
        <v>222</v>
      </c>
      <c r="M664" s="4" t="s">
        <v>222</v>
      </c>
      <c r="N664" s="4" t="s">
        <v>222</v>
      </c>
      <c r="O664" s="4" t="s">
        <v>222</v>
      </c>
      <c r="P664" s="9"/>
      <c r="Q664" s="9"/>
      <c r="R664" s="87" t="s">
        <v>222</v>
      </c>
      <c r="S664" s="11" t="s">
        <v>222</v>
      </c>
      <c r="T664" s="12"/>
      <c r="U664" s="13"/>
      <c r="V664" s="12"/>
      <c r="W664" s="13"/>
      <c r="X664" s="12"/>
      <c r="Y664" s="14"/>
      <c r="Z664" s="14"/>
      <c r="AA664" s="14"/>
      <c r="AB664" s="14"/>
      <c r="AC664" s="14"/>
      <c r="AD664" s="14"/>
      <c r="AE664" s="14"/>
      <c r="AF664" s="3"/>
      <c r="AG664" s="3"/>
    </row>
    <row r="665" ht="13.5" customHeight="1">
      <c r="A665" s="3"/>
      <c r="B665" s="15"/>
      <c r="C665" s="3"/>
      <c r="D665" s="4"/>
      <c r="E665" s="5"/>
      <c r="F665" s="6"/>
      <c r="G665" s="3"/>
      <c r="H665" s="3"/>
      <c r="I665" s="7"/>
      <c r="J665" s="6" t="s">
        <v>222</v>
      </c>
      <c r="K665" s="4" t="s">
        <v>222</v>
      </c>
      <c r="L665" s="4" t="s">
        <v>222</v>
      </c>
      <c r="M665" s="4" t="s">
        <v>222</v>
      </c>
      <c r="N665" s="4" t="s">
        <v>222</v>
      </c>
      <c r="O665" s="4" t="s">
        <v>222</v>
      </c>
      <c r="P665" s="9"/>
      <c r="Q665" s="9"/>
      <c r="R665" s="87" t="s">
        <v>222</v>
      </c>
      <c r="S665" s="11" t="s">
        <v>222</v>
      </c>
      <c r="T665" s="12"/>
      <c r="U665" s="13"/>
      <c r="V665" s="12"/>
      <c r="W665" s="13"/>
      <c r="X665" s="12"/>
      <c r="Y665" s="14"/>
      <c r="Z665" s="14"/>
      <c r="AA665" s="14"/>
      <c r="AB665" s="14"/>
      <c r="AC665" s="14"/>
      <c r="AD665" s="14"/>
      <c r="AE665" s="14"/>
      <c r="AF665" s="3"/>
      <c r="AG665" s="3"/>
    </row>
    <row r="666" ht="13.5" customHeight="1">
      <c r="A666" s="3"/>
      <c r="B666" s="15"/>
      <c r="C666" s="3"/>
      <c r="D666" s="4"/>
      <c r="E666" s="5"/>
      <c r="F666" s="6"/>
      <c r="G666" s="3"/>
      <c r="H666" s="3"/>
      <c r="I666" s="7"/>
      <c r="J666" s="6" t="s">
        <v>222</v>
      </c>
      <c r="K666" s="4" t="s">
        <v>222</v>
      </c>
      <c r="L666" s="4" t="s">
        <v>222</v>
      </c>
      <c r="M666" s="4" t="s">
        <v>222</v>
      </c>
      <c r="N666" s="4" t="s">
        <v>222</v>
      </c>
      <c r="O666" s="4" t="s">
        <v>222</v>
      </c>
      <c r="P666" s="9"/>
      <c r="Q666" s="9"/>
      <c r="R666" s="87" t="s">
        <v>222</v>
      </c>
      <c r="S666" s="11" t="s">
        <v>222</v>
      </c>
      <c r="T666" s="12"/>
      <c r="U666" s="13"/>
      <c r="V666" s="12"/>
      <c r="W666" s="13"/>
      <c r="X666" s="12"/>
      <c r="Y666" s="14"/>
      <c r="Z666" s="14"/>
      <c r="AA666" s="14"/>
      <c r="AB666" s="14"/>
      <c r="AC666" s="14"/>
      <c r="AD666" s="14"/>
      <c r="AE666" s="14"/>
      <c r="AF666" s="3"/>
      <c r="AG666" s="3"/>
    </row>
    <row r="667" ht="13.5" customHeight="1">
      <c r="A667" s="3"/>
      <c r="B667" s="15"/>
      <c r="C667" s="3"/>
      <c r="D667" s="4"/>
      <c r="E667" s="5"/>
      <c r="F667" s="6"/>
      <c r="G667" s="3"/>
      <c r="H667" s="3"/>
      <c r="I667" s="7"/>
      <c r="J667" s="6" t="s">
        <v>222</v>
      </c>
      <c r="K667" s="4" t="s">
        <v>222</v>
      </c>
      <c r="L667" s="4" t="s">
        <v>222</v>
      </c>
      <c r="M667" s="4" t="s">
        <v>222</v>
      </c>
      <c r="N667" s="4" t="s">
        <v>222</v>
      </c>
      <c r="O667" s="4" t="s">
        <v>222</v>
      </c>
      <c r="P667" s="9"/>
      <c r="Q667" s="9"/>
      <c r="R667" s="87" t="s">
        <v>222</v>
      </c>
      <c r="S667" s="11" t="s">
        <v>222</v>
      </c>
      <c r="T667" s="12"/>
      <c r="U667" s="13"/>
      <c r="V667" s="12"/>
      <c r="W667" s="13"/>
      <c r="X667" s="12"/>
      <c r="Y667" s="14"/>
      <c r="Z667" s="14"/>
      <c r="AA667" s="14"/>
      <c r="AB667" s="14"/>
      <c r="AC667" s="14"/>
      <c r="AD667" s="14"/>
      <c r="AE667" s="14"/>
      <c r="AF667" s="3"/>
      <c r="AG667" s="3"/>
    </row>
    <row r="668" ht="13.5" customHeight="1">
      <c r="A668" s="3"/>
      <c r="B668" s="15"/>
      <c r="C668" s="3"/>
      <c r="D668" s="4"/>
      <c r="E668" s="5"/>
      <c r="F668" s="6"/>
      <c r="G668" s="3"/>
      <c r="H668" s="3"/>
      <c r="I668" s="7"/>
      <c r="J668" s="6" t="s">
        <v>222</v>
      </c>
      <c r="K668" s="4" t="s">
        <v>222</v>
      </c>
      <c r="L668" s="4" t="s">
        <v>222</v>
      </c>
      <c r="M668" s="4" t="s">
        <v>222</v>
      </c>
      <c r="N668" s="4" t="s">
        <v>222</v>
      </c>
      <c r="O668" s="4" t="s">
        <v>222</v>
      </c>
      <c r="P668" s="9"/>
      <c r="Q668" s="9"/>
      <c r="R668" s="87" t="s">
        <v>222</v>
      </c>
      <c r="S668" s="11" t="s">
        <v>222</v>
      </c>
      <c r="T668" s="12"/>
      <c r="U668" s="13"/>
      <c r="V668" s="12"/>
      <c r="W668" s="13"/>
      <c r="X668" s="12"/>
      <c r="Y668" s="14"/>
      <c r="Z668" s="14"/>
      <c r="AA668" s="14"/>
      <c r="AB668" s="14"/>
      <c r="AC668" s="14"/>
      <c r="AD668" s="14"/>
      <c r="AE668" s="14"/>
      <c r="AF668" s="3"/>
      <c r="AG668" s="3"/>
    </row>
    <row r="669" ht="13.5" customHeight="1">
      <c r="A669" s="3"/>
      <c r="B669" s="15"/>
      <c r="C669" s="3"/>
      <c r="D669" s="4"/>
      <c r="E669" s="5"/>
      <c r="F669" s="6"/>
      <c r="G669" s="3"/>
      <c r="H669" s="3"/>
      <c r="I669" s="7"/>
      <c r="J669" s="6" t="s">
        <v>222</v>
      </c>
      <c r="K669" s="4" t="s">
        <v>222</v>
      </c>
      <c r="L669" s="4" t="s">
        <v>222</v>
      </c>
      <c r="M669" s="4" t="s">
        <v>222</v>
      </c>
      <c r="N669" s="4" t="s">
        <v>222</v>
      </c>
      <c r="O669" s="4" t="s">
        <v>222</v>
      </c>
      <c r="P669" s="9"/>
      <c r="Q669" s="9"/>
      <c r="R669" s="87" t="s">
        <v>222</v>
      </c>
      <c r="S669" s="11" t="s">
        <v>222</v>
      </c>
      <c r="T669" s="12"/>
      <c r="U669" s="13"/>
      <c r="V669" s="12"/>
      <c r="W669" s="13"/>
      <c r="X669" s="12"/>
      <c r="Y669" s="14"/>
      <c r="Z669" s="14"/>
      <c r="AA669" s="14"/>
      <c r="AB669" s="14"/>
      <c r="AC669" s="14"/>
      <c r="AD669" s="14"/>
      <c r="AE669" s="14"/>
      <c r="AF669" s="3"/>
      <c r="AG669" s="3"/>
    </row>
    <row r="670" ht="13.5" customHeight="1">
      <c r="A670" s="3"/>
      <c r="B670" s="15"/>
      <c r="C670" s="3"/>
      <c r="D670" s="4"/>
      <c r="E670" s="5"/>
      <c r="F670" s="6"/>
      <c r="G670" s="3"/>
      <c r="H670" s="3"/>
      <c r="I670" s="7"/>
      <c r="J670" s="6" t="s">
        <v>222</v>
      </c>
      <c r="K670" s="4" t="s">
        <v>222</v>
      </c>
      <c r="L670" s="4" t="s">
        <v>222</v>
      </c>
      <c r="M670" s="4" t="s">
        <v>222</v>
      </c>
      <c r="N670" s="4" t="s">
        <v>222</v>
      </c>
      <c r="O670" s="4" t="s">
        <v>222</v>
      </c>
      <c r="P670" s="9"/>
      <c r="Q670" s="9"/>
      <c r="R670" s="87" t="s">
        <v>222</v>
      </c>
      <c r="S670" s="11" t="s">
        <v>222</v>
      </c>
      <c r="T670" s="12"/>
      <c r="U670" s="13"/>
      <c r="V670" s="12"/>
      <c r="W670" s="13"/>
      <c r="X670" s="12"/>
      <c r="Y670" s="14"/>
      <c r="Z670" s="14"/>
      <c r="AA670" s="14"/>
      <c r="AB670" s="14"/>
      <c r="AC670" s="14"/>
      <c r="AD670" s="14"/>
      <c r="AE670" s="14"/>
      <c r="AF670" s="3"/>
      <c r="AG670" s="3"/>
    </row>
    <row r="671" ht="13.5" customHeight="1">
      <c r="A671" s="3"/>
      <c r="B671" s="15"/>
      <c r="C671" s="3"/>
      <c r="D671" s="4"/>
      <c r="E671" s="5"/>
      <c r="F671" s="6"/>
      <c r="G671" s="3"/>
      <c r="H671" s="3"/>
      <c r="I671" s="7"/>
      <c r="J671" s="6" t="s">
        <v>222</v>
      </c>
      <c r="K671" s="4" t="s">
        <v>222</v>
      </c>
      <c r="L671" s="4" t="s">
        <v>222</v>
      </c>
      <c r="M671" s="4" t="s">
        <v>222</v>
      </c>
      <c r="N671" s="4" t="s">
        <v>222</v>
      </c>
      <c r="O671" s="4" t="s">
        <v>222</v>
      </c>
      <c r="P671" s="9"/>
      <c r="Q671" s="9"/>
      <c r="R671" s="87" t="s">
        <v>222</v>
      </c>
      <c r="S671" s="11" t="s">
        <v>222</v>
      </c>
      <c r="T671" s="12"/>
      <c r="U671" s="13"/>
      <c r="V671" s="12"/>
      <c r="W671" s="13"/>
      <c r="X671" s="12"/>
      <c r="Y671" s="14"/>
      <c r="Z671" s="14"/>
      <c r="AA671" s="14"/>
      <c r="AB671" s="14"/>
      <c r="AC671" s="14"/>
      <c r="AD671" s="14"/>
      <c r="AE671" s="14"/>
      <c r="AF671" s="3"/>
      <c r="AG671" s="3"/>
    </row>
    <row r="672" ht="13.5" customHeight="1">
      <c r="A672" s="3"/>
      <c r="B672" s="15"/>
      <c r="C672" s="3"/>
      <c r="D672" s="4"/>
      <c r="E672" s="5"/>
      <c r="F672" s="6"/>
      <c r="G672" s="3"/>
      <c r="H672" s="3"/>
      <c r="I672" s="7"/>
      <c r="J672" s="6" t="s">
        <v>222</v>
      </c>
      <c r="K672" s="4" t="s">
        <v>222</v>
      </c>
      <c r="L672" s="4" t="s">
        <v>222</v>
      </c>
      <c r="M672" s="4" t="s">
        <v>222</v>
      </c>
      <c r="N672" s="4" t="s">
        <v>222</v>
      </c>
      <c r="O672" s="4" t="s">
        <v>222</v>
      </c>
      <c r="P672" s="9"/>
      <c r="Q672" s="9"/>
      <c r="R672" s="87" t="s">
        <v>222</v>
      </c>
      <c r="S672" s="11" t="s">
        <v>222</v>
      </c>
      <c r="T672" s="12"/>
      <c r="U672" s="13"/>
      <c r="V672" s="12"/>
      <c r="W672" s="13"/>
      <c r="X672" s="12"/>
      <c r="Y672" s="14"/>
      <c r="Z672" s="14"/>
      <c r="AA672" s="14"/>
      <c r="AB672" s="14"/>
      <c r="AC672" s="14"/>
      <c r="AD672" s="14"/>
      <c r="AE672" s="14"/>
      <c r="AF672" s="3"/>
      <c r="AG672" s="3"/>
    </row>
    <row r="673" ht="13.5" customHeight="1">
      <c r="A673" s="3"/>
      <c r="B673" s="15"/>
      <c r="C673" s="3"/>
      <c r="D673" s="4"/>
      <c r="E673" s="5"/>
      <c r="F673" s="6"/>
      <c r="G673" s="3"/>
      <c r="H673" s="3"/>
      <c r="I673" s="7"/>
      <c r="J673" s="6" t="s">
        <v>222</v>
      </c>
      <c r="K673" s="4" t="s">
        <v>222</v>
      </c>
      <c r="L673" s="4" t="s">
        <v>222</v>
      </c>
      <c r="M673" s="4" t="s">
        <v>222</v>
      </c>
      <c r="N673" s="4" t="s">
        <v>222</v>
      </c>
      <c r="O673" s="4" t="s">
        <v>222</v>
      </c>
      <c r="P673" s="9"/>
      <c r="Q673" s="9"/>
      <c r="R673" s="87" t="s">
        <v>222</v>
      </c>
      <c r="S673" s="11" t="s">
        <v>222</v>
      </c>
      <c r="T673" s="12"/>
      <c r="U673" s="13"/>
      <c r="V673" s="12"/>
      <c r="W673" s="13"/>
      <c r="X673" s="12"/>
      <c r="Y673" s="14"/>
      <c r="Z673" s="14"/>
      <c r="AA673" s="14"/>
      <c r="AB673" s="14"/>
      <c r="AC673" s="14"/>
      <c r="AD673" s="14"/>
      <c r="AE673" s="14"/>
      <c r="AF673" s="3"/>
      <c r="AG673" s="3"/>
    </row>
    <row r="674" ht="13.5" customHeight="1">
      <c r="A674" s="3"/>
      <c r="B674" s="15"/>
      <c r="C674" s="3"/>
      <c r="D674" s="4"/>
      <c r="E674" s="5"/>
      <c r="F674" s="6"/>
      <c r="G674" s="3"/>
      <c r="H674" s="3"/>
      <c r="I674" s="7"/>
      <c r="J674" s="6" t="s">
        <v>222</v>
      </c>
      <c r="K674" s="4" t="s">
        <v>222</v>
      </c>
      <c r="L674" s="4" t="s">
        <v>222</v>
      </c>
      <c r="M674" s="4" t="s">
        <v>222</v>
      </c>
      <c r="N674" s="4" t="s">
        <v>222</v>
      </c>
      <c r="O674" s="4" t="s">
        <v>222</v>
      </c>
      <c r="P674" s="9"/>
      <c r="Q674" s="9"/>
      <c r="R674" s="87" t="s">
        <v>222</v>
      </c>
      <c r="S674" s="11" t="s">
        <v>222</v>
      </c>
      <c r="T674" s="12"/>
      <c r="U674" s="13"/>
      <c r="V674" s="12"/>
      <c r="W674" s="13"/>
      <c r="X674" s="12"/>
      <c r="Y674" s="14"/>
      <c r="Z674" s="14"/>
      <c r="AA674" s="14"/>
      <c r="AB674" s="14"/>
      <c r="AC674" s="14"/>
      <c r="AD674" s="14"/>
      <c r="AE674" s="14"/>
      <c r="AF674" s="3"/>
      <c r="AG674" s="3"/>
    </row>
    <row r="675" ht="13.5" customHeight="1">
      <c r="A675" s="3"/>
      <c r="B675" s="15"/>
      <c r="C675" s="3"/>
      <c r="D675" s="4"/>
      <c r="E675" s="5"/>
      <c r="F675" s="6"/>
      <c r="G675" s="3"/>
      <c r="H675" s="3"/>
      <c r="I675" s="7"/>
      <c r="J675" s="6" t="s">
        <v>222</v>
      </c>
      <c r="K675" s="4" t="s">
        <v>222</v>
      </c>
      <c r="L675" s="4" t="s">
        <v>222</v>
      </c>
      <c r="M675" s="4" t="s">
        <v>222</v>
      </c>
      <c r="N675" s="4" t="s">
        <v>222</v>
      </c>
      <c r="O675" s="4" t="s">
        <v>222</v>
      </c>
      <c r="P675" s="9"/>
      <c r="Q675" s="9"/>
      <c r="R675" s="87" t="s">
        <v>222</v>
      </c>
      <c r="S675" s="11" t="s">
        <v>222</v>
      </c>
      <c r="T675" s="12"/>
      <c r="U675" s="13"/>
      <c r="V675" s="12"/>
      <c r="W675" s="13"/>
      <c r="X675" s="12"/>
      <c r="Y675" s="14"/>
      <c r="Z675" s="14"/>
      <c r="AA675" s="14"/>
      <c r="AB675" s="14"/>
      <c r="AC675" s="14"/>
      <c r="AD675" s="14"/>
      <c r="AE675" s="14"/>
      <c r="AF675" s="3"/>
      <c r="AG675" s="3"/>
    </row>
    <row r="676" ht="13.5" customHeight="1">
      <c r="A676" s="3"/>
      <c r="B676" s="15"/>
      <c r="C676" s="3"/>
      <c r="D676" s="4"/>
      <c r="E676" s="5"/>
      <c r="F676" s="6"/>
      <c r="G676" s="3"/>
      <c r="H676" s="3"/>
      <c r="I676" s="7"/>
      <c r="J676" s="6" t="s">
        <v>222</v>
      </c>
      <c r="K676" s="4" t="s">
        <v>222</v>
      </c>
      <c r="L676" s="4" t="s">
        <v>222</v>
      </c>
      <c r="M676" s="4" t="s">
        <v>222</v>
      </c>
      <c r="N676" s="4" t="s">
        <v>222</v>
      </c>
      <c r="O676" s="4" t="s">
        <v>222</v>
      </c>
      <c r="P676" s="9"/>
      <c r="Q676" s="9"/>
      <c r="R676" s="87" t="s">
        <v>222</v>
      </c>
      <c r="S676" s="11" t="s">
        <v>222</v>
      </c>
      <c r="T676" s="12"/>
      <c r="U676" s="13"/>
      <c r="V676" s="12"/>
      <c r="W676" s="13"/>
      <c r="X676" s="12"/>
      <c r="Y676" s="14"/>
      <c r="Z676" s="14"/>
      <c r="AA676" s="14"/>
      <c r="AB676" s="14"/>
      <c r="AC676" s="14"/>
      <c r="AD676" s="14"/>
      <c r="AE676" s="14"/>
      <c r="AF676" s="3"/>
      <c r="AG676" s="3"/>
    </row>
    <row r="677" ht="13.5" customHeight="1">
      <c r="A677" s="3"/>
      <c r="B677" s="15"/>
      <c r="C677" s="3"/>
      <c r="D677" s="4"/>
      <c r="E677" s="5"/>
      <c r="F677" s="6"/>
      <c r="G677" s="3"/>
      <c r="H677" s="3"/>
      <c r="I677" s="7"/>
      <c r="J677" s="6" t="s">
        <v>222</v>
      </c>
      <c r="K677" s="4" t="s">
        <v>222</v>
      </c>
      <c r="L677" s="4" t="s">
        <v>222</v>
      </c>
      <c r="M677" s="4" t="s">
        <v>222</v>
      </c>
      <c r="N677" s="4" t="s">
        <v>222</v>
      </c>
      <c r="O677" s="4" t="s">
        <v>222</v>
      </c>
      <c r="P677" s="9"/>
      <c r="Q677" s="9"/>
      <c r="R677" s="87" t="s">
        <v>222</v>
      </c>
      <c r="S677" s="11" t="s">
        <v>222</v>
      </c>
      <c r="T677" s="12"/>
      <c r="U677" s="13"/>
      <c r="V677" s="12"/>
      <c r="W677" s="13"/>
      <c r="X677" s="12"/>
      <c r="Y677" s="14"/>
      <c r="Z677" s="14"/>
      <c r="AA677" s="14"/>
      <c r="AB677" s="14"/>
      <c r="AC677" s="14"/>
      <c r="AD677" s="14"/>
      <c r="AE677" s="14"/>
      <c r="AF677" s="3"/>
      <c r="AG677" s="3"/>
    </row>
    <row r="678" ht="13.5" customHeight="1">
      <c r="A678" s="3"/>
      <c r="B678" s="15"/>
      <c r="C678" s="3"/>
      <c r="D678" s="4"/>
      <c r="E678" s="5"/>
      <c r="F678" s="6"/>
      <c r="G678" s="3"/>
      <c r="H678" s="3"/>
      <c r="I678" s="7"/>
      <c r="J678" s="6" t="s">
        <v>222</v>
      </c>
      <c r="K678" s="4" t="s">
        <v>222</v>
      </c>
      <c r="L678" s="4" t="s">
        <v>222</v>
      </c>
      <c r="M678" s="4" t="s">
        <v>222</v>
      </c>
      <c r="N678" s="4" t="s">
        <v>222</v>
      </c>
      <c r="O678" s="4" t="s">
        <v>222</v>
      </c>
      <c r="P678" s="9"/>
      <c r="Q678" s="9"/>
      <c r="R678" s="87" t="s">
        <v>222</v>
      </c>
      <c r="S678" s="11" t="s">
        <v>222</v>
      </c>
      <c r="T678" s="12"/>
      <c r="U678" s="13"/>
      <c r="V678" s="12"/>
      <c r="W678" s="13"/>
      <c r="X678" s="12"/>
      <c r="Y678" s="14"/>
      <c r="Z678" s="14"/>
      <c r="AA678" s="14"/>
      <c r="AB678" s="14"/>
      <c r="AC678" s="14"/>
      <c r="AD678" s="14"/>
      <c r="AE678" s="14"/>
      <c r="AF678" s="3"/>
      <c r="AG678" s="3"/>
    </row>
    <row r="679" ht="13.5" customHeight="1">
      <c r="A679" s="3"/>
      <c r="B679" s="15"/>
      <c r="C679" s="3"/>
      <c r="D679" s="4"/>
      <c r="E679" s="5"/>
      <c r="F679" s="6"/>
      <c r="G679" s="3"/>
      <c r="H679" s="3"/>
      <c r="I679" s="7"/>
      <c r="J679" s="6" t="s">
        <v>222</v>
      </c>
      <c r="K679" s="4" t="s">
        <v>222</v>
      </c>
      <c r="L679" s="4" t="s">
        <v>222</v>
      </c>
      <c r="M679" s="4" t="s">
        <v>222</v>
      </c>
      <c r="N679" s="4" t="s">
        <v>222</v>
      </c>
      <c r="O679" s="4" t="s">
        <v>222</v>
      </c>
      <c r="P679" s="9"/>
      <c r="Q679" s="9"/>
      <c r="R679" s="87" t="s">
        <v>222</v>
      </c>
      <c r="S679" s="11" t="s">
        <v>222</v>
      </c>
      <c r="T679" s="12"/>
      <c r="U679" s="13"/>
      <c r="V679" s="12"/>
      <c r="W679" s="13"/>
      <c r="X679" s="12"/>
      <c r="Y679" s="14"/>
      <c r="Z679" s="14"/>
      <c r="AA679" s="14"/>
      <c r="AB679" s="14"/>
      <c r="AC679" s="14"/>
      <c r="AD679" s="14"/>
      <c r="AE679" s="14"/>
      <c r="AF679" s="3"/>
      <c r="AG679" s="3"/>
    </row>
    <row r="680" ht="13.5" customHeight="1">
      <c r="A680" s="3"/>
      <c r="B680" s="15"/>
      <c r="C680" s="3"/>
      <c r="D680" s="4"/>
      <c r="E680" s="5"/>
      <c r="F680" s="6"/>
      <c r="G680" s="3"/>
      <c r="H680" s="3"/>
      <c r="I680" s="7"/>
      <c r="J680" s="6" t="s">
        <v>222</v>
      </c>
      <c r="K680" s="4" t="s">
        <v>222</v>
      </c>
      <c r="L680" s="4" t="s">
        <v>222</v>
      </c>
      <c r="M680" s="4" t="s">
        <v>222</v>
      </c>
      <c r="N680" s="4" t="s">
        <v>222</v>
      </c>
      <c r="O680" s="4" t="s">
        <v>222</v>
      </c>
      <c r="P680" s="9"/>
      <c r="Q680" s="9"/>
      <c r="R680" s="87" t="s">
        <v>222</v>
      </c>
      <c r="S680" s="11" t="s">
        <v>222</v>
      </c>
      <c r="T680" s="12"/>
      <c r="U680" s="13"/>
      <c r="V680" s="12"/>
      <c r="W680" s="13"/>
      <c r="X680" s="12"/>
      <c r="Y680" s="14"/>
      <c r="Z680" s="14"/>
      <c r="AA680" s="14"/>
      <c r="AB680" s="14"/>
      <c r="AC680" s="14"/>
      <c r="AD680" s="14"/>
      <c r="AE680" s="14"/>
      <c r="AF680" s="3"/>
      <c r="AG680" s="3"/>
    </row>
    <row r="681" ht="13.5" customHeight="1">
      <c r="A681" s="3"/>
      <c r="B681" s="15"/>
      <c r="C681" s="3"/>
      <c r="D681" s="4"/>
      <c r="E681" s="5"/>
      <c r="F681" s="6"/>
      <c r="G681" s="3"/>
      <c r="H681" s="3"/>
      <c r="I681" s="7"/>
      <c r="J681" s="6" t="s">
        <v>222</v>
      </c>
      <c r="K681" s="4" t="s">
        <v>222</v>
      </c>
      <c r="L681" s="4" t="s">
        <v>222</v>
      </c>
      <c r="M681" s="4" t="s">
        <v>222</v>
      </c>
      <c r="N681" s="4" t="s">
        <v>222</v>
      </c>
      <c r="O681" s="4" t="s">
        <v>222</v>
      </c>
      <c r="P681" s="9"/>
      <c r="Q681" s="9"/>
      <c r="R681" s="87" t="s">
        <v>222</v>
      </c>
      <c r="S681" s="11" t="s">
        <v>222</v>
      </c>
      <c r="T681" s="12"/>
      <c r="U681" s="13"/>
      <c r="V681" s="12"/>
      <c r="W681" s="13"/>
      <c r="X681" s="12"/>
      <c r="Y681" s="14"/>
      <c r="Z681" s="14"/>
      <c r="AA681" s="14"/>
      <c r="AB681" s="14"/>
      <c r="AC681" s="14"/>
      <c r="AD681" s="14"/>
      <c r="AE681" s="14"/>
      <c r="AF681" s="3"/>
      <c r="AG681" s="3"/>
    </row>
    <row r="682" ht="13.5" customHeight="1">
      <c r="A682" s="3"/>
      <c r="B682" s="15"/>
      <c r="C682" s="3"/>
      <c r="D682" s="4"/>
      <c r="E682" s="5"/>
      <c r="F682" s="6"/>
      <c r="G682" s="3"/>
      <c r="H682" s="3"/>
      <c r="I682" s="7"/>
      <c r="J682" s="6" t="s">
        <v>222</v>
      </c>
      <c r="K682" s="4" t="s">
        <v>222</v>
      </c>
      <c r="L682" s="4" t="s">
        <v>222</v>
      </c>
      <c r="M682" s="4" t="s">
        <v>222</v>
      </c>
      <c r="N682" s="4" t="s">
        <v>222</v>
      </c>
      <c r="O682" s="4" t="s">
        <v>222</v>
      </c>
      <c r="P682" s="9"/>
      <c r="Q682" s="9"/>
      <c r="R682" s="87" t="s">
        <v>222</v>
      </c>
      <c r="S682" s="11" t="s">
        <v>222</v>
      </c>
      <c r="T682" s="12"/>
      <c r="U682" s="13"/>
      <c r="V682" s="12"/>
      <c r="W682" s="13"/>
      <c r="X682" s="12"/>
      <c r="Y682" s="14"/>
      <c r="Z682" s="14"/>
      <c r="AA682" s="14"/>
      <c r="AB682" s="14"/>
      <c r="AC682" s="14"/>
      <c r="AD682" s="14"/>
      <c r="AE682" s="14"/>
      <c r="AF682" s="3"/>
      <c r="AG682" s="3"/>
    </row>
    <row r="683" ht="13.5" customHeight="1">
      <c r="A683" s="3"/>
      <c r="B683" s="15"/>
      <c r="C683" s="3"/>
      <c r="D683" s="4"/>
      <c r="E683" s="5"/>
      <c r="F683" s="6"/>
      <c r="G683" s="3"/>
      <c r="H683" s="3"/>
      <c r="I683" s="7"/>
      <c r="J683" s="6" t="s">
        <v>222</v>
      </c>
      <c r="K683" s="4" t="s">
        <v>222</v>
      </c>
      <c r="L683" s="4" t="s">
        <v>222</v>
      </c>
      <c r="M683" s="4" t="s">
        <v>222</v>
      </c>
      <c r="N683" s="4" t="s">
        <v>222</v>
      </c>
      <c r="O683" s="4" t="s">
        <v>222</v>
      </c>
      <c r="P683" s="9"/>
      <c r="Q683" s="9"/>
      <c r="R683" s="87" t="s">
        <v>222</v>
      </c>
      <c r="S683" s="11" t="s">
        <v>222</v>
      </c>
      <c r="T683" s="12"/>
      <c r="U683" s="13"/>
      <c r="V683" s="12"/>
      <c r="W683" s="13"/>
      <c r="X683" s="12"/>
      <c r="Y683" s="14"/>
      <c r="Z683" s="14"/>
      <c r="AA683" s="14"/>
      <c r="AB683" s="14"/>
      <c r="AC683" s="14"/>
      <c r="AD683" s="14"/>
      <c r="AE683" s="14"/>
      <c r="AF683" s="3"/>
      <c r="AG683" s="3"/>
    </row>
    <row r="684" ht="13.5" customHeight="1">
      <c r="A684" s="3"/>
      <c r="B684" s="15"/>
      <c r="C684" s="3"/>
      <c r="D684" s="4"/>
      <c r="E684" s="5"/>
      <c r="F684" s="6"/>
      <c r="G684" s="3"/>
      <c r="H684" s="3"/>
      <c r="I684" s="7"/>
      <c r="J684" s="6" t="s">
        <v>222</v>
      </c>
      <c r="K684" s="4" t="s">
        <v>222</v>
      </c>
      <c r="L684" s="4" t="s">
        <v>222</v>
      </c>
      <c r="M684" s="4" t="s">
        <v>222</v>
      </c>
      <c r="N684" s="4" t="s">
        <v>222</v>
      </c>
      <c r="O684" s="4" t="s">
        <v>222</v>
      </c>
      <c r="P684" s="9"/>
      <c r="Q684" s="9"/>
      <c r="R684" s="87" t="s">
        <v>222</v>
      </c>
      <c r="S684" s="11" t="s">
        <v>222</v>
      </c>
      <c r="T684" s="12"/>
      <c r="U684" s="13"/>
      <c r="V684" s="12"/>
      <c r="W684" s="13"/>
      <c r="X684" s="12"/>
      <c r="Y684" s="14"/>
      <c r="Z684" s="14"/>
      <c r="AA684" s="14"/>
      <c r="AB684" s="14"/>
      <c r="AC684" s="14"/>
      <c r="AD684" s="14"/>
      <c r="AE684" s="14"/>
      <c r="AF684" s="3"/>
      <c r="AG684" s="3"/>
    </row>
    <row r="685" ht="13.5" customHeight="1">
      <c r="A685" s="3"/>
      <c r="B685" s="15"/>
      <c r="C685" s="3"/>
      <c r="D685" s="4"/>
      <c r="E685" s="5"/>
      <c r="F685" s="6"/>
      <c r="G685" s="3"/>
      <c r="H685" s="3"/>
      <c r="I685" s="7"/>
      <c r="J685" s="6" t="s">
        <v>222</v>
      </c>
      <c r="K685" s="4" t="s">
        <v>222</v>
      </c>
      <c r="L685" s="4" t="s">
        <v>222</v>
      </c>
      <c r="M685" s="4" t="s">
        <v>222</v>
      </c>
      <c r="N685" s="4" t="s">
        <v>222</v>
      </c>
      <c r="O685" s="4" t="s">
        <v>222</v>
      </c>
      <c r="P685" s="9"/>
      <c r="Q685" s="9"/>
      <c r="R685" s="87" t="s">
        <v>222</v>
      </c>
      <c r="S685" s="11" t="s">
        <v>222</v>
      </c>
      <c r="T685" s="12"/>
      <c r="U685" s="13"/>
      <c r="V685" s="12"/>
      <c r="W685" s="13"/>
      <c r="X685" s="12"/>
      <c r="Y685" s="14"/>
      <c r="Z685" s="14"/>
      <c r="AA685" s="14"/>
      <c r="AB685" s="14"/>
      <c r="AC685" s="14"/>
      <c r="AD685" s="14"/>
      <c r="AE685" s="14"/>
      <c r="AF685" s="3"/>
      <c r="AG685" s="3"/>
    </row>
    <row r="686" ht="13.5" customHeight="1">
      <c r="A686" s="3"/>
      <c r="B686" s="15"/>
      <c r="C686" s="3"/>
      <c r="D686" s="4"/>
      <c r="E686" s="5"/>
      <c r="F686" s="6"/>
      <c r="G686" s="3"/>
      <c r="H686" s="3"/>
      <c r="I686" s="7"/>
      <c r="J686" s="6" t="s">
        <v>222</v>
      </c>
      <c r="K686" s="4" t="s">
        <v>222</v>
      </c>
      <c r="L686" s="4" t="s">
        <v>222</v>
      </c>
      <c r="M686" s="4" t="s">
        <v>222</v>
      </c>
      <c r="N686" s="4" t="s">
        <v>222</v>
      </c>
      <c r="O686" s="4" t="s">
        <v>222</v>
      </c>
      <c r="P686" s="9"/>
      <c r="Q686" s="9"/>
      <c r="R686" s="87" t="s">
        <v>222</v>
      </c>
      <c r="S686" s="11" t="s">
        <v>222</v>
      </c>
      <c r="T686" s="12"/>
      <c r="U686" s="13"/>
      <c r="V686" s="12"/>
      <c r="W686" s="13"/>
      <c r="X686" s="12"/>
      <c r="Y686" s="14"/>
      <c r="Z686" s="14"/>
      <c r="AA686" s="14"/>
      <c r="AB686" s="14"/>
      <c r="AC686" s="14"/>
      <c r="AD686" s="14"/>
      <c r="AE686" s="14"/>
      <c r="AF686" s="3"/>
      <c r="AG686" s="3"/>
    </row>
    <row r="687" ht="13.5" customHeight="1">
      <c r="A687" s="3"/>
      <c r="B687" s="15"/>
      <c r="C687" s="3"/>
      <c r="D687" s="4"/>
      <c r="E687" s="5"/>
      <c r="F687" s="6"/>
      <c r="G687" s="3"/>
      <c r="H687" s="3"/>
      <c r="I687" s="7"/>
      <c r="J687" s="6" t="s">
        <v>222</v>
      </c>
      <c r="K687" s="4" t="s">
        <v>222</v>
      </c>
      <c r="L687" s="4" t="s">
        <v>222</v>
      </c>
      <c r="M687" s="4" t="s">
        <v>222</v>
      </c>
      <c r="N687" s="4" t="s">
        <v>222</v>
      </c>
      <c r="O687" s="4" t="s">
        <v>222</v>
      </c>
      <c r="P687" s="9"/>
      <c r="Q687" s="9"/>
      <c r="R687" s="87" t="s">
        <v>222</v>
      </c>
      <c r="S687" s="11" t="s">
        <v>222</v>
      </c>
      <c r="T687" s="12"/>
      <c r="U687" s="13"/>
      <c r="V687" s="12"/>
      <c r="W687" s="13"/>
      <c r="X687" s="12"/>
      <c r="Y687" s="14"/>
      <c r="Z687" s="14"/>
      <c r="AA687" s="14"/>
      <c r="AB687" s="14"/>
      <c r="AC687" s="14"/>
      <c r="AD687" s="14"/>
      <c r="AE687" s="14"/>
      <c r="AF687" s="3"/>
      <c r="AG687" s="3"/>
    </row>
    <row r="688" ht="13.5" customHeight="1">
      <c r="A688" s="3"/>
      <c r="B688" s="15"/>
      <c r="C688" s="3"/>
      <c r="D688" s="4"/>
      <c r="E688" s="5"/>
      <c r="F688" s="6"/>
      <c r="G688" s="3"/>
      <c r="H688" s="3"/>
      <c r="I688" s="7"/>
      <c r="J688" s="6" t="s">
        <v>222</v>
      </c>
      <c r="K688" s="4" t="s">
        <v>222</v>
      </c>
      <c r="L688" s="4" t="s">
        <v>222</v>
      </c>
      <c r="M688" s="4" t="s">
        <v>222</v>
      </c>
      <c r="N688" s="4" t="s">
        <v>222</v>
      </c>
      <c r="O688" s="4" t="s">
        <v>222</v>
      </c>
      <c r="P688" s="9"/>
      <c r="Q688" s="9"/>
      <c r="R688" s="87" t="s">
        <v>222</v>
      </c>
      <c r="S688" s="11" t="s">
        <v>222</v>
      </c>
      <c r="T688" s="12"/>
      <c r="U688" s="13"/>
      <c r="V688" s="12"/>
      <c r="W688" s="13"/>
      <c r="X688" s="12"/>
      <c r="Y688" s="14"/>
      <c r="Z688" s="14"/>
      <c r="AA688" s="14"/>
      <c r="AB688" s="14"/>
      <c r="AC688" s="14"/>
      <c r="AD688" s="14"/>
      <c r="AE688" s="14"/>
      <c r="AF688" s="3"/>
      <c r="AG688" s="3"/>
    </row>
    <row r="689" ht="13.5" customHeight="1">
      <c r="A689" s="3"/>
      <c r="B689" s="15"/>
      <c r="C689" s="3"/>
      <c r="D689" s="4"/>
      <c r="E689" s="5"/>
      <c r="F689" s="6"/>
      <c r="G689" s="3"/>
      <c r="H689" s="3"/>
      <c r="I689" s="7"/>
      <c r="J689" s="6" t="s">
        <v>222</v>
      </c>
      <c r="K689" s="4" t="s">
        <v>222</v>
      </c>
      <c r="L689" s="4" t="s">
        <v>222</v>
      </c>
      <c r="M689" s="4" t="s">
        <v>222</v>
      </c>
      <c r="N689" s="4" t="s">
        <v>222</v>
      </c>
      <c r="O689" s="4" t="s">
        <v>222</v>
      </c>
      <c r="P689" s="9"/>
      <c r="Q689" s="9"/>
      <c r="R689" s="87" t="s">
        <v>222</v>
      </c>
      <c r="S689" s="11" t="s">
        <v>222</v>
      </c>
      <c r="T689" s="12"/>
      <c r="U689" s="13"/>
      <c r="V689" s="12"/>
      <c r="W689" s="13"/>
      <c r="X689" s="12"/>
      <c r="Y689" s="14"/>
      <c r="Z689" s="14"/>
      <c r="AA689" s="14"/>
      <c r="AB689" s="14"/>
      <c r="AC689" s="14"/>
      <c r="AD689" s="14"/>
      <c r="AE689" s="14"/>
      <c r="AF689" s="3"/>
      <c r="AG689" s="3"/>
    </row>
    <row r="690" ht="13.5" customHeight="1">
      <c r="A690" s="3"/>
      <c r="B690" s="15"/>
      <c r="C690" s="3"/>
      <c r="D690" s="4"/>
      <c r="E690" s="5"/>
      <c r="F690" s="6"/>
      <c r="G690" s="3"/>
      <c r="H690" s="3"/>
      <c r="I690" s="7"/>
      <c r="J690" s="6" t="s">
        <v>222</v>
      </c>
      <c r="K690" s="4" t="s">
        <v>222</v>
      </c>
      <c r="L690" s="4" t="s">
        <v>222</v>
      </c>
      <c r="M690" s="4" t="s">
        <v>222</v>
      </c>
      <c r="N690" s="4" t="s">
        <v>222</v>
      </c>
      <c r="O690" s="4" t="s">
        <v>222</v>
      </c>
      <c r="P690" s="9"/>
      <c r="Q690" s="9"/>
      <c r="R690" s="87" t="s">
        <v>222</v>
      </c>
      <c r="S690" s="11" t="s">
        <v>222</v>
      </c>
      <c r="T690" s="12"/>
      <c r="U690" s="13"/>
      <c r="V690" s="12"/>
      <c r="W690" s="13"/>
      <c r="X690" s="12"/>
      <c r="Y690" s="14"/>
      <c r="Z690" s="14"/>
      <c r="AA690" s="14"/>
      <c r="AB690" s="14"/>
      <c r="AC690" s="14"/>
      <c r="AD690" s="14"/>
      <c r="AE690" s="14"/>
      <c r="AF690" s="3"/>
      <c r="AG690" s="3"/>
    </row>
    <row r="691" ht="13.5" customHeight="1">
      <c r="A691" s="3"/>
      <c r="B691" s="15"/>
      <c r="C691" s="3"/>
      <c r="D691" s="4"/>
      <c r="E691" s="5"/>
      <c r="F691" s="6"/>
      <c r="G691" s="3"/>
      <c r="H691" s="3"/>
      <c r="I691" s="7"/>
      <c r="J691" s="6" t="s">
        <v>222</v>
      </c>
      <c r="K691" s="4" t="s">
        <v>222</v>
      </c>
      <c r="L691" s="4" t="s">
        <v>222</v>
      </c>
      <c r="M691" s="4" t="s">
        <v>222</v>
      </c>
      <c r="N691" s="4" t="s">
        <v>222</v>
      </c>
      <c r="O691" s="4" t="s">
        <v>222</v>
      </c>
      <c r="P691" s="9"/>
      <c r="Q691" s="9"/>
      <c r="R691" s="87" t="s">
        <v>222</v>
      </c>
      <c r="S691" s="11" t="s">
        <v>222</v>
      </c>
      <c r="T691" s="12"/>
      <c r="U691" s="13"/>
      <c r="V691" s="12"/>
      <c r="W691" s="13"/>
      <c r="X691" s="12"/>
      <c r="Y691" s="14"/>
      <c r="Z691" s="14"/>
      <c r="AA691" s="14"/>
      <c r="AB691" s="14"/>
      <c r="AC691" s="14"/>
      <c r="AD691" s="14"/>
      <c r="AE691" s="14"/>
      <c r="AF691" s="3"/>
      <c r="AG691" s="3"/>
    </row>
    <row r="692" ht="13.5" customHeight="1">
      <c r="A692" s="3"/>
      <c r="B692" s="15"/>
      <c r="C692" s="3"/>
      <c r="D692" s="4"/>
      <c r="E692" s="5"/>
      <c r="F692" s="6"/>
      <c r="G692" s="3"/>
      <c r="H692" s="3"/>
      <c r="I692" s="7"/>
      <c r="J692" s="6" t="s">
        <v>222</v>
      </c>
      <c r="K692" s="4" t="s">
        <v>222</v>
      </c>
      <c r="L692" s="4" t="s">
        <v>222</v>
      </c>
      <c r="M692" s="4" t="s">
        <v>222</v>
      </c>
      <c r="N692" s="4" t="s">
        <v>222</v>
      </c>
      <c r="O692" s="4" t="s">
        <v>222</v>
      </c>
      <c r="P692" s="9"/>
      <c r="Q692" s="9"/>
      <c r="R692" s="87" t="s">
        <v>222</v>
      </c>
      <c r="S692" s="11" t="s">
        <v>222</v>
      </c>
      <c r="T692" s="12"/>
      <c r="U692" s="13"/>
      <c r="V692" s="12"/>
      <c r="W692" s="13"/>
      <c r="X692" s="12"/>
      <c r="Y692" s="14"/>
      <c r="Z692" s="14"/>
      <c r="AA692" s="14"/>
      <c r="AB692" s="14"/>
      <c r="AC692" s="14"/>
      <c r="AD692" s="14"/>
      <c r="AE692" s="14"/>
      <c r="AF692" s="3"/>
      <c r="AG692" s="3"/>
    </row>
    <row r="693" ht="13.5" customHeight="1">
      <c r="A693" s="3"/>
      <c r="B693" s="15"/>
      <c r="C693" s="3"/>
      <c r="D693" s="4"/>
      <c r="E693" s="5"/>
      <c r="F693" s="6"/>
      <c r="G693" s="3"/>
      <c r="H693" s="3"/>
      <c r="I693" s="7"/>
      <c r="J693" s="6" t="s">
        <v>222</v>
      </c>
      <c r="K693" s="4" t="s">
        <v>222</v>
      </c>
      <c r="L693" s="4" t="s">
        <v>222</v>
      </c>
      <c r="M693" s="4" t="s">
        <v>222</v>
      </c>
      <c r="N693" s="4" t="s">
        <v>222</v>
      </c>
      <c r="O693" s="4" t="s">
        <v>222</v>
      </c>
      <c r="P693" s="9"/>
      <c r="Q693" s="9"/>
      <c r="R693" s="87" t="s">
        <v>222</v>
      </c>
      <c r="S693" s="11" t="s">
        <v>222</v>
      </c>
      <c r="T693" s="12"/>
      <c r="U693" s="13"/>
      <c r="V693" s="12"/>
      <c r="W693" s="13"/>
      <c r="X693" s="12"/>
      <c r="Y693" s="14"/>
      <c r="Z693" s="14"/>
      <c r="AA693" s="14"/>
      <c r="AB693" s="14"/>
      <c r="AC693" s="14"/>
      <c r="AD693" s="14"/>
      <c r="AE693" s="14"/>
      <c r="AF693" s="3"/>
      <c r="AG693" s="3"/>
    </row>
    <row r="694" ht="13.5" customHeight="1">
      <c r="A694" s="3"/>
      <c r="B694" s="15"/>
      <c r="C694" s="3"/>
      <c r="D694" s="4"/>
      <c r="E694" s="5"/>
      <c r="F694" s="6"/>
      <c r="G694" s="3"/>
      <c r="H694" s="3"/>
      <c r="I694" s="7"/>
      <c r="J694" s="6" t="s">
        <v>222</v>
      </c>
      <c r="K694" s="4" t="s">
        <v>222</v>
      </c>
      <c r="L694" s="4" t="s">
        <v>222</v>
      </c>
      <c r="M694" s="4" t="s">
        <v>222</v>
      </c>
      <c r="N694" s="4" t="s">
        <v>222</v>
      </c>
      <c r="O694" s="4" t="s">
        <v>222</v>
      </c>
      <c r="P694" s="9"/>
      <c r="Q694" s="9"/>
      <c r="R694" s="87" t="s">
        <v>222</v>
      </c>
      <c r="S694" s="11" t="s">
        <v>222</v>
      </c>
      <c r="T694" s="12"/>
      <c r="U694" s="13"/>
      <c r="V694" s="12"/>
      <c r="W694" s="13"/>
      <c r="X694" s="12"/>
      <c r="Y694" s="14"/>
      <c r="Z694" s="14"/>
      <c r="AA694" s="14"/>
      <c r="AB694" s="14"/>
      <c r="AC694" s="14"/>
      <c r="AD694" s="14"/>
      <c r="AE694" s="14"/>
      <c r="AF694" s="3"/>
      <c r="AG694" s="3"/>
    </row>
    <row r="695" ht="13.5" customHeight="1">
      <c r="A695" s="3"/>
      <c r="B695" s="15"/>
      <c r="C695" s="3"/>
      <c r="D695" s="4"/>
      <c r="E695" s="5"/>
      <c r="F695" s="6"/>
      <c r="G695" s="3"/>
      <c r="H695" s="3"/>
      <c r="I695" s="7"/>
      <c r="J695" s="6" t="s">
        <v>222</v>
      </c>
      <c r="K695" s="4" t="s">
        <v>222</v>
      </c>
      <c r="L695" s="4" t="s">
        <v>222</v>
      </c>
      <c r="M695" s="4" t="s">
        <v>222</v>
      </c>
      <c r="N695" s="4" t="s">
        <v>222</v>
      </c>
      <c r="O695" s="4" t="s">
        <v>222</v>
      </c>
      <c r="P695" s="9"/>
      <c r="Q695" s="9"/>
      <c r="R695" s="87" t="s">
        <v>222</v>
      </c>
      <c r="S695" s="11" t="s">
        <v>222</v>
      </c>
      <c r="T695" s="12"/>
      <c r="U695" s="13"/>
      <c r="V695" s="12"/>
      <c r="W695" s="13"/>
      <c r="X695" s="12"/>
      <c r="Y695" s="14"/>
      <c r="Z695" s="14"/>
      <c r="AA695" s="14"/>
      <c r="AB695" s="14"/>
      <c r="AC695" s="14"/>
      <c r="AD695" s="14"/>
      <c r="AE695" s="14"/>
      <c r="AF695" s="3"/>
      <c r="AG695" s="3"/>
    </row>
    <row r="696" ht="13.5" customHeight="1">
      <c r="A696" s="3"/>
      <c r="B696" s="15"/>
      <c r="C696" s="3"/>
      <c r="D696" s="4"/>
      <c r="E696" s="5"/>
      <c r="F696" s="6"/>
      <c r="G696" s="3"/>
      <c r="H696" s="3"/>
      <c r="I696" s="7"/>
      <c r="J696" s="6" t="s">
        <v>222</v>
      </c>
      <c r="K696" s="4" t="s">
        <v>222</v>
      </c>
      <c r="L696" s="4" t="s">
        <v>222</v>
      </c>
      <c r="M696" s="4" t="s">
        <v>222</v>
      </c>
      <c r="N696" s="4" t="s">
        <v>222</v>
      </c>
      <c r="O696" s="4" t="s">
        <v>222</v>
      </c>
      <c r="P696" s="9"/>
      <c r="Q696" s="9"/>
      <c r="R696" s="87" t="s">
        <v>222</v>
      </c>
      <c r="S696" s="11" t="s">
        <v>222</v>
      </c>
      <c r="T696" s="12"/>
      <c r="U696" s="13"/>
      <c r="V696" s="12"/>
      <c r="W696" s="13"/>
      <c r="X696" s="12"/>
      <c r="Y696" s="14"/>
      <c r="Z696" s="14"/>
      <c r="AA696" s="14"/>
      <c r="AB696" s="14"/>
      <c r="AC696" s="14"/>
      <c r="AD696" s="14"/>
      <c r="AE696" s="14"/>
      <c r="AF696" s="3"/>
      <c r="AG696" s="3"/>
    </row>
    <row r="697" ht="13.5" customHeight="1">
      <c r="A697" s="3"/>
      <c r="B697" s="15"/>
      <c r="C697" s="3"/>
      <c r="D697" s="4"/>
      <c r="E697" s="5"/>
      <c r="F697" s="6"/>
      <c r="G697" s="3"/>
      <c r="H697" s="3"/>
      <c r="I697" s="7"/>
      <c r="J697" s="6" t="s">
        <v>222</v>
      </c>
      <c r="K697" s="4" t="s">
        <v>222</v>
      </c>
      <c r="L697" s="4" t="s">
        <v>222</v>
      </c>
      <c r="M697" s="4" t="s">
        <v>222</v>
      </c>
      <c r="N697" s="4" t="s">
        <v>222</v>
      </c>
      <c r="O697" s="4" t="s">
        <v>222</v>
      </c>
      <c r="P697" s="9"/>
      <c r="Q697" s="9"/>
      <c r="R697" s="87" t="s">
        <v>222</v>
      </c>
      <c r="S697" s="11" t="s">
        <v>222</v>
      </c>
      <c r="T697" s="12"/>
      <c r="U697" s="13"/>
      <c r="V697" s="12"/>
      <c r="W697" s="13"/>
      <c r="X697" s="12"/>
      <c r="Y697" s="14"/>
      <c r="Z697" s="14"/>
      <c r="AA697" s="14"/>
      <c r="AB697" s="14"/>
      <c r="AC697" s="14"/>
      <c r="AD697" s="14"/>
      <c r="AE697" s="14"/>
      <c r="AF697" s="3"/>
      <c r="AG697" s="3"/>
    </row>
    <row r="698" ht="13.5" customHeight="1">
      <c r="A698" s="3"/>
      <c r="B698" s="15"/>
      <c r="C698" s="3"/>
      <c r="D698" s="4"/>
      <c r="E698" s="5"/>
      <c r="F698" s="6"/>
      <c r="G698" s="3"/>
      <c r="H698" s="3"/>
      <c r="I698" s="7"/>
      <c r="J698" s="6" t="s">
        <v>222</v>
      </c>
      <c r="K698" s="4" t="s">
        <v>222</v>
      </c>
      <c r="L698" s="4" t="s">
        <v>222</v>
      </c>
      <c r="M698" s="4" t="s">
        <v>222</v>
      </c>
      <c r="N698" s="4" t="s">
        <v>222</v>
      </c>
      <c r="O698" s="4" t="s">
        <v>222</v>
      </c>
      <c r="P698" s="9"/>
      <c r="Q698" s="9"/>
      <c r="R698" s="87" t="s">
        <v>222</v>
      </c>
      <c r="S698" s="11" t="s">
        <v>222</v>
      </c>
      <c r="T698" s="12"/>
      <c r="U698" s="13"/>
      <c r="V698" s="12"/>
      <c r="W698" s="13"/>
      <c r="X698" s="12"/>
      <c r="Y698" s="14"/>
      <c r="Z698" s="14"/>
      <c r="AA698" s="14"/>
      <c r="AB698" s="14"/>
      <c r="AC698" s="14"/>
      <c r="AD698" s="14"/>
      <c r="AE698" s="14"/>
      <c r="AF698" s="3"/>
      <c r="AG698" s="3"/>
    </row>
    <row r="699" ht="13.5" customHeight="1">
      <c r="A699" s="3"/>
      <c r="B699" s="15"/>
      <c r="C699" s="3"/>
      <c r="D699" s="4"/>
      <c r="E699" s="5"/>
      <c r="F699" s="6"/>
      <c r="G699" s="3"/>
      <c r="H699" s="3"/>
      <c r="I699" s="7"/>
      <c r="J699" s="6" t="s">
        <v>222</v>
      </c>
      <c r="K699" s="4" t="s">
        <v>222</v>
      </c>
      <c r="L699" s="4" t="s">
        <v>222</v>
      </c>
      <c r="M699" s="4" t="s">
        <v>222</v>
      </c>
      <c r="N699" s="4" t="s">
        <v>222</v>
      </c>
      <c r="O699" s="4" t="s">
        <v>222</v>
      </c>
      <c r="P699" s="9"/>
      <c r="Q699" s="9"/>
      <c r="R699" s="87" t="s">
        <v>222</v>
      </c>
      <c r="S699" s="11" t="s">
        <v>222</v>
      </c>
      <c r="T699" s="12"/>
      <c r="U699" s="13"/>
      <c r="V699" s="12"/>
      <c r="W699" s="13"/>
      <c r="X699" s="12"/>
      <c r="Y699" s="14"/>
      <c r="Z699" s="14"/>
      <c r="AA699" s="14"/>
      <c r="AB699" s="14"/>
      <c r="AC699" s="14"/>
      <c r="AD699" s="14"/>
      <c r="AE699" s="14"/>
      <c r="AF699" s="3"/>
      <c r="AG699" s="3"/>
    </row>
    <row r="700" ht="13.5" customHeight="1">
      <c r="A700" s="3"/>
      <c r="B700" s="15"/>
      <c r="C700" s="3"/>
      <c r="D700" s="4"/>
      <c r="E700" s="5"/>
      <c r="F700" s="6"/>
      <c r="G700" s="3"/>
      <c r="H700" s="3"/>
      <c r="I700" s="7"/>
      <c r="J700" s="6" t="s">
        <v>222</v>
      </c>
      <c r="K700" s="4" t="s">
        <v>222</v>
      </c>
      <c r="L700" s="4" t="s">
        <v>222</v>
      </c>
      <c r="M700" s="4" t="s">
        <v>222</v>
      </c>
      <c r="N700" s="4" t="s">
        <v>222</v>
      </c>
      <c r="O700" s="4" t="s">
        <v>222</v>
      </c>
      <c r="P700" s="9"/>
      <c r="Q700" s="9"/>
      <c r="R700" s="87" t="s">
        <v>222</v>
      </c>
      <c r="S700" s="11" t="s">
        <v>222</v>
      </c>
      <c r="T700" s="12"/>
      <c r="U700" s="13"/>
      <c r="V700" s="12"/>
      <c r="W700" s="13"/>
      <c r="X700" s="12"/>
      <c r="Y700" s="14"/>
      <c r="Z700" s="14"/>
      <c r="AA700" s="14"/>
      <c r="AB700" s="14"/>
      <c r="AC700" s="14"/>
      <c r="AD700" s="14"/>
      <c r="AE700" s="14"/>
      <c r="AF700" s="3"/>
      <c r="AG700" s="3"/>
    </row>
    <row r="701" ht="13.5" customHeight="1">
      <c r="A701" s="3"/>
      <c r="B701" s="15"/>
      <c r="C701" s="3"/>
      <c r="D701" s="4"/>
      <c r="E701" s="5"/>
      <c r="F701" s="6"/>
      <c r="G701" s="3"/>
      <c r="H701" s="3"/>
      <c r="I701" s="7"/>
      <c r="J701" s="6" t="s">
        <v>222</v>
      </c>
      <c r="K701" s="4" t="s">
        <v>222</v>
      </c>
      <c r="L701" s="4" t="s">
        <v>222</v>
      </c>
      <c r="M701" s="4" t="s">
        <v>222</v>
      </c>
      <c r="N701" s="4" t="s">
        <v>222</v>
      </c>
      <c r="O701" s="4" t="s">
        <v>222</v>
      </c>
      <c r="P701" s="9"/>
      <c r="Q701" s="9"/>
      <c r="R701" s="87" t="s">
        <v>222</v>
      </c>
      <c r="S701" s="11" t="s">
        <v>222</v>
      </c>
      <c r="T701" s="12"/>
      <c r="U701" s="13"/>
      <c r="V701" s="12"/>
      <c r="W701" s="13"/>
      <c r="X701" s="12"/>
      <c r="Y701" s="14"/>
      <c r="Z701" s="14"/>
      <c r="AA701" s="14"/>
      <c r="AB701" s="14"/>
      <c r="AC701" s="14"/>
      <c r="AD701" s="14"/>
      <c r="AE701" s="14"/>
      <c r="AF701" s="3"/>
      <c r="AG701" s="3"/>
    </row>
    <row r="702" ht="13.5" customHeight="1">
      <c r="A702" s="3"/>
      <c r="B702" s="15"/>
      <c r="C702" s="3"/>
      <c r="D702" s="4"/>
      <c r="E702" s="5"/>
      <c r="F702" s="6"/>
      <c r="G702" s="3"/>
      <c r="H702" s="3"/>
      <c r="I702" s="7"/>
      <c r="J702" s="6" t="s">
        <v>222</v>
      </c>
      <c r="K702" s="4" t="s">
        <v>222</v>
      </c>
      <c r="L702" s="4" t="s">
        <v>222</v>
      </c>
      <c r="M702" s="4" t="s">
        <v>222</v>
      </c>
      <c r="N702" s="4" t="s">
        <v>222</v>
      </c>
      <c r="O702" s="4" t="s">
        <v>222</v>
      </c>
      <c r="P702" s="9"/>
      <c r="Q702" s="9"/>
      <c r="R702" s="87" t="s">
        <v>222</v>
      </c>
      <c r="S702" s="11" t="s">
        <v>222</v>
      </c>
      <c r="T702" s="12"/>
      <c r="U702" s="13"/>
      <c r="V702" s="12"/>
      <c r="W702" s="13"/>
      <c r="X702" s="12"/>
      <c r="Y702" s="14"/>
      <c r="Z702" s="14"/>
      <c r="AA702" s="14"/>
      <c r="AB702" s="14"/>
      <c r="AC702" s="14"/>
      <c r="AD702" s="14"/>
      <c r="AE702" s="14"/>
      <c r="AF702" s="3"/>
      <c r="AG702" s="3"/>
    </row>
    <row r="703" ht="13.5" customHeight="1">
      <c r="A703" s="3"/>
      <c r="B703" s="15"/>
      <c r="C703" s="3"/>
      <c r="D703" s="4"/>
      <c r="E703" s="5"/>
      <c r="F703" s="6"/>
      <c r="G703" s="3"/>
      <c r="H703" s="3"/>
      <c r="I703" s="7"/>
      <c r="J703" s="6" t="s">
        <v>222</v>
      </c>
      <c r="K703" s="4" t="s">
        <v>222</v>
      </c>
      <c r="L703" s="4" t="s">
        <v>222</v>
      </c>
      <c r="M703" s="4" t="s">
        <v>222</v>
      </c>
      <c r="N703" s="4" t="s">
        <v>222</v>
      </c>
      <c r="O703" s="4" t="s">
        <v>222</v>
      </c>
      <c r="P703" s="9"/>
      <c r="Q703" s="9"/>
      <c r="R703" s="87" t="s">
        <v>222</v>
      </c>
      <c r="S703" s="11" t="s">
        <v>222</v>
      </c>
      <c r="T703" s="12"/>
      <c r="U703" s="13"/>
      <c r="V703" s="12"/>
      <c r="W703" s="13"/>
      <c r="X703" s="12"/>
      <c r="Y703" s="14"/>
      <c r="Z703" s="14"/>
      <c r="AA703" s="14"/>
      <c r="AB703" s="14"/>
      <c r="AC703" s="14"/>
      <c r="AD703" s="14"/>
      <c r="AE703" s="14"/>
      <c r="AF703" s="3"/>
      <c r="AG703" s="3"/>
    </row>
    <row r="704" ht="13.5" customHeight="1">
      <c r="A704" s="3"/>
      <c r="B704" s="15"/>
      <c r="C704" s="3"/>
      <c r="D704" s="4"/>
      <c r="E704" s="5"/>
      <c r="F704" s="6"/>
      <c r="G704" s="3"/>
      <c r="H704" s="3"/>
      <c r="I704" s="7"/>
      <c r="J704" s="6" t="s">
        <v>222</v>
      </c>
      <c r="K704" s="4" t="s">
        <v>222</v>
      </c>
      <c r="L704" s="4" t="s">
        <v>222</v>
      </c>
      <c r="M704" s="4" t="s">
        <v>222</v>
      </c>
      <c r="N704" s="4" t="s">
        <v>222</v>
      </c>
      <c r="O704" s="4" t="s">
        <v>222</v>
      </c>
      <c r="P704" s="9"/>
      <c r="Q704" s="9"/>
      <c r="R704" s="87" t="s">
        <v>222</v>
      </c>
      <c r="S704" s="11" t="s">
        <v>222</v>
      </c>
      <c r="T704" s="12"/>
      <c r="U704" s="13"/>
      <c r="V704" s="12"/>
      <c r="W704" s="13"/>
      <c r="X704" s="12"/>
      <c r="Y704" s="14"/>
      <c r="Z704" s="14"/>
      <c r="AA704" s="14"/>
      <c r="AB704" s="14"/>
      <c r="AC704" s="14"/>
      <c r="AD704" s="14"/>
      <c r="AE704" s="14"/>
      <c r="AF704" s="3"/>
      <c r="AG704" s="3"/>
    </row>
    <row r="705" ht="13.5" customHeight="1">
      <c r="A705" s="3"/>
      <c r="B705" s="15"/>
      <c r="C705" s="3"/>
      <c r="D705" s="4"/>
      <c r="E705" s="5"/>
      <c r="F705" s="6"/>
      <c r="G705" s="3"/>
      <c r="H705" s="3"/>
      <c r="I705" s="7"/>
      <c r="J705" s="6" t="s">
        <v>222</v>
      </c>
      <c r="K705" s="4" t="s">
        <v>222</v>
      </c>
      <c r="L705" s="4" t="s">
        <v>222</v>
      </c>
      <c r="M705" s="4" t="s">
        <v>222</v>
      </c>
      <c r="N705" s="4" t="s">
        <v>222</v>
      </c>
      <c r="O705" s="4" t="s">
        <v>222</v>
      </c>
      <c r="P705" s="9"/>
      <c r="Q705" s="9"/>
      <c r="R705" s="87" t="s">
        <v>222</v>
      </c>
      <c r="S705" s="11" t="s">
        <v>222</v>
      </c>
      <c r="T705" s="12"/>
      <c r="U705" s="13"/>
      <c r="V705" s="12"/>
      <c r="W705" s="13"/>
      <c r="X705" s="12"/>
      <c r="Y705" s="14"/>
      <c r="Z705" s="14"/>
      <c r="AA705" s="14"/>
      <c r="AB705" s="14"/>
      <c r="AC705" s="14"/>
      <c r="AD705" s="14"/>
      <c r="AE705" s="14"/>
      <c r="AF705" s="3"/>
      <c r="AG705" s="3"/>
    </row>
    <row r="706" ht="13.5" customHeight="1">
      <c r="A706" s="3"/>
      <c r="B706" s="15"/>
      <c r="C706" s="3"/>
      <c r="D706" s="4"/>
      <c r="E706" s="5"/>
      <c r="F706" s="6"/>
      <c r="G706" s="3"/>
      <c r="H706" s="3"/>
      <c r="I706" s="7"/>
      <c r="J706" s="6" t="s">
        <v>222</v>
      </c>
      <c r="K706" s="4" t="s">
        <v>222</v>
      </c>
      <c r="L706" s="4" t="s">
        <v>222</v>
      </c>
      <c r="M706" s="4" t="s">
        <v>222</v>
      </c>
      <c r="N706" s="4" t="s">
        <v>222</v>
      </c>
      <c r="O706" s="4" t="s">
        <v>222</v>
      </c>
      <c r="P706" s="9"/>
      <c r="Q706" s="9"/>
      <c r="R706" s="87" t="s">
        <v>222</v>
      </c>
      <c r="S706" s="11" t="s">
        <v>222</v>
      </c>
      <c r="T706" s="12"/>
      <c r="U706" s="13"/>
      <c r="V706" s="12"/>
      <c r="W706" s="13"/>
      <c r="X706" s="12"/>
      <c r="Y706" s="14"/>
      <c r="Z706" s="14"/>
      <c r="AA706" s="14"/>
      <c r="AB706" s="14"/>
      <c r="AC706" s="14"/>
      <c r="AD706" s="14"/>
      <c r="AE706" s="14"/>
      <c r="AF706" s="3"/>
      <c r="AG706" s="3"/>
    </row>
    <row r="707" ht="13.5" customHeight="1">
      <c r="A707" s="3"/>
      <c r="B707" s="15"/>
      <c r="C707" s="3"/>
      <c r="D707" s="4"/>
      <c r="E707" s="5"/>
      <c r="F707" s="6"/>
      <c r="G707" s="3"/>
      <c r="H707" s="3"/>
      <c r="I707" s="7"/>
      <c r="J707" s="6" t="s">
        <v>222</v>
      </c>
      <c r="K707" s="4" t="s">
        <v>222</v>
      </c>
      <c r="L707" s="4" t="s">
        <v>222</v>
      </c>
      <c r="M707" s="4" t="s">
        <v>222</v>
      </c>
      <c r="N707" s="4" t="s">
        <v>222</v>
      </c>
      <c r="O707" s="4" t="s">
        <v>222</v>
      </c>
      <c r="P707" s="9"/>
      <c r="Q707" s="9"/>
      <c r="R707" s="87" t="s">
        <v>222</v>
      </c>
      <c r="S707" s="11" t="s">
        <v>222</v>
      </c>
      <c r="T707" s="12"/>
      <c r="U707" s="13"/>
      <c r="V707" s="12"/>
      <c r="W707" s="13"/>
      <c r="X707" s="12"/>
      <c r="Y707" s="14"/>
      <c r="Z707" s="14"/>
      <c r="AA707" s="14"/>
      <c r="AB707" s="14"/>
      <c r="AC707" s="14"/>
      <c r="AD707" s="14"/>
      <c r="AE707" s="14"/>
      <c r="AF707" s="3"/>
      <c r="AG707" s="3"/>
    </row>
    <row r="708" ht="13.5" customHeight="1">
      <c r="A708" s="3"/>
      <c r="B708" s="15"/>
      <c r="C708" s="3"/>
      <c r="D708" s="4"/>
      <c r="E708" s="5"/>
      <c r="F708" s="6"/>
      <c r="G708" s="3"/>
      <c r="H708" s="3"/>
      <c r="I708" s="7"/>
      <c r="J708" s="6" t="s">
        <v>222</v>
      </c>
      <c r="K708" s="4" t="s">
        <v>222</v>
      </c>
      <c r="L708" s="4" t="s">
        <v>222</v>
      </c>
      <c r="M708" s="4" t="s">
        <v>222</v>
      </c>
      <c r="N708" s="4" t="s">
        <v>222</v>
      </c>
      <c r="O708" s="4" t="s">
        <v>222</v>
      </c>
      <c r="P708" s="9"/>
      <c r="Q708" s="9"/>
      <c r="R708" s="87" t="s">
        <v>222</v>
      </c>
      <c r="S708" s="11" t="s">
        <v>222</v>
      </c>
      <c r="T708" s="12"/>
      <c r="U708" s="13"/>
      <c r="V708" s="12"/>
      <c r="W708" s="13"/>
      <c r="X708" s="12"/>
      <c r="Y708" s="14"/>
      <c r="Z708" s="14"/>
      <c r="AA708" s="14"/>
      <c r="AB708" s="14"/>
      <c r="AC708" s="14"/>
      <c r="AD708" s="14"/>
      <c r="AE708" s="14"/>
      <c r="AF708" s="3"/>
      <c r="AG708" s="3"/>
    </row>
    <row r="709" ht="13.5" customHeight="1">
      <c r="A709" s="3"/>
      <c r="B709" s="15"/>
      <c r="C709" s="3"/>
      <c r="D709" s="4"/>
      <c r="E709" s="5"/>
      <c r="F709" s="6"/>
      <c r="G709" s="3"/>
      <c r="H709" s="3"/>
      <c r="I709" s="7"/>
      <c r="J709" s="6" t="s">
        <v>222</v>
      </c>
      <c r="K709" s="4" t="s">
        <v>222</v>
      </c>
      <c r="L709" s="4" t="s">
        <v>222</v>
      </c>
      <c r="M709" s="4" t="s">
        <v>222</v>
      </c>
      <c r="N709" s="4" t="s">
        <v>222</v>
      </c>
      <c r="O709" s="4" t="s">
        <v>222</v>
      </c>
      <c r="P709" s="9"/>
      <c r="Q709" s="9"/>
      <c r="R709" s="87" t="s">
        <v>222</v>
      </c>
      <c r="S709" s="11" t="s">
        <v>222</v>
      </c>
      <c r="T709" s="12"/>
      <c r="U709" s="13"/>
      <c r="V709" s="12"/>
      <c r="W709" s="13"/>
      <c r="X709" s="12"/>
      <c r="Y709" s="14"/>
      <c r="Z709" s="14"/>
      <c r="AA709" s="14"/>
      <c r="AB709" s="14"/>
      <c r="AC709" s="14"/>
      <c r="AD709" s="14"/>
      <c r="AE709" s="14"/>
      <c r="AF709" s="3"/>
      <c r="AG709" s="3"/>
    </row>
    <row r="710" ht="13.5" customHeight="1">
      <c r="A710" s="3"/>
      <c r="B710" s="15"/>
      <c r="C710" s="3"/>
      <c r="D710" s="4"/>
      <c r="E710" s="5"/>
      <c r="F710" s="6"/>
      <c r="G710" s="3"/>
      <c r="H710" s="3"/>
      <c r="I710" s="7"/>
      <c r="J710" s="6" t="s">
        <v>222</v>
      </c>
      <c r="K710" s="4" t="s">
        <v>222</v>
      </c>
      <c r="L710" s="4" t="s">
        <v>222</v>
      </c>
      <c r="M710" s="4" t="s">
        <v>222</v>
      </c>
      <c r="N710" s="4" t="s">
        <v>222</v>
      </c>
      <c r="O710" s="4" t="s">
        <v>222</v>
      </c>
      <c r="P710" s="9"/>
      <c r="Q710" s="9"/>
      <c r="R710" s="87" t="s">
        <v>222</v>
      </c>
      <c r="S710" s="11" t="s">
        <v>222</v>
      </c>
      <c r="T710" s="12"/>
      <c r="U710" s="13"/>
      <c r="V710" s="12"/>
      <c r="W710" s="13"/>
      <c r="X710" s="12"/>
      <c r="Y710" s="14"/>
      <c r="Z710" s="14"/>
      <c r="AA710" s="14"/>
      <c r="AB710" s="14"/>
      <c r="AC710" s="14"/>
      <c r="AD710" s="14"/>
      <c r="AE710" s="14"/>
      <c r="AF710" s="3"/>
      <c r="AG710" s="3"/>
    </row>
    <row r="711" ht="13.5" customHeight="1">
      <c r="A711" s="3"/>
      <c r="B711" s="15"/>
      <c r="C711" s="3"/>
      <c r="D711" s="4"/>
      <c r="E711" s="5"/>
      <c r="F711" s="6"/>
      <c r="G711" s="3"/>
      <c r="H711" s="3"/>
      <c r="I711" s="7"/>
      <c r="J711" s="6" t="s">
        <v>222</v>
      </c>
      <c r="K711" s="4" t="s">
        <v>222</v>
      </c>
      <c r="L711" s="4" t="s">
        <v>222</v>
      </c>
      <c r="M711" s="4" t="s">
        <v>222</v>
      </c>
      <c r="N711" s="4" t="s">
        <v>222</v>
      </c>
      <c r="O711" s="4" t="s">
        <v>222</v>
      </c>
      <c r="P711" s="9"/>
      <c r="Q711" s="9"/>
      <c r="R711" s="87" t="s">
        <v>222</v>
      </c>
      <c r="S711" s="11" t="s">
        <v>222</v>
      </c>
      <c r="T711" s="12"/>
      <c r="U711" s="13"/>
      <c r="V711" s="12"/>
      <c r="W711" s="13"/>
      <c r="X711" s="12"/>
      <c r="Y711" s="14"/>
      <c r="Z711" s="14"/>
      <c r="AA711" s="14"/>
      <c r="AB711" s="14"/>
      <c r="AC711" s="14"/>
      <c r="AD711" s="14"/>
      <c r="AE711" s="14"/>
      <c r="AF711" s="3"/>
      <c r="AG711" s="3"/>
    </row>
    <row r="712" ht="13.5" customHeight="1">
      <c r="A712" s="3"/>
      <c r="B712" s="15"/>
      <c r="C712" s="3"/>
      <c r="D712" s="4"/>
      <c r="E712" s="5"/>
      <c r="F712" s="6"/>
      <c r="G712" s="3"/>
      <c r="H712" s="3"/>
      <c r="I712" s="7"/>
      <c r="J712" s="6" t="s">
        <v>222</v>
      </c>
      <c r="K712" s="4" t="s">
        <v>222</v>
      </c>
      <c r="L712" s="4" t="s">
        <v>222</v>
      </c>
      <c r="M712" s="4" t="s">
        <v>222</v>
      </c>
      <c r="N712" s="4" t="s">
        <v>222</v>
      </c>
      <c r="O712" s="4" t="s">
        <v>222</v>
      </c>
      <c r="P712" s="9"/>
      <c r="Q712" s="9"/>
      <c r="R712" s="87" t="s">
        <v>222</v>
      </c>
      <c r="S712" s="11" t="s">
        <v>222</v>
      </c>
      <c r="T712" s="12"/>
      <c r="U712" s="13"/>
      <c r="V712" s="12"/>
      <c r="W712" s="13"/>
      <c r="X712" s="12"/>
      <c r="Y712" s="14"/>
      <c r="Z712" s="14"/>
      <c r="AA712" s="14"/>
      <c r="AB712" s="14"/>
      <c r="AC712" s="14"/>
      <c r="AD712" s="14"/>
      <c r="AE712" s="14"/>
      <c r="AF712" s="3"/>
      <c r="AG712" s="3"/>
    </row>
    <row r="713" ht="13.5" customHeight="1">
      <c r="A713" s="3"/>
      <c r="B713" s="15"/>
      <c r="C713" s="3"/>
      <c r="D713" s="4"/>
      <c r="E713" s="5"/>
      <c r="F713" s="6"/>
      <c r="G713" s="3"/>
      <c r="H713" s="3"/>
      <c r="I713" s="7"/>
      <c r="J713" s="6" t="s">
        <v>222</v>
      </c>
      <c r="K713" s="4" t="s">
        <v>222</v>
      </c>
      <c r="L713" s="4" t="s">
        <v>222</v>
      </c>
      <c r="M713" s="4" t="s">
        <v>222</v>
      </c>
      <c r="N713" s="4" t="s">
        <v>222</v>
      </c>
      <c r="O713" s="4" t="s">
        <v>222</v>
      </c>
      <c r="P713" s="9"/>
      <c r="Q713" s="9"/>
      <c r="R713" s="87" t="s">
        <v>222</v>
      </c>
      <c r="S713" s="11" t="s">
        <v>222</v>
      </c>
      <c r="T713" s="12"/>
      <c r="U713" s="13"/>
      <c r="V713" s="12"/>
      <c r="W713" s="13"/>
      <c r="X713" s="12"/>
      <c r="Y713" s="14"/>
      <c r="Z713" s="14"/>
      <c r="AA713" s="14"/>
      <c r="AB713" s="14"/>
      <c r="AC713" s="14"/>
      <c r="AD713" s="14"/>
      <c r="AE713" s="14"/>
      <c r="AF713" s="3"/>
      <c r="AG713" s="3"/>
    </row>
    <row r="714" ht="13.5" customHeight="1">
      <c r="A714" s="3"/>
      <c r="B714" s="15"/>
      <c r="C714" s="3"/>
      <c r="D714" s="4"/>
      <c r="E714" s="5"/>
      <c r="F714" s="6"/>
      <c r="G714" s="3"/>
      <c r="H714" s="3"/>
      <c r="I714" s="7"/>
      <c r="J714" s="6" t="s">
        <v>222</v>
      </c>
      <c r="K714" s="4" t="s">
        <v>222</v>
      </c>
      <c r="L714" s="4" t="s">
        <v>222</v>
      </c>
      <c r="M714" s="4" t="s">
        <v>222</v>
      </c>
      <c r="N714" s="4" t="s">
        <v>222</v>
      </c>
      <c r="O714" s="4" t="s">
        <v>222</v>
      </c>
      <c r="P714" s="9"/>
      <c r="Q714" s="9"/>
      <c r="R714" s="87" t="s">
        <v>222</v>
      </c>
      <c r="S714" s="11" t="s">
        <v>222</v>
      </c>
      <c r="T714" s="12"/>
      <c r="U714" s="13"/>
      <c r="V714" s="12"/>
      <c r="W714" s="13"/>
      <c r="X714" s="12"/>
      <c r="Y714" s="14"/>
      <c r="Z714" s="14"/>
      <c r="AA714" s="14"/>
      <c r="AB714" s="14"/>
      <c r="AC714" s="14"/>
      <c r="AD714" s="14"/>
      <c r="AE714" s="14"/>
      <c r="AF714" s="3"/>
      <c r="AG714" s="3"/>
    </row>
    <row r="715" ht="13.5" customHeight="1">
      <c r="A715" s="3"/>
      <c r="B715" s="15"/>
      <c r="C715" s="3"/>
      <c r="D715" s="4"/>
      <c r="E715" s="5"/>
      <c r="F715" s="6"/>
      <c r="G715" s="3"/>
      <c r="H715" s="3"/>
      <c r="I715" s="7"/>
      <c r="J715" s="6" t="s">
        <v>222</v>
      </c>
      <c r="K715" s="4" t="s">
        <v>222</v>
      </c>
      <c r="L715" s="4" t="s">
        <v>222</v>
      </c>
      <c r="M715" s="4" t="s">
        <v>222</v>
      </c>
      <c r="N715" s="4" t="s">
        <v>222</v>
      </c>
      <c r="O715" s="4" t="s">
        <v>222</v>
      </c>
      <c r="P715" s="9"/>
      <c r="Q715" s="9"/>
      <c r="R715" s="87" t="s">
        <v>222</v>
      </c>
      <c r="S715" s="11" t="s">
        <v>222</v>
      </c>
      <c r="T715" s="12"/>
      <c r="U715" s="13"/>
      <c r="V715" s="12"/>
      <c r="W715" s="13"/>
      <c r="X715" s="12"/>
      <c r="Y715" s="14"/>
      <c r="Z715" s="14"/>
      <c r="AA715" s="14"/>
      <c r="AB715" s="14"/>
      <c r="AC715" s="14"/>
      <c r="AD715" s="14"/>
      <c r="AE715" s="14"/>
      <c r="AF715" s="3"/>
      <c r="AG715" s="3"/>
    </row>
    <row r="716" ht="13.5" customHeight="1">
      <c r="A716" s="3"/>
      <c r="B716" s="15"/>
      <c r="C716" s="3"/>
      <c r="D716" s="4"/>
      <c r="E716" s="5"/>
      <c r="F716" s="6"/>
      <c r="G716" s="3"/>
      <c r="H716" s="3"/>
      <c r="I716" s="7"/>
      <c r="J716" s="6" t="s">
        <v>222</v>
      </c>
      <c r="K716" s="4" t="s">
        <v>222</v>
      </c>
      <c r="L716" s="4" t="s">
        <v>222</v>
      </c>
      <c r="M716" s="4" t="s">
        <v>222</v>
      </c>
      <c r="N716" s="4" t="s">
        <v>222</v>
      </c>
      <c r="O716" s="4" t="s">
        <v>222</v>
      </c>
      <c r="P716" s="9"/>
      <c r="Q716" s="9"/>
      <c r="R716" s="87" t="s">
        <v>222</v>
      </c>
      <c r="S716" s="11" t="s">
        <v>222</v>
      </c>
      <c r="T716" s="12"/>
      <c r="U716" s="13"/>
      <c r="V716" s="12"/>
      <c r="W716" s="13"/>
      <c r="X716" s="12"/>
      <c r="Y716" s="14"/>
      <c r="Z716" s="14"/>
      <c r="AA716" s="14"/>
      <c r="AB716" s="14"/>
      <c r="AC716" s="14"/>
      <c r="AD716" s="14"/>
      <c r="AE716" s="14"/>
      <c r="AF716" s="3"/>
      <c r="AG716" s="3"/>
    </row>
    <row r="717" ht="13.5" customHeight="1">
      <c r="A717" s="3"/>
      <c r="B717" s="15"/>
      <c r="C717" s="3"/>
      <c r="D717" s="4"/>
      <c r="E717" s="5"/>
      <c r="F717" s="6"/>
      <c r="G717" s="3"/>
      <c r="H717" s="3"/>
      <c r="I717" s="7"/>
      <c r="J717" s="6" t="s">
        <v>222</v>
      </c>
      <c r="K717" s="4" t="s">
        <v>222</v>
      </c>
      <c r="L717" s="4" t="s">
        <v>222</v>
      </c>
      <c r="M717" s="4" t="s">
        <v>222</v>
      </c>
      <c r="N717" s="4" t="s">
        <v>222</v>
      </c>
      <c r="O717" s="4" t="s">
        <v>222</v>
      </c>
      <c r="P717" s="9"/>
      <c r="Q717" s="9"/>
      <c r="R717" s="87" t="s">
        <v>222</v>
      </c>
      <c r="S717" s="11" t="s">
        <v>222</v>
      </c>
      <c r="T717" s="12"/>
      <c r="U717" s="13"/>
      <c r="V717" s="12"/>
      <c r="W717" s="13"/>
      <c r="X717" s="12"/>
      <c r="Y717" s="14"/>
      <c r="Z717" s="14"/>
      <c r="AA717" s="14"/>
      <c r="AB717" s="14"/>
      <c r="AC717" s="14"/>
      <c r="AD717" s="14"/>
      <c r="AE717" s="14"/>
      <c r="AF717" s="3"/>
      <c r="AG717" s="3"/>
    </row>
    <row r="718" ht="13.5" customHeight="1">
      <c r="A718" s="3"/>
      <c r="B718" s="15"/>
      <c r="C718" s="3"/>
      <c r="D718" s="4"/>
      <c r="E718" s="5"/>
      <c r="F718" s="6"/>
      <c r="G718" s="3"/>
      <c r="H718" s="3"/>
      <c r="I718" s="7"/>
      <c r="J718" s="6" t="s">
        <v>222</v>
      </c>
      <c r="K718" s="4" t="s">
        <v>222</v>
      </c>
      <c r="L718" s="4" t="s">
        <v>222</v>
      </c>
      <c r="M718" s="4" t="s">
        <v>222</v>
      </c>
      <c r="N718" s="4" t="s">
        <v>222</v>
      </c>
      <c r="O718" s="4" t="s">
        <v>222</v>
      </c>
      <c r="P718" s="9"/>
      <c r="Q718" s="9"/>
      <c r="R718" s="87" t="s">
        <v>222</v>
      </c>
      <c r="S718" s="11" t="s">
        <v>222</v>
      </c>
      <c r="T718" s="12"/>
      <c r="U718" s="13"/>
      <c r="V718" s="12"/>
      <c r="W718" s="13"/>
      <c r="X718" s="12"/>
      <c r="Y718" s="14"/>
      <c r="Z718" s="14"/>
      <c r="AA718" s="14"/>
      <c r="AB718" s="14"/>
      <c r="AC718" s="14"/>
      <c r="AD718" s="14"/>
      <c r="AE718" s="14"/>
      <c r="AF718" s="3"/>
      <c r="AG718" s="3"/>
    </row>
    <row r="719" ht="13.5" customHeight="1">
      <c r="A719" s="3"/>
      <c r="B719" s="15"/>
      <c r="C719" s="3"/>
      <c r="D719" s="4"/>
      <c r="E719" s="5"/>
      <c r="F719" s="6"/>
      <c r="G719" s="3"/>
      <c r="H719" s="3"/>
      <c r="I719" s="7"/>
      <c r="J719" s="6" t="s">
        <v>222</v>
      </c>
      <c r="K719" s="4" t="s">
        <v>222</v>
      </c>
      <c r="L719" s="4" t="s">
        <v>222</v>
      </c>
      <c r="M719" s="4" t="s">
        <v>222</v>
      </c>
      <c r="N719" s="4" t="s">
        <v>222</v>
      </c>
      <c r="O719" s="4" t="s">
        <v>222</v>
      </c>
      <c r="P719" s="9"/>
      <c r="Q719" s="9"/>
      <c r="R719" s="87" t="s">
        <v>222</v>
      </c>
      <c r="S719" s="11" t="s">
        <v>222</v>
      </c>
      <c r="T719" s="12"/>
      <c r="U719" s="13"/>
      <c r="V719" s="12"/>
      <c r="W719" s="13"/>
      <c r="X719" s="12"/>
      <c r="Y719" s="14"/>
      <c r="Z719" s="14"/>
      <c r="AA719" s="14"/>
      <c r="AB719" s="14"/>
      <c r="AC719" s="14"/>
      <c r="AD719" s="14"/>
      <c r="AE719" s="14"/>
      <c r="AF719" s="3"/>
      <c r="AG719" s="3"/>
    </row>
    <row r="720" ht="13.5" customHeight="1">
      <c r="A720" s="3"/>
      <c r="B720" s="15"/>
      <c r="C720" s="3"/>
      <c r="D720" s="4"/>
      <c r="E720" s="5"/>
      <c r="F720" s="6"/>
      <c r="G720" s="3"/>
      <c r="H720" s="3"/>
      <c r="I720" s="7"/>
      <c r="J720" s="6" t="s">
        <v>222</v>
      </c>
      <c r="K720" s="4" t="s">
        <v>222</v>
      </c>
      <c r="L720" s="4" t="s">
        <v>222</v>
      </c>
      <c r="M720" s="4" t="s">
        <v>222</v>
      </c>
      <c r="N720" s="4" t="s">
        <v>222</v>
      </c>
      <c r="O720" s="4" t="s">
        <v>222</v>
      </c>
      <c r="P720" s="9"/>
      <c r="Q720" s="9"/>
      <c r="R720" s="87" t="s">
        <v>222</v>
      </c>
      <c r="S720" s="11" t="s">
        <v>222</v>
      </c>
      <c r="T720" s="12"/>
      <c r="U720" s="13"/>
      <c r="V720" s="12"/>
      <c r="W720" s="13"/>
      <c r="X720" s="12"/>
      <c r="Y720" s="14"/>
      <c r="Z720" s="14"/>
      <c r="AA720" s="14"/>
      <c r="AB720" s="14"/>
      <c r="AC720" s="14"/>
      <c r="AD720" s="14"/>
      <c r="AE720" s="14"/>
      <c r="AF720" s="3"/>
      <c r="AG720" s="3"/>
    </row>
    <row r="721" ht="13.5" customHeight="1">
      <c r="A721" s="3"/>
      <c r="B721" s="15"/>
      <c r="C721" s="3"/>
      <c r="D721" s="4"/>
      <c r="E721" s="5"/>
      <c r="F721" s="6"/>
      <c r="G721" s="3"/>
      <c r="H721" s="3"/>
      <c r="I721" s="7"/>
      <c r="J721" s="6" t="s">
        <v>222</v>
      </c>
      <c r="K721" s="4" t="s">
        <v>222</v>
      </c>
      <c r="L721" s="4" t="s">
        <v>222</v>
      </c>
      <c r="M721" s="4" t="s">
        <v>222</v>
      </c>
      <c r="N721" s="4" t="s">
        <v>222</v>
      </c>
      <c r="O721" s="4" t="s">
        <v>222</v>
      </c>
      <c r="P721" s="9"/>
      <c r="Q721" s="9"/>
      <c r="R721" s="87" t="s">
        <v>222</v>
      </c>
      <c r="S721" s="11" t="s">
        <v>222</v>
      </c>
      <c r="T721" s="12"/>
      <c r="U721" s="13"/>
      <c r="V721" s="12"/>
      <c r="W721" s="13"/>
      <c r="X721" s="12"/>
      <c r="Y721" s="14"/>
      <c r="Z721" s="14"/>
      <c r="AA721" s="14"/>
      <c r="AB721" s="14"/>
      <c r="AC721" s="14"/>
      <c r="AD721" s="14"/>
      <c r="AE721" s="14"/>
      <c r="AF721" s="3"/>
      <c r="AG721" s="3"/>
    </row>
    <row r="722" ht="13.5" customHeight="1">
      <c r="A722" s="3"/>
      <c r="B722" s="15"/>
      <c r="C722" s="3"/>
      <c r="D722" s="4"/>
      <c r="E722" s="5"/>
      <c r="F722" s="6"/>
      <c r="G722" s="3"/>
      <c r="H722" s="3"/>
      <c r="I722" s="7"/>
      <c r="J722" s="6" t="s">
        <v>222</v>
      </c>
      <c r="K722" s="4" t="s">
        <v>222</v>
      </c>
      <c r="L722" s="4" t="s">
        <v>222</v>
      </c>
      <c r="M722" s="4" t="s">
        <v>222</v>
      </c>
      <c r="N722" s="4" t="s">
        <v>222</v>
      </c>
      <c r="O722" s="4" t="s">
        <v>222</v>
      </c>
      <c r="P722" s="9"/>
      <c r="Q722" s="9"/>
      <c r="R722" s="87" t="s">
        <v>222</v>
      </c>
      <c r="S722" s="11" t="s">
        <v>222</v>
      </c>
      <c r="T722" s="12"/>
      <c r="U722" s="13"/>
      <c r="V722" s="12"/>
      <c r="W722" s="13"/>
      <c r="X722" s="12"/>
      <c r="Y722" s="14"/>
      <c r="Z722" s="14"/>
      <c r="AA722" s="14"/>
      <c r="AB722" s="14"/>
      <c r="AC722" s="14"/>
      <c r="AD722" s="14"/>
      <c r="AE722" s="14"/>
      <c r="AF722" s="3"/>
      <c r="AG722" s="3"/>
    </row>
    <row r="723" ht="13.5" customHeight="1">
      <c r="A723" s="3"/>
      <c r="B723" s="15"/>
      <c r="C723" s="3"/>
      <c r="D723" s="4"/>
      <c r="E723" s="5"/>
      <c r="F723" s="6"/>
      <c r="G723" s="3"/>
      <c r="H723" s="3"/>
      <c r="I723" s="7"/>
      <c r="J723" s="6" t="s">
        <v>222</v>
      </c>
      <c r="K723" s="4" t="s">
        <v>222</v>
      </c>
      <c r="L723" s="4" t="s">
        <v>222</v>
      </c>
      <c r="M723" s="4" t="s">
        <v>222</v>
      </c>
      <c r="N723" s="4" t="s">
        <v>222</v>
      </c>
      <c r="O723" s="4" t="s">
        <v>222</v>
      </c>
      <c r="P723" s="9"/>
      <c r="Q723" s="9"/>
      <c r="R723" s="87" t="s">
        <v>222</v>
      </c>
      <c r="S723" s="11" t="s">
        <v>222</v>
      </c>
      <c r="T723" s="12"/>
      <c r="U723" s="13"/>
      <c r="V723" s="12"/>
      <c r="W723" s="13"/>
      <c r="X723" s="12"/>
      <c r="Y723" s="14"/>
      <c r="Z723" s="14"/>
      <c r="AA723" s="14"/>
      <c r="AB723" s="14"/>
      <c r="AC723" s="14"/>
      <c r="AD723" s="14"/>
      <c r="AE723" s="14"/>
      <c r="AF723" s="3"/>
      <c r="AG723" s="3"/>
    </row>
    <row r="724" ht="13.5" customHeight="1">
      <c r="A724" s="3"/>
      <c r="B724" s="15"/>
      <c r="C724" s="3"/>
      <c r="D724" s="4"/>
      <c r="E724" s="5"/>
      <c r="F724" s="6"/>
      <c r="G724" s="3"/>
      <c r="H724" s="3"/>
      <c r="I724" s="7"/>
      <c r="J724" s="6" t="s">
        <v>222</v>
      </c>
      <c r="K724" s="4" t="s">
        <v>222</v>
      </c>
      <c r="L724" s="4" t="s">
        <v>222</v>
      </c>
      <c r="M724" s="4" t="s">
        <v>222</v>
      </c>
      <c r="N724" s="4" t="s">
        <v>222</v>
      </c>
      <c r="O724" s="4" t="s">
        <v>222</v>
      </c>
      <c r="P724" s="9"/>
      <c r="Q724" s="9"/>
      <c r="R724" s="87" t="s">
        <v>222</v>
      </c>
      <c r="S724" s="11" t="s">
        <v>222</v>
      </c>
      <c r="T724" s="12"/>
      <c r="U724" s="13"/>
      <c r="V724" s="12"/>
      <c r="W724" s="13"/>
      <c r="X724" s="12"/>
      <c r="Y724" s="14"/>
      <c r="Z724" s="14"/>
      <c r="AA724" s="14"/>
      <c r="AB724" s="14"/>
      <c r="AC724" s="14"/>
      <c r="AD724" s="14"/>
      <c r="AE724" s="14"/>
      <c r="AF724" s="3"/>
      <c r="AG724" s="3"/>
    </row>
    <row r="725" ht="13.5" customHeight="1">
      <c r="A725" s="3"/>
      <c r="B725" s="15"/>
      <c r="C725" s="3"/>
      <c r="D725" s="4"/>
      <c r="E725" s="5"/>
      <c r="F725" s="6"/>
      <c r="G725" s="3"/>
      <c r="H725" s="3"/>
      <c r="I725" s="7"/>
      <c r="J725" s="6" t="s">
        <v>222</v>
      </c>
      <c r="K725" s="4" t="s">
        <v>222</v>
      </c>
      <c r="L725" s="4" t="s">
        <v>222</v>
      </c>
      <c r="M725" s="4" t="s">
        <v>222</v>
      </c>
      <c r="N725" s="4" t="s">
        <v>222</v>
      </c>
      <c r="O725" s="4" t="s">
        <v>222</v>
      </c>
      <c r="P725" s="9"/>
      <c r="Q725" s="9"/>
      <c r="R725" s="87" t="s">
        <v>222</v>
      </c>
      <c r="S725" s="11" t="s">
        <v>222</v>
      </c>
      <c r="T725" s="12"/>
      <c r="U725" s="13"/>
      <c r="V725" s="12"/>
      <c r="W725" s="13"/>
      <c r="X725" s="12"/>
      <c r="Y725" s="14"/>
      <c r="Z725" s="14"/>
      <c r="AA725" s="14"/>
      <c r="AB725" s="14"/>
      <c r="AC725" s="14"/>
      <c r="AD725" s="14"/>
      <c r="AE725" s="14"/>
      <c r="AF725" s="3"/>
      <c r="AG725" s="3"/>
    </row>
    <row r="726" ht="13.5" customHeight="1">
      <c r="A726" s="3"/>
      <c r="B726" s="15"/>
      <c r="C726" s="3"/>
      <c r="D726" s="4"/>
      <c r="E726" s="5"/>
      <c r="F726" s="6"/>
      <c r="G726" s="3"/>
      <c r="H726" s="3"/>
      <c r="I726" s="7"/>
      <c r="J726" s="6" t="s">
        <v>222</v>
      </c>
      <c r="K726" s="4" t="s">
        <v>222</v>
      </c>
      <c r="L726" s="4" t="s">
        <v>222</v>
      </c>
      <c r="M726" s="4" t="s">
        <v>222</v>
      </c>
      <c r="N726" s="4" t="s">
        <v>222</v>
      </c>
      <c r="O726" s="4" t="s">
        <v>222</v>
      </c>
      <c r="P726" s="9"/>
      <c r="Q726" s="9"/>
      <c r="R726" s="87" t="s">
        <v>222</v>
      </c>
      <c r="S726" s="11" t="s">
        <v>222</v>
      </c>
      <c r="T726" s="12"/>
      <c r="U726" s="13"/>
      <c r="V726" s="12"/>
      <c r="W726" s="13"/>
      <c r="X726" s="12"/>
      <c r="Y726" s="14"/>
      <c r="Z726" s="14"/>
      <c r="AA726" s="14"/>
      <c r="AB726" s="14"/>
      <c r="AC726" s="14"/>
      <c r="AD726" s="14"/>
      <c r="AE726" s="14"/>
      <c r="AF726" s="3"/>
      <c r="AG726" s="3"/>
    </row>
    <row r="727" ht="13.5" customHeight="1">
      <c r="A727" s="3"/>
      <c r="B727" s="15"/>
      <c r="C727" s="3"/>
      <c r="D727" s="4"/>
      <c r="E727" s="5"/>
      <c r="F727" s="6"/>
      <c r="G727" s="3"/>
      <c r="H727" s="3"/>
      <c r="I727" s="7"/>
      <c r="J727" s="6" t="s">
        <v>222</v>
      </c>
      <c r="K727" s="4" t="s">
        <v>222</v>
      </c>
      <c r="L727" s="4" t="s">
        <v>222</v>
      </c>
      <c r="M727" s="4" t="s">
        <v>222</v>
      </c>
      <c r="N727" s="4" t="s">
        <v>222</v>
      </c>
      <c r="O727" s="4" t="s">
        <v>222</v>
      </c>
      <c r="P727" s="9"/>
      <c r="Q727" s="9"/>
      <c r="R727" s="87" t="s">
        <v>222</v>
      </c>
      <c r="S727" s="11" t="s">
        <v>222</v>
      </c>
      <c r="T727" s="12"/>
      <c r="U727" s="13"/>
      <c r="V727" s="12"/>
      <c r="W727" s="13"/>
      <c r="X727" s="12"/>
      <c r="Y727" s="14"/>
      <c r="Z727" s="14"/>
      <c r="AA727" s="14"/>
      <c r="AB727" s="14"/>
      <c r="AC727" s="14"/>
      <c r="AD727" s="14"/>
      <c r="AE727" s="14"/>
      <c r="AF727" s="3"/>
      <c r="AG727" s="3"/>
    </row>
    <row r="728" ht="13.5" customHeight="1">
      <c r="A728" s="3"/>
      <c r="B728" s="15"/>
      <c r="C728" s="3"/>
      <c r="D728" s="4"/>
      <c r="E728" s="5"/>
      <c r="F728" s="6"/>
      <c r="G728" s="3"/>
      <c r="H728" s="3"/>
      <c r="I728" s="7"/>
      <c r="J728" s="6" t="s">
        <v>222</v>
      </c>
      <c r="K728" s="4" t="s">
        <v>222</v>
      </c>
      <c r="L728" s="4" t="s">
        <v>222</v>
      </c>
      <c r="M728" s="4" t="s">
        <v>222</v>
      </c>
      <c r="N728" s="4" t="s">
        <v>222</v>
      </c>
      <c r="O728" s="4" t="s">
        <v>222</v>
      </c>
      <c r="P728" s="9"/>
      <c r="Q728" s="9"/>
      <c r="R728" s="87" t="s">
        <v>222</v>
      </c>
      <c r="S728" s="11" t="s">
        <v>222</v>
      </c>
      <c r="T728" s="12"/>
      <c r="U728" s="13"/>
      <c r="V728" s="12"/>
      <c r="W728" s="13"/>
      <c r="X728" s="12"/>
      <c r="Y728" s="14"/>
      <c r="Z728" s="14"/>
      <c r="AA728" s="14"/>
      <c r="AB728" s="14"/>
      <c r="AC728" s="14"/>
      <c r="AD728" s="14"/>
      <c r="AE728" s="14"/>
      <c r="AF728" s="3"/>
      <c r="AG728" s="3"/>
    </row>
    <row r="729" ht="13.5" customHeight="1">
      <c r="A729" s="3"/>
      <c r="B729" s="15"/>
      <c r="C729" s="3"/>
      <c r="D729" s="4"/>
      <c r="E729" s="5"/>
      <c r="F729" s="6"/>
      <c r="G729" s="3"/>
      <c r="H729" s="3"/>
      <c r="I729" s="7"/>
      <c r="J729" s="6" t="s">
        <v>222</v>
      </c>
      <c r="K729" s="4" t="s">
        <v>222</v>
      </c>
      <c r="L729" s="4" t="s">
        <v>222</v>
      </c>
      <c r="M729" s="4" t="s">
        <v>222</v>
      </c>
      <c r="N729" s="4" t="s">
        <v>222</v>
      </c>
      <c r="O729" s="4" t="s">
        <v>222</v>
      </c>
      <c r="P729" s="9"/>
      <c r="Q729" s="9"/>
      <c r="R729" s="87" t="s">
        <v>222</v>
      </c>
      <c r="S729" s="11" t="s">
        <v>222</v>
      </c>
      <c r="T729" s="12"/>
      <c r="U729" s="13"/>
      <c r="V729" s="12"/>
      <c r="W729" s="13"/>
      <c r="X729" s="12"/>
      <c r="Y729" s="14"/>
      <c r="Z729" s="14"/>
      <c r="AA729" s="14"/>
      <c r="AB729" s="14"/>
      <c r="AC729" s="14"/>
      <c r="AD729" s="14"/>
      <c r="AE729" s="14"/>
      <c r="AF729" s="3"/>
      <c r="AG729" s="3"/>
    </row>
    <row r="730" ht="13.5" customHeight="1">
      <c r="A730" s="3"/>
      <c r="B730" s="15"/>
      <c r="C730" s="3"/>
      <c r="D730" s="4"/>
      <c r="E730" s="5"/>
      <c r="F730" s="6"/>
      <c r="G730" s="3"/>
      <c r="H730" s="3"/>
      <c r="I730" s="7"/>
      <c r="J730" s="6" t="s">
        <v>222</v>
      </c>
      <c r="K730" s="4" t="s">
        <v>222</v>
      </c>
      <c r="L730" s="4" t="s">
        <v>222</v>
      </c>
      <c r="M730" s="4" t="s">
        <v>222</v>
      </c>
      <c r="N730" s="4" t="s">
        <v>222</v>
      </c>
      <c r="O730" s="4" t="s">
        <v>222</v>
      </c>
      <c r="P730" s="9"/>
      <c r="Q730" s="9"/>
      <c r="R730" s="87" t="s">
        <v>222</v>
      </c>
      <c r="S730" s="11" t="s">
        <v>222</v>
      </c>
      <c r="T730" s="12"/>
      <c r="U730" s="13"/>
      <c r="V730" s="12"/>
      <c r="W730" s="13"/>
      <c r="X730" s="12"/>
      <c r="Y730" s="14"/>
      <c r="Z730" s="14"/>
      <c r="AA730" s="14"/>
      <c r="AB730" s="14"/>
      <c r="AC730" s="14"/>
      <c r="AD730" s="14"/>
      <c r="AE730" s="14"/>
      <c r="AF730" s="3"/>
      <c r="AG730" s="3"/>
    </row>
    <row r="731" ht="13.5" customHeight="1">
      <c r="A731" s="3"/>
      <c r="B731" s="15"/>
      <c r="C731" s="3"/>
      <c r="D731" s="4"/>
      <c r="E731" s="5"/>
      <c r="F731" s="6"/>
      <c r="G731" s="3"/>
      <c r="H731" s="3"/>
      <c r="I731" s="7"/>
      <c r="J731" s="6" t="s">
        <v>222</v>
      </c>
      <c r="K731" s="4" t="s">
        <v>222</v>
      </c>
      <c r="L731" s="4" t="s">
        <v>222</v>
      </c>
      <c r="M731" s="4" t="s">
        <v>222</v>
      </c>
      <c r="N731" s="4" t="s">
        <v>222</v>
      </c>
      <c r="O731" s="4" t="s">
        <v>222</v>
      </c>
      <c r="P731" s="9"/>
      <c r="Q731" s="9"/>
      <c r="R731" s="87" t="s">
        <v>222</v>
      </c>
      <c r="S731" s="11" t="s">
        <v>222</v>
      </c>
      <c r="T731" s="12"/>
      <c r="U731" s="13"/>
      <c r="V731" s="12"/>
      <c r="W731" s="13"/>
      <c r="X731" s="12"/>
      <c r="Y731" s="14"/>
      <c r="Z731" s="14"/>
      <c r="AA731" s="14"/>
      <c r="AB731" s="14"/>
      <c r="AC731" s="14"/>
      <c r="AD731" s="14"/>
      <c r="AE731" s="14"/>
      <c r="AF731" s="3"/>
      <c r="AG731" s="3"/>
    </row>
    <row r="732" ht="13.5" customHeight="1">
      <c r="A732" s="3"/>
      <c r="B732" s="15"/>
      <c r="C732" s="3"/>
      <c r="D732" s="4"/>
      <c r="E732" s="5"/>
      <c r="F732" s="6"/>
      <c r="G732" s="3"/>
      <c r="H732" s="3"/>
      <c r="I732" s="7"/>
      <c r="J732" s="6" t="s">
        <v>222</v>
      </c>
      <c r="K732" s="4" t="s">
        <v>222</v>
      </c>
      <c r="L732" s="4" t="s">
        <v>222</v>
      </c>
      <c r="M732" s="4" t="s">
        <v>222</v>
      </c>
      <c r="N732" s="4" t="s">
        <v>222</v>
      </c>
      <c r="O732" s="4" t="s">
        <v>222</v>
      </c>
      <c r="P732" s="9"/>
      <c r="Q732" s="9"/>
      <c r="R732" s="87" t="s">
        <v>222</v>
      </c>
      <c r="S732" s="11" t="s">
        <v>222</v>
      </c>
      <c r="T732" s="12"/>
      <c r="U732" s="13"/>
      <c r="V732" s="12"/>
      <c r="W732" s="13"/>
      <c r="X732" s="12"/>
      <c r="Y732" s="14"/>
      <c r="Z732" s="14"/>
      <c r="AA732" s="14"/>
      <c r="AB732" s="14"/>
      <c r="AC732" s="14"/>
      <c r="AD732" s="14"/>
      <c r="AE732" s="14"/>
      <c r="AF732" s="3"/>
      <c r="AG732" s="3"/>
    </row>
    <row r="733" ht="13.5" customHeight="1">
      <c r="A733" s="3"/>
      <c r="B733" s="15"/>
      <c r="C733" s="3"/>
      <c r="D733" s="4"/>
      <c r="E733" s="5"/>
      <c r="F733" s="6"/>
      <c r="G733" s="3"/>
      <c r="H733" s="3"/>
      <c r="I733" s="7"/>
      <c r="J733" s="6" t="s">
        <v>222</v>
      </c>
      <c r="K733" s="4" t="s">
        <v>222</v>
      </c>
      <c r="L733" s="4" t="s">
        <v>222</v>
      </c>
      <c r="M733" s="4" t="s">
        <v>222</v>
      </c>
      <c r="N733" s="4" t="s">
        <v>222</v>
      </c>
      <c r="O733" s="4" t="s">
        <v>222</v>
      </c>
      <c r="P733" s="9"/>
      <c r="Q733" s="9"/>
      <c r="R733" s="87" t="s">
        <v>222</v>
      </c>
      <c r="S733" s="11" t="s">
        <v>222</v>
      </c>
      <c r="T733" s="12"/>
      <c r="U733" s="13"/>
      <c r="V733" s="12"/>
      <c r="W733" s="13"/>
      <c r="X733" s="12"/>
      <c r="Y733" s="14"/>
      <c r="Z733" s="14"/>
      <c r="AA733" s="14"/>
      <c r="AB733" s="14"/>
      <c r="AC733" s="14"/>
      <c r="AD733" s="14"/>
      <c r="AE733" s="14"/>
      <c r="AF733" s="3"/>
      <c r="AG733" s="3"/>
    </row>
    <row r="734" ht="13.5" customHeight="1">
      <c r="A734" s="3"/>
      <c r="B734" s="15"/>
      <c r="C734" s="3"/>
      <c r="D734" s="4"/>
      <c r="E734" s="5"/>
      <c r="F734" s="6"/>
      <c r="G734" s="3"/>
      <c r="H734" s="3"/>
      <c r="I734" s="7"/>
      <c r="J734" s="6" t="s">
        <v>222</v>
      </c>
      <c r="K734" s="4" t="s">
        <v>222</v>
      </c>
      <c r="L734" s="4" t="s">
        <v>222</v>
      </c>
      <c r="M734" s="4" t="s">
        <v>222</v>
      </c>
      <c r="N734" s="4" t="s">
        <v>222</v>
      </c>
      <c r="O734" s="4" t="s">
        <v>222</v>
      </c>
      <c r="P734" s="9"/>
      <c r="Q734" s="9"/>
      <c r="R734" s="87" t="s">
        <v>222</v>
      </c>
      <c r="S734" s="11" t="s">
        <v>222</v>
      </c>
      <c r="T734" s="12"/>
      <c r="U734" s="13"/>
      <c r="V734" s="12"/>
      <c r="W734" s="13"/>
      <c r="X734" s="12"/>
      <c r="Y734" s="14"/>
      <c r="Z734" s="14"/>
      <c r="AA734" s="14"/>
      <c r="AB734" s="14"/>
      <c r="AC734" s="14"/>
      <c r="AD734" s="14"/>
      <c r="AE734" s="14"/>
      <c r="AF734" s="3"/>
      <c r="AG734" s="3"/>
    </row>
    <row r="735" ht="13.5" customHeight="1">
      <c r="A735" s="3"/>
      <c r="B735" s="15"/>
      <c r="C735" s="3"/>
      <c r="D735" s="4"/>
      <c r="E735" s="5"/>
      <c r="F735" s="6"/>
      <c r="G735" s="3"/>
      <c r="H735" s="3"/>
      <c r="I735" s="7"/>
      <c r="J735" s="6" t="s">
        <v>222</v>
      </c>
      <c r="K735" s="4" t="s">
        <v>222</v>
      </c>
      <c r="L735" s="4" t="s">
        <v>222</v>
      </c>
      <c r="M735" s="4" t="s">
        <v>222</v>
      </c>
      <c r="N735" s="4" t="s">
        <v>222</v>
      </c>
      <c r="O735" s="4" t="s">
        <v>222</v>
      </c>
      <c r="P735" s="9"/>
      <c r="Q735" s="9"/>
      <c r="R735" s="87" t="s">
        <v>222</v>
      </c>
      <c r="S735" s="11" t="s">
        <v>222</v>
      </c>
      <c r="T735" s="12"/>
      <c r="U735" s="13"/>
      <c r="V735" s="12"/>
      <c r="W735" s="13"/>
      <c r="X735" s="12"/>
      <c r="Y735" s="14"/>
      <c r="Z735" s="14"/>
      <c r="AA735" s="14"/>
      <c r="AB735" s="14"/>
      <c r="AC735" s="14"/>
      <c r="AD735" s="14"/>
      <c r="AE735" s="14"/>
      <c r="AF735" s="3"/>
      <c r="AG735" s="3"/>
    </row>
    <row r="736" ht="13.5" customHeight="1">
      <c r="A736" s="3"/>
      <c r="B736" s="15"/>
      <c r="C736" s="3"/>
      <c r="D736" s="4"/>
      <c r="E736" s="5"/>
      <c r="F736" s="6"/>
      <c r="G736" s="3"/>
      <c r="H736" s="3"/>
      <c r="I736" s="7"/>
      <c r="J736" s="6" t="s">
        <v>222</v>
      </c>
      <c r="K736" s="4" t="s">
        <v>222</v>
      </c>
      <c r="L736" s="4" t="s">
        <v>222</v>
      </c>
      <c r="M736" s="4" t="s">
        <v>222</v>
      </c>
      <c r="N736" s="4" t="s">
        <v>222</v>
      </c>
      <c r="O736" s="4" t="s">
        <v>222</v>
      </c>
      <c r="P736" s="9"/>
      <c r="Q736" s="9"/>
      <c r="R736" s="87" t="s">
        <v>222</v>
      </c>
      <c r="S736" s="11" t="s">
        <v>222</v>
      </c>
      <c r="T736" s="12"/>
      <c r="U736" s="13"/>
      <c r="V736" s="12"/>
      <c r="W736" s="13"/>
      <c r="X736" s="12"/>
      <c r="Y736" s="14"/>
      <c r="Z736" s="14"/>
      <c r="AA736" s="14"/>
      <c r="AB736" s="14"/>
      <c r="AC736" s="14"/>
      <c r="AD736" s="14"/>
      <c r="AE736" s="14"/>
      <c r="AF736" s="3"/>
      <c r="AG736" s="3"/>
    </row>
    <row r="737" ht="13.5" customHeight="1">
      <c r="A737" s="3"/>
      <c r="B737" s="15"/>
      <c r="C737" s="3"/>
      <c r="D737" s="4"/>
      <c r="E737" s="5"/>
      <c r="F737" s="6"/>
      <c r="G737" s="3"/>
      <c r="H737" s="3"/>
      <c r="I737" s="7"/>
      <c r="J737" s="6" t="s">
        <v>222</v>
      </c>
      <c r="K737" s="4" t="s">
        <v>222</v>
      </c>
      <c r="L737" s="4" t="s">
        <v>222</v>
      </c>
      <c r="M737" s="4" t="s">
        <v>222</v>
      </c>
      <c r="N737" s="4" t="s">
        <v>222</v>
      </c>
      <c r="O737" s="4" t="s">
        <v>222</v>
      </c>
      <c r="P737" s="9"/>
      <c r="Q737" s="9"/>
      <c r="R737" s="87" t="s">
        <v>222</v>
      </c>
      <c r="S737" s="11" t="s">
        <v>222</v>
      </c>
      <c r="T737" s="12"/>
      <c r="U737" s="13"/>
      <c r="V737" s="12"/>
      <c r="W737" s="13"/>
      <c r="X737" s="12"/>
      <c r="Y737" s="14"/>
      <c r="Z737" s="14"/>
      <c r="AA737" s="14"/>
      <c r="AB737" s="14"/>
      <c r="AC737" s="14"/>
      <c r="AD737" s="14"/>
      <c r="AE737" s="14"/>
      <c r="AF737" s="3"/>
      <c r="AG737" s="3"/>
    </row>
    <row r="738" ht="13.5" customHeight="1">
      <c r="A738" s="3"/>
      <c r="B738" s="15"/>
      <c r="C738" s="3"/>
      <c r="D738" s="4"/>
      <c r="E738" s="5"/>
      <c r="F738" s="6"/>
      <c r="G738" s="3"/>
      <c r="H738" s="3"/>
      <c r="I738" s="7"/>
      <c r="J738" s="6" t="s">
        <v>222</v>
      </c>
      <c r="K738" s="4" t="s">
        <v>222</v>
      </c>
      <c r="L738" s="4" t="s">
        <v>222</v>
      </c>
      <c r="M738" s="4" t="s">
        <v>222</v>
      </c>
      <c r="N738" s="4" t="s">
        <v>222</v>
      </c>
      <c r="O738" s="4" t="s">
        <v>222</v>
      </c>
      <c r="P738" s="9"/>
      <c r="Q738" s="9"/>
      <c r="R738" s="87" t="s">
        <v>222</v>
      </c>
      <c r="S738" s="11" t="s">
        <v>222</v>
      </c>
      <c r="T738" s="12"/>
      <c r="U738" s="13"/>
      <c r="V738" s="12"/>
      <c r="W738" s="13"/>
      <c r="X738" s="12"/>
      <c r="Y738" s="14"/>
      <c r="Z738" s="14"/>
      <c r="AA738" s="14"/>
      <c r="AB738" s="14"/>
      <c r="AC738" s="14"/>
      <c r="AD738" s="14"/>
      <c r="AE738" s="14"/>
      <c r="AF738" s="3"/>
      <c r="AG738" s="3"/>
    </row>
    <row r="739" ht="13.5" customHeight="1">
      <c r="A739" s="3"/>
      <c r="B739" s="15"/>
      <c r="C739" s="3"/>
      <c r="D739" s="4"/>
      <c r="E739" s="5"/>
      <c r="F739" s="6"/>
      <c r="G739" s="3"/>
      <c r="H739" s="3"/>
      <c r="I739" s="7"/>
      <c r="J739" s="6" t="s">
        <v>222</v>
      </c>
      <c r="K739" s="4" t="s">
        <v>222</v>
      </c>
      <c r="L739" s="4" t="s">
        <v>222</v>
      </c>
      <c r="M739" s="4" t="s">
        <v>222</v>
      </c>
      <c r="N739" s="4" t="s">
        <v>222</v>
      </c>
      <c r="O739" s="4" t="s">
        <v>222</v>
      </c>
      <c r="P739" s="9"/>
      <c r="Q739" s="9"/>
      <c r="R739" s="87" t="s">
        <v>222</v>
      </c>
      <c r="S739" s="11" t="s">
        <v>222</v>
      </c>
      <c r="T739" s="12"/>
      <c r="U739" s="13"/>
      <c r="V739" s="12"/>
      <c r="W739" s="13"/>
      <c r="X739" s="12"/>
      <c r="Y739" s="14"/>
      <c r="Z739" s="14"/>
      <c r="AA739" s="14"/>
      <c r="AB739" s="14"/>
      <c r="AC739" s="14"/>
      <c r="AD739" s="14"/>
      <c r="AE739" s="14"/>
      <c r="AF739" s="3"/>
      <c r="AG739" s="3"/>
    </row>
    <row r="740" ht="13.5" customHeight="1">
      <c r="A740" s="3"/>
      <c r="B740" s="15"/>
      <c r="C740" s="3"/>
      <c r="D740" s="4"/>
      <c r="E740" s="5"/>
      <c r="F740" s="6"/>
      <c r="G740" s="3"/>
      <c r="H740" s="3"/>
      <c r="I740" s="7"/>
      <c r="J740" s="6" t="s">
        <v>222</v>
      </c>
      <c r="K740" s="4" t="s">
        <v>222</v>
      </c>
      <c r="L740" s="4" t="s">
        <v>222</v>
      </c>
      <c r="M740" s="4" t="s">
        <v>222</v>
      </c>
      <c r="N740" s="4" t="s">
        <v>222</v>
      </c>
      <c r="O740" s="4" t="s">
        <v>222</v>
      </c>
      <c r="P740" s="9"/>
      <c r="Q740" s="9"/>
      <c r="R740" s="87" t="s">
        <v>222</v>
      </c>
      <c r="S740" s="11" t="s">
        <v>222</v>
      </c>
      <c r="T740" s="12"/>
      <c r="U740" s="13"/>
      <c r="V740" s="12"/>
      <c r="W740" s="13"/>
      <c r="X740" s="12"/>
      <c r="Y740" s="14"/>
      <c r="Z740" s="14"/>
      <c r="AA740" s="14"/>
      <c r="AB740" s="14"/>
      <c r="AC740" s="14"/>
      <c r="AD740" s="14"/>
      <c r="AE740" s="14"/>
      <c r="AF740" s="3"/>
      <c r="AG740" s="3"/>
    </row>
    <row r="741" ht="13.5" customHeight="1">
      <c r="A741" s="3"/>
      <c r="B741" s="15"/>
      <c r="C741" s="3"/>
      <c r="D741" s="4"/>
      <c r="E741" s="5"/>
      <c r="F741" s="6"/>
      <c r="G741" s="3"/>
      <c r="H741" s="3"/>
      <c r="I741" s="7"/>
      <c r="J741" s="6" t="s">
        <v>222</v>
      </c>
      <c r="K741" s="4" t="s">
        <v>222</v>
      </c>
      <c r="L741" s="4" t="s">
        <v>222</v>
      </c>
      <c r="M741" s="4" t="s">
        <v>222</v>
      </c>
      <c r="N741" s="4" t="s">
        <v>222</v>
      </c>
      <c r="O741" s="4" t="s">
        <v>222</v>
      </c>
      <c r="P741" s="9"/>
      <c r="Q741" s="9"/>
      <c r="R741" s="87" t="s">
        <v>222</v>
      </c>
      <c r="S741" s="11" t="s">
        <v>222</v>
      </c>
      <c r="T741" s="12"/>
      <c r="U741" s="13"/>
      <c r="V741" s="12"/>
      <c r="W741" s="13"/>
      <c r="X741" s="12"/>
      <c r="Y741" s="14"/>
      <c r="Z741" s="14"/>
      <c r="AA741" s="14"/>
      <c r="AB741" s="14"/>
      <c r="AC741" s="14"/>
      <c r="AD741" s="14"/>
      <c r="AE741" s="14"/>
      <c r="AF741" s="3"/>
      <c r="AG741" s="3"/>
    </row>
    <row r="742" ht="13.5" customHeight="1">
      <c r="A742" s="3"/>
      <c r="B742" s="15"/>
      <c r="C742" s="3"/>
      <c r="D742" s="4"/>
      <c r="E742" s="5"/>
      <c r="F742" s="6"/>
      <c r="G742" s="3"/>
      <c r="H742" s="3"/>
      <c r="I742" s="7"/>
      <c r="J742" s="6" t="s">
        <v>222</v>
      </c>
      <c r="K742" s="4" t="s">
        <v>222</v>
      </c>
      <c r="L742" s="4" t="s">
        <v>222</v>
      </c>
      <c r="M742" s="4" t="s">
        <v>222</v>
      </c>
      <c r="N742" s="4" t="s">
        <v>222</v>
      </c>
      <c r="O742" s="4" t="s">
        <v>222</v>
      </c>
      <c r="P742" s="9"/>
      <c r="Q742" s="9"/>
      <c r="R742" s="87" t="s">
        <v>222</v>
      </c>
      <c r="S742" s="11" t="s">
        <v>222</v>
      </c>
      <c r="T742" s="12"/>
      <c r="U742" s="13"/>
      <c r="V742" s="12"/>
      <c r="W742" s="13"/>
      <c r="X742" s="12"/>
      <c r="Y742" s="14"/>
      <c r="Z742" s="14"/>
      <c r="AA742" s="14"/>
      <c r="AB742" s="14"/>
      <c r="AC742" s="14"/>
      <c r="AD742" s="14"/>
      <c r="AE742" s="14"/>
      <c r="AF742" s="3"/>
      <c r="AG742" s="3"/>
    </row>
    <row r="743" ht="13.5" customHeight="1">
      <c r="A743" s="3"/>
      <c r="B743" s="15"/>
      <c r="C743" s="3"/>
      <c r="D743" s="4"/>
      <c r="E743" s="5"/>
      <c r="F743" s="6"/>
      <c r="G743" s="3"/>
      <c r="H743" s="3"/>
      <c r="I743" s="7"/>
      <c r="J743" s="6" t="s">
        <v>222</v>
      </c>
      <c r="K743" s="4" t="s">
        <v>222</v>
      </c>
      <c r="L743" s="4" t="s">
        <v>222</v>
      </c>
      <c r="M743" s="4" t="s">
        <v>222</v>
      </c>
      <c r="N743" s="4" t="s">
        <v>222</v>
      </c>
      <c r="O743" s="4" t="s">
        <v>222</v>
      </c>
      <c r="P743" s="9"/>
      <c r="Q743" s="9"/>
      <c r="R743" s="87" t="s">
        <v>222</v>
      </c>
      <c r="S743" s="11" t="s">
        <v>222</v>
      </c>
      <c r="T743" s="12"/>
      <c r="U743" s="13"/>
      <c r="V743" s="12"/>
      <c r="W743" s="13"/>
      <c r="X743" s="12"/>
      <c r="Y743" s="14"/>
      <c r="Z743" s="14"/>
      <c r="AA743" s="14"/>
      <c r="AB743" s="14"/>
      <c r="AC743" s="14"/>
      <c r="AD743" s="14"/>
      <c r="AE743" s="14"/>
      <c r="AF743" s="3"/>
      <c r="AG743" s="3"/>
    </row>
    <row r="744" ht="13.5" customHeight="1">
      <c r="A744" s="3"/>
      <c r="B744" s="15"/>
      <c r="C744" s="3"/>
      <c r="D744" s="4"/>
      <c r="E744" s="5"/>
      <c r="F744" s="6"/>
      <c r="G744" s="3"/>
      <c r="H744" s="3"/>
      <c r="I744" s="7"/>
      <c r="J744" s="6" t="s">
        <v>222</v>
      </c>
      <c r="K744" s="4" t="s">
        <v>222</v>
      </c>
      <c r="L744" s="4" t="s">
        <v>222</v>
      </c>
      <c r="M744" s="4" t="s">
        <v>222</v>
      </c>
      <c r="N744" s="4" t="s">
        <v>222</v>
      </c>
      <c r="O744" s="4" t="s">
        <v>222</v>
      </c>
      <c r="P744" s="9"/>
      <c r="Q744" s="9"/>
      <c r="R744" s="87" t="s">
        <v>222</v>
      </c>
      <c r="S744" s="11" t="s">
        <v>222</v>
      </c>
      <c r="T744" s="12"/>
      <c r="U744" s="13"/>
      <c r="V744" s="12"/>
      <c r="W744" s="13"/>
      <c r="X744" s="12"/>
      <c r="Y744" s="14"/>
      <c r="Z744" s="14"/>
      <c r="AA744" s="14"/>
      <c r="AB744" s="14"/>
      <c r="AC744" s="14"/>
      <c r="AD744" s="14"/>
      <c r="AE744" s="14"/>
      <c r="AF744" s="3"/>
      <c r="AG744" s="3"/>
    </row>
    <row r="745" ht="13.5" customHeight="1">
      <c r="A745" s="3"/>
      <c r="B745" s="15"/>
      <c r="C745" s="3"/>
      <c r="D745" s="4"/>
      <c r="E745" s="5"/>
      <c r="F745" s="6"/>
      <c r="G745" s="3"/>
      <c r="H745" s="3"/>
      <c r="I745" s="7"/>
      <c r="J745" s="6" t="s">
        <v>222</v>
      </c>
      <c r="K745" s="4" t="s">
        <v>222</v>
      </c>
      <c r="L745" s="4" t="s">
        <v>222</v>
      </c>
      <c r="M745" s="4" t="s">
        <v>222</v>
      </c>
      <c r="N745" s="4" t="s">
        <v>222</v>
      </c>
      <c r="O745" s="4" t="s">
        <v>222</v>
      </c>
      <c r="P745" s="9"/>
      <c r="Q745" s="9"/>
      <c r="R745" s="87" t="s">
        <v>222</v>
      </c>
      <c r="S745" s="11" t="s">
        <v>222</v>
      </c>
      <c r="T745" s="12"/>
      <c r="U745" s="13"/>
      <c r="V745" s="12"/>
      <c r="W745" s="13"/>
      <c r="X745" s="12"/>
      <c r="Y745" s="14"/>
      <c r="Z745" s="14"/>
      <c r="AA745" s="14"/>
      <c r="AB745" s="14"/>
      <c r="AC745" s="14"/>
      <c r="AD745" s="14"/>
      <c r="AE745" s="14"/>
      <c r="AF745" s="3"/>
      <c r="AG745" s="3"/>
    </row>
    <row r="746" ht="13.5" customHeight="1">
      <c r="A746" s="3"/>
      <c r="B746" s="15"/>
      <c r="C746" s="3"/>
      <c r="D746" s="4"/>
      <c r="E746" s="5"/>
      <c r="F746" s="6"/>
      <c r="G746" s="3"/>
      <c r="H746" s="3"/>
      <c r="I746" s="7"/>
      <c r="J746" s="6" t="s">
        <v>222</v>
      </c>
      <c r="K746" s="4" t="s">
        <v>222</v>
      </c>
      <c r="L746" s="4" t="s">
        <v>222</v>
      </c>
      <c r="M746" s="4" t="s">
        <v>222</v>
      </c>
      <c r="N746" s="4" t="s">
        <v>222</v>
      </c>
      <c r="O746" s="4" t="s">
        <v>222</v>
      </c>
      <c r="P746" s="9"/>
      <c r="Q746" s="9"/>
      <c r="R746" s="87" t="s">
        <v>222</v>
      </c>
      <c r="S746" s="11" t="s">
        <v>222</v>
      </c>
      <c r="T746" s="12"/>
      <c r="U746" s="13"/>
      <c r="V746" s="12"/>
      <c r="W746" s="13"/>
      <c r="X746" s="12"/>
      <c r="Y746" s="14"/>
      <c r="Z746" s="14"/>
      <c r="AA746" s="14"/>
      <c r="AB746" s="14"/>
      <c r="AC746" s="14"/>
      <c r="AD746" s="14"/>
      <c r="AE746" s="14"/>
      <c r="AF746" s="3"/>
      <c r="AG746" s="3"/>
    </row>
    <row r="747" ht="13.5" customHeight="1">
      <c r="A747" s="3"/>
      <c r="B747" s="15"/>
      <c r="C747" s="3"/>
      <c r="D747" s="4"/>
      <c r="E747" s="5"/>
      <c r="F747" s="6"/>
      <c r="G747" s="3"/>
      <c r="H747" s="3"/>
      <c r="I747" s="7"/>
      <c r="J747" s="6" t="s">
        <v>222</v>
      </c>
      <c r="K747" s="4" t="s">
        <v>222</v>
      </c>
      <c r="L747" s="4" t="s">
        <v>222</v>
      </c>
      <c r="M747" s="4" t="s">
        <v>222</v>
      </c>
      <c r="N747" s="4" t="s">
        <v>222</v>
      </c>
      <c r="O747" s="4" t="s">
        <v>222</v>
      </c>
      <c r="P747" s="9"/>
      <c r="Q747" s="9"/>
      <c r="R747" s="87" t="s">
        <v>222</v>
      </c>
      <c r="S747" s="11" t="s">
        <v>222</v>
      </c>
      <c r="T747" s="12"/>
      <c r="U747" s="13"/>
      <c r="V747" s="12"/>
      <c r="W747" s="13"/>
      <c r="X747" s="12"/>
      <c r="Y747" s="14"/>
      <c r="Z747" s="14"/>
      <c r="AA747" s="14"/>
      <c r="AB747" s="14"/>
      <c r="AC747" s="14"/>
      <c r="AD747" s="14"/>
      <c r="AE747" s="14"/>
      <c r="AF747" s="3"/>
      <c r="AG747" s="3"/>
    </row>
    <row r="748" ht="13.5" customHeight="1">
      <c r="A748" s="3"/>
      <c r="B748" s="15"/>
      <c r="C748" s="3"/>
      <c r="D748" s="4"/>
      <c r="E748" s="5"/>
      <c r="F748" s="6"/>
      <c r="G748" s="3"/>
      <c r="H748" s="3"/>
      <c r="I748" s="7"/>
      <c r="J748" s="6" t="s">
        <v>222</v>
      </c>
      <c r="K748" s="4" t="s">
        <v>222</v>
      </c>
      <c r="L748" s="4" t="s">
        <v>222</v>
      </c>
      <c r="M748" s="4" t="s">
        <v>222</v>
      </c>
      <c r="N748" s="4" t="s">
        <v>222</v>
      </c>
      <c r="O748" s="4" t="s">
        <v>222</v>
      </c>
      <c r="P748" s="9"/>
      <c r="Q748" s="9"/>
      <c r="R748" s="87" t="s">
        <v>222</v>
      </c>
      <c r="S748" s="11" t="s">
        <v>222</v>
      </c>
      <c r="T748" s="12"/>
      <c r="U748" s="13"/>
      <c r="V748" s="12"/>
      <c r="W748" s="13"/>
      <c r="X748" s="12"/>
      <c r="Y748" s="14"/>
      <c r="Z748" s="14"/>
      <c r="AA748" s="14"/>
      <c r="AB748" s="14"/>
      <c r="AC748" s="14"/>
      <c r="AD748" s="14"/>
      <c r="AE748" s="14"/>
      <c r="AF748" s="3"/>
      <c r="AG748" s="3"/>
    </row>
    <row r="749" ht="13.5" customHeight="1">
      <c r="A749" s="3"/>
      <c r="B749" s="15"/>
      <c r="C749" s="3"/>
      <c r="D749" s="4"/>
      <c r="E749" s="5"/>
      <c r="F749" s="6"/>
      <c r="G749" s="3"/>
      <c r="H749" s="3"/>
      <c r="I749" s="7"/>
      <c r="J749" s="6" t="s">
        <v>222</v>
      </c>
      <c r="K749" s="4" t="s">
        <v>222</v>
      </c>
      <c r="L749" s="4" t="s">
        <v>222</v>
      </c>
      <c r="M749" s="4" t="s">
        <v>222</v>
      </c>
      <c r="N749" s="4" t="s">
        <v>222</v>
      </c>
      <c r="O749" s="4" t="s">
        <v>222</v>
      </c>
      <c r="P749" s="9"/>
      <c r="Q749" s="9"/>
      <c r="R749" s="87" t="s">
        <v>222</v>
      </c>
      <c r="S749" s="11" t="s">
        <v>222</v>
      </c>
      <c r="T749" s="12"/>
      <c r="U749" s="13"/>
      <c r="V749" s="12"/>
      <c r="W749" s="13"/>
      <c r="X749" s="12"/>
      <c r="Y749" s="14"/>
      <c r="Z749" s="14"/>
      <c r="AA749" s="14"/>
      <c r="AB749" s="14"/>
      <c r="AC749" s="14"/>
      <c r="AD749" s="14"/>
      <c r="AE749" s="14"/>
      <c r="AF749" s="3"/>
      <c r="AG749" s="3"/>
    </row>
    <row r="750" ht="13.5" customHeight="1">
      <c r="A750" s="3"/>
      <c r="B750" s="15"/>
      <c r="C750" s="3"/>
      <c r="D750" s="4"/>
      <c r="E750" s="5"/>
      <c r="F750" s="6"/>
      <c r="G750" s="3"/>
      <c r="H750" s="3"/>
      <c r="I750" s="7"/>
      <c r="J750" s="6" t="s">
        <v>222</v>
      </c>
      <c r="K750" s="4" t="s">
        <v>222</v>
      </c>
      <c r="L750" s="4" t="s">
        <v>222</v>
      </c>
      <c r="M750" s="4" t="s">
        <v>222</v>
      </c>
      <c r="N750" s="4" t="s">
        <v>222</v>
      </c>
      <c r="O750" s="4" t="s">
        <v>222</v>
      </c>
      <c r="P750" s="9"/>
      <c r="Q750" s="9"/>
      <c r="R750" s="87" t="s">
        <v>222</v>
      </c>
      <c r="S750" s="11" t="s">
        <v>222</v>
      </c>
      <c r="T750" s="12"/>
      <c r="U750" s="13"/>
      <c r="V750" s="12"/>
      <c r="W750" s="13"/>
      <c r="X750" s="12"/>
      <c r="Y750" s="14"/>
      <c r="Z750" s="14"/>
      <c r="AA750" s="14"/>
      <c r="AB750" s="14"/>
      <c r="AC750" s="14"/>
      <c r="AD750" s="14"/>
      <c r="AE750" s="14"/>
      <c r="AF750" s="3"/>
      <c r="AG750" s="3"/>
    </row>
    <row r="751" ht="13.5" customHeight="1">
      <c r="A751" s="3"/>
      <c r="B751" s="15"/>
      <c r="C751" s="3"/>
      <c r="D751" s="4"/>
      <c r="E751" s="5"/>
      <c r="F751" s="6"/>
      <c r="G751" s="3"/>
      <c r="H751" s="3"/>
      <c r="I751" s="7"/>
      <c r="J751" s="6" t="s">
        <v>222</v>
      </c>
      <c r="K751" s="4" t="s">
        <v>222</v>
      </c>
      <c r="L751" s="4" t="s">
        <v>222</v>
      </c>
      <c r="M751" s="4" t="s">
        <v>222</v>
      </c>
      <c r="N751" s="4" t="s">
        <v>222</v>
      </c>
      <c r="O751" s="4" t="s">
        <v>222</v>
      </c>
      <c r="P751" s="9"/>
      <c r="Q751" s="9"/>
      <c r="R751" s="87" t="s">
        <v>222</v>
      </c>
      <c r="S751" s="11" t="s">
        <v>222</v>
      </c>
      <c r="T751" s="12"/>
      <c r="U751" s="13"/>
      <c r="V751" s="12"/>
      <c r="W751" s="13"/>
      <c r="X751" s="12"/>
      <c r="Y751" s="14"/>
      <c r="Z751" s="14"/>
      <c r="AA751" s="14"/>
      <c r="AB751" s="14"/>
      <c r="AC751" s="14"/>
      <c r="AD751" s="14"/>
      <c r="AE751" s="14"/>
      <c r="AF751" s="3"/>
      <c r="AG751" s="3"/>
    </row>
    <row r="752" ht="13.5" customHeight="1">
      <c r="A752" s="3"/>
      <c r="B752" s="15"/>
      <c r="C752" s="3"/>
      <c r="D752" s="4"/>
      <c r="E752" s="5"/>
      <c r="F752" s="6"/>
      <c r="G752" s="3"/>
      <c r="H752" s="3"/>
      <c r="I752" s="7"/>
      <c r="J752" s="6" t="s">
        <v>222</v>
      </c>
      <c r="K752" s="4" t="s">
        <v>222</v>
      </c>
      <c r="L752" s="4" t="s">
        <v>222</v>
      </c>
      <c r="M752" s="4" t="s">
        <v>222</v>
      </c>
      <c r="N752" s="4" t="s">
        <v>222</v>
      </c>
      <c r="O752" s="4" t="s">
        <v>222</v>
      </c>
      <c r="P752" s="9"/>
      <c r="Q752" s="9"/>
      <c r="R752" s="87" t="s">
        <v>222</v>
      </c>
      <c r="S752" s="11" t="s">
        <v>222</v>
      </c>
      <c r="T752" s="12"/>
      <c r="U752" s="13"/>
      <c r="V752" s="12"/>
      <c r="W752" s="13"/>
      <c r="X752" s="12"/>
      <c r="Y752" s="14"/>
      <c r="Z752" s="14"/>
      <c r="AA752" s="14"/>
      <c r="AB752" s="14"/>
      <c r="AC752" s="14"/>
      <c r="AD752" s="14"/>
      <c r="AE752" s="14"/>
      <c r="AF752" s="3"/>
      <c r="AG752" s="3"/>
    </row>
    <row r="753" ht="13.5" customHeight="1">
      <c r="A753" s="3"/>
      <c r="B753" s="15"/>
      <c r="C753" s="3"/>
      <c r="D753" s="4"/>
      <c r="E753" s="5"/>
      <c r="F753" s="6"/>
      <c r="G753" s="3"/>
      <c r="H753" s="3"/>
      <c r="I753" s="7"/>
      <c r="J753" s="6" t="s">
        <v>222</v>
      </c>
      <c r="K753" s="4" t="s">
        <v>222</v>
      </c>
      <c r="L753" s="4" t="s">
        <v>222</v>
      </c>
      <c r="M753" s="4" t="s">
        <v>222</v>
      </c>
      <c r="N753" s="4" t="s">
        <v>222</v>
      </c>
      <c r="O753" s="4" t="s">
        <v>222</v>
      </c>
      <c r="P753" s="9"/>
      <c r="Q753" s="9"/>
      <c r="R753" s="87" t="s">
        <v>222</v>
      </c>
      <c r="S753" s="11" t="s">
        <v>222</v>
      </c>
      <c r="T753" s="12"/>
      <c r="U753" s="13"/>
      <c r="V753" s="12"/>
      <c r="W753" s="13"/>
      <c r="X753" s="12"/>
      <c r="Y753" s="14"/>
      <c r="Z753" s="14"/>
      <c r="AA753" s="14"/>
      <c r="AB753" s="14"/>
      <c r="AC753" s="14"/>
      <c r="AD753" s="14"/>
      <c r="AE753" s="14"/>
      <c r="AF753" s="3"/>
      <c r="AG753" s="3"/>
    </row>
    <row r="754" ht="13.5" customHeight="1">
      <c r="A754" s="3"/>
      <c r="B754" s="15"/>
      <c r="C754" s="3"/>
      <c r="D754" s="4"/>
      <c r="E754" s="5"/>
      <c r="F754" s="6"/>
      <c r="G754" s="3"/>
      <c r="H754" s="3"/>
      <c r="I754" s="7"/>
      <c r="J754" s="6" t="s">
        <v>222</v>
      </c>
      <c r="K754" s="4" t="s">
        <v>222</v>
      </c>
      <c r="L754" s="4" t="s">
        <v>222</v>
      </c>
      <c r="M754" s="4" t="s">
        <v>222</v>
      </c>
      <c r="N754" s="4" t="s">
        <v>222</v>
      </c>
      <c r="O754" s="4" t="s">
        <v>222</v>
      </c>
      <c r="P754" s="9"/>
      <c r="Q754" s="9"/>
      <c r="R754" s="87" t="s">
        <v>222</v>
      </c>
      <c r="S754" s="11" t="s">
        <v>222</v>
      </c>
      <c r="T754" s="12"/>
      <c r="U754" s="13"/>
      <c r="V754" s="12"/>
      <c r="W754" s="13"/>
      <c r="X754" s="12"/>
      <c r="Y754" s="14"/>
      <c r="Z754" s="14"/>
      <c r="AA754" s="14"/>
      <c r="AB754" s="14"/>
      <c r="AC754" s="14"/>
      <c r="AD754" s="14"/>
      <c r="AE754" s="14"/>
      <c r="AF754" s="3"/>
      <c r="AG754" s="3"/>
    </row>
    <row r="755" ht="13.5" customHeight="1">
      <c r="A755" s="3"/>
      <c r="B755" s="15"/>
      <c r="C755" s="3"/>
      <c r="D755" s="4"/>
      <c r="E755" s="5"/>
      <c r="F755" s="6"/>
      <c r="G755" s="3"/>
      <c r="H755" s="3"/>
      <c r="I755" s="7"/>
      <c r="J755" s="6" t="s">
        <v>222</v>
      </c>
      <c r="K755" s="4" t="s">
        <v>222</v>
      </c>
      <c r="L755" s="4" t="s">
        <v>222</v>
      </c>
      <c r="M755" s="4" t="s">
        <v>222</v>
      </c>
      <c r="N755" s="4" t="s">
        <v>222</v>
      </c>
      <c r="O755" s="4" t="s">
        <v>222</v>
      </c>
      <c r="P755" s="9"/>
      <c r="Q755" s="9"/>
      <c r="R755" s="87" t="s">
        <v>222</v>
      </c>
      <c r="S755" s="11" t="s">
        <v>222</v>
      </c>
      <c r="T755" s="12"/>
      <c r="U755" s="13"/>
      <c r="V755" s="12"/>
      <c r="W755" s="13"/>
      <c r="X755" s="12"/>
      <c r="Y755" s="14"/>
      <c r="Z755" s="14"/>
      <c r="AA755" s="14"/>
      <c r="AB755" s="14"/>
      <c r="AC755" s="14"/>
      <c r="AD755" s="14"/>
      <c r="AE755" s="14"/>
      <c r="AF755" s="3"/>
      <c r="AG755" s="3"/>
    </row>
    <row r="756" ht="13.5" customHeight="1">
      <c r="A756" s="3"/>
      <c r="B756" s="15"/>
      <c r="C756" s="3"/>
      <c r="D756" s="4"/>
      <c r="E756" s="5"/>
      <c r="F756" s="6"/>
      <c r="G756" s="3"/>
      <c r="H756" s="3"/>
      <c r="I756" s="7"/>
      <c r="J756" s="6" t="s">
        <v>222</v>
      </c>
      <c r="K756" s="4" t="s">
        <v>222</v>
      </c>
      <c r="L756" s="4" t="s">
        <v>222</v>
      </c>
      <c r="M756" s="4" t="s">
        <v>222</v>
      </c>
      <c r="N756" s="4" t="s">
        <v>222</v>
      </c>
      <c r="O756" s="4" t="s">
        <v>222</v>
      </c>
      <c r="P756" s="9"/>
      <c r="Q756" s="9"/>
      <c r="R756" s="87" t="s">
        <v>222</v>
      </c>
      <c r="S756" s="11" t="s">
        <v>222</v>
      </c>
      <c r="T756" s="12"/>
      <c r="U756" s="13"/>
      <c r="V756" s="12"/>
      <c r="W756" s="13"/>
      <c r="X756" s="12"/>
      <c r="Y756" s="14"/>
      <c r="Z756" s="14"/>
      <c r="AA756" s="14"/>
      <c r="AB756" s="14"/>
      <c r="AC756" s="14"/>
      <c r="AD756" s="14"/>
      <c r="AE756" s="14"/>
      <c r="AF756" s="3"/>
      <c r="AG756" s="3"/>
    </row>
    <row r="757" ht="13.5" customHeight="1">
      <c r="A757" s="3"/>
      <c r="B757" s="15"/>
      <c r="C757" s="3"/>
      <c r="D757" s="4"/>
      <c r="E757" s="5"/>
      <c r="F757" s="6"/>
      <c r="G757" s="3"/>
      <c r="H757" s="3"/>
      <c r="I757" s="7"/>
      <c r="J757" s="6" t="s">
        <v>222</v>
      </c>
      <c r="K757" s="4" t="s">
        <v>222</v>
      </c>
      <c r="L757" s="4" t="s">
        <v>222</v>
      </c>
      <c r="M757" s="4" t="s">
        <v>222</v>
      </c>
      <c r="N757" s="4" t="s">
        <v>222</v>
      </c>
      <c r="O757" s="4" t="s">
        <v>222</v>
      </c>
      <c r="P757" s="9"/>
      <c r="Q757" s="9"/>
      <c r="R757" s="87" t="s">
        <v>222</v>
      </c>
      <c r="S757" s="11" t="s">
        <v>222</v>
      </c>
      <c r="T757" s="12"/>
      <c r="U757" s="13"/>
      <c r="V757" s="12"/>
      <c r="W757" s="13"/>
      <c r="X757" s="12"/>
      <c r="Y757" s="14"/>
      <c r="Z757" s="14"/>
      <c r="AA757" s="14"/>
      <c r="AB757" s="14"/>
      <c r="AC757" s="14"/>
      <c r="AD757" s="14"/>
      <c r="AE757" s="14"/>
      <c r="AF757" s="3"/>
      <c r="AG757" s="3"/>
    </row>
    <row r="758" ht="13.5" customHeight="1">
      <c r="A758" s="3"/>
      <c r="B758" s="15"/>
      <c r="C758" s="3"/>
      <c r="D758" s="4"/>
      <c r="E758" s="5"/>
      <c r="F758" s="6"/>
      <c r="G758" s="3"/>
      <c r="H758" s="3"/>
      <c r="I758" s="7"/>
      <c r="J758" s="6" t="s">
        <v>222</v>
      </c>
      <c r="K758" s="4" t="s">
        <v>222</v>
      </c>
      <c r="L758" s="4" t="s">
        <v>222</v>
      </c>
      <c r="M758" s="4" t="s">
        <v>222</v>
      </c>
      <c r="N758" s="4" t="s">
        <v>222</v>
      </c>
      <c r="O758" s="4" t="s">
        <v>222</v>
      </c>
      <c r="P758" s="9"/>
      <c r="Q758" s="9"/>
      <c r="R758" s="87" t="s">
        <v>222</v>
      </c>
      <c r="S758" s="11" t="s">
        <v>222</v>
      </c>
      <c r="T758" s="12"/>
      <c r="U758" s="13"/>
      <c r="V758" s="12"/>
      <c r="W758" s="13"/>
      <c r="X758" s="12"/>
      <c r="Y758" s="14"/>
      <c r="Z758" s="14"/>
      <c r="AA758" s="14"/>
      <c r="AB758" s="14"/>
      <c r="AC758" s="14"/>
      <c r="AD758" s="14"/>
      <c r="AE758" s="14"/>
      <c r="AF758" s="3"/>
      <c r="AG758" s="3"/>
    </row>
    <row r="759" ht="13.5" customHeight="1">
      <c r="A759" s="3"/>
      <c r="B759" s="15"/>
      <c r="C759" s="3"/>
      <c r="D759" s="4"/>
      <c r="E759" s="5"/>
      <c r="F759" s="6"/>
      <c r="G759" s="3"/>
      <c r="H759" s="3"/>
      <c r="I759" s="7"/>
      <c r="J759" s="6" t="s">
        <v>222</v>
      </c>
      <c r="K759" s="4" t="s">
        <v>222</v>
      </c>
      <c r="L759" s="4" t="s">
        <v>222</v>
      </c>
      <c r="M759" s="4" t="s">
        <v>222</v>
      </c>
      <c r="N759" s="4" t="s">
        <v>222</v>
      </c>
      <c r="O759" s="4" t="s">
        <v>222</v>
      </c>
      <c r="P759" s="9"/>
      <c r="Q759" s="9"/>
      <c r="R759" s="87" t="s">
        <v>222</v>
      </c>
      <c r="S759" s="11" t="s">
        <v>222</v>
      </c>
      <c r="T759" s="12"/>
      <c r="U759" s="13"/>
      <c r="V759" s="12"/>
      <c r="W759" s="13"/>
      <c r="X759" s="12"/>
      <c r="Y759" s="14"/>
      <c r="Z759" s="14"/>
      <c r="AA759" s="14"/>
      <c r="AB759" s="14"/>
      <c r="AC759" s="14"/>
      <c r="AD759" s="14"/>
      <c r="AE759" s="14"/>
      <c r="AF759" s="3"/>
      <c r="AG759" s="3"/>
    </row>
    <row r="760" ht="13.5" customHeight="1">
      <c r="A760" s="3"/>
      <c r="B760" s="15"/>
      <c r="C760" s="3"/>
      <c r="D760" s="4"/>
      <c r="E760" s="5"/>
      <c r="F760" s="6"/>
      <c r="G760" s="3"/>
      <c r="H760" s="3"/>
      <c r="I760" s="7"/>
      <c r="J760" s="6" t="s">
        <v>222</v>
      </c>
      <c r="K760" s="4" t="s">
        <v>222</v>
      </c>
      <c r="L760" s="4" t="s">
        <v>222</v>
      </c>
      <c r="M760" s="4" t="s">
        <v>222</v>
      </c>
      <c r="N760" s="4" t="s">
        <v>222</v>
      </c>
      <c r="O760" s="4" t="s">
        <v>222</v>
      </c>
      <c r="P760" s="9"/>
      <c r="Q760" s="9"/>
      <c r="R760" s="87" t="s">
        <v>222</v>
      </c>
      <c r="S760" s="11" t="s">
        <v>222</v>
      </c>
      <c r="T760" s="12"/>
      <c r="U760" s="13"/>
      <c r="V760" s="12"/>
      <c r="W760" s="13"/>
      <c r="X760" s="12"/>
      <c r="Y760" s="14"/>
      <c r="Z760" s="14"/>
      <c r="AA760" s="14"/>
      <c r="AB760" s="14"/>
      <c r="AC760" s="14"/>
      <c r="AD760" s="14"/>
      <c r="AE760" s="14"/>
      <c r="AF760" s="3"/>
      <c r="AG760" s="3"/>
    </row>
    <row r="761" ht="13.5" customHeight="1">
      <c r="A761" s="3"/>
      <c r="B761" s="15"/>
      <c r="C761" s="3"/>
      <c r="D761" s="4"/>
      <c r="E761" s="5"/>
      <c r="F761" s="6"/>
      <c r="G761" s="3"/>
      <c r="H761" s="3"/>
      <c r="I761" s="7"/>
      <c r="J761" s="6" t="s">
        <v>222</v>
      </c>
      <c r="K761" s="4" t="s">
        <v>222</v>
      </c>
      <c r="L761" s="4" t="s">
        <v>222</v>
      </c>
      <c r="M761" s="4" t="s">
        <v>222</v>
      </c>
      <c r="N761" s="4" t="s">
        <v>222</v>
      </c>
      <c r="O761" s="4" t="s">
        <v>222</v>
      </c>
      <c r="P761" s="9"/>
      <c r="Q761" s="9"/>
      <c r="R761" s="87" t="s">
        <v>222</v>
      </c>
      <c r="S761" s="11" t="s">
        <v>222</v>
      </c>
      <c r="T761" s="12"/>
      <c r="U761" s="13"/>
      <c r="V761" s="12"/>
      <c r="W761" s="13"/>
      <c r="X761" s="12"/>
      <c r="Y761" s="14"/>
      <c r="Z761" s="14"/>
      <c r="AA761" s="14"/>
      <c r="AB761" s="14"/>
      <c r="AC761" s="14"/>
      <c r="AD761" s="14"/>
      <c r="AE761" s="14"/>
      <c r="AF761" s="3"/>
      <c r="AG761" s="3"/>
    </row>
    <row r="762" ht="13.5" customHeight="1">
      <c r="A762" s="3"/>
      <c r="B762" s="15"/>
      <c r="C762" s="3"/>
      <c r="D762" s="4"/>
      <c r="E762" s="5"/>
      <c r="F762" s="6"/>
      <c r="G762" s="3"/>
      <c r="H762" s="3"/>
      <c r="I762" s="7"/>
      <c r="J762" s="6" t="s">
        <v>222</v>
      </c>
      <c r="K762" s="4" t="s">
        <v>222</v>
      </c>
      <c r="L762" s="4" t="s">
        <v>222</v>
      </c>
      <c r="M762" s="4" t="s">
        <v>222</v>
      </c>
      <c r="N762" s="4" t="s">
        <v>222</v>
      </c>
      <c r="O762" s="4" t="s">
        <v>222</v>
      </c>
      <c r="P762" s="9"/>
      <c r="Q762" s="9"/>
      <c r="R762" s="87" t="s">
        <v>222</v>
      </c>
      <c r="S762" s="11" t="s">
        <v>222</v>
      </c>
      <c r="T762" s="12"/>
      <c r="U762" s="13"/>
      <c r="V762" s="12"/>
      <c r="W762" s="13"/>
      <c r="X762" s="12"/>
      <c r="Y762" s="14"/>
      <c r="Z762" s="14"/>
      <c r="AA762" s="14"/>
      <c r="AB762" s="14"/>
      <c r="AC762" s="14"/>
      <c r="AD762" s="14"/>
      <c r="AE762" s="14"/>
      <c r="AF762" s="3"/>
      <c r="AG762" s="3"/>
    </row>
    <row r="763" ht="13.5" customHeight="1">
      <c r="A763" s="3"/>
      <c r="B763" s="15"/>
      <c r="C763" s="3"/>
      <c r="D763" s="4"/>
      <c r="E763" s="5"/>
      <c r="F763" s="6"/>
      <c r="G763" s="3"/>
      <c r="H763" s="3"/>
      <c r="I763" s="7"/>
      <c r="J763" s="6" t="s">
        <v>222</v>
      </c>
      <c r="K763" s="4" t="s">
        <v>222</v>
      </c>
      <c r="L763" s="4" t="s">
        <v>222</v>
      </c>
      <c r="M763" s="4" t="s">
        <v>222</v>
      </c>
      <c r="N763" s="4" t="s">
        <v>222</v>
      </c>
      <c r="O763" s="4" t="s">
        <v>222</v>
      </c>
      <c r="P763" s="9"/>
      <c r="Q763" s="9"/>
      <c r="R763" s="87" t="s">
        <v>222</v>
      </c>
      <c r="S763" s="11" t="s">
        <v>222</v>
      </c>
      <c r="T763" s="12"/>
      <c r="U763" s="13"/>
      <c r="V763" s="12"/>
      <c r="W763" s="13"/>
      <c r="X763" s="12"/>
      <c r="Y763" s="14"/>
      <c r="Z763" s="14"/>
      <c r="AA763" s="14"/>
      <c r="AB763" s="14"/>
      <c r="AC763" s="14"/>
      <c r="AD763" s="14"/>
      <c r="AE763" s="14"/>
      <c r="AF763" s="3"/>
      <c r="AG763" s="3"/>
    </row>
    <row r="764" ht="13.5" customHeight="1">
      <c r="A764" s="3"/>
      <c r="B764" s="15"/>
      <c r="C764" s="3"/>
      <c r="D764" s="4"/>
      <c r="E764" s="5"/>
      <c r="F764" s="6"/>
      <c r="G764" s="3"/>
      <c r="H764" s="3"/>
      <c r="I764" s="7"/>
      <c r="J764" s="6" t="s">
        <v>222</v>
      </c>
      <c r="K764" s="4" t="s">
        <v>222</v>
      </c>
      <c r="L764" s="4" t="s">
        <v>222</v>
      </c>
      <c r="M764" s="4" t="s">
        <v>222</v>
      </c>
      <c r="N764" s="4" t="s">
        <v>222</v>
      </c>
      <c r="O764" s="4" t="s">
        <v>222</v>
      </c>
      <c r="P764" s="9"/>
      <c r="Q764" s="9"/>
      <c r="R764" s="87" t="s">
        <v>222</v>
      </c>
      <c r="S764" s="11" t="s">
        <v>222</v>
      </c>
      <c r="T764" s="12"/>
      <c r="U764" s="13"/>
      <c r="V764" s="12"/>
      <c r="W764" s="13"/>
      <c r="X764" s="12"/>
      <c r="Y764" s="14"/>
      <c r="Z764" s="14"/>
      <c r="AA764" s="14"/>
      <c r="AB764" s="14"/>
      <c r="AC764" s="14"/>
      <c r="AD764" s="14"/>
      <c r="AE764" s="14"/>
      <c r="AF764" s="3"/>
      <c r="AG764" s="3"/>
    </row>
    <row r="765" ht="13.5" customHeight="1">
      <c r="A765" s="3"/>
      <c r="B765" s="15"/>
      <c r="C765" s="3"/>
      <c r="D765" s="4"/>
      <c r="E765" s="5"/>
      <c r="F765" s="6"/>
      <c r="G765" s="3"/>
      <c r="H765" s="3"/>
      <c r="I765" s="7"/>
      <c r="J765" s="6" t="s">
        <v>222</v>
      </c>
      <c r="K765" s="4" t="s">
        <v>222</v>
      </c>
      <c r="L765" s="4" t="s">
        <v>222</v>
      </c>
      <c r="M765" s="4" t="s">
        <v>222</v>
      </c>
      <c r="N765" s="4" t="s">
        <v>222</v>
      </c>
      <c r="O765" s="4" t="s">
        <v>222</v>
      </c>
      <c r="P765" s="9"/>
      <c r="Q765" s="9"/>
      <c r="R765" s="87" t="s">
        <v>222</v>
      </c>
      <c r="S765" s="11" t="s">
        <v>222</v>
      </c>
      <c r="T765" s="12"/>
      <c r="U765" s="13"/>
      <c r="V765" s="12"/>
      <c r="W765" s="13"/>
      <c r="X765" s="12"/>
      <c r="Y765" s="14"/>
      <c r="Z765" s="14"/>
      <c r="AA765" s="14"/>
      <c r="AB765" s="14"/>
      <c r="AC765" s="14"/>
      <c r="AD765" s="14"/>
      <c r="AE765" s="14"/>
      <c r="AF765" s="3"/>
      <c r="AG765" s="3"/>
    </row>
    <row r="766" ht="13.5" customHeight="1">
      <c r="A766" s="3"/>
      <c r="B766" s="15"/>
      <c r="C766" s="3"/>
      <c r="D766" s="4"/>
      <c r="E766" s="5"/>
      <c r="F766" s="6"/>
      <c r="G766" s="3"/>
      <c r="H766" s="3"/>
      <c r="I766" s="7"/>
      <c r="J766" s="6" t="s">
        <v>222</v>
      </c>
      <c r="K766" s="4" t="s">
        <v>222</v>
      </c>
      <c r="L766" s="4" t="s">
        <v>222</v>
      </c>
      <c r="M766" s="4" t="s">
        <v>222</v>
      </c>
      <c r="N766" s="4" t="s">
        <v>222</v>
      </c>
      <c r="O766" s="4" t="s">
        <v>222</v>
      </c>
      <c r="P766" s="9"/>
      <c r="Q766" s="9"/>
      <c r="R766" s="87" t="s">
        <v>222</v>
      </c>
      <c r="S766" s="11" t="s">
        <v>222</v>
      </c>
      <c r="T766" s="12"/>
      <c r="U766" s="13"/>
      <c r="V766" s="12"/>
      <c r="W766" s="13"/>
      <c r="X766" s="12"/>
      <c r="Y766" s="14"/>
      <c r="Z766" s="14"/>
      <c r="AA766" s="14"/>
      <c r="AB766" s="14"/>
      <c r="AC766" s="14"/>
      <c r="AD766" s="14"/>
      <c r="AE766" s="14"/>
      <c r="AF766" s="3"/>
      <c r="AG766" s="3"/>
    </row>
    <row r="767" ht="13.5" customHeight="1">
      <c r="A767" s="3"/>
      <c r="B767" s="15"/>
      <c r="C767" s="3"/>
      <c r="D767" s="4"/>
      <c r="E767" s="5"/>
      <c r="F767" s="6"/>
      <c r="G767" s="3"/>
      <c r="H767" s="3"/>
      <c r="I767" s="7"/>
      <c r="J767" s="6" t="s">
        <v>222</v>
      </c>
      <c r="K767" s="4" t="s">
        <v>222</v>
      </c>
      <c r="L767" s="4" t="s">
        <v>222</v>
      </c>
      <c r="M767" s="4" t="s">
        <v>222</v>
      </c>
      <c r="N767" s="4" t="s">
        <v>222</v>
      </c>
      <c r="O767" s="4" t="s">
        <v>222</v>
      </c>
      <c r="P767" s="9"/>
      <c r="Q767" s="9"/>
      <c r="R767" s="87" t="s">
        <v>222</v>
      </c>
      <c r="S767" s="11" t="s">
        <v>222</v>
      </c>
      <c r="T767" s="12"/>
      <c r="U767" s="13"/>
      <c r="V767" s="12"/>
      <c r="W767" s="13"/>
      <c r="X767" s="12"/>
      <c r="Y767" s="14"/>
      <c r="Z767" s="14"/>
      <c r="AA767" s="14"/>
      <c r="AB767" s="14"/>
      <c r="AC767" s="14"/>
      <c r="AD767" s="14"/>
      <c r="AE767" s="14"/>
      <c r="AF767" s="3"/>
      <c r="AG767" s="3"/>
    </row>
    <row r="768" ht="13.5" customHeight="1">
      <c r="A768" s="3"/>
      <c r="B768" s="15"/>
      <c r="C768" s="3"/>
      <c r="D768" s="4"/>
      <c r="E768" s="5"/>
      <c r="F768" s="6"/>
      <c r="G768" s="3"/>
      <c r="H768" s="3"/>
      <c r="I768" s="7"/>
      <c r="J768" s="6" t="s">
        <v>222</v>
      </c>
      <c r="K768" s="4" t="s">
        <v>222</v>
      </c>
      <c r="L768" s="4" t="s">
        <v>222</v>
      </c>
      <c r="M768" s="4" t="s">
        <v>222</v>
      </c>
      <c r="N768" s="4" t="s">
        <v>222</v>
      </c>
      <c r="O768" s="4" t="s">
        <v>222</v>
      </c>
      <c r="P768" s="9"/>
      <c r="Q768" s="9"/>
      <c r="R768" s="87" t="s">
        <v>222</v>
      </c>
      <c r="S768" s="11" t="s">
        <v>222</v>
      </c>
      <c r="T768" s="12"/>
      <c r="U768" s="13"/>
      <c r="V768" s="12"/>
      <c r="W768" s="13"/>
      <c r="X768" s="12"/>
      <c r="Y768" s="14"/>
      <c r="Z768" s="14"/>
      <c r="AA768" s="14"/>
      <c r="AB768" s="14"/>
      <c r="AC768" s="14"/>
      <c r="AD768" s="14"/>
      <c r="AE768" s="14"/>
      <c r="AF768" s="3"/>
      <c r="AG768" s="3"/>
    </row>
    <row r="769" ht="13.5" customHeight="1">
      <c r="A769" s="3"/>
      <c r="B769" s="15"/>
      <c r="C769" s="3"/>
      <c r="D769" s="4"/>
      <c r="E769" s="5"/>
      <c r="F769" s="6"/>
      <c r="G769" s="3"/>
      <c r="H769" s="3"/>
      <c r="I769" s="7"/>
      <c r="J769" s="6" t="s">
        <v>222</v>
      </c>
      <c r="K769" s="4" t="s">
        <v>222</v>
      </c>
      <c r="L769" s="4" t="s">
        <v>222</v>
      </c>
      <c r="M769" s="4" t="s">
        <v>222</v>
      </c>
      <c r="N769" s="4" t="s">
        <v>222</v>
      </c>
      <c r="O769" s="4" t="s">
        <v>222</v>
      </c>
      <c r="P769" s="9"/>
      <c r="Q769" s="9"/>
      <c r="R769" s="87" t="s">
        <v>222</v>
      </c>
      <c r="S769" s="11" t="s">
        <v>222</v>
      </c>
      <c r="T769" s="12"/>
      <c r="U769" s="13"/>
      <c r="V769" s="12"/>
      <c r="W769" s="13"/>
      <c r="X769" s="12"/>
      <c r="Y769" s="14"/>
      <c r="Z769" s="14"/>
      <c r="AA769" s="14"/>
      <c r="AB769" s="14"/>
      <c r="AC769" s="14"/>
      <c r="AD769" s="14"/>
      <c r="AE769" s="14"/>
      <c r="AF769" s="3"/>
      <c r="AG769" s="3"/>
    </row>
    <row r="770" ht="13.5" customHeight="1">
      <c r="A770" s="3"/>
      <c r="B770" s="15"/>
      <c r="C770" s="3"/>
      <c r="D770" s="4"/>
      <c r="E770" s="5"/>
      <c r="F770" s="6"/>
      <c r="G770" s="3"/>
      <c r="H770" s="3"/>
      <c r="I770" s="7"/>
      <c r="J770" s="6" t="s">
        <v>222</v>
      </c>
      <c r="K770" s="4" t="s">
        <v>222</v>
      </c>
      <c r="L770" s="4" t="s">
        <v>222</v>
      </c>
      <c r="M770" s="4" t="s">
        <v>222</v>
      </c>
      <c r="N770" s="4" t="s">
        <v>222</v>
      </c>
      <c r="O770" s="4" t="s">
        <v>222</v>
      </c>
      <c r="P770" s="9"/>
      <c r="Q770" s="9"/>
      <c r="R770" s="87" t="s">
        <v>222</v>
      </c>
      <c r="S770" s="11" t="s">
        <v>222</v>
      </c>
      <c r="T770" s="12"/>
      <c r="U770" s="13"/>
      <c r="V770" s="12"/>
      <c r="W770" s="13"/>
      <c r="X770" s="12"/>
      <c r="Y770" s="14"/>
      <c r="Z770" s="14"/>
      <c r="AA770" s="14"/>
      <c r="AB770" s="14"/>
      <c r="AC770" s="14"/>
      <c r="AD770" s="14"/>
      <c r="AE770" s="14"/>
      <c r="AF770" s="3"/>
      <c r="AG770" s="3"/>
    </row>
    <row r="771" ht="13.5" customHeight="1">
      <c r="A771" s="3"/>
      <c r="B771" s="15"/>
      <c r="C771" s="3"/>
      <c r="D771" s="4"/>
      <c r="E771" s="5"/>
      <c r="F771" s="6"/>
      <c r="G771" s="3"/>
      <c r="H771" s="3"/>
      <c r="I771" s="7"/>
      <c r="J771" s="6" t="s">
        <v>222</v>
      </c>
      <c r="K771" s="4" t="s">
        <v>222</v>
      </c>
      <c r="L771" s="4" t="s">
        <v>222</v>
      </c>
      <c r="M771" s="4" t="s">
        <v>222</v>
      </c>
      <c r="N771" s="4" t="s">
        <v>222</v>
      </c>
      <c r="O771" s="4" t="s">
        <v>222</v>
      </c>
      <c r="P771" s="9"/>
      <c r="Q771" s="9"/>
      <c r="R771" s="87" t="s">
        <v>222</v>
      </c>
      <c r="S771" s="11" t="s">
        <v>222</v>
      </c>
      <c r="T771" s="12"/>
      <c r="U771" s="13"/>
      <c r="V771" s="12"/>
      <c r="W771" s="13"/>
      <c r="X771" s="12"/>
      <c r="Y771" s="14"/>
      <c r="Z771" s="14"/>
      <c r="AA771" s="14"/>
      <c r="AB771" s="14"/>
      <c r="AC771" s="14"/>
      <c r="AD771" s="14"/>
      <c r="AE771" s="14"/>
      <c r="AF771" s="3"/>
      <c r="AG771" s="3"/>
    </row>
    <row r="772" ht="13.5" customHeight="1">
      <c r="A772" s="3"/>
      <c r="B772" s="15"/>
      <c r="C772" s="3"/>
      <c r="D772" s="4"/>
      <c r="E772" s="5"/>
      <c r="F772" s="6"/>
      <c r="G772" s="3"/>
      <c r="H772" s="3"/>
      <c r="I772" s="7"/>
      <c r="J772" s="6" t="s">
        <v>222</v>
      </c>
      <c r="K772" s="4" t="s">
        <v>222</v>
      </c>
      <c r="L772" s="4" t="s">
        <v>222</v>
      </c>
      <c r="M772" s="4" t="s">
        <v>222</v>
      </c>
      <c r="N772" s="4" t="s">
        <v>222</v>
      </c>
      <c r="O772" s="4" t="s">
        <v>222</v>
      </c>
      <c r="P772" s="9"/>
      <c r="Q772" s="9"/>
      <c r="R772" s="87" t="s">
        <v>222</v>
      </c>
      <c r="S772" s="11" t="s">
        <v>222</v>
      </c>
      <c r="T772" s="12"/>
      <c r="U772" s="13"/>
      <c r="V772" s="12"/>
      <c r="W772" s="13"/>
      <c r="X772" s="12"/>
      <c r="Y772" s="14"/>
      <c r="Z772" s="14"/>
      <c r="AA772" s="14"/>
      <c r="AB772" s="14"/>
      <c r="AC772" s="14"/>
      <c r="AD772" s="14"/>
      <c r="AE772" s="14"/>
      <c r="AF772" s="3"/>
      <c r="AG772" s="3"/>
    </row>
    <row r="773" ht="13.5" customHeight="1">
      <c r="A773" s="3"/>
      <c r="B773" s="15"/>
      <c r="C773" s="3"/>
      <c r="D773" s="4"/>
      <c r="E773" s="5"/>
      <c r="F773" s="6"/>
      <c r="G773" s="3"/>
      <c r="H773" s="3"/>
      <c r="I773" s="7"/>
      <c r="J773" s="6" t="s">
        <v>222</v>
      </c>
      <c r="K773" s="4" t="s">
        <v>222</v>
      </c>
      <c r="L773" s="4" t="s">
        <v>222</v>
      </c>
      <c r="M773" s="4" t="s">
        <v>222</v>
      </c>
      <c r="N773" s="4" t="s">
        <v>222</v>
      </c>
      <c r="O773" s="4" t="s">
        <v>222</v>
      </c>
      <c r="P773" s="9"/>
      <c r="Q773" s="9"/>
      <c r="R773" s="87" t="s">
        <v>222</v>
      </c>
      <c r="S773" s="11" t="s">
        <v>222</v>
      </c>
      <c r="T773" s="12"/>
      <c r="U773" s="13"/>
      <c r="V773" s="12"/>
      <c r="W773" s="13"/>
      <c r="X773" s="12"/>
      <c r="Y773" s="14"/>
      <c r="Z773" s="14"/>
      <c r="AA773" s="14"/>
      <c r="AB773" s="14"/>
      <c r="AC773" s="14"/>
      <c r="AD773" s="14"/>
      <c r="AE773" s="14"/>
      <c r="AF773" s="3"/>
      <c r="AG773" s="3"/>
    </row>
    <row r="774" ht="13.5" customHeight="1">
      <c r="A774" s="3"/>
      <c r="B774" s="15"/>
      <c r="C774" s="3"/>
      <c r="D774" s="4"/>
      <c r="E774" s="5"/>
      <c r="F774" s="6"/>
      <c r="G774" s="3"/>
      <c r="H774" s="3"/>
      <c r="I774" s="7"/>
      <c r="J774" s="6" t="s">
        <v>222</v>
      </c>
      <c r="K774" s="4" t="s">
        <v>222</v>
      </c>
      <c r="L774" s="4" t="s">
        <v>222</v>
      </c>
      <c r="M774" s="4" t="s">
        <v>222</v>
      </c>
      <c r="N774" s="4" t="s">
        <v>222</v>
      </c>
      <c r="O774" s="4" t="s">
        <v>222</v>
      </c>
      <c r="P774" s="9"/>
      <c r="Q774" s="9"/>
      <c r="R774" s="87" t="s">
        <v>222</v>
      </c>
      <c r="S774" s="11" t="s">
        <v>222</v>
      </c>
      <c r="T774" s="12"/>
      <c r="U774" s="13"/>
      <c r="V774" s="12"/>
      <c r="W774" s="13"/>
      <c r="X774" s="12"/>
      <c r="Y774" s="14"/>
      <c r="Z774" s="14"/>
      <c r="AA774" s="14"/>
      <c r="AB774" s="14"/>
      <c r="AC774" s="14"/>
      <c r="AD774" s="14"/>
      <c r="AE774" s="14"/>
      <c r="AF774" s="3"/>
      <c r="AG774" s="3"/>
    </row>
    <row r="775" ht="13.5" customHeight="1">
      <c r="A775" s="3"/>
      <c r="B775" s="15"/>
      <c r="C775" s="3"/>
      <c r="D775" s="4"/>
      <c r="E775" s="5"/>
      <c r="F775" s="6"/>
      <c r="G775" s="3"/>
      <c r="H775" s="3"/>
      <c r="I775" s="7"/>
      <c r="J775" s="6" t="s">
        <v>222</v>
      </c>
      <c r="K775" s="4" t="s">
        <v>222</v>
      </c>
      <c r="L775" s="4" t="s">
        <v>222</v>
      </c>
      <c r="M775" s="4" t="s">
        <v>222</v>
      </c>
      <c r="N775" s="4" t="s">
        <v>222</v>
      </c>
      <c r="O775" s="4" t="s">
        <v>222</v>
      </c>
      <c r="P775" s="9"/>
      <c r="Q775" s="9"/>
      <c r="R775" s="87" t="s">
        <v>222</v>
      </c>
      <c r="S775" s="11" t="s">
        <v>222</v>
      </c>
      <c r="T775" s="12"/>
      <c r="U775" s="13"/>
      <c r="V775" s="12"/>
      <c r="W775" s="13"/>
      <c r="X775" s="12"/>
      <c r="Y775" s="14"/>
      <c r="Z775" s="14"/>
      <c r="AA775" s="14"/>
      <c r="AB775" s="14"/>
      <c r="AC775" s="14"/>
      <c r="AD775" s="14"/>
      <c r="AE775" s="14"/>
      <c r="AF775" s="3"/>
      <c r="AG775" s="3"/>
    </row>
    <row r="776" ht="13.5" customHeight="1">
      <c r="A776" s="3"/>
      <c r="B776" s="15"/>
      <c r="C776" s="3"/>
      <c r="D776" s="4"/>
      <c r="E776" s="5"/>
      <c r="F776" s="6"/>
      <c r="G776" s="3"/>
      <c r="H776" s="3"/>
      <c r="I776" s="7"/>
      <c r="J776" s="6" t="s">
        <v>222</v>
      </c>
      <c r="K776" s="4" t="s">
        <v>222</v>
      </c>
      <c r="L776" s="4" t="s">
        <v>222</v>
      </c>
      <c r="M776" s="4" t="s">
        <v>222</v>
      </c>
      <c r="N776" s="4" t="s">
        <v>222</v>
      </c>
      <c r="O776" s="4" t="s">
        <v>222</v>
      </c>
      <c r="P776" s="9"/>
      <c r="Q776" s="9"/>
      <c r="R776" s="87" t="s">
        <v>222</v>
      </c>
      <c r="S776" s="11" t="s">
        <v>222</v>
      </c>
      <c r="T776" s="12"/>
      <c r="U776" s="13"/>
      <c r="V776" s="12"/>
      <c r="W776" s="13"/>
      <c r="X776" s="12"/>
      <c r="Y776" s="14"/>
      <c r="Z776" s="14"/>
      <c r="AA776" s="14"/>
      <c r="AB776" s="14"/>
      <c r="AC776" s="14"/>
      <c r="AD776" s="14"/>
      <c r="AE776" s="14"/>
      <c r="AF776" s="3"/>
      <c r="AG776" s="3"/>
    </row>
    <row r="777" ht="13.5" customHeight="1">
      <c r="A777" s="3"/>
      <c r="B777" s="15"/>
      <c r="C777" s="3"/>
      <c r="D777" s="4"/>
      <c r="E777" s="5"/>
      <c r="F777" s="6"/>
      <c r="G777" s="3"/>
      <c r="H777" s="3"/>
      <c r="I777" s="7"/>
      <c r="J777" s="6" t="s">
        <v>222</v>
      </c>
      <c r="K777" s="4" t="s">
        <v>222</v>
      </c>
      <c r="L777" s="4" t="s">
        <v>222</v>
      </c>
      <c r="M777" s="4" t="s">
        <v>222</v>
      </c>
      <c r="N777" s="4" t="s">
        <v>222</v>
      </c>
      <c r="O777" s="4" t="s">
        <v>222</v>
      </c>
      <c r="P777" s="9"/>
      <c r="Q777" s="9"/>
      <c r="R777" s="87" t="s">
        <v>222</v>
      </c>
      <c r="S777" s="11" t="s">
        <v>222</v>
      </c>
      <c r="T777" s="12"/>
      <c r="U777" s="13"/>
      <c r="V777" s="12"/>
      <c r="W777" s="13"/>
      <c r="X777" s="12"/>
      <c r="Y777" s="14"/>
      <c r="Z777" s="14"/>
      <c r="AA777" s="14"/>
      <c r="AB777" s="14"/>
      <c r="AC777" s="14"/>
      <c r="AD777" s="14"/>
      <c r="AE777" s="14"/>
      <c r="AF777" s="3"/>
      <c r="AG777" s="3"/>
    </row>
    <row r="778" ht="13.5" customHeight="1">
      <c r="A778" s="3"/>
      <c r="B778" s="15"/>
      <c r="C778" s="3"/>
      <c r="D778" s="4"/>
      <c r="E778" s="5"/>
      <c r="F778" s="6"/>
      <c r="G778" s="3"/>
      <c r="H778" s="3"/>
      <c r="I778" s="7"/>
      <c r="J778" s="6" t="s">
        <v>222</v>
      </c>
      <c r="K778" s="4" t="s">
        <v>222</v>
      </c>
      <c r="L778" s="4" t="s">
        <v>222</v>
      </c>
      <c r="M778" s="4" t="s">
        <v>222</v>
      </c>
      <c r="N778" s="4" t="s">
        <v>222</v>
      </c>
      <c r="O778" s="4" t="s">
        <v>222</v>
      </c>
      <c r="P778" s="9"/>
      <c r="Q778" s="9"/>
      <c r="R778" s="87" t="s">
        <v>222</v>
      </c>
      <c r="S778" s="11" t="s">
        <v>222</v>
      </c>
      <c r="T778" s="12"/>
      <c r="U778" s="13"/>
      <c r="V778" s="12"/>
      <c r="W778" s="13"/>
      <c r="X778" s="12"/>
      <c r="Y778" s="14"/>
      <c r="Z778" s="14"/>
      <c r="AA778" s="14"/>
      <c r="AB778" s="14"/>
      <c r="AC778" s="14"/>
      <c r="AD778" s="14"/>
      <c r="AE778" s="14"/>
      <c r="AF778" s="3"/>
      <c r="AG778" s="3"/>
    </row>
    <row r="779" ht="13.5" customHeight="1">
      <c r="A779" s="3"/>
      <c r="B779" s="15"/>
      <c r="C779" s="3"/>
      <c r="D779" s="4"/>
      <c r="E779" s="5"/>
      <c r="F779" s="6"/>
      <c r="G779" s="3"/>
      <c r="H779" s="3"/>
      <c r="I779" s="7"/>
      <c r="J779" s="6" t="s">
        <v>222</v>
      </c>
      <c r="K779" s="4" t="s">
        <v>222</v>
      </c>
      <c r="L779" s="4" t="s">
        <v>222</v>
      </c>
      <c r="M779" s="4" t="s">
        <v>222</v>
      </c>
      <c r="N779" s="4" t="s">
        <v>222</v>
      </c>
      <c r="O779" s="4" t="s">
        <v>222</v>
      </c>
      <c r="P779" s="9"/>
      <c r="Q779" s="9"/>
      <c r="R779" s="87" t="s">
        <v>222</v>
      </c>
      <c r="S779" s="11" t="s">
        <v>222</v>
      </c>
      <c r="T779" s="12"/>
      <c r="U779" s="13"/>
      <c r="V779" s="12"/>
      <c r="W779" s="13"/>
      <c r="X779" s="12"/>
      <c r="Y779" s="14"/>
      <c r="Z779" s="14"/>
      <c r="AA779" s="14"/>
      <c r="AB779" s="14"/>
      <c r="AC779" s="14"/>
      <c r="AD779" s="14"/>
      <c r="AE779" s="14"/>
      <c r="AF779" s="3"/>
      <c r="AG779" s="3"/>
    </row>
    <row r="780" ht="13.5" customHeight="1">
      <c r="A780" s="3"/>
      <c r="B780" s="15"/>
      <c r="C780" s="3"/>
      <c r="D780" s="4"/>
      <c r="E780" s="5"/>
      <c r="F780" s="6"/>
      <c r="G780" s="3"/>
      <c r="H780" s="3"/>
      <c r="I780" s="7"/>
      <c r="J780" s="6" t="s">
        <v>222</v>
      </c>
      <c r="K780" s="4" t="s">
        <v>222</v>
      </c>
      <c r="L780" s="4" t="s">
        <v>222</v>
      </c>
      <c r="M780" s="4" t="s">
        <v>222</v>
      </c>
      <c r="N780" s="4" t="s">
        <v>222</v>
      </c>
      <c r="O780" s="4" t="s">
        <v>222</v>
      </c>
      <c r="P780" s="9"/>
      <c r="Q780" s="9"/>
      <c r="R780" s="87" t="s">
        <v>222</v>
      </c>
      <c r="S780" s="11" t="s">
        <v>222</v>
      </c>
      <c r="T780" s="12"/>
      <c r="U780" s="13"/>
      <c r="V780" s="12"/>
      <c r="W780" s="13"/>
      <c r="X780" s="12"/>
      <c r="Y780" s="14"/>
      <c r="Z780" s="14"/>
      <c r="AA780" s="14"/>
      <c r="AB780" s="14"/>
      <c r="AC780" s="14"/>
      <c r="AD780" s="14"/>
      <c r="AE780" s="14"/>
      <c r="AF780" s="3"/>
      <c r="AG780" s="3"/>
    </row>
    <row r="781" ht="13.5" customHeight="1">
      <c r="A781" s="3"/>
      <c r="B781" s="15"/>
      <c r="C781" s="3"/>
      <c r="D781" s="4"/>
      <c r="E781" s="5"/>
      <c r="F781" s="6"/>
      <c r="G781" s="3"/>
      <c r="H781" s="3"/>
      <c r="I781" s="7"/>
      <c r="J781" s="6" t="s">
        <v>222</v>
      </c>
      <c r="K781" s="4" t="s">
        <v>222</v>
      </c>
      <c r="L781" s="4" t="s">
        <v>222</v>
      </c>
      <c r="M781" s="4" t="s">
        <v>222</v>
      </c>
      <c r="N781" s="4" t="s">
        <v>222</v>
      </c>
      <c r="O781" s="4" t="s">
        <v>222</v>
      </c>
      <c r="P781" s="9"/>
      <c r="Q781" s="9"/>
      <c r="R781" s="87" t="s">
        <v>222</v>
      </c>
      <c r="S781" s="11" t="s">
        <v>222</v>
      </c>
      <c r="T781" s="12"/>
      <c r="U781" s="13"/>
      <c r="V781" s="12"/>
      <c r="W781" s="13"/>
      <c r="X781" s="12"/>
      <c r="Y781" s="14"/>
      <c r="Z781" s="14"/>
      <c r="AA781" s="14"/>
      <c r="AB781" s="14"/>
      <c r="AC781" s="14"/>
      <c r="AD781" s="14"/>
      <c r="AE781" s="14"/>
      <c r="AF781" s="3"/>
      <c r="AG781" s="3"/>
    </row>
    <row r="782" ht="13.5" customHeight="1">
      <c r="A782" s="3"/>
      <c r="B782" s="15"/>
      <c r="C782" s="3"/>
      <c r="D782" s="4"/>
      <c r="E782" s="5"/>
      <c r="F782" s="6"/>
      <c r="G782" s="3"/>
      <c r="H782" s="3"/>
      <c r="I782" s="7"/>
      <c r="J782" s="6" t="s">
        <v>222</v>
      </c>
      <c r="K782" s="4" t="s">
        <v>222</v>
      </c>
      <c r="L782" s="4" t="s">
        <v>222</v>
      </c>
      <c r="M782" s="4" t="s">
        <v>222</v>
      </c>
      <c r="N782" s="4" t="s">
        <v>222</v>
      </c>
      <c r="O782" s="4" t="s">
        <v>222</v>
      </c>
      <c r="P782" s="9"/>
      <c r="Q782" s="9"/>
      <c r="R782" s="87" t="s">
        <v>222</v>
      </c>
      <c r="S782" s="11" t="s">
        <v>222</v>
      </c>
      <c r="T782" s="12"/>
      <c r="U782" s="13"/>
      <c r="V782" s="12"/>
      <c r="W782" s="13"/>
      <c r="X782" s="12"/>
      <c r="Y782" s="14"/>
      <c r="Z782" s="14"/>
      <c r="AA782" s="14"/>
      <c r="AB782" s="14"/>
      <c r="AC782" s="14"/>
      <c r="AD782" s="14"/>
      <c r="AE782" s="14"/>
      <c r="AF782" s="3"/>
      <c r="AG782" s="3"/>
    </row>
    <row r="783" ht="13.5" customHeight="1">
      <c r="A783" s="3"/>
      <c r="B783" s="15"/>
      <c r="C783" s="3"/>
      <c r="D783" s="4"/>
      <c r="E783" s="5"/>
      <c r="F783" s="6"/>
      <c r="G783" s="3"/>
      <c r="H783" s="3"/>
      <c r="I783" s="7"/>
      <c r="J783" s="6" t="s">
        <v>222</v>
      </c>
      <c r="K783" s="4" t="s">
        <v>222</v>
      </c>
      <c r="L783" s="4" t="s">
        <v>222</v>
      </c>
      <c r="M783" s="4" t="s">
        <v>222</v>
      </c>
      <c r="N783" s="4" t="s">
        <v>222</v>
      </c>
      <c r="O783" s="4" t="s">
        <v>222</v>
      </c>
      <c r="P783" s="9"/>
      <c r="Q783" s="9"/>
      <c r="R783" s="87" t="s">
        <v>222</v>
      </c>
      <c r="S783" s="11" t="s">
        <v>222</v>
      </c>
      <c r="T783" s="12"/>
      <c r="U783" s="13"/>
      <c r="V783" s="12"/>
      <c r="W783" s="13"/>
      <c r="X783" s="12"/>
      <c r="Y783" s="14"/>
      <c r="Z783" s="14"/>
      <c r="AA783" s="14"/>
      <c r="AB783" s="14"/>
      <c r="AC783" s="14"/>
      <c r="AD783" s="14"/>
      <c r="AE783" s="14"/>
      <c r="AF783" s="3"/>
      <c r="AG783" s="3"/>
    </row>
    <row r="784" ht="13.5" customHeight="1">
      <c r="A784" s="3"/>
      <c r="B784" s="15"/>
      <c r="C784" s="3"/>
      <c r="D784" s="4"/>
      <c r="E784" s="5"/>
      <c r="F784" s="6"/>
      <c r="G784" s="3"/>
      <c r="H784" s="3"/>
      <c r="I784" s="7"/>
      <c r="J784" s="6" t="s">
        <v>222</v>
      </c>
      <c r="K784" s="4" t="s">
        <v>222</v>
      </c>
      <c r="L784" s="4" t="s">
        <v>222</v>
      </c>
      <c r="M784" s="4" t="s">
        <v>222</v>
      </c>
      <c r="N784" s="4" t="s">
        <v>222</v>
      </c>
      <c r="O784" s="4" t="s">
        <v>222</v>
      </c>
      <c r="P784" s="9"/>
      <c r="Q784" s="9"/>
      <c r="R784" s="87" t="s">
        <v>222</v>
      </c>
      <c r="S784" s="11" t="s">
        <v>222</v>
      </c>
      <c r="T784" s="12"/>
      <c r="U784" s="13"/>
      <c r="V784" s="12"/>
      <c r="W784" s="13"/>
      <c r="X784" s="12"/>
      <c r="Y784" s="14"/>
      <c r="Z784" s="14"/>
      <c r="AA784" s="14"/>
      <c r="AB784" s="14"/>
      <c r="AC784" s="14"/>
      <c r="AD784" s="14"/>
      <c r="AE784" s="14"/>
      <c r="AF784" s="3"/>
      <c r="AG784" s="3"/>
    </row>
    <row r="785" ht="13.5" customHeight="1">
      <c r="A785" s="3"/>
      <c r="B785" s="15"/>
      <c r="C785" s="3"/>
      <c r="D785" s="4"/>
      <c r="E785" s="5"/>
      <c r="F785" s="6"/>
      <c r="G785" s="3"/>
      <c r="H785" s="3"/>
      <c r="I785" s="7"/>
      <c r="J785" s="6" t="s">
        <v>222</v>
      </c>
      <c r="K785" s="4" t="s">
        <v>222</v>
      </c>
      <c r="L785" s="4" t="s">
        <v>222</v>
      </c>
      <c r="M785" s="4" t="s">
        <v>222</v>
      </c>
      <c r="N785" s="4" t="s">
        <v>222</v>
      </c>
      <c r="O785" s="4" t="s">
        <v>222</v>
      </c>
      <c r="P785" s="9"/>
      <c r="Q785" s="9"/>
      <c r="R785" s="87" t="s">
        <v>222</v>
      </c>
      <c r="S785" s="11" t="s">
        <v>222</v>
      </c>
      <c r="T785" s="12"/>
      <c r="U785" s="13"/>
      <c r="V785" s="12"/>
      <c r="W785" s="13"/>
      <c r="X785" s="12"/>
      <c r="Y785" s="14"/>
      <c r="Z785" s="14"/>
      <c r="AA785" s="14"/>
      <c r="AB785" s="14"/>
      <c r="AC785" s="14"/>
      <c r="AD785" s="14"/>
      <c r="AE785" s="14"/>
      <c r="AF785" s="3"/>
      <c r="AG785" s="3"/>
    </row>
    <row r="786" ht="13.5" customHeight="1">
      <c r="A786" s="3"/>
      <c r="B786" s="15"/>
      <c r="C786" s="3"/>
      <c r="D786" s="4"/>
      <c r="E786" s="5"/>
      <c r="F786" s="6"/>
      <c r="G786" s="3"/>
      <c r="H786" s="3"/>
      <c r="I786" s="7"/>
      <c r="J786" s="6" t="s">
        <v>222</v>
      </c>
      <c r="K786" s="4" t="s">
        <v>222</v>
      </c>
      <c r="L786" s="4" t="s">
        <v>222</v>
      </c>
      <c r="M786" s="4" t="s">
        <v>222</v>
      </c>
      <c r="N786" s="4" t="s">
        <v>222</v>
      </c>
      <c r="O786" s="4" t="s">
        <v>222</v>
      </c>
      <c r="P786" s="9"/>
      <c r="Q786" s="9"/>
      <c r="R786" s="87" t="s">
        <v>222</v>
      </c>
      <c r="S786" s="11" t="s">
        <v>222</v>
      </c>
      <c r="T786" s="12"/>
      <c r="U786" s="13"/>
      <c r="V786" s="12"/>
      <c r="W786" s="13"/>
      <c r="X786" s="12"/>
      <c r="Y786" s="14"/>
      <c r="Z786" s="14"/>
      <c r="AA786" s="14"/>
      <c r="AB786" s="14"/>
      <c r="AC786" s="14"/>
      <c r="AD786" s="14"/>
      <c r="AE786" s="14"/>
      <c r="AF786" s="3"/>
      <c r="AG786" s="3"/>
    </row>
    <row r="787" ht="13.5" customHeight="1">
      <c r="A787" s="3"/>
      <c r="B787" s="15"/>
      <c r="C787" s="3"/>
      <c r="D787" s="4"/>
      <c r="E787" s="5"/>
      <c r="F787" s="6"/>
      <c r="G787" s="3"/>
      <c r="H787" s="3"/>
      <c r="I787" s="7"/>
      <c r="J787" s="6" t="s">
        <v>222</v>
      </c>
      <c r="K787" s="4" t="s">
        <v>222</v>
      </c>
      <c r="L787" s="4" t="s">
        <v>222</v>
      </c>
      <c r="M787" s="4" t="s">
        <v>222</v>
      </c>
      <c r="N787" s="4" t="s">
        <v>222</v>
      </c>
      <c r="O787" s="4" t="s">
        <v>222</v>
      </c>
      <c r="P787" s="9"/>
      <c r="Q787" s="9"/>
      <c r="R787" s="87" t="s">
        <v>222</v>
      </c>
      <c r="S787" s="11" t="s">
        <v>222</v>
      </c>
      <c r="T787" s="12"/>
      <c r="U787" s="13"/>
      <c r="V787" s="12"/>
      <c r="W787" s="13"/>
      <c r="X787" s="12"/>
      <c r="Y787" s="14"/>
      <c r="Z787" s="14"/>
      <c r="AA787" s="14"/>
      <c r="AB787" s="14"/>
      <c r="AC787" s="14"/>
      <c r="AD787" s="14"/>
      <c r="AE787" s="14"/>
      <c r="AF787" s="3"/>
      <c r="AG787" s="3"/>
    </row>
    <row r="788" ht="13.5" customHeight="1">
      <c r="A788" s="3"/>
      <c r="B788" s="15"/>
      <c r="C788" s="3"/>
      <c r="D788" s="4"/>
      <c r="E788" s="5"/>
      <c r="F788" s="6"/>
      <c r="G788" s="3"/>
      <c r="H788" s="3"/>
      <c r="I788" s="7"/>
      <c r="J788" s="6" t="s">
        <v>222</v>
      </c>
      <c r="K788" s="4" t="s">
        <v>222</v>
      </c>
      <c r="L788" s="4" t="s">
        <v>222</v>
      </c>
      <c r="M788" s="4" t="s">
        <v>222</v>
      </c>
      <c r="N788" s="4" t="s">
        <v>222</v>
      </c>
      <c r="O788" s="4" t="s">
        <v>222</v>
      </c>
      <c r="P788" s="9"/>
      <c r="Q788" s="9"/>
      <c r="R788" s="87" t="s">
        <v>222</v>
      </c>
      <c r="S788" s="11" t="s">
        <v>222</v>
      </c>
      <c r="T788" s="12"/>
      <c r="U788" s="13"/>
      <c r="V788" s="12"/>
      <c r="W788" s="13"/>
      <c r="X788" s="12"/>
      <c r="Y788" s="14"/>
      <c r="Z788" s="14"/>
      <c r="AA788" s="14"/>
      <c r="AB788" s="14"/>
      <c r="AC788" s="14"/>
      <c r="AD788" s="14"/>
      <c r="AE788" s="14"/>
      <c r="AF788" s="3"/>
      <c r="AG788" s="3"/>
    </row>
    <row r="789" ht="13.5" customHeight="1">
      <c r="A789" s="3"/>
      <c r="B789" s="15"/>
      <c r="C789" s="3"/>
      <c r="D789" s="4"/>
      <c r="E789" s="5"/>
      <c r="F789" s="6"/>
      <c r="G789" s="3"/>
      <c r="H789" s="3"/>
      <c r="I789" s="7"/>
      <c r="J789" s="6" t="s">
        <v>222</v>
      </c>
      <c r="K789" s="4" t="s">
        <v>222</v>
      </c>
      <c r="L789" s="4" t="s">
        <v>222</v>
      </c>
      <c r="M789" s="4" t="s">
        <v>222</v>
      </c>
      <c r="N789" s="4" t="s">
        <v>222</v>
      </c>
      <c r="O789" s="4" t="s">
        <v>222</v>
      </c>
      <c r="P789" s="9"/>
      <c r="Q789" s="9"/>
      <c r="R789" s="87" t="s">
        <v>222</v>
      </c>
      <c r="S789" s="11" t="s">
        <v>222</v>
      </c>
      <c r="T789" s="12"/>
      <c r="U789" s="13"/>
      <c r="V789" s="12"/>
      <c r="W789" s="13"/>
      <c r="X789" s="12"/>
      <c r="Y789" s="14"/>
      <c r="Z789" s="14"/>
      <c r="AA789" s="14"/>
      <c r="AB789" s="14"/>
      <c r="AC789" s="14"/>
      <c r="AD789" s="14"/>
      <c r="AE789" s="14"/>
      <c r="AF789" s="3"/>
      <c r="AG789" s="3"/>
    </row>
    <row r="790" ht="13.5" customHeight="1">
      <c r="A790" s="3"/>
      <c r="B790" s="15"/>
      <c r="C790" s="3"/>
      <c r="D790" s="4"/>
      <c r="E790" s="5"/>
      <c r="F790" s="6"/>
      <c r="G790" s="3"/>
      <c r="H790" s="3"/>
      <c r="I790" s="7"/>
      <c r="J790" s="6" t="s">
        <v>222</v>
      </c>
      <c r="K790" s="4" t="s">
        <v>222</v>
      </c>
      <c r="L790" s="4" t="s">
        <v>222</v>
      </c>
      <c r="M790" s="4" t="s">
        <v>222</v>
      </c>
      <c r="N790" s="4" t="s">
        <v>222</v>
      </c>
      <c r="O790" s="4" t="s">
        <v>222</v>
      </c>
      <c r="P790" s="9"/>
      <c r="Q790" s="9"/>
      <c r="R790" s="87" t="s">
        <v>222</v>
      </c>
      <c r="S790" s="11" t="s">
        <v>222</v>
      </c>
      <c r="T790" s="12"/>
      <c r="U790" s="13"/>
      <c r="V790" s="12"/>
      <c r="W790" s="13"/>
      <c r="X790" s="12"/>
      <c r="Y790" s="14"/>
      <c r="Z790" s="14"/>
      <c r="AA790" s="14"/>
      <c r="AB790" s="14"/>
      <c r="AC790" s="14"/>
      <c r="AD790" s="14"/>
      <c r="AE790" s="14"/>
      <c r="AF790" s="3"/>
      <c r="AG790" s="3"/>
    </row>
    <row r="791" ht="13.5" customHeight="1">
      <c r="A791" s="3"/>
      <c r="B791" s="15"/>
      <c r="C791" s="3"/>
      <c r="D791" s="4"/>
      <c r="E791" s="5"/>
      <c r="F791" s="6"/>
      <c r="G791" s="3"/>
      <c r="H791" s="3"/>
      <c r="I791" s="7"/>
      <c r="J791" s="6" t="s">
        <v>222</v>
      </c>
      <c r="K791" s="4" t="s">
        <v>222</v>
      </c>
      <c r="L791" s="4" t="s">
        <v>222</v>
      </c>
      <c r="M791" s="4" t="s">
        <v>222</v>
      </c>
      <c r="N791" s="4" t="s">
        <v>222</v>
      </c>
      <c r="O791" s="4" t="s">
        <v>222</v>
      </c>
      <c r="P791" s="9"/>
      <c r="Q791" s="9"/>
      <c r="R791" s="87" t="s">
        <v>222</v>
      </c>
      <c r="S791" s="11" t="s">
        <v>222</v>
      </c>
      <c r="T791" s="12"/>
      <c r="U791" s="13"/>
      <c r="V791" s="12"/>
      <c r="W791" s="13"/>
      <c r="X791" s="12"/>
      <c r="Y791" s="14"/>
      <c r="Z791" s="14"/>
      <c r="AA791" s="14"/>
      <c r="AB791" s="14"/>
      <c r="AC791" s="14"/>
      <c r="AD791" s="14"/>
      <c r="AE791" s="14"/>
      <c r="AF791" s="3"/>
      <c r="AG791" s="3"/>
    </row>
    <row r="792" ht="13.5" customHeight="1">
      <c r="A792" s="3"/>
      <c r="B792" s="15"/>
      <c r="C792" s="3"/>
      <c r="D792" s="4"/>
      <c r="E792" s="5"/>
      <c r="F792" s="6"/>
      <c r="G792" s="3"/>
      <c r="H792" s="3"/>
      <c r="I792" s="7"/>
      <c r="J792" s="6" t="s">
        <v>222</v>
      </c>
      <c r="K792" s="4" t="s">
        <v>222</v>
      </c>
      <c r="L792" s="4" t="s">
        <v>222</v>
      </c>
      <c r="M792" s="4" t="s">
        <v>222</v>
      </c>
      <c r="N792" s="4" t="s">
        <v>222</v>
      </c>
      <c r="O792" s="4" t="s">
        <v>222</v>
      </c>
      <c r="P792" s="9"/>
      <c r="Q792" s="9"/>
      <c r="R792" s="87" t="s">
        <v>222</v>
      </c>
      <c r="S792" s="11" t="s">
        <v>222</v>
      </c>
      <c r="T792" s="12"/>
      <c r="U792" s="13"/>
      <c r="V792" s="12"/>
      <c r="W792" s="13"/>
      <c r="X792" s="12"/>
      <c r="Y792" s="14"/>
      <c r="Z792" s="14"/>
      <c r="AA792" s="14"/>
      <c r="AB792" s="14"/>
      <c r="AC792" s="14"/>
      <c r="AD792" s="14"/>
      <c r="AE792" s="14"/>
      <c r="AF792" s="3"/>
      <c r="AG792" s="3"/>
    </row>
    <row r="793" ht="13.5" customHeight="1">
      <c r="A793" s="3"/>
      <c r="B793" s="15"/>
      <c r="C793" s="3"/>
      <c r="D793" s="4"/>
      <c r="E793" s="5"/>
      <c r="F793" s="6"/>
      <c r="G793" s="3"/>
      <c r="H793" s="3"/>
      <c r="I793" s="7"/>
      <c r="J793" s="6" t="s">
        <v>222</v>
      </c>
      <c r="K793" s="4" t="s">
        <v>222</v>
      </c>
      <c r="L793" s="4" t="s">
        <v>222</v>
      </c>
      <c r="M793" s="4" t="s">
        <v>222</v>
      </c>
      <c r="N793" s="4" t="s">
        <v>222</v>
      </c>
      <c r="O793" s="4" t="s">
        <v>222</v>
      </c>
      <c r="P793" s="9"/>
      <c r="Q793" s="9"/>
      <c r="R793" s="87" t="s">
        <v>222</v>
      </c>
      <c r="S793" s="11" t="s">
        <v>222</v>
      </c>
      <c r="T793" s="12"/>
      <c r="U793" s="13"/>
      <c r="V793" s="12"/>
      <c r="W793" s="13"/>
      <c r="X793" s="12"/>
      <c r="Y793" s="14"/>
      <c r="Z793" s="14"/>
      <c r="AA793" s="14"/>
      <c r="AB793" s="14"/>
      <c r="AC793" s="14"/>
      <c r="AD793" s="14"/>
      <c r="AE793" s="14"/>
      <c r="AF793" s="3"/>
      <c r="AG793" s="3"/>
    </row>
    <row r="794" ht="13.5" customHeight="1">
      <c r="A794" s="3"/>
      <c r="B794" s="15"/>
      <c r="C794" s="3"/>
      <c r="D794" s="4"/>
      <c r="E794" s="5"/>
      <c r="F794" s="6"/>
      <c r="G794" s="3"/>
      <c r="H794" s="3"/>
      <c r="I794" s="7"/>
      <c r="J794" s="6" t="s">
        <v>222</v>
      </c>
      <c r="K794" s="4" t="s">
        <v>222</v>
      </c>
      <c r="L794" s="4" t="s">
        <v>222</v>
      </c>
      <c r="M794" s="4" t="s">
        <v>222</v>
      </c>
      <c r="N794" s="4" t="s">
        <v>222</v>
      </c>
      <c r="O794" s="4" t="s">
        <v>222</v>
      </c>
      <c r="P794" s="9"/>
      <c r="Q794" s="9"/>
      <c r="R794" s="87" t="s">
        <v>222</v>
      </c>
      <c r="S794" s="11" t="s">
        <v>222</v>
      </c>
      <c r="T794" s="12"/>
      <c r="U794" s="13"/>
      <c r="V794" s="12"/>
      <c r="W794" s="13"/>
      <c r="X794" s="12"/>
      <c r="Y794" s="14"/>
      <c r="Z794" s="14"/>
      <c r="AA794" s="14"/>
      <c r="AB794" s="14"/>
      <c r="AC794" s="14"/>
      <c r="AD794" s="14"/>
      <c r="AE794" s="14"/>
      <c r="AF794" s="3"/>
      <c r="AG794" s="3"/>
    </row>
    <row r="795" ht="13.5" customHeight="1">
      <c r="A795" s="3"/>
      <c r="B795" s="15"/>
      <c r="C795" s="3"/>
      <c r="D795" s="4"/>
      <c r="E795" s="5"/>
      <c r="F795" s="6"/>
      <c r="G795" s="3"/>
      <c r="H795" s="3"/>
      <c r="I795" s="7"/>
      <c r="J795" s="6" t="s">
        <v>222</v>
      </c>
      <c r="K795" s="4" t="s">
        <v>222</v>
      </c>
      <c r="L795" s="4" t="s">
        <v>222</v>
      </c>
      <c r="M795" s="4" t="s">
        <v>222</v>
      </c>
      <c r="N795" s="4" t="s">
        <v>222</v>
      </c>
      <c r="O795" s="4" t="s">
        <v>222</v>
      </c>
      <c r="P795" s="9"/>
      <c r="Q795" s="9"/>
      <c r="R795" s="87" t="s">
        <v>222</v>
      </c>
      <c r="S795" s="11" t="s">
        <v>222</v>
      </c>
      <c r="T795" s="12"/>
      <c r="U795" s="13"/>
      <c r="V795" s="12"/>
      <c r="W795" s="13"/>
      <c r="X795" s="12"/>
      <c r="Y795" s="14"/>
      <c r="Z795" s="14"/>
      <c r="AA795" s="14"/>
      <c r="AB795" s="14"/>
      <c r="AC795" s="14"/>
      <c r="AD795" s="14"/>
      <c r="AE795" s="14"/>
      <c r="AF795" s="3"/>
      <c r="AG795" s="3"/>
    </row>
    <row r="796" ht="13.5" customHeight="1">
      <c r="A796" s="3"/>
      <c r="B796" s="15"/>
      <c r="C796" s="3"/>
      <c r="D796" s="4"/>
      <c r="E796" s="5"/>
      <c r="F796" s="6"/>
      <c r="G796" s="3"/>
      <c r="H796" s="3"/>
      <c r="I796" s="7"/>
      <c r="J796" s="6" t="s">
        <v>222</v>
      </c>
      <c r="K796" s="4" t="s">
        <v>222</v>
      </c>
      <c r="L796" s="4" t="s">
        <v>222</v>
      </c>
      <c r="M796" s="4" t="s">
        <v>222</v>
      </c>
      <c r="N796" s="4" t="s">
        <v>222</v>
      </c>
      <c r="O796" s="4" t="s">
        <v>222</v>
      </c>
      <c r="P796" s="9"/>
      <c r="Q796" s="9"/>
      <c r="R796" s="87" t="s">
        <v>222</v>
      </c>
      <c r="S796" s="11" t="s">
        <v>222</v>
      </c>
      <c r="T796" s="12"/>
      <c r="U796" s="13"/>
      <c r="V796" s="12"/>
      <c r="W796" s="13"/>
      <c r="X796" s="12"/>
      <c r="Y796" s="14"/>
      <c r="Z796" s="14"/>
      <c r="AA796" s="14"/>
      <c r="AB796" s="14"/>
      <c r="AC796" s="14"/>
      <c r="AD796" s="14"/>
      <c r="AE796" s="14"/>
      <c r="AF796" s="3"/>
      <c r="AG796" s="3"/>
    </row>
    <row r="797" ht="13.5" customHeight="1">
      <c r="A797" s="3"/>
      <c r="B797" s="15"/>
      <c r="C797" s="3"/>
      <c r="D797" s="4"/>
      <c r="E797" s="5"/>
      <c r="F797" s="6"/>
      <c r="G797" s="3"/>
      <c r="H797" s="3"/>
      <c r="I797" s="7"/>
      <c r="J797" s="6" t="s">
        <v>222</v>
      </c>
      <c r="K797" s="4" t="s">
        <v>222</v>
      </c>
      <c r="L797" s="4" t="s">
        <v>222</v>
      </c>
      <c r="M797" s="4" t="s">
        <v>222</v>
      </c>
      <c r="N797" s="4" t="s">
        <v>222</v>
      </c>
      <c r="O797" s="4" t="s">
        <v>222</v>
      </c>
      <c r="P797" s="9"/>
      <c r="Q797" s="9"/>
      <c r="R797" s="87" t="s">
        <v>222</v>
      </c>
      <c r="S797" s="11" t="s">
        <v>222</v>
      </c>
      <c r="T797" s="12"/>
      <c r="U797" s="13"/>
      <c r="V797" s="12"/>
      <c r="W797" s="13"/>
      <c r="X797" s="12"/>
      <c r="Y797" s="14"/>
      <c r="Z797" s="14"/>
      <c r="AA797" s="14"/>
      <c r="AB797" s="14"/>
      <c r="AC797" s="14"/>
      <c r="AD797" s="14"/>
      <c r="AE797" s="14"/>
      <c r="AF797" s="3"/>
      <c r="AG797" s="3"/>
    </row>
    <row r="798" ht="13.5" customHeight="1">
      <c r="A798" s="3"/>
      <c r="B798" s="15"/>
      <c r="C798" s="3"/>
      <c r="D798" s="4"/>
      <c r="E798" s="5"/>
      <c r="F798" s="6"/>
      <c r="G798" s="3"/>
      <c r="H798" s="3"/>
      <c r="I798" s="7"/>
      <c r="J798" s="6" t="s">
        <v>222</v>
      </c>
      <c r="K798" s="4" t="s">
        <v>222</v>
      </c>
      <c r="L798" s="4" t="s">
        <v>222</v>
      </c>
      <c r="M798" s="4" t="s">
        <v>222</v>
      </c>
      <c r="N798" s="4" t="s">
        <v>222</v>
      </c>
      <c r="O798" s="4" t="s">
        <v>222</v>
      </c>
      <c r="P798" s="9"/>
      <c r="Q798" s="9"/>
      <c r="R798" s="87" t="s">
        <v>222</v>
      </c>
      <c r="S798" s="11" t="s">
        <v>222</v>
      </c>
      <c r="T798" s="12"/>
      <c r="U798" s="13"/>
      <c r="V798" s="12"/>
      <c r="W798" s="13"/>
      <c r="X798" s="12"/>
      <c r="Y798" s="14"/>
      <c r="Z798" s="14"/>
      <c r="AA798" s="14"/>
      <c r="AB798" s="14"/>
      <c r="AC798" s="14"/>
      <c r="AD798" s="14"/>
      <c r="AE798" s="14"/>
      <c r="AF798" s="3"/>
      <c r="AG798" s="3"/>
    </row>
    <row r="799" ht="13.5" customHeight="1">
      <c r="A799" s="3"/>
      <c r="B799" s="15"/>
      <c r="C799" s="3"/>
      <c r="D799" s="4"/>
      <c r="E799" s="5"/>
      <c r="F799" s="6"/>
      <c r="G799" s="3"/>
      <c r="H799" s="3"/>
      <c r="I799" s="7"/>
      <c r="J799" s="6" t="s">
        <v>222</v>
      </c>
      <c r="K799" s="4" t="s">
        <v>222</v>
      </c>
      <c r="L799" s="4" t="s">
        <v>222</v>
      </c>
      <c r="M799" s="4" t="s">
        <v>222</v>
      </c>
      <c r="N799" s="4" t="s">
        <v>222</v>
      </c>
      <c r="O799" s="4" t="s">
        <v>222</v>
      </c>
      <c r="P799" s="9"/>
      <c r="Q799" s="9"/>
      <c r="R799" s="87" t="s">
        <v>222</v>
      </c>
      <c r="S799" s="11" t="s">
        <v>222</v>
      </c>
      <c r="T799" s="12"/>
      <c r="U799" s="13"/>
      <c r="V799" s="12"/>
      <c r="W799" s="13"/>
      <c r="X799" s="12"/>
      <c r="Y799" s="14"/>
      <c r="Z799" s="14"/>
      <c r="AA799" s="14"/>
      <c r="AB799" s="14"/>
      <c r="AC799" s="14"/>
      <c r="AD799" s="14"/>
      <c r="AE799" s="14"/>
      <c r="AF799" s="3"/>
      <c r="AG799" s="3"/>
    </row>
    <row r="800" ht="13.5" customHeight="1">
      <c r="A800" s="3"/>
      <c r="B800" s="15"/>
      <c r="C800" s="3"/>
      <c r="D800" s="4"/>
      <c r="E800" s="5"/>
      <c r="F800" s="6"/>
      <c r="G800" s="3"/>
      <c r="H800" s="3"/>
      <c r="I800" s="7"/>
      <c r="J800" s="6" t="s">
        <v>222</v>
      </c>
      <c r="K800" s="4" t="s">
        <v>222</v>
      </c>
      <c r="L800" s="4" t="s">
        <v>222</v>
      </c>
      <c r="M800" s="4" t="s">
        <v>222</v>
      </c>
      <c r="N800" s="4" t="s">
        <v>222</v>
      </c>
      <c r="O800" s="4" t="s">
        <v>222</v>
      </c>
      <c r="P800" s="9"/>
      <c r="Q800" s="9"/>
      <c r="R800" s="87" t="s">
        <v>222</v>
      </c>
      <c r="S800" s="11" t="s">
        <v>222</v>
      </c>
      <c r="T800" s="12"/>
      <c r="U800" s="13"/>
      <c r="V800" s="12"/>
      <c r="W800" s="13"/>
      <c r="X800" s="12"/>
      <c r="Y800" s="14"/>
      <c r="Z800" s="14"/>
      <c r="AA800" s="14"/>
      <c r="AB800" s="14"/>
      <c r="AC800" s="14"/>
      <c r="AD800" s="14"/>
      <c r="AE800" s="14"/>
      <c r="AF800" s="3"/>
      <c r="AG800" s="3"/>
    </row>
    <row r="801" ht="13.5" customHeight="1">
      <c r="A801" s="3"/>
      <c r="B801" s="15"/>
      <c r="C801" s="3"/>
      <c r="D801" s="4"/>
      <c r="E801" s="5"/>
      <c r="F801" s="6"/>
      <c r="G801" s="3"/>
      <c r="H801" s="3"/>
      <c r="I801" s="7"/>
      <c r="J801" s="6" t="s">
        <v>222</v>
      </c>
      <c r="K801" s="4" t="s">
        <v>222</v>
      </c>
      <c r="L801" s="4" t="s">
        <v>222</v>
      </c>
      <c r="M801" s="4" t="s">
        <v>222</v>
      </c>
      <c r="N801" s="4" t="s">
        <v>222</v>
      </c>
      <c r="O801" s="4" t="s">
        <v>222</v>
      </c>
      <c r="P801" s="9"/>
      <c r="Q801" s="9"/>
      <c r="R801" s="87" t="s">
        <v>222</v>
      </c>
      <c r="S801" s="11" t="s">
        <v>222</v>
      </c>
      <c r="T801" s="12"/>
      <c r="U801" s="13"/>
      <c r="V801" s="12"/>
      <c r="W801" s="13"/>
      <c r="X801" s="12"/>
      <c r="Y801" s="14"/>
      <c r="Z801" s="14"/>
      <c r="AA801" s="14"/>
      <c r="AB801" s="14"/>
      <c r="AC801" s="14"/>
      <c r="AD801" s="14"/>
      <c r="AE801" s="14"/>
      <c r="AF801" s="3"/>
      <c r="AG801" s="3"/>
    </row>
    <row r="802" ht="13.5" customHeight="1">
      <c r="A802" s="3"/>
      <c r="B802" s="15"/>
      <c r="C802" s="3"/>
      <c r="D802" s="4"/>
      <c r="E802" s="5"/>
      <c r="F802" s="6"/>
      <c r="G802" s="3"/>
      <c r="H802" s="3"/>
      <c r="I802" s="7"/>
      <c r="J802" s="6" t="s">
        <v>222</v>
      </c>
      <c r="K802" s="4" t="s">
        <v>222</v>
      </c>
      <c r="L802" s="4" t="s">
        <v>222</v>
      </c>
      <c r="M802" s="4" t="s">
        <v>222</v>
      </c>
      <c r="N802" s="4" t="s">
        <v>222</v>
      </c>
      <c r="O802" s="4" t="s">
        <v>222</v>
      </c>
      <c r="P802" s="9"/>
      <c r="Q802" s="9"/>
      <c r="R802" s="87" t="s">
        <v>222</v>
      </c>
      <c r="S802" s="11" t="s">
        <v>222</v>
      </c>
      <c r="T802" s="12"/>
      <c r="U802" s="13"/>
      <c r="V802" s="12"/>
      <c r="W802" s="13"/>
      <c r="X802" s="12"/>
      <c r="Y802" s="14"/>
      <c r="Z802" s="14"/>
      <c r="AA802" s="14"/>
      <c r="AB802" s="14"/>
      <c r="AC802" s="14"/>
      <c r="AD802" s="14"/>
      <c r="AE802" s="14"/>
      <c r="AF802" s="3"/>
      <c r="AG802" s="3"/>
    </row>
    <row r="803" ht="13.5" customHeight="1">
      <c r="A803" s="3"/>
      <c r="B803" s="15"/>
      <c r="C803" s="3"/>
      <c r="D803" s="4"/>
      <c r="E803" s="5"/>
      <c r="F803" s="6"/>
      <c r="G803" s="3"/>
      <c r="H803" s="3"/>
      <c r="I803" s="7"/>
      <c r="J803" s="6" t="s">
        <v>222</v>
      </c>
      <c r="K803" s="4" t="s">
        <v>222</v>
      </c>
      <c r="L803" s="4" t="s">
        <v>222</v>
      </c>
      <c r="M803" s="4" t="s">
        <v>222</v>
      </c>
      <c r="N803" s="4" t="s">
        <v>222</v>
      </c>
      <c r="O803" s="4" t="s">
        <v>222</v>
      </c>
      <c r="P803" s="9"/>
      <c r="Q803" s="9"/>
      <c r="R803" s="87" t="s">
        <v>222</v>
      </c>
      <c r="S803" s="11" t="s">
        <v>222</v>
      </c>
      <c r="T803" s="12"/>
      <c r="U803" s="13"/>
      <c r="V803" s="12"/>
      <c r="W803" s="13"/>
      <c r="X803" s="12"/>
      <c r="Y803" s="14"/>
      <c r="Z803" s="14"/>
      <c r="AA803" s="14"/>
      <c r="AB803" s="14"/>
      <c r="AC803" s="14"/>
      <c r="AD803" s="14"/>
      <c r="AE803" s="14"/>
      <c r="AF803" s="3"/>
      <c r="AG803" s="3"/>
    </row>
    <row r="804" ht="13.5" customHeight="1">
      <c r="A804" s="3"/>
      <c r="B804" s="15"/>
      <c r="C804" s="3"/>
      <c r="D804" s="4"/>
      <c r="E804" s="5"/>
      <c r="F804" s="6"/>
      <c r="G804" s="3"/>
      <c r="H804" s="3"/>
      <c r="I804" s="7"/>
      <c r="J804" s="6" t="s">
        <v>222</v>
      </c>
      <c r="K804" s="4" t="s">
        <v>222</v>
      </c>
      <c r="L804" s="4" t="s">
        <v>222</v>
      </c>
      <c r="M804" s="4" t="s">
        <v>222</v>
      </c>
      <c r="N804" s="4" t="s">
        <v>222</v>
      </c>
      <c r="O804" s="4" t="s">
        <v>222</v>
      </c>
      <c r="P804" s="9"/>
      <c r="Q804" s="9"/>
      <c r="R804" s="87" t="s">
        <v>222</v>
      </c>
      <c r="S804" s="11" t="s">
        <v>222</v>
      </c>
      <c r="T804" s="12"/>
      <c r="U804" s="13"/>
      <c r="V804" s="12"/>
      <c r="W804" s="13"/>
      <c r="X804" s="12"/>
      <c r="Y804" s="14"/>
      <c r="Z804" s="14"/>
      <c r="AA804" s="14"/>
      <c r="AB804" s="14"/>
      <c r="AC804" s="14"/>
      <c r="AD804" s="14"/>
      <c r="AE804" s="14"/>
      <c r="AF804" s="3"/>
      <c r="AG804" s="3"/>
    </row>
    <row r="805" ht="13.5" customHeight="1">
      <c r="A805" s="3"/>
      <c r="B805" s="15"/>
      <c r="C805" s="3"/>
      <c r="D805" s="4"/>
      <c r="E805" s="5"/>
      <c r="F805" s="6"/>
      <c r="G805" s="3"/>
      <c r="H805" s="3"/>
      <c r="I805" s="7"/>
      <c r="J805" s="6" t="s">
        <v>222</v>
      </c>
      <c r="K805" s="4" t="s">
        <v>222</v>
      </c>
      <c r="L805" s="4" t="s">
        <v>222</v>
      </c>
      <c r="M805" s="4" t="s">
        <v>222</v>
      </c>
      <c r="N805" s="4" t="s">
        <v>222</v>
      </c>
      <c r="O805" s="4" t="s">
        <v>222</v>
      </c>
      <c r="P805" s="9"/>
      <c r="Q805" s="9"/>
      <c r="R805" s="87" t="s">
        <v>222</v>
      </c>
      <c r="S805" s="11" t="s">
        <v>222</v>
      </c>
      <c r="T805" s="12"/>
      <c r="U805" s="13"/>
      <c r="V805" s="12"/>
      <c r="W805" s="13"/>
      <c r="X805" s="12"/>
      <c r="Y805" s="14"/>
      <c r="Z805" s="14"/>
      <c r="AA805" s="14"/>
      <c r="AB805" s="14"/>
      <c r="AC805" s="14"/>
      <c r="AD805" s="14"/>
      <c r="AE805" s="14"/>
      <c r="AF805" s="3"/>
      <c r="AG805" s="3"/>
    </row>
    <row r="806" ht="13.5" customHeight="1">
      <c r="A806" s="3"/>
      <c r="B806" s="15"/>
      <c r="C806" s="3"/>
      <c r="D806" s="4"/>
      <c r="E806" s="5"/>
      <c r="F806" s="6"/>
      <c r="G806" s="3"/>
      <c r="H806" s="3"/>
      <c r="I806" s="7"/>
      <c r="J806" s="6" t="s">
        <v>222</v>
      </c>
      <c r="K806" s="4" t="s">
        <v>222</v>
      </c>
      <c r="L806" s="4" t="s">
        <v>222</v>
      </c>
      <c r="M806" s="4" t="s">
        <v>222</v>
      </c>
      <c r="N806" s="4" t="s">
        <v>222</v>
      </c>
      <c r="O806" s="4" t="s">
        <v>222</v>
      </c>
      <c r="P806" s="9"/>
      <c r="Q806" s="9"/>
      <c r="R806" s="87" t="s">
        <v>222</v>
      </c>
      <c r="S806" s="11" t="s">
        <v>222</v>
      </c>
      <c r="T806" s="12"/>
      <c r="U806" s="13"/>
      <c r="V806" s="12"/>
      <c r="W806" s="13"/>
      <c r="X806" s="12"/>
      <c r="Y806" s="14"/>
      <c r="Z806" s="14"/>
      <c r="AA806" s="14"/>
      <c r="AB806" s="14"/>
      <c r="AC806" s="14"/>
      <c r="AD806" s="14"/>
      <c r="AE806" s="14"/>
      <c r="AF806" s="3"/>
      <c r="AG806" s="3"/>
    </row>
    <row r="807" ht="13.5" customHeight="1">
      <c r="A807" s="3"/>
      <c r="B807" s="15"/>
      <c r="C807" s="3"/>
      <c r="D807" s="4"/>
      <c r="E807" s="5"/>
      <c r="F807" s="6"/>
      <c r="G807" s="3"/>
      <c r="H807" s="3"/>
      <c r="I807" s="7"/>
      <c r="J807" s="6" t="s">
        <v>222</v>
      </c>
      <c r="K807" s="4" t="s">
        <v>222</v>
      </c>
      <c r="L807" s="4" t="s">
        <v>222</v>
      </c>
      <c r="M807" s="4" t="s">
        <v>222</v>
      </c>
      <c r="N807" s="4" t="s">
        <v>222</v>
      </c>
      <c r="O807" s="4" t="s">
        <v>222</v>
      </c>
      <c r="P807" s="9"/>
      <c r="Q807" s="9"/>
      <c r="R807" s="87" t="s">
        <v>222</v>
      </c>
      <c r="S807" s="11" t="s">
        <v>222</v>
      </c>
      <c r="T807" s="12"/>
      <c r="U807" s="13"/>
      <c r="V807" s="12"/>
      <c r="W807" s="13"/>
      <c r="X807" s="12"/>
      <c r="Y807" s="14"/>
      <c r="Z807" s="14"/>
      <c r="AA807" s="14"/>
      <c r="AB807" s="14"/>
      <c r="AC807" s="14"/>
      <c r="AD807" s="14"/>
      <c r="AE807" s="14"/>
      <c r="AF807" s="3"/>
      <c r="AG807" s="3"/>
    </row>
    <row r="808" ht="13.5" customHeight="1">
      <c r="A808" s="3"/>
      <c r="B808" s="15"/>
      <c r="C808" s="3"/>
      <c r="D808" s="4"/>
      <c r="E808" s="5"/>
      <c r="F808" s="6"/>
      <c r="G808" s="3"/>
      <c r="H808" s="3"/>
      <c r="I808" s="7"/>
      <c r="J808" s="6" t="s">
        <v>222</v>
      </c>
      <c r="K808" s="4" t="s">
        <v>222</v>
      </c>
      <c r="L808" s="4" t="s">
        <v>222</v>
      </c>
      <c r="M808" s="4" t="s">
        <v>222</v>
      </c>
      <c r="N808" s="4" t="s">
        <v>222</v>
      </c>
      <c r="O808" s="4" t="s">
        <v>222</v>
      </c>
      <c r="P808" s="9"/>
      <c r="Q808" s="9"/>
      <c r="R808" s="87" t="s">
        <v>222</v>
      </c>
      <c r="S808" s="11" t="s">
        <v>222</v>
      </c>
      <c r="T808" s="12"/>
      <c r="U808" s="13"/>
      <c r="V808" s="12"/>
      <c r="W808" s="13"/>
      <c r="X808" s="12"/>
      <c r="Y808" s="14"/>
      <c r="Z808" s="14"/>
      <c r="AA808" s="14"/>
      <c r="AB808" s="14"/>
      <c r="AC808" s="14"/>
      <c r="AD808" s="14"/>
      <c r="AE808" s="14"/>
      <c r="AF808" s="3"/>
      <c r="AG808" s="3"/>
    </row>
    <row r="809" ht="13.5" customHeight="1">
      <c r="A809" s="3"/>
      <c r="B809" s="15"/>
      <c r="C809" s="3"/>
      <c r="D809" s="4"/>
      <c r="E809" s="5"/>
      <c r="F809" s="6"/>
      <c r="G809" s="3"/>
      <c r="H809" s="3"/>
      <c r="I809" s="7"/>
      <c r="J809" s="6" t="s">
        <v>222</v>
      </c>
      <c r="K809" s="4" t="s">
        <v>222</v>
      </c>
      <c r="L809" s="4" t="s">
        <v>222</v>
      </c>
      <c r="M809" s="4" t="s">
        <v>222</v>
      </c>
      <c r="N809" s="4" t="s">
        <v>222</v>
      </c>
      <c r="O809" s="4" t="s">
        <v>222</v>
      </c>
      <c r="P809" s="9"/>
      <c r="Q809" s="9"/>
      <c r="R809" s="87" t="s">
        <v>222</v>
      </c>
      <c r="S809" s="11" t="s">
        <v>222</v>
      </c>
      <c r="T809" s="12"/>
      <c r="U809" s="13"/>
      <c r="V809" s="12"/>
      <c r="W809" s="13"/>
      <c r="X809" s="12"/>
      <c r="Y809" s="14"/>
      <c r="Z809" s="14"/>
      <c r="AA809" s="14"/>
      <c r="AB809" s="14"/>
      <c r="AC809" s="14"/>
      <c r="AD809" s="14"/>
      <c r="AE809" s="14"/>
      <c r="AF809" s="3"/>
      <c r="AG809" s="3"/>
    </row>
    <row r="810" ht="13.5" customHeight="1">
      <c r="A810" s="3"/>
      <c r="B810" s="15"/>
      <c r="C810" s="3"/>
      <c r="D810" s="4"/>
      <c r="E810" s="5"/>
      <c r="F810" s="6"/>
      <c r="G810" s="3"/>
      <c r="H810" s="3"/>
      <c r="I810" s="7"/>
      <c r="J810" s="6" t="s">
        <v>222</v>
      </c>
      <c r="K810" s="4" t="s">
        <v>222</v>
      </c>
      <c r="L810" s="4" t="s">
        <v>222</v>
      </c>
      <c r="M810" s="4" t="s">
        <v>222</v>
      </c>
      <c r="N810" s="4" t="s">
        <v>222</v>
      </c>
      <c r="O810" s="4" t="s">
        <v>222</v>
      </c>
      <c r="P810" s="9"/>
      <c r="Q810" s="9"/>
      <c r="R810" s="87" t="s">
        <v>222</v>
      </c>
      <c r="S810" s="11" t="s">
        <v>222</v>
      </c>
      <c r="T810" s="12"/>
      <c r="U810" s="13"/>
      <c r="V810" s="12"/>
      <c r="W810" s="13"/>
      <c r="X810" s="12"/>
      <c r="Y810" s="14"/>
      <c r="Z810" s="14"/>
      <c r="AA810" s="14"/>
      <c r="AB810" s="14"/>
      <c r="AC810" s="14"/>
      <c r="AD810" s="14"/>
      <c r="AE810" s="14"/>
      <c r="AF810" s="3"/>
      <c r="AG810" s="3"/>
    </row>
    <row r="811" ht="13.5" customHeight="1">
      <c r="A811" s="3"/>
      <c r="B811" s="15"/>
      <c r="C811" s="3"/>
      <c r="D811" s="4"/>
      <c r="E811" s="5"/>
      <c r="F811" s="6"/>
      <c r="G811" s="3"/>
      <c r="H811" s="3"/>
      <c r="I811" s="7"/>
      <c r="J811" s="6" t="s">
        <v>222</v>
      </c>
      <c r="K811" s="4" t="s">
        <v>222</v>
      </c>
      <c r="L811" s="4" t="s">
        <v>222</v>
      </c>
      <c r="M811" s="4" t="s">
        <v>222</v>
      </c>
      <c r="N811" s="4" t="s">
        <v>222</v>
      </c>
      <c r="O811" s="4" t="s">
        <v>222</v>
      </c>
      <c r="P811" s="9"/>
      <c r="Q811" s="9"/>
      <c r="R811" s="87" t="s">
        <v>222</v>
      </c>
      <c r="S811" s="11" t="s">
        <v>222</v>
      </c>
      <c r="T811" s="12"/>
      <c r="U811" s="13"/>
      <c r="V811" s="12"/>
      <c r="W811" s="13"/>
      <c r="X811" s="12"/>
      <c r="Y811" s="14"/>
      <c r="Z811" s="14"/>
      <c r="AA811" s="14"/>
      <c r="AB811" s="14"/>
      <c r="AC811" s="14"/>
      <c r="AD811" s="14"/>
      <c r="AE811" s="14"/>
      <c r="AF811" s="3"/>
      <c r="AG811" s="3"/>
    </row>
    <row r="812" ht="13.5" customHeight="1">
      <c r="A812" s="3"/>
      <c r="B812" s="15"/>
      <c r="C812" s="3"/>
      <c r="D812" s="4"/>
      <c r="E812" s="5"/>
      <c r="F812" s="6"/>
      <c r="G812" s="3"/>
      <c r="H812" s="3"/>
      <c r="I812" s="7"/>
      <c r="J812" s="6" t="s">
        <v>222</v>
      </c>
      <c r="K812" s="4" t="s">
        <v>222</v>
      </c>
      <c r="L812" s="4" t="s">
        <v>222</v>
      </c>
      <c r="M812" s="4" t="s">
        <v>222</v>
      </c>
      <c r="N812" s="4" t="s">
        <v>222</v>
      </c>
      <c r="O812" s="4" t="s">
        <v>222</v>
      </c>
      <c r="P812" s="9"/>
      <c r="Q812" s="9"/>
      <c r="R812" s="87" t="s">
        <v>222</v>
      </c>
      <c r="S812" s="11" t="s">
        <v>222</v>
      </c>
      <c r="T812" s="12"/>
      <c r="U812" s="13"/>
      <c r="V812" s="12"/>
      <c r="W812" s="13"/>
      <c r="X812" s="12"/>
      <c r="Y812" s="14"/>
      <c r="Z812" s="14"/>
      <c r="AA812" s="14"/>
      <c r="AB812" s="14"/>
      <c r="AC812" s="14"/>
      <c r="AD812" s="14"/>
      <c r="AE812" s="14"/>
      <c r="AF812" s="3"/>
      <c r="AG812" s="3"/>
    </row>
    <row r="813" ht="13.5" customHeight="1">
      <c r="A813" s="3"/>
      <c r="B813" s="15"/>
      <c r="C813" s="3"/>
      <c r="D813" s="4"/>
      <c r="E813" s="5"/>
      <c r="F813" s="6"/>
      <c r="G813" s="3"/>
      <c r="H813" s="3"/>
      <c r="I813" s="7"/>
      <c r="J813" s="6" t="s">
        <v>222</v>
      </c>
      <c r="K813" s="4" t="s">
        <v>222</v>
      </c>
      <c r="L813" s="4" t="s">
        <v>222</v>
      </c>
      <c r="M813" s="4" t="s">
        <v>222</v>
      </c>
      <c r="N813" s="4" t="s">
        <v>222</v>
      </c>
      <c r="O813" s="4" t="s">
        <v>222</v>
      </c>
      <c r="P813" s="9"/>
      <c r="Q813" s="9"/>
      <c r="R813" s="87" t="s">
        <v>222</v>
      </c>
      <c r="S813" s="11" t="s">
        <v>222</v>
      </c>
      <c r="T813" s="12"/>
      <c r="U813" s="13"/>
      <c r="V813" s="12"/>
      <c r="W813" s="13"/>
      <c r="X813" s="12"/>
      <c r="Y813" s="14"/>
      <c r="Z813" s="14"/>
      <c r="AA813" s="14"/>
      <c r="AB813" s="14"/>
      <c r="AC813" s="14"/>
      <c r="AD813" s="14"/>
      <c r="AE813" s="14"/>
      <c r="AF813" s="3"/>
      <c r="AG813" s="3"/>
    </row>
    <row r="814" ht="13.5" customHeight="1">
      <c r="A814" s="3"/>
      <c r="B814" s="15"/>
      <c r="C814" s="3"/>
      <c r="D814" s="4"/>
      <c r="E814" s="5"/>
      <c r="F814" s="6"/>
      <c r="G814" s="3"/>
      <c r="H814" s="3"/>
      <c r="I814" s="7"/>
      <c r="J814" s="6" t="s">
        <v>222</v>
      </c>
      <c r="K814" s="4" t="s">
        <v>222</v>
      </c>
      <c r="L814" s="4" t="s">
        <v>222</v>
      </c>
      <c r="M814" s="4" t="s">
        <v>222</v>
      </c>
      <c r="N814" s="4" t="s">
        <v>222</v>
      </c>
      <c r="O814" s="4" t="s">
        <v>222</v>
      </c>
      <c r="P814" s="9"/>
      <c r="Q814" s="9"/>
      <c r="R814" s="87" t="s">
        <v>222</v>
      </c>
      <c r="S814" s="11" t="s">
        <v>222</v>
      </c>
      <c r="T814" s="12"/>
      <c r="U814" s="13"/>
      <c r="V814" s="12"/>
      <c r="W814" s="13"/>
      <c r="X814" s="12"/>
      <c r="Y814" s="14"/>
      <c r="Z814" s="14"/>
      <c r="AA814" s="14"/>
      <c r="AB814" s="14"/>
      <c r="AC814" s="14"/>
      <c r="AD814" s="14"/>
      <c r="AE814" s="14"/>
      <c r="AF814" s="3"/>
      <c r="AG814" s="3"/>
    </row>
    <row r="815" ht="13.5" customHeight="1">
      <c r="A815" s="3"/>
      <c r="B815" s="15"/>
      <c r="C815" s="3"/>
      <c r="D815" s="4"/>
      <c r="E815" s="5"/>
      <c r="F815" s="6"/>
      <c r="G815" s="3"/>
      <c r="H815" s="3"/>
      <c r="I815" s="7"/>
      <c r="J815" s="6" t="s">
        <v>222</v>
      </c>
      <c r="K815" s="4" t="s">
        <v>222</v>
      </c>
      <c r="L815" s="4" t="s">
        <v>222</v>
      </c>
      <c r="M815" s="4" t="s">
        <v>222</v>
      </c>
      <c r="N815" s="4" t="s">
        <v>222</v>
      </c>
      <c r="O815" s="4" t="s">
        <v>222</v>
      </c>
      <c r="P815" s="9"/>
      <c r="Q815" s="9"/>
      <c r="R815" s="87" t="s">
        <v>222</v>
      </c>
      <c r="S815" s="11" t="s">
        <v>222</v>
      </c>
      <c r="T815" s="12"/>
      <c r="U815" s="13"/>
      <c r="V815" s="12"/>
      <c r="W815" s="13"/>
      <c r="X815" s="12"/>
      <c r="Y815" s="14"/>
      <c r="Z815" s="14"/>
      <c r="AA815" s="14"/>
      <c r="AB815" s="14"/>
      <c r="AC815" s="14"/>
      <c r="AD815" s="14"/>
      <c r="AE815" s="14"/>
      <c r="AF815" s="3"/>
      <c r="AG815" s="3"/>
    </row>
    <row r="816" ht="13.5" customHeight="1">
      <c r="A816" s="3"/>
      <c r="B816" s="15"/>
      <c r="C816" s="3"/>
      <c r="D816" s="4"/>
      <c r="E816" s="5"/>
      <c r="F816" s="6"/>
      <c r="G816" s="3"/>
      <c r="H816" s="3"/>
      <c r="I816" s="7"/>
      <c r="J816" s="6" t="s">
        <v>222</v>
      </c>
      <c r="K816" s="4" t="s">
        <v>222</v>
      </c>
      <c r="L816" s="4" t="s">
        <v>222</v>
      </c>
      <c r="M816" s="4" t="s">
        <v>222</v>
      </c>
      <c r="N816" s="4" t="s">
        <v>222</v>
      </c>
      <c r="O816" s="4" t="s">
        <v>222</v>
      </c>
      <c r="P816" s="9"/>
      <c r="Q816" s="9"/>
      <c r="R816" s="87" t="s">
        <v>222</v>
      </c>
      <c r="S816" s="11" t="s">
        <v>222</v>
      </c>
      <c r="T816" s="12"/>
      <c r="U816" s="13"/>
      <c r="V816" s="12"/>
      <c r="W816" s="13"/>
      <c r="X816" s="12"/>
      <c r="Y816" s="14"/>
      <c r="Z816" s="14"/>
      <c r="AA816" s="14"/>
      <c r="AB816" s="14"/>
      <c r="AC816" s="14"/>
      <c r="AD816" s="14"/>
      <c r="AE816" s="14"/>
      <c r="AF816" s="3"/>
      <c r="AG816" s="3"/>
    </row>
    <row r="817" ht="13.5" customHeight="1">
      <c r="A817" s="3"/>
      <c r="B817" s="15"/>
      <c r="C817" s="3"/>
      <c r="D817" s="4"/>
      <c r="E817" s="5"/>
      <c r="F817" s="6"/>
      <c r="G817" s="3"/>
      <c r="H817" s="3"/>
      <c r="I817" s="7"/>
      <c r="J817" s="6" t="s">
        <v>222</v>
      </c>
      <c r="K817" s="4" t="s">
        <v>222</v>
      </c>
      <c r="L817" s="4" t="s">
        <v>222</v>
      </c>
      <c r="M817" s="4" t="s">
        <v>222</v>
      </c>
      <c r="N817" s="4" t="s">
        <v>222</v>
      </c>
      <c r="O817" s="4" t="s">
        <v>222</v>
      </c>
      <c r="P817" s="9"/>
      <c r="Q817" s="9"/>
      <c r="R817" s="87" t="s">
        <v>222</v>
      </c>
      <c r="S817" s="11" t="s">
        <v>222</v>
      </c>
      <c r="T817" s="12"/>
      <c r="U817" s="13"/>
      <c r="V817" s="12"/>
      <c r="W817" s="13"/>
      <c r="X817" s="12"/>
      <c r="Y817" s="14"/>
      <c r="Z817" s="14"/>
      <c r="AA817" s="14"/>
      <c r="AB817" s="14"/>
      <c r="AC817" s="14"/>
      <c r="AD817" s="14"/>
      <c r="AE817" s="14"/>
      <c r="AF817" s="3"/>
      <c r="AG817" s="3"/>
    </row>
    <row r="818" ht="13.5" customHeight="1">
      <c r="A818" s="3"/>
      <c r="B818" s="15"/>
      <c r="C818" s="3"/>
      <c r="D818" s="4"/>
      <c r="E818" s="5"/>
      <c r="F818" s="6"/>
      <c r="G818" s="3"/>
      <c r="H818" s="3"/>
      <c r="I818" s="7"/>
      <c r="J818" s="6" t="s">
        <v>222</v>
      </c>
      <c r="K818" s="4" t="s">
        <v>222</v>
      </c>
      <c r="L818" s="4" t="s">
        <v>222</v>
      </c>
      <c r="M818" s="4" t="s">
        <v>222</v>
      </c>
      <c r="N818" s="4" t="s">
        <v>222</v>
      </c>
      <c r="O818" s="4" t="s">
        <v>222</v>
      </c>
      <c r="P818" s="9"/>
      <c r="Q818" s="9"/>
      <c r="R818" s="87" t="s">
        <v>222</v>
      </c>
      <c r="S818" s="11" t="s">
        <v>222</v>
      </c>
      <c r="T818" s="12"/>
      <c r="U818" s="13"/>
      <c r="V818" s="12"/>
      <c r="W818" s="13"/>
      <c r="X818" s="12"/>
      <c r="Y818" s="14"/>
      <c r="Z818" s="14"/>
      <c r="AA818" s="14"/>
      <c r="AB818" s="14"/>
      <c r="AC818" s="14"/>
      <c r="AD818" s="14"/>
      <c r="AE818" s="14"/>
      <c r="AF818" s="3"/>
      <c r="AG818" s="3"/>
    </row>
    <row r="819" ht="13.5" customHeight="1">
      <c r="A819" s="3"/>
      <c r="B819" s="15"/>
      <c r="C819" s="3"/>
      <c r="D819" s="4"/>
      <c r="E819" s="5"/>
      <c r="F819" s="6"/>
      <c r="G819" s="3"/>
      <c r="H819" s="3"/>
      <c r="I819" s="7"/>
      <c r="J819" s="6" t="s">
        <v>222</v>
      </c>
      <c r="K819" s="4" t="s">
        <v>222</v>
      </c>
      <c r="L819" s="4" t="s">
        <v>222</v>
      </c>
      <c r="M819" s="4" t="s">
        <v>222</v>
      </c>
      <c r="N819" s="4" t="s">
        <v>222</v>
      </c>
      <c r="O819" s="4" t="s">
        <v>222</v>
      </c>
      <c r="P819" s="9"/>
      <c r="Q819" s="9"/>
      <c r="R819" s="87" t="s">
        <v>222</v>
      </c>
      <c r="S819" s="11" t="s">
        <v>222</v>
      </c>
      <c r="T819" s="12"/>
      <c r="U819" s="13"/>
      <c r="V819" s="12"/>
      <c r="W819" s="13"/>
      <c r="X819" s="12"/>
      <c r="Y819" s="14"/>
      <c r="Z819" s="14"/>
      <c r="AA819" s="14"/>
      <c r="AB819" s="14"/>
      <c r="AC819" s="14"/>
      <c r="AD819" s="14"/>
      <c r="AE819" s="14"/>
      <c r="AF819" s="3"/>
      <c r="AG819" s="3"/>
    </row>
    <row r="820" ht="13.5" customHeight="1">
      <c r="A820" s="3"/>
      <c r="B820" s="15"/>
      <c r="C820" s="3"/>
      <c r="D820" s="4"/>
      <c r="E820" s="5"/>
      <c r="F820" s="6"/>
      <c r="G820" s="3"/>
      <c r="H820" s="3"/>
      <c r="I820" s="7"/>
      <c r="J820" s="6" t="s">
        <v>222</v>
      </c>
      <c r="K820" s="4" t="s">
        <v>222</v>
      </c>
      <c r="L820" s="4" t="s">
        <v>222</v>
      </c>
      <c r="M820" s="4" t="s">
        <v>222</v>
      </c>
      <c r="N820" s="4" t="s">
        <v>222</v>
      </c>
      <c r="O820" s="4" t="s">
        <v>222</v>
      </c>
      <c r="P820" s="9"/>
      <c r="Q820" s="9"/>
      <c r="R820" s="87" t="s">
        <v>222</v>
      </c>
      <c r="S820" s="11" t="s">
        <v>222</v>
      </c>
      <c r="T820" s="12"/>
      <c r="U820" s="13"/>
      <c r="V820" s="12"/>
      <c r="W820" s="13"/>
      <c r="X820" s="12"/>
      <c r="Y820" s="14"/>
      <c r="Z820" s="14"/>
      <c r="AA820" s="14"/>
      <c r="AB820" s="14"/>
      <c r="AC820" s="14"/>
      <c r="AD820" s="14"/>
      <c r="AE820" s="14"/>
      <c r="AF820" s="3"/>
      <c r="AG820" s="3"/>
    </row>
    <row r="821" ht="13.5" customHeight="1">
      <c r="A821" s="3"/>
      <c r="B821" s="15"/>
      <c r="C821" s="3"/>
      <c r="D821" s="4"/>
      <c r="E821" s="5"/>
      <c r="F821" s="6"/>
      <c r="G821" s="3"/>
      <c r="H821" s="3"/>
      <c r="I821" s="7"/>
      <c r="J821" s="6" t="s">
        <v>222</v>
      </c>
      <c r="K821" s="4" t="s">
        <v>222</v>
      </c>
      <c r="L821" s="4" t="s">
        <v>222</v>
      </c>
      <c r="M821" s="4" t="s">
        <v>222</v>
      </c>
      <c r="N821" s="4" t="s">
        <v>222</v>
      </c>
      <c r="O821" s="4" t="s">
        <v>222</v>
      </c>
      <c r="P821" s="9"/>
      <c r="Q821" s="9"/>
      <c r="R821" s="87" t="s">
        <v>222</v>
      </c>
      <c r="S821" s="11" t="s">
        <v>222</v>
      </c>
      <c r="T821" s="12"/>
      <c r="U821" s="13"/>
      <c r="V821" s="12"/>
      <c r="W821" s="13"/>
      <c r="X821" s="12"/>
      <c r="Y821" s="14"/>
      <c r="Z821" s="14"/>
      <c r="AA821" s="14"/>
      <c r="AB821" s="14"/>
      <c r="AC821" s="14"/>
      <c r="AD821" s="14"/>
      <c r="AE821" s="14"/>
      <c r="AF821" s="3"/>
      <c r="AG821" s="3"/>
    </row>
    <row r="822" ht="13.5" customHeight="1">
      <c r="A822" s="3"/>
      <c r="B822" s="15"/>
      <c r="C822" s="3"/>
      <c r="D822" s="4"/>
      <c r="E822" s="5"/>
      <c r="F822" s="6"/>
      <c r="G822" s="3"/>
      <c r="H822" s="3"/>
      <c r="I822" s="7"/>
      <c r="J822" s="6" t="s">
        <v>222</v>
      </c>
      <c r="K822" s="4" t="s">
        <v>222</v>
      </c>
      <c r="L822" s="4" t="s">
        <v>222</v>
      </c>
      <c r="M822" s="4" t="s">
        <v>222</v>
      </c>
      <c r="N822" s="4" t="s">
        <v>222</v>
      </c>
      <c r="O822" s="4" t="s">
        <v>222</v>
      </c>
      <c r="P822" s="9"/>
      <c r="Q822" s="9"/>
      <c r="R822" s="87" t="s">
        <v>222</v>
      </c>
      <c r="S822" s="11" t="s">
        <v>222</v>
      </c>
      <c r="T822" s="12"/>
      <c r="U822" s="13"/>
      <c r="V822" s="12"/>
      <c r="W822" s="13"/>
      <c r="X822" s="12"/>
      <c r="Y822" s="14"/>
      <c r="Z822" s="14"/>
      <c r="AA822" s="14"/>
      <c r="AB822" s="14"/>
      <c r="AC822" s="14"/>
      <c r="AD822" s="14"/>
      <c r="AE822" s="14"/>
      <c r="AF822" s="3"/>
      <c r="AG822" s="3"/>
    </row>
    <row r="823" ht="13.5" customHeight="1">
      <c r="A823" s="3"/>
      <c r="B823" s="15"/>
      <c r="C823" s="3"/>
      <c r="D823" s="4"/>
      <c r="E823" s="5"/>
      <c r="F823" s="6"/>
      <c r="G823" s="3"/>
      <c r="H823" s="3"/>
      <c r="I823" s="7"/>
      <c r="J823" s="6" t="s">
        <v>222</v>
      </c>
      <c r="K823" s="4" t="s">
        <v>222</v>
      </c>
      <c r="L823" s="4" t="s">
        <v>222</v>
      </c>
      <c r="M823" s="4" t="s">
        <v>222</v>
      </c>
      <c r="N823" s="4" t="s">
        <v>222</v>
      </c>
      <c r="O823" s="4" t="s">
        <v>222</v>
      </c>
      <c r="P823" s="9"/>
      <c r="Q823" s="9"/>
      <c r="R823" s="87" t="s">
        <v>222</v>
      </c>
      <c r="S823" s="11" t="s">
        <v>222</v>
      </c>
      <c r="T823" s="12"/>
      <c r="U823" s="13"/>
      <c r="V823" s="12"/>
      <c r="W823" s="13"/>
      <c r="X823" s="12"/>
      <c r="Y823" s="14"/>
      <c r="Z823" s="14"/>
      <c r="AA823" s="14"/>
      <c r="AB823" s="14"/>
      <c r="AC823" s="14"/>
      <c r="AD823" s="14"/>
      <c r="AE823" s="14"/>
      <c r="AF823" s="3"/>
      <c r="AG823" s="3"/>
    </row>
    <row r="824" ht="13.5" customHeight="1">
      <c r="A824" s="3"/>
      <c r="B824" s="15"/>
      <c r="C824" s="3"/>
      <c r="D824" s="4"/>
      <c r="E824" s="5"/>
      <c r="F824" s="6"/>
      <c r="G824" s="3"/>
      <c r="H824" s="3"/>
      <c r="I824" s="7"/>
      <c r="J824" s="6" t="s">
        <v>222</v>
      </c>
      <c r="K824" s="4" t="s">
        <v>222</v>
      </c>
      <c r="L824" s="4" t="s">
        <v>222</v>
      </c>
      <c r="M824" s="4" t="s">
        <v>222</v>
      </c>
      <c r="N824" s="4" t="s">
        <v>222</v>
      </c>
      <c r="O824" s="4" t="s">
        <v>222</v>
      </c>
      <c r="P824" s="9"/>
      <c r="Q824" s="9"/>
      <c r="R824" s="87" t="s">
        <v>222</v>
      </c>
      <c r="S824" s="11" t="s">
        <v>222</v>
      </c>
      <c r="T824" s="12"/>
      <c r="U824" s="13"/>
      <c r="V824" s="12"/>
      <c r="W824" s="13"/>
      <c r="X824" s="12"/>
      <c r="Y824" s="14"/>
      <c r="Z824" s="14"/>
      <c r="AA824" s="14"/>
      <c r="AB824" s="14"/>
      <c r="AC824" s="14"/>
      <c r="AD824" s="14"/>
      <c r="AE824" s="14"/>
      <c r="AF824" s="3"/>
      <c r="AG824" s="3"/>
    </row>
    <row r="825" ht="13.5" customHeight="1">
      <c r="A825" s="3"/>
      <c r="B825" s="15"/>
      <c r="C825" s="3"/>
      <c r="D825" s="4"/>
      <c r="E825" s="5"/>
      <c r="F825" s="6"/>
      <c r="G825" s="3"/>
      <c r="H825" s="3"/>
      <c r="I825" s="7"/>
      <c r="J825" s="6" t="s">
        <v>222</v>
      </c>
      <c r="K825" s="4" t="s">
        <v>222</v>
      </c>
      <c r="L825" s="4" t="s">
        <v>222</v>
      </c>
      <c r="M825" s="4" t="s">
        <v>222</v>
      </c>
      <c r="N825" s="4" t="s">
        <v>222</v>
      </c>
      <c r="O825" s="4" t="s">
        <v>222</v>
      </c>
      <c r="P825" s="9"/>
      <c r="Q825" s="9"/>
      <c r="R825" s="87" t="s">
        <v>222</v>
      </c>
      <c r="S825" s="11" t="s">
        <v>222</v>
      </c>
      <c r="T825" s="12"/>
      <c r="U825" s="13"/>
      <c r="V825" s="12"/>
      <c r="W825" s="13"/>
      <c r="X825" s="12"/>
      <c r="Y825" s="14"/>
      <c r="Z825" s="14"/>
      <c r="AA825" s="14"/>
      <c r="AB825" s="14"/>
      <c r="AC825" s="14"/>
      <c r="AD825" s="14"/>
      <c r="AE825" s="14"/>
      <c r="AF825" s="3"/>
      <c r="AG825" s="3"/>
    </row>
    <row r="826" ht="13.5" customHeight="1">
      <c r="A826" s="3"/>
      <c r="B826" s="15"/>
      <c r="C826" s="3"/>
      <c r="D826" s="4"/>
      <c r="E826" s="5"/>
      <c r="F826" s="6"/>
      <c r="G826" s="3"/>
      <c r="H826" s="3"/>
      <c r="I826" s="7"/>
      <c r="J826" s="6" t="s">
        <v>222</v>
      </c>
      <c r="K826" s="4" t="s">
        <v>222</v>
      </c>
      <c r="L826" s="4" t="s">
        <v>222</v>
      </c>
      <c r="M826" s="4" t="s">
        <v>222</v>
      </c>
      <c r="N826" s="4" t="s">
        <v>222</v>
      </c>
      <c r="O826" s="4" t="s">
        <v>222</v>
      </c>
      <c r="P826" s="9"/>
      <c r="Q826" s="9"/>
      <c r="R826" s="87" t="s">
        <v>222</v>
      </c>
      <c r="S826" s="11" t="s">
        <v>222</v>
      </c>
      <c r="T826" s="12"/>
      <c r="U826" s="13"/>
      <c r="V826" s="12"/>
      <c r="W826" s="13"/>
      <c r="X826" s="12"/>
      <c r="Y826" s="14"/>
      <c r="Z826" s="14"/>
      <c r="AA826" s="14"/>
      <c r="AB826" s="14"/>
      <c r="AC826" s="14"/>
      <c r="AD826" s="14"/>
      <c r="AE826" s="14"/>
      <c r="AF826" s="3"/>
      <c r="AG826" s="3"/>
    </row>
    <row r="827" ht="13.5" customHeight="1">
      <c r="A827" s="3"/>
      <c r="B827" s="15"/>
      <c r="C827" s="3"/>
      <c r="D827" s="4"/>
      <c r="E827" s="5"/>
      <c r="F827" s="6"/>
      <c r="G827" s="3"/>
      <c r="H827" s="3"/>
      <c r="I827" s="7"/>
      <c r="J827" s="6" t="s">
        <v>222</v>
      </c>
      <c r="K827" s="4" t="s">
        <v>222</v>
      </c>
      <c r="L827" s="4" t="s">
        <v>222</v>
      </c>
      <c r="M827" s="4" t="s">
        <v>222</v>
      </c>
      <c r="N827" s="4" t="s">
        <v>222</v>
      </c>
      <c r="O827" s="4" t="s">
        <v>222</v>
      </c>
      <c r="P827" s="9"/>
      <c r="Q827" s="9"/>
      <c r="R827" s="87" t="s">
        <v>222</v>
      </c>
      <c r="S827" s="11" t="s">
        <v>222</v>
      </c>
      <c r="T827" s="12"/>
      <c r="U827" s="13"/>
      <c r="V827" s="12"/>
      <c r="W827" s="13"/>
      <c r="X827" s="12"/>
      <c r="Y827" s="14"/>
      <c r="Z827" s="14"/>
      <c r="AA827" s="14"/>
      <c r="AB827" s="14"/>
      <c r="AC827" s="14"/>
      <c r="AD827" s="14"/>
      <c r="AE827" s="14"/>
      <c r="AF827" s="3"/>
      <c r="AG827" s="3"/>
    </row>
    <row r="828" ht="13.5" customHeight="1">
      <c r="A828" s="3"/>
      <c r="B828" s="15"/>
      <c r="C828" s="3"/>
      <c r="D828" s="4"/>
      <c r="E828" s="5"/>
      <c r="F828" s="6"/>
      <c r="G828" s="3"/>
      <c r="H828" s="3"/>
      <c r="I828" s="7"/>
      <c r="J828" s="6" t="s">
        <v>222</v>
      </c>
      <c r="K828" s="4" t="s">
        <v>222</v>
      </c>
      <c r="L828" s="4" t="s">
        <v>222</v>
      </c>
      <c r="M828" s="4" t="s">
        <v>222</v>
      </c>
      <c r="N828" s="4" t="s">
        <v>222</v>
      </c>
      <c r="O828" s="4" t="s">
        <v>222</v>
      </c>
      <c r="P828" s="9"/>
      <c r="Q828" s="9"/>
      <c r="R828" s="87" t="s">
        <v>222</v>
      </c>
      <c r="S828" s="11" t="s">
        <v>222</v>
      </c>
      <c r="T828" s="12"/>
      <c r="U828" s="13"/>
      <c r="V828" s="12"/>
      <c r="W828" s="13"/>
      <c r="X828" s="12"/>
      <c r="Y828" s="14"/>
      <c r="Z828" s="14"/>
      <c r="AA828" s="14"/>
      <c r="AB828" s="14"/>
      <c r="AC828" s="14"/>
      <c r="AD828" s="14"/>
      <c r="AE828" s="14"/>
      <c r="AF828" s="3"/>
      <c r="AG828" s="3"/>
    </row>
    <row r="829" ht="13.5" customHeight="1">
      <c r="A829" s="3"/>
      <c r="B829" s="15"/>
      <c r="C829" s="3"/>
      <c r="D829" s="4"/>
      <c r="E829" s="5"/>
      <c r="F829" s="6"/>
      <c r="G829" s="3"/>
      <c r="H829" s="3"/>
      <c r="I829" s="7"/>
      <c r="J829" s="6" t="s">
        <v>222</v>
      </c>
      <c r="K829" s="4" t="s">
        <v>222</v>
      </c>
      <c r="L829" s="4" t="s">
        <v>222</v>
      </c>
      <c r="M829" s="4" t="s">
        <v>222</v>
      </c>
      <c r="N829" s="4" t="s">
        <v>222</v>
      </c>
      <c r="O829" s="4" t="s">
        <v>222</v>
      </c>
      <c r="P829" s="9"/>
      <c r="Q829" s="9"/>
      <c r="R829" s="87" t="s">
        <v>222</v>
      </c>
      <c r="S829" s="11" t="s">
        <v>222</v>
      </c>
      <c r="T829" s="12"/>
      <c r="U829" s="13"/>
      <c r="V829" s="12"/>
      <c r="W829" s="13"/>
      <c r="X829" s="12"/>
      <c r="Y829" s="14"/>
      <c r="Z829" s="14"/>
      <c r="AA829" s="14"/>
      <c r="AB829" s="14"/>
      <c r="AC829" s="14"/>
      <c r="AD829" s="14"/>
      <c r="AE829" s="14"/>
      <c r="AF829" s="3"/>
      <c r="AG829" s="3"/>
    </row>
    <row r="830" ht="13.5" customHeight="1">
      <c r="A830" s="3"/>
      <c r="B830" s="15"/>
      <c r="C830" s="3"/>
      <c r="D830" s="4"/>
      <c r="E830" s="5"/>
      <c r="F830" s="6"/>
      <c r="G830" s="3"/>
      <c r="H830" s="3"/>
      <c r="I830" s="7"/>
      <c r="J830" s="6" t="s">
        <v>222</v>
      </c>
      <c r="K830" s="4" t="s">
        <v>222</v>
      </c>
      <c r="L830" s="4" t="s">
        <v>222</v>
      </c>
      <c r="M830" s="4" t="s">
        <v>222</v>
      </c>
      <c r="N830" s="4" t="s">
        <v>222</v>
      </c>
      <c r="O830" s="4" t="s">
        <v>222</v>
      </c>
      <c r="P830" s="9"/>
      <c r="Q830" s="9"/>
      <c r="R830" s="87" t="s">
        <v>222</v>
      </c>
      <c r="S830" s="11" t="s">
        <v>222</v>
      </c>
      <c r="T830" s="12"/>
      <c r="U830" s="13"/>
      <c r="V830" s="12"/>
      <c r="W830" s="13"/>
      <c r="X830" s="12"/>
      <c r="Y830" s="14"/>
      <c r="Z830" s="14"/>
      <c r="AA830" s="14"/>
      <c r="AB830" s="14"/>
      <c r="AC830" s="14"/>
      <c r="AD830" s="14"/>
      <c r="AE830" s="14"/>
      <c r="AF830" s="3"/>
      <c r="AG830" s="3"/>
    </row>
    <row r="831" ht="13.5" customHeight="1">
      <c r="A831" s="3"/>
      <c r="B831" s="15"/>
      <c r="C831" s="3"/>
      <c r="D831" s="4"/>
      <c r="E831" s="5"/>
      <c r="F831" s="6"/>
      <c r="G831" s="3"/>
      <c r="H831" s="3"/>
      <c r="I831" s="7"/>
      <c r="J831" s="6" t="s">
        <v>222</v>
      </c>
      <c r="K831" s="4" t="s">
        <v>222</v>
      </c>
      <c r="L831" s="4" t="s">
        <v>222</v>
      </c>
      <c r="M831" s="4" t="s">
        <v>222</v>
      </c>
      <c r="N831" s="4" t="s">
        <v>222</v>
      </c>
      <c r="O831" s="4" t="s">
        <v>222</v>
      </c>
      <c r="P831" s="9"/>
      <c r="Q831" s="9"/>
      <c r="R831" s="87" t="s">
        <v>222</v>
      </c>
      <c r="S831" s="11" t="s">
        <v>222</v>
      </c>
      <c r="T831" s="12"/>
      <c r="U831" s="13"/>
      <c r="V831" s="12"/>
      <c r="W831" s="13"/>
      <c r="X831" s="12"/>
      <c r="Y831" s="14"/>
      <c r="Z831" s="14"/>
      <c r="AA831" s="14"/>
      <c r="AB831" s="14"/>
      <c r="AC831" s="14"/>
      <c r="AD831" s="14"/>
      <c r="AE831" s="14"/>
      <c r="AF831" s="3"/>
      <c r="AG831" s="3"/>
    </row>
    <row r="832" ht="13.5" customHeight="1">
      <c r="A832" s="3"/>
      <c r="B832" s="15"/>
      <c r="C832" s="3"/>
      <c r="D832" s="4"/>
      <c r="E832" s="5"/>
      <c r="F832" s="6"/>
      <c r="G832" s="3"/>
      <c r="H832" s="3"/>
      <c r="I832" s="7"/>
      <c r="J832" s="6" t="s">
        <v>222</v>
      </c>
      <c r="K832" s="4" t="s">
        <v>222</v>
      </c>
      <c r="L832" s="4" t="s">
        <v>222</v>
      </c>
      <c r="M832" s="4" t="s">
        <v>222</v>
      </c>
      <c r="N832" s="4" t="s">
        <v>222</v>
      </c>
      <c r="O832" s="4" t="s">
        <v>222</v>
      </c>
      <c r="P832" s="9"/>
      <c r="Q832" s="9"/>
      <c r="R832" s="87" t="s">
        <v>222</v>
      </c>
      <c r="S832" s="11" t="s">
        <v>222</v>
      </c>
      <c r="T832" s="12"/>
      <c r="U832" s="13"/>
      <c r="V832" s="12"/>
      <c r="W832" s="13"/>
      <c r="X832" s="12"/>
      <c r="Y832" s="14"/>
      <c r="Z832" s="14"/>
      <c r="AA832" s="14"/>
      <c r="AB832" s="14"/>
      <c r="AC832" s="14"/>
      <c r="AD832" s="14"/>
      <c r="AE832" s="14"/>
      <c r="AF832" s="3"/>
      <c r="AG832" s="3"/>
    </row>
    <row r="833" ht="13.5" customHeight="1">
      <c r="A833" s="3"/>
      <c r="B833" s="15"/>
      <c r="C833" s="3"/>
      <c r="D833" s="4"/>
      <c r="E833" s="5"/>
      <c r="F833" s="6"/>
      <c r="G833" s="3"/>
      <c r="H833" s="3"/>
      <c r="I833" s="7"/>
      <c r="J833" s="6" t="s">
        <v>222</v>
      </c>
      <c r="K833" s="4" t="s">
        <v>222</v>
      </c>
      <c r="L833" s="4" t="s">
        <v>222</v>
      </c>
      <c r="M833" s="4" t="s">
        <v>222</v>
      </c>
      <c r="N833" s="4" t="s">
        <v>222</v>
      </c>
      <c r="O833" s="4" t="s">
        <v>222</v>
      </c>
      <c r="P833" s="9"/>
      <c r="Q833" s="9"/>
      <c r="R833" s="87" t="s">
        <v>222</v>
      </c>
      <c r="S833" s="11" t="s">
        <v>222</v>
      </c>
      <c r="T833" s="12"/>
      <c r="U833" s="13"/>
      <c r="V833" s="12"/>
      <c r="W833" s="13"/>
      <c r="X833" s="12"/>
      <c r="Y833" s="14"/>
      <c r="Z833" s="14"/>
      <c r="AA833" s="14"/>
      <c r="AB833" s="14"/>
      <c r="AC833" s="14"/>
      <c r="AD833" s="14"/>
      <c r="AE833" s="14"/>
      <c r="AF833" s="3"/>
      <c r="AG833" s="3"/>
    </row>
    <row r="834" ht="13.5" customHeight="1">
      <c r="A834" s="3"/>
      <c r="B834" s="15"/>
      <c r="C834" s="3"/>
      <c r="D834" s="4"/>
      <c r="E834" s="5"/>
      <c r="F834" s="6"/>
      <c r="G834" s="3"/>
      <c r="H834" s="3"/>
      <c r="I834" s="7"/>
      <c r="J834" s="6" t="s">
        <v>222</v>
      </c>
      <c r="K834" s="4" t="s">
        <v>222</v>
      </c>
      <c r="L834" s="4" t="s">
        <v>222</v>
      </c>
      <c r="M834" s="4" t="s">
        <v>222</v>
      </c>
      <c r="N834" s="4" t="s">
        <v>222</v>
      </c>
      <c r="O834" s="4" t="s">
        <v>222</v>
      </c>
      <c r="P834" s="9"/>
      <c r="Q834" s="9"/>
      <c r="R834" s="87" t="s">
        <v>222</v>
      </c>
      <c r="S834" s="11" t="s">
        <v>222</v>
      </c>
      <c r="T834" s="12"/>
      <c r="U834" s="13"/>
      <c r="V834" s="12"/>
      <c r="W834" s="13"/>
      <c r="X834" s="12"/>
      <c r="Y834" s="14"/>
      <c r="Z834" s="14"/>
      <c r="AA834" s="14"/>
      <c r="AB834" s="14"/>
      <c r="AC834" s="14"/>
      <c r="AD834" s="14"/>
      <c r="AE834" s="14"/>
      <c r="AF834" s="3"/>
      <c r="AG834" s="3"/>
    </row>
    <row r="835" ht="13.5" customHeight="1">
      <c r="A835" s="3"/>
      <c r="B835" s="15"/>
      <c r="C835" s="3"/>
      <c r="D835" s="4"/>
      <c r="E835" s="5"/>
      <c r="F835" s="6"/>
      <c r="G835" s="3"/>
      <c r="H835" s="3"/>
      <c r="I835" s="7"/>
      <c r="J835" s="6" t="s">
        <v>222</v>
      </c>
      <c r="K835" s="4" t="s">
        <v>222</v>
      </c>
      <c r="L835" s="4" t="s">
        <v>222</v>
      </c>
      <c r="M835" s="4" t="s">
        <v>222</v>
      </c>
      <c r="N835" s="4" t="s">
        <v>222</v>
      </c>
      <c r="O835" s="4" t="s">
        <v>222</v>
      </c>
      <c r="P835" s="9"/>
      <c r="Q835" s="9"/>
      <c r="R835" s="87" t="s">
        <v>222</v>
      </c>
      <c r="S835" s="11" t="s">
        <v>222</v>
      </c>
      <c r="T835" s="12"/>
      <c r="U835" s="13"/>
      <c r="V835" s="12"/>
      <c r="W835" s="13"/>
      <c r="X835" s="12"/>
      <c r="Y835" s="14"/>
      <c r="Z835" s="14"/>
      <c r="AA835" s="14"/>
      <c r="AB835" s="14"/>
      <c r="AC835" s="14"/>
      <c r="AD835" s="14"/>
      <c r="AE835" s="14"/>
      <c r="AF835" s="3"/>
      <c r="AG835" s="3"/>
    </row>
    <row r="836" ht="13.5" customHeight="1">
      <c r="A836" s="3"/>
      <c r="B836" s="15"/>
      <c r="C836" s="3"/>
      <c r="D836" s="4"/>
      <c r="E836" s="5"/>
      <c r="F836" s="6"/>
      <c r="G836" s="3"/>
      <c r="H836" s="3"/>
      <c r="I836" s="7"/>
      <c r="J836" s="6" t="s">
        <v>222</v>
      </c>
      <c r="K836" s="4" t="s">
        <v>222</v>
      </c>
      <c r="L836" s="4" t="s">
        <v>222</v>
      </c>
      <c r="M836" s="4" t="s">
        <v>222</v>
      </c>
      <c r="N836" s="4" t="s">
        <v>222</v>
      </c>
      <c r="O836" s="4" t="s">
        <v>222</v>
      </c>
      <c r="P836" s="9"/>
      <c r="Q836" s="9"/>
      <c r="R836" s="87" t="s">
        <v>222</v>
      </c>
      <c r="S836" s="11" t="s">
        <v>222</v>
      </c>
      <c r="T836" s="12"/>
      <c r="U836" s="13"/>
      <c r="V836" s="12"/>
      <c r="W836" s="13"/>
      <c r="X836" s="12"/>
      <c r="Y836" s="14"/>
      <c r="Z836" s="14"/>
      <c r="AA836" s="14"/>
      <c r="AB836" s="14"/>
      <c r="AC836" s="14"/>
      <c r="AD836" s="14"/>
      <c r="AE836" s="14"/>
      <c r="AF836" s="3"/>
      <c r="AG836" s="3"/>
    </row>
    <row r="837" ht="13.5" customHeight="1">
      <c r="A837" s="3"/>
      <c r="B837" s="15"/>
      <c r="C837" s="3"/>
      <c r="D837" s="4"/>
      <c r="E837" s="5"/>
      <c r="F837" s="6"/>
      <c r="G837" s="3"/>
      <c r="H837" s="3"/>
      <c r="I837" s="7"/>
      <c r="J837" s="6" t="s">
        <v>222</v>
      </c>
      <c r="K837" s="4" t="s">
        <v>222</v>
      </c>
      <c r="L837" s="4" t="s">
        <v>222</v>
      </c>
      <c r="M837" s="4" t="s">
        <v>222</v>
      </c>
      <c r="N837" s="4" t="s">
        <v>222</v>
      </c>
      <c r="O837" s="4" t="s">
        <v>222</v>
      </c>
      <c r="P837" s="9"/>
      <c r="Q837" s="9"/>
      <c r="R837" s="87" t="s">
        <v>222</v>
      </c>
      <c r="S837" s="11" t="s">
        <v>222</v>
      </c>
      <c r="T837" s="12"/>
      <c r="U837" s="13"/>
      <c r="V837" s="12"/>
      <c r="W837" s="13"/>
      <c r="X837" s="12"/>
      <c r="Y837" s="14"/>
      <c r="Z837" s="14"/>
      <c r="AA837" s="14"/>
      <c r="AB837" s="14"/>
      <c r="AC837" s="14"/>
      <c r="AD837" s="14"/>
      <c r="AE837" s="14"/>
      <c r="AF837" s="3"/>
      <c r="AG837" s="3"/>
    </row>
    <row r="838" ht="13.5" customHeight="1">
      <c r="A838" s="3"/>
      <c r="B838" s="15"/>
      <c r="C838" s="3"/>
      <c r="D838" s="4"/>
      <c r="E838" s="5"/>
      <c r="F838" s="6"/>
      <c r="G838" s="3"/>
      <c r="H838" s="3"/>
      <c r="I838" s="7"/>
      <c r="J838" s="6" t="s">
        <v>222</v>
      </c>
      <c r="K838" s="4" t="s">
        <v>222</v>
      </c>
      <c r="L838" s="4" t="s">
        <v>222</v>
      </c>
      <c r="M838" s="4" t="s">
        <v>222</v>
      </c>
      <c r="N838" s="4" t="s">
        <v>222</v>
      </c>
      <c r="O838" s="4" t="s">
        <v>222</v>
      </c>
      <c r="P838" s="9"/>
      <c r="Q838" s="9"/>
      <c r="R838" s="87" t="s">
        <v>222</v>
      </c>
      <c r="S838" s="11" t="s">
        <v>222</v>
      </c>
      <c r="T838" s="12"/>
      <c r="U838" s="13"/>
      <c r="V838" s="12"/>
      <c r="W838" s="13"/>
      <c r="X838" s="12"/>
      <c r="Y838" s="14"/>
      <c r="Z838" s="14"/>
      <c r="AA838" s="14"/>
      <c r="AB838" s="14"/>
      <c r="AC838" s="14"/>
      <c r="AD838" s="14"/>
      <c r="AE838" s="14"/>
      <c r="AF838" s="3"/>
      <c r="AG838" s="3"/>
    </row>
    <row r="839" ht="13.5" customHeight="1">
      <c r="A839" s="3"/>
      <c r="B839" s="15"/>
      <c r="C839" s="3"/>
      <c r="D839" s="4"/>
      <c r="E839" s="5"/>
      <c r="F839" s="6"/>
      <c r="G839" s="3"/>
      <c r="H839" s="3"/>
      <c r="I839" s="7"/>
      <c r="J839" s="6" t="s">
        <v>222</v>
      </c>
      <c r="K839" s="4" t="s">
        <v>222</v>
      </c>
      <c r="L839" s="4" t="s">
        <v>222</v>
      </c>
      <c r="M839" s="4" t="s">
        <v>222</v>
      </c>
      <c r="N839" s="4" t="s">
        <v>222</v>
      </c>
      <c r="O839" s="4" t="s">
        <v>222</v>
      </c>
      <c r="P839" s="9"/>
      <c r="Q839" s="9"/>
      <c r="R839" s="87" t="s">
        <v>222</v>
      </c>
      <c r="S839" s="11" t="s">
        <v>222</v>
      </c>
      <c r="T839" s="12"/>
      <c r="U839" s="13"/>
      <c r="V839" s="12"/>
      <c r="W839" s="13"/>
      <c r="X839" s="12"/>
      <c r="Y839" s="14"/>
      <c r="Z839" s="14"/>
      <c r="AA839" s="14"/>
      <c r="AB839" s="14"/>
      <c r="AC839" s="14"/>
      <c r="AD839" s="14"/>
      <c r="AE839" s="14"/>
      <c r="AF839" s="3"/>
      <c r="AG839" s="3"/>
    </row>
    <row r="840" ht="13.5" customHeight="1">
      <c r="A840" s="3"/>
      <c r="B840" s="15"/>
      <c r="C840" s="3"/>
      <c r="D840" s="4"/>
      <c r="E840" s="5"/>
      <c r="F840" s="6"/>
      <c r="G840" s="3"/>
      <c r="H840" s="3"/>
      <c r="I840" s="7"/>
      <c r="J840" s="6" t="s">
        <v>222</v>
      </c>
      <c r="K840" s="4" t="s">
        <v>222</v>
      </c>
      <c r="L840" s="4" t="s">
        <v>222</v>
      </c>
      <c r="M840" s="4" t="s">
        <v>222</v>
      </c>
      <c r="N840" s="4" t="s">
        <v>222</v>
      </c>
      <c r="O840" s="4" t="s">
        <v>222</v>
      </c>
      <c r="P840" s="9"/>
      <c r="Q840" s="9"/>
      <c r="R840" s="87" t="s">
        <v>222</v>
      </c>
      <c r="S840" s="11" t="s">
        <v>222</v>
      </c>
      <c r="T840" s="12"/>
      <c r="U840" s="13"/>
      <c r="V840" s="12"/>
      <c r="W840" s="13"/>
      <c r="X840" s="12"/>
      <c r="Y840" s="14"/>
      <c r="Z840" s="14"/>
      <c r="AA840" s="14"/>
      <c r="AB840" s="14"/>
      <c r="AC840" s="14"/>
      <c r="AD840" s="14"/>
      <c r="AE840" s="14"/>
      <c r="AF840" s="3"/>
      <c r="AG840" s="3"/>
    </row>
    <row r="841" ht="13.5" customHeight="1">
      <c r="A841" s="3"/>
      <c r="B841" s="15"/>
      <c r="C841" s="3"/>
      <c r="D841" s="4"/>
      <c r="E841" s="5"/>
      <c r="F841" s="6"/>
      <c r="G841" s="3"/>
      <c r="H841" s="3"/>
      <c r="I841" s="7"/>
      <c r="J841" s="6" t="s">
        <v>222</v>
      </c>
      <c r="K841" s="4" t="s">
        <v>222</v>
      </c>
      <c r="L841" s="4" t="s">
        <v>222</v>
      </c>
      <c r="M841" s="4" t="s">
        <v>222</v>
      </c>
      <c r="N841" s="4" t="s">
        <v>222</v>
      </c>
      <c r="O841" s="4" t="s">
        <v>222</v>
      </c>
      <c r="P841" s="9"/>
      <c r="Q841" s="9"/>
      <c r="R841" s="87" t="s">
        <v>222</v>
      </c>
      <c r="S841" s="11" t="s">
        <v>222</v>
      </c>
      <c r="T841" s="12"/>
      <c r="U841" s="13"/>
      <c r="V841" s="12"/>
      <c r="W841" s="13"/>
      <c r="X841" s="12"/>
      <c r="Y841" s="14"/>
      <c r="Z841" s="14"/>
      <c r="AA841" s="14"/>
      <c r="AB841" s="14"/>
      <c r="AC841" s="14"/>
      <c r="AD841" s="14"/>
      <c r="AE841" s="14"/>
      <c r="AF841" s="3"/>
      <c r="AG841" s="3"/>
    </row>
    <row r="842" ht="13.5" customHeight="1">
      <c r="A842" s="3"/>
      <c r="B842" s="15"/>
      <c r="C842" s="3"/>
      <c r="D842" s="4"/>
      <c r="E842" s="5"/>
      <c r="F842" s="6"/>
      <c r="G842" s="3"/>
      <c r="H842" s="3"/>
      <c r="I842" s="7"/>
      <c r="J842" s="6" t="s">
        <v>222</v>
      </c>
      <c r="K842" s="4" t="s">
        <v>222</v>
      </c>
      <c r="L842" s="4" t="s">
        <v>222</v>
      </c>
      <c r="M842" s="4" t="s">
        <v>222</v>
      </c>
      <c r="N842" s="4" t="s">
        <v>222</v>
      </c>
      <c r="O842" s="4" t="s">
        <v>222</v>
      </c>
      <c r="P842" s="9"/>
      <c r="Q842" s="9"/>
      <c r="R842" s="87" t="s">
        <v>222</v>
      </c>
      <c r="S842" s="11" t="s">
        <v>222</v>
      </c>
      <c r="T842" s="12"/>
      <c r="U842" s="13"/>
      <c r="V842" s="12"/>
      <c r="W842" s="13"/>
      <c r="X842" s="12"/>
      <c r="Y842" s="14"/>
      <c r="Z842" s="14"/>
      <c r="AA842" s="14"/>
      <c r="AB842" s="14"/>
      <c r="AC842" s="14"/>
      <c r="AD842" s="14"/>
      <c r="AE842" s="14"/>
      <c r="AF842" s="3"/>
      <c r="AG842" s="3"/>
    </row>
    <row r="843" ht="13.5" customHeight="1">
      <c r="A843" s="3"/>
      <c r="B843" s="15"/>
      <c r="C843" s="3"/>
      <c r="D843" s="4"/>
      <c r="E843" s="5"/>
      <c r="F843" s="6"/>
      <c r="G843" s="3"/>
      <c r="H843" s="3"/>
      <c r="I843" s="7"/>
      <c r="J843" s="6" t="s">
        <v>222</v>
      </c>
      <c r="K843" s="4" t="s">
        <v>222</v>
      </c>
      <c r="L843" s="4" t="s">
        <v>222</v>
      </c>
      <c r="M843" s="4" t="s">
        <v>222</v>
      </c>
      <c r="N843" s="4" t="s">
        <v>222</v>
      </c>
      <c r="O843" s="4" t="s">
        <v>222</v>
      </c>
      <c r="P843" s="9"/>
      <c r="Q843" s="9"/>
      <c r="R843" s="87" t="s">
        <v>222</v>
      </c>
      <c r="S843" s="11" t="s">
        <v>222</v>
      </c>
      <c r="T843" s="12"/>
      <c r="U843" s="13"/>
      <c r="V843" s="12"/>
      <c r="W843" s="13"/>
      <c r="X843" s="12"/>
      <c r="Y843" s="14"/>
      <c r="Z843" s="14"/>
      <c r="AA843" s="14"/>
      <c r="AB843" s="14"/>
      <c r="AC843" s="14"/>
      <c r="AD843" s="14"/>
      <c r="AE843" s="14"/>
      <c r="AF843" s="3"/>
      <c r="AG843" s="3"/>
    </row>
    <row r="844" ht="13.5" customHeight="1">
      <c r="A844" s="3"/>
      <c r="B844" s="15"/>
      <c r="C844" s="3"/>
      <c r="D844" s="4"/>
      <c r="E844" s="5"/>
      <c r="F844" s="6"/>
      <c r="G844" s="3"/>
      <c r="H844" s="3"/>
      <c r="I844" s="7"/>
      <c r="J844" s="6" t="s">
        <v>222</v>
      </c>
      <c r="K844" s="4" t="s">
        <v>222</v>
      </c>
      <c r="L844" s="4" t="s">
        <v>222</v>
      </c>
      <c r="M844" s="4" t="s">
        <v>222</v>
      </c>
      <c r="N844" s="4" t="s">
        <v>222</v>
      </c>
      <c r="O844" s="4" t="s">
        <v>222</v>
      </c>
      <c r="P844" s="9"/>
      <c r="Q844" s="9"/>
      <c r="R844" s="87" t="s">
        <v>222</v>
      </c>
      <c r="S844" s="11" t="s">
        <v>222</v>
      </c>
      <c r="T844" s="12"/>
      <c r="U844" s="13"/>
      <c r="V844" s="12"/>
      <c r="W844" s="13"/>
      <c r="X844" s="12"/>
      <c r="Y844" s="14"/>
      <c r="Z844" s="14"/>
      <c r="AA844" s="14"/>
      <c r="AB844" s="14"/>
      <c r="AC844" s="14"/>
      <c r="AD844" s="14"/>
      <c r="AE844" s="14"/>
      <c r="AF844" s="3"/>
      <c r="AG844" s="3"/>
    </row>
    <row r="845" ht="13.5" customHeight="1">
      <c r="A845" s="3"/>
      <c r="B845" s="15"/>
      <c r="C845" s="3"/>
      <c r="D845" s="4"/>
      <c r="E845" s="5"/>
      <c r="F845" s="6"/>
      <c r="G845" s="3"/>
      <c r="H845" s="3"/>
      <c r="I845" s="7"/>
      <c r="J845" s="6" t="s">
        <v>222</v>
      </c>
      <c r="K845" s="4" t="s">
        <v>222</v>
      </c>
      <c r="L845" s="4" t="s">
        <v>222</v>
      </c>
      <c r="M845" s="4" t="s">
        <v>222</v>
      </c>
      <c r="N845" s="4" t="s">
        <v>222</v>
      </c>
      <c r="O845" s="4" t="s">
        <v>222</v>
      </c>
      <c r="P845" s="9"/>
      <c r="Q845" s="9"/>
      <c r="R845" s="87" t="s">
        <v>222</v>
      </c>
      <c r="S845" s="11" t="s">
        <v>222</v>
      </c>
      <c r="T845" s="12"/>
      <c r="U845" s="13"/>
      <c r="V845" s="12"/>
      <c r="W845" s="13"/>
      <c r="X845" s="12"/>
      <c r="Y845" s="14"/>
      <c r="Z845" s="14"/>
      <c r="AA845" s="14"/>
      <c r="AB845" s="14"/>
      <c r="AC845" s="14"/>
      <c r="AD845" s="14"/>
      <c r="AE845" s="14"/>
      <c r="AF845" s="3"/>
      <c r="AG845" s="3"/>
    </row>
    <row r="846" ht="13.5" customHeight="1">
      <c r="A846" s="3"/>
      <c r="B846" s="15"/>
      <c r="C846" s="3"/>
      <c r="D846" s="4"/>
      <c r="E846" s="5"/>
      <c r="F846" s="6"/>
      <c r="G846" s="3"/>
      <c r="H846" s="3"/>
      <c r="I846" s="7"/>
      <c r="J846" s="6" t="s">
        <v>222</v>
      </c>
      <c r="K846" s="4" t="s">
        <v>222</v>
      </c>
      <c r="L846" s="4" t="s">
        <v>222</v>
      </c>
      <c r="M846" s="4" t="s">
        <v>222</v>
      </c>
      <c r="N846" s="4" t="s">
        <v>222</v>
      </c>
      <c r="O846" s="4" t="s">
        <v>222</v>
      </c>
      <c r="P846" s="9"/>
      <c r="Q846" s="9"/>
      <c r="R846" s="87" t="s">
        <v>222</v>
      </c>
      <c r="S846" s="11" t="s">
        <v>222</v>
      </c>
      <c r="T846" s="12"/>
      <c r="U846" s="13"/>
      <c r="V846" s="12"/>
      <c r="W846" s="13"/>
      <c r="X846" s="12"/>
      <c r="Y846" s="14"/>
      <c r="Z846" s="14"/>
      <c r="AA846" s="14"/>
      <c r="AB846" s="14"/>
      <c r="AC846" s="14"/>
      <c r="AD846" s="14"/>
      <c r="AE846" s="14"/>
      <c r="AF846" s="3"/>
      <c r="AG846" s="3"/>
    </row>
    <row r="847" ht="13.5" customHeight="1">
      <c r="A847" s="3"/>
      <c r="B847" s="15"/>
      <c r="C847" s="3"/>
      <c r="D847" s="4"/>
      <c r="E847" s="5"/>
      <c r="F847" s="6"/>
      <c r="G847" s="3"/>
      <c r="H847" s="3"/>
      <c r="I847" s="7"/>
      <c r="J847" s="6" t="s">
        <v>222</v>
      </c>
      <c r="K847" s="4" t="s">
        <v>222</v>
      </c>
      <c r="L847" s="4" t="s">
        <v>222</v>
      </c>
      <c r="M847" s="4" t="s">
        <v>222</v>
      </c>
      <c r="N847" s="4" t="s">
        <v>222</v>
      </c>
      <c r="O847" s="4" t="s">
        <v>222</v>
      </c>
      <c r="P847" s="9"/>
      <c r="Q847" s="9"/>
      <c r="R847" s="87" t="s">
        <v>222</v>
      </c>
      <c r="S847" s="11" t="s">
        <v>222</v>
      </c>
      <c r="T847" s="12"/>
      <c r="U847" s="13"/>
      <c r="V847" s="12"/>
      <c r="W847" s="13"/>
      <c r="X847" s="12"/>
      <c r="Y847" s="14"/>
      <c r="Z847" s="14"/>
      <c r="AA847" s="14"/>
      <c r="AB847" s="14"/>
      <c r="AC847" s="14"/>
      <c r="AD847" s="14"/>
      <c r="AE847" s="14"/>
      <c r="AF847" s="3"/>
      <c r="AG847" s="3"/>
    </row>
    <row r="848" ht="13.5" customHeight="1">
      <c r="A848" s="3"/>
      <c r="B848" s="15"/>
      <c r="C848" s="3"/>
      <c r="D848" s="4"/>
      <c r="E848" s="5"/>
      <c r="F848" s="6"/>
      <c r="G848" s="3"/>
      <c r="H848" s="3"/>
      <c r="I848" s="7"/>
      <c r="J848" s="6" t="s">
        <v>222</v>
      </c>
      <c r="K848" s="4" t="s">
        <v>222</v>
      </c>
      <c r="L848" s="4" t="s">
        <v>222</v>
      </c>
      <c r="M848" s="4" t="s">
        <v>222</v>
      </c>
      <c r="N848" s="4" t="s">
        <v>222</v>
      </c>
      <c r="O848" s="4" t="s">
        <v>222</v>
      </c>
      <c r="P848" s="9"/>
      <c r="Q848" s="9"/>
      <c r="R848" s="87" t="s">
        <v>222</v>
      </c>
      <c r="S848" s="11" t="s">
        <v>222</v>
      </c>
      <c r="T848" s="12"/>
      <c r="U848" s="13"/>
      <c r="V848" s="12"/>
      <c r="W848" s="13"/>
      <c r="X848" s="12"/>
      <c r="Y848" s="14"/>
      <c r="Z848" s="14"/>
      <c r="AA848" s="14"/>
      <c r="AB848" s="14"/>
      <c r="AC848" s="14"/>
      <c r="AD848" s="14"/>
      <c r="AE848" s="14"/>
      <c r="AF848" s="3"/>
      <c r="AG848" s="3"/>
    </row>
    <row r="849" ht="13.5" customHeight="1">
      <c r="A849" s="3"/>
      <c r="B849" s="15"/>
      <c r="C849" s="3"/>
      <c r="D849" s="4"/>
      <c r="E849" s="5"/>
      <c r="F849" s="6"/>
      <c r="G849" s="3"/>
      <c r="H849" s="3"/>
      <c r="I849" s="7"/>
      <c r="J849" s="6" t="s">
        <v>222</v>
      </c>
      <c r="K849" s="4" t="s">
        <v>222</v>
      </c>
      <c r="L849" s="4" t="s">
        <v>222</v>
      </c>
      <c r="M849" s="4" t="s">
        <v>222</v>
      </c>
      <c r="N849" s="4" t="s">
        <v>222</v>
      </c>
      <c r="O849" s="4" t="s">
        <v>222</v>
      </c>
      <c r="P849" s="9"/>
      <c r="Q849" s="9"/>
      <c r="R849" s="87" t="s">
        <v>222</v>
      </c>
      <c r="S849" s="11" t="s">
        <v>222</v>
      </c>
      <c r="T849" s="12"/>
      <c r="U849" s="13"/>
      <c r="V849" s="12"/>
      <c r="W849" s="13"/>
      <c r="X849" s="12"/>
      <c r="Y849" s="14"/>
      <c r="Z849" s="14"/>
      <c r="AA849" s="14"/>
      <c r="AB849" s="14"/>
      <c r="AC849" s="14"/>
      <c r="AD849" s="14"/>
      <c r="AE849" s="14"/>
      <c r="AF849" s="3"/>
      <c r="AG849" s="3"/>
    </row>
    <row r="850" ht="13.5" customHeight="1">
      <c r="A850" s="3"/>
      <c r="B850" s="15"/>
      <c r="C850" s="3"/>
      <c r="D850" s="4"/>
      <c r="E850" s="5"/>
      <c r="F850" s="6"/>
      <c r="G850" s="3"/>
      <c r="H850" s="3"/>
      <c r="I850" s="7"/>
      <c r="J850" s="6" t="s">
        <v>222</v>
      </c>
      <c r="K850" s="4" t="s">
        <v>222</v>
      </c>
      <c r="L850" s="4" t="s">
        <v>222</v>
      </c>
      <c r="M850" s="4" t="s">
        <v>222</v>
      </c>
      <c r="N850" s="4" t="s">
        <v>222</v>
      </c>
      <c r="O850" s="4" t="s">
        <v>222</v>
      </c>
      <c r="P850" s="9"/>
      <c r="Q850" s="9"/>
      <c r="R850" s="87" t="s">
        <v>222</v>
      </c>
      <c r="S850" s="11" t="s">
        <v>222</v>
      </c>
      <c r="T850" s="12"/>
      <c r="U850" s="13"/>
      <c r="V850" s="12"/>
      <c r="W850" s="13"/>
      <c r="X850" s="12"/>
      <c r="Y850" s="14"/>
      <c r="Z850" s="14"/>
      <c r="AA850" s="14"/>
      <c r="AB850" s="14"/>
      <c r="AC850" s="14"/>
      <c r="AD850" s="14"/>
      <c r="AE850" s="14"/>
      <c r="AF850" s="3"/>
      <c r="AG850" s="3"/>
    </row>
    <row r="851" ht="13.5" customHeight="1">
      <c r="A851" s="3"/>
      <c r="B851" s="15"/>
      <c r="C851" s="3"/>
      <c r="D851" s="4"/>
      <c r="E851" s="5"/>
      <c r="F851" s="6"/>
      <c r="G851" s="3"/>
      <c r="H851" s="3"/>
      <c r="I851" s="7"/>
      <c r="J851" s="6" t="s">
        <v>222</v>
      </c>
      <c r="K851" s="4" t="s">
        <v>222</v>
      </c>
      <c r="L851" s="4" t="s">
        <v>222</v>
      </c>
      <c r="M851" s="4" t="s">
        <v>222</v>
      </c>
      <c r="N851" s="4" t="s">
        <v>222</v>
      </c>
      <c r="O851" s="4" t="s">
        <v>222</v>
      </c>
      <c r="P851" s="9"/>
      <c r="Q851" s="9"/>
      <c r="R851" s="87" t="s">
        <v>222</v>
      </c>
      <c r="S851" s="11" t="s">
        <v>222</v>
      </c>
      <c r="T851" s="12"/>
      <c r="U851" s="13"/>
      <c r="V851" s="12"/>
      <c r="W851" s="13"/>
      <c r="X851" s="12"/>
      <c r="Y851" s="14"/>
      <c r="Z851" s="14"/>
      <c r="AA851" s="14"/>
      <c r="AB851" s="14"/>
      <c r="AC851" s="14"/>
      <c r="AD851" s="14"/>
      <c r="AE851" s="14"/>
      <c r="AF851" s="3"/>
      <c r="AG851" s="3"/>
    </row>
    <row r="852" ht="13.5" customHeight="1">
      <c r="A852" s="3"/>
      <c r="B852" s="15"/>
      <c r="C852" s="3"/>
      <c r="D852" s="4"/>
      <c r="E852" s="5"/>
      <c r="F852" s="6"/>
      <c r="G852" s="3"/>
      <c r="H852" s="3"/>
      <c r="I852" s="7"/>
      <c r="J852" s="6" t="s">
        <v>222</v>
      </c>
      <c r="K852" s="4" t="s">
        <v>222</v>
      </c>
      <c r="L852" s="4" t="s">
        <v>222</v>
      </c>
      <c r="M852" s="4" t="s">
        <v>222</v>
      </c>
      <c r="N852" s="4" t="s">
        <v>222</v>
      </c>
      <c r="O852" s="4" t="s">
        <v>222</v>
      </c>
      <c r="P852" s="9"/>
      <c r="Q852" s="9"/>
      <c r="R852" s="87" t="s">
        <v>222</v>
      </c>
      <c r="S852" s="11" t="s">
        <v>222</v>
      </c>
      <c r="T852" s="12"/>
      <c r="U852" s="13"/>
      <c r="V852" s="12"/>
      <c r="W852" s="13"/>
      <c r="X852" s="12"/>
      <c r="Y852" s="14"/>
      <c r="Z852" s="14"/>
      <c r="AA852" s="14"/>
      <c r="AB852" s="14"/>
      <c r="AC852" s="14"/>
      <c r="AD852" s="14"/>
      <c r="AE852" s="14"/>
      <c r="AF852" s="3"/>
      <c r="AG852" s="3"/>
    </row>
    <row r="853" ht="13.5" customHeight="1">
      <c r="A853" s="3"/>
      <c r="B853" s="15"/>
      <c r="C853" s="3"/>
      <c r="D853" s="4"/>
      <c r="E853" s="5"/>
      <c r="F853" s="6"/>
      <c r="G853" s="3"/>
      <c r="H853" s="3"/>
      <c r="I853" s="7"/>
      <c r="J853" s="6" t="s">
        <v>222</v>
      </c>
      <c r="K853" s="4" t="s">
        <v>222</v>
      </c>
      <c r="L853" s="4" t="s">
        <v>222</v>
      </c>
      <c r="M853" s="4" t="s">
        <v>222</v>
      </c>
      <c r="N853" s="4" t="s">
        <v>222</v>
      </c>
      <c r="O853" s="4" t="s">
        <v>222</v>
      </c>
      <c r="P853" s="9"/>
      <c r="Q853" s="9"/>
      <c r="R853" s="87" t="s">
        <v>222</v>
      </c>
      <c r="S853" s="11" t="s">
        <v>222</v>
      </c>
      <c r="T853" s="12"/>
      <c r="U853" s="13"/>
      <c r="V853" s="12"/>
      <c r="W853" s="13"/>
      <c r="X853" s="12"/>
      <c r="Y853" s="14"/>
      <c r="Z853" s="14"/>
      <c r="AA853" s="14"/>
      <c r="AB853" s="14"/>
      <c r="AC853" s="14"/>
      <c r="AD853" s="14"/>
      <c r="AE853" s="14"/>
      <c r="AF853" s="3"/>
      <c r="AG853" s="3"/>
    </row>
    <row r="854" ht="13.5" customHeight="1">
      <c r="A854" s="3"/>
      <c r="B854" s="15"/>
      <c r="C854" s="3"/>
      <c r="D854" s="4"/>
      <c r="E854" s="5"/>
      <c r="F854" s="6"/>
      <c r="G854" s="3"/>
      <c r="H854" s="3"/>
      <c r="I854" s="7"/>
      <c r="J854" s="6" t="s">
        <v>222</v>
      </c>
      <c r="K854" s="4" t="s">
        <v>222</v>
      </c>
      <c r="L854" s="4" t="s">
        <v>222</v>
      </c>
      <c r="M854" s="4" t="s">
        <v>222</v>
      </c>
      <c r="N854" s="4" t="s">
        <v>222</v>
      </c>
      <c r="O854" s="4" t="s">
        <v>222</v>
      </c>
      <c r="P854" s="9"/>
      <c r="Q854" s="9"/>
      <c r="R854" s="87" t="s">
        <v>222</v>
      </c>
      <c r="S854" s="11" t="s">
        <v>222</v>
      </c>
      <c r="T854" s="12"/>
      <c r="U854" s="13"/>
      <c r="V854" s="12"/>
      <c r="W854" s="13"/>
      <c r="X854" s="12"/>
      <c r="Y854" s="14"/>
      <c r="Z854" s="14"/>
      <c r="AA854" s="14"/>
      <c r="AB854" s="14"/>
      <c r="AC854" s="14"/>
      <c r="AD854" s="14"/>
      <c r="AE854" s="14"/>
      <c r="AF854" s="3"/>
      <c r="AG854" s="3"/>
    </row>
    <row r="855" ht="13.5" customHeight="1">
      <c r="A855" s="3"/>
      <c r="B855" s="15"/>
      <c r="C855" s="3"/>
      <c r="D855" s="4"/>
      <c r="E855" s="5"/>
      <c r="F855" s="6"/>
      <c r="G855" s="3"/>
      <c r="H855" s="3"/>
      <c r="I855" s="7"/>
      <c r="J855" s="6" t="s">
        <v>222</v>
      </c>
      <c r="K855" s="4" t="s">
        <v>222</v>
      </c>
      <c r="L855" s="4" t="s">
        <v>222</v>
      </c>
      <c r="M855" s="4" t="s">
        <v>222</v>
      </c>
      <c r="N855" s="4" t="s">
        <v>222</v>
      </c>
      <c r="O855" s="4" t="s">
        <v>222</v>
      </c>
      <c r="P855" s="9"/>
      <c r="Q855" s="9"/>
      <c r="R855" s="87" t="s">
        <v>222</v>
      </c>
      <c r="S855" s="11" t="s">
        <v>222</v>
      </c>
      <c r="T855" s="12"/>
      <c r="U855" s="13"/>
      <c r="V855" s="12"/>
      <c r="W855" s="13"/>
      <c r="X855" s="12"/>
      <c r="Y855" s="14"/>
      <c r="Z855" s="14"/>
      <c r="AA855" s="14"/>
      <c r="AB855" s="14"/>
      <c r="AC855" s="14"/>
      <c r="AD855" s="14"/>
      <c r="AE855" s="14"/>
      <c r="AF855" s="3"/>
      <c r="AG855" s="3"/>
    </row>
    <row r="856" ht="13.5" customHeight="1">
      <c r="A856" s="3"/>
      <c r="B856" s="15"/>
      <c r="C856" s="3"/>
      <c r="D856" s="4"/>
      <c r="E856" s="5"/>
      <c r="F856" s="6"/>
      <c r="G856" s="3"/>
      <c r="H856" s="3"/>
      <c r="I856" s="7"/>
      <c r="J856" s="6" t="s">
        <v>222</v>
      </c>
      <c r="K856" s="4" t="s">
        <v>222</v>
      </c>
      <c r="L856" s="4" t="s">
        <v>222</v>
      </c>
      <c r="M856" s="4" t="s">
        <v>222</v>
      </c>
      <c r="N856" s="4" t="s">
        <v>222</v>
      </c>
      <c r="O856" s="4" t="s">
        <v>222</v>
      </c>
      <c r="P856" s="9"/>
      <c r="Q856" s="9"/>
      <c r="R856" s="87" t="s">
        <v>222</v>
      </c>
      <c r="S856" s="11" t="s">
        <v>222</v>
      </c>
      <c r="T856" s="12"/>
      <c r="U856" s="13"/>
      <c r="V856" s="12"/>
      <c r="W856" s="13"/>
      <c r="X856" s="12"/>
      <c r="Y856" s="14"/>
      <c r="Z856" s="14"/>
      <c r="AA856" s="14"/>
      <c r="AB856" s="14"/>
      <c r="AC856" s="14"/>
      <c r="AD856" s="14"/>
      <c r="AE856" s="14"/>
      <c r="AF856" s="3"/>
      <c r="AG856" s="3"/>
    </row>
    <row r="857" ht="13.5" customHeight="1">
      <c r="A857" s="3"/>
      <c r="B857" s="15"/>
      <c r="C857" s="3"/>
      <c r="D857" s="4"/>
      <c r="E857" s="5"/>
      <c r="F857" s="6"/>
      <c r="G857" s="3"/>
      <c r="H857" s="3"/>
      <c r="I857" s="7"/>
      <c r="J857" s="6" t="s">
        <v>222</v>
      </c>
      <c r="K857" s="4" t="s">
        <v>222</v>
      </c>
      <c r="L857" s="4" t="s">
        <v>222</v>
      </c>
      <c r="M857" s="4" t="s">
        <v>222</v>
      </c>
      <c r="N857" s="4" t="s">
        <v>222</v>
      </c>
      <c r="O857" s="4" t="s">
        <v>222</v>
      </c>
      <c r="P857" s="9"/>
      <c r="Q857" s="9"/>
      <c r="R857" s="87" t="s">
        <v>222</v>
      </c>
      <c r="S857" s="11" t="s">
        <v>222</v>
      </c>
      <c r="T857" s="12"/>
      <c r="U857" s="13"/>
      <c r="V857" s="12"/>
      <c r="W857" s="13"/>
      <c r="X857" s="12"/>
      <c r="Y857" s="14"/>
      <c r="Z857" s="14"/>
      <c r="AA857" s="14"/>
      <c r="AB857" s="14"/>
      <c r="AC857" s="14"/>
      <c r="AD857" s="14"/>
      <c r="AE857" s="14"/>
      <c r="AF857" s="3"/>
      <c r="AG857" s="3"/>
    </row>
    <row r="858" ht="13.5" customHeight="1">
      <c r="A858" s="3"/>
      <c r="B858" s="15"/>
      <c r="C858" s="3"/>
      <c r="D858" s="4"/>
      <c r="E858" s="5"/>
      <c r="F858" s="6"/>
      <c r="G858" s="3"/>
      <c r="H858" s="3"/>
      <c r="I858" s="7"/>
      <c r="J858" s="6" t="s">
        <v>222</v>
      </c>
      <c r="K858" s="4" t="s">
        <v>222</v>
      </c>
      <c r="L858" s="4" t="s">
        <v>222</v>
      </c>
      <c r="M858" s="4" t="s">
        <v>222</v>
      </c>
      <c r="N858" s="4" t="s">
        <v>222</v>
      </c>
      <c r="O858" s="4" t="s">
        <v>222</v>
      </c>
      <c r="P858" s="9"/>
      <c r="Q858" s="9"/>
      <c r="R858" s="87" t="s">
        <v>222</v>
      </c>
      <c r="S858" s="11" t="s">
        <v>222</v>
      </c>
      <c r="T858" s="12"/>
      <c r="U858" s="13"/>
      <c r="V858" s="12"/>
      <c r="W858" s="13"/>
      <c r="X858" s="12"/>
      <c r="Y858" s="14"/>
      <c r="Z858" s="14"/>
      <c r="AA858" s="14"/>
      <c r="AB858" s="14"/>
      <c r="AC858" s="14"/>
      <c r="AD858" s="14"/>
      <c r="AE858" s="14"/>
      <c r="AF858" s="3"/>
      <c r="AG858" s="3"/>
    </row>
    <row r="859" ht="13.5" customHeight="1">
      <c r="A859" s="3"/>
      <c r="B859" s="15"/>
      <c r="C859" s="3"/>
      <c r="D859" s="4"/>
      <c r="E859" s="5"/>
      <c r="F859" s="6"/>
      <c r="G859" s="3"/>
      <c r="H859" s="3"/>
      <c r="I859" s="7"/>
      <c r="J859" s="6" t="s">
        <v>222</v>
      </c>
      <c r="K859" s="4" t="s">
        <v>222</v>
      </c>
      <c r="L859" s="4" t="s">
        <v>222</v>
      </c>
      <c r="M859" s="4" t="s">
        <v>222</v>
      </c>
      <c r="N859" s="4" t="s">
        <v>222</v>
      </c>
      <c r="O859" s="4" t="s">
        <v>222</v>
      </c>
      <c r="P859" s="9"/>
      <c r="Q859" s="9"/>
      <c r="R859" s="87" t="s">
        <v>222</v>
      </c>
      <c r="S859" s="11" t="s">
        <v>222</v>
      </c>
      <c r="T859" s="12"/>
      <c r="U859" s="13"/>
      <c r="V859" s="12"/>
      <c r="W859" s="13"/>
      <c r="X859" s="12"/>
      <c r="Y859" s="14"/>
      <c r="Z859" s="14"/>
      <c r="AA859" s="14"/>
      <c r="AB859" s="14"/>
      <c r="AC859" s="14"/>
      <c r="AD859" s="14"/>
      <c r="AE859" s="14"/>
      <c r="AF859" s="3"/>
      <c r="AG859" s="3"/>
    </row>
    <row r="860" ht="13.5" customHeight="1">
      <c r="A860" s="3"/>
      <c r="B860" s="15"/>
      <c r="C860" s="3"/>
      <c r="D860" s="4"/>
      <c r="E860" s="5"/>
      <c r="F860" s="6"/>
      <c r="G860" s="3"/>
      <c r="H860" s="3"/>
      <c r="I860" s="7"/>
      <c r="J860" s="6" t="s">
        <v>222</v>
      </c>
      <c r="K860" s="4" t="s">
        <v>222</v>
      </c>
      <c r="L860" s="4" t="s">
        <v>222</v>
      </c>
      <c r="M860" s="4" t="s">
        <v>222</v>
      </c>
      <c r="N860" s="4" t="s">
        <v>222</v>
      </c>
      <c r="O860" s="4" t="s">
        <v>222</v>
      </c>
      <c r="P860" s="9"/>
      <c r="Q860" s="9"/>
      <c r="R860" s="87" t="s">
        <v>222</v>
      </c>
      <c r="S860" s="11" t="s">
        <v>222</v>
      </c>
      <c r="T860" s="12"/>
      <c r="U860" s="13"/>
      <c r="V860" s="12"/>
      <c r="W860" s="13"/>
      <c r="X860" s="12"/>
      <c r="Y860" s="14"/>
      <c r="Z860" s="14"/>
      <c r="AA860" s="14"/>
      <c r="AB860" s="14"/>
      <c r="AC860" s="14"/>
      <c r="AD860" s="14"/>
      <c r="AE860" s="14"/>
      <c r="AF860" s="3"/>
      <c r="AG860" s="3"/>
    </row>
    <row r="861" ht="13.5" customHeight="1">
      <c r="A861" s="3"/>
      <c r="B861" s="15"/>
      <c r="C861" s="3"/>
      <c r="D861" s="4"/>
      <c r="E861" s="5"/>
      <c r="F861" s="6"/>
      <c r="G861" s="3"/>
      <c r="H861" s="3"/>
      <c r="I861" s="7"/>
      <c r="J861" s="6" t="s">
        <v>222</v>
      </c>
      <c r="K861" s="4" t="s">
        <v>222</v>
      </c>
      <c r="L861" s="4" t="s">
        <v>222</v>
      </c>
      <c r="M861" s="4" t="s">
        <v>222</v>
      </c>
      <c r="N861" s="4" t="s">
        <v>222</v>
      </c>
      <c r="O861" s="4" t="s">
        <v>222</v>
      </c>
      <c r="P861" s="9"/>
      <c r="Q861" s="9"/>
      <c r="R861" s="87" t="s">
        <v>222</v>
      </c>
      <c r="S861" s="11" t="s">
        <v>222</v>
      </c>
      <c r="T861" s="12"/>
      <c r="U861" s="13"/>
      <c r="V861" s="12"/>
      <c r="W861" s="13"/>
      <c r="X861" s="12"/>
      <c r="Y861" s="14"/>
      <c r="Z861" s="14"/>
      <c r="AA861" s="14"/>
      <c r="AB861" s="14"/>
      <c r="AC861" s="14"/>
      <c r="AD861" s="14"/>
      <c r="AE861" s="14"/>
      <c r="AF861" s="3"/>
      <c r="AG861" s="3"/>
    </row>
    <row r="862" ht="13.5" customHeight="1">
      <c r="A862" s="3"/>
      <c r="B862" s="15"/>
      <c r="C862" s="3"/>
      <c r="D862" s="4"/>
      <c r="E862" s="5"/>
      <c r="F862" s="6"/>
      <c r="G862" s="3"/>
      <c r="H862" s="3"/>
      <c r="I862" s="7"/>
      <c r="J862" s="6" t="s">
        <v>222</v>
      </c>
      <c r="K862" s="4" t="s">
        <v>222</v>
      </c>
      <c r="L862" s="4" t="s">
        <v>222</v>
      </c>
      <c r="M862" s="4" t="s">
        <v>222</v>
      </c>
      <c r="N862" s="4" t="s">
        <v>222</v>
      </c>
      <c r="O862" s="4" t="s">
        <v>222</v>
      </c>
      <c r="P862" s="9"/>
      <c r="Q862" s="9"/>
      <c r="R862" s="87" t="s">
        <v>222</v>
      </c>
      <c r="S862" s="11" t="s">
        <v>222</v>
      </c>
      <c r="T862" s="12"/>
      <c r="U862" s="13"/>
      <c r="V862" s="12"/>
      <c r="W862" s="13"/>
      <c r="X862" s="12"/>
      <c r="Y862" s="14"/>
      <c r="Z862" s="14"/>
      <c r="AA862" s="14"/>
      <c r="AB862" s="14"/>
      <c r="AC862" s="14"/>
      <c r="AD862" s="14"/>
      <c r="AE862" s="14"/>
      <c r="AF862" s="3"/>
      <c r="AG862" s="3"/>
    </row>
    <row r="863" ht="13.5" customHeight="1">
      <c r="A863" s="3"/>
      <c r="B863" s="15"/>
      <c r="C863" s="3"/>
      <c r="D863" s="4"/>
      <c r="E863" s="5"/>
      <c r="F863" s="6"/>
      <c r="G863" s="3"/>
      <c r="H863" s="3"/>
      <c r="I863" s="7"/>
      <c r="J863" s="6" t="s">
        <v>222</v>
      </c>
      <c r="K863" s="4" t="s">
        <v>222</v>
      </c>
      <c r="L863" s="4" t="s">
        <v>222</v>
      </c>
      <c r="M863" s="4" t="s">
        <v>222</v>
      </c>
      <c r="N863" s="4" t="s">
        <v>222</v>
      </c>
      <c r="O863" s="4" t="s">
        <v>222</v>
      </c>
      <c r="P863" s="9"/>
      <c r="Q863" s="9"/>
      <c r="R863" s="87" t="s">
        <v>222</v>
      </c>
      <c r="S863" s="11" t="s">
        <v>222</v>
      </c>
      <c r="T863" s="12"/>
      <c r="U863" s="13"/>
      <c r="V863" s="12"/>
      <c r="W863" s="13"/>
      <c r="X863" s="12"/>
      <c r="Y863" s="14"/>
      <c r="Z863" s="14"/>
      <c r="AA863" s="14"/>
      <c r="AB863" s="14"/>
      <c r="AC863" s="14"/>
      <c r="AD863" s="14"/>
      <c r="AE863" s="14"/>
      <c r="AF863" s="3"/>
      <c r="AG863" s="3"/>
    </row>
    <row r="864" ht="13.5" customHeight="1">
      <c r="A864" s="3"/>
      <c r="B864" s="15"/>
      <c r="C864" s="3"/>
      <c r="D864" s="4"/>
      <c r="E864" s="5"/>
      <c r="F864" s="6"/>
      <c r="G864" s="3"/>
      <c r="H864" s="3"/>
      <c r="I864" s="7"/>
      <c r="J864" s="6" t="s">
        <v>222</v>
      </c>
      <c r="K864" s="4" t="s">
        <v>222</v>
      </c>
      <c r="L864" s="4" t="s">
        <v>222</v>
      </c>
      <c r="M864" s="4" t="s">
        <v>222</v>
      </c>
      <c r="N864" s="4" t="s">
        <v>222</v>
      </c>
      <c r="O864" s="4" t="s">
        <v>222</v>
      </c>
      <c r="P864" s="9"/>
      <c r="Q864" s="9"/>
      <c r="R864" s="87" t="s">
        <v>222</v>
      </c>
      <c r="S864" s="11" t="s">
        <v>222</v>
      </c>
      <c r="T864" s="12"/>
      <c r="U864" s="13"/>
      <c r="V864" s="12"/>
      <c r="W864" s="13"/>
      <c r="X864" s="12"/>
      <c r="Y864" s="14"/>
      <c r="Z864" s="14"/>
      <c r="AA864" s="14"/>
      <c r="AB864" s="14"/>
      <c r="AC864" s="14"/>
      <c r="AD864" s="14"/>
      <c r="AE864" s="14"/>
      <c r="AF864" s="3"/>
      <c r="AG864" s="3"/>
    </row>
    <row r="865" ht="13.5" customHeight="1">
      <c r="A865" s="3"/>
      <c r="B865" s="15"/>
      <c r="C865" s="3"/>
      <c r="D865" s="4"/>
      <c r="E865" s="5"/>
      <c r="F865" s="6"/>
      <c r="G865" s="3"/>
      <c r="H865" s="3"/>
      <c r="I865" s="7"/>
      <c r="J865" s="6" t="s">
        <v>222</v>
      </c>
      <c r="K865" s="4" t="s">
        <v>222</v>
      </c>
      <c r="L865" s="4" t="s">
        <v>222</v>
      </c>
      <c r="M865" s="4" t="s">
        <v>222</v>
      </c>
      <c r="N865" s="4" t="s">
        <v>222</v>
      </c>
      <c r="O865" s="4" t="s">
        <v>222</v>
      </c>
      <c r="P865" s="9"/>
      <c r="Q865" s="9"/>
      <c r="R865" s="87" t="s">
        <v>222</v>
      </c>
      <c r="S865" s="11" t="s">
        <v>222</v>
      </c>
      <c r="T865" s="12"/>
      <c r="U865" s="13"/>
      <c r="V865" s="12"/>
      <c r="W865" s="13"/>
      <c r="X865" s="12"/>
      <c r="Y865" s="14"/>
      <c r="Z865" s="14"/>
      <c r="AA865" s="14"/>
      <c r="AB865" s="14"/>
      <c r="AC865" s="14"/>
      <c r="AD865" s="14"/>
      <c r="AE865" s="14"/>
      <c r="AF865" s="3"/>
      <c r="AG865" s="3"/>
    </row>
    <row r="866" ht="13.5" customHeight="1">
      <c r="A866" s="3"/>
      <c r="B866" s="15"/>
      <c r="C866" s="3"/>
      <c r="D866" s="4"/>
      <c r="E866" s="5"/>
      <c r="F866" s="6"/>
      <c r="G866" s="3"/>
      <c r="H866" s="3"/>
      <c r="I866" s="7"/>
      <c r="J866" s="6" t="s">
        <v>222</v>
      </c>
      <c r="K866" s="4" t="s">
        <v>222</v>
      </c>
      <c r="L866" s="4" t="s">
        <v>222</v>
      </c>
      <c r="M866" s="4" t="s">
        <v>222</v>
      </c>
      <c r="N866" s="4" t="s">
        <v>222</v>
      </c>
      <c r="O866" s="4" t="s">
        <v>222</v>
      </c>
      <c r="P866" s="9"/>
      <c r="Q866" s="9"/>
      <c r="R866" s="87" t="s">
        <v>222</v>
      </c>
      <c r="S866" s="11" t="s">
        <v>222</v>
      </c>
      <c r="T866" s="12"/>
      <c r="U866" s="13"/>
      <c r="V866" s="12"/>
      <c r="W866" s="13"/>
      <c r="X866" s="12"/>
      <c r="Y866" s="14"/>
      <c r="Z866" s="14"/>
      <c r="AA866" s="14"/>
      <c r="AB866" s="14"/>
      <c r="AC866" s="14"/>
      <c r="AD866" s="14"/>
      <c r="AE866" s="14"/>
      <c r="AF866" s="3"/>
      <c r="AG866" s="3"/>
    </row>
    <row r="867" ht="13.5" customHeight="1">
      <c r="A867" s="3"/>
      <c r="B867" s="15"/>
      <c r="C867" s="3"/>
      <c r="D867" s="4"/>
      <c r="E867" s="5"/>
      <c r="F867" s="6"/>
      <c r="G867" s="3"/>
      <c r="H867" s="3"/>
      <c r="I867" s="7"/>
      <c r="J867" s="6" t="s">
        <v>222</v>
      </c>
      <c r="K867" s="4" t="s">
        <v>222</v>
      </c>
      <c r="L867" s="4" t="s">
        <v>222</v>
      </c>
      <c r="M867" s="4" t="s">
        <v>222</v>
      </c>
      <c r="N867" s="4" t="s">
        <v>222</v>
      </c>
      <c r="O867" s="4" t="s">
        <v>222</v>
      </c>
      <c r="P867" s="9"/>
      <c r="Q867" s="9"/>
      <c r="R867" s="87" t="s">
        <v>222</v>
      </c>
      <c r="S867" s="11" t="s">
        <v>222</v>
      </c>
      <c r="T867" s="12"/>
      <c r="U867" s="13"/>
      <c r="V867" s="12"/>
      <c r="W867" s="13"/>
      <c r="X867" s="12"/>
      <c r="Y867" s="14"/>
      <c r="Z867" s="14"/>
      <c r="AA867" s="14"/>
      <c r="AB867" s="14"/>
      <c r="AC867" s="14"/>
      <c r="AD867" s="14"/>
      <c r="AE867" s="14"/>
      <c r="AF867" s="3"/>
      <c r="AG867" s="3"/>
    </row>
    <row r="868" ht="13.5" customHeight="1">
      <c r="A868" s="3"/>
      <c r="B868" s="15"/>
      <c r="C868" s="3"/>
      <c r="D868" s="4"/>
      <c r="E868" s="5"/>
      <c r="F868" s="6"/>
      <c r="G868" s="3"/>
      <c r="H868" s="3"/>
      <c r="I868" s="7"/>
      <c r="J868" s="6" t="s">
        <v>222</v>
      </c>
      <c r="K868" s="4" t="s">
        <v>222</v>
      </c>
      <c r="L868" s="4" t="s">
        <v>222</v>
      </c>
      <c r="M868" s="4" t="s">
        <v>222</v>
      </c>
      <c r="N868" s="4" t="s">
        <v>222</v>
      </c>
      <c r="O868" s="4" t="s">
        <v>222</v>
      </c>
      <c r="P868" s="9"/>
      <c r="Q868" s="9"/>
      <c r="R868" s="87" t="s">
        <v>222</v>
      </c>
      <c r="S868" s="11" t="s">
        <v>222</v>
      </c>
      <c r="T868" s="12"/>
      <c r="U868" s="13"/>
      <c r="V868" s="12"/>
      <c r="W868" s="13"/>
      <c r="X868" s="12"/>
      <c r="Y868" s="14"/>
      <c r="Z868" s="14"/>
      <c r="AA868" s="14"/>
      <c r="AB868" s="14"/>
      <c r="AC868" s="14"/>
      <c r="AD868" s="14"/>
      <c r="AE868" s="14"/>
      <c r="AF868" s="3"/>
      <c r="AG868" s="3"/>
    </row>
    <row r="869" ht="13.5" customHeight="1">
      <c r="A869" s="3"/>
      <c r="B869" s="15"/>
      <c r="C869" s="3"/>
      <c r="D869" s="4"/>
      <c r="E869" s="5"/>
      <c r="F869" s="6"/>
      <c r="G869" s="3"/>
      <c r="H869" s="3"/>
      <c r="I869" s="7"/>
      <c r="J869" s="6" t="s">
        <v>222</v>
      </c>
      <c r="K869" s="4" t="s">
        <v>222</v>
      </c>
      <c r="L869" s="4" t="s">
        <v>222</v>
      </c>
      <c r="M869" s="4" t="s">
        <v>222</v>
      </c>
      <c r="N869" s="4" t="s">
        <v>222</v>
      </c>
      <c r="O869" s="4" t="s">
        <v>222</v>
      </c>
      <c r="P869" s="9"/>
      <c r="Q869" s="9"/>
      <c r="R869" s="87" t="s">
        <v>222</v>
      </c>
      <c r="S869" s="11" t="s">
        <v>222</v>
      </c>
      <c r="T869" s="12"/>
      <c r="U869" s="13"/>
      <c r="V869" s="12"/>
      <c r="W869" s="13"/>
      <c r="X869" s="12"/>
      <c r="Y869" s="14"/>
      <c r="Z869" s="14"/>
      <c r="AA869" s="14"/>
      <c r="AB869" s="14"/>
      <c r="AC869" s="14"/>
      <c r="AD869" s="14"/>
      <c r="AE869" s="14"/>
      <c r="AF869" s="3"/>
      <c r="AG869" s="3"/>
    </row>
    <row r="870" ht="13.5" customHeight="1">
      <c r="A870" s="3"/>
      <c r="B870" s="15"/>
      <c r="C870" s="3"/>
      <c r="D870" s="4"/>
      <c r="E870" s="5"/>
      <c r="F870" s="6"/>
      <c r="G870" s="3"/>
      <c r="H870" s="3"/>
      <c r="I870" s="7"/>
      <c r="J870" s="6" t="s">
        <v>222</v>
      </c>
      <c r="K870" s="4" t="s">
        <v>222</v>
      </c>
      <c r="L870" s="4" t="s">
        <v>222</v>
      </c>
      <c r="M870" s="4" t="s">
        <v>222</v>
      </c>
      <c r="N870" s="4" t="s">
        <v>222</v>
      </c>
      <c r="O870" s="4" t="s">
        <v>222</v>
      </c>
      <c r="P870" s="9"/>
      <c r="Q870" s="9"/>
      <c r="R870" s="87" t="s">
        <v>222</v>
      </c>
      <c r="S870" s="11" t="s">
        <v>222</v>
      </c>
      <c r="T870" s="12"/>
      <c r="U870" s="13"/>
      <c r="V870" s="12"/>
      <c r="W870" s="13"/>
      <c r="X870" s="12"/>
      <c r="Y870" s="14"/>
      <c r="Z870" s="14"/>
      <c r="AA870" s="14"/>
      <c r="AB870" s="14"/>
      <c r="AC870" s="14"/>
      <c r="AD870" s="14"/>
      <c r="AE870" s="14"/>
      <c r="AF870" s="3"/>
      <c r="AG870" s="3"/>
    </row>
    <row r="871" ht="13.5" customHeight="1">
      <c r="A871" s="3"/>
      <c r="B871" s="15"/>
      <c r="C871" s="3"/>
      <c r="D871" s="4"/>
      <c r="E871" s="5"/>
      <c r="F871" s="6"/>
      <c r="G871" s="3"/>
      <c r="H871" s="3"/>
      <c r="I871" s="7"/>
      <c r="J871" s="6" t="s">
        <v>222</v>
      </c>
      <c r="K871" s="4" t="s">
        <v>222</v>
      </c>
      <c r="L871" s="4" t="s">
        <v>222</v>
      </c>
      <c r="M871" s="4" t="s">
        <v>222</v>
      </c>
      <c r="N871" s="4" t="s">
        <v>222</v>
      </c>
      <c r="O871" s="4" t="s">
        <v>222</v>
      </c>
      <c r="P871" s="9"/>
      <c r="Q871" s="9"/>
      <c r="R871" s="87" t="s">
        <v>222</v>
      </c>
      <c r="S871" s="11" t="s">
        <v>222</v>
      </c>
      <c r="T871" s="12"/>
      <c r="U871" s="13"/>
      <c r="V871" s="12"/>
      <c r="W871" s="13"/>
      <c r="X871" s="12"/>
      <c r="Y871" s="14"/>
      <c r="Z871" s="14"/>
      <c r="AA871" s="14"/>
      <c r="AB871" s="14"/>
      <c r="AC871" s="14"/>
      <c r="AD871" s="14"/>
      <c r="AE871" s="14"/>
      <c r="AF871" s="3"/>
      <c r="AG871" s="3"/>
    </row>
    <row r="872" ht="13.5" customHeight="1">
      <c r="A872" s="3"/>
      <c r="B872" s="15"/>
      <c r="C872" s="3"/>
      <c r="D872" s="4"/>
      <c r="E872" s="5"/>
      <c r="F872" s="6"/>
      <c r="G872" s="3"/>
      <c r="H872" s="3"/>
      <c r="I872" s="7"/>
      <c r="J872" s="6" t="s">
        <v>222</v>
      </c>
      <c r="K872" s="4" t="s">
        <v>222</v>
      </c>
      <c r="L872" s="4" t="s">
        <v>222</v>
      </c>
      <c r="M872" s="4" t="s">
        <v>222</v>
      </c>
      <c r="N872" s="4" t="s">
        <v>222</v>
      </c>
      <c r="O872" s="4" t="s">
        <v>222</v>
      </c>
      <c r="P872" s="9"/>
      <c r="Q872" s="9"/>
      <c r="R872" s="87" t="s">
        <v>222</v>
      </c>
      <c r="S872" s="11" t="s">
        <v>222</v>
      </c>
      <c r="T872" s="12"/>
      <c r="U872" s="13"/>
      <c r="V872" s="12"/>
      <c r="W872" s="13"/>
      <c r="X872" s="12"/>
      <c r="Y872" s="14"/>
      <c r="Z872" s="14"/>
      <c r="AA872" s="14"/>
      <c r="AB872" s="14"/>
      <c r="AC872" s="14"/>
      <c r="AD872" s="14"/>
      <c r="AE872" s="14"/>
      <c r="AF872" s="3"/>
      <c r="AG872" s="3"/>
    </row>
    <row r="873" ht="13.5" customHeight="1">
      <c r="A873" s="3"/>
      <c r="B873" s="15"/>
      <c r="C873" s="3"/>
      <c r="D873" s="4"/>
      <c r="E873" s="5"/>
      <c r="F873" s="6"/>
      <c r="G873" s="3"/>
      <c r="H873" s="3"/>
      <c r="I873" s="7"/>
      <c r="J873" s="6" t="s">
        <v>222</v>
      </c>
      <c r="K873" s="4" t="s">
        <v>222</v>
      </c>
      <c r="L873" s="4" t="s">
        <v>222</v>
      </c>
      <c r="M873" s="4" t="s">
        <v>222</v>
      </c>
      <c r="N873" s="4" t="s">
        <v>222</v>
      </c>
      <c r="O873" s="4" t="s">
        <v>222</v>
      </c>
      <c r="P873" s="9"/>
      <c r="Q873" s="9"/>
      <c r="R873" s="87" t="s">
        <v>222</v>
      </c>
      <c r="S873" s="11" t="s">
        <v>222</v>
      </c>
      <c r="T873" s="12"/>
      <c r="U873" s="13"/>
      <c r="V873" s="12"/>
      <c r="W873" s="13"/>
      <c r="X873" s="12"/>
      <c r="Y873" s="14"/>
      <c r="Z873" s="14"/>
      <c r="AA873" s="14"/>
      <c r="AB873" s="14"/>
      <c r="AC873" s="14"/>
      <c r="AD873" s="14"/>
      <c r="AE873" s="14"/>
      <c r="AF873" s="3"/>
      <c r="AG873" s="3"/>
    </row>
    <row r="874" ht="13.5" customHeight="1">
      <c r="A874" s="3"/>
      <c r="B874" s="15"/>
      <c r="C874" s="3"/>
      <c r="D874" s="4"/>
      <c r="E874" s="5"/>
      <c r="F874" s="6"/>
      <c r="G874" s="3"/>
      <c r="H874" s="3"/>
      <c r="I874" s="7"/>
      <c r="J874" s="6" t="s">
        <v>222</v>
      </c>
      <c r="K874" s="4" t="s">
        <v>222</v>
      </c>
      <c r="L874" s="4" t="s">
        <v>222</v>
      </c>
      <c r="M874" s="4" t="s">
        <v>222</v>
      </c>
      <c r="N874" s="4" t="s">
        <v>222</v>
      </c>
      <c r="O874" s="4" t="s">
        <v>222</v>
      </c>
      <c r="P874" s="9"/>
      <c r="Q874" s="9"/>
      <c r="R874" s="87" t="s">
        <v>222</v>
      </c>
      <c r="S874" s="11" t="s">
        <v>222</v>
      </c>
      <c r="T874" s="12"/>
      <c r="U874" s="13"/>
      <c r="V874" s="12"/>
      <c r="W874" s="13"/>
      <c r="X874" s="12"/>
      <c r="Y874" s="14"/>
      <c r="Z874" s="14"/>
      <c r="AA874" s="14"/>
      <c r="AB874" s="14"/>
      <c r="AC874" s="14"/>
      <c r="AD874" s="14"/>
      <c r="AE874" s="14"/>
      <c r="AF874" s="3"/>
      <c r="AG874" s="3"/>
    </row>
    <row r="875" ht="13.5" customHeight="1">
      <c r="A875" s="3"/>
      <c r="B875" s="15"/>
      <c r="C875" s="3"/>
      <c r="D875" s="4"/>
      <c r="E875" s="5"/>
      <c r="F875" s="6"/>
      <c r="G875" s="3"/>
      <c r="H875" s="3"/>
      <c r="I875" s="7"/>
      <c r="J875" s="6" t="s">
        <v>222</v>
      </c>
      <c r="K875" s="4" t="s">
        <v>222</v>
      </c>
      <c r="L875" s="4" t="s">
        <v>222</v>
      </c>
      <c r="M875" s="4" t="s">
        <v>222</v>
      </c>
      <c r="N875" s="4" t="s">
        <v>222</v>
      </c>
      <c r="O875" s="4" t="s">
        <v>222</v>
      </c>
      <c r="P875" s="9"/>
      <c r="Q875" s="9"/>
      <c r="R875" s="87" t="s">
        <v>222</v>
      </c>
      <c r="S875" s="11" t="s">
        <v>222</v>
      </c>
      <c r="T875" s="12"/>
      <c r="U875" s="13"/>
      <c r="V875" s="12"/>
      <c r="W875" s="13"/>
      <c r="X875" s="12"/>
      <c r="Y875" s="14"/>
      <c r="Z875" s="14"/>
      <c r="AA875" s="14"/>
      <c r="AB875" s="14"/>
      <c r="AC875" s="14"/>
      <c r="AD875" s="14"/>
      <c r="AE875" s="14"/>
      <c r="AF875" s="3"/>
      <c r="AG875" s="3"/>
    </row>
    <row r="876" ht="13.5" customHeight="1">
      <c r="A876" s="3"/>
      <c r="B876" s="15"/>
      <c r="C876" s="3"/>
      <c r="D876" s="4"/>
      <c r="E876" s="5"/>
      <c r="F876" s="6"/>
      <c r="G876" s="3"/>
      <c r="H876" s="3"/>
      <c r="I876" s="7"/>
      <c r="J876" s="6" t="s">
        <v>222</v>
      </c>
      <c r="K876" s="4" t="s">
        <v>222</v>
      </c>
      <c r="L876" s="4" t="s">
        <v>222</v>
      </c>
      <c r="M876" s="4" t="s">
        <v>222</v>
      </c>
      <c r="N876" s="4" t="s">
        <v>222</v>
      </c>
      <c r="O876" s="4" t="s">
        <v>222</v>
      </c>
      <c r="P876" s="9"/>
      <c r="Q876" s="9"/>
      <c r="R876" s="87" t="s">
        <v>222</v>
      </c>
      <c r="S876" s="11" t="s">
        <v>222</v>
      </c>
      <c r="T876" s="12"/>
      <c r="U876" s="13"/>
      <c r="V876" s="12"/>
      <c r="W876" s="13"/>
      <c r="X876" s="12"/>
      <c r="Y876" s="14"/>
      <c r="Z876" s="14"/>
      <c r="AA876" s="14"/>
      <c r="AB876" s="14"/>
      <c r="AC876" s="14"/>
      <c r="AD876" s="14"/>
      <c r="AE876" s="14"/>
      <c r="AF876" s="3"/>
      <c r="AG876" s="3"/>
    </row>
    <row r="877" ht="13.5" customHeight="1">
      <c r="A877" s="3"/>
      <c r="B877" s="15"/>
      <c r="C877" s="3"/>
      <c r="D877" s="4"/>
      <c r="E877" s="5"/>
      <c r="F877" s="6"/>
      <c r="G877" s="3"/>
      <c r="H877" s="3"/>
      <c r="I877" s="7"/>
      <c r="J877" s="6" t="s">
        <v>222</v>
      </c>
      <c r="K877" s="4" t="s">
        <v>222</v>
      </c>
      <c r="L877" s="4" t="s">
        <v>222</v>
      </c>
      <c r="M877" s="4" t="s">
        <v>222</v>
      </c>
      <c r="N877" s="4" t="s">
        <v>222</v>
      </c>
      <c r="O877" s="4" t="s">
        <v>222</v>
      </c>
      <c r="P877" s="9"/>
      <c r="Q877" s="9"/>
      <c r="R877" s="87" t="s">
        <v>222</v>
      </c>
      <c r="S877" s="11" t="s">
        <v>222</v>
      </c>
      <c r="T877" s="12"/>
      <c r="U877" s="13"/>
      <c r="V877" s="12"/>
      <c r="W877" s="13"/>
      <c r="X877" s="12"/>
      <c r="Y877" s="14"/>
      <c r="Z877" s="14"/>
      <c r="AA877" s="14"/>
      <c r="AB877" s="14"/>
      <c r="AC877" s="14"/>
      <c r="AD877" s="14"/>
      <c r="AE877" s="14"/>
      <c r="AF877" s="3"/>
      <c r="AG877" s="3"/>
    </row>
    <row r="878" ht="13.5" customHeight="1">
      <c r="A878" s="3"/>
      <c r="B878" s="15"/>
      <c r="C878" s="3"/>
      <c r="D878" s="4"/>
      <c r="E878" s="5"/>
      <c r="F878" s="6"/>
      <c r="G878" s="3"/>
      <c r="H878" s="3"/>
      <c r="I878" s="7"/>
      <c r="J878" s="6" t="s">
        <v>222</v>
      </c>
      <c r="K878" s="4" t="s">
        <v>222</v>
      </c>
      <c r="L878" s="4" t="s">
        <v>222</v>
      </c>
      <c r="M878" s="4" t="s">
        <v>222</v>
      </c>
      <c r="N878" s="4" t="s">
        <v>222</v>
      </c>
      <c r="O878" s="4" t="s">
        <v>222</v>
      </c>
      <c r="P878" s="9"/>
      <c r="Q878" s="9"/>
      <c r="R878" s="87" t="s">
        <v>222</v>
      </c>
      <c r="S878" s="11" t="s">
        <v>222</v>
      </c>
      <c r="T878" s="12"/>
      <c r="U878" s="13"/>
      <c r="V878" s="12"/>
      <c r="W878" s="13"/>
      <c r="X878" s="12"/>
      <c r="Y878" s="14"/>
      <c r="Z878" s="14"/>
      <c r="AA878" s="14"/>
      <c r="AB878" s="14"/>
      <c r="AC878" s="14"/>
      <c r="AD878" s="14"/>
      <c r="AE878" s="14"/>
      <c r="AF878" s="3"/>
      <c r="AG878" s="3"/>
    </row>
    <row r="879" ht="13.5" customHeight="1">
      <c r="A879" s="3"/>
      <c r="B879" s="15"/>
      <c r="C879" s="3"/>
      <c r="D879" s="4"/>
      <c r="E879" s="5"/>
      <c r="F879" s="6"/>
      <c r="G879" s="3"/>
      <c r="H879" s="3"/>
      <c r="I879" s="7"/>
      <c r="J879" s="6" t="s">
        <v>222</v>
      </c>
      <c r="K879" s="4" t="s">
        <v>222</v>
      </c>
      <c r="L879" s="4" t="s">
        <v>222</v>
      </c>
      <c r="M879" s="4" t="s">
        <v>222</v>
      </c>
      <c r="N879" s="4" t="s">
        <v>222</v>
      </c>
      <c r="O879" s="4" t="s">
        <v>222</v>
      </c>
      <c r="P879" s="9"/>
      <c r="Q879" s="9"/>
      <c r="R879" s="87" t="s">
        <v>222</v>
      </c>
      <c r="S879" s="11" t="s">
        <v>222</v>
      </c>
      <c r="T879" s="12"/>
      <c r="U879" s="13"/>
      <c r="V879" s="12"/>
      <c r="W879" s="13"/>
      <c r="X879" s="12"/>
      <c r="Y879" s="14"/>
      <c r="Z879" s="14"/>
      <c r="AA879" s="14"/>
      <c r="AB879" s="14"/>
      <c r="AC879" s="14"/>
      <c r="AD879" s="14"/>
      <c r="AE879" s="14"/>
      <c r="AF879" s="3"/>
      <c r="AG879" s="3"/>
    </row>
    <row r="880" ht="13.5" customHeight="1">
      <c r="A880" s="3"/>
      <c r="B880" s="15"/>
      <c r="C880" s="3"/>
      <c r="D880" s="4"/>
      <c r="E880" s="5"/>
      <c r="F880" s="6"/>
      <c r="G880" s="3"/>
      <c r="H880" s="3"/>
      <c r="I880" s="7"/>
      <c r="J880" s="6" t="s">
        <v>222</v>
      </c>
      <c r="K880" s="4" t="s">
        <v>222</v>
      </c>
      <c r="L880" s="4" t="s">
        <v>222</v>
      </c>
      <c r="M880" s="4" t="s">
        <v>222</v>
      </c>
      <c r="N880" s="4" t="s">
        <v>222</v>
      </c>
      <c r="O880" s="4" t="s">
        <v>222</v>
      </c>
      <c r="P880" s="9"/>
      <c r="Q880" s="9"/>
      <c r="R880" s="87" t="s">
        <v>222</v>
      </c>
      <c r="S880" s="11" t="s">
        <v>222</v>
      </c>
      <c r="T880" s="12"/>
      <c r="U880" s="13"/>
      <c r="V880" s="12"/>
      <c r="W880" s="13"/>
      <c r="X880" s="12"/>
      <c r="Y880" s="14"/>
      <c r="Z880" s="14"/>
      <c r="AA880" s="14"/>
      <c r="AB880" s="14"/>
      <c r="AC880" s="14"/>
      <c r="AD880" s="14"/>
      <c r="AE880" s="14"/>
      <c r="AF880" s="3"/>
      <c r="AG880" s="3"/>
    </row>
    <row r="881" ht="13.5" customHeight="1">
      <c r="A881" s="3"/>
      <c r="B881" s="15"/>
      <c r="C881" s="3"/>
      <c r="D881" s="4"/>
      <c r="E881" s="5"/>
      <c r="F881" s="6"/>
      <c r="G881" s="3"/>
      <c r="H881" s="3"/>
      <c r="I881" s="7"/>
      <c r="J881" s="6" t="s">
        <v>222</v>
      </c>
      <c r="K881" s="4" t="s">
        <v>222</v>
      </c>
      <c r="L881" s="4" t="s">
        <v>222</v>
      </c>
      <c r="M881" s="4" t="s">
        <v>222</v>
      </c>
      <c r="N881" s="4" t="s">
        <v>222</v>
      </c>
      <c r="O881" s="4" t="s">
        <v>222</v>
      </c>
      <c r="P881" s="9"/>
      <c r="Q881" s="9"/>
      <c r="R881" s="87" t="s">
        <v>222</v>
      </c>
      <c r="S881" s="11" t="s">
        <v>222</v>
      </c>
      <c r="T881" s="12"/>
      <c r="U881" s="13"/>
      <c r="V881" s="12"/>
      <c r="W881" s="13"/>
      <c r="X881" s="12"/>
      <c r="Y881" s="14"/>
      <c r="Z881" s="14"/>
      <c r="AA881" s="14"/>
      <c r="AB881" s="14"/>
      <c r="AC881" s="14"/>
      <c r="AD881" s="14"/>
      <c r="AE881" s="14"/>
      <c r="AF881" s="3"/>
      <c r="AG881" s="3"/>
    </row>
    <row r="882" ht="13.5" customHeight="1">
      <c r="A882" s="3"/>
      <c r="B882" s="15"/>
      <c r="C882" s="3"/>
      <c r="D882" s="4"/>
      <c r="E882" s="5"/>
      <c r="F882" s="6"/>
      <c r="G882" s="3"/>
      <c r="H882" s="3"/>
      <c r="I882" s="7"/>
      <c r="J882" s="6" t="s">
        <v>222</v>
      </c>
      <c r="K882" s="4" t="s">
        <v>222</v>
      </c>
      <c r="L882" s="4" t="s">
        <v>222</v>
      </c>
      <c r="M882" s="4" t="s">
        <v>222</v>
      </c>
      <c r="N882" s="4" t="s">
        <v>222</v>
      </c>
      <c r="O882" s="4" t="s">
        <v>222</v>
      </c>
      <c r="P882" s="9"/>
      <c r="Q882" s="9"/>
      <c r="R882" s="87" t="s">
        <v>222</v>
      </c>
      <c r="S882" s="11" t="s">
        <v>222</v>
      </c>
      <c r="T882" s="12"/>
      <c r="U882" s="13"/>
      <c r="V882" s="12"/>
      <c r="W882" s="13"/>
      <c r="X882" s="12"/>
      <c r="Y882" s="14"/>
      <c r="Z882" s="14"/>
      <c r="AA882" s="14"/>
      <c r="AB882" s="14"/>
      <c r="AC882" s="14"/>
      <c r="AD882" s="14"/>
      <c r="AE882" s="14"/>
      <c r="AF882" s="3"/>
      <c r="AG882" s="3"/>
    </row>
    <row r="883" ht="13.5" customHeight="1">
      <c r="A883" s="3"/>
      <c r="B883" s="15"/>
      <c r="C883" s="3"/>
      <c r="D883" s="4"/>
      <c r="E883" s="5"/>
      <c r="F883" s="6"/>
      <c r="G883" s="3"/>
      <c r="H883" s="3"/>
      <c r="I883" s="7"/>
      <c r="J883" s="6" t="s">
        <v>222</v>
      </c>
      <c r="K883" s="4" t="s">
        <v>222</v>
      </c>
      <c r="L883" s="4" t="s">
        <v>222</v>
      </c>
      <c r="M883" s="4" t="s">
        <v>222</v>
      </c>
      <c r="N883" s="4" t="s">
        <v>222</v>
      </c>
      <c r="O883" s="4" t="s">
        <v>222</v>
      </c>
      <c r="P883" s="9"/>
      <c r="Q883" s="9"/>
      <c r="R883" s="87" t="s">
        <v>222</v>
      </c>
      <c r="S883" s="11" t="s">
        <v>222</v>
      </c>
      <c r="T883" s="12"/>
      <c r="U883" s="13"/>
      <c r="V883" s="12"/>
      <c r="W883" s="13"/>
      <c r="X883" s="12"/>
      <c r="Y883" s="14"/>
      <c r="Z883" s="14"/>
      <c r="AA883" s="14"/>
      <c r="AB883" s="14"/>
      <c r="AC883" s="14"/>
      <c r="AD883" s="14"/>
      <c r="AE883" s="14"/>
      <c r="AF883" s="3"/>
      <c r="AG883" s="3"/>
    </row>
    <row r="884" ht="13.5" customHeight="1">
      <c r="A884" s="3"/>
      <c r="B884" s="15"/>
      <c r="C884" s="3"/>
      <c r="D884" s="4"/>
      <c r="E884" s="5"/>
      <c r="F884" s="6"/>
      <c r="G884" s="3"/>
      <c r="H884" s="3"/>
      <c r="I884" s="7"/>
      <c r="J884" s="6" t="s">
        <v>222</v>
      </c>
      <c r="K884" s="4" t="s">
        <v>222</v>
      </c>
      <c r="L884" s="4" t="s">
        <v>222</v>
      </c>
      <c r="M884" s="4" t="s">
        <v>222</v>
      </c>
      <c r="N884" s="4" t="s">
        <v>222</v>
      </c>
      <c r="O884" s="4" t="s">
        <v>222</v>
      </c>
      <c r="P884" s="9"/>
      <c r="Q884" s="9"/>
      <c r="R884" s="87" t="s">
        <v>222</v>
      </c>
      <c r="S884" s="11" t="s">
        <v>222</v>
      </c>
      <c r="T884" s="12"/>
      <c r="U884" s="13"/>
      <c r="V884" s="12"/>
      <c r="W884" s="13"/>
      <c r="X884" s="12"/>
      <c r="Y884" s="14"/>
      <c r="Z884" s="14"/>
      <c r="AA884" s="14"/>
      <c r="AB884" s="14"/>
      <c r="AC884" s="14"/>
      <c r="AD884" s="14"/>
      <c r="AE884" s="14"/>
      <c r="AF884" s="3"/>
      <c r="AG884" s="3"/>
    </row>
    <row r="885" ht="13.5" customHeight="1">
      <c r="A885" s="3"/>
      <c r="B885" s="15"/>
      <c r="C885" s="3"/>
      <c r="D885" s="4"/>
      <c r="E885" s="5"/>
      <c r="F885" s="6"/>
      <c r="G885" s="3"/>
      <c r="H885" s="3"/>
      <c r="I885" s="7"/>
      <c r="J885" s="6" t="s">
        <v>222</v>
      </c>
      <c r="K885" s="4" t="s">
        <v>222</v>
      </c>
      <c r="L885" s="4" t="s">
        <v>222</v>
      </c>
      <c r="M885" s="4" t="s">
        <v>222</v>
      </c>
      <c r="N885" s="4" t="s">
        <v>222</v>
      </c>
      <c r="O885" s="4" t="s">
        <v>222</v>
      </c>
      <c r="P885" s="9"/>
      <c r="Q885" s="9"/>
      <c r="R885" s="87" t="s">
        <v>222</v>
      </c>
      <c r="S885" s="11" t="s">
        <v>222</v>
      </c>
      <c r="T885" s="12"/>
      <c r="U885" s="13"/>
      <c r="V885" s="12"/>
      <c r="W885" s="13"/>
      <c r="X885" s="12"/>
      <c r="Y885" s="14"/>
      <c r="Z885" s="14"/>
      <c r="AA885" s="14"/>
      <c r="AB885" s="14"/>
      <c r="AC885" s="14"/>
      <c r="AD885" s="14"/>
      <c r="AE885" s="14"/>
      <c r="AF885" s="3"/>
      <c r="AG885" s="3"/>
    </row>
    <row r="886" ht="13.5" customHeight="1">
      <c r="A886" s="3"/>
      <c r="B886" s="15"/>
      <c r="C886" s="3"/>
      <c r="D886" s="4"/>
      <c r="E886" s="5"/>
      <c r="F886" s="6"/>
      <c r="G886" s="3"/>
      <c r="H886" s="3"/>
      <c r="I886" s="7"/>
      <c r="J886" s="6" t="s">
        <v>222</v>
      </c>
      <c r="K886" s="4" t="s">
        <v>222</v>
      </c>
      <c r="L886" s="4" t="s">
        <v>222</v>
      </c>
      <c r="M886" s="4" t="s">
        <v>222</v>
      </c>
      <c r="N886" s="4" t="s">
        <v>222</v>
      </c>
      <c r="O886" s="4" t="s">
        <v>222</v>
      </c>
      <c r="P886" s="9"/>
      <c r="Q886" s="9"/>
      <c r="R886" s="87" t="s">
        <v>222</v>
      </c>
      <c r="S886" s="11" t="s">
        <v>222</v>
      </c>
      <c r="T886" s="12"/>
      <c r="U886" s="13"/>
      <c r="V886" s="12"/>
      <c r="W886" s="13"/>
      <c r="X886" s="12"/>
      <c r="Y886" s="14"/>
      <c r="Z886" s="14"/>
      <c r="AA886" s="14"/>
      <c r="AB886" s="14"/>
      <c r="AC886" s="14"/>
      <c r="AD886" s="14"/>
      <c r="AE886" s="14"/>
      <c r="AF886" s="3"/>
      <c r="AG886" s="3"/>
    </row>
    <row r="887" ht="13.5" customHeight="1">
      <c r="A887" s="3"/>
      <c r="B887" s="15"/>
      <c r="C887" s="3"/>
      <c r="D887" s="4"/>
      <c r="E887" s="5"/>
      <c r="F887" s="6"/>
      <c r="G887" s="3"/>
      <c r="H887" s="3"/>
      <c r="I887" s="7"/>
      <c r="J887" s="6" t="s">
        <v>222</v>
      </c>
      <c r="K887" s="4" t="s">
        <v>222</v>
      </c>
      <c r="L887" s="4" t="s">
        <v>222</v>
      </c>
      <c r="M887" s="4" t="s">
        <v>222</v>
      </c>
      <c r="N887" s="4" t="s">
        <v>222</v>
      </c>
      <c r="O887" s="4" t="s">
        <v>222</v>
      </c>
      <c r="P887" s="9"/>
      <c r="Q887" s="9"/>
      <c r="R887" s="87" t="s">
        <v>222</v>
      </c>
      <c r="S887" s="11" t="s">
        <v>222</v>
      </c>
      <c r="T887" s="12"/>
      <c r="U887" s="13"/>
      <c r="V887" s="12"/>
      <c r="W887" s="13"/>
      <c r="X887" s="12"/>
      <c r="Y887" s="14"/>
      <c r="Z887" s="14"/>
      <c r="AA887" s="14"/>
      <c r="AB887" s="14"/>
      <c r="AC887" s="14"/>
      <c r="AD887" s="14"/>
      <c r="AE887" s="14"/>
      <c r="AF887" s="3"/>
      <c r="AG887" s="3"/>
    </row>
    <row r="888" ht="13.5" customHeight="1">
      <c r="A888" s="3"/>
      <c r="B888" s="15"/>
      <c r="C888" s="3"/>
      <c r="D888" s="4"/>
      <c r="E888" s="5"/>
      <c r="F888" s="6"/>
      <c r="G888" s="3"/>
      <c r="H888" s="3"/>
      <c r="I888" s="7"/>
      <c r="J888" s="6" t="s">
        <v>222</v>
      </c>
      <c r="K888" s="4" t="s">
        <v>222</v>
      </c>
      <c r="L888" s="4" t="s">
        <v>222</v>
      </c>
      <c r="M888" s="4" t="s">
        <v>222</v>
      </c>
      <c r="N888" s="4" t="s">
        <v>222</v>
      </c>
      <c r="O888" s="4" t="s">
        <v>222</v>
      </c>
      <c r="P888" s="9"/>
      <c r="Q888" s="9"/>
      <c r="R888" s="87" t="s">
        <v>222</v>
      </c>
      <c r="S888" s="11" t="s">
        <v>222</v>
      </c>
      <c r="T888" s="12"/>
      <c r="U888" s="13"/>
      <c r="V888" s="12"/>
      <c r="W888" s="13"/>
      <c r="X888" s="12"/>
      <c r="Y888" s="14"/>
      <c r="Z888" s="14"/>
      <c r="AA888" s="14"/>
      <c r="AB888" s="14"/>
      <c r="AC888" s="14"/>
      <c r="AD888" s="14"/>
      <c r="AE888" s="14"/>
      <c r="AF888" s="3"/>
      <c r="AG888" s="3"/>
    </row>
    <row r="889" ht="13.5" customHeight="1">
      <c r="A889" s="3"/>
      <c r="B889" s="15"/>
      <c r="C889" s="3"/>
      <c r="D889" s="4"/>
      <c r="E889" s="5"/>
      <c r="F889" s="6"/>
      <c r="G889" s="3"/>
      <c r="H889" s="3"/>
      <c r="I889" s="7"/>
      <c r="J889" s="6" t="s">
        <v>222</v>
      </c>
      <c r="K889" s="4" t="s">
        <v>222</v>
      </c>
      <c r="L889" s="4" t="s">
        <v>222</v>
      </c>
      <c r="M889" s="4" t="s">
        <v>222</v>
      </c>
      <c r="N889" s="4" t="s">
        <v>222</v>
      </c>
      <c r="O889" s="4" t="s">
        <v>222</v>
      </c>
      <c r="P889" s="9"/>
      <c r="Q889" s="9"/>
      <c r="R889" s="87" t="s">
        <v>222</v>
      </c>
      <c r="S889" s="11" t="s">
        <v>222</v>
      </c>
      <c r="T889" s="12"/>
      <c r="U889" s="13"/>
      <c r="V889" s="12"/>
      <c r="W889" s="13"/>
      <c r="X889" s="12"/>
      <c r="Y889" s="14"/>
      <c r="Z889" s="14"/>
      <c r="AA889" s="14"/>
      <c r="AB889" s="14"/>
      <c r="AC889" s="14"/>
      <c r="AD889" s="14"/>
      <c r="AE889" s="14"/>
      <c r="AF889" s="3"/>
      <c r="AG889" s="3"/>
    </row>
    <row r="890" ht="13.5" customHeight="1">
      <c r="A890" s="3"/>
      <c r="B890" s="15"/>
      <c r="C890" s="3"/>
      <c r="D890" s="4"/>
      <c r="E890" s="5"/>
      <c r="F890" s="6"/>
      <c r="G890" s="3"/>
      <c r="H890" s="3"/>
      <c r="I890" s="7"/>
      <c r="J890" s="6" t="s">
        <v>222</v>
      </c>
      <c r="K890" s="4" t="s">
        <v>222</v>
      </c>
      <c r="L890" s="4" t="s">
        <v>222</v>
      </c>
      <c r="M890" s="4" t="s">
        <v>222</v>
      </c>
      <c r="N890" s="4" t="s">
        <v>222</v>
      </c>
      <c r="O890" s="4" t="s">
        <v>222</v>
      </c>
      <c r="P890" s="9"/>
      <c r="Q890" s="9"/>
      <c r="R890" s="87" t="s">
        <v>222</v>
      </c>
      <c r="S890" s="11" t="s">
        <v>222</v>
      </c>
      <c r="T890" s="12"/>
      <c r="U890" s="13"/>
      <c r="V890" s="12"/>
      <c r="W890" s="13"/>
      <c r="X890" s="12"/>
      <c r="Y890" s="14"/>
      <c r="Z890" s="14"/>
      <c r="AA890" s="14"/>
      <c r="AB890" s="14"/>
      <c r="AC890" s="14"/>
      <c r="AD890" s="14"/>
      <c r="AE890" s="14"/>
      <c r="AF890" s="3"/>
      <c r="AG890" s="3"/>
    </row>
    <row r="891" ht="13.5" customHeight="1">
      <c r="A891" s="3"/>
      <c r="B891" s="15"/>
      <c r="C891" s="3"/>
      <c r="D891" s="4"/>
      <c r="E891" s="5"/>
      <c r="F891" s="6"/>
      <c r="G891" s="3"/>
      <c r="H891" s="3"/>
      <c r="I891" s="7"/>
      <c r="J891" s="6" t="s">
        <v>222</v>
      </c>
      <c r="K891" s="4" t="s">
        <v>222</v>
      </c>
      <c r="L891" s="4" t="s">
        <v>222</v>
      </c>
      <c r="M891" s="4" t="s">
        <v>222</v>
      </c>
      <c r="N891" s="4" t="s">
        <v>222</v>
      </c>
      <c r="O891" s="4" t="s">
        <v>222</v>
      </c>
      <c r="P891" s="9"/>
      <c r="Q891" s="9"/>
      <c r="R891" s="87" t="s">
        <v>222</v>
      </c>
      <c r="S891" s="11" t="s">
        <v>222</v>
      </c>
      <c r="T891" s="12"/>
      <c r="U891" s="13"/>
      <c r="V891" s="12"/>
      <c r="W891" s="13"/>
      <c r="X891" s="12"/>
      <c r="Y891" s="14"/>
      <c r="Z891" s="14"/>
      <c r="AA891" s="14"/>
      <c r="AB891" s="14"/>
      <c r="AC891" s="14"/>
      <c r="AD891" s="14"/>
      <c r="AE891" s="14"/>
      <c r="AF891" s="3"/>
      <c r="AG891" s="3"/>
    </row>
    <row r="892" ht="13.5" customHeight="1">
      <c r="A892" s="3"/>
      <c r="B892" s="15"/>
      <c r="C892" s="3"/>
      <c r="D892" s="4"/>
      <c r="E892" s="5"/>
      <c r="F892" s="6"/>
      <c r="G892" s="3"/>
      <c r="H892" s="3"/>
      <c r="I892" s="7"/>
      <c r="J892" s="6" t="s">
        <v>222</v>
      </c>
      <c r="K892" s="4" t="s">
        <v>222</v>
      </c>
      <c r="L892" s="4" t="s">
        <v>222</v>
      </c>
      <c r="M892" s="4" t="s">
        <v>222</v>
      </c>
      <c r="N892" s="4" t="s">
        <v>222</v>
      </c>
      <c r="O892" s="4" t="s">
        <v>222</v>
      </c>
      <c r="P892" s="9"/>
      <c r="Q892" s="9"/>
      <c r="R892" s="87" t="s">
        <v>222</v>
      </c>
      <c r="S892" s="11" t="s">
        <v>222</v>
      </c>
      <c r="T892" s="12"/>
      <c r="U892" s="13"/>
      <c r="V892" s="12"/>
      <c r="W892" s="13"/>
      <c r="X892" s="12"/>
      <c r="Y892" s="14"/>
      <c r="Z892" s="14"/>
      <c r="AA892" s="14"/>
      <c r="AB892" s="14"/>
      <c r="AC892" s="14"/>
      <c r="AD892" s="14"/>
      <c r="AE892" s="14"/>
      <c r="AF892" s="3"/>
      <c r="AG892" s="3"/>
    </row>
    <row r="893" ht="13.5" customHeight="1">
      <c r="A893" s="3"/>
      <c r="B893" s="15"/>
      <c r="C893" s="3"/>
      <c r="D893" s="4"/>
      <c r="E893" s="5"/>
      <c r="F893" s="6"/>
      <c r="G893" s="3"/>
      <c r="H893" s="3"/>
      <c r="I893" s="7"/>
      <c r="J893" s="6" t="s">
        <v>222</v>
      </c>
      <c r="K893" s="4" t="s">
        <v>222</v>
      </c>
      <c r="L893" s="4" t="s">
        <v>222</v>
      </c>
      <c r="M893" s="4" t="s">
        <v>222</v>
      </c>
      <c r="N893" s="4" t="s">
        <v>222</v>
      </c>
      <c r="O893" s="4" t="s">
        <v>222</v>
      </c>
      <c r="P893" s="9"/>
      <c r="Q893" s="9"/>
      <c r="R893" s="87" t="s">
        <v>222</v>
      </c>
      <c r="S893" s="11" t="s">
        <v>222</v>
      </c>
      <c r="T893" s="12"/>
      <c r="U893" s="13"/>
      <c r="V893" s="12"/>
      <c r="W893" s="13"/>
      <c r="X893" s="12"/>
      <c r="Y893" s="14"/>
      <c r="Z893" s="14"/>
      <c r="AA893" s="14"/>
      <c r="AB893" s="14"/>
      <c r="AC893" s="14"/>
      <c r="AD893" s="14"/>
      <c r="AE893" s="14"/>
      <c r="AF893" s="3"/>
      <c r="AG893" s="3"/>
    </row>
    <row r="894" ht="13.5" customHeight="1">
      <c r="A894" s="3"/>
      <c r="B894" s="15"/>
      <c r="C894" s="3"/>
      <c r="D894" s="4"/>
      <c r="E894" s="5"/>
      <c r="F894" s="6"/>
      <c r="G894" s="3"/>
      <c r="H894" s="3"/>
      <c r="I894" s="7"/>
      <c r="J894" s="6" t="s">
        <v>222</v>
      </c>
      <c r="K894" s="4" t="s">
        <v>222</v>
      </c>
      <c r="L894" s="4" t="s">
        <v>222</v>
      </c>
      <c r="M894" s="4" t="s">
        <v>222</v>
      </c>
      <c r="N894" s="4" t="s">
        <v>222</v>
      </c>
      <c r="O894" s="4" t="s">
        <v>222</v>
      </c>
      <c r="P894" s="9"/>
      <c r="Q894" s="9"/>
      <c r="R894" s="87" t="s">
        <v>222</v>
      </c>
      <c r="S894" s="11" t="s">
        <v>222</v>
      </c>
      <c r="T894" s="12"/>
      <c r="U894" s="13"/>
      <c r="V894" s="12"/>
      <c r="W894" s="13"/>
      <c r="X894" s="12"/>
      <c r="Y894" s="14"/>
      <c r="Z894" s="14"/>
      <c r="AA894" s="14"/>
      <c r="AB894" s="14"/>
      <c r="AC894" s="14"/>
      <c r="AD894" s="14"/>
      <c r="AE894" s="14"/>
      <c r="AF894" s="3"/>
      <c r="AG894" s="3"/>
    </row>
    <row r="895" ht="13.5" customHeight="1">
      <c r="A895" s="3"/>
      <c r="B895" s="15"/>
      <c r="C895" s="3"/>
      <c r="D895" s="4"/>
      <c r="E895" s="5"/>
      <c r="F895" s="6"/>
      <c r="G895" s="3"/>
      <c r="H895" s="3"/>
      <c r="I895" s="7"/>
      <c r="J895" s="6" t="s">
        <v>222</v>
      </c>
      <c r="K895" s="4" t="s">
        <v>222</v>
      </c>
      <c r="L895" s="4" t="s">
        <v>222</v>
      </c>
      <c r="M895" s="4" t="s">
        <v>222</v>
      </c>
      <c r="N895" s="4" t="s">
        <v>222</v>
      </c>
      <c r="O895" s="4" t="s">
        <v>222</v>
      </c>
      <c r="P895" s="9"/>
      <c r="Q895" s="9"/>
      <c r="R895" s="87" t="s">
        <v>222</v>
      </c>
      <c r="S895" s="11" t="s">
        <v>222</v>
      </c>
      <c r="T895" s="12"/>
      <c r="U895" s="13"/>
      <c r="V895" s="12"/>
      <c r="W895" s="13"/>
      <c r="X895" s="12"/>
      <c r="Y895" s="14"/>
      <c r="Z895" s="14"/>
      <c r="AA895" s="14"/>
      <c r="AB895" s="14"/>
      <c r="AC895" s="14"/>
      <c r="AD895" s="14"/>
      <c r="AE895" s="14"/>
      <c r="AF895" s="3"/>
      <c r="AG895" s="3"/>
    </row>
    <row r="896" ht="13.5" customHeight="1">
      <c r="A896" s="3"/>
      <c r="B896" s="15"/>
      <c r="C896" s="3"/>
      <c r="D896" s="4"/>
      <c r="E896" s="5"/>
      <c r="F896" s="6"/>
      <c r="G896" s="3"/>
      <c r="H896" s="3"/>
      <c r="I896" s="7"/>
      <c r="J896" s="6" t="s">
        <v>222</v>
      </c>
      <c r="K896" s="4" t="s">
        <v>222</v>
      </c>
      <c r="L896" s="4" t="s">
        <v>222</v>
      </c>
      <c r="M896" s="4" t="s">
        <v>222</v>
      </c>
      <c r="N896" s="4" t="s">
        <v>222</v>
      </c>
      <c r="O896" s="4" t="s">
        <v>222</v>
      </c>
      <c r="P896" s="9"/>
      <c r="Q896" s="9"/>
      <c r="R896" s="87" t="s">
        <v>222</v>
      </c>
      <c r="S896" s="11" t="s">
        <v>222</v>
      </c>
      <c r="T896" s="12"/>
      <c r="U896" s="13"/>
      <c r="V896" s="12"/>
      <c r="W896" s="13"/>
      <c r="X896" s="12"/>
      <c r="Y896" s="14"/>
      <c r="Z896" s="14"/>
      <c r="AA896" s="14"/>
      <c r="AB896" s="14"/>
      <c r="AC896" s="14"/>
      <c r="AD896" s="14"/>
      <c r="AE896" s="14"/>
      <c r="AF896" s="3"/>
      <c r="AG896" s="3"/>
    </row>
    <row r="897" ht="13.5" customHeight="1">
      <c r="A897" s="3"/>
      <c r="B897" s="15"/>
      <c r="C897" s="3"/>
      <c r="D897" s="4"/>
      <c r="E897" s="5"/>
      <c r="F897" s="6"/>
      <c r="G897" s="3"/>
      <c r="H897" s="3"/>
      <c r="I897" s="7"/>
      <c r="J897" s="6" t="s">
        <v>222</v>
      </c>
      <c r="K897" s="4" t="s">
        <v>222</v>
      </c>
      <c r="L897" s="4" t="s">
        <v>222</v>
      </c>
      <c r="M897" s="4" t="s">
        <v>222</v>
      </c>
      <c r="N897" s="4" t="s">
        <v>222</v>
      </c>
      <c r="O897" s="4" t="s">
        <v>222</v>
      </c>
      <c r="P897" s="9"/>
      <c r="Q897" s="9"/>
      <c r="R897" s="87" t="s">
        <v>222</v>
      </c>
      <c r="S897" s="11" t="s">
        <v>222</v>
      </c>
      <c r="T897" s="12"/>
      <c r="U897" s="13"/>
      <c r="V897" s="12"/>
      <c r="W897" s="13"/>
      <c r="X897" s="12"/>
      <c r="Y897" s="14"/>
      <c r="Z897" s="14"/>
      <c r="AA897" s="14"/>
      <c r="AB897" s="14"/>
      <c r="AC897" s="14"/>
      <c r="AD897" s="14"/>
      <c r="AE897" s="14"/>
      <c r="AF897" s="3"/>
      <c r="AG897" s="3"/>
    </row>
    <row r="898" ht="13.5" customHeight="1">
      <c r="A898" s="3"/>
      <c r="B898" s="15"/>
      <c r="C898" s="3"/>
      <c r="D898" s="4"/>
      <c r="E898" s="5"/>
      <c r="F898" s="6"/>
      <c r="G898" s="3"/>
      <c r="H898" s="3"/>
      <c r="I898" s="7"/>
      <c r="J898" s="6" t="s">
        <v>222</v>
      </c>
      <c r="K898" s="4" t="s">
        <v>222</v>
      </c>
      <c r="L898" s="4" t="s">
        <v>222</v>
      </c>
      <c r="M898" s="4" t="s">
        <v>222</v>
      </c>
      <c r="N898" s="4" t="s">
        <v>222</v>
      </c>
      <c r="O898" s="4" t="s">
        <v>222</v>
      </c>
      <c r="P898" s="9"/>
      <c r="Q898" s="9"/>
      <c r="R898" s="87" t="s">
        <v>222</v>
      </c>
      <c r="S898" s="11" t="s">
        <v>222</v>
      </c>
      <c r="T898" s="12"/>
      <c r="U898" s="13"/>
      <c r="V898" s="12"/>
      <c r="W898" s="13"/>
      <c r="X898" s="12"/>
      <c r="Y898" s="14"/>
      <c r="Z898" s="14"/>
      <c r="AA898" s="14"/>
      <c r="AB898" s="14"/>
      <c r="AC898" s="14"/>
      <c r="AD898" s="14"/>
      <c r="AE898" s="14"/>
      <c r="AF898" s="3"/>
      <c r="AG898" s="3"/>
    </row>
    <row r="899" ht="13.5" customHeight="1">
      <c r="A899" s="3"/>
      <c r="B899" s="15"/>
      <c r="C899" s="3"/>
      <c r="D899" s="4"/>
      <c r="E899" s="5"/>
      <c r="F899" s="6"/>
      <c r="G899" s="3"/>
      <c r="H899" s="3"/>
      <c r="I899" s="7"/>
      <c r="J899" s="6" t="s">
        <v>222</v>
      </c>
      <c r="K899" s="4" t="s">
        <v>222</v>
      </c>
      <c r="L899" s="4" t="s">
        <v>222</v>
      </c>
      <c r="M899" s="4" t="s">
        <v>222</v>
      </c>
      <c r="N899" s="4" t="s">
        <v>222</v>
      </c>
      <c r="O899" s="4" t="s">
        <v>222</v>
      </c>
      <c r="P899" s="9"/>
      <c r="Q899" s="9"/>
      <c r="R899" s="87" t="s">
        <v>222</v>
      </c>
      <c r="S899" s="11" t="s">
        <v>222</v>
      </c>
      <c r="T899" s="12"/>
      <c r="U899" s="13"/>
      <c r="V899" s="12"/>
      <c r="W899" s="13"/>
      <c r="X899" s="12"/>
      <c r="Y899" s="14"/>
      <c r="Z899" s="14"/>
      <c r="AA899" s="14"/>
      <c r="AB899" s="14"/>
      <c r="AC899" s="14"/>
      <c r="AD899" s="14"/>
      <c r="AE899" s="14"/>
      <c r="AF899" s="3"/>
      <c r="AG899" s="3"/>
    </row>
    <row r="900" ht="13.5" customHeight="1">
      <c r="A900" s="3"/>
      <c r="B900" s="15"/>
      <c r="C900" s="3"/>
      <c r="D900" s="4"/>
      <c r="E900" s="5"/>
      <c r="F900" s="6"/>
      <c r="G900" s="3"/>
      <c r="H900" s="3"/>
      <c r="I900" s="7"/>
      <c r="J900" s="6" t="s">
        <v>222</v>
      </c>
      <c r="K900" s="4" t="s">
        <v>222</v>
      </c>
      <c r="L900" s="4" t="s">
        <v>222</v>
      </c>
      <c r="M900" s="4" t="s">
        <v>222</v>
      </c>
      <c r="N900" s="4" t="s">
        <v>222</v>
      </c>
      <c r="O900" s="4" t="s">
        <v>222</v>
      </c>
      <c r="P900" s="9"/>
      <c r="Q900" s="9"/>
      <c r="R900" s="87" t="s">
        <v>222</v>
      </c>
      <c r="S900" s="11" t="s">
        <v>222</v>
      </c>
      <c r="T900" s="12"/>
      <c r="U900" s="13"/>
      <c r="V900" s="12"/>
      <c r="W900" s="13"/>
      <c r="X900" s="12"/>
      <c r="Y900" s="14"/>
      <c r="Z900" s="14"/>
      <c r="AA900" s="14"/>
      <c r="AB900" s="14"/>
      <c r="AC900" s="14"/>
      <c r="AD900" s="14"/>
      <c r="AE900" s="14"/>
      <c r="AF900" s="3"/>
      <c r="AG900" s="3"/>
    </row>
    <row r="901" ht="13.5" customHeight="1">
      <c r="A901" s="3"/>
      <c r="B901" s="15"/>
      <c r="C901" s="3"/>
      <c r="D901" s="4"/>
      <c r="E901" s="5"/>
      <c r="F901" s="6"/>
      <c r="G901" s="3"/>
      <c r="H901" s="3"/>
      <c r="I901" s="7"/>
      <c r="J901" s="6" t="s">
        <v>222</v>
      </c>
      <c r="K901" s="4" t="s">
        <v>222</v>
      </c>
      <c r="L901" s="4" t="s">
        <v>222</v>
      </c>
      <c r="M901" s="4" t="s">
        <v>222</v>
      </c>
      <c r="N901" s="4" t="s">
        <v>222</v>
      </c>
      <c r="O901" s="4" t="s">
        <v>222</v>
      </c>
      <c r="P901" s="9"/>
      <c r="Q901" s="9"/>
      <c r="R901" s="87" t="s">
        <v>222</v>
      </c>
      <c r="S901" s="11" t="s">
        <v>222</v>
      </c>
      <c r="T901" s="12"/>
      <c r="U901" s="13"/>
      <c r="V901" s="12"/>
      <c r="W901" s="13"/>
      <c r="X901" s="12"/>
      <c r="Y901" s="14"/>
      <c r="Z901" s="14"/>
      <c r="AA901" s="14"/>
      <c r="AB901" s="14"/>
      <c r="AC901" s="14"/>
      <c r="AD901" s="14"/>
      <c r="AE901" s="14"/>
      <c r="AF901" s="3"/>
      <c r="AG901" s="3"/>
    </row>
    <row r="902" ht="13.5" customHeight="1">
      <c r="A902" s="3"/>
      <c r="B902" s="15"/>
      <c r="C902" s="3"/>
      <c r="D902" s="4"/>
      <c r="E902" s="5"/>
      <c r="F902" s="6"/>
      <c r="G902" s="3"/>
      <c r="H902" s="3"/>
      <c r="I902" s="7"/>
      <c r="J902" s="6" t="s">
        <v>222</v>
      </c>
      <c r="K902" s="4" t="s">
        <v>222</v>
      </c>
      <c r="L902" s="4" t="s">
        <v>222</v>
      </c>
      <c r="M902" s="4" t="s">
        <v>222</v>
      </c>
      <c r="N902" s="4" t="s">
        <v>222</v>
      </c>
      <c r="O902" s="4" t="s">
        <v>222</v>
      </c>
      <c r="P902" s="9"/>
      <c r="Q902" s="9"/>
      <c r="R902" s="87" t="s">
        <v>222</v>
      </c>
      <c r="S902" s="11" t="s">
        <v>222</v>
      </c>
      <c r="T902" s="12"/>
      <c r="U902" s="13"/>
      <c r="V902" s="12"/>
      <c r="W902" s="13"/>
      <c r="X902" s="12"/>
      <c r="Y902" s="14"/>
      <c r="Z902" s="14"/>
      <c r="AA902" s="14"/>
      <c r="AB902" s="14"/>
      <c r="AC902" s="14"/>
      <c r="AD902" s="14"/>
      <c r="AE902" s="14"/>
      <c r="AF902" s="3"/>
      <c r="AG902" s="3"/>
    </row>
    <row r="903" ht="13.5" customHeight="1">
      <c r="A903" s="3"/>
      <c r="B903" s="15"/>
      <c r="C903" s="3"/>
      <c r="D903" s="4"/>
      <c r="E903" s="5"/>
      <c r="F903" s="6"/>
      <c r="G903" s="3"/>
      <c r="H903" s="3"/>
      <c r="I903" s="7"/>
      <c r="J903" s="6" t="s">
        <v>222</v>
      </c>
      <c r="K903" s="4" t="s">
        <v>222</v>
      </c>
      <c r="L903" s="4" t="s">
        <v>222</v>
      </c>
      <c r="M903" s="4" t="s">
        <v>222</v>
      </c>
      <c r="N903" s="4" t="s">
        <v>222</v>
      </c>
      <c r="O903" s="4" t="s">
        <v>222</v>
      </c>
      <c r="P903" s="9"/>
      <c r="Q903" s="9"/>
      <c r="R903" s="87" t="s">
        <v>222</v>
      </c>
      <c r="S903" s="11" t="s">
        <v>222</v>
      </c>
      <c r="T903" s="12"/>
      <c r="U903" s="13"/>
      <c r="V903" s="12"/>
      <c r="W903" s="13"/>
      <c r="X903" s="12"/>
      <c r="Y903" s="14"/>
      <c r="Z903" s="14"/>
      <c r="AA903" s="14"/>
      <c r="AB903" s="14"/>
      <c r="AC903" s="14"/>
      <c r="AD903" s="14"/>
      <c r="AE903" s="14"/>
      <c r="AF903" s="3"/>
      <c r="AG903" s="3"/>
    </row>
    <row r="904" ht="13.5" customHeight="1">
      <c r="A904" s="3"/>
      <c r="B904" s="15"/>
      <c r="C904" s="3"/>
      <c r="D904" s="4"/>
      <c r="E904" s="5"/>
      <c r="F904" s="6"/>
      <c r="G904" s="3"/>
      <c r="H904" s="3"/>
      <c r="I904" s="7"/>
      <c r="J904" s="6" t="s">
        <v>222</v>
      </c>
      <c r="K904" s="4" t="s">
        <v>222</v>
      </c>
      <c r="L904" s="4" t="s">
        <v>222</v>
      </c>
      <c r="M904" s="4" t="s">
        <v>222</v>
      </c>
      <c r="N904" s="4" t="s">
        <v>222</v>
      </c>
      <c r="O904" s="4" t="s">
        <v>222</v>
      </c>
      <c r="P904" s="9"/>
      <c r="Q904" s="9"/>
      <c r="R904" s="87" t="s">
        <v>222</v>
      </c>
      <c r="S904" s="11" t="s">
        <v>222</v>
      </c>
      <c r="T904" s="12"/>
      <c r="U904" s="13"/>
      <c r="V904" s="12"/>
      <c r="W904" s="13"/>
      <c r="X904" s="12"/>
      <c r="Y904" s="14"/>
      <c r="Z904" s="14"/>
      <c r="AA904" s="14"/>
      <c r="AB904" s="14"/>
      <c r="AC904" s="14"/>
      <c r="AD904" s="14"/>
      <c r="AE904" s="14"/>
      <c r="AF904" s="3"/>
      <c r="AG904" s="3"/>
    </row>
    <row r="905" ht="13.5" customHeight="1">
      <c r="A905" s="3"/>
      <c r="B905" s="15"/>
      <c r="C905" s="3"/>
      <c r="D905" s="4"/>
      <c r="E905" s="5"/>
      <c r="F905" s="6"/>
      <c r="G905" s="3"/>
      <c r="H905" s="3"/>
      <c r="I905" s="7"/>
      <c r="J905" s="6" t="s">
        <v>222</v>
      </c>
      <c r="K905" s="4" t="s">
        <v>222</v>
      </c>
      <c r="L905" s="4" t="s">
        <v>222</v>
      </c>
      <c r="M905" s="4" t="s">
        <v>222</v>
      </c>
      <c r="N905" s="4" t="s">
        <v>222</v>
      </c>
      <c r="O905" s="4" t="s">
        <v>222</v>
      </c>
      <c r="P905" s="9"/>
      <c r="Q905" s="9"/>
      <c r="R905" s="87" t="s">
        <v>222</v>
      </c>
      <c r="S905" s="11" t="s">
        <v>222</v>
      </c>
      <c r="T905" s="12"/>
      <c r="U905" s="13"/>
      <c r="V905" s="12"/>
      <c r="W905" s="13"/>
      <c r="X905" s="12"/>
      <c r="Y905" s="14"/>
      <c r="Z905" s="14"/>
      <c r="AA905" s="14"/>
      <c r="AB905" s="14"/>
      <c r="AC905" s="14"/>
      <c r="AD905" s="14"/>
      <c r="AE905" s="14"/>
      <c r="AF905" s="3"/>
      <c r="AG905" s="3"/>
    </row>
    <row r="906" ht="13.5" customHeight="1">
      <c r="A906" s="3"/>
      <c r="B906" s="15"/>
      <c r="C906" s="3"/>
      <c r="D906" s="4"/>
      <c r="E906" s="5"/>
      <c r="F906" s="6"/>
      <c r="G906" s="3"/>
      <c r="H906" s="3"/>
      <c r="I906" s="7"/>
      <c r="J906" s="6" t="s">
        <v>222</v>
      </c>
      <c r="K906" s="4" t="s">
        <v>222</v>
      </c>
      <c r="L906" s="4" t="s">
        <v>222</v>
      </c>
      <c r="M906" s="4" t="s">
        <v>222</v>
      </c>
      <c r="N906" s="4" t="s">
        <v>222</v>
      </c>
      <c r="O906" s="4" t="s">
        <v>222</v>
      </c>
      <c r="P906" s="9"/>
      <c r="Q906" s="9"/>
      <c r="R906" s="87" t="s">
        <v>222</v>
      </c>
      <c r="S906" s="11" t="s">
        <v>222</v>
      </c>
      <c r="T906" s="12"/>
      <c r="U906" s="13"/>
      <c r="V906" s="12"/>
      <c r="W906" s="13"/>
      <c r="X906" s="12"/>
      <c r="Y906" s="14"/>
      <c r="Z906" s="14"/>
      <c r="AA906" s="14"/>
      <c r="AB906" s="14"/>
      <c r="AC906" s="14"/>
      <c r="AD906" s="14"/>
      <c r="AE906" s="14"/>
      <c r="AF906" s="3"/>
      <c r="AG906" s="3"/>
    </row>
    <row r="907" ht="13.5" customHeight="1">
      <c r="A907" s="3"/>
      <c r="B907" s="15"/>
      <c r="C907" s="3"/>
      <c r="D907" s="4"/>
      <c r="E907" s="5"/>
      <c r="F907" s="6"/>
      <c r="G907" s="3"/>
      <c r="H907" s="3"/>
      <c r="I907" s="7"/>
      <c r="J907" s="6" t="s">
        <v>222</v>
      </c>
      <c r="K907" s="4" t="s">
        <v>222</v>
      </c>
      <c r="L907" s="4" t="s">
        <v>222</v>
      </c>
      <c r="M907" s="4" t="s">
        <v>222</v>
      </c>
      <c r="N907" s="4" t="s">
        <v>222</v>
      </c>
      <c r="O907" s="4" t="s">
        <v>222</v>
      </c>
      <c r="P907" s="9"/>
      <c r="Q907" s="9"/>
      <c r="R907" s="87" t="s">
        <v>222</v>
      </c>
      <c r="S907" s="11" t="s">
        <v>222</v>
      </c>
      <c r="T907" s="12"/>
      <c r="U907" s="13"/>
      <c r="V907" s="12"/>
      <c r="W907" s="13"/>
      <c r="X907" s="12"/>
      <c r="Y907" s="14"/>
      <c r="Z907" s="14"/>
      <c r="AA907" s="14"/>
      <c r="AB907" s="14"/>
      <c r="AC907" s="14"/>
      <c r="AD907" s="14"/>
      <c r="AE907" s="14"/>
      <c r="AF907" s="3"/>
      <c r="AG907" s="3"/>
    </row>
    <row r="908" ht="13.5" customHeight="1">
      <c r="A908" s="3"/>
      <c r="B908" s="15"/>
      <c r="C908" s="3"/>
      <c r="D908" s="4"/>
      <c r="E908" s="5"/>
      <c r="F908" s="6"/>
      <c r="G908" s="3"/>
      <c r="H908" s="3"/>
      <c r="I908" s="7"/>
      <c r="J908" s="6" t="s">
        <v>222</v>
      </c>
      <c r="K908" s="4" t="s">
        <v>222</v>
      </c>
      <c r="L908" s="4" t="s">
        <v>222</v>
      </c>
      <c r="M908" s="4" t="s">
        <v>222</v>
      </c>
      <c r="N908" s="4" t="s">
        <v>222</v>
      </c>
      <c r="O908" s="4" t="s">
        <v>222</v>
      </c>
      <c r="P908" s="9"/>
      <c r="Q908" s="9"/>
      <c r="R908" s="87" t="s">
        <v>222</v>
      </c>
      <c r="S908" s="11" t="s">
        <v>222</v>
      </c>
      <c r="T908" s="12"/>
      <c r="U908" s="13"/>
      <c r="V908" s="12"/>
      <c r="W908" s="13"/>
      <c r="X908" s="12"/>
      <c r="Y908" s="14"/>
      <c r="Z908" s="14"/>
      <c r="AA908" s="14"/>
      <c r="AB908" s="14"/>
      <c r="AC908" s="14"/>
      <c r="AD908" s="14"/>
      <c r="AE908" s="14"/>
      <c r="AF908" s="3"/>
      <c r="AG908" s="3"/>
    </row>
    <row r="909" ht="13.5" customHeight="1">
      <c r="A909" s="3"/>
      <c r="B909" s="15"/>
      <c r="C909" s="3"/>
      <c r="D909" s="4"/>
      <c r="E909" s="5"/>
      <c r="F909" s="6"/>
      <c r="G909" s="3"/>
      <c r="H909" s="3"/>
      <c r="I909" s="7"/>
      <c r="J909" s="6" t="s">
        <v>222</v>
      </c>
      <c r="K909" s="4" t="s">
        <v>222</v>
      </c>
      <c r="L909" s="4" t="s">
        <v>222</v>
      </c>
      <c r="M909" s="4" t="s">
        <v>222</v>
      </c>
      <c r="N909" s="4" t="s">
        <v>222</v>
      </c>
      <c r="O909" s="4" t="s">
        <v>222</v>
      </c>
      <c r="P909" s="9"/>
      <c r="Q909" s="9"/>
      <c r="R909" s="87" t="s">
        <v>222</v>
      </c>
      <c r="S909" s="11" t="s">
        <v>222</v>
      </c>
      <c r="T909" s="12"/>
      <c r="U909" s="13"/>
      <c r="V909" s="12"/>
      <c r="W909" s="13"/>
      <c r="X909" s="12"/>
      <c r="Y909" s="14"/>
      <c r="Z909" s="14"/>
      <c r="AA909" s="14"/>
      <c r="AB909" s="14"/>
      <c r="AC909" s="14"/>
      <c r="AD909" s="14"/>
      <c r="AE909" s="14"/>
      <c r="AF909" s="3"/>
      <c r="AG909" s="3"/>
    </row>
    <row r="910" ht="13.5" customHeight="1">
      <c r="A910" s="3"/>
      <c r="B910" s="15"/>
      <c r="C910" s="3"/>
      <c r="D910" s="4"/>
      <c r="E910" s="5"/>
      <c r="F910" s="6"/>
      <c r="G910" s="3"/>
      <c r="H910" s="3"/>
      <c r="I910" s="7"/>
      <c r="J910" s="6" t="s">
        <v>222</v>
      </c>
      <c r="K910" s="4" t="s">
        <v>222</v>
      </c>
      <c r="L910" s="4" t="s">
        <v>222</v>
      </c>
      <c r="M910" s="4" t="s">
        <v>222</v>
      </c>
      <c r="N910" s="4" t="s">
        <v>222</v>
      </c>
      <c r="O910" s="4" t="s">
        <v>222</v>
      </c>
      <c r="P910" s="9"/>
      <c r="Q910" s="9"/>
      <c r="R910" s="87" t="s">
        <v>222</v>
      </c>
      <c r="S910" s="11" t="s">
        <v>222</v>
      </c>
      <c r="T910" s="12"/>
      <c r="U910" s="13"/>
      <c r="V910" s="12"/>
      <c r="W910" s="13"/>
      <c r="X910" s="12"/>
      <c r="Y910" s="14"/>
      <c r="Z910" s="14"/>
      <c r="AA910" s="14"/>
      <c r="AB910" s="14"/>
      <c r="AC910" s="14"/>
      <c r="AD910" s="14"/>
      <c r="AE910" s="14"/>
      <c r="AF910" s="3"/>
      <c r="AG910" s="3"/>
    </row>
    <row r="911" ht="13.5" customHeight="1">
      <c r="A911" s="3"/>
      <c r="B911" s="15"/>
      <c r="C911" s="3"/>
      <c r="D911" s="4"/>
      <c r="E911" s="5"/>
      <c r="F911" s="6"/>
      <c r="G911" s="3"/>
      <c r="H911" s="3"/>
      <c r="I911" s="7"/>
      <c r="J911" s="6" t="s">
        <v>222</v>
      </c>
      <c r="K911" s="4" t="s">
        <v>222</v>
      </c>
      <c r="L911" s="4" t="s">
        <v>222</v>
      </c>
      <c r="M911" s="4" t="s">
        <v>222</v>
      </c>
      <c r="N911" s="4" t="s">
        <v>222</v>
      </c>
      <c r="O911" s="4" t="s">
        <v>222</v>
      </c>
      <c r="P911" s="9"/>
      <c r="Q911" s="9"/>
      <c r="R911" s="87" t="s">
        <v>222</v>
      </c>
      <c r="S911" s="11" t="s">
        <v>222</v>
      </c>
      <c r="T911" s="12"/>
      <c r="U911" s="13"/>
      <c r="V911" s="12"/>
      <c r="W911" s="13"/>
      <c r="X911" s="12"/>
      <c r="Y911" s="14"/>
      <c r="Z911" s="14"/>
      <c r="AA911" s="14"/>
      <c r="AB911" s="14"/>
      <c r="AC911" s="14"/>
      <c r="AD911" s="14"/>
      <c r="AE911" s="14"/>
      <c r="AF911" s="3"/>
      <c r="AG911" s="3"/>
    </row>
    <row r="912" ht="13.5" customHeight="1">
      <c r="A912" s="3"/>
      <c r="B912" s="15"/>
      <c r="C912" s="3"/>
      <c r="D912" s="4"/>
      <c r="E912" s="5"/>
      <c r="F912" s="6"/>
      <c r="G912" s="3"/>
      <c r="H912" s="3"/>
      <c r="I912" s="7"/>
      <c r="J912" s="6" t="s">
        <v>222</v>
      </c>
      <c r="K912" s="4" t="s">
        <v>222</v>
      </c>
      <c r="L912" s="4" t="s">
        <v>222</v>
      </c>
      <c r="M912" s="4" t="s">
        <v>222</v>
      </c>
      <c r="N912" s="4" t="s">
        <v>222</v>
      </c>
      <c r="O912" s="4" t="s">
        <v>222</v>
      </c>
      <c r="P912" s="9"/>
      <c r="Q912" s="9"/>
      <c r="R912" s="87" t="s">
        <v>222</v>
      </c>
      <c r="S912" s="11" t="s">
        <v>222</v>
      </c>
      <c r="T912" s="12"/>
      <c r="U912" s="13"/>
      <c r="V912" s="12"/>
      <c r="W912" s="13"/>
      <c r="X912" s="12"/>
      <c r="Y912" s="14"/>
      <c r="Z912" s="14"/>
      <c r="AA912" s="14"/>
      <c r="AB912" s="14"/>
      <c r="AC912" s="14"/>
      <c r="AD912" s="14"/>
      <c r="AE912" s="14"/>
      <c r="AF912" s="3"/>
      <c r="AG912" s="3"/>
    </row>
    <row r="913" ht="13.5" customHeight="1">
      <c r="A913" s="3"/>
      <c r="B913" s="15"/>
      <c r="C913" s="3"/>
      <c r="D913" s="4"/>
      <c r="E913" s="5"/>
      <c r="F913" s="6"/>
      <c r="G913" s="3"/>
      <c r="H913" s="3"/>
      <c r="I913" s="7"/>
      <c r="J913" s="6" t="s">
        <v>222</v>
      </c>
      <c r="K913" s="4" t="s">
        <v>222</v>
      </c>
      <c r="L913" s="4" t="s">
        <v>222</v>
      </c>
      <c r="M913" s="4" t="s">
        <v>222</v>
      </c>
      <c r="N913" s="4" t="s">
        <v>222</v>
      </c>
      <c r="O913" s="4" t="s">
        <v>222</v>
      </c>
      <c r="P913" s="9"/>
      <c r="Q913" s="9"/>
      <c r="R913" s="87" t="s">
        <v>222</v>
      </c>
      <c r="S913" s="11" t="s">
        <v>222</v>
      </c>
      <c r="T913" s="12"/>
      <c r="U913" s="13"/>
      <c r="V913" s="12"/>
      <c r="W913" s="13"/>
      <c r="X913" s="12"/>
      <c r="Y913" s="14"/>
      <c r="Z913" s="14"/>
      <c r="AA913" s="14"/>
      <c r="AB913" s="14"/>
      <c r="AC913" s="14"/>
      <c r="AD913" s="14"/>
      <c r="AE913" s="14"/>
      <c r="AF913" s="3"/>
      <c r="AG913" s="3"/>
    </row>
    <row r="914" ht="13.5" customHeight="1">
      <c r="A914" s="3"/>
      <c r="B914" s="15"/>
      <c r="C914" s="3"/>
      <c r="D914" s="4"/>
      <c r="E914" s="5"/>
      <c r="F914" s="6"/>
      <c r="G914" s="3"/>
      <c r="H914" s="3"/>
      <c r="I914" s="7"/>
      <c r="J914" s="6" t="s">
        <v>222</v>
      </c>
      <c r="K914" s="4" t="s">
        <v>222</v>
      </c>
      <c r="L914" s="4" t="s">
        <v>222</v>
      </c>
      <c r="M914" s="4" t="s">
        <v>222</v>
      </c>
      <c r="N914" s="4" t="s">
        <v>222</v>
      </c>
      <c r="O914" s="4" t="s">
        <v>222</v>
      </c>
      <c r="P914" s="9"/>
      <c r="Q914" s="9"/>
      <c r="R914" s="87" t="s">
        <v>222</v>
      </c>
      <c r="S914" s="11" t="s">
        <v>222</v>
      </c>
      <c r="T914" s="12"/>
      <c r="U914" s="13"/>
      <c r="V914" s="12"/>
      <c r="W914" s="13"/>
      <c r="X914" s="12"/>
      <c r="Y914" s="14"/>
      <c r="Z914" s="14"/>
      <c r="AA914" s="14"/>
      <c r="AB914" s="14"/>
      <c r="AC914" s="14"/>
      <c r="AD914" s="14"/>
      <c r="AE914" s="14"/>
      <c r="AF914" s="3"/>
      <c r="AG914" s="3"/>
    </row>
    <row r="915" ht="13.5" customHeight="1">
      <c r="A915" s="3"/>
      <c r="B915" s="15"/>
      <c r="C915" s="3"/>
      <c r="D915" s="4"/>
      <c r="E915" s="5"/>
      <c r="F915" s="6"/>
      <c r="G915" s="3"/>
      <c r="H915" s="3"/>
      <c r="I915" s="7"/>
      <c r="J915" s="6" t="s">
        <v>222</v>
      </c>
      <c r="K915" s="4" t="s">
        <v>222</v>
      </c>
      <c r="L915" s="4" t="s">
        <v>222</v>
      </c>
      <c r="M915" s="4" t="s">
        <v>222</v>
      </c>
      <c r="N915" s="4" t="s">
        <v>222</v>
      </c>
      <c r="O915" s="4" t="s">
        <v>222</v>
      </c>
      <c r="P915" s="9"/>
      <c r="Q915" s="9"/>
      <c r="R915" s="87" t="s">
        <v>222</v>
      </c>
      <c r="S915" s="11" t="s">
        <v>222</v>
      </c>
      <c r="T915" s="12"/>
      <c r="U915" s="13"/>
      <c r="V915" s="12"/>
      <c r="W915" s="13"/>
      <c r="X915" s="12"/>
      <c r="Y915" s="14"/>
      <c r="Z915" s="14"/>
      <c r="AA915" s="14"/>
      <c r="AB915" s="14"/>
      <c r="AC915" s="14"/>
      <c r="AD915" s="14"/>
      <c r="AE915" s="14"/>
      <c r="AF915" s="3"/>
      <c r="AG915" s="3"/>
    </row>
    <row r="916" ht="13.5" customHeight="1">
      <c r="A916" s="3"/>
      <c r="B916" s="15"/>
      <c r="C916" s="3"/>
      <c r="D916" s="4"/>
      <c r="E916" s="5"/>
      <c r="F916" s="6"/>
      <c r="G916" s="3"/>
      <c r="H916" s="3"/>
      <c r="I916" s="7"/>
      <c r="J916" s="6" t="s">
        <v>222</v>
      </c>
      <c r="K916" s="4" t="s">
        <v>222</v>
      </c>
      <c r="L916" s="4" t="s">
        <v>222</v>
      </c>
      <c r="M916" s="4" t="s">
        <v>222</v>
      </c>
      <c r="N916" s="4" t="s">
        <v>222</v>
      </c>
      <c r="O916" s="4" t="s">
        <v>222</v>
      </c>
      <c r="P916" s="9"/>
      <c r="Q916" s="9"/>
      <c r="R916" s="87" t="s">
        <v>222</v>
      </c>
      <c r="S916" s="11" t="s">
        <v>222</v>
      </c>
      <c r="T916" s="12"/>
      <c r="U916" s="13"/>
      <c r="V916" s="12"/>
      <c r="W916" s="13"/>
      <c r="X916" s="12"/>
      <c r="Y916" s="14"/>
      <c r="Z916" s="14"/>
      <c r="AA916" s="14"/>
      <c r="AB916" s="14"/>
      <c r="AC916" s="14"/>
      <c r="AD916" s="14"/>
      <c r="AE916" s="14"/>
      <c r="AF916" s="3"/>
      <c r="AG916" s="3"/>
    </row>
    <row r="917" ht="13.5" customHeight="1">
      <c r="A917" s="3"/>
      <c r="B917" s="15"/>
      <c r="C917" s="3"/>
      <c r="D917" s="4"/>
      <c r="E917" s="5"/>
      <c r="F917" s="6"/>
      <c r="G917" s="3"/>
      <c r="H917" s="3"/>
      <c r="I917" s="7"/>
      <c r="J917" s="6" t="s">
        <v>222</v>
      </c>
      <c r="K917" s="4" t="s">
        <v>222</v>
      </c>
      <c r="L917" s="4" t="s">
        <v>222</v>
      </c>
      <c r="M917" s="4" t="s">
        <v>222</v>
      </c>
      <c r="N917" s="4" t="s">
        <v>222</v>
      </c>
      <c r="O917" s="4" t="s">
        <v>222</v>
      </c>
      <c r="P917" s="9"/>
      <c r="Q917" s="9"/>
      <c r="R917" s="87" t="s">
        <v>222</v>
      </c>
      <c r="S917" s="11" t="s">
        <v>222</v>
      </c>
      <c r="T917" s="12"/>
      <c r="U917" s="13"/>
      <c r="V917" s="12"/>
      <c r="W917" s="13"/>
      <c r="X917" s="12"/>
      <c r="Y917" s="14"/>
      <c r="Z917" s="14"/>
      <c r="AA917" s="14"/>
      <c r="AB917" s="14"/>
      <c r="AC917" s="14"/>
      <c r="AD917" s="14"/>
      <c r="AE917" s="14"/>
      <c r="AF917" s="3"/>
      <c r="AG917" s="3"/>
    </row>
    <row r="918" ht="13.5" customHeight="1">
      <c r="A918" s="3"/>
      <c r="B918" s="15"/>
      <c r="C918" s="3"/>
      <c r="D918" s="4"/>
      <c r="E918" s="5"/>
      <c r="F918" s="6"/>
      <c r="G918" s="3"/>
      <c r="H918" s="3"/>
      <c r="I918" s="7"/>
      <c r="J918" s="6" t="s">
        <v>222</v>
      </c>
      <c r="K918" s="4" t="s">
        <v>222</v>
      </c>
      <c r="L918" s="4" t="s">
        <v>222</v>
      </c>
      <c r="M918" s="4" t="s">
        <v>222</v>
      </c>
      <c r="N918" s="4" t="s">
        <v>222</v>
      </c>
      <c r="O918" s="4" t="s">
        <v>222</v>
      </c>
      <c r="P918" s="9"/>
      <c r="Q918" s="9"/>
      <c r="R918" s="87" t="s">
        <v>222</v>
      </c>
      <c r="S918" s="11" t="s">
        <v>222</v>
      </c>
      <c r="T918" s="12"/>
      <c r="U918" s="13"/>
      <c r="V918" s="12"/>
      <c r="W918" s="13"/>
      <c r="X918" s="12"/>
      <c r="Y918" s="14"/>
      <c r="Z918" s="14"/>
      <c r="AA918" s="14"/>
      <c r="AB918" s="14"/>
      <c r="AC918" s="14"/>
      <c r="AD918" s="14"/>
      <c r="AE918" s="14"/>
      <c r="AF918" s="3"/>
      <c r="AG918" s="3"/>
    </row>
    <row r="919" ht="13.5" customHeight="1">
      <c r="A919" s="3"/>
      <c r="B919" s="15"/>
      <c r="C919" s="3"/>
      <c r="D919" s="4"/>
      <c r="E919" s="5"/>
      <c r="F919" s="6"/>
      <c r="G919" s="3"/>
      <c r="H919" s="3"/>
      <c r="I919" s="7"/>
      <c r="J919" s="6" t="s">
        <v>222</v>
      </c>
      <c r="K919" s="4" t="s">
        <v>222</v>
      </c>
      <c r="L919" s="4" t="s">
        <v>222</v>
      </c>
      <c r="M919" s="4" t="s">
        <v>222</v>
      </c>
      <c r="N919" s="4" t="s">
        <v>222</v>
      </c>
      <c r="O919" s="4" t="s">
        <v>222</v>
      </c>
      <c r="P919" s="9"/>
      <c r="Q919" s="9"/>
      <c r="R919" s="87" t="s">
        <v>222</v>
      </c>
      <c r="S919" s="11" t="s">
        <v>222</v>
      </c>
      <c r="T919" s="12"/>
      <c r="U919" s="13"/>
      <c r="V919" s="12"/>
      <c r="W919" s="13"/>
      <c r="X919" s="12"/>
      <c r="Y919" s="14"/>
      <c r="Z919" s="14"/>
      <c r="AA919" s="14"/>
      <c r="AB919" s="14"/>
      <c r="AC919" s="14"/>
      <c r="AD919" s="14"/>
      <c r="AE919" s="14"/>
      <c r="AF919" s="3"/>
      <c r="AG919" s="3"/>
    </row>
    <row r="920" ht="13.5" customHeight="1">
      <c r="A920" s="3"/>
      <c r="B920" s="15"/>
      <c r="C920" s="3"/>
      <c r="D920" s="4"/>
      <c r="E920" s="5"/>
      <c r="F920" s="6"/>
      <c r="G920" s="3"/>
      <c r="H920" s="3"/>
      <c r="I920" s="7"/>
      <c r="J920" s="6" t="s">
        <v>222</v>
      </c>
      <c r="K920" s="4" t="s">
        <v>222</v>
      </c>
      <c r="L920" s="4" t="s">
        <v>222</v>
      </c>
      <c r="M920" s="4" t="s">
        <v>222</v>
      </c>
      <c r="N920" s="4" t="s">
        <v>222</v>
      </c>
      <c r="O920" s="4" t="s">
        <v>222</v>
      </c>
      <c r="P920" s="9"/>
      <c r="Q920" s="9"/>
      <c r="R920" s="87" t="s">
        <v>222</v>
      </c>
      <c r="S920" s="11" t="s">
        <v>222</v>
      </c>
      <c r="T920" s="12"/>
      <c r="U920" s="13"/>
      <c r="V920" s="12"/>
      <c r="W920" s="13"/>
      <c r="X920" s="12"/>
      <c r="Y920" s="14"/>
      <c r="Z920" s="14"/>
      <c r="AA920" s="14"/>
      <c r="AB920" s="14"/>
      <c r="AC920" s="14"/>
      <c r="AD920" s="14"/>
      <c r="AE920" s="14"/>
      <c r="AF920" s="3"/>
      <c r="AG920" s="3"/>
    </row>
    <row r="921" ht="13.5" customHeight="1">
      <c r="A921" s="3"/>
      <c r="B921" s="15"/>
      <c r="C921" s="3"/>
      <c r="D921" s="4"/>
      <c r="E921" s="5"/>
      <c r="F921" s="6"/>
      <c r="G921" s="3"/>
      <c r="H921" s="3"/>
      <c r="I921" s="7"/>
      <c r="J921" s="6" t="s">
        <v>222</v>
      </c>
      <c r="K921" s="4" t="s">
        <v>222</v>
      </c>
      <c r="L921" s="4" t="s">
        <v>222</v>
      </c>
      <c r="M921" s="4" t="s">
        <v>222</v>
      </c>
      <c r="N921" s="4" t="s">
        <v>222</v>
      </c>
      <c r="O921" s="4" t="s">
        <v>222</v>
      </c>
      <c r="P921" s="9"/>
      <c r="Q921" s="9"/>
      <c r="R921" s="87" t="s">
        <v>222</v>
      </c>
      <c r="S921" s="11" t="s">
        <v>222</v>
      </c>
      <c r="T921" s="12"/>
      <c r="U921" s="13"/>
      <c r="V921" s="12"/>
      <c r="W921" s="13"/>
      <c r="X921" s="12"/>
      <c r="Y921" s="14"/>
      <c r="Z921" s="14"/>
      <c r="AA921" s="14"/>
      <c r="AB921" s="14"/>
      <c r="AC921" s="14"/>
      <c r="AD921" s="14"/>
      <c r="AE921" s="14"/>
      <c r="AF921" s="3"/>
      <c r="AG921" s="3"/>
    </row>
    <row r="922" ht="13.5" customHeight="1">
      <c r="A922" s="3"/>
      <c r="B922" s="15"/>
      <c r="C922" s="3"/>
      <c r="D922" s="4"/>
      <c r="E922" s="5"/>
      <c r="F922" s="6"/>
      <c r="G922" s="3"/>
      <c r="H922" s="3"/>
      <c r="I922" s="7"/>
      <c r="J922" s="6" t="s">
        <v>222</v>
      </c>
      <c r="K922" s="4" t="s">
        <v>222</v>
      </c>
      <c r="L922" s="4" t="s">
        <v>222</v>
      </c>
      <c r="M922" s="4" t="s">
        <v>222</v>
      </c>
      <c r="N922" s="4" t="s">
        <v>222</v>
      </c>
      <c r="O922" s="4" t="s">
        <v>222</v>
      </c>
      <c r="P922" s="9"/>
      <c r="Q922" s="9"/>
      <c r="R922" s="87" t="s">
        <v>222</v>
      </c>
      <c r="S922" s="11" t="s">
        <v>222</v>
      </c>
      <c r="T922" s="12"/>
      <c r="U922" s="13"/>
      <c r="V922" s="12"/>
      <c r="W922" s="13"/>
      <c r="X922" s="12"/>
      <c r="Y922" s="14"/>
      <c r="Z922" s="14"/>
      <c r="AA922" s="14"/>
      <c r="AB922" s="14"/>
      <c r="AC922" s="14"/>
      <c r="AD922" s="14"/>
      <c r="AE922" s="14"/>
      <c r="AF922" s="3"/>
      <c r="AG922" s="3"/>
    </row>
    <row r="923" ht="13.5" customHeight="1">
      <c r="A923" s="3"/>
      <c r="B923" s="15"/>
      <c r="C923" s="3"/>
      <c r="D923" s="4"/>
      <c r="E923" s="5"/>
      <c r="F923" s="6"/>
      <c r="G923" s="3"/>
      <c r="H923" s="3"/>
      <c r="I923" s="7"/>
      <c r="J923" s="6" t="s">
        <v>222</v>
      </c>
      <c r="K923" s="4" t="s">
        <v>222</v>
      </c>
      <c r="L923" s="4" t="s">
        <v>222</v>
      </c>
      <c r="M923" s="4" t="s">
        <v>222</v>
      </c>
      <c r="N923" s="4" t="s">
        <v>222</v>
      </c>
      <c r="O923" s="4" t="s">
        <v>222</v>
      </c>
      <c r="P923" s="9"/>
      <c r="Q923" s="9"/>
      <c r="R923" s="87" t="s">
        <v>222</v>
      </c>
      <c r="S923" s="11" t="s">
        <v>222</v>
      </c>
      <c r="T923" s="12"/>
      <c r="U923" s="13"/>
      <c r="V923" s="12"/>
      <c r="W923" s="13"/>
      <c r="X923" s="12"/>
      <c r="Y923" s="14"/>
      <c r="Z923" s="14"/>
      <c r="AA923" s="14"/>
      <c r="AB923" s="14"/>
      <c r="AC923" s="14"/>
      <c r="AD923" s="14"/>
      <c r="AE923" s="14"/>
      <c r="AF923" s="3"/>
      <c r="AG923" s="3"/>
    </row>
    <row r="924" ht="13.5" customHeight="1">
      <c r="A924" s="3"/>
      <c r="B924" s="15"/>
      <c r="C924" s="3"/>
      <c r="D924" s="4"/>
      <c r="E924" s="5"/>
      <c r="F924" s="6"/>
      <c r="G924" s="3"/>
      <c r="H924" s="3"/>
      <c r="I924" s="7"/>
      <c r="J924" s="6" t="s">
        <v>222</v>
      </c>
      <c r="K924" s="4" t="s">
        <v>222</v>
      </c>
      <c r="L924" s="4" t="s">
        <v>222</v>
      </c>
      <c r="M924" s="4" t="s">
        <v>222</v>
      </c>
      <c r="N924" s="4" t="s">
        <v>222</v>
      </c>
      <c r="O924" s="4" t="s">
        <v>222</v>
      </c>
      <c r="P924" s="9"/>
      <c r="Q924" s="9"/>
      <c r="R924" s="87" t="s">
        <v>222</v>
      </c>
      <c r="S924" s="11" t="s">
        <v>222</v>
      </c>
      <c r="T924" s="12"/>
      <c r="U924" s="13"/>
      <c r="V924" s="12"/>
      <c r="W924" s="13"/>
      <c r="X924" s="12"/>
      <c r="Y924" s="14"/>
      <c r="Z924" s="14"/>
      <c r="AA924" s="14"/>
      <c r="AB924" s="14"/>
      <c r="AC924" s="14"/>
      <c r="AD924" s="14"/>
      <c r="AE924" s="14"/>
      <c r="AF924" s="3"/>
      <c r="AG924" s="3"/>
    </row>
    <row r="925" ht="13.5" customHeight="1">
      <c r="A925" s="3"/>
      <c r="B925" s="15"/>
      <c r="C925" s="3"/>
      <c r="D925" s="4"/>
      <c r="E925" s="5"/>
      <c r="F925" s="6"/>
      <c r="G925" s="3"/>
      <c r="H925" s="3"/>
      <c r="I925" s="7"/>
      <c r="J925" s="6" t="s">
        <v>222</v>
      </c>
      <c r="K925" s="4" t="s">
        <v>222</v>
      </c>
      <c r="L925" s="4" t="s">
        <v>222</v>
      </c>
      <c r="M925" s="4" t="s">
        <v>222</v>
      </c>
      <c r="N925" s="4" t="s">
        <v>222</v>
      </c>
      <c r="O925" s="4" t="s">
        <v>222</v>
      </c>
      <c r="P925" s="9"/>
      <c r="Q925" s="9"/>
      <c r="R925" s="87" t="s">
        <v>222</v>
      </c>
      <c r="S925" s="11" t="s">
        <v>222</v>
      </c>
      <c r="T925" s="12"/>
      <c r="U925" s="13"/>
      <c r="V925" s="12"/>
      <c r="W925" s="13"/>
      <c r="X925" s="12"/>
      <c r="Y925" s="14"/>
      <c r="Z925" s="14"/>
      <c r="AA925" s="14"/>
      <c r="AB925" s="14"/>
      <c r="AC925" s="14"/>
      <c r="AD925" s="14"/>
      <c r="AE925" s="14"/>
      <c r="AF925" s="3"/>
      <c r="AG925" s="3"/>
    </row>
    <row r="926" ht="13.5" customHeight="1">
      <c r="A926" s="3"/>
      <c r="B926" s="15"/>
      <c r="C926" s="3"/>
      <c r="D926" s="4"/>
      <c r="E926" s="5"/>
      <c r="F926" s="6"/>
      <c r="G926" s="3"/>
      <c r="H926" s="3"/>
      <c r="I926" s="7"/>
      <c r="J926" s="6" t="s">
        <v>222</v>
      </c>
      <c r="K926" s="4" t="s">
        <v>222</v>
      </c>
      <c r="L926" s="4" t="s">
        <v>222</v>
      </c>
      <c r="M926" s="4" t="s">
        <v>222</v>
      </c>
      <c r="N926" s="4" t="s">
        <v>222</v>
      </c>
      <c r="O926" s="4" t="s">
        <v>222</v>
      </c>
      <c r="P926" s="9"/>
      <c r="Q926" s="9"/>
      <c r="R926" s="87" t="s">
        <v>222</v>
      </c>
      <c r="S926" s="11" t="s">
        <v>222</v>
      </c>
      <c r="T926" s="12"/>
      <c r="U926" s="13"/>
      <c r="V926" s="12"/>
      <c r="W926" s="13"/>
      <c r="X926" s="12"/>
      <c r="Y926" s="14"/>
      <c r="Z926" s="14"/>
      <c r="AA926" s="14"/>
      <c r="AB926" s="14"/>
      <c r="AC926" s="14"/>
      <c r="AD926" s="14"/>
      <c r="AE926" s="14"/>
      <c r="AF926" s="3"/>
      <c r="AG926" s="3"/>
    </row>
    <row r="927" ht="13.5" customHeight="1">
      <c r="A927" s="3"/>
      <c r="B927" s="15"/>
      <c r="C927" s="3"/>
      <c r="D927" s="4"/>
      <c r="E927" s="5"/>
      <c r="F927" s="6"/>
      <c r="G927" s="3"/>
      <c r="H927" s="3"/>
      <c r="I927" s="7"/>
      <c r="J927" s="6" t="s">
        <v>222</v>
      </c>
      <c r="K927" s="4" t="s">
        <v>222</v>
      </c>
      <c r="L927" s="4" t="s">
        <v>222</v>
      </c>
      <c r="M927" s="4" t="s">
        <v>222</v>
      </c>
      <c r="N927" s="4" t="s">
        <v>222</v>
      </c>
      <c r="O927" s="4" t="s">
        <v>222</v>
      </c>
      <c r="P927" s="9"/>
      <c r="Q927" s="9"/>
      <c r="R927" s="87" t="s">
        <v>222</v>
      </c>
      <c r="S927" s="11" t="s">
        <v>222</v>
      </c>
      <c r="T927" s="12"/>
      <c r="U927" s="13"/>
      <c r="V927" s="12"/>
      <c r="W927" s="13"/>
      <c r="X927" s="12"/>
      <c r="Y927" s="14"/>
      <c r="Z927" s="14"/>
      <c r="AA927" s="14"/>
      <c r="AB927" s="14"/>
      <c r="AC927" s="14"/>
      <c r="AD927" s="14"/>
      <c r="AE927" s="14"/>
      <c r="AF927" s="3"/>
      <c r="AG927" s="3"/>
    </row>
    <row r="928" ht="13.5" customHeight="1">
      <c r="A928" s="3"/>
      <c r="B928" s="15"/>
      <c r="C928" s="3"/>
      <c r="D928" s="4"/>
      <c r="E928" s="5"/>
      <c r="F928" s="6"/>
      <c r="G928" s="3"/>
      <c r="H928" s="3"/>
      <c r="I928" s="7"/>
      <c r="J928" s="6" t="s">
        <v>222</v>
      </c>
      <c r="K928" s="4" t="s">
        <v>222</v>
      </c>
      <c r="L928" s="4" t="s">
        <v>222</v>
      </c>
      <c r="M928" s="4" t="s">
        <v>222</v>
      </c>
      <c r="N928" s="4" t="s">
        <v>222</v>
      </c>
      <c r="O928" s="4" t="s">
        <v>222</v>
      </c>
      <c r="P928" s="9"/>
      <c r="Q928" s="9"/>
      <c r="R928" s="87" t="s">
        <v>222</v>
      </c>
      <c r="S928" s="11" t="s">
        <v>222</v>
      </c>
      <c r="T928" s="12"/>
      <c r="U928" s="13"/>
      <c r="V928" s="12"/>
      <c r="W928" s="13"/>
      <c r="X928" s="12"/>
      <c r="Y928" s="14"/>
      <c r="Z928" s="14"/>
      <c r="AA928" s="14"/>
      <c r="AB928" s="14"/>
      <c r="AC928" s="14"/>
      <c r="AD928" s="14"/>
      <c r="AE928" s="14"/>
      <c r="AF928" s="3"/>
      <c r="AG928" s="3"/>
    </row>
    <row r="929" ht="13.5" customHeight="1">
      <c r="A929" s="3"/>
      <c r="B929" s="15"/>
      <c r="C929" s="3"/>
      <c r="D929" s="4"/>
      <c r="E929" s="5"/>
      <c r="F929" s="6"/>
      <c r="G929" s="3"/>
      <c r="H929" s="3"/>
      <c r="I929" s="7"/>
      <c r="J929" s="6" t="s">
        <v>222</v>
      </c>
      <c r="K929" s="4" t="s">
        <v>222</v>
      </c>
      <c r="L929" s="4" t="s">
        <v>222</v>
      </c>
      <c r="M929" s="4" t="s">
        <v>222</v>
      </c>
      <c r="N929" s="4" t="s">
        <v>222</v>
      </c>
      <c r="O929" s="4" t="s">
        <v>222</v>
      </c>
      <c r="P929" s="9"/>
      <c r="Q929" s="9"/>
      <c r="R929" s="87" t="s">
        <v>222</v>
      </c>
      <c r="S929" s="11" t="s">
        <v>222</v>
      </c>
      <c r="T929" s="12"/>
      <c r="U929" s="13"/>
      <c r="V929" s="12"/>
      <c r="W929" s="13"/>
      <c r="X929" s="12"/>
      <c r="Y929" s="14"/>
      <c r="Z929" s="14"/>
      <c r="AA929" s="14"/>
      <c r="AB929" s="14"/>
      <c r="AC929" s="14"/>
      <c r="AD929" s="14"/>
      <c r="AE929" s="14"/>
      <c r="AF929" s="3"/>
      <c r="AG929" s="3"/>
    </row>
    <row r="930" ht="13.5" customHeight="1">
      <c r="A930" s="3"/>
      <c r="B930" s="15"/>
      <c r="C930" s="3"/>
      <c r="D930" s="4"/>
      <c r="E930" s="5"/>
      <c r="F930" s="6"/>
      <c r="G930" s="3"/>
      <c r="H930" s="3"/>
      <c r="I930" s="7"/>
      <c r="J930" s="6" t="s">
        <v>222</v>
      </c>
      <c r="K930" s="4" t="s">
        <v>222</v>
      </c>
      <c r="L930" s="4" t="s">
        <v>222</v>
      </c>
      <c r="M930" s="4" t="s">
        <v>222</v>
      </c>
      <c r="N930" s="4" t="s">
        <v>222</v>
      </c>
      <c r="O930" s="4" t="s">
        <v>222</v>
      </c>
      <c r="P930" s="9"/>
      <c r="Q930" s="9"/>
      <c r="R930" s="87" t="s">
        <v>222</v>
      </c>
      <c r="S930" s="11" t="s">
        <v>222</v>
      </c>
      <c r="T930" s="12"/>
      <c r="U930" s="13"/>
      <c r="V930" s="12"/>
      <c r="W930" s="13"/>
      <c r="X930" s="12"/>
      <c r="Y930" s="14"/>
      <c r="Z930" s="14"/>
      <c r="AA930" s="14"/>
      <c r="AB930" s="14"/>
      <c r="AC930" s="14"/>
      <c r="AD930" s="14"/>
      <c r="AE930" s="14"/>
      <c r="AF930" s="3"/>
      <c r="AG930" s="3"/>
    </row>
    <row r="931" ht="13.5" customHeight="1">
      <c r="A931" s="3"/>
      <c r="B931" s="15"/>
      <c r="C931" s="3"/>
      <c r="D931" s="4"/>
      <c r="E931" s="5"/>
      <c r="F931" s="6"/>
      <c r="G931" s="3"/>
      <c r="H931" s="3"/>
      <c r="I931" s="7"/>
      <c r="J931" s="6" t="s">
        <v>222</v>
      </c>
      <c r="K931" s="4" t="s">
        <v>222</v>
      </c>
      <c r="L931" s="4" t="s">
        <v>222</v>
      </c>
      <c r="M931" s="4" t="s">
        <v>222</v>
      </c>
      <c r="N931" s="4" t="s">
        <v>222</v>
      </c>
      <c r="O931" s="4" t="s">
        <v>222</v>
      </c>
      <c r="P931" s="9"/>
      <c r="Q931" s="9"/>
      <c r="R931" s="87" t="s">
        <v>222</v>
      </c>
      <c r="S931" s="11" t="s">
        <v>222</v>
      </c>
      <c r="T931" s="12"/>
      <c r="U931" s="13"/>
      <c r="V931" s="12"/>
      <c r="W931" s="13"/>
      <c r="X931" s="12"/>
      <c r="Y931" s="14"/>
      <c r="Z931" s="14"/>
      <c r="AA931" s="14"/>
      <c r="AB931" s="14"/>
      <c r="AC931" s="14"/>
      <c r="AD931" s="14"/>
      <c r="AE931" s="14"/>
      <c r="AF931" s="3"/>
      <c r="AG931" s="3"/>
    </row>
    <row r="932" ht="13.5" customHeight="1">
      <c r="A932" s="3"/>
      <c r="B932" s="15"/>
      <c r="C932" s="3"/>
      <c r="D932" s="4"/>
      <c r="E932" s="5"/>
      <c r="F932" s="6"/>
      <c r="G932" s="3"/>
      <c r="H932" s="3"/>
      <c r="I932" s="7"/>
      <c r="J932" s="6" t="s">
        <v>222</v>
      </c>
      <c r="K932" s="4" t="s">
        <v>222</v>
      </c>
      <c r="L932" s="4" t="s">
        <v>222</v>
      </c>
      <c r="M932" s="4" t="s">
        <v>222</v>
      </c>
      <c r="N932" s="4" t="s">
        <v>222</v>
      </c>
      <c r="O932" s="4" t="s">
        <v>222</v>
      </c>
      <c r="P932" s="9"/>
      <c r="Q932" s="9"/>
      <c r="R932" s="87" t="s">
        <v>222</v>
      </c>
      <c r="S932" s="11" t="s">
        <v>222</v>
      </c>
      <c r="T932" s="12"/>
      <c r="U932" s="13"/>
      <c r="V932" s="12"/>
      <c r="W932" s="13"/>
      <c r="X932" s="12"/>
      <c r="Y932" s="14"/>
      <c r="Z932" s="14"/>
      <c r="AA932" s="14"/>
      <c r="AB932" s="14"/>
      <c r="AC932" s="14"/>
      <c r="AD932" s="14"/>
      <c r="AE932" s="14"/>
      <c r="AF932" s="3"/>
      <c r="AG932" s="3"/>
    </row>
    <row r="933" ht="13.5" customHeight="1">
      <c r="A933" s="3"/>
      <c r="B933" s="15"/>
      <c r="C933" s="3"/>
      <c r="D933" s="4"/>
      <c r="E933" s="5"/>
      <c r="F933" s="6"/>
      <c r="G933" s="3"/>
      <c r="H933" s="3"/>
      <c r="I933" s="7"/>
      <c r="J933" s="6" t="s">
        <v>222</v>
      </c>
      <c r="K933" s="4" t="s">
        <v>222</v>
      </c>
      <c r="L933" s="4" t="s">
        <v>222</v>
      </c>
      <c r="M933" s="4" t="s">
        <v>222</v>
      </c>
      <c r="N933" s="4" t="s">
        <v>222</v>
      </c>
      <c r="O933" s="4" t="s">
        <v>222</v>
      </c>
      <c r="P933" s="9"/>
      <c r="Q933" s="9"/>
      <c r="R933" s="87" t="s">
        <v>222</v>
      </c>
      <c r="S933" s="11" t="s">
        <v>222</v>
      </c>
      <c r="T933" s="12"/>
      <c r="U933" s="13"/>
      <c r="V933" s="12"/>
      <c r="W933" s="13"/>
      <c r="X933" s="12"/>
      <c r="Y933" s="14"/>
      <c r="Z933" s="14"/>
      <c r="AA933" s="14"/>
      <c r="AB933" s="14"/>
      <c r="AC933" s="14"/>
      <c r="AD933" s="14"/>
      <c r="AE933" s="14"/>
      <c r="AF933" s="3"/>
      <c r="AG933" s="3"/>
    </row>
    <row r="934" ht="13.5" customHeight="1">
      <c r="A934" s="3"/>
      <c r="B934" s="15"/>
      <c r="C934" s="3"/>
      <c r="D934" s="4"/>
      <c r="E934" s="5"/>
      <c r="F934" s="6"/>
      <c r="G934" s="3"/>
      <c r="H934" s="3"/>
      <c r="I934" s="7"/>
      <c r="J934" s="6" t="s">
        <v>222</v>
      </c>
      <c r="K934" s="4" t="s">
        <v>222</v>
      </c>
      <c r="L934" s="4" t="s">
        <v>222</v>
      </c>
      <c r="M934" s="4" t="s">
        <v>222</v>
      </c>
      <c r="N934" s="4" t="s">
        <v>222</v>
      </c>
      <c r="O934" s="4" t="s">
        <v>222</v>
      </c>
      <c r="P934" s="9"/>
      <c r="Q934" s="9"/>
      <c r="R934" s="87" t="s">
        <v>222</v>
      </c>
      <c r="S934" s="11" t="s">
        <v>222</v>
      </c>
      <c r="T934" s="12"/>
      <c r="U934" s="13"/>
      <c r="V934" s="12"/>
      <c r="W934" s="13"/>
      <c r="X934" s="12"/>
      <c r="Y934" s="14"/>
      <c r="Z934" s="14"/>
      <c r="AA934" s="14"/>
      <c r="AB934" s="14"/>
      <c r="AC934" s="14"/>
      <c r="AD934" s="14"/>
      <c r="AE934" s="14"/>
      <c r="AF934" s="3"/>
      <c r="AG934" s="3"/>
    </row>
    <row r="935" ht="13.5" customHeight="1">
      <c r="A935" s="3"/>
      <c r="B935" s="15"/>
      <c r="C935" s="3"/>
      <c r="D935" s="4"/>
      <c r="E935" s="5"/>
      <c r="F935" s="6"/>
      <c r="G935" s="3"/>
      <c r="H935" s="3"/>
      <c r="I935" s="7"/>
      <c r="J935" s="6" t="s">
        <v>222</v>
      </c>
      <c r="K935" s="4" t="s">
        <v>222</v>
      </c>
      <c r="L935" s="4" t="s">
        <v>222</v>
      </c>
      <c r="M935" s="4" t="s">
        <v>222</v>
      </c>
      <c r="N935" s="4" t="s">
        <v>222</v>
      </c>
      <c r="O935" s="4" t="s">
        <v>222</v>
      </c>
      <c r="P935" s="9"/>
      <c r="Q935" s="9"/>
      <c r="R935" s="87" t="s">
        <v>222</v>
      </c>
      <c r="S935" s="11" t="s">
        <v>222</v>
      </c>
      <c r="T935" s="12"/>
      <c r="U935" s="13"/>
      <c r="V935" s="12"/>
      <c r="W935" s="13"/>
      <c r="X935" s="12"/>
      <c r="Y935" s="14"/>
      <c r="Z935" s="14"/>
      <c r="AA935" s="14"/>
      <c r="AB935" s="14"/>
      <c r="AC935" s="14"/>
      <c r="AD935" s="14"/>
      <c r="AE935" s="14"/>
      <c r="AF935" s="3"/>
      <c r="AG935" s="3"/>
    </row>
    <row r="936" ht="13.5" customHeight="1">
      <c r="A936" s="3"/>
      <c r="B936" s="15"/>
      <c r="C936" s="3"/>
      <c r="D936" s="4"/>
      <c r="E936" s="5"/>
      <c r="F936" s="6"/>
      <c r="G936" s="3"/>
      <c r="H936" s="3"/>
      <c r="I936" s="7"/>
      <c r="J936" s="6" t="s">
        <v>222</v>
      </c>
      <c r="K936" s="4" t="s">
        <v>222</v>
      </c>
      <c r="L936" s="4" t="s">
        <v>222</v>
      </c>
      <c r="M936" s="4" t="s">
        <v>222</v>
      </c>
      <c r="N936" s="4" t="s">
        <v>222</v>
      </c>
      <c r="O936" s="4" t="s">
        <v>222</v>
      </c>
      <c r="P936" s="9"/>
      <c r="Q936" s="9"/>
      <c r="R936" s="87" t="s">
        <v>222</v>
      </c>
      <c r="S936" s="11" t="s">
        <v>222</v>
      </c>
      <c r="T936" s="12"/>
      <c r="U936" s="13"/>
      <c r="V936" s="12"/>
      <c r="W936" s="13"/>
      <c r="X936" s="12"/>
      <c r="Y936" s="14"/>
      <c r="Z936" s="14"/>
      <c r="AA936" s="14"/>
      <c r="AB936" s="14"/>
      <c r="AC936" s="14"/>
      <c r="AD936" s="14"/>
      <c r="AE936" s="14"/>
      <c r="AF936" s="3"/>
      <c r="AG936" s="3"/>
    </row>
    <row r="937" ht="13.5" customHeight="1">
      <c r="A937" s="3"/>
      <c r="B937" s="15"/>
      <c r="C937" s="3"/>
      <c r="D937" s="4"/>
      <c r="E937" s="5"/>
      <c r="F937" s="6"/>
      <c r="G937" s="3"/>
      <c r="H937" s="3"/>
      <c r="I937" s="7"/>
      <c r="J937" s="6" t="s">
        <v>222</v>
      </c>
      <c r="K937" s="4" t="s">
        <v>222</v>
      </c>
      <c r="L937" s="4" t="s">
        <v>222</v>
      </c>
      <c r="M937" s="4" t="s">
        <v>222</v>
      </c>
      <c r="N937" s="4" t="s">
        <v>222</v>
      </c>
      <c r="O937" s="4" t="s">
        <v>222</v>
      </c>
      <c r="P937" s="9"/>
      <c r="Q937" s="9"/>
      <c r="R937" s="87" t="s">
        <v>222</v>
      </c>
      <c r="S937" s="11" t="s">
        <v>222</v>
      </c>
      <c r="T937" s="12"/>
      <c r="U937" s="13"/>
      <c r="V937" s="12"/>
      <c r="W937" s="13"/>
      <c r="X937" s="12"/>
      <c r="Y937" s="14"/>
      <c r="Z937" s="14"/>
      <c r="AA937" s="14"/>
      <c r="AB937" s="14"/>
      <c r="AC937" s="14"/>
      <c r="AD937" s="14"/>
      <c r="AE937" s="14"/>
      <c r="AF937" s="3"/>
      <c r="AG937" s="3"/>
    </row>
    <row r="938" ht="13.5" customHeight="1">
      <c r="A938" s="3"/>
      <c r="B938" s="15"/>
      <c r="C938" s="3"/>
      <c r="D938" s="4"/>
      <c r="E938" s="5"/>
      <c r="F938" s="6"/>
      <c r="G938" s="3"/>
      <c r="H938" s="3"/>
      <c r="I938" s="7"/>
      <c r="J938" s="6" t="s">
        <v>222</v>
      </c>
      <c r="K938" s="4" t="s">
        <v>222</v>
      </c>
      <c r="L938" s="4" t="s">
        <v>222</v>
      </c>
      <c r="M938" s="4" t="s">
        <v>222</v>
      </c>
      <c r="N938" s="4" t="s">
        <v>222</v>
      </c>
      <c r="O938" s="4" t="s">
        <v>222</v>
      </c>
      <c r="P938" s="9"/>
      <c r="Q938" s="9"/>
      <c r="R938" s="87" t="s">
        <v>222</v>
      </c>
      <c r="S938" s="11" t="s">
        <v>222</v>
      </c>
      <c r="T938" s="12"/>
      <c r="U938" s="13"/>
      <c r="V938" s="12"/>
      <c r="W938" s="13"/>
      <c r="X938" s="12"/>
      <c r="Y938" s="14"/>
      <c r="Z938" s="14"/>
      <c r="AA938" s="14"/>
      <c r="AB938" s="14"/>
      <c r="AC938" s="14"/>
      <c r="AD938" s="14"/>
      <c r="AE938" s="14"/>
      <c r="AF938" s="3"/>
      <c r="AG938" s="3"/>
    </row>
    <row r="939" ht="13.5" customHeight="1">
      <c r="A939" s="3"/>
      <c r="B939" s="15"/>
      <c r="C939" s="3"/>
      <c r="D939" s="4"/>
      <c r="E939" s="5"/>
      <c r="F939" s="6"/>
      <c r="G939" s="3"/>
      <c r="H939" s="3"/>
      <c r="I939" s="7"/>
      <c r="J939" s="6" t="s">
        <v>222</v>
      </c>
      <c r="K939" s="4" t="s">
        <v>222</v>
      </c>
      <c r="L939" s="4" t="s">
        <v>222</v>
      </c>
      <c r="M939" s="4" t="s">
        <v>222</v>
      </c>
      <c r="N939" s="4" t="s">
        <v>222</v>
      </c>
      <c r="O939" s="4" t="s">
        <v>222</v>
      </c>
      <c r="P939" s="9"/>
      <c r="Q939" s="9"/>
      <c r="R939" s="87" t="s">
        <v>222</v>
      </c>
      <c r="S939" s="11" t="s">
        <v>222</v>
      </c>
      <c r="T939" s="12"/>
      <c r="U939" s="13"/>
      <c r="V939" s="12"/>
      <c r="W939" s="13"/>
      <c r="X939" s="12"/>
      <c r="Y939" s="14"/>
      <c r="Z939" s="14"/>
      <c r="AA939" s="14"/>
      <c r="AB939" s="14"/>
      <c r="AC939" s="14"/>
      <c r="AD939" s="14"/>
      <c r="AE939" s="14"/>
      <c r="AF939" s="3"/>
      <c r="AG939" s="3"/>
    </row>
    <row r="940" ht="13.5" customHeight="1">
      <c r="A940" s="3"/>
      <c r="B940" s="15"/>
      <c r="C940" s="3"/>
      <c r="D940" s="4"/>
      <c r="E940" s="5"/>
      <c r="F940" s="6"/>
      <c r="G940" s="3"/>
      <c r="H940" s="3"/>
      <c r="I940" s="7"/>
      <c r="J940" s="6" t="s">
        <v>222</v>
      </c>
      <c r="K940" s="4" t="s">
        <v>222</v>
      </c>
      <c r="L940" s="4" t="s">
        <v>222</v>
      </c>
      <c r="M940" s="4" t="s">
        <v>222</v>
      </c>
      <c r="N940" s="4" t="s">
        <v>222</v>
      </c>
      <c r="O940" s="4" t="s">
        <v>222</v>
      </c>
      <c r="P940" s="9"/>
      <c r="Q940" s="9"/>
      <c r="R940" s="87" t="s">
        <v>222</v>
      </c>
      <c r="S940" s="11" t="s">
        <v>222</v>
      </c>
      <c r="T940" s="12"/>
      <c r="U940" s="13"/>
      <c r="V940" s="12"/>
      <c r="W940" s="13"/>
      <c r="X940" s="12"/>
      <c r="Y940" s="14"/>
      <c r="Z940" s="14"/>
      <c r="AA940" s="14"/>
      <c r="AB940" s="14"/>
      <c r="AC940" s="14"/>
      <c r="AD940" s="14"/>
      <c r="AE940" s="14"/>
      <c r="AF940" s="3"/>
      <c r="AG940" s="3"/>
    </row>
    <row r="941" ht="13.5" customHeight="1">
      <c r="A941" s="3"/>
      <c r="B941" s="15"/>
      <c r="C941" s="3"/>
      <c r="D941" s="4"/>
      <c r="E941" s="5"/>
      <c r="F941" s="6"/>
      <c r="G941" s="3"/>
      <c r="H941" s="3"/>
      <c r="I941" s="7"/>
      <c r="J941" s="6" t="s">
        <v>222</v>
      </c>
      <c r="K941" s="4" t="s">
        <v>222</v>
      </c>
      <c r="L941" s="4" t="s">
        <v>222</v>
      </c>
      <c r="M941" s="4" t="s">
        <v>222</v>
      </c>
      <c r="N941" s="4" t="s">
        <v>222</v>
      </c>
      <c r="O941" s="4" t="s">
        <v>222</v>
      </c>
      <c r="P941" s="9"/>
      <c r="Q941" s="9"/>
      <c r="R941" s="87" t="s">
        <v>222</v>
      </c>
      <c r="S941" s="11" t="s">
        <v>222</v>
      </c>
      <c r="T941" s="12"/>
      <c r="U941" s="13"/>
      <c r="V941" s="12"/>
      <c r="W941" s="13"/>
      <c r="X941" s="12"/>
      <c r="Y941" s="14"/>
      <c r="Z941" s="14"/>
      <c r="AA941" s="14"/>
      <c r="AB941" s="14"/>
      <c r="AC941" s="14"/>
      <c r="AD941" s="14"/>
      <c r="AE941" s="14"/>
      <c r="AF941" s="3"/>
      <c r="AG941" s="3"/>
    </row>
    <row r="942" ht="13.5" customHeight="1">
      <c r="A942" s="3"/>
      <c r="B942" s="15"/>
      <c r="C942" s="3"/>
      <c r="D942" s="4"/>
      <c r="E942" s="5"/>
      <c r="F942" s="6"/>
      <c r="G942" s="3"/>
      <c r="H942" s="3"/>
      <c r="I942" s="7"/>
      <c r="J942" s="6" t="s">
        <v>222</v>
      </c>
      <c r="K942" s="4" t="s">
        <v>222</v>
      </c>
      <c r="L942" s="4" t="s">
        <v>222</v>
      </c>
      <c r="M942" s="4" t="s">
        <v>222</v>
      </c>
      <c r="N942" s="4" t="s">
        <v>222</v>
      </c>
      <c r="O942" s="4" t="s">
        <v>222</v>
      </c>
      <c r="P942" s="9"/>
      <c r="Q942" s="9"/>
      <c r="R942" s="87" t="s">
        <v>222</v>
      </c>
      <c r="S942" s="11" t="s">
        <v>222</v>
      </c>
      <c r="T942" s="12"/>
      <c r="U942" s="13"/>
      <c r="V942" s="12"/>
      <c r="W942" s="13"/>
      <c r="X942" s="12"/>
      <c r="Y942" s="14"/>
      <c r="Z942" s="14"/>
      <c r="AA942" s="14"/>
      <c r="AB942" s="14"/>
      <c r="AC942" s="14"/>
      <c r="AD942" s="14"/>
      <c r="AE942" s="14"/>
      <c r="AF942" s="3"/>
      <c r="AG942" s="3"/>
    </row>
    <row r="943" ht="13.5" customHeight="1">
      <c r="A943" s="3"/>
      <c r="B943" s="15"/>
      <c r="C943" s="3"/>
      <c r="D943" s="4"/>
      <c r="E943" s="5"/>
      <c r="F943" s="6"/>
      <c r="G943" s="3"/>
      <c r="H943" s="3"/>
      <c r="I943" s="7"/>
      <c r="J943" s="6" t="s">
        <v>222</v>
      </c>
      <c r="K943" s="4" t="s">
        <v>222</v>
      </c>
      <c r="L943" s="4" t="s">
        <v>222</v>
      </c>
      <c r="M943" s="4" t="s">
        <v>222</v>
      </c>
      <c r="N943" s="4" t="s">
        <v>222</v>
      </c>
      <c r="O943" s="4" t="s">
        <v>222</v>
      </c>
      <c r="P943" s="9"/>
      <c r="Q943" s="9"/>
      <c r="R943" s="87" t="s">
        <v>222</v>
      </c>
      <c r="S943" s="11" t="s">
        <v>222</v>
      </c>
      <c r="T943" s="12"/>
      <c r="U943" s="13"/>
      <c r="V943" s="12"/>
      <c r="W943" s="13"/>
      <c r="X943" s="12"/>
      <c r="Y943" s="14"/>
      <c r="Z943" s="14"/>
      <c r="AA943" s="14"/>
      <c r="AB943" s="14"/>
      <c r="AC943" s="14"/>
      <c r="AD943" s="14"/>
      <c r="AE943" s="14"/>
      <c r="AF943" s="3"/>
      <c r="AG943" s="3"/>
    </row>
    <row r="944" ht="13.5" customHeight="1">
      <c r="A944" s="3"/>
      <c r="B944" s="15"/>
      <c r="C944" s="3"/>
      <c r="D944" s="4"/>
      <c r="E944" s="5"/>
      <c r="F944" s="6"/>
      <c r="G944" s="3"/>
      <c r="H944" s="3"/>
      <c r="I944" s="7"/>
      <c r="J944" s="6" t="s">
        <v>222</v>
      </c>
      <c r="K944" s="4" t="s">
        <v>222</v>
      </c>
      <c r="L944" s="4" t="s">
        <v>222</v>
      </c>
      <c r="M944" s="4" t="s">
        <v>222</v>
      </c>
      <c r="N944" s="4" t="s">
        <v>222</v>
      </c>
      <c r="O944" s="4" t="s">
        <v>222</v>
      </c>
      <c r="P944" s="9"/>
      <c r="Q944" s="9"/>
      <c r="R944" s="87" t="s">
        <v>222</v>
      </c>
      <c r="S944" s="11" t="s">
        <v>222</v>
      </c>
      <c r="T944" s="12"/>
      <c r="U944" s="13"/>
      <c r="V944" s="12"/>
      <c r="W944" s="13"/>
      <c r="X944" s="12"/>
      <c r="Y944" s="14"/>
      <c r="Z944" s="14"/>
      <c r="AA944" s="14"/>
      <c r="AB944" s="14"/>
      <c r="AC944" s="14"/>
      <c r="AD944" s="14"/>
      <c r="AE944" s="14"/>
      <c r="AF944" s="3"/>
      <c r="AG944" s="3"/>
    </row>
    <row r="945" ht="13.5" customHeight="1">
      <c r="A945" s="3"/>
      <c r="B945" s="15"/>
      <c r="C945" s="3"/>
      <c r="D945" s="4"/>
      <c r="E945" s="5"/>
      <c r="F945" s="6"/>
      <c r="G945" s="3"/>
      <c r="H945" s="3"/>
      <c r="I945" s="7"/>
      <c r="J945" s="6" t="s">
        <v>222</v>
      </c>
      <c r="K945" s="4" t="s">
        <v>222</v>
      </c>
      <c r="L945" s="4" t="s">
        <v>222</v>
      </c>
      <c r="M945" s="4" t="s">
        <v>222</v>
      </c>
      <c r="N945" s="4" t="s">
        <v>222</v>
      </c>
      <c r="O945" s="4" t="s">
        <v>222</v>
      </c>
      <c r="P945" s="9"/>
      <c r="Q945" s="9"/>
      <c r="R945" s="87" t="s">
        <v>222</v>
      </c>
      <c r="S945" s="11" t="s">
        <v>222</v>
      </c>
      <c r="T945" s="12"/>
      <c r="U945" s="13"/>
      <c r="V945" s="12"/>
      <c r="W945" s="13"/>
      <c r="X945" s="12"/>
      <c r="Y945" s="14"/>
      <c r="Z945" s="14"/>
      <c r="AA945" s="14"/>
      <c r="AB945" s="14"/>
      <c r="AC945" s="14"/>
      <c r="AD945" s="14"/>
      <c r="AE945" s="14"/>
      <c r="AF945" s="3"/>
      <c r="AG945" s="3"/>
    </row>
    <row r="946" ht="13.5" customHeight="1">
      <c r="A946" s="3"/>
      <c r="B946" s="15"/>
      <c r="C946" s="3"/>
      <c r="D946" s="4"/>
      <c r="E946" s="5"/>
      <c r="F946" s="6"/>
      <c r="G946" s="3"/>
      <c r="H946" s="3"/>
      <c r="I946" s="7"/>
      <c r="J946" s="6" t="s">
        <v>222</v>
      </c>
      <c r="K946" s="4" t="s">
        <v>222</v>
      </c>
      <c r="L946" s="4" t="s">
        <v>222</v>
      </c>
      <c r="M946" s="4" t="s">
        <v>222</v>
      </c>
      <c r="N946" s="4" t="s">
        <v>222</v>
      </c>
      <c r="O946" s="4" t="s">
        <v>222</v>
      </c>
      <c r="P946" s="9"/>
      <c r="Q946" s="9"/>
      <c r="R946" s="87" t="s">
        <v>222</v>
      </c>
      <c r="S946" s="11" t="s">
        <v>222</v>
      </c>
      <c r="T946" s="12"/>
      <c r="U946" s="13"/>
      <c r="V946" s="12"/>
      <c r="W946" s="13"/>
      <c r="X946" s="12"/>
      <c r="Y946" s="14"/>
      <c r="Z946" s="14"/>
      <c r="AA946" s="14"/>
      <c r="AB946" s="14"/>
      <c r="AC946" s="14"/>
      <c r="AD946" s="14"/>
      <c r="AE946" s="14"/>
      <c r="AF946" s="3"/>
      <c r="AG946" s="3"/>
    </row>
    <row r="947" ht="13.5" customHeight="1">
      <c r="A947" s="3"/>
      <c r="B947" s="15"/>
      <c r="C947" s="3"/>
      <c r="D947" s="4"/>
      <c r="E947" s="5"/>
      <c r="F947" s="6"/>
      <c r="G947" s="3"/>
      <c r="H947" s="3"/>
      <c r="I947" s="7"/>
      <c r="J947" s="6" t="s">
        <v>222</v>
      </c>
      <c r="K947" s="4" t="s">
        <v>222</v>
      </c>
      <c r="L947" s="4" t="s">
        <v>222</v>
      </c>
      <c r="M947" s="4" t="s">
        <v>222</v>
      </c>
      <c r="N947" s="4" t="s">
        <v>222</v>
      </c>
      <c r="O947" s="4" t="s">
        <v>222</v>
      </c>
      <c r="P947" s="9"/>
      <c r="Q947" s="9"/>
      <c r="R947" s="87" t="s">
        <v>222</v>
      </c>
      <c r="S947" s="11" t="s">
        <v>222</v>
      </c>
      <c r="T947" s="12"/>
      <c r="U947" s="13"/>
      <c r="V947" s="12"/>
      <c r="W947" s="13"/>
      <c r="X947" s="12"/>
      <c r="Y947" s="14"/>
      <c r="Z947" s="14"/>
      <c r="AA947" s="14"/>
      <c r="AB947" s="14"/>
      <c r="AC947" s="14"/>
      <c r="AD947" s="14"/>
      <c r="AE947" s="14"/>
      <c r="AF947" s="3"/>
      <c r="AG947" s="3"/>
    </row>
    <row r="948" ht="13.5" customHeight="1">
      <c r="A948" s="3"/>
      <c r="B948" s="15"/>
      <c r="C948" s="3"/>
      <c r="D948" s="4"/>
      <c r="E948" s="5"/>
      <c r="F948" s="6"/>
      <c r="G948" s="3"/>
      <c r="H948" s="3"/>
      <c r="I948" s="7"/>
      <c r="J948" s="6" t="s">
        <v>222</v>
      </c>
      <c r="K948" s="4" t="s">
        <v>222</v>
      </c>
      <c r="L948" s="4" t="s">
        <v>222</v>
      </c>
      <c r="M948" s="4" t="s">
        <v>222</v>
      </c>
      <c r="N948" s="4" t="s">
        <v>222</v>
      </c>
      <c r="O948" s="4" t="s">
        <v>222</v>
      </c>
      <c r="P948" s="9"/>
      <c r="Q948" s="9"/>
      <c r="R948" s="87" t="s">
        <v>222</v>
      </c>
      <c r="S948" s="11" t="s">
        <v>222</v>
      </c>
      <c r="T948" s="12"/>
      <c r="U948" s="13"/>
      <c r="V948" s="12"/>
      <c r="W948" s="13"/>
      <c r="X948" s="12"/>
      <c r="Y948" s="14"/>
      <c r="Z948" s="14"/>
      <c r="AA948" s="14"/>
      <c r="AB948" s="14"/>
      <c r="AC948" s="14"/>
      <c r="AD948" s="14"/>
      <c r="AE948" s="14"/>
      <c r="AF948" s="3"/>
      <c r="AG948" s="3"/>
    </row>
    <row r="949" ht="13.5" customHeight="1">
      <c r="A949" s="3"/>
      <c r="B949" s="15"/>
      <c r="C949" s="3"/>
      <c r="D949" s="4"/>
      <c r="E949" s="5"/>
      <c r="F949" s="6"/>
      <c r="G949" s="3"/>
      <c r="H949" s="3"/>
      <c r="I949" s="7"/>
      <c r="J949" s="6" t="s">
        <v>222</v>
      </c>
      <c r="K949" s="4" t="s">
        <v>222</v>
      </c>
      <c r="L949" s="4" t="s">
        <v>222</v>
      </c>
      <c r="M949" s="4" t="s">
        <v>222</v>
      </c>
      <c r="N949" s="4" t="s">
        <v>222</v>
      </c>
      <c r="O949" s="4" t="s">
        <v>222</v>
      </c>
      <c r="P949" s="9"/>
      <c r="Q949" s="9"/>
      <c r="R949" s="87" t="s">
        <v>222</v>
      </c>
      <c r="S949" s="11" t="s">
        <v>222</v>
      </c>
      <c r="T949" s="12"/>
      <c r="U949" s="13"/>
      <c r="V949" s="12"/>
      <c r="W949" s="13"/>
      <c r="X949" s="12"/>
      <c r="Y949" s="14"/>
      <c r="Z949" s="14"/>
      <c r="AA949" s="14"/>
      <c r="AB949" s="14"/>
      <c r="AC949" s="14"/>
      <c r="AD949" s="14"/>
      <c r="AE949" s="14"/>
      <c r="AF949" s="3"/>
      <c r="AG949" s="3"/>
    </row>
    <row r="950" ht="13.5" customHeight="1">
      <c r="A950" s="3"/>
      <c r="B950" s="15"/>
      <c r="C950" s="3"/>
      <c r="D950" s="4"/>
      <c r="E950" s="5"/>
      <c r="F950" s="6"/>
      <c r="G950" s="3"/>
      <c r="H950" s="3"/>
      <c r="I950" s="7"/>
      <c r="J950" s="6" t="s">
        <v>222</v>
      </c>
      <c r="K950" s="4" t="s">
        <v>222</v>
      </c>
      <c r="L950" s="4" t="s">
        <v>222</v>
      </c>
      <c r="M950" s="4" t="s">
        <v>222</v>
      </c>
      <c r="N950" s="4" t="s">
        <v>222</v>
      </c>
      <c r="O950" s="4" t="s">
        <v>222</v>
      </c>
      <c r="P950" s="9"/>
      <c r="Q950" s="9"/>
      <c r="R950" s="87" t="s">
        <v>222</v>
      </c>
      <c r="S950" s="11" t="s">
        <v>222</v>
      </c>
      <c r="T950" s="12"/>
      <c r="U950" s="13"/>
      <c r="V950" s="12"/>
      <c r="W950" s="13"/>
      <c r="X950" s="12"/>
      <c r="Y950" s="14"/>
      <c r="Z950" s="14"/>
      <c r="AA950" s="14"/>
      <c r="AB950" s="14"/>
      <c r="AC950" s="14"/>
      <c r="AD950" s="14"/>
      <c r="AE950" s="14"/>
      <c r="AF950" s="3"/>
      <c r="AG950" s="3"/>
    </row>
    <row r="951" ht="13.5" customHeight="1">
      <c r="A951" s="3"/>
      <c r="B951" s="15"/>
      <c r="C951" s="3"/>
      <c r="D951" s="4"/>
      <c r="E951" s="5"/>
      <c r="F951" s="6"/>
      <c r="G951" s="3"/>
      <c r="H951" s="3"/>
      <c r="I951" s="7"/>
      <c r="J951" s="6" t="s">
        <v>222</v>
      </c>
      <c r="K951" s="4" t="s">
        <v>222</v>
      </c>
      <c r="L951" s="4" t="s">
        <v>222</v>
      </c>
      <c r="M951" s="4" t="s">
        <v>222</v>
      </c>
      <c r="N951" s="4" t="s">
        <v>222</v>
      </c>
      <c r="O951" s="4" t="s">
        <v>222</v>
      </c>
      <c r="P951" s="9"/>
      <c r="Q951" s="9"/>
      <c r="R951" s="87" t="s">
        <v>222</v>
      </c>
      <c r="S951" s="11" t="s">
        <v>222</v>
      </c>
      <c r="T951" s="12"/>
      <c r="U951" s="13"/>
      <c r="V951" s="12"/>
      <c r="W951" s="13"/>
      <c r="X951" s="12"/>
      <c r="Y951" s="14"/>
      <c r="Z951" s="14"/>
      <c r="AA951" s="14"/>
      <c r="AB951" s="14"/>
      <c r="AC951" s="14"/>
      <c r="AD951" s="14"/>
      <c r="AE951" s="14"/>
      <c r="AF951" s="3"/>
      <c r="AG951" s="3"/>
    </row>
    <row r="952" ht="13.5" customHeight="1">
      <c r="A952" s="3"/>
      <c r="B952" s="15"/>
      <c r="C952" s="3"/>
      <c r="D952" s="4"/>
      <c r="E952" s="5"/>
      <c r="F952" s="6"/>
      <c r="G952" s="3"/>
      <c r="H952" s="3"/>
      <c r="I952" s="7"/>
      <c r="J952" s="6" t="s">
        <v>222</v>
      </c>
      <c r="K952" s="4" t="s">
        <v>222</v>
      </c>
      <c r="L952" s="4" t="s">
        <v>222</v>
      </c>
      <c r="M952" s="4" t="s">
        <v>222</v>
      </c>
      <c r="N952" s="4" t="s">
        <v>222</v>
      </c>
      <c r="O952" s="4" t="s">
        <v>222</v>
      </c>
      <c r="P952" s="9"/>
      <c r="Q952" s="9"/>
      <c r="R952" s="87" t="s">
        <v>222</v>
      </c>
      <c r="S952" s="11" t="s">
        <v>222</v>
      </c>
      <c r="T952" s="12"/>
      <c r="U952" s="13"/>
      <c r="V952" s="12"/>
      <c r="W952" s="13"/>
      <c r="X952" s="12"/>
      <c r="Y952" s="14"/>
      <c r="Z952" s="14"/>
      <c r="AA952" s="14"/>
      <c r="AB952" s="14"/>
      <c r="AC952" s="14"/>
      <c r="AD952" s="14"/>
      <c r="AE952" s="14"/>
      <c r="AF952" s="3"/>
      <c r="AG952" s="3"/>
    </row>
    <row r="953" ht="13.5" customHeight="1">
      <c r="A953" s="3"/>
      <c r="B953" s="15"/>
      <c r="C953" s="3"/>
      <c r="D953" s="4"/>
      <c r="E953" s="5"/>
      <c r="F953" s="6"/>
      <c r="G953" s="3"/>
      <c r="H953" s="3"/>
      <c r="I953" s="7"/>
      <c r="J953" s="6" t="s">
        <v>222</v>
      </c>
      <c r="K953" s="4" t="s">
        <v>222</v>
      </c>
      <c r="L953" s="4" t="s">
        <v>222</v>
      </c>
      <c r="M953" s="4" t="s">
        <v>222</v>
      </c>
      <c r="N953" s="4" t="s">
        <v>222</v>
      </c>
      <c r="O953" s="4" t="s">
        <v>222</v>
      </c>
      <c r="P953" s="9"/>
      <c r="Q953" s="9"/>
      <c r="R953" s="87" t="s">
        <v>222</v>
      </c>
      <c r="S953" s="11" t="s">
        <v>222</v>
      </c>
      <c r="T953" s="12"/>
      <c r="U953" s="13"/>
      <c r="V953" s="12"/>
      <c r="W953" s="13"/>
      <c r="X953" s="12"/>
      <c r="Y953" s="14"/>
      <c r="Z953" s="14"/>
      <c r="AA953" s="14"/>
      <c r="AB953" s="14"/>
      <c r="AC953" s="14"/>
      <c r="AD953" s="14"/>
      <c r="AE953" s="14"/>
      <c r="AF953" s="3"/>
      <c r="AG953" s="3"/>
    </row>
    <row r="954" ht="13.5" customHeight="1">
      <c r="A954" s="3"/>
      <c r="B954" s="15"/>
      <c r="C954" s="3"/>
      <c r="D954" s="4"/>
      <c r="E954" s="5"/>
      <c r="F954" s="6"/>
      <c r="G954" s="3"/>
      <c r="H954" s="3"/>
      <c r="I954" s="7"/>
      <c r="J954" s="6" t="s">
        <v>222</v>
      </c>
      <c r="K954" s="4" t="s">
        <v>222</v>
      </c>
      <c r="L954" s="4" t="s">
        <v>222</v>
      </c>
      <c r="M954" s="4" t="s">
        <v>222</v>
      </c>
      <c r="N954" s="4" t="s">
        <v>222</v>
      </c>
      <c r="O954" s="4" t="s">
        <v>222</v>
      </c>
      <c r="P954" s="9"/>
      <c r="Q954" s="9"/>
      <c r="R954" s="87" t="s">
        <v>222</v>
      </c>
      <c r="S954" s="11" t="s">
        <v>222</v>
      </c>
      <c r="T954" s="12"/>
      <c r="U954" s="13"/>
      <c r="V954" s="12"/>
      <c r="W954" s="13"/>
      <c r="X954" s="12"/>
      <c r="Y954" s="14"/>
      <c r="Z954" s="14"/>
      <c r="AA954" s="14"/>
      <c r="AB954" s="14"/>
      <c r="AC954" s="14"/>
      <c r="AD954" s="14"/>
      <c r="AE954" s="14"/>
      <c r="AF954" s="3"/>
      <c r="AG954" s="3"/>
    </row>
    <row r="955" ht="13.5" customHeight="1">
      <c r="A955" s="3"/>
      <c r="B955" s="15"/>
      <c r="C955" s="3"/>
      <c r="D955" s="4"/>
      <c r="E955" s="5"/>
      <c r="F955" s="6"/>
      <c r="G955" s="3"/>
      <c r="H955" s="3"/>
      <c r="I955" s="7"/>
      <c r="J955" s="6" t="s">
        <v>222</v>
      </c>
      <c r="K955" s="4" t="s">
        <v>222</v>
      </c>
      <c r="L955" s="4" t="s">
        <v>222</v>
      </c>
      <c r="M955" s="4" t="s">
        <v>222</v>
      </c>
      <c r="N955" s="4" t="s">
        <v>222</v>
      </c>
      <c r="O955" s="4" t="s">
        <v>222</v>
      </c>
      <c r="P955" s="9"/>
      <c r="Q955" s="9"/>
      <c r="R955" s="87" t="s">
        <v>222</v>
      </c>
      <c r="S955" s="11" t="s">
        <v>222</v>
      </c>
      <c r="T955" s="12"/>
      <c r="U955" s="13"/>
      <c r="V955" s="12"/>
      <c r="W955" s="13"/>
      <c r="X955" s="12"/>
      <c r="Y955" s="14"/>
      <c r="Z955" s="14"/>
      <c r="AA955" s="14"/>
      <c r="AB955" s="14"/>
      <c r="AC955" s="14"/>
      <c r="AD955" s="14"/>
      <c r="AE955" s="14"/>
      <c r="AF955" s="3"/>
      <c r="AG955" s="3"/>
    </row>
    <row r="956" ht="13.5" customHeight="1">
      <c r="A956" s="3"/>
      <c r="B956" s="15"/>
      <c r="C956" s="3"/>
      <c r="D956" s="4"/>
      <c r="E956" s="5"/>
      <c r="F956" s="6"/>
      <c r="G956" s="3"/>
      <c r="H956" s="3"/>
      <c r="I956" s="7"/>
      <c r="J956" s="6" t="s">
        <v>222</v>
      </c>
      <c r="K956" s="4" t="s">
        <v>222</v>
      </c>
      <c r="L956" s="4" t="s">
        <v>222</v>
      </c>
      <c r="M956" s="4" t="s">
        <v>222</v>
      </c>
      <c r="N956" s="4" t="s">
        <v>222</v>
      </c>
      <c r="O956" s="4" t="s">
        <v>222</v>
      </c>
      <c r="P956" s="9"/>
      <c r="Q956" s="9"/>
      <c r="R956" s="87" t="s">
        <v>222</v>
      </c>
      <c r="S956" s="11" t="s">
        <v>222</v>
      </c>
      <c r="T956" s="12"/>
      <c r="U956" s="13"/>
      <c r="V956" s="12"/>
      <c r="W956" s="13"/>
      <c r="X956" s="12"/>
      <c r="Y956" s="14"/>
      <c r="Z956" s="14"/>
      <c r="AA956" s="14"/>
      <c r="AB956" s="14"/>
      <c r="AC956" s="14"/>
      <c r="AD956" s="14"/>
      <c r="AE956" s="14"/>
      <c r="AF956" s="3"/>
      <c r="AG956" s="3"/>
    </row>
    <row r="957" ht="13.5" customHeight="1">
      <c r="A957" s="3"/>
      <c r="B957" s="15"/>
      <c r="C957" s="3"/>
      <c r="D957" s="4"/>
      <c r="E957" s="5"/>
      <c r="F957" s="6"/>
      <c r="G957" s="3"/>
      <c r="H957" s="3"/>
      <c r="I957" s="7"/>
      <c r="J957" s="6" t="s">
        <v>222</v>
      </c>
      <c r="K957" s="4" t="s">
        <v>222</v>
      </c>
      <c r="L957" s="4" t="s">
        <v>222</v>
      </c>
      <c r="M957" s="4" t="s">
        <v>222</v>
      </c>
      <c r="N957" s="4" t="s">
        <v>222</v>
      </c>
      <c r="O957" s="4" t="s">
        <v>222</v>
      </c>
      <c r="P957" s="9"/>
      <c r="Q957" s="9"/>
      <c r="R957" s="87" t="s">
        <v>222</v>
      </c>
      <c r="S957" s="11" t="s">
        <v>222</v>
      </c>
      <c r="T957" s="12"/>
      <c r="U957" s="13"/>
      <c r="V957" s="12"/>
      <c r="W957" s="13"/>
      <c r="X957" s="12"/>
      <c r="Y957" s="14"/>
      <c r="Z957" s="14"/>
      <c r="AA957" s="14"/>
      <c r="AB957" s="14"/>
      <c r="AC957" s="14"/>
      <c r="AD957" s="14"/>
      <c r="AE957" s="14"/>
      <c r="AF957" s="3"/>
      <c r="AG957" s="3"/>
    </row>
    <row r="958" ht="13.5" customHeight="1">
      <c r="A958" s="3"/>
      <c r="B958" s="15"/>
      <c r="C958" s="3"/>
      <c r="D958" s="4"/>
      <c r="E958" s="5"/>
      <c r="F958" s="6"/>
      <c r="G958" s="3"/>
      <c r="H958" s="3"/>
      <c r="I958" s="7"/>
      <c r="J958" s="6" t="s">
        <v>222</v>
      </c>
      <c r="K958" s="4" t="s">
        <v>222</v>
      </c>
      <c r="L958" s="4" t="s">
        <v>222</v>
      </c>
      <c r="M958" s="4" t="s">
        <v>222</v>
      </c>
      <c r="N958" s="4" t="s">
        <v>222</v>
      </c>
      <c r="O958" s="4" t="s">
        <v>222</v>
      </c>
      <c r="P958" s="9"/>
      <c r="Q958" s="9"/>
      <c r="R958" s="87" t="s">
        <v>222</v>
      </c>
      <c r="S958" s="11" t="s">
        <v>222</v>
      </c>
      <c r="T958" s="12"/>
      <c r="U958" s="13"/>
      <c r="V958" s="12"/>
      <c r="W958" s="13"/>
      <c r="X958" s="12"/>
      <c r="Y958" s="14"/>
      <c r="Z958" s="14"/>
      <c r="AA958" s="14"/>
      <c r="AB958" s="14"/>
      <c r="AC958" s="14"/>
      <c r="AD958" s="14"/>
      <c r="AE958" s="14"/>
      <c r="AF958" s="3"/>
      <c r="AG958" s="3"/>
    </row>
    <row r="959" ht="13.5" customHeight="1">
      <c r="A959" s="3"/>
      <c r="B959" s="15"/>
      <c r="C959" s="3"/>
      <c r="D959" s="4"/>
      <c r="E959" s="5"/>
      <c r="F959" s="6"/>
      <c r="G959" s="3"/>
      <c r="H959" s="3"/>
      <c r="I959" s="7"/>
      <c r="J959" s="6" t="s">
        <v>222</v>
      </c>
      <c r="K959" s="4" t="s">
        <v>222</v>
      </c>
      <c r="L959" s="4" t="s">
        <v>222</v>
      </c>
      <c r="M959" s="4" t="s">
        <v>222</v>
      </c>
      <c r="N959" s="4" t="s">
        <v>222</v>
      </c>
      <c r="O959" s="4" t="s">
        <v>222</v>
      </c>
      <c r="P959" s="9"/>
      <c r="Q959" s="9"/>
      <c r="R959" s="87" t="s">
        <v>222</v>
      </c>
      <c r="S959" s="11" t="s">
        <v>222</v>
      </c>
      <c r="T959" s="12"/>
      <c r="U959" s="13"/>
      <c r="V959" s="12"/>
      <c r="W959" s="13"/>
      <c r="X959" s="12"/>
      <c r="Y959" s="14"/>
      <c r="Z959" s="14"/>
      <c r="AA959" s="14"/>
      <c r="AB959" s="14"/>
      <c r="AC959" s="14"/>
      <c r="AD959" s="14"/>
      <c r="AE959" s="14"/>
      <c r="AF959" s="3"/>
      <c r="AG959" s="3"/>
    </row>
    <row r="960" ht="13.5" customHeight="1">
      <c r="A960" s="3"/>
      <c r="B960" s="15"/>
      <c r="C960" s="3"/>
      <c r="D960" s="4"/>
      <c r="E960" s="5"/>
      <c r="F960" s="6"/>
      <c r="G960" s="3"/>
      <c r="H960" s="3"/>
      <c r="I960" s="7"/>
      <c r="J960" s="6" t="s">
        <v>222</v>
      </c>
      <c r="K960" s="4" t="s">
        <v>222</v>
      </c>
      <c r="L960" s="4" t="s">
        <v>222</v>
      </c>
      <c r="M960" s="4" t="s">
        <v>222</v>
      </c>
      <c r="N960" s="4" t="s">
        <v>222</v>
      </c>
      <c r="O960" s="4" t="s">
        <v>222</v>
      </c>
      <c r="P960" s="9"/>
      <c r="Q960" s="9"/>
      <c r="R960" s="87" t="s">
        <v>222</v>
      </c>
      <c r="S960" s="11" t="s">
        <v>222</v>
      </c>
      <c r="T960" s="12"/>
      <c r="U960" s="13"/>
      <c r="V960" s="12"/>
      <c r="W960" s="13"/>
      <c r="X960" s="12"/>
      <c r="Y960" s="14"/>
      <c r="Z960" s="14"/>
      <c r="AA960" s="14"/>
      <c r="AB960" s="14"/>
      <c r="AC960" s="14"/>
      <c r="AD960" s="14"/>
      <c r="AE960" s="14"/>
      <c r="AF960" s="3"/>
      <c r="AG960" s="3"/>
    </row>
    <row r="961" ht="13.5" customHeight="1">
      <c r="A961" s="3"/>
      <c r="B961" s="15"/>
      <c r="C961" s="3"/>
      <c r="D961" s="4"/>
      <c r="E961" s="5"/>
      <c r="F961" s="6"/>
      <c r="G961" s="3"/>
      <c r="H961" s="3"/>
      <c r="I961" s="7"/>
      <c r="J961" s="6" t="s">
        <v>222</v>
      </c>
      <c r="K961" s="4" t="s">
        <v>222</v>
      </c>
      <c r="L961" s="4" t="s">
        <v>222</v>
      </c>
      <c r="M961" s="4" t="s">
        <v>222</v>
      </c>
      <c r="N961" s="4" t="s">
        <v>222</v>
      </c>
      <c r="O961" s="4" t="s">
        <v>222</v>
      </c>
      <c r="P961" s="9"/>
      <c r="Q961" s="9"/>
      <c r="R961" s="87" t="s">
        <v>222</v>
      </c>
      <c r="S961" s="11" t="s">
        <v>222</v>
      </c>
      <c r="T961" s="12"/>
      <c r="U961" s="13"/>
      <c r="V961" s="12"/>
      <c r="W961" s="13"/>
      <c r="X961" s="12"/>
      <c r="Y961" s="14"/>
      <c r="Z961" s="14"/>
      <c r="AA961" s="14"/>
      <c r="AB961" s="14"/>
      <c r="AC961" s="14"/>
      <c r="AD961" s="14"/>
      <c r="AE961" s="14"/>
      <c r="AF961" s="3"/>
      <c r="AG961" s="3"/>
    </row>
    <row r="962" ht="13.5" customHeight="1">
      <c r="A962" s="3"/>
      <c r="B962" s="15"/>
      <c r="C962" s="3"/>
      <c r="D962" s="4"/>
      <c r="E962" s="5"/>
      <c r="F962" s="6"/>
      <c r="G962" s="3"/>
      <c r="H962" s="3"/>
      <c r="I962" s="7"/>
      <c r="J962" s="6" t="s">
        <v>222</v>
      </c>
      <c r="K962" s="4" t="s">
        <v>222</v>
      </c>
      <c r="L962" s="4" t="s">
        <v>222</v>
      </c>
      <c r="M962" s="4" t="s">
        <v>222</v>
      </c>
      <c r="N962" s="4" t="s">
        <v>222</v>
      </c>
      <c r="O962" s="4" t="s">
        <v>222</v>
      </c>
      <c r="P962" s="9"/>
      <c r="Q962" s="9"/>
      <c r="R962" s="87" t="s">
        <v>222</v>
      </c>
      <c r="S962" s="11" t="s">
        <v>222</v>
      </c>
      <c r="T962" s="12"/>
      <c r="U962" s="13"/>
      <c r="V962" s="12"/>
      <c r="W962" s="13"/>
      <c r="X962" s="12"/>
      <c r="Y962" s="14"/>
      <c r="Z962" s="14"/>
      <c r="AA962" s="14"/>
      <c r="AB962" s="14"/>
      <c r="AC962" s="14"/>
      <c r="AD962" s="14"/>
      <c r="AE962" s="14"/>
      <c r="AF962" s="3"/>
      <c r="AG962" s="3"/>
    </row>
    <row r="963" ht="13.5" customHeight="1">
      <c r="A963" s="3"/>
      <c r="B963" s="15"/>
      <c r="C963" s="3"/>
      <c r="D963" s="4"/>
      <c r="E963" s="5"/>
      <c r="F963" s="6"/>
      <c r="G963" s="3"/>
      <c r="H963" s="3"/>
      <c r="I963" s="7"/>
      <c r="J963" s="6" t="s">
        <v>222</v>
      </c>
      <c r="K963" s="4" t="s">
        <v>222</v>
      </c>
      <c r="L963" s="4" t="s">
        <v>222</v>
      </c>
      <c r="M963" s="4" t="s">
        <v>222</v>
      </c>
      <c r="N963" s="4" t="s">
        <v>222</v>
      </c>
      <c r="O963" s="4" t="s">
        <v>222</v>
      </c>
      <c r="P963" s="9"/>
      <c r="Q963" s="9"/>
      <c r="R963" s="87" t="s">
        <v>222</v>
      </c>
      <c r="S963" s="11" t="s">
        <v>222</v>
      </c>
      <c r="T963" s="12"/>
      <c r="U963" s="13"/>
      <c r="V963" s="12"/>
      <c r="W963" s="13"/>
      <c r="X963" s="12"/>
      <c r="Y963" s="14"/>
      <c r="Z963" s="14"/>
      <c r="AA963" s="14"/>
      <c r="AB963" s="14"/>
      <c r="AC963" s="14"/>
      <c r="AD963" s="14"/>
      <c r="AE963" s="14"/>
      <c r="AF963" s="3"/>
      <c r="AG963" s="3"/>
    </row>
    <row r="964" ht="13.5" customHeight="1">
      <c r="A964" s="3"/>
      <c r="B964" s="15"/>
      <c r="C964" s="3"/>
      <c r="D964" s="4"/>
      <c r="E964" s="5"/>
      <c r="F964" s="6"/>
      <c r="G964" s="3"/>
      <c r="H964" s="3"/>
      <c r="I964" s="7"/>
      <c r="J964" s="6" t="s">
        <v>222</v>
      </c>
      <c r="K964" s="4" t="s">
        <v>222</v>
      </c>
      <c r="L964" s="4" t="s">
        <v>222</v>
      </c>
      <c r="M964" s="4" t="s">
        <v>222</v>
      </c>
      <c r="N964" s="4" t="s">
        <v>222</v>
      </c>
      <c r="O964" s="4" t="s">
        <v>222</v>
      </c>
      <c r="P964" s="9"/>
      <c r="Q964" s="9"/>
      <c r="R964" s="87" t="s">
        <v>222</v>
      </c>
      <c r="S964" s="11" t="s">
        <v>222</v>
      </c>
      <c r="T964" s="12"/>
      <c r="U964" s="13"/>
      <c r="V964" s="12"/>
      <c r="W964" s="13"/>
      <c r="X964" s="12"/>
      <c r="Y964" s="14"/>
      <c r="Z964" s="14"/>
      <c r="AA964" s="14"/>
      <c r="AB964" s="14"/>
      <c r="AC964" s="14"/>
      <c r="AD964" s="14"/>
      <c r="AE964" s="14"/>
      <c r="AF964" s="3"/>
      <c r="AG964" s="3"/>
    </row>
    <row r="965" ht="13.5" customHeight="1">
      <c r="A965" s="3"/>
      <c r="B965" s="15"/>
      <c r="C965" s="3"/>
      <c r="D965" s="4"/>
      <c r="E965" s="5"/>
      <c r="F965" s="6"/>
      <c r="G965" s="3"/>
      <c r="H965" s="3"/>
      <c r="I965" s="7"/>
      <c r="J965" s="6" t="s">
        <v>222</v>
      </c>
      <c r="K965" s="4" t="s">
        <v>222</v>
      </c>
      <c r="L965" s="4" t="s">
        <v>222</v>
      </c>
      <c r="M965" s="4" t="s">
        <v>222</v>
      </c>
      <c r="N965" s="4" t="s">
        <v>222</v>
      </c>
      <c r="O965" s="4" t="s">
        <v>222</v>
      </c>
      <c r="P965" s="9"/>
      <c r="Q965" s="9"/>
      <c r="R965" s="87" t="s">
        <v>222</v>
      </c>
      <c r="S965" s="11" t="s">
        <v>222</v>
      </c>
      <c r="T965" s="12"/>
      <c r="U965" s="13"/>
      <c r="V965" s="12"/>
      <c r="W965" s="13"/>
      <c r="X965" s="12"/>
      <c r="Y965" s="14"/>
      <c r="Z965" s="14"/>
      <c r="AA965" s="14"/>
      <c r="AB965" s="14"/>
      <c r="AC965" s="14"/>
      <c r="AD965" s="14"/>
      <c r="AE965" s="14"/>
      <c r="AF965" s="3"/>
      <c r="AG965" s="3"/>
    </row>
    <row r="966" ht="13.5" customHeight="1">
      <c r="A966" s="3"/>
      <c r="B966" s="15"/>
      <c r="C966" s="3"/>
      <c r="D966" s="4"/>
      <c r="E966" s="5"/>
      <c r="F966" s="6"/>
      <c r="G966" s="3"/>
      <c r="H966" s="3"/>
      <c r="I966" s="7"/>
      <c r="J966" s="6" t="s">
        <v>222</v>
      </c>
      <c r="K966" s="4" t="s">
        <v>222</v>
      </c>
      <c r="L966" s="4" t="s">
        <v>222</v>
      </c>
      <c r="M966" s="4" t="s">
        <v>222</v>
      </c>
      <c r="N966" s="4" t="s">
        <v>222</v>
      </c>
      <c r="O966" s="4" t="s">
        <v>222</v>
      </c>
      <c r="P966" s="9"/>
      <c r="Q966" s="9"/>
      <c r="R966" s="87" t="s">
        <v>222</v>
      </c>
      <c r="S966" s="11" t="s">
        <v>222</v>
      </c>
      <c r="T966" s="12"/>
      <c r="U966" s="13"/>
      <c r="V966" s="12"/>
      <c r="W966" s="13"/>
      <c r="X966" s="12"/>
      <c r="Y966" s="14"/>
      <c r="Z966" s="14"/>
      <c r="AA966" s="14"/>
      <c r="AB966" s="14"/>
      <c r="AC966" s="14"/>
      <c r="AD966" s="14"/>
      <c r="AE966" s="14"/>
      <c r="AF966" s="3"/>
      <c r="AG966" s="3"/>
    </row>
    <row r="967" ht="13.5" customHeight="1">
      <c r="A967" s="3"/>
      <c r="B967" s="15"/>
      <c r="C967" s="3"/>
      <c r="D967" s="4"/>
      <c r="E967" s="5"/>
      <c r="F967" s="6"/>
      <c r="G967" s="3"/>
      <c r="H967" s="3"/>
      <c r="I967" s="7"/>
      <c r="J967" s="6" t="s">
        <v>222</v>
      </c>
      <c r="K967" s="4" t="s">
        <v>222</v>
      </c>
      <c r="L967" s="4" t="s">
        <v>222</v>
      </c>
      <c r="M967" s="4" t="s">
        <v>222</v>
      </c>
      <c r="N967" s="4" t="s">
        <v>222</v>
      </c>
      <c r="O967" s="4" t="s">
        <v>222</v>
      </c>
      <c r="P967" s="9"/>
      <c r="Q967" s="9"/>
      <c r="R967" s="87" t="s">
        <v>222</v>
      </c>
      <c r="S967" s="11" t="s">
        <v>222</v>
      </c>
      <c r="T967" s="12"/>
      <c r="U967" s="13"/>
      <c r="V967" s="12"/>
      <c r="W967" s="13"/>
      <c r="X967" s="12"/>
      <c r="Y967" s="14"/>
      <c r="Z967" s="14"/>
      <c r="AA967" s="14"/>
      <c r="AB967" s="14"/>
      <c r="AC967" s="14"/>
      <c r="AD967" s="14"/>
      <c r="AE967" s="14"/>
      <c r="AF967" s="3"/>
      <c r="AG967" s="3"/>
    </row>
    <row r="968" ht="13.5" customHeight="1">
      <c r="A968" s="3"/>
      <c r="B968" s="15"/>
      <c r="C968" s="3"/>
      <c r="D968" s="4"/>
      <c r="E968" s="5"/>
      <c r="F968" s="6"/>
      <c r="G968" s="3"/>
      <c r="H968" s="3"/>
      <c r="I968" s="7"/>
      <c r="J968" s="6" t="s">
        <v>222</v>
      </c>
      <c r="K968" s="4" t="s">
        <v>222</v>
      </c>
      <c r="L968" s="4" t="s">
        <v>222</v>
      </c>
      <c r="M968" s="4" t="s">
        <v>222</v>
      </c>
      <c r="N968" s="4" t="s">
        <v>222</v>
      </c>
      <c r="O968" s="4" t="s">
        <v>222</v>
      </c>
      <c r="P968" s="9"/>
      <c r="Q968" s="9"/>
      <c r="R968" s="87" t="s">
        <v>222</v>
      </c>
      <c r="S968" s="11" t="s">
        <v>222</v>
      </c>
      <c r="T968" s="12"/>
      <c r="U968" s="13"/>
      <c r="V968" s="12"/>
      <c r="W968" s="13"/>
      <c r="X968" s="12"/>
      <c r="Y968" s="14"/>
      <c r="Z968" s="14"/>
      <c r="AA968" s="14"/>
      <c r="AB968" s="14"/>
      <c r="AC968" s="14"/>
      <c r="AD968" s="14"/>
      <c r="AE968" s="14"/>
      <c r="AF968" s="3"/>
      <c r="AG968" s="3"/>
    </row>
    <row r="969" ht="13.5" customHeight="1">
      <c r="A969" s="3"/>
      <c r="B969" s="15"/>
      <c r="C969" s="3"/>
      <c r="D969" s="4"/>
      <c r="E969" s="5"/>
      <c r="F969" s="6"/>
      <c r="G969" s="3"/>
      <c r="H969" s="3"/>
      <c r="I969" s="7"/>
      <c r="J969" s="6" t="s">
        <v>222</v>
      </c>
      <c r="K969" s="4" t="s">
        <v>222</v>
      </c>
      <c r="L969" s="4" t="s">
        <v>222</v>
      </c>
      <c r="M969" s="4" t="s">
        <v>222</v>
      </c>
      <c r="N969" s="4" t="s">
        <v>222</v>
      </c>
      <c r="O969" s="4" t="s">
        <v>222</v>
      </c>
      <c r="P969" s="9"/>
      <c r="Q969" s="9"/>
      <c r="R969" s="87" t="s">
        <v>222</v>
      </c>
      <c r="S969" s="11" t="s">
        <v>222</v>
      </c>
      <c r="T969" s="12"/>
      <c r="U969" s="13"/>
      <c r="V969" s="12"/>
      <c r="W969" s="13"/>
      <c r="X969" s="12"/>
      <c r="Y969" s="14"/>
      <c r="Z969" s="14"/>
      <c r="AA969" s="14"/>
      <c r="AB969" s="14"/>
      <c r="AC969" s="14"/>
      <c r="AD969" s="14"/>
      <c r="AE969" s="14"/>
      <c r="AF969" s="3"/>
      <c r="AG969" s="3"/>
    </row>
    <row r="970" ht="13.5" customHeight="1">
      <c r="A970" s="3"/>
      <c r="B970" s="15"/>
      <c r="C970" s="3"/>
      <c r="D970" s="4"/>
      <c r="E970" s="5"/>
      <c r="F970" s="6"/>
      <c r="G970" s="3"/>
      <c r="H970" s="3"/>
      <c r="I970" s="7"/>
      <c r="J970" s="6" t="s">
        <v>222</v>
      </c>
      <c r="K970" s="4" t="s">
        <v>222</v>
      </c>
      <c r="L970" s="4" t="s">
        <v>222</v>
      </c>
      <c r="M970" s="4" t="s">
        <v>222</v>
      </c>
      <c r="N970" s="4" t="s">
        <v>222</v>
      </c>
      <c r="O970" s="4" t="s">
        <v>222</v>
      </c>
      <c r="P970" s="9"/>
      <c r="Q970" s="9"/>
      <c r="R970" s="87" t="s">
        <v>222</v>
      </c>
      <c r="S970" s="11" t="s">
        <v>222</v>
      </c>
      <c r="T970" s="12"/>
      <c r="U970" s="13"/>
      <c r="V970" s="12"/>
      <c r="W970" s="13"/>
      <c r="X970" s="12"/>
      <c r="Y970" s="14"/>
      <c r="Z970" s="14"/>
      <c r="AA970" s="14"/>
      <c r="AB970" s="14"/>
      <c r="AC970" s="14"/>
      <c r="AD970" s="14"/>
      <c r="AE970" s="14"/>
      <c r="AF970" s="3"/>
      <c r="AG970" s="3"/>
    </row>
    <row r="971" ht="13.5" customHeight="1">
      <c r="A971" s="3"/>
      <c r="B971" s="15"/>
      <c r="C971" s="3"/>
      <c r="D971" s="4"/>
      <c r="E971" s="5"/>
      <c r="F971" s="6"/>
      <c r="G971" s="3"/>
      <c r="H971" s="3"/>
      <c r="I971" s="7"/>
      <c r="J971" s="6" t="s">
        <v>222</v>
      </c>
      <c r="K971" s="4" t="s">
        <v>222</v>
      </c>
      <c r="L971" s="4" t="s">
        <v>222</v>
      </c>
      <c r="M971" s="4" t="s">
        <v>222</v>
      </c>
      <c r="N971" s="4" t="s">
        <v>222</v>
      </c>
      <c r="O971" s="4" t="s">
        <v>222</v>
      </c>
      <c r="P971" s="9"/>
      <c r="Q971" s="9"/>
      <c r="R971" s="87" t="s">
        <v>222</v>
      </c>
      <c r="S971" s="11" t="s">
        <v>222</v>
      </c>
      <c r="T971" s="12"/>
      <c r="U971" s="13"/>
      <c r="V971" s="12"/>
      <c r="W971" s="13"/>
      <c r="X971" s="12"/>
      <c r="Y971" s="14"/>
      <c r="Z971" s="14"/>
      <c r="AA971" s="14"/>
      <c r="AB971" s="14"/>
      <c r="AC971" s="14"/>
      <c r="AD971" s="14"/>
      <c r="AE971" s="14"/>
      <c r="AF971" s="3"/>
      <c r="AG971" s="3"/>
    </row>
    <row r="972" ht="13.5" customHeight="1">
      <c r="A972" s="3"/>
      <c r="B972" s="15"/>
      <c r="C972" s="3"/>
      <c r="D972" s="4"/>
      <c r="E972" s="5"/>
      <c r="F972" s="6"/>
      <c r="G972" s="3"/>
      <c r="H972" s="3"/>
      <c r="I972" s="7"/>
      <c r="J972" s="6" t="s">
        <v>222</v>
      </c>
      <c r="K972" s="4" t="s">
        <v>222</v>
      </c>
      <c r="L972" s="4" t="s">
        <v>222</v>
      </c>
      <c r="M972" s="4" t="s">
        <v>222</v>
      </c>
      <c r="N972" s="4" t="s">
        <v>222</v>
      </c>
      <c r="O972" s="4" t="s">
        <v>222</v>
      </c>
      <c r="P972" s="9"/>
      <c r="Q972" s="9"/>
      <c r="R972" s="87" t="s">
        <v>222</v>
      </c>
      <c r="S972" s="11" t="s">
        <v>222</v>
      </c>
      <c r="T972" s="12"/>
      <c r="U972" s="13"/>
      <c r="V972" s="12"/>
      <c r="W972" s="13"/>
      <c r="X972" s="12"/>
      <c r="Y972" s="14"/>
      <c r="Z972" s="14"/>
      <c r="AA972" s="14"/>
      <c r="AB972" s="14"/>
      <c r="AC972" s="14"/>
      <c r="AD972" s="14"/>
      <c r="AE972" s="14"/>
      <c r="AF972" s="3"/>
      <c r="AG972" s="3"/>
    </row>
    <row r="973" ht="13.5" customHeight="1">
      <c r="A973" s="3"/>
      <c r="B973" s="15"/>
      <c r="C973" s="3"/>
      <c r="D973" s="4"/>
      <c r="E973" s="5"/>
      <c r="F973" s="6"/>
      <c r="G973" s="3"/>
      <c r="H973" s="3"/>
      <c r="I973" s="7"/>
      <c r="J973" s="6" t="s">
        <v>222</v>
      </c>
      <c r="K973" s="4" t="s">
        <v>222</v>
      </c>
      <c r="L973" s="4" t="s">
        <v>222</v>
      </c>
      <c r="M973" s="4" t="s">
        <v>222</v>
      </c>
      <c r="N973" s="4" t="s">
        <v>222</v>
      </c>
      <c r="O973" s="4" t="s">
        <v>222</v>
      </c>
      <c r="P973" s="9"/>
      <c r="Q973" s="9"/>
      <c r="R973" s="87" t="s">
        <v>222</v>
      </c>
      <c r="S973" s="11" t="s">
        <v>222</v>
      </c>
      <c r="T973" s="12"/>
      <c r="U973" s="13"/>
      <c r="V973" s="12"/>
      <c r="W973" s="13"/>
      <c r="X973" s="12"/>
      <c r="Y973" s="14"/>
      <c r="Z973" s="14"/>
      <c r="AA973" s="14"/>
      <c r="AB973" s="14"/>
      <c r="AC973" s="14"/>
      <c r="AD973" s="14"/>
      <c r="AE973" s="14"/>
      <c r="AF973" s="3"/>
      <c r="AG973" s="3"/>
    </row>
    <row r="974" ht="13.5" customHeight="1">
      <c r="A974" s="3"/>
      <c r="B974" s="15"/>
      <c r="C974" s="3"/>
      <c r="D974" s="4"/>
      <c r="E974" s="5"/>
      <c r="F974" s="6"/>
      <c r="G974" s="3"/>
      <c r="H974" s="3"/>
      <c r="I974" s="7"/>
      <c r="J974" s="6" t="s">
        <v>222</v>
      </c>
      <c r="K974" s="4" t="s">
        <v>222</v>
      </c>
      <c r="L974" s="4" t="s">
        <v>222</v>
      </c>
      <c r="M974" s="4" t="s">
        <v>222</v>
      </c>
      <c r="N974" s="4" t="s">
        <v>222</v>
      </c>
      <c r="O974" s="4" t="s">
        <v>222</v>
      </c>
      <c r="P974" s="9"/>
      <c r="Q974" s="9"/>
      <c r="R974" s="87" t="s">
        <v>222</v>
      </c>
      <c r="S974" s="11" t="s">
        <v>222</v>
      </c>
      <c r="T974" s="12"/>
      <c r="U974" s="13"/>
      <c r="V974" s="12"/>
      <c r="W974" s="13"/>
      <c r="X974" s="12"/>
      <c r="Y974" s="14"/>
      <c r="Z974" s="14"/>
      <c r="AA974" s="14"/>
      <c r="AB974" s="14"/>
      <c r="AC974" s="14"/>
      <c r="AD974" s="14"/>
      <c r="AE974" s="14"/>
      <c r="AF974" s="3"/>
      <c r="AG974" s="3"/>
    </row>
    <row r="975" ht="13.5" customHeight="1">
      <c r="A975" s="3"/>
      <c r="B975" s="15"/>
      <c r="C975" s="3"/>
      <c r="D975" s="4"/>
      <c r="E975" s="5"/>
      <c r="F975" s="6"/>
      <c r="G975" s="3"/>
      <c r="H975" s="3"/>
      <c r="I975" s="7"/>
      <c r="J975" s="6" t="s">
        <v>222</v>
      </c>
      <c r="K975" s="4" t="s">
        <v>222</v>
      </c>
      <c r="L975" s="4" t="s">
        <v>222</v>
      </c>
      <c r="M975" s="4" t="s">
        <v>222</v>
      </c>
      <c r="N975" s="4" t="s">
        <v>222</v>
      </c>
      <c r="O975" s="4" t="s">
        <v>222</v>
      </c>
      <c r="P975" s="9"/>
      <c r="Q975" s="9"/>
      <c r="R975" s="87" t="s">
        <v>222</v>
      </c>
      <c r="S975" s="11" t="s">
        <v>222</v>
      </c>
      <c r="T975" s="12"/>
      <c r="U975" s="13"/>
      <c r="V975" s="12"/>
      <c r="W975" s="13"/>
      <c r="X975" s="12"/>
      <c r="Y975" s="14"/>
      <c r="Z975" s="14"/>
      <c r="AA975" s="14"/>
      <c r="AB975" s="14"/>
      <c r="AC975" s="14"/>
      <c r="AD975" s="14"/>
      <c r="AE975" s="14"/>
      <c r="AF975" s="3"/>
      <c r="AG975" s="3"/>
    </row>
    <row r="976" ht="13.5" customHeight="1">
      <c r="A976" s="3"/>
      <c r="B976" s="15"/>
      <c r="C976" s="3"/>
      <c r="D976" s="4"/>
      <c r="E976" s="5"/>
      <c r="F976" s="6"/>
      <c r="G976" s="3"/>
      <c r="H976" s="3"/>
      <c r="I976" s="7"/>
      <c r="J976" s="6" t="s">
        <v>222</v>
      </c>
      <c r="K976" s="4" t="s">
        <v>222</v>
      </c>
      <c r="L976" s="4" t="s">
        <v>222</v>
      </c>
      <c r="M976" s="4" t="s">
        <v>222</v>
      </c>
      <c r="N976" s="4" t="s">
        <v>222</v>
      </c>
      <c r="O976" s="4" t="s">
        <v>222</v>
      </c>
      <c r="P976" s="9"/>
      <c r="Q976" s="9"/>
      <c r="R976" s="87" t="s">
        <v>222</v>
      </c>
      <c r="S976" s="11" t="s">
        <v>222</v>
      </c>
      <c r="T976" s="12"/>
      <c r="U976" s="13"/>
      <c r="V976" s="12"/>
      <c r="W976" s="13"/>
      <c r="X976" s="12"/>
      <c r="Y976" s="14"/>
      <c r="Z976" s="14"/>
      <c r="AA976" s="14"/>
      <c r="AB976" s="14"/>
      <c r="AC976" s="14"/>
      <c r="AD976" s="14"/>
      <c r="AE976" s="14"/>
      <c r="AF976" s="3"/>
      <c r="AG976" s="3"/>
    </row>
    <row r="977" ht="13.5" customHeight="1">
      <c r="A977" s="3"/>
      <c r="B977" s="15"/>
      <c r="C977" s="3"/>
      <c r="D977" s="4"/>
      <c r="E977" s="5"/>
      <c r="F977" s="6"/>
      <c r="G977" s="3"/>
      <c r="H977" s="3"/>
      <c r="I977" s="7"/>
      <c r="J977" s="6" t="s">
        <v>222</v>
      </c>
      <c r="K977" s="4" t="s">
        <v>222</v>
      </c>
      <c r="L977" s="4" t="s">
        <v>222</v>
      </c>
      <c r="M977" s="4" t="s">
        <v>222</v>
      </c>
      <c r="N977" s="4" t="s">
        <v>222</v>
      </c>
      <c r="O977" s="4" t="s">
        <v>222</v>
      </c>
      <c r="P977" s="9"/>
      <c r="Q977" s="9"/>
      <c r="R977" s="87" t="s">
        <v>222</v>
      </c>
      <c r="S977" s="11" t="s">
        <v>222</v>
      </c>
      <c r="T977" s="12"/>
      <c r="U977" s="13"/>
      <c r="V977" s="12"/>
      <c r="W977" s="13"/>
      <c r="X977" s="12"/>
      <c r="Y977" s="14"/>
      <c r="Z977" s="14"/>
      <c r="AA977" s="14"/>
      <c r="AB977" s="14"/>
      <c r="AC977" s="14"/>
      <c r="AD977" s="14"/>
      <c r="AE977" s="14"/>
      <c r="AF977" s="3"/>
      <c r="AG977" s="3"/>
    </row>
    <row r="978" ht="13.5" customHeight="1">
      <c r="A978" s="3"/>
      <c r="B978" s="15"/>
      <c r="C978" s="3"/>
      <c r="D978" s="4"/>
      <c r="E978" s="5"/>
      <c r="F978" s="6"/>
      <c r="G978" s="3"/>
      <c r="H978" s="3"/>
      <c r="I978" s="7"/>
      <c r="J978" s="6" t="s">
        <v>222</v>
      </c>
      <c r="K978" s="4" t="s">
        <v>222</v>
      </c>
      <c r="L978" s="4" t="s">
        <v>222</v>
      </c>
      <c r="M978" s="4" t="s">
        <v>222</v>
      </c>
      <c r="N978" s="4" t="s">
        <v>222</v>
      </c>
      <c r="O978" s="4" t="s">
        <v>222</v>
      </c>
      <c r="P978" s="9"/>
      <c r="Q978" s="9"/>
      <c r="R978" s="87" t="s">
        <v>222</v>
      </c>
      <c r="S978" s="11" t="s">
        <v>222</v>
      </c>
      <c r="T978" s="12"/>
      <c r="U978" s="13"/>
      <c r="V978" s="12"/>
      <c r="W978" s="13"/>
      <c r="X978" s="12"/>
      <c r="Y978" s="14"/>
      <c r="Z978" s="14"/>
      <c r="AA978" s="14"/>
      <c r="AB978" s="14"/>
      <c r="AC978" s="14"/>
      <c r="AD978" s="14"/>
      <c r="AE978" s="14"/>
      <c r="AF978" s="3"/>
      <c r="AG978" s="3"/>
    </row>
    <row r="979" ht="13.5" customHeight="1">
      <c r="A979" s="3"/>
      <c r="B979" s="15"/>
      <c r="C979" s="3"/>
      <c r="D979" s="4"/>
      <c r="E979" s="5"/>
      <c r="F979" s="6"/>
      <c r="G979" s="3"/>
      <c r="H979" s="3"/>
      <c r="I979" s="7"/>
      <c r="J979" s="6" t="s">
        <v>222</v>
      </c>
      <c r="K979" s="4" t="s">
        <v>222</v>
      </c>
      <c r="L979" s="4" t="s">
        <v>222</v>
      </c>
      <c r="M979" s="4" t="s">
        <v>222</v>
      </c>
      <c r="N979" s="4" t="s">
        <v>222</v>
      </c>
      <c r="O979" s="4" t="s">
        <v>222</v>
      </c>
      <c r="P979" s="9"/>
      <c r="Q979" s="9"/>
      <c r="R979" s="87" t="s">
        <v>222</v>
      </c>
      <c r="S979" s="11" t="s">
        <v>222</v>
      </c>
      <c r="T979" s="12"/>
      <c r="U979" s="13"/>
      <c r="V979" s="12"/>
      <c r="W979" s="13"/>
      <c r="X979" s="12"/>
      <c r="Y979" s="14"/>
      <c r="Z979" s="14"/>
      <c r="AA979" s="14"/>
      <c r="AB979" s="14"/>
      <c r="AC979" s="14"/>
      <c r="AD979" s="14"/>
      <c r="AE979" s="14"/>
      <c r="AF979" s="3"/>
      <c r="AG979" s="3"/>
    </row>
    <row r="980" ht="13.5" customHeight="1">
      <c r="A980" s="3"/>
      <c r="B980" s="15"/>
      <c r="C980" s="3"/>
      <c r="D980" s="4"/>
      <c r="E980" s="5"/>
      <c r="F980" s="6"/>
      <c r="G980" s="3"/>
      <c r="H980" s="3"/>
      <c r="I980" s="7"/>
      <c r="J980" s="6" t="s">
        <v>222</v>
      </c>
      <c r="K980" s="4" t="s">
        <v>222</v>
      </c>
      <c r="L980" s="4" t="s">
        <v>222</v>
      </c>
      <c r="M980" s="4" t="s">
        <v>222</v>
      </c>
      <c r="N980" s="4" t="s">
        <v>222</v>
      </c>
      <c r="O980" s="4" t="s">
        <v>222</v>
      </c>
      <c r="P980" s="9"/>
      <c r="Q980" s="9"/>
      <c r="R980" s="87" t="s">
        <v>222</v>
      </c>
      <c r="S980" s="11" t="s">
        <v>222</v>
      </c>
      <c r="T980" s="12"/>
      <c r="U980" s="13"/>
      <c r="V980" s="12"/>
      <c r="W980" s="13"/>
      <c r="X980" s="12"/>
      <c r="Y980" s="14"/>
      <c r="Z980" s="14"/>
      <c r="AA980" s="14"/>
      <c r="AB980" s="14"/>
      <c r="AC980" s="14"/>
      <c r="AD980" s="14"/>
      <c r="AE980" s="14"/>
      <c r="AF980" s="3"/>
      <c r="AG980" s="3"/>
    </row>
    <row r="981" ht="13.5" customHeight="1">
      <c r="A981" s="3"/>
      <c r="B981" s="15"/>
      <c r="C981" s="3"/>
      <c r="D981" s="4"/>
      <c r="E981" s="5"/>
      <c r="F981" s="6"/>
      <c r="G981" s="3"/>
      <c r="H981" s="3"/>
      <c r="I981" s="7"/>
      <c r="J981" s="6" t="s">
        <v>222</v>
      </c>
      <c r="K981" s="4" t="s">
        <v>222</v>
      </c>
      <c r="L981" s="4" t="s">
        <v>222</v>
      </c>
      <c r="M981" s="4" t="s">
        <v>222</v>
      </c>
      <c r="N981" s="4" t="s">
        <v>222</v>
      </c>
      <c r="O981" s="4" t="s">
        <v>222</v>
      </c>
      <c r="P981" s="9"/>
      <c r="Q981" s="9"/>
      <c r="R981" s="87" t="s">
        <v>222</v>
      </c>
      <c r="S981" s="11" t="s">
        <v>222</v>
      </c>
      <c r="T981" s="12"/>
      <c r="U981" s="13"/>
      <c r="V981" s="12"/>
      <c r="W981" s="13"/>
      <c r="X981" s="12"/>
      <c r="Y981" s="14"/>
      <c r="Z981" s="14"/>
      <c r="AA981" s="14"/>
      <c r="AB981" s="14"/>
      <c r="AC981" s="14"/>
      <c r="AD981" s="14"/>
      <c r="AE981" s="14"/>
      <c r="AF981" s="3"/>
      <c r="AG981" s="3"/>
    </row>
    <row r="982" ht="13.5" customHeight="1">
      <c r="A982" s="3"/>
      <c r="B982" s="15"/>
      <c r="C982" s="3"/>
      <c r="D982" s="4"/>
      <c r="E982" s="5"/>
      <c r="F982" s="6"/>
      <c r="G982" s="3"/>
      <c r="H982" s="3"/>
      <c r="I982" s="7"/>
      <c r="J982" s="6" t="s">
        <v>222</v>
      </c>
      <c r="K982" s="4" t="s">
        <v>222</v>
      </c>
      <c r="L982" s="4" t="s">
        <v>222</v>
      </c>
      <c r="M982" s="4" t="s">
        <v>222</v>
      </c>
      <c r="N982" s="4" t="s">
        <v>222</v>
      </c>
      <c r="O982" s="4" t="s">
        <v>222</v>
      </c>
      <c r="P982" s="9"/>
      <c r="Q982" s="9"/>
      <c r="R982" s="87" t="s">
        <v>222</v>
      </c>
      <c r="S982" s="11" t="s">
        <v>222</v>
      </c>
      <c r="T982" s="12"/>
      <c r="U982" s="13"/>
      <c r="V982" s="12"/>
      <c r="W982" s="13"/>
      <c r="X982" s="12"/>
      <c r="Y982" s="14"/>
      <c r="Z982" s="14"/>
      <c r="AA982" s="14"/>
      <c r="AB982" s="14"/>
      <c r="AC982" s="14"/>
      <c r="AD982" s="14"/>
      <c r="AE982" s="14"/>
      <c r="AF982" s="3"/>
      <c r="AG982" s="3"/>
    </row>
    <row r="983" ht="13.5" customHeight="1">
      <c r="A983" s="3"/>
      <c r="B983" s="15"/>
      <c r="C983" s="3"/>
      <c r="D983" s="4"/>
      <c r="E983" s="5"/>
      <c r="F983" s="6"/>
      <c r="G983" s="3"/>
      <c r="H983" s="3"/>
      <c r="I983" s="7"/>
      <c r="J983" s="6" t="s">
        <v>222</v>
      </c>
      <c r="K983" s="4" t="s">
        <v>222</v>
      </c>
      <c r="L983" s="4" t="s">
        <v>222</v>
      </c>
      <c r="M983" s="4" t="s">
        <v>222</v>
      </c>
      <c r="N983" s="4" t="s">
        <v>222</v>
      </c>
      <c r="O983" s="4" t="s">
        <v>222</v>
      </c>
      <c r="P983" s="9"/>
      <c r="Q983" s="9"/>
      <c r="R983" s="87" t="s">
        <v>222</v>
      </c>
      <c r="S983" s="11" t="s">
        <v>222</v>
      </c>
      <c r="T983" s="12"/>
      <c r="U983" s="13"/>
      <c r="V983" s="12"/>
      <c r="W983" s="13"/>
      <c r="X983" s="12"/>
      <c r="Y983" s="14"/>
      <c r="Z983" s="14"/>
      <c r="AA983" s="14"/>
      <c r="AB983" s="14"/>
      <c r="AC983" s="14"/>
      <c r="AD983" s="14"/>
      <c r="AE983" s="14"/>
      <c r="AF983" s="3"/>
      <c r="AG983" s="3"/>
    </row>
    <row r="984" ht="13.5" customHeight="1">
      <c r="A984" s="3"/>
      <c r="B984" s="15"/>
      <c r="C984" s="3"/>
      <c r="D984" s="4"/>
      <c r="E984" s="5"/>
      <c r="F984" s="6"/>
      <c r="G984" s="3"/>
      <c r="H984" s="3"/>
      <c r="I984" s="7"/>
      <c r="J984" s="6" t="s">
        <v>222</v>
      </c>
      <c r="K984" s="4" t="s">
        <v>222</v>
      </c>
      <c r="L984" s="4" t="s">
        <v>222</v>
      </c>
      <c r="M984" s="4" t="s">
        <v>222</v>
      </c>
      <c r="N984" s="4" t="s">
        <v>222</v>
      </c>
      <c r="O984" s="4" t="s">
        <v>222</v>
      </c>
      <c r="P984" s="9"/>
      <c r="Q984" s="9"/>
      <c r="R984" s="87" t="s">
        <v>222</v>
      </c>
      <c r="S984" s="11" t="s">
        <v>222</v>
      </c>
      <c r="T984" s="12"/>
      <c r="U984" s="13"/>
      <c r="V984" s="12"/>
      <c r="W984" s="13"/>
      <c r="X984" s="12"/>
      <c r="Y984" s="14"/>
      <c r="Z984" s="14"/>
      <c r="AA984" s="14"/>
      <c r="AB984" s="14"/>
      <c r="AC984" s="14"/>
      <c r="AD984" s="14"/>
      <c r="AE984" s="14"/>
      <c r="AF984" s="3"/>
      <c r="AG984" s="3"/>
    </row>
    <row r="985" ht="13.5" customHeight="1">
      <c r="A985" s="3"/>
      <c r="B985" s="15"/>
      <c r="C985" s="3"/>
      <c r="D985" s="4"/>
      <c r="E985" s="5"/>
      <c r="F985" s="6"/>
      <c r="G985" s="3"/>
      <c r="H985" s="3"/>
      <c r="I985" s="7"/>
      <c r="J985" s="6" t="s">
        <v>222</v>
      </c>
      <c r="K985" s="4" t="s">
        <v>222</v>
      </c>
      <c r="L985" s="4" t="s">
        <v>222</v>
      </c>
      <c r="M985" s="4" t="s">
        <v>222</v>
      </c>
      <c r="N985" s="4" t="s">
        <v>222</v>
      </c>
      <c r="O985" s="4" t="s">
        <v>222</v>
      </c>
      <c r="P985" s="9"/>
      <c r="Q985" s="9"/>
      <c r="R985" s="87" t="s">
        <v>222</v>
      </c>
      <c r="S985" s="11" t="s">
        <v>222</v>
      </c>
      <c r="T985" s="12"/>
      <c r="U985" s="13"/>
      <c r="V985" s="12"/>
      <c r="W985" s="13"/>
      <c r="X985" s="12"/>
      <c r="Y985" s="14"/>
      <c r="Z985" s="14"/>
      <c r="AA985" s="14"/>
      <c r="AB985" s="14"/>
      <c r="AC985" s="14"/>
      <c r="AD985" s="14"/>
      <c r="AE985" s="14"/>
      <c r="AF985" s="3"/>
      <c r="AG985" s="3"/>
    </row>
    <row r="986" ht="13.5" customHeight="1">
      <c r="A986" s="3"/>
      <c r="B986" s="15"/>
      <c r="C986" s="3"/>
      <c r="D986" s="4"/>
      <c r="E986" s="5"/>
      <c r="F986" s="6"/>
      <c r="G986" s="3"/>
      <c r="H986" s="3"/>
      <c r="I986" s="7"/>
      <c r="J986" s="6" t="s">
        <v>222</v>
      </c>
      <c r="K986" s="4" t="s">
        <v>222</v>
      </c>
      <c r="L986" s="4" t="s">
        <v>222</v>
      </c>
      <c r="M986" s="4" t="s">
        <v>222</v>
      </c>
      <c r="N986" s="4" t="s">
        <v>222</v>
      </c>
      <c r="O986" s="4" t="s">
        <v>222</v>
      </c>
      <c r="P986" s="9"/>
      <c r="Q986" s="9"/>
      <c r="R986" s="87" t="s">
        <v>222</v>
      </c>
      <c r="S986" s="11" t="s">
        <v>222</v>
      </c>
      <c r="T986" s="12"/>
      <c r="U986" s="13"/>
      <c r="V986" s="12"/>
      <c r="W986" s="13"/>
      <c r="X986" s="12"/>
      <c r="Y986" s="14"/>
      <c r="Z986" s="14"/>
      <c r="AA986" s="14"/>
      <c r="AB986" s="14"/>
      <c r="AC986" s="14"/>
      <c r="AD986" s="14"/>
      <c r="AE986" s="14"/>
      <c r="AF986" s="3"/>
      <c r="AG986" s="3"/>
    </row>
    <row r="987" ht="13.5" customHeight="1">
      <c r="A987" s="3"/>
      <c r="B987" s="15"/>
      <c r="C987" s="3"/>
      <c r="D987" s="4"/>
      <c r="E987" s="5"/>
      <c r="F987" s="6"/>
      <c r="G987" s="3"/>
      <c r="H987" s="3"/>
      <c r="I987" s="7"/>
      <c r="J987" s="6" t="s">
        <v>222</v>
      </c>
      <c r="K987" s="4" t="s">
        <v>222</v>
      </c>
      <c r="L987" s="4" t="s">
        <v>222</v>
      </c>
      <c r="M987" s="4" t="s">
        <v>222</v>
      </c>
      <c r="N987" s="4" t="s">
        <v>222</v>
      </c>
      <c r="O987" s="4" t="s">
        <v>222</v>
      </c>
      <c r="P987" s="9"/>
      <c r="Q987" s="9"/>
      <c r="R987" s="87" t="s">
        <v>222</v>
      </c>
      <c r="S987" s="11" t="s">
        <v>222</v>
      </c>
      <c r="T987" s="12"/>
      <c r="U987" s="13"/>
      <c r="V987" s="12"/>
      <c r="W987" s="13"/>
      <c r="X987" s="12"/>
      <c r="Y987" s="14"/>
      <c r="Z987" s="14"/>
      <c r="AA987" s="14"/>
      <c r="AB987" s="14"/>
      <c r="AC987" s="14"/>
      <c r="AD987" s="14"/>
      <c r="AE987" s="14"/>
      <c r="AF987" s="3"/>
      <c r="AG987" s="3"/>
    </row>
    <row r="988" ht="13.5" customHeight="1">
      <c r="A988" s="3"/>
      <c r="B988" s="15"/>
      <c r="C988" s="3"/>
      <c r="D988" s="4"/>
      <c r="E988" s="5"/>
      <c r="F988" s="6"/>
      <c r="G988" s="3"/>
      <c r="H988" s="3"/>
      <c r="I988" s="7"/>
      <c r="J988" s="6" t="s">
        <v>222</v>
      </c>
      <c r="K988" s="4" t="s">
        <v>222</v>
      </c>
      <c r="L988" s="4" t="s">
        <v>222</v>
      </c>
      <c r="M988" s="4" t="s">
        <v>222</v>
      </c>
      <c r="N988" s="4" t="s">
        <v>222</v>
      </c>
      <c r="O988" s="4" t="s">
        <v>222</v>
      </c>
      <c r="P988" s="9"/>
      <c r="Q988" s="9"/>
      <c r="R988" s="87" t="s">
        <v>222</v>
      </c>
      <c r="S988" s="11" t="s">
        <v>222</v>
      </c>
      <c r="T988" s="12"/>
      <c r="U988" s="13"/>
      <c r="V988" s="12"/>
      <c r="W988" s="13"/>
      <c r="X988" s="12"/>
      <c r="Y988" s="14"/>
      <c r="Z988" s="14"/>
      <c r="AA988" s="14"/>
      <c r="AB988" s="14"/>
      <c r="AC988" s="14"/>
      <c r="AD988" s="14"/>
      <c r="AE988" s="14"/>
      <c r="AF988" s="3"/>
      <c r="AG988" s="3"/>
    </row>
    <row r="989" ht="13.5" customHeight="1">
      <c r="A989" s="3"/>
      <c r="B989" s="15"/>
      <c r="C989" s="3"/>
      <c r="D989" s="4"/>
      <c r="E989" s="5"/>
      <c r="F989" s="6"/>
      <c r="G989" s="3"/>
      <c r="H989" s="3"/>
      <c r="I989" s="7"/>
      <c r="J989" s="6" t="s">
        <v>222</v>
      </c>
      <c r="K989" s="4" t="s">
        <v>222</v>
      </c>
      <c r="L989" s="4" t="s">
        <v>222</v>
      </c>
      <c r="M989" s="4" t="s">
        <v>222</v>
      </c>
      <c r="N989" s="4" t="s">
        <v>222</v>
      </c>
      <c r="O989" s="4" t="s">
        <v>222</v>
      </c>
      <c r="P989" s="9"/>
      <c r="Q989" s="9"/>
      <c r="R989" s="87" t="s">
        <v>222</v>
      </c>
      <c r="S989" s="11" t="s">
        <v>222</v>
      </c>
      <c r="T989" s="12"/>
      <c r="U989" s="13"/>
      <c r="V989" s="12"/>
      <c r="W989" s="13"/>
      <c r="X989" s="12"/>
      <c r="Y989" s="14"/>
      <c r="Z989" s="14"/>
      <c r="AA989" s="14"/>
      <c r="AB989" s="14"/>
      <c r="AC989" s="14"/>
      <c r="AD989" s="14"/>
      <c r="AE989" s="14"/>
      <c r="AF989" s="3"/>
      <c r="AG989" s="3"/>
    </row>
    <row r="990" ht="13.5" customHeight="1">
      <c r="A990" s="3"/>
      <c r="B990" s="15"/>
      <c r="C990" s="3"/>
      <c r="D990" s="4"/>
      <c r="E990" s="5"/>
      <c r="F990" s="6"/>
      <c r="G990" s="3"/>
      <c r="H990" s="3"/>
      <c r="I990" s="7"/>
      <c r="J990" s="6" t="s">
        <v>222</v>
      </c>
      <c r="K990" s="4" t="s">
        <v>222</v>
      </c>
      <c r="L990" s="4" t="s">
        <v>222</v>
      </c>
      <c r="M990" s="4" t="s">
        <v>222</v>
      </c>
      <c r="N990" s="4" t="s">
        <v>222</v>
      </c>
      <c r="O990" s="4" t="s">
        <v>222</v>
      </c>
      <c r="P990" s="9"/>
      <c r="Q990" s="9"/>
      <c r="R990" s="87" t="s">
        <v>222</v>
      </c>
      <c r="S990" s="11" t="s">
        <v>222</v>
      </c>
      <c r="T990" s="12"/>
      <c r="U990" s="13"/>
      <c r="V990" s="12"/>
      <c r="W990" s="13"/>
      <c r="X990" s="12"/>
      <c r="Y990" s="14"/>
      <c r="Z990" s="14"/>
      <c r="AA990" s="14"/>
      <c r="AB990" s="14"/>
      <c r="AC990" s="14"/>
      <c r="AD990" s="14"/>
      <c r="AE990" s="14"/>
      <c r="AF990" s="3"/>
      <c r="AG990" s="3"/>
    </row>
    <row r="991" ht="13.5" customHeight="1">
      <c r="A991" s="3"/>
      <c r="B991" s="15"/>
      <c r="C991" s="3"/>
      <c r="D991" s="4"/>
      <c r="E991" s="5"/>
      <c r="F991" s="6"/>
      <c r="G991" s="3"/>
      <c r="H991" s="3"/>
      <c r="I991" s="7"/>
      <c r="J991" s="6" t="s">
        <v>222</v>
      </c>
      <c r="K991" s="4" t="s">
        <v>222</v>
      </c>
      <c r="L991" s="4" t="s">
        <v>222</v>
      </c>
      <c r="M991" s="4" t="s">
        <v>222</v>
      </c>
      <c r="N991" s="4" t="s">
        <v>222</v>
      </c>
      <c r="O991" s="4" t="s">
        <v>222</v>
      </c>
      <c r="P991" s="9"/>
      <c r="Q991" s="9"/>
      <c r="R991" s="87" t="s">
        <v>222</v>
      </c>
      <c r="S991" s="11" t="s">
        <v>222</v>
      </c>
      <c r="T991" s="12"/>
      <c r="U991" s="13"/>
      <c r="V991" s="12"/>
      <c r="W991" s="13"/>
      <c r="X991" s="12"/>
      <c r="Y991" s="14"/>
      <c r="Z991" s="14"/>
      <c r="AA991" s="14"/>
      <c r="AB991" s="14"/>
      <c r="AC991" s="14"/>
      <c r="AD991" s="14"/>
      <c r="AE991" s="14"/>
      <c r="AF991" s="3"/>
      <c r="AG991" s="3"/>
    </row>
    <row r="992" ht="13.5" customHeight="1">
      <c r="A992" s="3"/>
      <c r="B992" s="15"/>
      <c r="C992" s="3"/>
      <c r="D992" s="4"/>
      <c r="E992" s="5"/>
      <c r="F992" s="6"/>
      <c r="G992" s="3"/>
      <c r="H992" s="3"/>
      <c r="I992" s="7"/>
      <c r="J992" s="6" t="s">
        <v>222</v>
      </c>
      <c r="K992" s="4" t="s">
        <v>222</v>
      </c>
      <c r="L992" s="4" t="s">
        <v>222</v>
      </c>
      <c r="M992" s="4" t="s">
        <v>222</v>
      </c>
      <c r="N992" s="4" t="s">
        <v>222</v>
      </c>
      <c r="O992" s="4" t="s">
        <v>222</v>
      </c>
      <c r="P992" s="9"/>
      <c r="Q992" s="9"/>
      <c r="R992" s="87" t="s">
        <v>222</v>
      </c>
      <c r="S992" s="11" t="s">
        <v>222</v>
      </c>
      <c r="T992" s="12"/>
      <c r="U992" s="13"/>
      <c r="V992" s="12"/>
      <c r="W992" s="13"/>
      <c r="X992" s="12"/>
      <c r="Y992" s="14"/>
      <c r="Z992" s="14"/>
      <c r="AA992" s="14"/>
      <c r="AB992" s="14"/>
      <c r="AC992" s="14"/>
      <c r="AD992" s="14"/>
      <c r="AE992" s="14"/>
      <c r="AF992" s="3"/>
      <c r="AG992" s="3"/>
    </row>
    <row r="993" ht="13.5" customHeight="1">
      <c r="A993" s="3"/>
      <c r="B993" s="15"/>
      <c r="C993" s="3"/>
      <c r="D993" s="4"/>
      <c r="E993" s="5"/>
      <c r="F993" s="6"/>
      <c r="G993" s="3"/>
      <c r="H993" s="3"/>
      <c r="I993" s="7"/>
      <c r="J993" s="6" t="s">
        <v>222</v>
      </c>
      <c r="K993" s="4" t="s">
        <v>222</v>
      </c>
      <c r="L993" s="4" t="s">
        <v>222</v>
      </c>
      <c r="M993" s="4" t="s">
        <v>222</v>
      </c>
      <c r="N993" s="4" t="s">
        <v>222</v>
      </c>
      <c r="O993" s="4" t="s">
        <v>222</v>
      </c>
      <c r="P993" s="9"/>
      <c r="Q993" s="9"/>
      <c r="R993" s="87" t="s">
        <v>222</v>
      </c>
      <c r="S993" s="11" t="s">
        <v>222</v>
      </c>
      <c r="T993" s="12"/>
      <c r="U993" s="13"/>
      <c r="V993" s="12"/>
      <c r="W993" s="13"/>
      <c r="X993" s="12"/>
      <c r="Y993" s="14"/>
      <c r="Z993" s="14"/>
      <c r="AA993" s="14"/>
      <c r="AB993" s="14"/>
      <c r="AC993" s="14"/>
      <c r="AD993" s="14"/>
      <c r="AE993" s="14"/>
      <c r="AF993" s="3"/>
      <c r="AG993" s="3"/>
    </row>
    <row r="994" ht="13.5" customHeight="1">
      <c r="A994" s="3"/>
      <c r="B994" s="15"/>
      <c r="C994" s="3"/>
      <c r="D994" s="4"/>
      <c r="E994" s="5"/>
      <c r="F994" s="6"/>
      <c r="G994" s="3"/>
      <c r="H994" s="3"/>
      <c r="I994" s="7"/>
      <c r="J994" s="6" t="s">
        <v>222</v>
      </c>
      <c r="K994" s="4" t="s">
        <v>222</v>
      </c>
      <c r="L994" s="4" t="s">
        <v>222</v>
      </c>
      <c r="M994" s="4" t="s">
        <v>222</v>
      </c>
      <c r="N994" s="4" t="s">
        <v>222</v>
      </c>
      <c r="O994" s="4" t="s">
        <v>222</v>
      </c>
      <c r="P994" s="9"/>
      <c r="Q994" s="9"/>
      <c r="R994" s="87" t="s">
        <v>222</v>
      </c>
      <c r="S994" s="11" t="s">
        <v>222</v>
      </c>
      <c r="T994" s="12"/>
      <c r="U994" s="13"/>
      <c r="V994" s="12"/>
      <c r="W994" s="13"/>
      <c r="X994" s="12"/>
      <c r="Y994" s="14"/>
      <c r="Z994" s="14"/>
      <c r="AA994" s="14"/>
      <c r="AB994" s="14"/>
      <c r="AC994" s="14"/>
      <c r="AD994" s="14"/>
      <c r="AE994" s="14"/>
      <c r="AF994" s="3"/>
      <c r="AG994" s="3"/>
    </row>
    <row r="995" ht="13.5" customHeight="1">
      <c r="A995" s="3"/>
      <c r="B995" s="15"/>
      <c r="C995" s="3"/>
      <c r="D995" s="4"/>
      <c r="E995" s="5"/>
      <c r="F995" s="6"/>
      <c r="G995" s="3"/>
      <c r="H995" s="3"/>
      <c r="I995" s="7"/>
      <c r="J995" s="6" t="s">
        <v>222</v>
      </c>
      <c r="K995" s="4" t="s">
        <v>222</v>
      </c>
      <c r="L995" s="4" t="s">
        <v>222</v>
      </c>
      <c r="M995" s="4" t="s">
        <v>222</v>
      </c>
      <c r="N995" s="4" t="s">
        <v>222</v>
      </c>
      <c r="O995" s="4" t="s">
        <v>222</v>
      </c>
      <c r="P995" s="9"/>
      <c r="Q995" s="9"/>
      <c r="R995" s="87" t="s">
        <v>222</v>
      </c>
      <c r="S995" s="11" t="s">
        <v>222</v>
      </c>
      <c r="T995" s="12"/>
      <c r="U995" s="13"/>
      <c r="V995" s="12"/>
      <c r="W995" s="13"/>
      <c r="X995" s="12"/>
      <c r="Y995" s="14"/>
      <c r="Z995" s="14"/>
      <c r="AA995" s="14"/>
      <c r="AB995" s="14"/>
      <c r="AC995" s="14"/>
      <c r="AD995" s="14"/>
      <c r="AE995" s="14"/>
      <c r="AF995" s="3"/>
      <c r="AG995" s="3"/>
    </row>
    <row r="996" ht="13.5" customHeight="1">
      <c r="A996" s="3"/>
      <c r="B996" s="15"/>
      <c r="C996" s="3"/>
      <c r="D996" s="4"/>
      <c r="E996" s="5"/>
      <c r="F996" s="6"/>
      <c r="G996" s="3"/>
      <c r="H996" s="3"/>
      <c r="I996" s="7"/>
      <c r="J996" s="6" t="s">
        <v>222</v>
      </c>
      <c r="K996" s="4" t="s">
        <v>222</v>
      </c>
      <c r="L996" s="4" t="s">
        <v>222</v>
      </c>
      <c r="M996" s="4" t="s">
        <v>222</v>
      </c>
      <c r="N996" s="4" t="s">
        <v>222</v>
      </c>
      <c r="O996" s="4" t="s">
        <v>222</v>
      </c>
      <c r="P996" s="9"/>
      <c r="Q996" s="9"/>
      <c r="R996" s="87" t="s">
        <v>222</v>
      </c>
      <c r="S996" s="11" t="s">
        <v>222</v>
      </c>
      <c r="T996" s="12"/>
      <c r="U996" s="13"/>
      <c r="V996" s="12"/>
      <c r="W996" s="13"/>
      <c r="X996" s="12"/>
      <c r="Y996" s="14"/>
      <c r="Z996" s="14"/>
      <c r="AA996" s="14"/>
      <c r="AB996" s="14"/>
      <c r="AC996" s="14"/>
      <c r="AD996" s="14"/>
      <c r="AE996" s="14"/>
      <c r="AF996" s="3"/>
      <c r="AG996" s="3"/>
    </row>
    <row r="997" ht="13.5" customHeight="1">
      <c r="A997" s="3"/>
      <c r="B997" s="15"/>
      <c r="C997" s="3"/>
      <c r="D997" s="4"/>
      <c r="E997" s="5"/>
      <c r="F997" s="6"/>
      <c r="G997" s="3"/>
      <c r="H997" s="3"/>
      <c r="I997" s="7"/>
      <c r="J997" s="6" t="s">
        <v>222</v>
      </c>
      <c r="K997" s="4" t="s">
        <v>222</v>
      </c>
      <c r="L997" s="4" t="s">
        <v>222</v>
      </c>
      <c r="M997" s="4" t="s">
        <v>222</v>
      </c>
      <c r="N997" s="4" t="s">
        <v>222</v>
      </c>
      <c r="O997" s="4" t="s">
        <v>222</v>
      </c>
      <c r="P997" s="9"/>
      <c r="Q997" s="9"/>
      <c r="R997" s="87" t="s">
        <v>222</v>
      </c>
      <c r="S997" s="11" t="s">
        <v>222</v>
      </c>
      <c r="T997" s="12"/>
      <c r="U997" s="13"/>
      <c r="V997" s="12"/>
      <c r="W997" s="13"/>
      <c r="X997" s="12"/>
      <c r="Y997" s="14"/>
      <c r="Z997" s="14"/>
      <c r="AA997" s="14"/>
      <c r="AB997" s="14"/>
      <c r="AC997" s="14"/>
      <c r="AD997" s="14"/>
      <c r="AE997" s="14"/>
      <c r="AF997" s="3"/>
      <c r="AG997" s="3"/>
    </row>
    <row r="998" ht="13.5" customHeight="1">
      <c r="A998" s="3"/>
      <c r="B998" s="15"/>
      <c r="C998" s="3"/>
      <c r="D998" s="4"/>
      <c r="E998" s="5"/>
      <c r="F998" s="6"/>
      <c r="G998" s="3"/>
      <c r="H998" s="3"/>
      <c r="I998" s="7"/>
      <c r="J998" s="6" t="s">
        <v>222</v>
      </c>
      <c r="K998" s="4" t="s">
        <v>222</v>
      </c>
      <c r="L998" s="4" t="s">
        <v>222</v>
      </c>
      <c r="M998" s="4" t="s">
        <v>222</v>
      </c>
      <c r="N998" s="4" t="s">
        <v>222</v>
      </c>
      <c r="O998" s="4" t="s">
        <v>222</v>
      </c>
      <c r="P998" s="9"/>
      <c r="Q998" s="9"/>
      <c r="R998" s="87" t="s">
        <v>222</v>
      </c>
      <c r="S998" s="11" t="s">
        <v>222</v>
      </c>
      <c r="T998" s="12"/>
      <c r="U998" s="13"/>
      <c r="V998" s="12"/>
      <c r="W998" s="13"/>
      <c r="X998" s="12"/>
      <c r="Y998" s="14"/>
      <c r="Z998" s="14"/>
      <c r="AA998" s="14"/>
      <c r="AB998" s="14"/>
      <c r="AC998" s="14"/>
      <c r="AD998" s="14"/>
      <c r="AE998" s="14"/>
      <c r="AF998" s="3"/>
      <c r="AG998" s="3"/>
    </row>
    <row r="999" ht="13.5" customHeight="1">
      <c r="A999" s="3"/>
      <c r="B999" s="15"/>
      <c r="C999" s="3"/>
      <c r="D999" s="4"/>
      <c r="E999" s="5"/>
      <c r="F999" s="6"/>
      <c r="G999" s="3"/>
      <c r="H999" s="3"/>
      <c r="I999" s="7"/>
      <c r="J999" s="6" t="s">
        <v>222</v>
      </c>
      <c r="K999" s="4" t="s">
        <v>222</v>
      </c>
      <c r="L999" s="4" t="s">
        <v>222</v>
      </c>
      <c r="M999" s="4" t="s">
        <v>222</v>
      </c>
      <c r="N999" s="4" t="s">
        <v>222</v>
      </c>
      <c r="O999" s="4" t="s">
        <v>222</v>
      </c>
      <c r="P999" s="9"/>
      <c r="Q999" s="9"/>
      <c r="R999" s="87" t="s">
        <v>222</v>
      </c>
      <c r="S999" s="11" t="s">
        <v>222</v>
      </c>
      <c r="T999" s="12"/>
      <c r="U999" s="13"/>
      <c r="V999" s="12"/>
      <c r="W999" s="13"/>
      <c r="X999" s="12"/>
      <c r="Y999" s="14"/>
      <c r="Z999" s="14"/>
      <c r="AA999" s="14"/>
      <c r="AB999" s="14"/>
      <c r="AC999" s="14"/>
      <c r="AD999" s="14"/>
      <c r="AE999" s="14"/>
      <c r="AF999" s="3"/>
      <c r="AG999" s="3"/>
    </row>
  </sheetData>
  <autoFilter ref="$A$4:$W$545"/>
  <printOptions/>
  <pageMargins bottom="0.75" footer="0.0" header="0.0" left="0.7" right="0.7" top="0.75"/>
  <pageSetup fitToHeight="0"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8.57"/>
    <col customWidth="1" min="2" max="2" width="10.14"/>
    <col customWidth="1" min="3" max="3" width="19.14"/>
    <col customWidth="1" min="4" max="4" width="17.29"/>
    <col customWidth="1" min="5" max="5" width="11.29"/>
    <col customWidth="1" min="6" max="6" width="24.0"/>
    <col customWidth="1" min="7" max="7" width="17.86"/>
    <col customWidth="1" min="8" max="8" width="16.57"/>
    <col customWidth="1" min="9" max="9" width="13.29"/>
    <col customWidth="1" min="10" max="10" width="16.57"/>
    <col customWidth="1" min="11" max="12" width="20.71"/>
    <col customWidth="1" min="13" max="13" width="30.14"/>
    <col customWidth="1" min="14" max="14" width="15.86"/>
    <col customWidth="1" min="15" max="15" width="11.0"/>
    <col customWidth="1" min="16" max="16" width="13.0"/>
    <col customWidth="1" min="17" max="20" width="9.14"/>
    <col customWidth="1" min="21" max="21" width="15.14"/>
    <col customWidth="1" min="22" max="22" width="9.14"/>
  </cols>
  <sheetData>
    <row r="1" ht="13.5" customHeight="1">
      <c r="A1" s="1" t="s">
        <v>0</v>
      </c>
      <c r="B1" s="2"/>
      <c r="C1" s="3"/>
      <c r="D1" s="4"/>
      <c r="E1" s="6"/>
      <c r="F1" s="3"/>
      <c r="G1" s="7"/>
      <c r="H1" s="7"/>
      <c r="I1" s="8"/>
      <c r="J1" s="90"/>
      <c r="K1" s="91"/>
      <c r="L1" s="92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>
      <c r="A2" s="3"/>
      <c r="B2" s="15"/>
      <c r="C2" s="3"/>
      <c r="D2" s="4"/>
      <c r="E2" s="6"/>
      <c r="F2" s="3"/>
      <c r="G2" s="7"/>
      <c r="H2" s="7"/>
      <c r="I2" s="6"/>
      <c r="J2" s="90"/>
      <c r="K2" s="91"/>
      <c r="L2" s="92"/>
      <c r="M2" s="3"/>
      <c r="N2" s="3"/>
      <c r="O2" s="3"/>
      <c r="P2" s="3"/>
      <c r="Q2" s="3"/>
      <c r="R2" s="3"/>
      <c r="S2" s="3"/>
      <c r="T2" s="3"/>
      <c r="U2" s="3"/>
      <c r="V2" s="3"/>
    </row>
    <row r="3" ht="13.5" customHeight="1">
      <c r="A3" s="16"/>
      <c r="B3" s="17">
        <f>SUBTOTAL(3,B5:B110)</f>
        <v>51</v>
      </c>
      <c r="C3" s="16"/>
      <c r="D3" s="18">
        <f>SUBTOTAL(9,D5:D110)</f>
        <v>101816000000</v>
      </c>
      <c r="E3" s="17"/>
      <c r="F3" s="16"/>
      <c r="G3" s="20"/>
      <c r="H3" s="20"/>
      <c r="I3" s="17">
        <f>SUBTOTAL(3,I5:I110)</f>
        <v>51</v>
      </c>
      <c r="J3" s="18">
        <f>SUBTOTAL(9,J5:J110)</f>
        <v>1494223000</v>
      </c>
      <c r="K3" s="93"/>
      <c r="L3" s="18">
        <f>SUBTOTAL(9,L5:L110)</f>
        <v>735770800</v>
      </c>
      <c r="M3" s="18">
        <f>L3-O3</f>
        <v>660985800</v>
      </c>
      <c r="N3" s="16"/>
      <c r="O3" s="18">
        <f>SUBTOTAL(9,O5:O997)</f>
        <v>74785000</v>
      </c>
      <c r="P3" s="16"/>
      <c r="Q3" s="16"/>
      <c r="R3" s="16"/>
      <c r="S3" s="16"/>
      <c r="T3" s="16"/>
      <c r="U3" s="16"/>
      <c r="V3" s="16"/>
    </row>
    <row r="4" ht="13.5" customHeight="1">
      <c r="A4" s="25" t="s">
        <v>1</v>
      </c>
      <c r="B4" s="26" t="s">
        <v>2</v>
      </c>
      <c r="C4" s="25" t="s">
        <v>3</v>
      </c>
      <c r="D4" s="27" t="s">
        <v>4</v>
      </c>
      <c r="E4" s="29" t="s">
        <v>6</v>
      </c>
      <c r="F4" s="25" t="s">
        <v>8</v>
      </c>
      <c r="G4" s="30" t="s">
        <v>9</v>
      </c>
      <c r="H4" s="30" t="s">
        <v>223</v>
      </c>
      <c r="I4" s="29" t="s">
        <v>10</v>
      </c>
      <c r="J4" s="31" t="s">
        <v>224</v>
      </c>
      <c r="K4" s="34" t="s">
        <v>225</v>
      </c>
      <c r="L4" s="32" t="s">
        <v>226</v>
      </c>
      <c r="M4" s="94" t="s">
        <v>227</v>
      </c>
      <c r="N4" s="94" t="s">
        <v>228</v>
      </c>
      <c r="O4" s="94" t="s">
        <v>229</v>
      </c>
      <c r="P4" s="37"/>
      <c r="Q4" s="37"/>
      <c r="R4" s="37"/>
      <c r="S4" s="37"/>
      <c r="T4" s="37"/>
      <c r="U4" s="37"/>
      <c r="V4" s="37"/>
    </row>
    <row r="5" ht="13.5" customHeight="1">
      <c r="A5" s="95">
        <v>1.0</v>
      </c>
      <c r="B5" s="96" t="s">
        <v>230</v>
      </c>
      <c r="C5" s="97" t="s">
        <v>231</v>
      </c>
      <c r="D5" s="98">
        <v>1.815E9</v>
      </c>
      <c r="E5" s="99"/>
      <c r="F5" s="100" t="s">
        <v>34</v>
      </c>
      <c r="G5" s="101">
        <v>45606.0</v>
      </c>
      <c r="H5" s="101">
        <v>45587.0</v>
      </c>
      <c r="I5" s="102" t="s">
        <v>35</v>
      </c>
      <c r="J5" s="103">
        <v>3.92E7</v>
      </c>
      <c r="K5" s="104">
        <v>0.5</v>
      </c>
      <c r="L5" s="105">
        <f t="shared" ref="L5:L55" si="1">J5*(100%-K5)</f>
        <v>19600000</v>
      </c>
      <c r="M5" s="100" t="s">
        <v>232</v>
      </c>
      <c r="N5" s="100" t="s">
        <v>233</v>
      </c>
      <c r="O5" s="106">
        <f>L5</f>
        <v>19600000</v>
      </c>
      <c r="P5" s="107"/>
      <c r="Q5" s="107"/>
      <c r="R5" s="107"/>
      <c r="S5" s="107"/>
      <c r="T5" s="107"/>
      <c r="U5" s="107"/>
      <c r="V5" s="107"/>
    </row>
    <row r="6" ht="13.5" customHeight="1">
      <c r="A6" s="95">
        <v>2.0</v>
      </c>
      <c r="B6" s="96" t="s">
        <v>234</v>
      </c>
      <c r="C6" s="97" t="s">
        <v>235</v>
      </c>
      <c r="D6" s="98">
        <v>2.015E9</v>
      </c>
      <c r="E6" s="99"/>
      <c r="F6" s="100" t="s">
        <v>40</v>
      </c>
      <c r="G6" s="101">
        <v>45606.0</v>
      </c>
      <c r="H6" s="101">
        <v>45605.0</v>
      </c>
      <c r="I6" s="102" t="s">
        <v>35</v>
      </c>
      <c r="J6" s="108">
        <v>2.5E7</v>
      </c>
      <c r="K6" s="104">
        <v>0.5</v>
      </c>
      <c r="L6" s="105">
        <f t="shared" si="1"/>
        <v>12500000</v>
      </c>
      <c r="M6" s="100" t="s">
        <v>232</v>
      </c>
      <c r="N6" s="100"/>
      <c r="O6" s="97"/>
      <c r="P6" s="107"/>
      <c r="Q6" s="107"/>
      <c r="R6" s="107"/>
      <c r="S6" s="107"/>
      <c r="T6" s="107"/>
      <c r="U6" s="107"/>
      <c r="V6" s="107"/>
    </row>
    <row r="7" ht="13.5" customHeight="1">
      <c r="A7" s="95">
        <v>3.0</v>
      </c>
      <c r="B7" s="109" t="s">
        <v>236</v>
      </c>
      <c r="C7" s="110" t="s">
        <v>237</v>
      </c>
      <c r="D7" s="111">
        <v>1.96E9</v>
      </c>
      <c r="E7" s="112"/>
      <c r="F7" s="100" t="s">
        <v>34</v>
      </c>
      <c r="G7" s="113">
        <v>45583.0</v>
      </c>
      <c r="H7" s="113">
        <v>45596.0</v>
      </c>
      <c r="I7" s="114" t="s">
        <v>35</v>
      </c>
      <c r="J7" s="115">
        <v>4.988E7</v>
      </c>
      <c r="K7" s="104">
        <v>0.5</v>
      </c>
      <c r="L7" s="105">
        <f t="shared" si="1"/>
        <v>24940000</v>
      </c>
      <c r="M7" s="100" t="s">
        <v>232</v>
      </c>
      <c r="N7" s="100"/>
      <c r="O7" s="97"/>
      <c r="P7" s="107"/>
      <c r="Q7" s="107"/>
      <c r="R7" s="107"/>
      <c r="S7" s="107"/>
      <c r="T7" s="107"/>
      <c r="U7" s="107"/>
      <c r="V7" s="107"/>
    </row>
    <row r="8" ht="13.5" customHeight="1">
      <c r="A8" s="95">
        <v>4.0</v>
      </c>
      <c r="B8" s="116" t="s">
        <v>238</v>
      </c>
      <c r="C8" s="100" t="s">
        <v>237</v>
      </c>
      <c r="D8" s="117">
        <v>1.425E9</v>
      </c>
      <c r="E8" s="99"/>
      <c r="F8" s="100" t="s">
        <v>40</v>
      </c>
      <c r="G8" s="118">
        <v>45587.0</v>
      </c>
      <c r="H8" s="118">
        <v>45611.0</v>
      </c>
      <c r="I8" s="119" t="s">
        <v>35</v>
      </c>
      <c r="J8" s="103">
        <v>2.2E7</v>
      </c>
      <c r="K8" s="104">
        <v>0.5</v>
      </c>
      <c r="L8" s="105">
        <f t="shared" si="1"/>
        <v>11000000</v>
      </c>
      <c r="M8" s="100" t="s">
        <v>232</v>
      </c>
      <c r="N8" s="100"/>
      <c r="O8" s="97"/>
      <c r="P8" s="107"/>
      <c r="Q8" s="107"/>
      <c r="R8" s="107"/>
      <c r="S8" s="107"/>
      <c r="T8" s="107"/>
      <c r="U8" s="107"/>
      <c r="V8" s="107"/>
    </row>
    <row r="9" ht="13.5" customHeight="1">
      <c r="A9" s="95">
        <v>5.0</v>
      </c>
      <c r="B9" s="116" t="s">
        <v>239</v>
      </c>
      <c r="C9" s="100" t="s">
        <v>237</v>
      </c>
      <c r="D9" s="117">
        <v>1.45E9</v>
      </c>
      <c r="E9" s="99"/>
      <c r="F9" s="100" t="s">
        <v>40</v>
      </c>
      <c r="G9" s="118">
        <v>45591.0</v>
      </c>
      <c r="H9" s="118">
        <v>45651.0</v>
      </c>
      <c r="I9" s="119" t="s">
        <v>35</v>
      </c>
      <c r="J9" s="103">
        <v>2.0E7</v>
      </c>
      <c r="K9" s="104">
        <v>0.55</v>
      </c>
      <c r="L9" s="105">
        <f t="shared" si="1"/>
        <v>9000000</v>
      </c>
      <c r="M9" s="100" t="s">
        <v>232</v>
      </c>
      <c r="N9" s="97"/>
      <c r="O9" s="97"/>
      <c r="P9" s="107"/>
      <c r="Q9" s="107"/>
      <c r="R9" s="107"/>
      <c r="S9" s="107"/>
      <c r="T9" s="107"/>
      <c r="U9" s="107"/>
      <c r="V9" s="107"/>
    </row>
    <row r="10" ht="13.5" customHeight="1">
      <c r="A10" s="95">
        <v>6.0</v>
      </c>
      <c r="B10" s="116" t="s">
        <v>240</v>
      </c>
      <c r="C10" s="100" t="s">
        <v>241</v>
      </c>
      <c r="D10" s="117">
        <v>1.69E9</v>
      </c>
      <c r="E10" s="99"/>
      <c r="F10" s="100" t="s">
        <v>61</v>
      </c>
      <c r="G10" s="118">
        <v>45589.0</v>
      </c>
      <c r="H10" s="118">
        <v>45603.0</v>
      </c>
      <c r="I10" s="119" t="s">
        <v>35</v>
      </c>
      <c r="J10" s="103">
        <v>4.0E7</v>
      </c>
      <c r="K10" s="104">
        <v>0.5</v>
      </c>
      <c r="L10" s="105">
        <f t="shared" si="1"/>
        <v>20000000</v>
      </c>
      <c r="M10" s="100" t="s">
        <v>232</v>
      </c>
      <c r="N10" s="100" t="s">
        <v>233</v>
      </c>
      <c r="O10" s="106">
        <f t="shared" ref="O10:O11" si="2">L10</f>
        <v>20000000</v>
      </c>
      <c r="P10" s="107"/>
      <c r="Q10" s="107"/>
      <c r="R10" s="107"/>
      <c r="S10" s="107"/>
      <c r="T10" s="107"/>
      <c r="U10" s="107"/>
      <c r="V10" s="107"/>
    </row>
    <row r="11" ht="13.5" customHeight="1">
      <c r="A11" s="95">
        <v>7.0</v>
      </c>
      <c r="B11" s="116" t="s">
        <v>242</v>
      </c>
      <c r="C11" s="100" t="s">
        <v>231</v>
      </c>
      <c r="D11" s="117">
        <v>1.74E9</v>
      </c>
      <c r="E11" s="99"/>
      <c r="F11" s="100" t="s">
        <v>67</v>
      </c>
      <c r="G11" s="118">
        <v>45598.0</v>
      </c>
      <c r="H11" s="118">
        <v>45610.0</v>
      </c>
      <c r="I11" s="119" t="s">
        <v>243</v>
      </c>
      <c r="J11" s="103">
        <v>2.668E7</v>
      </c>
      <c r="K11" s="104">
        <v>0.5</v>
      </c>
      <c r="L11" s="105">
        <f t="shared" si="1"/>
        <v>13340000</v>
      </c>
      <c r="M11" s="100" t="s">
        <v>232</v>
      </c>
      <c r="N11" s="100" t="s">
        <v>233</v>
      </c>
      <c r="O11" s="106">
        <f t="shared" si="2"/>
        <v>13340000</v>
      </c>
      <c r="P11" s="107"/>
      <c r="Q11" s="107"/>
      <c r="R11" s="107"/>
      <c r="S11" s="107"/>
      <c r="T11" s="107"/>
      <c r="U11" s="107"/>
      <c r="V11" s="107"/>
    </row>
    <row r="12" ht="13.5" customHeight="1">
      <c r="A12" s="95">
        <v>8.0</v>
      </c>
      <c r="B12" s="116" t="s">
        <v>244</v>
      </c>
      <c r="C12" s="100" t="s">
        <v>245</v>
      </c>
      <c r="D12" s="117">
        <v>2.3E9</v>
      </c>
      <c r="E12" s="99"/>
      <c r="F12" s="100" t="s">
        <v>61</v>
      </c>
      <c r="G12" s="118">
        <v>45636.0</v>
      </c>
      <c r="H12" s="118">
        <v>45644.0</v>
      </c>
      <c r="I12" s="119" t="s">
        <v>48</v>
      </c>
      <c r="J12" s="103">
        <v>3.195E7</v>
      </c>
      <c r="K12" s="104">
        <v>0.5</v>
      </c>
      <c r="L12" s="105">
        <f t="shared" si="1"/>
        <v>15975000</v>
      </c>
      <c r="M12" s="100" t="s">
        <v>232</v>
      </c>
      <c r="N12" s="97"/>
      <c r="O12" s="97"/>
      <c r="P12" s="107"/>
      <c r="Q12" s="107"/>
      <c r="R12" s="107"/>
      <c r="S12" s="107"/>
      <c r="T12" s="107"/>
      <c r="U12" s="107"/>
      <c r="V12" s="107"/>
    </row>
    <row r="13" ht="13.5" customHeight="1">
      <c r="A13" s="95">
        <v>9.0</v>
      </c>
      <c r="B13" s="116" t="s">
        <v>246</v>
      </c>
      <c r="C13" s="100" t="s">
        <v>231</v>
      </c>
      <c r="D13" s="117">
        <v>1.6E9</v>
      </c>
      <c r="E13" s="99"/>
      <c r="F13" s="100" t="s">
        <v>67</v>
      </c>
      <c r="G13" s="118">
        <v>45651.0</v>
      </c>
      <c r="H13" s="118">
        <v>45675.0</v>
      </c>
      <c r="I13" s="119" t="s">
        <v>48</v>
      </c>
      <c r="J13" s="103">
        <v>2.8605E7</v>
      </c>
      <c r="K13" s="104">
        <v>0.5</v>
      </c>
      <c r="L13" s="105">
        <f t="shared" si="1"/>
        <v>14302500</v>
      </c>
      <c r="M13" s="100" t="s">
        <v>232</v>
      </c>
      <c r="N13" s="97"/>
      <c r="O13" s="97"/>
      <c r="P13" s="107"/>
      <c r="Q13" s="107"/>
      <c r="R13" s="107"/>
      <c r="S13" s="107"/>
      <c r="T13" s="107"/>
      <c r="U13" s="107"/>
      <c r="V13" s="107"/>
    </row>
    <row r="14" ht="13.5" customHeight="1">
      <c r="A14" s="95">
        <v>10.0</v>
      </c>
      <c r="B14" s="116" t="s">
        <v>247</v>
      </c>
      <c r="C14" s="100" t="s">
        <v>231</v>
      </c>
      <c r="D14" s="117">
        <v>1.51E9</v>
      </c>
      <c r="E14" s="99"/>
      <c r="F14" s="100" t="s">
        <v>67</v>
      </c>
      <c r="G14" s="118">
        <v>45653.0</v>
      </c>
      <c r="H14" s="118">
        <v>45672.0</v>
      </c>
      <c r="I14" s="119" t="s">
        <v>48</v>
      </c>
      <c r="J14" s="103">
        <v>1.269E7</v>
      </c>
      <c r="K14" s="104">
        <v>0.5</v>
      </c>
      <c r="L14" s="105">
        <f t="shared" si="1"/>
        <v>6345000</v>
      </c>
      <c r="M14" s="100" t="s">
        <v>232</v>
      </c>
      <c r="N14" s="100" t="s">
        <v>233</v>
      </c>
      <c r="O14" s="106">
        <f>L14</f>
        <v>6345000</v>
      </c>
      <c r="P14" s="107"/>
      <c r="Q14" s="107"/>
      <c r="R14" s="107"/>
      <c r="S14" s="107"/>
      <c r="T14" s="107"/>
      <c r="U14" s="107"/>
      <c r="V14" s="107"/>
    </row>
    <row r="15" ht="13.5" customHeight="1">
      <c r="A15" s="95">
        <v>11.0</v>
      </c>
      <c r="B15" s="116" t="s">
        <v>248</v>
      </c>
      <c r="C15" s="100" t="s">
        <v>231</v>
      </c>
      <c r="D15" s="117">
        <v>1.675E9</v>
      </c>
      <c r="E15" s="99"/>
      <c r="F15" s="100" t="s">
        <v>67</v>
      </c>
      <c r="G15" s="118">
        <v>45661.0</v>
      </c>
      <c r="H15" s="118">
        <v>45677.0</v>
      </c>
      <c r="I15" s="119" t="s">
        <v>55</v>
      </c>
      <c r="J15" s="103">
        <v>2.0645E7</v>
      </c>
      <c r="K15" s="104">
        <v>0.5</v>
      </c>
      <c r="L15" s="105">
        <f t="shared" si="1"/>
        <v>10322500</v>
      </c>
      <c r="M15" s="100" t="s">
        <v>232</v>
      </c>
      <c r="N15" s="97"/>
      <c r="O15" s="97"/>
      <c r="P15" s="107"/>
      <c r="Q15" s="107"/>
      <c r="R15" s="107"/>
      <c r="S15" s="107"/>
      <c r="T15" s="107"/>
      <c r="U15" s="107"/>
      <c r="V15" s="107"/>
    </row>
    <row r="16" ht="13.5" customHeight="1">
      <c r="A16" s="95">
        <v>12.0</v>
      </c>
      <c r="B16" s="116" t="s">
        <v>249</v>
      </c>
      <c r="C16" s="100" t="s">
        <v>235</v>
      </c>
      <c r="D16" s="117">
        <v>2.2E9</v>
      </c>
      <c r="E16" s="99"/>
      <c r="F16" s="100" t="s">
        <v>250</v>
      </c>
      <c r="G16" s="118">
        <v>45669.0</v>
      </c>
      <c r="H16" s="118">
        <v>45672.0</v>
      </c>
      <c r="I16" s="119" t="s">
        <v>55</v>
      </c>
      <c r="J16" s="103">
        <v>2.2899E7</v>
      </c>
      <c r="K16" s="104">
        <v>0.5</v>
      </c>
      <c r="L16" s="105">
        <f t="shared" si="1"/>
        <v>11449500</v>
      </c>
      <c r="M16" s="100" t="s">
        <v>232</v>
      </c>
      <c r="N16" s="97"/>
      <c r="O16" s="97"/>
      <c r="P16" s="107"/>
      <c r="Q16" s="107"/>
      <c r="R16" s="107"/>
      <c r="S16" s="107"/>
      <c r="T16" s="107"/>
      <c r="U16" s="107"/>
      <c r="V16" s="107"/>
    </row>
    <row r="17" ht="13.5" customHeight="1">
      <c r="A17" s="95">
        <v>13.0</v>
      </c>
      <c r="B17" s="116" t="s">
        <v>251</v>
      </c>
      <c r="C17" s="100" t="s">
        <v>241</v>
      </c>
      <c r="D17" s="117">
        <v>1.73E9</v>
      </c>
      <c r="E17" s="99"/>
      <c r="F17" s="100" t="s">
        <v>34</v>
      </c>
      <c r="G17" s="118">
        <v>45714.0</v>
      </c>
      <c r="H17" s="118">
        <v>45722.0</v>
      </c>
      <c r="I17" s="119" t="s">
        <v>252</v>
      </c>
      <c r="J17" s="103">
        <v>5.0E7</v>
      </c>
      <c r="K17" s="104">
        <v>0.5</v>
      </c>
      <c r="L17" s="105">
        <f t="shared" si="1"/>
        <v>25000000</v>
      </c>
      <c r="M17" s="100" t="s">
        <v>232</v>
      </c>
      <c r="N17" s="39"/>
      <c r="O17" s="39"/>
      <c r="P17" s="55"/>
      <c r="Q17" s="55"/>
      <c r="R17" s="55"/>
      <c r="S17" s="55"/>
      <c r="T17" s="55"/>
      <c r="U17" s="55"/>
      <c r="V17" s="55"/>
    </row>
    <row r="18" ht="13.5" customHeight="1">
      <c r="A18" s="95">
        <v>14.0</v>
      </c>
      <c r="B18" s="116" t="s">
        <v>253</v>
      </c>
      <c r="C18" s="100" t="s">
        <v>231</v>
      </c>
      <c r="D18" s="117">
        <v>1.723E9</v>
      </c>
      <c r="E18" s="99"/>
      <c r="F18" s="100" t="s">
        <v>67</v>
      </c>
      <c r="G18" s="118">
        <v>45720.0</v>
      </c>
      <c r="H18" s="118">
        <v>45747.0</v>
      </c>
      <c r="I18" s="119" t="s">
        <v>254</v>
      </c>
      <c r="J18" s="103">
        <v>1.7E7</v>
      </c>
      <c r="K18" s="104">
        <v>0.5</v>
      </c>
      <c r="L18" s="105">
        <f t="shared" si="1"/>
        <v>8500000</v>
      </c>
      <c r="M18" s="100" t="s">
        <v>232</v>
      </c>
      <c r="N18" s="97"/>
      <c r="O18" s="97"/>
      <c r="P18" s="107"/>
      <c r="Q18" s="107"/>
      <c r="R18" s="107"/>
      <c r="S18" s="107"/>
      <c r="T18" s="107"/>
      <c r="U18" s="107"/>
      <c r="V18" s="107"/>
    </row>
    <row r="19" ht="13.5" customHeight="1">
      <c r="A19" s="95">
        <v>15.0</v>
      </c>
      <c r="B19" s="116" t="s">
        <v>255</v>
      </c>
      <c r="C19" s="100" t="s">
        <v>231</v>
      </c>
      <c r="D19" s="117">
        <v>1.69E9</v>
      </c>
      <c r="E19" s="99"/>
      <c r="F19" s="100" t="s">
        <v>40</v>
      </c>
      <c r="G19" s="118">
        <v>45741.0</v>
      </c>
      <c r="H19" s="118">
        <v>45772.0</v>
      </c>
      <c r="I19" s="119" t="s">
        <v>254</v>
      </c>
      <c r="J19" s="103">
        <v>2.5E7</v>
      </c>
      <c r="K19" s="104">
        <v>0.5</v>
      </c>
      <c r="L19" s="105">
        <f t="shared" si="1"/>
        <v>12500000</v>
      </c>
      <c r="M19" s="100" t="s">
        <v>232</v>
      </c>
      <c r="N19" s="97"/>
      <c r="O19" s="97"/>
      <c r="P19" s="107"/>
      <c r="Q19" s="107"/>
      <c r="R19" s="107"/>
      <c r="S19" s="107"/>
      <c r="T19" s="107"/>
      <c r="U19" s="107"/>
      <c r="V19" s="107"/>
    </row>
    <row r="20" ht="13.5" customHeight="1">
      <c r="A20" s="95">
        <v>16.0</v>
      </c>
      <c r="B20" s="116" t="s">
        <v>256</v>
      </c>
      <c r="C20" s="100" t="s">
        <v>237</v>
      </c>
      <c r="D20" s="117">
        <v>1.48E9</v>
      </c>
      <c r="E20" s="99"/>
      <c r="F20" s="100" t="s">
        <v>34</v>
      </c>
      <c r="G20" s="118">
        <v>45762.0</v>
      </c>
      <c r="H20" s="118">
        <v>45775.0</v>
      </c>
      <c r="I20" s="119" t="s">
        <v>62</v>
      </c>
      <c r="J20" s="103">
        <v>3.0E7</v>
      </c>
      <c r="K20" s="104">
        <v>0.5</v>
      </c>
      <c r="L20" s="105">
        <f t="shared" si="1"/>
        <v>15000000</v>
      </c>
      <c r="M20" s="100" t="s">
        <v>232</v>
      </c>
      <c r="N20" s="97"/>
      <c r="O20" s="97"/>
      <c r="P20" s="107"/>
      <c r="Q20" s="107"/>
      <c r="R20" s="107"/>
      <c r="S20" s="107"/>
      <c r="T20" s="107"/>
      <c r="U20" s="107"/>
      <c r="V20" s="107"/>
    </row>
    <row r="21" ht="13.5" customHeight="1">
      <c r="A21" s="95">
        <v>17.0</v>
      </c>
      <c r="B21" s="116" t="s">
        <v>257</v>
      </c>
      <c r="C21" s="100" t="s">
        <v>231</v>
      </c>
      <c r="D21" s="117">
        <v>1.767E9</v>
      </c>
      <c r="E21" s="99"/>
      <c r="F21" s="100" t="s">
        <v>67</v>
      </c>
      <c r="G21" s="118">
        <v>45760.0</v>
      </c>
      <c r="H21" s="118">
        <v>45769.0</v>
      </c>
      <c r="I21" s="119" t="s">
        <v>62</v>
      </c>
      <c r="J21" s="103">
        <v>1.3E7</v>
      </c>
      <c r="K21" s="104">
        <v>0.5</v>
      </c>
      <c r="L21" s="105">
        <f t="shared" si="1"/>
        <v>6500000</v>
      </c>
      <c r="M21" s="100" t="s">
        <v>232</v>
      </c>
      <c r="N21" s="97"/>
      <c r="O21" s="97"/>
      <c r="P21" s="107"/>
      <c r="Q21" s="107"/>
      <c r="R21" s="107"/>
      <c r="S21" s="107"/>
      <c r="T21" s="107"/>
      <c r="U21" s="107"/>
      <c r="V21" s="107"/>
    </row>
    <row r="22" ht="13.5" customHeight="1">
      <c r="A22" s="95">
        <v>18.0</v>
      </c>
      <c r="B22" s="116" t="s">
        <v>258</v>
      </c>
      <c r="C22" s="100" t="s">
        <v>235</v>
      </c>
      <c r="D22" s="117">
        <v>1.999E9</v>
      </c>
      <c r="E22" s="99"/>
      <c r="F22" s="100" t="s">
        <v>40</v>
      </c>
      <c r="G22" s="118">
        <v>45763.0</v>
      </c>
      <c r="H22" s="118">
        <v>45805.0</v>
      </c>
      <c r="I22" s="119" t="s">
        <v>62</v>
      </c>
      <c r="J22" s="103">
        <v>2.7E7</v>
      </c>
      <c r="K22" s="104">
        <v>0.5</v>
      </c>
      <c r="L22" s="105">
        <f t="shared" si="1"/>
        <v>13500000</v>
      </c>
      <c r="M22" s="100" t="s">
        <v>259</v>
      </c>
      <c r="N22" s="97"/>
      <c r="O22" s="97"/>
      <c r="P22" s="107"/>
      <c r="Q22" s="107"/>
      <c r="R22" s="107"/>
      <c r="S22" s="107"/>
      <c r="T22" s="107"/>
      <c r="U22" s="107"/>
      <c r="V22" s="107"/>
    </row>
    <row r="23" ht="13.5" customHeight="1">
      <c r="A23" s="95">
        <v>19.0</v>
      </c>
      <c r="B23" s="116" t="s">
        <v>260</v>
      </c>
      <c r="C23" s="100" t="s">
        <v>231</v>
      </c>
      <c r="D23" s="117">
        <v>1.685E9</v>
      </c>
      <c r="E23" s="99"/>
      <c r="F23" s="100" t="s">
        <v>67</v>
      </c>
      <c r="G23" s="118">
        <v>45768.0</v>
      </c>
      <c r="H23" s="118">
        <v>45773.0</v>
      </c>
      <c r="I23" s="119" t="s">
        <v>62</v>
      </c>
      <c r="J23" s="103">
        <v>1.88E7</v>
      </c>
      <c r="K23" s="104">
        <v>0.5</v>
      </c>
      <c r="L23" s="105">
        <f t="shared" si="1"/>
        <v>9400000</v>
      </c>
      <c r="M23" s="100" t="s">
        <v>261</v>
      </c>
      <c r="N23" s="97"/>
      <c r="O23" s="97"/>
      <c r="P23" s="107"/>
      <c r="Q23" s="107"/>
      <c r="R23" s="107"/>
      <c r="S23" s="107"/>
      <c r="T23" s="107"/>
      <c r="U23" s="107"/>
      <c r="V23" s="107"/>
    </row>
    <row r="24" ht="13.5" customHeight="1">
      <c r="A24" s="95">
        <v>20.0</v>
      </c>
      <c r="B24" s="116" t="s">
        <v>262</v>
      </c>
      <c r="C24" s="100" t="s">
        <v>231</v>
      </c>
      <c r="D24" s="117">
        <v>1.75E9</v>
      </c>
      <c r="E24" s="99"/>
      <c r="F24" s="100" t="s">
        <v>67</v>
      </c>
      <c r="G24" s="118">
        <v>45770.0</v>
      </c>
      <c r="H24" s="118">
        <v>45782.0</v>
      </c>
      <c r="I24" s="119" t="s">
        <v>62</v>
      </c>
      <c r="J24" s="103">
        <v>2.385E7</v>
      </c>
      <c r="K24" s="104">
        <v>0.5</v>
      </c>
      <c r="L24" s="105">
        <f t="shared" si="1"/>
        <v>11925000</v>
      </c>
      <c r="M24" s="100" t="s">
        <v>261</v>
      </c>
      <c r="N24" s="97"/>
      <c r="O24" s="97"/>
      <c r="P24" s="107"/>
      <c r="Q24" s="107"/>
      <c r="R24" s="107"/>
      <c r="S24" s="107"/>
      <c r="T24" s="107"/>
      <c r="U24" s="107"/>
      <c r="V24" s="107"/>
    </row>
    <row r="25" ht="13.5" customHeight="1">
      <c r="A25" s="95">
        <v>21.0</v>
      </c>
      <c r="B25" s="116" t="s">
        <v>263</v>
      </c>
      <c r="C25" s="100" t="s">
        <v>231</v>
      </c>
      <c r="D25" s="117">
        <v>1.84E9</v>
      </c>
      <c r="E25" s="99"/>
      <c r="F25" s="100" t="s">
        <v>67</v>
      </c>
      <c r="G25" s="118">
        <v>45786.0</v>
      </c>
      <c r="H25" s="118">
        <v>45797.0</v>
      </c>
      <c r="I25" s="119" t="s">
        <v>264</v>
      </c>
      <c r="J25" s="103">
        <v>2.457E7</v>
      </c>
      <c r="K25" s="104">
        <v>0.5</v>
      </c>
      <c r="L25" s="105">
        <f t="shared" si="1"/>
        <v>12285000</v>
      </c>
      <c r="M25" s="100" t="s">
        <v>261</v>
      </c>
      <c r="N25" s="97"/>
      <c r="O25" s="97"/>
      <c r="P25" s="107"/>
      <c r="Q25" s="107"/>
      <c r="R25" s="107"/>
      <c r="S25" s="107"/>
      <c r="T25" s="107"/>
      <c r="U25" s="107"/>
      <c r="V25" s="107"/>
    </row>
    <row r="26" ht="13.5" customHeight="1">
      <c r="A26" s="95">
        <v>22.0</v>
      </c>
      <c r="B26" s="116" t="s">
        <v>265</v>
      </c>
      <c r="C26" s="100" t="s">
        <v>231</v>
      </c>
      <c r="D26" s="117">
        <v>1.965E9</v>
      </c>
      <c r="E26" s="99"/>
      <c r="F26" s="100" t="s">
        <v>40</v>
      </c>
      <c r="G26" s="118">
        <v>45786.0</v>
      </c>
      <c r="H26" s="118">
        <v>45803.0</v>
      </c>
      <c r="I26" s="119" t="s">
        <v>264</v>
      </c>
      <c r="J26" s="103">
        <v>2.3E7</v>
      </c>
      <c r="K26" s="104">
        <v>0.5</v>
      </c>
      <c r="L26" s="105">
        <f t="shared" si="1"/>
        <v>11500000</v>
      </c>
      <c r="M26" s="100" t="s">
        <v>261</v>
      </c>
      <c r="N26" s="97"/>
      <c r="O26" s="97"/>
      <c r="P26" s="107"/>
      <c r="Q26" s="107"/>
      <c r="R26" s="107"/>
      <c r="S26" s="107"/>
      <c r="T26" s="107"/>
      <c r="U26" s="107"/>
      <c r="V26" s="107"/>
    </row>
    <row r="27" ht="13.5" customHeight="1">
      <c r="A27" s="95">
        <v>24.0</v>
      </c>
      <c r="B27" s="116" t="s">
        <v>266</v>
      </c>
      <c r="C27" s="100" t="s">
        <v>235</v>
      </c>
      <c r="D27" s="117">
        <v>2.18E9</v>
      </c>
      <c r="E27" s="99"/>
      <c r="F27" s="100" t="s">
        <v>34</v>
      </c>
      <c r="G27" s="118">
        <v>45821.0</v>
      </c>
      <c r="H27" s="118">
        <v>45851.0</v>
      </c>
      <c r="I27" s="119" t="s">
        <v>267</v>
      </c>
      <c r="J27" s="103">
        <v>2.7E7</v>
      </c>
      <c r="K27" s="104">
        <v>0.5</v>
      </c>
      <c r="L27" s="105">
        <f t="shared" si="1"/>
        <v>13500000</v>
      </c>
      <c r="M27" s="97"/>
      <c r="N27" s="97"/>
      <c r="O27" s="97"/>
      <c r="P27" s="107"/>
      <c r="Q27" s="107"/>
      <c r="R27" s="107"/>
      <c r="S27" s="107"/>
      <c r="T27" s="107"/>
      <c r="U27" s="107"/>
      <c r="V27" s="107"/>
    </row>
    <row r="28" ht="13.5" customHeight="1">
      <c r="A28" s="95">
        <v>24.0</v>
      </c>
      <c r="B28" s="116" t="s">
        <v>268</v>
      </c>
      <c r="C28" s="100" t="s">
        <v>231</v>
      </c>
      <c r="D28" s="117">
        <v>1.85E9</v>
      </c>
      <c r="E28" s="99"/>
      <c r="F28" s="100" t="s">
        <v>34</v>
      </c>
      <c r="G28" s="118">
        <v>45840.0</v>
      </c>
      <c r="H28" s="118">
        <v>45861.0</v>
      </c>
      <c r="I28" s="119" t="s">
        <v>75</v>
      </c>
      <c r="J28" s="103">
        <v>1.962E7</v>
      </c>
      <c r="K28" s="104">
        <v>0.55</v>
      </c>
      <c r="L28" s="105">
        <f t="shared" si="1"/>
        <v>8829000</v>
      </c>
      <c r="M28" s="100" t="s">
        <v>269</v>
      </c>
      <c r="N28" s="97"/>
      <c r="O28" s="100"/>
      <c r="P28" s="120"/>
      <c r="Q28" s="120"/>
      <c r="R28" s="120"/>
      <c r="S28" s="107"/>
      <c r="T28" s="107"/>
      <c r="U28" s="107"/>
      <c r="V28" s="107"/>
    </row>
    <row r="29" ht="13.5" customHeight="1">
      <c r="A29" s="95">
        <v>25.0</v>
      </c>
      <c r="B29" s="116" t="s">
        <v>270</v>
      </c>
      <c r="C29" s="100" t="s">
        <v>231</v>
      </c>
      <c r="D29" s="117">
        <v>1.84E9</v>
      </c>
      <c r="E29" s="99"/>
      <c r="F29" s="100" t="s">
        <v>67</v>
      </c>
      <c r="G29" s="118">
        <v>45858.0</v>
      </c>
      <c r="H29" s="118">
        <v>45896.0</v>
      </c>
      <c r="I29" s="119" t="s">
        <v>75</v>
      </c>
      <c r="J29" s="103">
        <v>2.135E7</v>
      </c>
      <c r="K29" s="104">
        <v>0.5</v>
      </c>
      <c r="L29" s="105">
        <f t="shared" si="1"/>
        <v>10675000</v>
      </c>
      <c r="M29" s="97"/>
      <c r="N29" s="97"/>
      <c r="O29" s="97"/>
      <c r="P29" s="107"/>
      <c r="Q29" s="107"/>
      <c r="R29" s="107"/>
      <c r="S29" s="107"/>
      <c r="T29" s="107"/>
      <c r="U29" s="107"/>
      <c r="V29" s="107"/>
    </row>
    <row r="30" ht="13.5" customHeight="1">
      <c r="A30" s="95">
        <v>26.0</v>
      </c>
      <c r="B30" s="116" t="s">
        <v>271</v>
      </c>
      <c r="C30" s="100" t="s">
        <v>235</v>
      </c>
      <c r="D30" s="117">
        <v>2.43E9</v>
      </c>
      <c r="E30" s="99"/>
      <c r="F30" s="100" t="s">
        <v>61</v>
      </c>
      <c r="G30" s="118">
        <v>45864.0</v>
      </c>
      <c r="H30" s="118">
        <v>45871.0</v>
      </c>
      <c r="I30" s="119" t="s">
        <v>75</v>
      </c>
      <c r="J30" s="103">
        <v>3.1E7</v>
      </c>
      <c r="K30" s="104">
        <v>0.5</v>
      </c>
      <c r="L30" s="105">
        <f t="shared" si="1"/>
        <v>15500000</v>
      </c>
      <c r="M30" s="97"/>
      <c r="N30" s="97"/>
      <c r="O30" s="105">
        <f>L30</f>
        <v>15500000</v>
      </c>
      <c r="P30" s="107"/>
      <c r="Q30" s="107"/>
      <c r="R30" s="107"/>
      <c r="S30" s="107"/>
      <c r="T30" s="107"/>
      <c r="U30" s="107"/>
      <c r="V30" s="107"/>
    </row>
    <row r="31" ht="13.5" customHeight="1">
      <c r="A31" s="95">
        <v>27.0</v>
      </c>
      <c r="B31" s="116" t="s">
        <v>272</v>
      </c>
      <c r="C31" s="100" t="s">
        <v>231</v>
      </c>
      <c r="D31" s="117">
        <v>1.912E9</v>
      </c>
      <c r="E31" s="121" t="s">
        <v>83</v>
      </c>
      <c r="F31" s="100" t="s">
        <v>67</v>
      </c>
      <c r="G31" s="118">
        <v>45896.0</v>
      </c>
      <c r="H31" s="118">
        <v>45909.0</v>
      </c>
      <c r="I31" s="119" t="s">
        <v>84</v>
      </c>
      <c r="J31" s="103">
        <v>3.5915E7</v>
      </c>
      <c r="K31" s="104">
        <v>0.5</v>
      </c>
      <c r="L31" s="105">
        <f t="shared" si="1"/>
        <v>17957500</v>
      </c>
      <c r="M31" s="97"/>
      <c r="N31" s="97"/>
      <c r="O31" s="97"/>
      <c r="P31" s="107"/>
      <c r="Q31" s="107"/>
      <c r="R31" s="107"/>
      <c r="S31" s="107"/>
      <c r="T31" s="107"/>
      <c r="U31" s="107"/>
      <c r="V31" s="107"/>
    </row>
    <row r="32" ht="13.5" customHeight="1">
      <c r="A32" s="95">
        <v>28.0</v>
      </c>
      <c r="B32" s="116" t="s">
        <v>273</v>
      </c>
      <c r="C32" s="100" t="s">
        <v>231</v>
      </c>
      <c r="D32" s="117">
        <v>2.17E9</v>
      </c>
      <c r="E32" s="121" t="s">
        <v>83</v>
      </c>
      <c r="F32" s="100" t="s">
        <v>90</v>
      </c>
      <c r="G32" s="118">
        <v>45897.0</v>
      </c>
      <c r="H32" s="118">
        <v>45898.0</v>
      </c>
      <c r="I32" s="119" t="s">
        <v>84</v>
      </c>
      <c r="J32" s="103">
        <v>2.772E7</v>
      </c>
      <c r="K32" s="104">
        <v>0.5</v>
      </c>
      <c r="L32" s="105">
        <f t="shared" si="1"/>
        <v>13860000</v>
      </c>
      <c r="M32" s="97"/>
      <c r="N32" s="97"/>
      <c r="O32" s="97"/>
      <c r="P32" s="107"/>
      <c r="Q32" s="107"/>
      <c r="R32" s="107"/>
      <c r="S32" s="107"/>
      <c r="T32" s="107"/>
      <c r="U32" s="107"/>
      <c r="V32" s="107"/>
    </row>
    <row r="33" ht="13.5" customHeight="1">
      <c r="A33" s="95">
        <v>29.0</v>
      </c>
      <c r="B33" s="116" t="s">
        <v>274</v>
      </c>
      <c r="C33" s="100" t="s">
        <v>231</v>
      </c>
      <c r="D33" s="117">
        <v>1.865E9</v>
      </c>
      <c r="E33" s="121" t="s">
        <v>83</v>
      </c>
      <c r="F33" s="100" t="s">
        <v>67</v>
      </c>
      <c r="G33" s="118">
        <v>45887.0</v>
      </c>
      <c r="H33" s="118">
        <v>45910.0</v>
      </c>
      <c r="I33" s="119" t="s">
        <v>84</v>
      </c>
      <c r="J33" s="103">
        <v>1.78E7</v>
      </c>
      <c r="K33" s="104">
        <v>0.5</v>
      </c>
      <c r="L33" s="105">
        <f t="shared" si="1"/>
        <v>8900000</v>
      </c>
      <c r="M33" s="97"/>
      <c r="N33" s="97"/>
      <c r="O33" s="97"/>
      <c r="P33" s="107"/>
      <c r="Q33" s="107"/>
      <c r="R33" s="107"/>
      <c r="S33" s="107"/>
      <c r="T33" s="120"/>
      <c r="U33" s="120"/>
      <c r="V33" s="107"/>
    </row>
    <row r="34" ht="13.5" customHeight="1">
      <c r="A34" s="95">
        <v>30.0</v>
      </c>
      <c r="B34" s="116" t="s">
        <v>275</v>
      </c>
      <c r="C34" s="100" t="s">
        <v>231</v>
      </c>
      <c r="D34" s="117">
        <v>2.3E9</v>
      </c>
      <c r="E34" s="121" t="s">
        <v>83</v>
      </c>
      <c r="F34" s="100" t="s">
        <v>67</v>
      </c>
      <c r="G34" s="118">
        <v>45908.0</v>
      </c>
      <c r="H34" s="118">
        <v>45940.0</v>
      </c>
      <c r="I34" s="119" t="s">
        <v>93</v>
      </c>
      <c r="J34" s="103">
        <v>2.4E7</v>
      </c>
      <c r="K34" s="104">
        <v>0.5</v>
      </c>
      <c r="L34" s="105">
        <f t="shared" si="1"/>
        <v>12000000</v>
      </c>
      <c r="M34" s="97"/>
      <c r="N34" s="97"/>
      <c r="O34" s="97"/>
      <c r="P34" s="107"/>
      <c r="Q34" s="107"/>
      <c r="R34" s="107"/>
      <c r="S34" s="107"/>
      <c r="T34" s="120"/>
      <c r="U34" s="122"/>
      <c r="V34" s="107"/>
    </row>
    <row r="35" ht="13.5" customHeight="1">
      <c r="A35" s="95">
        <v>31.0</v>
      </c>
      <c r="B35" s="116" t="s">
        <v>276</v>
      </c>
      <c r="C35" s="100" t="s">
        <v>231</v>
      </c>
      <c r="D35" s="117">
        <v>2.065E9</v>
      </c>
      <c r="E35" s="121" t="s">
        <v>83</v>
      </c>
      <c r="F35" s="100" t="s">
        <v>277</v>
      </c>
      <c r="G35" s="118">
        <v>45921.0</v>
      </c>
      <c r="H35" s="97"/>
      <c r="I35" s="119" t="s">
        <v>93</v>
      </c>
      <c r="J35" s="103">
        <v>4.075E7</v>
      </c>
      <c r="K35" s="104">
        <v>0.5</v>
      </c>
      <c r="L35" s="105">
        <f t="shared" si="1"/>
        <v>20375000</v>
      </c>
      <c r="M35" s="123"/>
      <c r="N35" s="97"/>
      <c r="O35" s="97"/>
      <c r="P35" s="107"/>
      <c r="Q35" s="107"/>
      <c r="R35" s="107"/>
      <c r="S35" s="107"/>
      <c r="T35" s="120"/>
      <c r="U35" s="107"/>
      <c r="V35" s="107"/>
    </row>
    <row r="36" ht="13.5" customHeight="1">
      <c r="A36" s="95">
        <v>32.0</v>
      </c>
      <c r="B36" s="116" t="s">
        <v>278</v>
      </c>
      <c r="C36" s="100" t="s">
        <v>235</v>
      </c>
      <c r="D36" s="117">
        <v>2.26E9</v>
      </c>
      <c r="E36" s="121" t="s">
        <v>83</v>
      </c>
      <c r="F36" s="100" t="s">
        <v>61</v>
      </c>
      <c r="G36" s="118">
        <v>45931.0</v>
      </c>
      <c r="H36" s="118">
        <v>45932.0</v>
      </c>
      <c r="I36" s="119" t="s">
        <v>113</v>
      </c>
      <c r="J36" s="103">
        <v>1.975E7</v>
      </c>
      <c r="K36" s="104">
        <v>0.5</v>
      </c>
      <c r="L36" s="105">
        <f t="shared" si="1"/>
        <v>9875000</v>
      </c>
      <c r="M36" s="97"/>
      <c r="N36" s="39"/>
      <c r="O36" s="39"/>
      <c r="P36" s="55"/>
      <c r="Q36" s="55"/>
      <c r="R36" s="55"/>
      <c r="S36" s="55"/>
      <c r="T36" s="124"/>
      <c r="U36" s="55"/>
      <c r="V36" s="55"/>
    </row>
    <row r="37" ht="13.5" customHeight="1">
      <c r="A37" s="95">
        <v>33.0</v>
      </c>
      <c r="B37" s="116" t="s">
        <v>279</v>
      </c>
      <c r="C37" s="100" t="s">
        <v>235</v>
      </c>
      <c r="D37" s="117">
        <v>2.56E9</v>
      </c>
      <c r="E37" s="121" t="s">
        <v>83</v>
      </c>
      <c r="F37" s="100" t="s">
        <v>277</v>
      </c>
      <c r="G37" s="118">
        <v>45942.0</v>
      </c>
      <c r="H37" s="118">
        <v>45960.0</v>
      </c>
      <c r="I37" s="119" t="s">
        <v>113</v>
      </c>
      <c r="J37" s="103">
        <v>4.65E7</v>
      </c>
      <c r="K37" s="104">
        <v>0.5</v>
      </c>
      <c r="L37" s="105">
        <f t="shared" si="1"/>
        <v>23250000</v>
      </c>
      <c r="M37" s="97"/>
      <c r="N37" s="97"/>
      <c r="O37" s="97"/>
      <c r="P37" s="107"/>
      <c r="Q37" s="107"/>
      <c r="R37" s="107"/>
      <c r="S37" s="107"/>
      <c r="T37" s="120"/>
      <c r="U37" s="107"/>
      <c r="V37" s="107"/>
    </row>
    <row r="38" ht="13.5" customHeight="1">
      <c r="A38" s="95">
        <v>34.0</v>
      </c>
      <c r="B38" s="116" t="s">
        <v>280</v>
      </c>
      <c r="C38" s="100" t="s">
        <v>231</v>
      </c>
      <c r="D38" s="117">
        <v>2.228E9</v>
      </c>
      <c r="E38" s="121" t="s">
        <v>83</v>
      </c>
      <c r="F38" s="100" t="s">
        <v>90</v>
      </c>
      <c r="G38" s="118">
        <v>45937.0</v>
      </c>
      <c r="H38" s="118">
        <v>45971.0</v>
      </c>
      <c r="I38" s="119" t="s">
        <v>113</v>
      </c>
      <c r="J38" s="103">
        <v>3.0E7</v>
      </c>
      <c r="K38" s="104">
        <v>0.5</v>
      </c>
      <c r="L38" s="105">
        <f t="shared" si="1"/>
        <v>15000000</v>
      </c>
      <c r="M38" s="97"/>
      <c r="N38" s="97"/>
      <c r="O38" s="97"/>
      <c r="P38" s="107"/>
      <c r="Q38" s="107"/>
      <c r="R38" s="107"/>
      <c r="S38" s="107"/>
      <c r="T38" s="107"/>
      <c r="U38" s="107"/>
      <c r="V38" s="107"/>
    </row>
    <row r="39" ht="13.5" customHeight="1">
      <c r="A39" s="95">
        <v>35.0</v>
      </c>
      <c r="B39" s="116" t="s">
        <v>281</v>
      </c>
      <c r="C39" s="100" t="s">
        <v>231</v>
      </c>
      <c r="D39" s="117">
        <v>1.87E9</v>
      </c>
      <c r="E39" s="121" t="s">
        <v>83</v>
      </c>
      <c r="F39" s="100" t="s">
        <v>61</v>
      </c>
      <c r="G39" s="118">
        <v>45951.0</v>
      </c>
      <c r="H39" s="118">
        <v>45982.0</v>
      </c>
      <c r="I39" s="119" t="s">
        <v>113</v>
      </c>
      <c r="J39" s="103">
        <v>3.9E7</v>
      </c>
      <c r="K39" s="104">
        <v>0.5</v>
      </c>
      <c r="L39" s="105">
        <f t="shared" si="1"/>
        <v>19500000</v>
      </c>
      <c r="M39" s="97"/>
      <c r="N39" s="97"/>
      <c r="O39" s="97"/>
      <c r="P39" s="107"/>
      <c r="Q39" s="107"/>
      <c r="R39" s="107"/>
      <c r="S39" s="107"/>
      <c r="T39" s="107"/>
      <c r="U39" s="107"/>
      <c r="V39" s="107"/>
    </row>
    <row r="40" ht="13.5" customHeight="1">
      <c r="A40" s="95">
        <v>36.0</v>
      </c>
      <c r="B40" s="116" t="s">
        <v>282</v>
      </c>
      <c r="C40" s="100" t="s">
        <v>235</v>
      </c>
      <c r="D40" s="117">
        <v>2.45E9</v>
      </c>
      <c r="E40" s="121" t="s">
        <v>83</v>
      </c>
      <c r="F40" s="100" t="s">
        <v>283</v>
      </c>
      <c r="G40" s="125">
        <v>45936.0</v>
      </c>
      <c r="H40" s="118">
        <v>45960.0</v>
      </c>
      <c r="I40" s="119" t="s">
        <v>113</v>
      </c>
      <c r="J40" s="103">
        <v>3.5E7</v>
      </c>
      <c r="K40" s="104">
        <v>0.5</v>
      </c>
      <c r="L40" s="105">
        <f t="shared" si="1"/>
        <v>17500000</v>
      </c>
      <c r="M40" s="97"/>
      <c r="N40" s="97"/>
      <c r="O40" s="97"/>
      <c r="P40" s="107"/>
      <c r="Q40" s="107"/>
      <c r="R40" s="107"/>
      <c r="S40" s="107"/>
      <c r="T40" s="107"/>
      <c r="U40" s="107"/>
      <c r="V40" s="107"/>
    </row>
    <row r="41" ht="13.5" customHeight="1">
      <c r="A41" s="126">
        <f t="shared" ref="A41:A549" si="3">ROW()-5</f>
        <v>36</v>
      </c>
      <c r="B41" s="116" t="s">
        <v>284</v>
      </c>
      <c r="C41" s="100" t="s">
        <v>231</v>
      </c>
      <c r="D41" s="117">
        <v>2.025E9</v>
      </c>
      <c r="E41" s="121" t="s">
        <v>83</v>
      </c>
      <c r="F41" s="100" t="s">
        <v>67</v>
      </c>
      <c r="G41" s="118">
        <v>45937.0</v>
      </c>
      <c r="H41" s="118">
        <v>45944.0</v>
      </c>
      <c r="I41" s="119" t="s">
        <v>113</v>
      </c>
      <c r="J41" s="103">
        <v>1.735E7</v>
      </c>
      <c r="K41" s="104">
        <v>0.5</v>
      </c>
      <c r="L41" s="105">
        <f t="shared" si="1"/>
        <v>8675000</v>
      </c>
      <c r="M41" s="97"/>
      <c r="N41" s="97"/>
      <c r="O41" s="97"/>
      <c r="P41" s="107"/>
      <c r="Q41" s="107"/>
      <c r="R41" s="107"/>
      <c r="S41" s="107"/>
      <c r="T41" s="107"/>
      <c r="U41" s="107"/>
      <c r="V41" s="107"/>
    </row>
    <row r="42" ht="13.5" customHeight="1">
      <c r="A42" s="126">
        <f t="shared" si="3"/>
        <v>37</v>
      </c>
      <c r="B42" s="116" t="s">
        <v>285</v>
      </c>
      <c r="C42" s="100" t="s">
        <v>235</v>
      </c>
      <c r="D42" s="117">
        <v>2.45E9</v>
      </c>
      <c r="E42" s="121" t="s">
        <v>83</v>
      </c>
      <c r="F42" s="100" t="s">
        <v>61</v>
      </c>
      <c r="G42" s="118">
        <v>45960.0</v>
      </c>
      <c r="H42" s="101"/>
      <c r="I42" s="119" t="s">
        <v>116</v>
      </c>
      <c r="J42" s="127">
        <v>3.8E7</v>
      </c>
      <c r="K42" s="104">
        <v>0.55</v>
      </c>
      <c r="L42" s="105">
        <f t="shared" si="1"/>
        <v>17100000</v>
      </c>
      <c r="M42" s="100" t="s">
        <v>232</v>
      </c>
      <c r="N42" s="97"/>
      <c r="O42" s="97"/>
      <c r="P42" s="107"/>
      <c r="Q42" s="107"/>
      <c r="R42" s="107"/>
      <c r="S42" s="107"/>
      <c r="T42" s="107"/>
      <c r="U42" s="107"/>
      <c r="V42" s="107"/>
    </row>
    <row r="43" ht="13.5" customHeight="1">
      <c r="A43" s="126">
        <f t="shared" si="3"/>
        <v>38</v>
      </c>
      <c r="B43" s="116" t="s">
        <v>286</v>
      </c>
      <c r="C43" s="100" t="s">
        <v>231</v>
      </c>
      <c r="D43" s="117">
        <v>2.17E9</v>
      </c>
      <c r="E43" s="121" t="s">
        <v>83</v>
      </c>
      <c r="F43" s="100" t="s">
        <v>277</v>
      </c>
      <c r="G43" s="118">
        <v>45964.0</v>
      </c>
      <c r="H43" s="101"/>
      <c r="I43" s="119" t="s">
        <v>116</v>
      </c>
      <c r="J43" s="127">
        <v>3.247E7</v>
      </c>
      <c r="K43" s="104">
        <v>0.5</v>
      </c>
      <c r="L43" s="105">
        <f t="shared" si="1"/>
        <v>16235000</v>
      </c>
      <c r="M43" s="39"/>
      <c r="N43" s="39"/>
      <c r="O43" s="39"/>
      <c r="P43" s="55"/>
      <c r="Q43" s="55"/>
      <c r="R43" s="55"/>
      <c r="S43" s="55"/>
      <c r="T43" s="55"/>
      <c r="U43" s="55"/>
      <c r="V43" s="55"/>
    </row>
    <row r="44" ht="13.5" customHeight="1">
      <c r="A44" s="126">
        <f t="shared" si="3"/>
        <v>39</v>
      </c>
      <c r="B44" s="116" t="s">
        <v>287</v>
      </c>
      <c r="C44" s="100" t="s">
        <v>231</v>
      </c>
      <c r="D44" s="117">
        <v>2.28E9</v>
      </c>
      <c r="E44" s="121" t="s">
        <v>83</v>
      </c>
      <c r="F44" s="100" t="s">
        <v>90</v>
      </c>
      <c r="G44" s="118">
        <v>45971.0</v>
      </c>
      <c r="H44" s="101"/>
      <c r="I44" s="119" t="s">
        <v>116</v>
      </c>
      <c r="J44" s="127">
        <v>2.95E7</v>
      </c>
      <c r="K44" s="104">
        <v>0.55</v>
      </c>
      <c r="L44" s="105">
        <f t="shared" si="1"/>
        <v>13275000</v>
      </c>
      <c r="M44" s="97"/>
      <c r="N44" s="97"/>
      <c r="O44" s="97"/>
      <c r="P44" s="107"/>
      <c r="Q44" s="107"/>
      <c r="R44" s="107"/>
      <c r="S44" s="107"/>
      <c r="T44" s="107"/>
      <c r="U44" s="107"/>
      <c r="V44" s="107"/>
    </row>
    <row r="45" ht="13.5" customHeight="1">
      <c r="A45" s="126">
        <f t="shared" si="3"/>
        <v>40</v>
      </c>
      <c r="B45" s="116" t="s">
        <v>288</v>
      </c>
      <c r="C45" s="100" t="s">
        <v>235</v>
      </c>
      <c r="D45" s="117">
        <v>2.35E9</v>
      </c>
      <c r="E45" s="121" t="s">
        <v>83</v>
      </c>
      <c r="F45" s="100" t="s">
        <v>100</v>
      </c>
      <c r="G45" s="118">
        <v>45973.0</v>
      </c>
      <c r="H45" s="118">
        <v>45999.0</v>
      </c>
      <c r="I45" s="119" t="s">
        <v>116</v>
      </c>
      <c r="J45" s="127">
        <v>3.009E7</v>
      </c>
      <c r="K45" s="104">
        <v>0.5</v>
      </c>
      <c r="L45" s="105">
        <f t="shared" si="1"/>
        <v>15045000</v>
      </c>
      <c r="M45" s="97"/>
      <c r="N45" s="97"/>
      <c r="O45" s="97"/>
      <c r="P45" s="107"/>
      <c r="Q45" s="107"/>
      <c r="R45" s="107"/>
      <c r="S45" s="107"/>
      <c r="T45" s="107"/>
      <c r="U45" s="107"/>
      <c r="V45" s="107"/>
    </row>
    <row r="46" ht="13.5" customHeight="1">
      <c r="A46" s="126">
        <f t="shared" si="3"/>
        <v>41</v>
      </c>
      <c r="B46" s="116" t="s">
        <v>289</v>
      </c>
      <c r="C46" s="100" t="s">
        <v>231</v>
      </c>
      <c r="D46" s="117">
        <v>2.257E9</v>
      </c>
      <c r="E46" s="121" t="s">
        <v>83</v>
      </c>
      <c r="F46" s="100" t="s">
        <v>290</v>
      </c>
      <c r="G46" s="118">
        <v>45973.0</v>
      </c>
      <c r="H46" s="101"/>
      <c r="I46" s="119" t="s">
        <v>116</v>
      </c>
      <c r="J46" s="127">
        <v>3.335E7</v>
      </c>
      <c r="K46" s="104">
        <v>0.5</v>
      </c>
      <c r="L46" s="105">
        <f t="shared" si="1"/>
        <v>16675000</v>
      </c>
      <c r="M46" s="39"/>
      <c r="N46" s="39"/>
      <c r="O46" s="39"/>
      <c r="P46" s="55"/>
      <c r="Q46" s="55"/>
      <c r="R46" s="55"/>
      <c r="S46" s="55"/>
      <c r="T46" s="55"/>
      <c r="U46" s="55"/>
      <c r="V46" s="55"/>
    </row>
    <row r="47" ht="13.5" customHeight="1">
      <c r="A47" s="126">
        <f t="shared" si="3"/>
        <v>42</v>
      </c>
      <c r="B47" s="116" t="s">
        <v>291</v>
      </c>
      <c r="C47" s="100" t="s">
        <v>292</v>
      </c>
      <c r="D47" s="117">
        <v>2.35E9</v>
      </c>
      <c r="E47" s="121" t="s">
        <v>83</v>
      </c>
      <c r="F47" s="100" t="s">
        <v>90</v>
      </c>
      <c r="G47" s="128" t="s">
        <v>293</v>
      </c>
      <c r="H47" s="118">
        <v>45999.0</v>
      </c>
      <c r="I47" s="119" t="s">
        <v>116</v>
      </c>
      <c r="J47" s="127">
        <v>3.41E7</v>
      </c>
      <c r="K47" s="104">
        <v>0.55</v>
      </c>
      <c r="L47" s="105">
        <f t="shared" si="1"/>
        <v>15345000</v>
      </c>
      <c r="M47" s="97"/>
      <c r="N47" s="97"/>
      <c r="O47" s="97"/>
      <c r="P47" s="107"/>
      <c r="Q47" s="107"/>
      <c r="R47" s="107"/>
      <c r="S47" s="107"/>
      <c r="T47" s="107"/>
      <c r="U47" s="107"/>
      <c r="V47" s="107"/>
    </row>
    <row r="48" ht="13.5" customHeight="1">
      <c r="A48" s="126">
        <f t="shared" si="3"/>
        <v>43</v>
      </c>
      <c r="B48" s="116" t="s">
        <v>294</v>
      </c>
      <c r="C48" s="100" t="s">
        <v>231</v>
      </c>
      <c r="D48" s="117">
        <v>1.99E9</v>
      </c>
      <c r="E48" s="121" t="s">
        <v>83</v>
      </c>
      <c r="F48" s="100" t="s">
        <v>90</v>
      </c>
      <c r="G48" s="128" t="s">
        <v>295</v>
      </c>
      <c r="H48" s="118">
        <v>45986.0</v>
      </c>
      <c r="I48" s="119" t="s">
        <v>116</v>
      </c>
      <c r="J48" s="127">
        <v>2.5E7</v>
      </c>
      <c r="K48" s="104">
        <v>0.55</v>
      </c>
      <c r="L48" s="105">
        <f t="shared" si="1"/>
        <v>11250000</v>
      </c>
      <c r="M48" s="39"/>
      <c r="N48" s="39"/>
      <c r="O48" s="39"/>
      <c r="P48" s="55"/>
      <c r="Q48" s="55"/>
      <c r="R48" s="55"/>
      <c r="S48" s="55"/>
      <c r="T48" s="55"/>
      <c r="U48" s="55"/>
      <c r="V48" s="55"/>
    </row>
    <row r="49" ht="13.5" customHeight="1">
      <c r="A49" s="126">
        <f t="shared" si="3"/>
        <v>44</v>
      </c>
      <c r="B49" s="116" t="s">
        <v>296</v>
      </c>
      <c r="C49" s="100" t="s">
        <v>231</v>
      </c>
      <c r="D49" s="117">
        <v>2.15E9</v>
      </c>
      <c r="E49" s="121" t="s">
        <v>83</v>
      </c>
      <c r="F49" s="100" t="s">
        <v>90</v>
      </c>
      <c r="G49" s="128" t="s">
        <v>295</v>
      </c>
      <c r="H49" s="118">
        <v>45999.0</v>
      </c>
      <c r="I49" s="119" t="s">
        <v>116</v>
      </c>
      <c r="J49" s="127">
        <v>2.0594E7</v>
      </c>
      <c r="K49" s="104">
        <v>0.55</v>
      </c>
      <c r="L49" s="105">
        <f t="shared" si="1"/>
        <v>9267300</v>
      </c>
      <c r="M49" s="97"/>
      <c r="N49" s="97"/>
      <c r="O49" s="97"/>
      <c r="P49" s="107"/>
      <c r="Q49" s="107"/>
      <c r="R49" s="107"/>
      <c r="S49" s="107"/>
      <c r="T49" s="107"/>
      <c r="U49" s="107"/>
      <c r="V49" s="107"/>
    </row>
    <row r="50" ht="13.5" customHeight="1">
      <c r="A50" s="126">
        <f t="shared" si="3"/>
        <v>45</v>
      </c>
      <c r="B50" s="116" t="s">
        <v>297</v>
      </c>
      <c r="C50" s="100" t="s">
        <v>231</v>
      </c>
      <c r="D50" s="117">
        <v>2.18E9</v>
      </c>
      <c r="E50" s="121" t="s">
        <v>83</v>
      </c>
      <c r="F50" s="100" t="s">
        <v>67</v>
      </c>
      <c r="G50" s="128" t="s">
        <v>298</v>
      </c>
      <c r="H50" s="118">
        <v>46002.0</v>
      </c>
      <c r="I50" s="119" t="s">
        <v>116</v>
      </c>
      <c r="J50" s="127">
        <v>6.9E7</v>
      </c>
      <c r="K50" s="104">
        <v>0.5</v>
      </c>
      <c r="L50" s="105">
        <f t="shared" si="1"/>
        <v>34500000</v>
      </c>
      <c r="M50" s="97"/>
      <c r="N50" s="97"/>
      <c r="O50" s="97"/>
      <c r="P50" s="107"/>
      <c r="Q50" s="107"/>
      <c r="R50" s="107"/>
      <c r="S50" s="107"/>
      <c r="T50" s="107"/>
      <c r="U50" s="107"/>
      <c r="V50" s="107"/>
    </row>
    <row r="51" ht="13.5" customHeight="1">
      <c r="A51" s="126">
        <f t="shared" si="3"/>
        <v>46</v>
      </c>
      <c r="B51" s="129" t="s">
        <v>299</v>
      </c>
      <c r="C51" s="130" t="s">
        <v>237</v>
      </c>
      <c r="D51" s="131">
        <v>1.99E9</v>
      </c>
      <c r="E51" s="132" t="s">
        <v>83</v>
      </c>
      <c r="F51" s="133" t="s">
        <v>277</v>
      </c>
      <c r="G51" s="134">
        <v>45985.0</v>
      </c>
      <c r="H51" s="118">
        <v>45999.0</v>
      </c>
      <c r="I51" s="132" t="s">
        <v>116</v>
      </c>
      <c r="J51" s="103">
        <v>3.18E7</v>
      </c>
      <c r="K51" s="104">
        <v>0.5</v>
      </c>
      <c r="L51" s="105">
        <f t="shared" si="1"/>
        <v>15900000</v>
      </c>
      <c r="M51" s="100"/>
      <c r="N51" s="97"/>
      <c r="O51" s="97"/>
      <c r="P51" s="107"/>
      <c r="Q51" s="107"/>
      <c r="R51" s="107"/>
      <c r="S51" s="107"/>
      <c r="T51" s="107"/>
      <c r="U51" s="107"/>
      <c r="V51" s="107"/>
    </row>
    <row r="52" ht="13.5" customHeight="1">
      <c r="A52" s="126">
        <f t="shared" si="3"/>
        <v>47</v>
      </c>
      <c r="B52" s="116" t="s">
        <v>300</v>
      </c>
      <c r="C52" s="100" t="s">
        <v>231</v>
      </c>
      <c r="D52" s="117">
        <v>2.12E9</v>
      </c>
      <c r="E52" s="121" t="s">
        <v>83</v>
      </c>
      <c r="F52" s="100" t="s">
        <v>90</v>
      </c>
      <c r="G52" s="128" t="s">
        <v>301</v>
      </c>
      <c r="H52" s="118">
        <v>46013.0</v>
      </c>
      <c r="I52" s="119" t="s">
        <v>137</v>
      </c>
      <c r="J52" s="103">
        <v>4.0E7</v>
      </c>
      <c r="K52" s="104">
        <v>0.55</v>
      </c>
      <c r="L52" s="105">
        <f t="shared" si="1"/>
        <v>18000000</v>
      </c>
      <c r="M52" s="97"/>
      <c r="N52" s="97"/>
      <c r="O52" s="97"/>
      <c r="P52" s="107"/>
      <c r="Q52" s="107"/>
      <c r="R52" s="107"/>
      <c r="S52" s="107"/>
      <c r="T52" s="107"/>
      <c r="U52" s="107"/>
      <c r="V52" s="107"/>
    </row>
    <row r="53" ht="13.5" customHeight="1">
      <c r="A53" s="126">
        <f t="shared" si="3"/>
        <v>48</v>
      </c>
      <c r="B53" s="116" t="s">
        <v>302</v>
      </c>
      <c r="C53" s="100" t="s">
        <v>231</v>
      </c>
      <c r="D53" s="117">
        <v>2.15E9</v>
      </c>
      <c r="E53" s="121" t="s">
        <v>83</v>
      </c>
      <c r="F53" s="100" t="s">
        <v>90</v>
      </c>
      <c r="G53" s="118">
        <v>45695.0</v>
      </c>
      <c r="H53" s="101"/>
      <c r="I53" s="119" t="s">
        <v>303</v>
      </c>
      <c r="J53" s="103">
        <v>2.482E7</v>
      </c>
      <c r="K53" s="104">
        <v>0.5</v>
      </c>
      <c r="L53" s="105">
        <f t="shared" si="1"/>
        <v>12410000</v>
      </c>
      <c r="M53" s="106"/>
      <c r="N53" s="97"/>
      <c r="O53" s="97"/>
      <c r="P53" s="107"/>
      <c r="Q53" s="107"/>
      <c r="R53" s="107"/>
      <c r="S53" s="107"/>
      <c r="T53" s="107"/>
      <c r="U53" s="107"/>
      <c r="V53" s="107"/>
    </row>
    <row r="54" ht="13.5" customHeight="1">
      <c r="A54" s="126">
        <f t="shared" si="3"/>
        <v>49</v>
      </c>
      <c r="B54" s="116" t="s">
        <v>304</v>
      </c>
      <c r="C54" s="100" t="s">
        <v>231</v>
      </c>
      <c r="D54" s="135">
        <v>2.155E9</v>
      </c>
      <c r="E54" s="121" t="s">
        <v>169</v>
      </c>
      <c r="F54" s="100" t="s">
        <v>90</v>
      </c>
      <c r="G54" s="118">
        <v>46087.0</v>
      </c>
      <c r="H54" s="101"/>
      <c r="I54" s="119" t="s">
        <v>165</v>
      </c>
      <c r="J54" s="103">
        <v>3.5975E7</v>
      </c>
      <c r="K54" s="104">
        <v>0.5</v>
      </c>
      <c r="L54" s="105">
        <f t="shared" si="1"/>
        <v>17987500</v>
      </c>
      <c r="M54" s="97"/>
      <c r="N54" s="97"/>
      <c r="O54" s="97"/>
      <c r="P54" s="107"/>
      <c r="Q54" s="107"/>
      <c r="R54" s="107"/>
      <c r="S54" s="107"/>
      <c r="T54" s="107"/>
      <c r="U54" s="107"/>
      <c r="V54" s="107"/>
    </row>
    <row r="55" ht="13.5" customHeight="1">
      <c r="A55" s="126">
        <f t="shared" si="3"/>
        <v>50</v>
      </c>
      <c r="B55" s="116" t="s">
        <v>262</v>
      </c>
      <c r="C55" s="100" t="s">
        <v>231</v>
      </c>
      <c r="D55" s="135">
        <v>2.21E9</v>
      </c>
      <c r="E55" s="121" t="s">
        <v>83</v>
      </c>
      <c r="F55" s="100" t="s">
        <v>67</v>
      </c>
      <c r="G55" s="118">
        <v>46146.0</v>
      </c>
      <c r="H55" s="101"/>
      <c r="I55" s="119" t="s">
        <v>202</v>
      </c>
      <c r="J55" s="103">
        <v>2.5E7</v>
      </c>
      <c r="K55" s="104">
        <v>0.5</v>
      </c>
      <c r="L55" s="105">
        <f t="shared" si="1"/>
        <v>12500000</v>
      </c>
      <c r="M55" s="97"/>
      <c r="N55" s="97"/>
      <c r="O55" s="97"/>
      <c r="P55" s="107"/>
      <c r="Q55" s="107"/>
      <c r="R55" s="107"/>
      <c r="S55" s="107"/>
      <c r="T55" s="107"/>
      <c r="U55" s="107"/>
      <c r="V55" s="107"/>
    </row>
    <row r="56" ht="13.5" customHeight="1">
      <c r="A56" s="80">
        <f t="shared" si="3"/>
        <v>51</v>
      </c>
      <c r="B56" s="26"/>
      <c r="C56" s="39"/>
      <c r="D56" s="40"/>
      <c r="E56" s="42"/>
      <c r="F56" s="84"/>
      <c r="G56" s="45"/>
      <c r="H56" s="45"/>
      <c r="I56" s="46"/>
      <c r="J56" s="136"/>
      <c r="K56" s="137"/>
      <c r="L56" s="138"/>
      <c r="M56" s="39"/>
      <c r="N56" s="39"/>
      <c r="O56" s="39"/>
      <c r="P56" s="55"/>
      <c r="Q56" s="55"/>
      <c r="R56" s="55"/>
      <c r="S56" s="55"/>
      <c r="T56" s="55"/>
      <c r="U56" s="55"/>
      <c r="V56" s="55"/>
    </row>
    <row r="57" ht="13.5" customHeight="1">
      <c r="A57" s="80">
        <f t="shared" si="3"/>
        <v>52</v>
      </c>
      <c r="B57" s="26"/>
      <c r="C57" s="39"/>
      <c r="D57" s="40"/>
      <c r="E57" s="42"/>
      <c r="F57" s="84"/>
      <c r="G57" s="45"/>
      <c r="H57" s="45"/>
      <c r="I57" s="46"/>
      <c r="J57" s="136"/>
      <c r="K57" s="137"/>
      <c r="L57" s="138"/>
      <c r="M57" s="39"/>
      <c r="N57" s="39"/>
      <c r="O57" s="39"/>
      <c r="P57" s="55"/>
      <c r="Q57" s="55"/>
      <c r="R57" s="55"/>
      <c r="S57" s="55"/>
      <c r="T57" s="55"/>
      <c r="U57" s="55"/>
      <c r="V57" s="55"/>
    </row>
    <row r="58" ht="13.5" customHeight="1">
      <c r="A58" s="80">
        <f t="shared" si="3"/>
        <v>53</v>
      </c>
      <c r="B58" s="26"/>
      <c r="C58" s="39"/>
      <c r="D58" s="40"/>
      <c r="E58" s="42"/>
      <c r="F58" s="84"/>
      <c r="G58" s="45"/>
      <c r="H58" s="45"/>
      <c r="I58" s="46"/>
      <c r="J58" s="136"/>
      <c r="K58" s="137"/>
      <c r="L58" s="138"/>
      <c r="M58" s="39"/>
      <c r="N58" s="39"/>
      <c r="O58" s="39"/>
      <c r="P58" s="55"/>
      <c r="Q58" s="55"/>
      <c r="R58" s="55"/>
      <c r="S58" s="55"/>
      <c r="T58" s="55"/>
      <c r="U58" s="55"/>
      <c r="V58" s="55"/>
    </row>
    <row r="59" ht="13.5" customHeight="1">
      <c r="A59" s="80">
        <f t="shared" si="3"/>
        <v>54</v>
      </c>
      <c r="B59" s="26"/>
      <c r="C59" s="39"/>
      <c r="D59" s="40"/>
      <c r="E59" s="42"/>
      <c r="F59" s="84"/>
      <c r="G59" s="45"/>
      <c r="H59" s="45"/>
      <c r="I59" s="46"/>
      <c r="J59" s="136"/>
      <c r="K59" s="137"/>
      <c r="L59" s="138"/>
      <c r="M59" s="39"/>
      <c r="N59" s="39"/>
      <c r="O59" s="39"/>
      <c r="P59" s="55"/>
      <c r="Q59" s="55"/>
      <c r="R59" s="55"/>
      <c r="S59" s="55"/>
      <c r="T59" s="55"/>
      <c r="U59" s="55"/>
      <c r="V59" s="55"/>
    </row>
    <row r="60" ht="13.5" customHeight="1">
      <c r="A60" s="80">
        <f t="shared" si="3"/>
        <v>55</v>
      </c>
      <c r="B60" s="26"/>
      <c r="C60" s="39"/>
      <c r="D60" s="40"/>
      <c r="E60" s="42"/>
      <c r="F60" s="84"/>
      <c r="G60" s="45"/>
      <c r="H60" s="45"/>
      <c r="I60" s="46"/>
      <c r="J60" s="136"/>
      <c r="K60" s="137"/>
      <c r="L60" s="138"/>
      <c r="M60" s="39"/>
      <c r="N60" s="39"/>
      <c r="O60" s="39"/>
      <c r="P60" s="55"/>
      <c r="Q60" s="55"/>
      <c r="R60" s="55"/>
      <c r="S60" s="55"/>
      <c r="T60" s="55"/>
      <c r="U60" s="55"/>
      <c r="V60" s="55"/>
    </row>
    <row r="61" ht="13.5" customHeight="1">
      <c r="A61" s="80">
        <f t="shared" si="3"/>
        <v>56</v>
      </c>
      <c r="B61" s="26"/>
      <c r="C61" s="39"/>
      <c r="D61" s="40"/>
      <c r="E61" s="42"/>
      <c r="F61" s="84"/>
      <c r="G61" s="45"/>
      <c r="H61" s="45"/>
      <c r="I61" s="46"/>
      <c r="J61" s="136"/>
      <c r="K61" s="137"/>
      <c r="L61" s="138"/>
      <c r="M61" s="39"/>
      <c r="N61" s="39"/>
      <c r="O61" s="39"/>
      <c r="P61" s="55"/>
      <c r="Q61" s="55"/>
      <c r="R61" s="55"/>
      <c r="S61" s="55"/>
      <c r="T61" s="55"/>
      <c r="U61" s="55"/>
      <c r="V61" s="55"/>
    </row>
    <row r="62" ht="13.5" customHeight="1">
      <c r="A62" s="80">
        <f t="shared" si="3"/>
        <v>57</v>
      </c>
      <c r="B62" s="26"/>
      <c r="C62" s="39"/>
      <c r="D62" s="40"/>
      <c r="E62" s="42"/>
      <c r="F62" s="84"/>
      <c r="G62" s="45"/>
      <c r="H62" s="45"/>
      <c r="I62" s="46"/>
      <c r="J62" s="136"/>
      <c r="K62" s="137"/>
      <c r="L62" s="138"/>
      <c r="M62" s="39"/>
      <c r="N62" s="39"/>
      <c r="O62" s="39"/>
      <c r="P62" s="55"/>
      <c r="Q62" s="55"/>
      <c r="R62" s="55"/>
      <c r="S62" s="55"/>
      <c r="T62" s="55"/>
      <c r="U62" s="55"/>
      <c r="V62" s="55"/>
    </row>
    <row r="63" ht="13.5" customHeight="1">
      <c r="A63" s="80">
        <f t="shared" si="3"/>
        <v>58</v>
      </c>
      <c r="B63" s="26"/>
      <c r="C63" s="39"/>
      <c r="D63" s="40"/>
      <c r="E63" s="42"/>
      <c r="F63" s="84"/>
      <c r="G63" s="45"/>
      <c r="H63" s="45"/>
      <c r="I63" s="46"/>
      <c r="J63" s="136"/>
      <c r="K63" s="137"/>
      <c r="L63" s="138"/>
      <c r="M63" s="39"/>
      <c r="N63" s="39"/>
      <c r="O63" s="39"/>
      <c r="P63" s="55"/>
      <c r="Q63" s="55"/>
      <c r="R63" s="55"/>
      <c r="S63" s="55"/>
      <c r="T63" s="55"/>
      <c r="U63" s="55"/>
      <c r="V63" s="55"/>
    </row>
    <row r="64" ht="13.5" customHeight="1">
      <c r="A64" s="80">
        <f t="shared" si="3"/>
        <v>59</v>
      </c>
      <c r="B64" s="26"/>
      <c r="C64" s="39"/>
      <c r="D64" s="40"/>
      <c r="E64" s="42"/>
      <c r="F64" s="84"/>
      <c r="G64" s="45"/>
      <c r="H64" s="45"/>
      <c r="I64" s="46"/>
      <c r="J64" s="136"/>
      <c r="K64" s="137"/>
      <c r="L64" s="138"/>
      <c r="M64" s="39"/>
      <c r="N64" s="39"/>
      <c r="O64" s="39"/>
      <c r="P64" s="55"/>
      <c r="Q64" s="55"/>
      <c r="R64" s="55"/>
      <c r="S64" s="55"/>
      <c r="T64" s="55"/>
      <c r="U64" s="55"/>
      <c r="V64" s="55"/>
    </row>
    <row r="65" ht="13.5" customHeight="1">
      <c r="A65" s="80">
        <f t="shared" si="3"/>
        <v>60</v>
      </c>
      <c r="B65" s="26"/>
      <c r="C65" s="39"/>
      <c r="D65" s="40"/>
      <c r="E65" s="42"/>
      <c r="F65" s="84"/>
      <c r="G65" s="45"/>
      <c r="H65" s="45"/>
      <c r="I65" s="46"/>
      <c r="J65" s="136"/>
      <c r="K65" s="137"/>
      <c r="L65" s="138"/>
      <c r="M65" s="39"/>
      <c r="N65" s="39"/>
      <c r="O65" s="39"/>
      <c r="P65" s="55"/>
      <c r="Q65" s="55"/>
      <c r="R65" s="55"/>
      <c r="S65" s="55"/>
      <c r="T65" s="55"/>
      <c r="U65" s="55"/>
      <c r="V65" s="55"/>
    </row>
    <row r="66" ht="13.5" customHeight="1">
      <c r="A66" s="80">
        <f t="shared" si="3"/>
        <v>61</v>
      </c>
      <c r="B66" s="26"/>
      <c r="C66" s="39"/>
      <c r="D66" s="40"/>
      <c r="E66" s="42"/>
      <c r="F66" s="84"/>
      <c r="G66" s="45"/>
      <c r="H66" s="45"/>
      <c r="I66" s="46"/>
      <c r="J66" s="136"/>
      <c r="K66" s="137"/>
      <c r="L66" s="138"/>
      <c r="M66" s="39"/>
      <c r="N66" s="39"/>
      <c r="O66" s="39"/>
      <c r="P66" s="55"/>
      <c r="Q66" s="55"/>
      <c r="R66" s="55"/>
      <c r="S66" s="55"/>
      <c r="T66" s="55"/>
      <c r="U66" s="55"/>
      <c r="V66" s="55"/>
    </row>
    <row r="67" ht="13.5" customHeight="1">
      <c r="A67" s="80">
        <f t="shared" si="3"/>
        <v>62</v>
      </c>
      <c r="B67" s="26"/>
      <c r="C67" s="39"/>
      <c r="D67" s="40"/>
      <c r="E67" s="42"/>
      <c r="F67" s="84"/>
      <c r="G67" s="45"/>
      <c r="H67" s="45"/>
      <c r="I67" s="46"/>
      <c r="J67" s="136"/>
      <c r="K67" s="137"/>
      <c r="L67" s="138"/>
      <c r="M67" s="39"/>
      <c r="N67" s="39"/>
      <c r="O67" s="39"/>
      <c r="P67" s="55"/>
      <c r="Q67" s="55"/>
      <c r="R67" s="55"/>
      <c r="S67" s="55"/>
      <c r="T67" s="55"/>
      <c r="U67" s="55"/>
      <c r="V67" s="55"/>
    </row>
    <row r="68" ht="13.5" customHeight="1">
      <c r="A68" s="80">
        <f t="shared" si="3"/>
        <v>63</v>
      </c>
      <c r="B68" s="26"/>
      <c r="C68" s="39"/>
      <c r="D68" s="40"/>
      <c r="E68" s="42"/>
      <c r="F68" s="84"/>
      <c r="G68" s="45"/>
      <c r="H68" s="45"/>
      <c r="I68" s="46"/>
      <c r="J68" s="136"/>
      <c r="K68" s="137"/>
      <c r="L68" s="138"/>
      <c r="M68" s="39"/>
      <c r="N68" s="39"/>
      <c r="O68" s="39"/>
      <c r="P68" s="55"/>
      <c r="Q68" s="55"/>
      <c r="R68" s="55"/>
      <c r="S68" s="55"/>
      <c r="T68" s="55"/>
      <c r="U68" s="55"/>
      <c r="V68" s="55"/>
    </row>
    <row r="69" ht="13.5" customHeight="1">
      <c r="A69" s="80">
        <f t="shared" si="3"/>
        <v>64</v>
      </c>
      <c r="B69" s="26"/>
      <c r="C69" s="39"/>
      <c r="D69" s="40"/>
      <c r="E69" s="42"/>
      <c r="F69" s="84"/>
      <c r="G69" s="45"/>
      <c r="H69" s="45"/>
      <c r="I69" s="46"/>
      <c r="J69" s="136"/>
      <c r="K69" s="137"/>
      <c r="L69" s="138"/>
      <c r="M69" s="39"/>
      <c r="N69" s="39"/>
      <c r="O69" s="39"/>
      <c r="P69" s="55"/>
      <c r="Q69" s="55"/>
      <c r="R69" s="55"/>
      <c r="S69" s="55"/>
      <c r="T69" s="55"/>
      <c r="U69" s="55"/>
      <c r="V69" s="55"/>
    </row>
    <row r="70" ht="13.5" customHeight="1">
      <c r="A70" s="80">
        <f t="shared" si="3"/>
        <v>65</v>
      </c>
      <c r="B70" s="26"/>
      <c r="C70" s="39"/>
      <c r="D70" s="40"/>
      <c r="E70" s="42"/>
      <c r="F70" s="84"/>
      <c r="G70" s="45"/>
      <c r="H70" s="45"/>
      <c r="I70" s="46"/>
      <c r="J70" s="136"/>
      <c r="K70" s="137"/>
      <c r="L70" s="138"/>
      <c r="M70" s="39"/>
      <c r="N70" s="39"/>
      <c r="O70" s="39"/>
      <c r="P70" s="55"/>
      <c r="Q70" s="55"/>
      <c r="R70" s="55"/>
      <c r="S70" s="55"/>
      <c r="T70" s="55"/>
      <c r="U70" s="55"/>
      <c r="V70" s="55"/>
    </row>
    <row r="71" ht="13.5" customHeight="1">
      <c r="A71" s="80">
        <f t="shared" si="3"/>
        <v>66</v>
      </c>
      <c r="B71" s="26"/>
      <c r="C71" s="39"/>
      <c r="D71" s="40"/>
      <c r="E71" s="42"/>
      <c r="F71" s="84"/>
      <c r="G71" s="45"/>
      <c r="H71" s="45"/>
      <c r="I71" s="46"/>
      <c r="J71" s="136"/>
      <c r="K71" s="137"/>
      <c r="L71" s="138"/>
      <c r="M71" s="39"/>
      <c r="N71" s="39"/>
      <c r="O71" s="39"/>
      <c r="P71" s="55"/>
      <c r="Q71" s="55"/>
      <c r="R71" s="55"/>
      <c r="S71" s="55"/>
      <c r="T71" s="55"/>
      <c r="U71" s="55"/>
      <c r="V71" s="55"/>
    </row>
    <row r="72" ht="13.5" customHeight="1">
      <c r="A72" s="80">
        <f t="shared" si="3"/>
        <v>67</v>
      </c>
      <c r="B72" s="26"/>
      <c r="C72" s="39"/>
      <c r="D72" s="40"/>
      <c r="E72" s="42"/>
      <c r="F72" s="84"/>
      <c r="G72" s="45"/>
      <c r="H72" s="45"/>
      <c r="I72" s="46"/>
      <c r="J72" s="136"/>
      <c r="K72" s="137"/>
      <c r="L72" s="138"/>
      <c r="M72" s="39"/>
      <c r="N72" s="39"/>
      <c r="O72" s="39"/>
      <c r="P72" s="55"/>
      <c r="Q72" s="55"/>
      <c r="R72" s="55"/>
      <c r="S72" s="55"/>
      <c r="T72" s="55"/>
      <c r="U72" s="55"/>
      <c r="V72" s="55"/>
    </row>
    <row r="73" ht="13.5" customHeight="1">
      <c r="A73" s="80">
        <f t="shared" si="3"/>
        <v>68</v>
      </c>
      <c r="B73" s="26"/>
      <c r="C73" s="39"/>
      <c r="D73" s="40"/>
      <c r="E73" s="42"/>
      <c r="F73" s="84"/>
      <c r="G73" s="45"/>
      <c r="H73" s="45"/>
      <c r="I73" s="46"/>
      <c r="J73" s="136"/>
      <c r="K73" s="137"/>
      <c r="L73" s="138"/>
      <c r="M73" s="39"/>
      <c r="N73" s="39"/>
      <c r="O73" s="39"/>
      <c r="P73" s="55"/>
      <c r="Q73" s="55"/>
      <c r="R73" s="55"/>
      <c r="S73" s="55"/>
      <c r="T73" s="55"/>
      <c r="U73" s="55"/>
      <c r="V73" s="55"/>
    </row>
    <row r="74" ht="13.5" customHeight="1">
      <c r="A74" s="80">
        <f t="shared" si="3"/>
        <v>69</v>
      </c>
      <c r="B74" s="26"/>
      <c r="C74" s="39"/>
      <c r="D74" s="40"/>
      <c r="E74" s="42"/>
      <c r="F74" s="84"/>
      <c r="G74" s="45"/>
      <c r="H74" s="45"/>
      <c r="I74" s="46"/>
      <c r="J74" s="136"/>
      <c r="K74" s="137"/>
      <c r="L74" s="138"/>
      <c r="M74" s="39"/>
      <c r="N74" s="39"/>
      <c r="O74" s="39"/>
      <c r="P74" s="55"/>
      <c r="Q74" s="55"/>
      <c r="R74" s="55"/>
      <c r="S74" s="55"/>
      <c r="T74" s="55"/>
      <c r="U74" s="55"/>
      <c r="V74" s="55"/>
    </row>
    <row r="75" ht="13.5" customHeight="1">
      <c r="A75" s="80">
        <f t="shared" si="3"/>
        <v>70</v>
      </c>
      <c r="B75" s="26"/>
      <c r="C75" s="39"/>
      <c r="D75" s="40"/>
      <c r="E75" s="42"/>
      <c r="F75" s="84"/>
      <c r="G75" s="45"/>
      <c r="H75" s="45"/>
      <c r="I75" s="46"/>
      <c r="J75" s="136"/>
      <c r="K75" s="137"/>
      <c r="L75" s="138"/>
      <c r="M75" s="39"/>
      <c r="N75" s="39"/>
      <c r="O75" s="39"/>
      <c r="P75" s="55"/>
      <c r="Q75" s="55"/>
      <c r="R75" s="55"/>
      <c r="S75" s="55"/>
      <c r="T75" s="55"/>
      <c r="U75" s="55"/>
      <c r="V75" s="55"/>
    </row>
    <row r="76" ht="13.5" customHeight="1">
      <c r="A76" s="80">
        <f t="shared" si="3"/>
        <v>71</v>
      </c>
      <c r="B76" s="26"/>
      <c r="C76" s="39"/>
      <c r="D76" s="40"/>
      <c r="E76" s="42"/>
      <c r="F76" s="84"/>
      <c r="G76" s="45"/>
      <c r="H76" s="45"/>
      <c r="I76" s="46"/>
      <c r="J76" s="136"/>
      <c r="K76" s="137"/>
      <c r="L76" s="138"/>
      <c r="M76" s="39"/>
      <c r="N76" s="39"/>
      <c r="O76" s="39"/>
      <c r="P76" s="55"/>
      <c r="Q76" s="55"/>
      <c r="R76" s="55"/>
      <c r="S76" s="55"/>
      <c r="T76" s="55"/>
      <c r="U76" s="55"/>
      <c r="V76" s="55"/>
    </row>
    <row r="77" ht="13.5" customHeight="1">
      <c r="A77" s="80">
        <f t="shared" si="3"/>
        <v>72</v>
      </c>
      <c r="B77" s="26"/>
      <c r="C77" s="39"/>
      <c r="D77" s="40"/>
      <c r="E77" s="42"/>
      <c r="F77" s="84"/>
      <c r="G77" s="45"/>
      <c r="H77" s="45"/>
      <c r="I77" s="46"/>
      <c r="J77" s="136"/>
      <c r="K77" s="137"/>
      <c r="L77" s="138"/>
      <c r="M77" s="39"/>
      <c r="N77" s="39"/>
      <c r="O77" s="39"/>
      <c r="P77" s="55"/>
      <c r="Q77" s="55"/>
      <c r="R77" s="55"/>
      <c r="S77" s="55"/>
      <c r="T77" s="55"/>
      <c r="U77" s="55"/>
      <c r="V77" s="55"/>
    </row>
    <row r="78" ht="13.5" customHeight="1">
      <c r="A78" s="80">
        <f t="shared" si="3"/>
        <v>73</v>
      </c>
      <c r="B78" s="26"/>
      <c r="C78" s="39"/>
      <c r="D78" s="40"/>
      <c r="E78" s="42"/>
      <c r="F78" s="84"/>
      <c r="G78" s="45"/>
      <c r="H78" s="45"/>
      <c r="I78" s="46"/>
      <c r="J78" s="136"/>
      <c r="K78" s="137"/>
      <c r="L78" s="138"/>
      <c r="M78" s="39"/>
      <c r="N78" s="39"/>
      <c r="O78" s="39"/>
      <c r="P78" s="55"/>
      <c r="Q78" s="55"/>
      <c r="R78" s="55"/>
      <c r="S78" s="55"/>
      <c r="T78" s="55"/>
      <c r="U78" s="55"/>
      <c r="V78" s="55"/>
    </row>
    <row r="79" ht="13.5" customHeight="1">
      <c r="A79" s="80">
        <f t="shared" si="3"/>
        <v>74</v>
      </c>
      <c r="B79" s="26"/>
      <c r="C79" s="39"/>
      <c r="D79" s="40"/>
      <c r="E79" s="42"/>
      <c r="F79" s="84"/>
      <c r="G79" s="45"/>
      <c r="H79" s="45"/>
      <c r="I79" s="46"/>
      <c r="J79" s="136"/>
      <c r="K79" s="137"/>
      <c r="L79" s="138"/>
      <c r="M79" s="39"/>
      <c r="N79" s="39"/>
      <c r="O79" s="39"/>
      <c r="P79" s="55"/>
      <c r="Q79" s="55"/>
      <c r="R79" s="55"/>
      <c r="S79" s="55"/>
      <c r="T79" s="55"/>
      <c r="U79" s="55"/>
      <c r="V79" s="55"/>
    </row>
    <row r="80" ht="13.5" customHeight="1">
      <c r="A80" s="80">
        <f t="shared" si="3"/>
        <v>75</v>
      </c>
      <c r="B80" s="26"/>
      <c r="C80" s="39"/>
      <c r="D80" s="40"/>
      <c r="E80" s="42"/>
      <c r="F80" s="84"/>
      <c r="G80" s="45"/>
      <c r="H80" s="45"/>
      <c r="I80" s="46"/>
      <c r="J80" s="136"/>
      <c r="K80" s="137"/>
      <c r="L80" s="138"/>
      <c r="M80" s="39"/>
      <c r="N80" s="39"/>
      <c r="O80" s="39"/>
      <c r="P80" s="55"/>
      <c r="Q80" s="55"/>
      <c r="R80" s="55"/>
      <c r="S80" s="55"/>
      <c r="T80" s="55"/>
      <c r="U80" s="55"/>
      <c r="V80" s="55"/>
    </row>
    <row r="81" ht="13.5" customHeight="1">
      <c r="A81" s="80">
        <f t="shared" si="3"/>
        <v>76</v>
      </c>
      <c r="B81" s="26"/>
      <c r="C81" s="39"/>
      <c r="D81" s="40"/>
      <c r="E81" s="42"/>
      <c r="F81" s="84"/>
      <c r="G81" s="45"/>
      <c r="H81" s="45"/>
      <c r="I81" s="46"/>
      <c r="J81" s="136"/>
      <c r="K81" s="137"/>
      <c r="L81" s="138"/>
      <c r="M81" s="39"/>
      <c r="N81" s="39"/>
      <c r="O81" s="39"/>
      <c r="P81" s="55"/>
      <c r="Q81" s="55"/>
      <c r="R81" s="55"/>
      <c r="S81" s="55"/>
      <c r="T81" s="55"/>
      <c r="U81" s="55"/>
      <c r="V81" s="55"/>
    </row>
    <row r="82" ht="13.5" customHeight="1">
      <c r="A82" s="80">
        <f t="shared" si="3"/>
        <v>77</v>
      </c>
      <c r="B82" s="26"/>
      <c r="C82" s="39"/>
      <c r="D82" s="40"/>
      <c r="E82" s="42"/>
      <c r="F82" s="84"/>
      <c r="G82" s="45"/>
      <c r="H82" s="45"/>
      <c r="I82" s="46"/>
      <c r="J82" s="136"/>
      <c r="K82" s="137"/>
      <c r="L82" s="138"/>
      <c r="M82" s="39"/>
      <c r="N82" s="39"/>
      <c r="O82" s="39"/>
      <c r="P82" s="55"/>
      <c r="Q82" s="55"/>
      <c r="R82" s="55"/>
      <c r="S82" s="55"/>
      <c r="T82" s="55"/>
      <c r="U82" s="55"/>
      <c r="V82" s="55"/>
    </row>
    <row r="83" ht="13.5" customHeight="1">
      <c r="A83" s="80">
        <f t="shared" si="3"/>
        <v>78</v>
      </c>
      <c r="B83" s="26"/>
      <c r="C83" s="39"/>
      <c r="D83" s="40"/>
      <c r="E83" s="42"/>
      <c r="F83" s="84"/>
      <c r="G83" s="45"/>
      <c r="H83" s="45"/>
      <c r="I83" s="46"/>
      <c r="J83" s="136"/>
      <c r="K83" s="137"/>
      <c r="L83" s="138"/>
      <c r="M83" s="39"/>
      <c r="N83" s="39"/>
      <c r="O83" s="39"/>
      <c r="P83" s="55"/>
      <c r="Q83" s="55"/>
      <c r="R83" s="55"/>
      <c r="S83" s="55"/>
      <c r="T83" s="55"/>
      <c r="U83" s="55"/>
      <c r="V83" s="55"/>
    </row>
    <row r="84" ht="13.5" customHeight="1">
      <c r="A84" s="80">
        <f t="shared" si="3"/>
        <v>79</v>
      </c>
      <c r="B84" s="26"/>
      <c r="C84" s="39"/>
      <c r="D84" s="40"/>
      <c r="E84" s="42"/>
      <c r="F84" s="84"/>
      <c r="G84" s="45"/>
      <c r="H84" s="45"/>
      <c r="I84" s="46"/>
      <c r="J84" s="136"/>
      <c r="K84" s="137"/>
      <c r="L84" s="138"/>
      <c r="M84" s="39"/>
      <c r="N84" s="39"/>
      <c r="O84" s="39"/>
      <c r="P84" s="55"/>
      <c r="Q84" s="55"/>
      <c r="R84" s="55"/>
      <c r="S84" s="55"/>
      <c r="T84" s="55"/>
      <c r="U84" s="55"/>
      <c r="V84" s="55"/>
    </row>
    <row r="85" ht="13.5" customHeight="1">
      <c r="A85" s="80">
        <f t="shared" si="3"/>
        <v>80</v>
      </c>
      <c r="B85" s="26"/>
      <c r="C85" s="39"/>
      <c r="D85" s="40"/>
      <c r="E85" s="42"/>
      <c r="F85" s="84"/>
      <c r="G85" s="45"/>
      <c r="H85" s="45"/>
      <c r="I85" s="46"/>
      <c r="J85" s="136"/>
      <c r="K85" s="137"/>
      <c r="L85" s="138"/>
      <c r="M85" s="39"/>
      <c r="N85" s="39"/>
      <c r="O85" s="39"/>
      <c r="P85" s="55"/>
      <c r="Q85" s="55"/>
      <c r="R85" s="55"/>
      <c r="S85" s="55"/>
      <c r="T85" s="55"/>
      <c r="U85" s="55"/>
      <c r="V85" s="55"/>
    </row>
    <row r="86" ht="13.5" customHeight="1">
      <c r="A86" s="80">
        <f t="shared" si="3"/>
        <v>81</v>
      </c>
      <c r="B86" s="26"/>
      <c r="C86" s="39"/>
      <c r="D86" s="40"/>
      <c r="E86" s="42"/>
      <c r="F86" s="84"/>
      <c r="G86" s="45"/>
      <c r="H86" s="45"/>
      <c r="I86" s="46"/>
      <c r="J86" s="136"/>
      <c r="K86" s="137"/>
      <c r="L86" s="138"/>
      <c r="M86" s="39"/>
      <c r="N86" s="39"/>
      <c r="O86" s="39"/>
      <c r="P86" s="55"/>
      <c r="Q86" s="55"/>
      <c r="R86" s="55"/>
      <c r="S86" s="55"/>
      <c r="T86" s="55"/>
      <c r="U86" s="55"/>
      <c r="V86" s="55"/>
    </row>
    <row r="87" ht="13.5" customHeight="1">
      <c r="A87" s="80">
        <f t="shared" si="3"/>
        <v>82</v>
      </c>
      <c r="B87" s="26"/>
      <c r="C87" s="39"/>
      <c r="D87" s="40"/>
      <c r="E87" s="42"/>
      <c r="F87" s="84"/>
      <c r="G87" s="45"/>
      <c r="H87" s="45"/>
      <c r="I87" s="46"/>
      <c r="J87" s="136"/>
      <c r="K87" s="137"/>
      <c r="L87" s="138"/>
      <c r="M87" s="39"/>
      <c r="N87" s="39"/>
      <c r="O87" s="39"/>
      <c r="P87" s="55"/>
      <c r="Q87" s="55"/>
      <c r="R87" s="55"/>
      <c r="S87" s="55"/>
      <c r="T87" s="55"/>
      <c r="U87" s="55"/>
      <c r="V87" s="55"/>
    </row>
    <row r="88" ht="13.5" customHeight="1">
      <c r="A88" s="80">
        <f t="shared" si="3"/>
        <v>83</v>
      </c>
      <c r="B88" s="26"/>
      <c r="C88" s="39"/>
      <c r="D88" s="40"/>
      <c r="E88" s="42"/>
      <c r="F88" s="84"/>
      <c r="G88" s="45"/>
      <c r="H88" s="45"/>
      <c r="I88" s="46"/>
      <c r="J88" s="136"/>
      <c r="K88" s="137"/>
      <c r="L88" s="138"/>
      <c r="M88" s="39"/>
      <c r="N88" s="39"/>
      <c r="O88" s="39"/>
      <c r="P88" s="55"/>
      <c r="Q88" s="55"/>
      <c r="R88" s="55"/>
      <c r="S88" s="55"/>
      <c r="T88" s="55"/>
      <c r="U88" s="55"/>
      <c r="V88" s="55"/>
    </row>
    <row r="89" ht="13.5" customHeight="1">
      <c r="A89" s="80">
        <f t="shared" si="3"/>
        <v>84</v>
      </c>
      <c r="B89" s="26"/>
      <c r="C89" s="39"/>
      <c r="D89" s="40"/>
      <c r="E89" s="42"/>
      <c r="F89" s="84"/>
      <c r="G89" s="45"/>
      <c r="H89" s="45"/>
      <c r="I89" s="46"/>
      <c r="J89" s="136"/>
      <c r="K89" s="137"/>
      <c r="L89" s="138"/>
      <c r="M89" s="39"/>
      <c r="N89" s="39"/>
      <c r="O89" s="39"/>
      <c r="P89" s="55"/>
      <c r="Q89" s="55"/>
      <c r="R89" s="55"/>
      <c r="S89" s="55"/>
      <c r="T89" s="55"/>
      <c r="U89" s="55"/>
      <c r="V89" s="55"/>
    </row>
    <row r="90" ht="13.5" customHeight="1">
      <c r="A90" s="80">
        <f t="shared" si="3"/>
        <v>85</v>
      </c>
      <c r="B90" s="26"/>
      <c r="C90" s="39"/>
      <c r="D90" s="40"/>
      <c r="E90" s="42"/>
      <c r="F90" s="84"/>
      <c r="G90" s="45"/>
      <c r="H90" s="45"/>
      <c r="I90" s="46"/>
      <c r="J90" s="136"/>
      <c r="K90" s="137"/>
      <c r="L90" s="138"/>
      <c r="M90" s="39"/>
      <c r="N90" s="39"/>
      <c r="O90" s="39"/>
      <c r="P90" s="55"/>
      <c r="Q90" s="55"/>
      <c r="R90" s="55"/>
      <c r="S90" s="55"/>
      <c r="T90" s="55"/>
      <c r="U90" s="55"/>
      <c r="V90" s="55"/>
    </row>
    <row r="91" ht="13.5" customHeight="1">
      <c r="A91" s="80">
        <f t="shared" si="3"/>
        <v>86</v>
      </c>
      <c r="B91" s="26"/>
      <c r="C91" s="39"/>
      <c r="D91" s="40"/>
      <c r="E91" s="42"/>
      <c r="F91" s="84"/>
      <c r="G91" s="45"/>
      <c r="H91" s="45"/>
      <c r="I91" s="46"/>
      <c r="J91" s="136"/>
      <c r="K91" s="137"/>
      <c r="L91" s="138"/>
      <c r="M91" s="39"/>
      <c r="N91" s="39"/>
      <c r="O91" s="39"/>
      <c r="P91" s="55"/>
      <c r="Q91" s="55"/>
      <c r="R91" s="55"/>
      <c r="S91" s="55"/>
      <c r="T91" s="55"/>
      <c r="U91" s="55"/>
      <c r="V91" s="55"/>
    </row>
    <row r="92" ht="13.5" customHeight="1">
      <c r="A92" s="80">
        <f t="shared" si="3"/>
        <v>87</v>
      </c>
      <c r="B92" s="26"/>
      <c r="C92" s="39"/>
      <c r="D92" s="40"/>
      <c r="E92" s="42"/>
      <c r="F92" s="84"/>
      <c r="G92" s="45"/>
      <c r="H92" s="45"/>
      <c r="I92" s="46"/>
      <c r="J92" s="136"/>
      <c r="K92" s="137"/>
      <c r="L92" s="138"/>
      <c r="M92" s="39"/>
      <c r="N92" s="39"/>
      <c r="O92" s="39"/>
      <c r="P92" s="55"/>
      <c r="Q92" s="55"/>
      <c r="R92" s="55"/>
      <c r="S92" s="55"/>
      <c r="T92" s="55"/>
      <c r="U92" s="55"/>
      <c r="V92" s="55"/>
    </row>
    <row r="93" ht="13.5" customHeight="1">
      <c r="A93" s="80">
        <f t="shared" si="3"/>
        <v>88</v>
      </c>
      <c r="B93" s="26"/>
      <c r="C93" s="39"/>
      <c r="D93" s="40"/>
      <c r="E93" s="42"/>
      <c r="F93" s="84"/>
      <c r="G93" s="45"/>
      <c r="H93" s="45"/>
      <c r="I93" s="46"/>
      <c r="J93" s="136"/>
      <c r="K93" s="137"/>
      <c r="L93" s="138"/>
      <c r="M93" s="39"/>
      <c r="N93" s="39"/>
      <c r="O93" s="39"/>
      <c r="P93" s="55"/>
      <c r="Q93" s="55"/>
      <c r="R93" s="55"/>
      <c r="S93" s="55"/>
      <c r="T93" s="55"/>
      <c r="U93" s="55"/>
      <c r="V93" s="55"/>
    </row>
    <row r="94" ht="13.5" customHeight="1">
      <c r="A94" s="80">
        <f t="shared" si="3"/>
        <v>89</v>
      </c>
      <c r="B94" s="26"/>
      <c r="C94" s="39"/>
      <c r="D94" s="40"/>
      <c r="E94" s="42"/>
      <c r="F94" s="84"/>
      <c r="G94" s="45"/>
      <c r="H94" s="45"/>
      <c r="I94" s="46"/>
      <c r="J94" s="136"/>
      <c r="K94" s="137"/>
      <c r="L94" s="138"/>
      <c r="M94" s="39"/>
      <c r="N94" s="39"/>
      <c r="O94" s="39"/>
      <c r="P94" s="55"/>
      <c r="Q94" s="55"/>
      <c r="R94" s="55"/>
      <c r="S94" s="55"/>
      <c r="T94" s="55"/>
      <c r="U94" s="55"/>
      <c r="V94" s="55"/>
    </row>
    <row r="95" ht="13.5" customHeight="1">
      <c r="A95" s="80">
        <f t="shared" si="3"/>
        <v>90</v>
      </c>
      <c r="B95" s="26"/>
      <c r="C95" s="39"/>
      <c r="D95" s="40"/>
      <c r="E95" s="42"/>
      <c r="F95" s="84"/>
      <c r="G95" s="45"/>
      <c r="H95" s="45"/>
      <c r="I95" s="46"/>
      <c r="J95" s="136"/>
      <c r="K95" s="137"/>
      <c r="L95" s="138"/>
      <c r="M95" s="39"/>
      <c r="N95" s="39"/>
      <c r="O95" s="39"/>
      <c r="P95" s="55"/>
      <c r="Q95" s="55"/>
      <c r="R95" s="55"/>
      <c r="S95" s="55"/>
      <c r="T95" s="55"/>
      <c r="U95" s="55"/>
      <c r="V95" s="55"/>
    </row>
    <row r="96" ht="13.5" customHeight="1">
      <c r="A96" s="80">
        <f t="shared" si="3"/>
        <v>91</v>
      </c>
      <c r="B96" s="26"/>
      <c r="C96" s="39"/>
      <c r="D96" s="40"/>
      <c r="E96" s="42"/>
      <c r="F96" s="84"/>
      <c r="G96" s="45"/>
      <c r="H96" s="45"/>
      <c r="I96" s="46"/>
      <c r="J96" s="136"/>
      <c r="K96" s="137"/>
      <c r="L96" s="138"/>
      <c r="M96" s="39"/>
      <c r="N96" s="39"/>
      <c r="O96" s="39"/>
      <c r="P96" s="55"/>
      <c r="Q96" s="55"/>
      <c r="R96" s="55"/>
      <c r="S96" s="55"/>
      <c r="T96" s="55"/>
      <c r="U96" s="55"/>
      <c r="V96" s="55"/>
    </row>
    <row r="97" ht="13.5" customHeight="1">
      <c r="A97" s="80">
        <f t="shared" si="3"/>
        <v>92</v>
      </c>
      <c r="B97" s="26"/>
      <c r="C97" s="39"/>
      <c r="D97" s="40"/>
      <c r="E97" s="42"/>
      <c r="F97" s="84"/>
      <c r="G97" s="45"/>
      <c r="H97" s="45"/>
      <c r="I97" s="46"/>
      <c r="J97" s="136"/>
      <c r="K97" s="137"/>
      <c r="L97" s="138"/>
      <c r="M97" s="39"/>
      <c r="N97" s="39"/>
      <c r="O97" s="39"/>
      <c r="P97" s="55"/>
      <c r="Q97" s="55"/>
      <c r="R97" s="55"/>
      <c r="S97" s="55"/>
      <c r="T97" s="55"/>
      <c r="U97" s="55"/>
      <c r="V97" s="55"/>
    </row>
    <row r="98" ht="13.5" customHeight="1">
      <c r="A98" s="80">
        <f t="shared" si="3"/>
        <v>93</v>
      </c>
      <c r="B98" s="26"/>
      <c r="C98" s="39"/>
      <c r="D98" s="40"/>
      <c r="E98" s="42"/>
      <c r="F98" s="84"/>
      <c r="G98" s="45"/>
      <c r="H98" s="45"/>
      <c r="I98" s="46"/>
      <c r="J98" s="136"/>
      <c r="K98" s="137"/>
      <c r="L98" s="138"/>
      <c r="M98" s="39"/>
      <c r="N98" s="39"/>
      <c r="O98" s="39"/>
      <c r="P98" s="55"/>
      <c r="Q98" s="55"/>
      <c r="R98" s="55"/>
      <c r="S98" s="55"/>
      <c r="T98" s="55"/>
      <c r="U98" s="55"/>
      <c r="V98" s="55"/>
    </row>
    <row r="99" ht="13.5" customHeight="1">
      <c r="A99" s="80">
        <f t="shared" si="3"/>
        <v>94</v>
      </c>
      <c r="B99" s="26"/>
      <c r="C99" s="39"/>
      <c r="D99" s="40"/>
      <c r="E99" s="42"/>
      <c r="F99" s="84"/>
      <c r="G99" s="45"/>
      <c r="H99" s="45"/>
      <c r="I99" s="46"/>
      <c r="J99" s="136"/>
      <c r="K99" s="137"/>
      <c r="L99" s="138"/>
      <c r="M99" s="39"/>
      <c r="N99" s="39"/>
      <c r="O99" s="39"/>
      <c r="P99" s="55"/>
      <c r="Q99" s="55"/>
      <c r="R99" s="55"/>
      <c r="S99" s="55"/>
      <c r="T99" s="55"/>
      <c r="U99" s="55"/>
      <c r="V99" s="55"/>
    </row>
    <row r="100" ht="13.5" customHeight="1">
      <c r="A100" s="80">
        <f t="shared" si="3"/>
        <v>95</v>
      </c>
      <c r="B100" s="26"/>
      <c r="C100" s="39"/>
      <c r="D100" s="40"/>
      <c r="E100" s="42"/>
      <c r="F100" s="84"/>
      <c r="G100" s="45"/>
      <c r="H100" s="45"/>
      <c r="I100" s="46"/>
      <c r="J100" s="136"/>
      <c r="K100" s="137"/>
      <c r="L100" s="138"/>
      <c r="M100" s="39"/>
      <c r="N100" s="39"/>
      <c r="O100" s="39"/>
      <c r="P100" s="55"/>
      <c r="Q100" s="55"/>
      <c r="R100" s="55"/>
      <c r="S100" s="55"/>
      <c r="T100" s="55"/>
      <c r="U100" s="55"/>
      <c r="V100" s="55"/>
    </row>
    <row r="101" ht="13.5" customHeight="1">
      <c r="A101" s="80">
        <f t="shared" si="3"/>
        <v>96</v>
      </c>
      <c r="B101" s="26"/>
      <c r="C101" s="39"/>
      <c r="D101" s="40"/>
      <c r="E101" s="42"/>
      <c r="F101" s="84"/>
      <c r="G101" s="45"/>
      <c r="H101" s="45"/>
      <c r="I101" s="46"/>
      <c r="J101" s="136"/>
      <c r="K101" s="137"/>
      <c r="L101" s="138"/>
      <c r="M101" s="39"/>
      <c r="N101" s="39"/>
      <c r="O101" s="39"/>
      <c r="P101" s="55"/>
      <c r="Q101" s="55"/>
      <c r="R101" s="55"/>
      <c r="S101" s="55"/>
      <c r="T101" s="55"/>
      <c r="U101" s="55"/>
      <c r="V101" s="55"/>
    </row>
    <row r="102" ht="13.5" customHeight="1">
      <c r="A102" s="80">
        <f t="shared" si="3"/>
        <v>97</v>
      </c>
      <c r="B102" s="26"/>
      <c r="C102" s="39"/>
      <c r="D102" s="40"/>
      <c r="E102" s="42"/>
      <c r="F102" s="84"/>
      <c r="G102" s="45"/>
      <c r="H102" s="45"/>
      <c r="I102" s="46"/>
      <c r="J102" s="136"/>
      <c r="K102" s="137"/>
      <c r="L102" s="138"/>
      <c r="M102" s="39"/>
      <c r="N102" s="39"/>
      <c r="O102" s="39"/>
      <c r="P102" s="55"/>
      <c r="Q102" s="55"/>
      <c r="R102" s="55"/>
      <c r="S102" s="55"/>
      <c r="T102" s="55"/>
      <c r="U102" s="55"/>
      <c r="V102" s="55"/>
    </row>
    <row r="103" ht="13.5" customHeight="1">
      <c r="A103" s="80">
        <f t="shared" si="3"/>
        <v>98</v>
      </c>
      <c r="B103" s="26"/>
      <c r="C103" s="39"/>
      <c r="D103" s="40"/>
      <c r="E103" s="42"/>
      <c r="F103" s="84"/>
      <c r="G103" s="45"/>
      <c r="H103" s="45"/>
      <c r="I103" s="46"/>
      <c r="J103" s="136"/>
      <c r="K103" s="137"/>
      <c r="L103" s="138"/>
      <c r="M103" s="39"/>
      <c r="N103" s="39"/>
      <c r="O103" s="39"/>
      <c r="P103" s="55"/>
      <c r="Q103" s="55"/>
      <c r="R103" s="55"/>
      <c r="S103" s="55"/>
      <c r="T103" s="55"/>
      <c r="U103" s="55"/>
      <c r="V103" s="55"/>
    </row>
    <row r="104" ht="13.5" customHeight="1">
      <c r="A104" s="80">
        <f t="shared" si="3"/>
        <v>99</v>
      </c>
      <c r="B104" s="26"/>
      <c r="C104" s="39"/>
      <c r="D104" s="40"/>
      <c r="E104" s="42"/>
      <c r="F104" s="84"/>
      <c r="G104" s="45"/>
      <c r="H104" s="45"/>
      <c r="I104" s="46"/>
      <c r="J104" s="136"/>
      <c r="K104" s="137"/>
      <c r="L104" s="138"/>
      <c r="M104" s="39"/>
      <c r="N104" s="39"/>
      <c r="O104" s="39"/>
      <c r="P104" s="55"/>
      <c r="Q104" s="55"/>
      <c r="R104" s="55"/>
      <c r="S104" s="55"/>
      <c r="T104" s="55"/>
      <c r="U104" s="55"/>
      <c r="V104" s="55"/>
    </row>
    <row r="105" ht="13.5" customHeight="1">
      <c r="A105" s="80">
        <f t="shared" si="3"/>
        <v>100</v>
      </c>
      <c r="B105" s="26"/>
      <c r="C105" s="39"/>
      <c r="D105" s="40"/>
      <c r="E105" s="42"/>
      <c r="F105" s="84"/>
      <c r="G105" s="45"/>
      <c r="H105" s="45"/>
      <c r="I105" s="46"/>
      <c r="J105" s="136"/>
      <c r="K105" s="137"/>
      <c r="L105" s="138"/>
      <c r="M105" s="39"/>
      <c r="N105" s="39"/>
      <c r="O105" s="39"/>
      <c r="P105" s="55"/>
      <c r="Q105" s="55"/>
      <c r="R105" s="55"/>
      <c r="S105" s="55"/>
      <c r="T105" s="55"/>
      <c r="U105" s="55"/>
      <c r="V105" s="55"/>
    </row>
    <row r="106" ht="13.5" customHeight="1">
      <c r="A106" s="80">
        <f t="shared" si="3"/>
        <v>101</v>
      </c>
      <c r="B106" s="26"/>
      <c r="C106" s="39"/>
      <c r="D106" s="40"/>
      <c r="E106" s="42"/>
      <c r="F106" s="84"/>
      <c r="G106" s="45"/>
      <c r="H106" s="45"/>
      <c r="I106" s="46"/>
      <c r="J106" s="136"/>
      <c r="K106" s="137"/>
      <c r="L106" s="138"/>
      <c r="M106" s="39"/>
      <c r="N106" s="39"/>
      <c r="O106" s="39"/>
      <c r="P106" s="55"/>
      <c r="Q106" s="55"/>
      <c r="R106" s="55"/>
      <c r="S106" s="55"/>
      <c r="T106" s="55"/>
      <c r="U106" s="55"/>
      <c r="V106" s="55"/>
    </row>
    <row r="107" ht="13.5" customHeight="1">
      <c r="A107" s="80">
        <f t="shared" si="3"/>
        <v>102</v>
      </c>
      <c r="B107" s="26"/>
      <c r="C107" s="39"/>
      <c r="D107" s="40"/>
      <c r="E107" s="42"/>
      <c r="F107" s="84"/>
      <c r="G107" s="45"/>
      <c r="H107" s="45"/>
      <c r="I107" s="46"/>
      <c r="J107" s="136"/>
      <c r="K107" s="137"/>
      <c r="L107" s="138"/>
      <c r="M107" s="39"/>
      <c r="N107" s="39"/>
      <c r="O107" s="39"/>
      <c r="P107" s="55"/>
      <c r="Q107" s="55"/>
      <c r="R107" s="55"/>
      <c r="S107" s="55"/>
      <c r="T107" s="55"/>
      <c r="U107" s="55"/>
      <c r="V107" s="55"/>
    </row>
    <row r="108" ht="13.5" customHeight="1">
      <c r="A108" s="80">
        <f t="shared" si="3"/>
        <v>103</v>
      </c>
      <c r="B108" s="26"/>
      <c r="C108" s="39"/>
      <c r="D108" s="40"/>
      <c r="E108" s="42"/>
      <c r="F108" s="84"/>
      <c r="G108" s="45"/>
      <c r="H108" s="45"/>
      <c r="I108" s="46"/>
      <c r="J108" s="136"/>
      <c r="K108" s="137"/>
      <c r="L108" s="138"/>
      <c r="M108" s="39"/>
      <c r="N108" s="39"/>
      <c r="O108" s="39"/>
      <c r="P108" s="55"/>
      <c r="Q108" s="55"/>
      <c r="R108" s="55"/>
      <c r="S108" s="55"/>
      <c r="T108" s="55"/>
      <c r="U108" s="55"/>
      <c r="V108" s="55"/>
    </row>
    <row r="109" ht="13.5" customHeight="1">
      <c r="A109" s="80">
        <f t="shared" si="3"/>
        <v>104</v>
      </c>
      <c r="B109" s="26"/>
      <c r="C109" s="39"/>
      <c r="D109" s="40"/>
      <c r="E109" s="42"/>
      <c r="F109" s="84"/>
      <c r="G109" s="45"/>
      <c r="H109" s="45"/>
      <c r="I109" s="46"/>
      <c r="J109" s="136"/>
      <c r="K109" s="137"/>
      <c r="L109" s="138"/>
      <c r="M109" s="39"/>
      <c r="N109" s="39"/>
      <c r="O109" s="39"/>
      <c r="P109" s="55"/>
      <c r="Q109" s="55"/>
      <c r="R109" s="55"/>
      <c r="S109" s="55"/>
      <c r="T109" s="55"/>
      <c r="U109" s="55"/>
      <c r="V109" s="55"/>
    </row>
    <row r="110" ht="13.5" customHeight="1">
      <c r="A110" s="80">
        <f t="shared" si="3"/>
        <v>105</v>
      </c>
      <c r="B110" s="26"/>
      <c r="C110" s="39"/>
      <c r="D110" s="40"/>
      <c r="E110" s="42"/>
      <c r="F110" s="84"/>
      <c r="G110" s="45"/>
      <c r="H110" s="45"/>
      <c r="I110" s="46"/>
      <c r="J110" s="136"/>
      <c r="K110" s="137"/>
      <c r="L110" s="138"/>
      <c r="M110" s="39"/>
      <c r="N110" s="39"/>
      <c r="O110" s="39"/>
      <c r="P110" s="55"/>
      <c r="Q110" s="55"/>
      <c r="R110" s="55"/>
      <c r="S110" s="55"/>
      <c r="T110" s="55"/>
      <c r="U110" s="55"/>
      <c r="V110" s="55"/>
    </row>
    <row r="111" ht="13.5" customHeight="1">
      <c r="A111" s="80">
        <f t="shared" si="3"/>
        <v>106</v>
      </c>
      <c r="B111" s="26"/>
      <c r="C111" s="39"/>
      <c r="D111" s="40"/>
      <c r="E111" s="42"/>
      <c r="F111" s="84"/>
      <c r="G111" s="45"/>
      <c r="H111" s="45"/>
      <c r="I111" s="46"/>
      <c r="J111" s="136"/>
      <c r="K111" s="137"/>
      <c r="L111" s="138"/>
      <c r="M111" s="39"/>
      <c r="N111" s="39"/>
      <c r="O111" s="39"/>
      <c r="P111" s="55"/>
      <c r="Q111" s="55"/>
      <c r="R111" s="55"/>
      <c r="S111" s="55"/>
      <c r="T111" s="55"/>
      <c r="U111" s="55"/>
      <c r="V111" s="55"/>
    </row>
    <row r="112" ht="13.5" customHeight="1">
      <c r="A112" s="80">
        <f t="shared" si="3"/>
        <v>107</v>
      </c>
      <c r="B112" s="26"/>
      <c r="C112" s="39"/>
      <c r="D112" s="40"/>
      <c r="E112" s="42"/>
      <c r="F112" s="84"/>
      <c r="G112" s="45"/>
      <c r="H112" s="45"/>
      <c r="I112" s="46"/>
      <c r="J112" s="136"/>
      <c r="K112" s="137"/>
      <c r="L112" s="138"/>
      <c r="M112" s="39"/>
      <c r="N112" s="39"/>
      <c r="O112" s="39"/>
      <c r="P112" s="55"/>
      <c r="Q112" s="55"/>
      <c r="R112" s="55"/>
      <c r="S112" s="55"/>
      <c r="T112" s="55"/>
      <c r="U112" s="55"/>
      <c r="V112" s="55"/>
    </row>
    <row r="113" ht="13.5" customHeight="1">
      <c r="A113" s="80">
        <f t="shared" si="3"/>
        <v>108</v>
      </c>
      <c r="B113" s="26"/>
      <c r="C113" s="39"/>
      <c r="D113" s="40"/>
      <c r="E113" s="42"/>
      <c r="F113" s="84"/>
      <c r="G113" s="45"/>
      <c r="H113" s="45"/>
      <c r="I113" s="46"/>
      <c r="J113" s="136"/>
      <c r="K113" s="137"/>
      <c r="L113" s="138"/>
      <c r="M113" s="39"/>
      <c r="N113" s="39"/>
      <c r="O113" s="39"/>
      <c r="P113" s="55"/>
      <c r="Q113" s="55"/>
      <c r="R113" s="55"/>
      <c r="S113" s="55"/>
      <c r="T113" s="55"/>
      <c r="U113" s="55"/>
      <c r="V113" s="55"/>
    </row>
    <row r="114" ht="13.5" customHeight="1">
      <c r="A114" s="80">
        <f t="shared" si="3"/>
        <v>109</v>
      </c>
      <c r="B114" s="26"/>
      <c r="C114" s="39"/>
      <c r="D114" s="40"/>
      <c r="E114" s="42"/>
      <c r="F114" s="84"/>
      <c r="G114" s="45"/>
      <c r="H114" s="45"/>
      <c r="I114" s="46"/>
      <c r="J114" s="136"/>
      <c r="K114" s="137"/>
      <c r="L114" s="138"/>
      <c r="M114" s="39"/>
      <c r="N114" s="39"/>
      <c r="O114" s="39"/>
      <c r="P114" s="55"/>
      <c r="Q114" s="55"/>
      <c r="R114" s="55"/>
      <c r="S114" s="55"/>
      <c r="T114" s="55"/>
      <c r="U114" s="55"/>
      <c r="V114" s="55"/>
    </row>
    <row r="115" ht="13.5" customHeight="1">
      <c r="A115" s="80">
        <f t="shared" si="3"/>
        <v>110</v>
      </c>
      <c r="B115" s="26"/>
      <c r="C115" s="39"/>
      <c r="D115" s="40"/>
      <c r="E115" s="42"/>
      <c r="F115" s="84"/>
      <c r="G115" s="45"/>
      <c r="H115" s="45"/>
      <c r="I115" s="46"/>
      <c r="J115" s="136"/>
      <c r="K115" s="137"/>
      <c r="L115" s="138"/>
      <c r="M115" s="39"/>
      <c r="N115" s="39"/>
      <c r="O115" s="39"/>
      <c r="P115" s="55"/>
      <c r="Q115" s="55"/>
      <c r="R115" s="55"/>
      <c r="S115" s="55"/>
      <c r="T115" s="55"/>
      <c r="U115" s="55"/>
      <c r="V115" s="55"/>
    </row>
    <row r="116" ht="13.5" customHeight="1">
      <c r="A116" s="80">
        <f t="shared" si="3"/>
        <v>111</v>
      </c>
      <c r="B116" s="26"/>
      <c r="C116" s="39"/>
      <c r="D116" s="40"/>
      <c r="E116" s="42"/>
      <c r="F116" s="84"/>
      <c r="G116" s="45"/>
      <c r="H116" s="45"/>
      <c r="I116" s="46"/>
      <c r="J116" s="136"/>
      <c r="K116" s="137"/>
      <c r="L116" s="138"/>
      <c r="M116" s="39"/>
      <c r="N116" s="39"/>
      <c r="O116" s="39"/>
      <c r="P116" s="55"/>
      <c r="Q116" s="55"/>
      <c r="R116" s="55"/>
      <c r="S116" s="55"/>
      <c r="T116" s="55"/>
      <c r="U116" s="55"/>
      <c r="V116" s="55"/>
    </row>
    <row r="117" ht="13.5" customHeight="1">
      <c r="A117" s="80">
        <f t="shared" si="3"/>
        <v>112</v>
      </c>
      <c r="B117" s="26"/>
      <c r="C117" s="39"/>
      <c r="D117" s="40"/>
      <c r="E117" s="42"/>
      <c r="F117" s="84"/>
      <c r="G117" s="45"/>
      <c r="H117" s="45"/>
      <c r="I117" s="46"/>
      <c r="J117" s="136"/>
      <c r="K117" s="137"/>
      <c r="L117" s="138"/>
      <c r="M117" s="39"/>
      <c r="N117" s="39"/>
      <c r="O117" s="39"/>
      <c r="P117" s="55"/>
      <c r="Q117" s="55"/>
      <c r="R117" s="55"/>
      <c r="S117" s="55"/>
      <c r="T117" s="55"/>
      <c r="U117" s="55"/>
      <c r="V117" s="55"/>
    </row>
    <row r="118" ht="13.5" customHeight="1">
      <c r="A118" s="80">
        <f t="shared" si="3"/>
        <v>113</v>
      </c>
      <c r="B118" s="26"/>
      <c r="C118" s="39"/>
      <c r="D118" s="40"/>
      <c r="E118" s="42"/>
      <c r="F118" s="84"/>
      <c r="G118" s="45"/>
      <c r="H118" s="45"/>
      <c r="I118" s="46"/>
      <c r="J118" s="136"/>
      <c r="K118" s="137"/>
      <c r="L118" s="138"/>
      <c r="M118" s="39"/>
      <c r="N118" s="39"/>
      <c r="O118" s="39"/>
      <c r="P118" s="55"/>
      <c r="Q118" s="55"/>
      <c r="R118" s="55"/>
      <c r="S118" s="55"/>
      <c r="T118" s="55"/>
      <c r="U118" s="55"/>
      <c r="V118" s="55"/>
    </row>
    <row r="119" ht="13.5" customHeight="1">
      <c r="A119" s="80">
        <f t="shared" si="3"/>
        <v>114</v>
      </c>
      <c r="B119" s="26"/>
      <c r="C119" s="39"/>
      <c r="D119" s="40"/>
      <c r="E119" s="42"/>
      <c r="F119" s="84"/>
      <c r="G119" s="45"/>
      <c r="H119" s="45"/>
      <c r="I119" s="46"/>
      <c r="J119" s="136"/>
      <c r="K119" s="137"/>
      <c r="L119" s="138"/>
      <c r="M119" s="39"/>
      <c r="N119" s="39"/>
      <c r="O119" s="39"/>
      <c r="P119" s="55"/>
      <c r="Q119" s="55"/>
      <c r="R119" s="55"/>
      <c r="S119" s="55"/>
      <c r="T119" s="55"/>
      <c r="U119" s="55"/>
      <c r="V119" s="55"/>
    </row>
    <row r="120" ht="13.5" customHeight="1">
      <c r="A120" s="80">
        <f t="shared" si="3"/>
        <v>115</v>
      </c>
      <c r="B120" s="26"/>
      <c r="C120" s="39"/>
      <c r="D120" s="40"/>
      <c r="E120" s="42"/>
      <c r="F120" s="84"/>
      <c r="G120" s="45"/>
      <c r="H120" s="45"/>
      <c r="I120" s="46"/>
      <c r="J120" s="136"/>
      <c r="K120" s="137"/>
      <c r="L120" s="138"/>
      <c r="M120" s="39"/>
      <c r="N120" s="39"/>
      <c r="O120" s="39"/>
      <c r="P120" s="55"/>
      <c r="Q120" s="55"/>
      <c r="R120" s="55"/>
      <c r="S120" s="55"/>
      <c r="T120" s="55"/>
      <c r="U120" s="55"/>
      <c r="V120" s="55"/>
    </row>
    <row r="121" ht="13.5" customHeight="1">
      <c r="A121" s="80">
        <f t="shared" si="3"/>
        <v>116</v>
      </c>
      <c r="B121" s="26"/>
      <c r="C121" s="39"/>
      <c r="D121" s="40"/>
      <c r="E121" s="42"/>
      <c r="F121" s="84"/>
      <c r="G121" s="45"/>
      <c r="H121" s="45"/>
      <c r="I121" s="46"/>
      <c r="J121" s="136"/>
      <c r="K121" s="137"/>
      <c r="L121" s="138"/>
      <c r="M121" s="39"/>
      <c r="N121" s="39"/>
      <c r="O121" s="39"/>
      <c r="P121" s="55"/>
      <c r="Q121" s="55"/>
      <c r="R121" s="55"/>
      <c r="S121" s="55"/>
      <c r="T121" s="55"/>
      <c r="U121" s="55"/>
      <c r="V121" s="55"/>
    </row>
    <row r="122" ht="13.5" customHeight="1">
      <c r="A122" s="80">
        <f t="shared" si="3"/>
        <v>117</v>
      </c>
      <c r="B122" s="26"/>
      <c r="C122" s="39"/>
      <c r="D122" s="40"/>
      <c r="E122" s="42"/>
      <c r="F122" s="84"/>
      <c r="G122" s="45"/>
      <c r="H122" s="45"/>
      <c r="I122" s="46"/>
      <c r="J122" s="136"/>
      <c r="K122" s="137"/>
      <c r="L122" s="138"/>
      <c r="M122" s="39"/>
      <c r="N122" s="39"/>
      <c r="O122" s="39"/>
      <c r="P122" s="55"/>
      <c r="Q122" s="55"/>
      <c r="R122" s="55"/>
      <c r="S122" s="55"/>
      <c r="T122" s="55"/>
      <c r="U122" s="55"/>
      <c r="V122" s="55"/>
    </row>
    <row r="123" ht="13.5" customHeight="1">
      <c r="A123" s="80">
        <f t="shared" si="3"/>
        <v>118</v>
      </c>
      <c r="B123" s="26"/>
      <c r="C123" s="39"/>
      <c r="D123" s="40"/>
      <c r="E123" s="42"/>
      <c r="F123" s="84"/>
      <c r="G123" s="45"/>
      <c r="H123" s="45"/>
      <c r="I123" s="46"/>
      <c r="J123" s="136"/>
      <c r="K123" s="137"/>
      <c r="L123" s="138"/>
      <c r="M123" s="39"/>
      <c r="N123" s="39"/>
      <c r="O123" s="39"/>
      <c r="P123" s="55"/>
      <c r="Q123" s="55"/>
      <c r="R123" s="55"/>
      <c r="S123" s="55"/>
      <c r="T123" s="55"/>
      <c r="U123" s="55"/>
      <c r="V123" s="55"/>
    </row>
    <row r="124" ht="13.5" customHeight="1">
      <c r="A124" s="80">
        <f t="shared" si="3"/>
        <v>119</v>
      </c>
      <c r="B124" s="26"/>
      <c r="C124" s="39"/>
      <c r="D124" s="40"/>
      <c r="E124" s="42"/>
      <c r="F124" s="84"/>
      <c r="G124" s="45"/>
      <c r="H124" s="45"/>
      <c r="I124" s="46"/>
      <c r="J124" s="136"/>
      <c r="K124" s="137"/>
      <c r="L124" s="138"/>
      <c r="M124" s="39"/>
      <c r="N124" s="39"/>
      <c r="O124" s="39"/>
      <c r="P124" s="55"/>
      <c r="Q124" s="55"/>
      <c r="R124" s="55"/>
      <c r="S124" s="55"/>
      <c r="T124" s="55"/>
      <c r="U124" s="55"/>
      <c r="V124" s="55"/>
    </row>
    <row r="125" ht="13.5" customHeight="1">
      <c r="A125" s="80">
        <f t="shared" si="3"/>
        <v>120</v>
      </c>
      <c r="B125" s="26"/>
      <c r="C125" s="39"/>
      <c r="D125" s="40"/>
      <c r="E125" s="42"/>
      <c r="F125" s="84"/>
      <c r="G125" s="45"/>
      <c r="H125" s="45"/>
      <c r="I125" s="46"/>
      <c r="J125" s="136"/>
      <c r="K125" s="137"/>
      <c r="L125" s="138"/>
      <c r="M125" s="39"/>
      <c r="N125" s="39"/>
      <c r="O125" s="39"/>
      <c r="P125" s="55"/>
      <c r="Q125" s="55"/>
      <c r="R125" s="55"/>
      <c r="S125" s="55"/>
      <c r="T125" s="55"/>
      <c r="U125" s="55"/>
      <c r="V125" s="55"/>
    </row>
    <row r="126" ht="13.5" customHeight="1">
      <c r="A126" s="80">
        <f t="shared" si="3"/>
        <v>121</v>
      </c>
      <c r="B126" s="26"/>
      <c r="C126" s="39"/>
      <c r="D126" s="40"/>
      <c r="E126" s="42"/>
      <c r="F126" s="84"/>
      <c r="G126" s="45"/>
      <c r="H126" s="45"/>
      <c r="I126" s="46"/>
      <c r="J126" s="136"/>
      <c r="K126" s="137"/>
      <c r="L126" s="138"/>
      <c r="M126" s="39"/>
      <c r="N126" s="39"/>
      <c r="O126" s="39"/>
      <c r="P126" s="55"/>
      <c r="Q126" s="55"/>
      <c r="R126" s="55"/>
      <c r="S126" s="55"/>
      <c r="T126" s="55"/>
      <c r="U126" s="55"/>
      <c r="V126" s="55"/>
    </row>
    <row r="127" ht="13.5" customHeight="1">
      <c r="A127" s="80">
        <f t="shared" si="3"/>
        <v>122</v>
      </c>
      <c r="B127" s="26"/>
      <c r="C127" s="39"/>
      <c r="D127" s="40"/>
      <c r="E127" s="42"/>
      <c r="F127" s="84"/>
      <c r="G127" s="45"/>
      <c r="H127" s="45"/>
      <c r="I127" s="46"/>
      <c r="J127" s="136"/>
      <c r="K127" s="137"/>
      <c r="L127" s="138"/>
      <c r="M127" s="39"/>
      <c r="N127" s="39"/>
      <c r="O127" s="39"/>
      <c r="P127" s="55"/>
      <c r="Q127" s="55"/>
      <c r="R127" s="55"/>
      <c r="S127" s="55"/>
      <c r="T127" s="55"/>
      <c r="U127" s="55"/>
      <c r="V127" s="55"/>
    </row>
    <row r="128" ht="13.5" customHeight="1">
      <c r="A128" s="80">
        <f t="shared" si="3"/>
        <v>123</v>
      </c>
      <c r="B128" s="26"/>
      <c r="C128" s="39"/>
      <c r="D128" s="40"/>
      <c r="E128" s="42"/>
      <c r="F128" s="84"/>
      <c r="G128" s="45"/>
      <c r="H128" s="45"/>
      <c r="I128" s="46"/>
      <c r="J128" s="136"/>
      <c r="K128" s="137"/>
      <c r="L128" s="138"/>
      <c r="M128" s="39"/>
      <c r="N128" s="39"/>
      <c r="O128" s="39"/>
      <c r="P128" s="55"/>
      <c r="Q128" s="55"/>
      <c r="R128" s="55"/>
      <c r="S128" s="55"/>
      <c r="T128" s="55"/>
      <c r="U128" s="55"/>
      <c r="V128" s="55"/>
    </row>
    <row r="129" ht="13.5" customHeight="1">
      <c r="A129" s="80">
        <f t="shared" si="3"/>
        <v>124</v>
      </c>
      <c r="B129" s="26"/>
      <c r="C129" s="39"/>
      <c r="D129" s="40"/>
      <c r="E129" s="42"/>
      <c r="F129" s="84"/>
      <c r="G129" s="45"/>
      <c r="H129" s="45"/>
      <c r="I129" s="46"/>
      <c r="J129" s="136"/>
      <c r="K129" s="137"/>
      <c r="L129" s="138"/>
      <c r="M129" s="39"/>
      <c r="N129" s="39"/>
      <c r="O129" s="39"/>
      <c r="P129" s="55"/>
      <c r="Q129" s="55"/>
      <c r="R129" s="55"/>
      <c r="S129" s="55"/>
      <c r="T129" s="55"/>
      <c r="U129" s="55"/>
      <c r="V129" s="55"/>
    </row>
    <row r="130" ht="13.5" customHeight="1">
      <c r="A130" s="80">
        <f t="shared" si="3"/>
        <v>125</v>
      </c>
      <c r="B130" s="26"/>
      <c r="C130" s="39"/>
      <c r="D130" s="40"/>
      <c r="E130" s="42"/>
      <c r="F130" s="84"/>
      <c r="G130" s="45"/>
      <c r="H130" s="45"/>
      <c r="I130" s="46"/>
      <c r="J130" s="136"/>
      <c r="K130" s="137"/>
      <c r="L130" s="138"/>
      <c r="M130" s="39"/>
      <c r="N130" s="39"/>
      <c r="O130" s="39"/>
      <c r="P130" s="55"/>
      <c r="Q130" s="55"/>
      <c r="R130" s="55"/>
      <c r="S130" s="55"/>
      <c r="T130" s="55"/>
      <c r="U130" s="55"/>
      <c r="V130" s="55"/>
    </row>
    <row r="131" ht="13.5" customHeight="1">
      <c r="A131" s="80">
        <f t="shared" si="3"/>
        <v>126</v>
      </c>
      <c r="B131" s="26"/>
      <c r="C131" s="39"/>
      <c r="D131" s="40"/>
      <c r="E131" s="42"/>
      <c r="F131" s="84"/>
      <c r="G131" s="45"/>
      <c r="H131" s="45"/>
      <c r="I131" s="46"/>
      <c r="J131" s="136"/>
      <c r="K131" s="137"/>
      <c r="L131" s="138"/>
      <c r="M131" s="39"/>
      <c r="N131" s="39"/>
      <c r="O131" s="39"/>
      <c r="P131" s="55"/>
      <c r="Q131" s="55"/>
      <c r="R131" s="55"/>
      <c r="S131" s="55"/>
      <c r="T131" s="55"/>
      <c r="U131" s="55"/>
      <c r="V131" s="55"/>
    </row>
    <row r="132" ht="13.5" customHeight="1">
      <c r="A132" s="80">
        <f t="shared" si="3"/>
        <v>127</v>
      </c>
      <c r="B132" s="26"/>
      <c r="C132" s="39"/>
      <c r="D132" s="40"/>
      <c r="E132" s="42"/>
      <c r="F132" s="84"/>
      <c r="G132" s="45"/>
      <c r="H132" s="45"/>
      <c r="I132" s="46"/>
      <c r="J132" s="136"/>
      <c r="K132" s="137"/>
      <c r="L132" s="138"/>
      <c r="M132" s="39"/>
      <c r="N132" s="39"/>
      <c r="O132" s="39"/>
      <c r="P132" s="55"/>
      <c r="Q132" s="55"/>
      <c r="R132" s="55"/>
      <c r="S132" s="55"/>
      <c r="T132" s="55"/>
      <c r="U132" s="55"/>
      <c r="V132" s="55"/>
    </row>
    <row r="133" ht="13.5" customHeight="1">
      <c r="A133" s="80">
        <f t="shared" si="3"/>
        <v>128</v>
      </c>
      <c r="B133" s="26"/>
      <c r="C133" s="39"/>
      <c r="D133" s="40"/>
      <c r="E133" s="42"/>
      <c r="F133" s="84"/>
      <c r="G133" s="45"/>
      <c r="H133" s="45"/>
      <c r="I133" s="46"/>
      <c r="J133" s="136"/>
      <c r="K133" s="137"/>
      <c r="L133" s="138"/>
      <c r="M133" s="39"/>
      <c r="N133" s="39"/>
      <c r="O133" s="39"/>
      <c r="P133" s="55"/>
      <c r="Q133" s="55"/>
      <c r="R133" s="55"/>
      <c r="S133" s="55"/>
      <c r="T133" s="55"/>
      <c r="U133" s="55"/>
      <c r="V133" s="55"/>
    </row>
    <row r="134" ht="13.5" customHeight="1">
      <c r="A134" s="80">
        <f t="shared" si="3"/>
        <v>129</v>
      </c>
      <c r="B134" s="26"/>
      <c r="C134" s="39"/>
      <c r="D134" s="40"/>
      <c r="E134" s="42"/>
      <c r="F134" s="84"/>
      <c r="G134" s="45"/>
      <c r="H134" s="45"/>
      <c r="I134" s="46"/>
      <c r="J134" s="136"/>
      <c r="K134" s="137"/>
      <c r="L134" s="138"/>
      <c r="M134" s="39"/>
      <c r="N134" s="39"/>
      <c r="O134" s="39"/>
      <c r="P134" s="55"/>
      <c r="Q134" s="55"/>
      <c r="R134" s="55"/>
      <c r="S134" s="55"/>
      <c r="T134" s="55"/>
      <c r="U134" s="55"/>
      <c r="V134" s="55"/>
    </row>
    <row r="135" ht="13.5" customHeight="1">
      <c r="A135" s="80">
        <f t="shared" si="3"/>
        <v>130</v>
      </c>
      <c r="B135" s="26"/>
      <c r="C135" s="39"/>
      <c r="D135" s="40"/>
      <c r="E135" s="42"/>
      <c r="F135" s="84"/>
      <c r="G135" s="45"/>
      <c r="H135" s="45"/>
      <c r="I135" s="46"/>
      <c r="J135" s="136"/>
      <c r="K135" s="137"/>
      <c r="L135" s="138"/>
      <c r="M135" s="39"/>
      <c r="N135" s="39"/>
      <c r="O135" s="39"/>
      <c r="P135" s="55"/>
      <c r="Q135" s="55"/>
      <c r="R135" s="55"/>
      <c r="S135" s="55"/>
      <c r="T135" s="55"/>
      <c r="U135" s="55"/>
      <c r="V135" s="55"/>
    </row>
    <row r="136" ht="13.5" customHeight="1">
      <c r="A136" s="80">
        <f t="shared" si="3"/>
        <v>131</v>
      </c>
      <c r="B136" s="26"/>
      <c r="C136" s="39"/>
      <c r="D136" s="40"/>
      <c r="E136" s="42"/>
      <c r="F136" s="84"/>
      <c r="G136" s="45"/>
      <c r="H136" s="45"/>
      <c r="I136" s="46"/>
      <c r="J136" s="136"/>
      <c r="K136" s="137"/>
      <c r="L136" s="138"/>
      <c r="M136" s="39"/>
      <c r="N136" s="39"/>
      <c r="O136" s="39"/>
      <c r="P136" s="55"/>
      <c r="Q136" s="55"/>
      <c r="R136" s="55"/>
      <c r="S136" s="55"/>
      <c r="T136" s="55"/>
      <c r="U136" s="55"/>
      <c r="V136" s="55"/>
    </row>
    <row r="137" ht="13.5" customHeight="1">
      <c r="A137" s="80">
        <f t="shared" si="3"/>
        <v>132</v>
      </c>
      <c r="B137" s="26"/>
      <c r="C137" s="39"/>
      <c r="D137" s="40"/>
      <c r="E137" s="42"/>
      <c r="F137" s="84"/>
      <c r="G137" s="45"/>
      <c r="H137" s="45"/>
      <c r="I137" s="46"/>
      <c r="J137" s="136"/>
      <c r="K137" s="137"/>
      <c r="L137" s="138"/>
      <c r="M137" s="39"/>
      <c r="N137" s="39"/>
      <c r="O137" s="39"/>
      <c r="P137" s="55"/>
      <c r="Q137" s="55"/>
      <c r="R137" s="55"/>
      <c r="S137" s="55"/>
      <c r="T137" s="55"/>
      <c r="U137" s="55"/>
      <c r="V137" s="55"/>
    </row>
    <row r="138" ht="13.5" customHeight="1">
      <c r="A138" s="80">
        <f t="shared" si="3"/>
        <v>133</v>
      </c>
      <c r="B138" s="26"/>
      <c r="C138" s="39"/>
      <c r="D138" s="40"/>
      <c r="E138" s="42"/>
      <c r="F138" s="84"/>
      <c r="G138" s="45"/>
      <c r="H138" s="45"/>
      <c r="I138" s="46"/>
      <c r="J138" s="136"/>
      <c r="K138" s="137"/>
      <c r="L138" s="138"/>
      <c r="M138" s="39"/>
      <c r="N138" s="39"/>
      <c r="O138" s="39"/>
      <c r="P138" s="55"/>
      <c r="Q138" s="55"/>
      <c r="R138" s="55"/>
      <c r="S138" s="55"/>
      <c r="T138" s="55"/>
      <c r="U138" s="55"/>
      <c r="V138" s="55"/>
    </row>
    <row r="139" ht="13.5" customHeight="1">
      <c r="A139" s="80">
        <f t="shared" si="3"/>
        <v>134</v>
      </c>
      <c r="B139" s="26"/>
      <c r="C139" s="39"/>
      <c r="D139" s="40"/>
      <c r="E139" s="42"/>
      <c r="F139" s="84"/>
      <c r="G139" s="45"/>
      <c r="H139" s="45"/>
      <c r="I139" s="46"/>
      <c r="J139" s="136"/>
      <c r="K139" s="137"/>
      <c r="L139" s="138"/>
      <c r="M139" s="39"/>
      <c r="N139" s="39"/>
      <c r="O139" s="39"/>
      <c r="P139" s="55"/>
      <c r="Q139" s="55"/>
      <c r="R139" s="55"/>
      <c r="S139" s="55"/>
      <c r="T139" s="55"/>
      <c r="U139" s="55"/>
      <c r="V139" s="55"/>
    </row>
    <row r="140" ht="13.5" customHeight="1">
      <c r="A140" s="80">
        <f t="shared" si="3"/>
        <v>135</v>
      </c>
      <c r="B140" s="26"/>
      <c r="C140" s="39"/>
      <c r="D140" s="40"/>
      <c r="E140" s="42"/>
      <c r="F140" s="84"/>
      <c r="G140" s="45"/>
      <c r="H140" s="45"/>
      <c r="I140" s="46"/>
      <c r="J140" s="136"/>
      <c r="K140" s="137"/>
      <c r="L140" s="138"/>
      <c r="M140" s="39"/>
      <c r="N140" s="39"/>
      <c r="O140" s="39"/>
      <c r="P140" s="55"/>
      <c r="Q140" s="55"/>
      <c r="R140" s="55"/>
      <c r="S140" s="55"/>
      <c r="T140" s="55"/>
      <c r="U140" s="55"/>
      <c r="V140" s="55"/>
    </row>
    <row r="141" ht="13.5" customHeight="1">
      <c r="A141" s="80">
        <f t="shared" si="3"/>
        <v>136</v>
      </c>
      <c r="B141" s="26"/>
      <c r="C141" s="39"/>
      <c r="D141" s="40"/>
      <c r="E141" s="42"/>
      <c r="F141" s="84"/>
      <c r="G141" s="45"/>
      <c r="H141" s="45"/>
      <c r="I141" s="46"/>
      <c r="J141" s="136"/>
      <c r="K141" s="137"/>
      <c r="L141" s="138"/>
      <c r="M141" s="39"/>
      <c r="N141" s="39"/>
      <c r="O141" s="39"/>
      <c r="P141" s="55"/>
      <c r="Q141" s="55"/>
      <c r="R141" s="55"/>
      <c r="S141" s="55"/>
      <c r="T141" s="55"/>
      <c r="U141" s="55"/>
      <c r="V141" s="55"/>
    </row>
    <row r="142" ht="13.5" customHeight="1">
      <c r="A142" s="80">
        <f t="shared" si="3"/>
        <v>137</v>
      </c>
      <c r="B142" s="26"/>
      <c r="C142" s="39"/>
      <c r="D142" s="40"/>
      <c r="E142" s="42"/>
      <c r="F142" s="84"/>
      <c r="G142" s="45"/>
      <c r="H142" s="45"/>
      <c r="I142" s="46"/>
      <c r="J142" s="136"/>
      <c r="K142" s="137"/>
      <c r="L142" s="138"/>
      <c r="M142" s="39"/>
      <c r="N142" s="39"/>
      <c r="O142" s="39"/>
      <c r="P142" s="55"/>
      <c r="Q142" s="55"/>
      <c r="R142" s="55"/>
      <c r="S142" s="55"/>
      <c r="T142" s="55"/>
      <c r="U142" s="55"/>
      <c r="V142" s="55"/>
    </row>
    <row r="143" ht="13.5" customHeight="1">
      <c r="A143" s="80">
        <f t="shared" si="3"/>
        <v>138</v>
      </c>
      <c r="B143" s="26"/>
      <c r="C143" s="39"/>
      <c r="D143" s="40"/>
      <c r="E143" s="42"/>
      <c r="F143" s="84"/>
      <c r="G143" s="45"/>
      <c r="H143" s="45"/>
      <c r="I143" s="46"/>
      <c r="J143" s="136"/>
      <c r="K143" s="137"/>
      <c r="L143" s="138"/>
      <c r="M143" s="39"/>
      <c r="N143" s="39"/>
      <c r="O143" s="39"/>
      <c r="P143" s="55"/>
      <c r="Q143" s="55"/>
      <c r="R143" s="55"/>
      <c r="S143" s="55"/>
      <c r="T143" s="55"/>
      <c r="U143" s="55"/>
      <c r="V143" s="55"/>
    </row>
    <row r="144" ht="13.5" customHeight="1">
      <c r="A144" s="80">
        <f t="shared" si="3"/>
        <v>139</v>
      </c>
      <c r="B144" s="26"/>
      <c r="C144" s="39"/>
      <c r="D144" s="40"/>
      <c r="E144" s="42"/>
      <c r="F144" s="84"/>
      <c r="G144" s="45"/>
      <c r="H144" s="45"/>
      <c r="I144" s="46"/>
      <c r="J144" s="136"/>
      <c r="K144" s="137"/>
      <c r="L144" s="138"/>
      <c r="M144" s="39"/>
      <c r="N144" s="39"/>
      <c r="O144" s="39"/>
      <c r="P144" s="55"/>
      <c r="Q144" s="55"/>
      <c r="R144" s="55"/>
      <c r="S144" s="55"/>
      <c r="T144" s="55"/>
      <c r="U144" s="55"/>
      <c r="V144" s="55"/>
    </row>
    <row r="145" ht="13.5" customHeight="1">
      <c r="A145" s="80">
        <f t="shared" si="3"/>
        <v>140</v>
      </c>
      <c r="B145" s="26"/>
      <c r="C145" s="39"/>
      <c r="D145" s="40"/>
      <c r="E145" s="42"/>
      <c r="F145" s="84"/>
      <c r="G145" s="45"/>
      <c r="H145" s="45"/>
      <c r="I145" s="46"/>
      <c r="J145" s="136"/>
      <c r="K145" s="137"/>
      <c r="L145" s="138"/>
      <c r="M145" s="39"/>
      <c r="N145" s="39"/>
      <c r="O145" s="39"/>
      <c r="P145" s="55"/>
      <c r="Q145" s="55"/>
      <c r="R145" s="55"/>
      <c r="S145" s="55"/>
      <c r="T145" s="55"/>
      <c r="U145" s="55"/>
      <c r="V145" s="55"/>
    </row>
    <row r="146" ht="13.5" customHeight="1">
      <c r="A146" s="80">
        <f t="shared" si="3"/>
        <v>141</v>
      </c>
      <c r="B146" s="26"/>
      <c r="C146" s="39"/>
      <c r="D146" s="40"/>
      <c r="E146" s="42"/>
      <c r="F146" s="84"/>
      <c r="G146" s="45"/>
      <c r="H146" s="45"/>
      <c r="I146" s="46"/>
      <c r="J146" s="136"/>
      <c r="K146" s="137"/>
      <c r="L146" s="138"/>
      <c r="M146" s="39"/>
      <c r="N146" s="39"/>
      <c r="O146" s="39"/>
      <c r="P146" s="55"/>
      <c r="Q146" s="55"/>
      <c r="R146" s="55"/>
      <c r="S146" s="55"/>
      <c r="T146" s="55"/>
      <c r="U146" s="55"/>
      <c r="V146" s="55"/>
    </row>
    <row r="147" ht="13.5" customHeight="1">
      <c r="A147" s="80">
        <f t="shared" si="3"/>
        <v>142</v>
      </c>
      <c r="B147" s="26"/>
      <c r="C147" s="39"/>
      <c r="D147" s="40"/>
      <c r="E147" s="42"/>
      <c r="F147" s="84"/>
      <c r="G147" s="45"/>
      <c r="H147" s="45"/>
      <c r="I147" s="46"/>
      <c r="J147" s="136"/>
      <c r="K147" s="137"/>
      <c r="L147" s="138"/>
      <c r="M147" s="39"/>
      <c r="N147" s="39"/>
      <c r="O147" s="39"/>
      <c r="P147" s="55"/>
      <c r="Q147" s="55"/>
      <c r="R147" s="55"/>
      <c r="S147" s="55"/>
      <c r="T147" s="55"/>
      <c r="U147" s="55"/>
      <c r="V147" s="55"/>
    </row>
    <row r="148" ht="13.5" customHeight="1">
      <c r="A148" s="80">
        <f t="shared" si="3"/>
        <v>143</v>
      </c>
      <c r="B148" s="26"/>
      <c r="C148" s="39"/>
      <c r="D148" s="40"/>
      <c r="E148" s="42"/>
      <c r="F148" s="84"/>
      <c r="G148" s="45"/>
      <c r="H148" s="45"/>
      <c r="I148" s="46"/>
      <c r="J148" s="136"/>
      <c r="K148" s="137"/>
      <c r="L148" s="138"/>
      <c r="M148" s="39"/>
      <c r="N148" s="39"/>
      <c r="O148" s="39"/>
      <c r="P148" s="55"/>
      <c r="Q148" s="55"/>
      <c r="R148" s="55"/>
      <c r="S148" s="55"/>
      <c r="T148" s="55"/>
      <c r="U148" s="55"/>
      <c r="V148" s="55"/>
    </row>
    <row r="149" ht="13.5" customHeight="1">
      <c r="A149" s="80">
        <f t="shared" si="3"/>
        <v>144</v>
      </c>
      <c r="B149" s="26"/>
      <c r="C149" s="39"/>
      <c r="D149" s="40"/>
      <c r="E149" s="42"/>
      <c r="F149" s="84"/>
      <c r="G149" s="45"/>
      <c r="H149" s="45"/>
      <c r="I149" s="46"/>
      <c r="J149" s="136"/>
      <c r="K149" s="137"/>
      <c r="L149" s="138"/>
      <c r="M149" s="39"/>
      <c r="N149" s="39"/>
      <c r="O149" s="39"/>
      <c r="P149" s="55"/>
      <c r="Q149" s="55"/>
      <c r="R149" s="55"/>
      <c r="S149" s="55"/>
      <c r="T149" s="55"/>
      <c r="U149" s="55"/>
      <c r="V149" s="55"/>
    </row>
    <row r="150" ht="13.5" customHeight="1">
      <c r="A150" s="80">
        <f t="shared" si="3"/>
        <v>145</v>
      </c>
      <c r="B150" s="26"/>
      <c r="C150" s="39"/>
      <c r="D150" s="40"/>
      <c r="E150" s="42"/>
      <c r="F150" s="84"/>
      <c r="G150" s="45"/>
      <c r="H150" s="45"/>
      <c r="I150" s="46"/>
      <c r="J150" s="136"/>
      <c r="K150" s="137"/>
      <c r="L150" s="138"/>
      <c r="M150" s="39"/>
      <c r="N150" s="39"/>
      <c r="O150" s="39"/>
      <c r="P150" s="55"/>
      <c r="Q150" s="55"/>
      <c r="R150" s="55"/>
      <c r="S150" s="55"/>
      <c r="T150" s="55"/>
      <c r="U150" s="55"/>
      <c r="V150" s="55"/>
    </row>
    <row r="151" ht="13.5" customHeight="1">
      <c r="A151" s="80">
        <f t="shared" si="3"/>
        <v>146</v>
      </c>
      <c r="B151" s="26"/>
      <c r="C151" s="39"/>
      <c r="D151" s="40"/>
      <c r="E151" s="42"/>
      <c r="F151" s="84"/>
      <c r="G151" s="45"/>
      <c r="H151" s="45"/>
      <c r="I151" s="46"/>
      <c r="J151" s="136"/>
      <c r="K151" s="137"/>
      <c r="L151" s="138"/>
      <c r="M151" s="39"/>
      <c r="N151" s="39"/>
      <c r="O151" s="39"/>
      <c r="P151" s="55"/>
      <c r="Q151" s="55"/>
      <c r="R151" s="55"/>
      <c r="S151" s="55"/>
      <c r="T151" s="55"/>
      <c r="U151" s="55"/>
      <c r="V151" s="55"/>
    </row>
    <row r="152" ht="13.5" customHeight="1">
      <c r="A152" s="80">
        <f t="shared" si="3"/>
        <v>147</v>
      </c>
      <c r="B152" s="26"/>
      <c r="C152" s="39"/>
      <c r="D152" s="40"/>
      <c r="E152" s="42"/>
      <c r="F152" s="84"/>
      <c r="G152" s="45"/>
      <c r="H152" s="45"/>
      <c r="I152" s="46"/>
      <c r="J152" s="136"/>
      <c r="K152" s="137"/>
      <c r="L152" s="138"/>
      <c r="M152" s="39"/>
      <c r="N152" s="39"/>
      <c r="O152" s="39"/>
      <c r="P152" s="55"/>
      <c r="Q152" s="55"/>
      <c r="R152" s="55"/>
      <c r="S152" s="55"/>
      <c r="T152" s="55"/>
      <c r="U152" s="55"/>
      <c r="V152" s="55"/>
    </row>
    <row r="153" ht="13.5" customHeight="1">
      <c r="A153" s="80">
        <f t="shared" si="3"/>
        <v>148</v>
      </c>
      <c r="B153" s="26"/>
      <c r="C153" s="39"/>
      <c r="D153" s="40"/>
      <c r="E153" s="42"/>
      <c r="F153" s="84"/>
      <c r="G153" s="45"/>
      <c r="H153" s="45"/>
      <c r="I153" s="46"/>
      <c r="J153" s="136"/>
      <c r="K153" s="137"/>
      <c r="L153" s="138"/>
      <c r="M153" s="39"/>
      <c r="N153" s="39"/>
      <c r="O153" s="39"/>
      <c r="P153" s="55"/>
      <c r="Q153" s="55"/>
      <c r="R153" s="55"/>
      <c r="S153" s="55"/>
      <c r="T153" s="55"/>
      <c r="U153" s="55"/>
      <c r="V153" s="55"/>
    </row>
    <row r="154" ht="13.5" customHeight="1">
      <c r="A154" s="80">
        <f t="shared" si="3"/>
        <v>149</v>
      </c>
      <c r="B154" s="26"/>
      <c r="C154" s="39"/>
      <c r="D154" s="40"/>
      <c r="E154" s="42"/>
      <c r="F154" s="84"/>
      <c r="G154" s="45"/>
      <c r="H154" s="45"/>
      <c r="I154" s="46"/>
      <c r="J154" s="136"/>
      <c r="K154" s="137"/>
      <c r="L154" s="138"/>
      <c r="M154" s="39"/>
      <c r="N154" s="39"/>
      <c r="O154" s="39"/>
      <c r="P154" s="55"/>
      <c r="Q154" s="55"/>
      <c r="R154" s="55"/>
      <c r="S154" s="55"/>
      <c r="T154" s="55"/>
      <c r="U154" s="55"/>
      <c r="V154" s="55"/>
    </row>
    <row r="155" ht="13.5" customHeight="1">
      <c r="A155" s="80">
        <f t="shared" si="3"/>
        <v>150</v>
      </c>
      <c r="B155" s="26"/>
      <c r="C155" s="39"/>
      <c r="D155" s="40"/>
      <c r="E155" s="42"/>
      <c r="F155" s="84"/>
      <c r="G155" s="45"/>
      <c r="H155" s="45"/>
      <c r="I155" s="46"/>
      <c r="J155" s="136"/>
      <c r="K155" s="137"/>
      <c r="L155" s="138"/>
      <c r="M155" s="39"/>
      <c r="N155" s="39"/>
      <c r="O155" s="39"/>
      <c r="P155" s="55"/>
      <c r="Q155" s="55"/>
      <c r="R155" s="55"/>
      <c r="S155" s="55"/>
      <c r="T155" s="55"/>
      <c r="U155" s="55"/>
      <c r="V155" s="55"/>
    </row>
    <row r="156" ht="13.5" customHeight="1">
      <c r="A156" s="80">
        <f t="shared" si="3"/>
        <v>151</v>
      </c>
      <c r="B156" s="26"/>
      <c r="C156" s="39"/>
      <c r="D156" s="40"/>
      <c r="E156" s="42"/>
      <c r="F156" s="84"/>
      <c r="G156" s="45"/>
      <c r="H156" s="45"/>
      <c r="I156" s="46"/>
      <c r="J156" s="136"/>
      <c r="K156" s="137"/>
      <c r="L156" s="138"/>
      <c r="M156" s="39"/>
      <c r="N156" s="39"/>
      <c r="O156" s="39"/>
      <c r="P156" s="55"/>
      <c r="Q156" s="55"/>
      <c r="R156" s="55"/>
      <c r="S156" s="55"/>
      <c r="T156" s="55"/>
      <c r="U156" s="55"/>
      <c r="V156" s="55"/>
    </row>
    <row r="157" ht="13.5" customHeight="1">
      <c r="A157" s="80">
        <f t="shared" si="3"/>
        <v>152</v>
      </c>
      <c r="B157" s="26"/>
      <c r="C157" s="39"/>
      <c r="D157" s="40"/>
      <c r="E157" s="42"/>
      <c r="F157" s="84"/>
      <c r="G157" s="45"/>
      <c r="H157" s="45"/>
      <c r="I157" s="46"/>
      <c r="J157" s="136"/>
      <c r="K157" s="137"/>
      <c r="L157" s="138"/>
      <c r="M157" s="39"/>
      <c r="N157" s="39"/>
      <c r="O157" s="39"/>
      <c r="P157" s="55"/>
      <c r="Q157" s="55"/>
      <c r="R157" s="55"/>
      <c r="S157" s="55"/>
      <c r="T157" s="55"/>
      <c r="U157" s="55"/>
      <c r="V157" s="55"/>
    </row>
    <row r="158" ht="13.5" customHeight="1">
      <c r="A158" s="80">
        <f t="shared" si="3"/>
        <v>153</v>
      </c>
      <c r="B158" s="26"/>
      <c r="C158" s="39"/>
      <c r="D158" s="40"/>
      <c r="E158" s="42"/>
      <c r="F158" s="84"/>
      <c r="G158" s="45"/>
      <c r="H158" s="45"/>
      <c r="I158" s="46"/>
      <c r="J158" s="136"/>
      <c r="K158" s="137"/>
      <c r="L158" s="138"/>
      <c r="M158" s="39"/>
      <c r="N158" s="39"/>
      <c r="O158" s="39"/>
      <c r="P158" s="55"/>
      <c r="Q158" s="55"/>
      <c r="R158" s="55"/>
      <c r="S158" s="55"/>
      <c r="T158" s="55"/>
      <c r="U158" s="55"/>
      <c r="V158" s="55"/>
    </row>
    <row r="159" ht="13.5" customHeight="1">
      <c r="A159" s="80">
        <f t="shared" si="3"/>
        <v>154</v>
      </c>
      <c r="B159" s="26"/>
      <c r="C159" s="39"/>
      <c r="D159" s="40"/>
      <c r="E159" s="42"/>
      <c r="F159" s="84"/>
      <c r="G159" s="45"/>
      <c r="H159" s="45"/>
      <c r="I159" s="46"/>
      <c r="J159" s="136"/>
      <c r="K159" s="137"/>
      <c r="L159" s="138"/>
      <c r="M159" s="39"/>
      <c r="N159" s="39"/>
      <c r="O159" s="39"/>
      <c r="P159" s="55"/>
      <c r="Q159" s="55"/>
      <c r="R159" s="55"/>
      <c r="S159" s="55"/>
      <c r="T159" s="55"/>
      <c r="U159" s="55"/>
      <c r="V159" s="55"/>
    </row>
    <row r="160" ht="13.5" customHeight="1">
      <c r="A160" s="80">
        <f t="shared" si="3"/>
        <v>155</v>
      </c>
      <c r="B160" s="26"/>
      <c r="C160" s="39"/>
      <c r="D160" s="40"/>
      <c r="E160" s="42"/>
      <c r="F160" s="84"/>
      <c r="G160" s="45"/>
      <c r="H160" s="45"/>
      <c r="I160" s="46"/>
      <c r="J160" s="136"/>
      <c r="K160" s="137"/>
      <c r="L160" s="138"/>
      <c r="M160" s="39"/>
      <c r="N160" s="39"/>
      <c r="O160" s="39"/>
      <c r="P160" s="55"/>
      <c r="Q160" s="55"/>
      <c r="R160" s="55"/>
      <c r="S160" s="55"/>
      <c r="T160" s="55"/>
      <c r="U160" s="55"/>
      <c r="V160" s="55"/>
    </row>
    <row r="161" ht="13.5" customHeight="1">
      <c r="A161" s="80">
        <f t="shared" si="3"/>
        <v>156</v>
      </c>
      <c r="B161" s="26"/>
      <c r="C161" s="39"/>
      <c r="D161" s="40"/>
      <c r="E161" s="42"/>
      <c r="F161" s="84"/>
      <c r="G161" s="45"/>
      <c r="H161" s="45"/>
      <c r="I161" s="46"/>
      <c r="J161" s="136"/>
      <c r="K161" s="137"/>
      <c r="L161" s="138"/>
      <c r="M161" s="39"/>
      <c r="N161" s="39"/>
      <c r="O161" s="39"/>
      <c r="P161" s="55"/>
      <c r="Q161" s="55"/>
      <c r="R161" s="55"/>
      <c r="S161" s="55"/>
      <c r="T161" s="55"/>
      <c r="U161" s="55"/>
      <c r="V161" s="55"/>
    </row>
    <row r="162" ht="13.5" customHeight="1">
      <c r="A162" s="80">
        <f t="shared" si="3"/>
        <v>157</v>
      </c>
      <c r="B162" s="26"/>
      <c r="C162" s="39"/>
      <c r="D162" s="40"/>
      <c r="E162" s="42"/>
      <c r="F162" s="84"/>
      <c r="G162" s="45"/>
      <c r="H162" s="45"/>
      <c r="I162" s="46"/>
      <c r="J162" s="136"/>
      <c r="K162" s="137"/>
      <c r="L162" s="138"/>
      <c r="M162" s="39"/>
      <c r="N162" s="39"/>
      <c r="O162" s="39"/>
      <c r="P162" s="55"/>
      <c r="Q162" s="55"/>
      <c r="R162" s="55"/>
      <c r="S162" s="55"/>
      <c r="T162" s="55"/>
      <c r="U162" s="55"/>
      <c r="V162" s="55"/>
    </row>
    <row r="163" ht="13.5" customHeight="1">
      <c r="A163" s="80">
        <f t="shared" si="3"/>
        <v>158</v>
      </c>
      <c r="B163" s="26"/>
      <c r="C163" s="39"/>
      <c r="D163" s="40"/>
      <c r="E163" s="42"/>
      <c r="F163" s="84"/>
      <c r="G163" s="45"/>
      <c r="H163" s="45"/>
      <c r="I163" s="46"/>
      <c r="J163" s="136"/>
      <c r="K163" s="137"/>
      <c r="L163" s="138"/>
      <c r="M163" s="39"/>
      <c r="N163" s="39"/>
      <c r="O163" s="39"/>
      <c r="P163" s="55"/>
      <c r="Q163" s="55"/>
      <c r="R163" s="55"/>
      <c r="S163" s="55"/>
      <c r="T163" s="55"/>
      <c r="U163" s="55"/>
      <c r="V163" s="55"/>
    </row>
    <row r="164" ht="13.5" customHeight="1">
      <c r="A164" s="80">
        <f t="shared" si="3"/>
        <v>159</v>
      </c>
      <c r="B164" s="26"/>
      <c r="C164" s="39"/>
      <c r="D164" s="40"/>
      <c r="E164" s="42"/>
      <c r="F164" s="84"/>
      <c r="G164" s="45"/>
      <c r="H164" s="45"/>
      <c r="I164" s="46"/>
      <c r="J164" s="136"/>
      <c r="K164" s="137"/>
      <c r="L164" s="138"/>
      <c r="M164" s="39"/>
      <c r="N164" s="39"/>
      <c r="O164" s="39"/>
      <c r="P164" s="55"/>
      <c r="Q164" s="55"/>
      <c r="R164" s="55"/>
      <c r="S164" s="55"/>
      <c r="T164" s="55"/>
      <c r="U164" s="55"/>
      <c r="V164" s="55"/>
    </row>
    <row r="165" ht="13.5" customHeight="1">
      <c r="A165" s="80">
        <f t="shared" si="3"/>
        <v>160</v>
      </c>
      <c r="B165" s="26"/>
      <c r="C165" s="39"/>
      <c r="D165" s="40"/>
      <c r="E165" s="42"/>
      <c r="F165" s="84"/>
      <c r="G165" s="45"/>
      <c r="H165" s="45"/>
      <c r="I165" s="46"/>
      <c r="J165" s="136"/>
      <c r="K165" s="137"/>
      <c r="L165" s="138"/>
      <c r="M165" s="39"/>
      <c r="N165" s="39"/>
      <c r="O165" s="39"/>
      <c r="P165" s="55"/>
      <c r="Q165" s="55"/>
      <c r="R165" s="55"/>
      <c r="S165" s="55"/>
      <c r="T165" s="55"/>
      <c r="U165" s="55"/>
      <c r="V165" s="55"/>
    </row>
    <row r="166" ht="13.5" customHeight="1">
      <c r="A166" s="80">
        <f t="shared" si="3"/>
        <v>161</v>
      </c>
      <c r="B166" s="26"/>
      <c r="C166" s="39"/>
      <c r="D166" s="40"/>
      <c r="E166" s="42"/>
      <c r="F166" s="84"/>
      <c r="G166" s="45"/>
      <c r="H166" s="45"/>
      <c r="I166" s="46"/>
      <c r="J166" s="136"/>
      <c r="K166" s="137"/>
      <c r="L166" s="138"/>
      <c r="M166" s="39"/>
      <c r="N166" s="39"/>
      <c r="O166" s="39"/>
      <c r="P166" s="55"/>
      <c r="Q166" s="55"/>
      <c r="R166" s="55"/>
      <c r="S166" s="55"/>
      <c r="T166" s="55"/>
      <c r="U166" s="55"/>
      <c r="V166" s="55"/>
    </row>
    <row r="167" ht="13.5" customHeight="1">
      <c r="A167" s="80">
        <f t="shared" si="3"/>
        <v>162</v>
      </c>
      <c r="B167" s="26"/>
      <c r="C167" s="39"/>
      <c r="D167" s="40"/>
      <c r="E167" s="42"/>
      <c r="F167" s="84"/>
      <c r="G167" s="45"/>
      <c r="H167" s="45"/>
      <c r="I167" s="46"/>
      <c r="J167" s="136"/>
      <c r="K167" s="137"/>
      <c r="L167" s="138"/>
      <c r="M167" s="39"/>
      <c r="N167" s="39"/>
      <c r="O167" s="39"/>
      <c r="P167" s="55"/>
      <c r="Q167" s="55"/>
      <c r="R167" s="55"/>
      <c r="S167" s="55"/>
      <c r="T167" s="55"/>
      <c r="U167" s="55"/>
      <c r="V167" s="55"/>
    </row>
    <row r="168" ht="13.5" customHeight="1">
      <c r="A168" s="80">
        <f t="shared" si="3"/>
        <v>163</v>
      </c>
      <c r="B168" s="26"/>
      <c r="C168" s="39"/>
      <c r="D168" s="40"/>
      <c r="E168" s="42"/>
      <c r="F168" s="84"/>
      <c r="G168" s="45"/>
      <c r="H168" s="45"/>
      <c r="I168" s="46"/>
      <c r="J168" s="136"/>
      <c r="K168" s="137"/>
      <c r="L168" s="138"/>
      <c r="M168" s="39"/>
      <c r="N168" s="39"/>
      <c r="O168" s="39"/>
      <c r="P168" s="55"/>
      <c r="Q168" s="55"/>
      <c r="R168" s="55"/>
      <c r="S168" s="55"/>
      <c r="T168" s="55"/>
      <c r="U168" s="55"/>
      <c r="V168" s="55"/>
    </row>
    <row r="169" ht="13.5" customHeight="1">
      <c r="A169" s="80">
        <f t="shared" si="3"/>
        <v>164</v>
      </c>
      <c r="B169" s="26"/>
      <c r="C169" s="39"/>
      <c r="D169" s="40"/>
      <c r="E169" s="42"/>
      <c r="F169" s="84"/>
      <c r="G169" s="45"/>
      <c r="H169" s="45"/>
      <c r="I169" s="46"/>
      <c r="J169" s="136"/>
      <c r="K169" s="137"/>
      <c r="L169" s="138"/>
      <c r="M169" s="39"/>
      <c r="N169" s="39"/>
      <c r="O169" s="39"/>
      <c r="P169" s="55"/>
      <c r="Q169" s="55"/>
      <c r="R169" s="55"/>
      <c r="S169" s="55"/>
      <c r="T169" s="55"/>
      <c r="U169" s="55"/>
      <c r="V169" s="55"/>
    </row>
    <row r="170" ht="13.5" customHeight="1">
      <c r="A170" s="80">
        <f t="shared" si="3"/>
        <v>165</v>
      </c>
      <c r="B170" s="26"/>
      <c r="C170" s="39"/>
      <c r="D170" s="40"/>
      <c r="E170" s="42"/>
      <c r="F170" s="84"/>
      <c r="G170" s="45"/>
      <c r="H170" s="45"/>
      <c r="I170" s="46"/>
      <c r="J170" s="136"/>
      <c r="K170" s="137"/>
      <c r="L170" s="138"/>
      <c r="M170" s="39"/>
      <c r="N170" s="39"/>
      <c r="O170" s="39"/>
      <c r="P170" s="55"/>
      <c r="Q170" s="55"/>
      <c r="R170" s="55"/>
      <c r="S170" s="55"/>
      <c r="T170" s="55"/>
      <c r="U170" s="55"/>
      <c r="V170" s="55"/>
    </row>
    <row r="171" ht="13.5" customHeight="1">
      <c r="A171" s="80">
        <f t="shared" si="3"/>
        <v>166</v>
      </c>
      <c r="B171" s="26"/>
      <c r="C171" s="39"/>
      <c r="D171" s="40"/>
      <c r="E171" s="42"/>
      <c r="F171" s="84"/>
      <c r="G171" s="45"/>
      <c r="H171" s="45"/>
      <c r="I171" s="46"/>
      <c r="J171" s="136"/>
      <c r="K171" s="137"/>
      <c r="L171" s="138"/>
      <c r="M171" s="39"/>
      <c r="N171" s="39"/>
      <c r="O171" s="39"/>
      <c r="P171" s="55"/>
      <c r="Q171" s="55"/>
      <c r="R171" s="55"/>
      <c r="S171" s="55"/>
      <c r="T171" s="55"/>
      <c r="U171" s="55"/>
      <c r="V171" s="55"/>
    </row>
    <row r="172" ht="13.5" customHeight="1">
      <c r="A172" s="80">
        <f t="shared" si="3"/>
        <v>167</v>
      </c>
      <c r="B172" s="26"/>
      <c r="C172" s="39"/>
      <c r="D172" s="40"/>
      <c r="E172" s="42"/>
      <c r="F172" s="84"/>
      <c r="G172" s="45"/>
      <c r="H172" s="45"/>
      <c r="I172" s="46"/>
      <c r="J172" s="136"/>
      <c r="K172" s="137"/>
      <c r="L172" s="138"/>
      <c r="M172" s="39"/>
      <c r="N172" s="39"/>
      <c r="O172" s="39"/>
      <c r="P172" s="55"/>
      <c r="Q172" s="55"/>
      <c r="R172" s="55"/>
      <c r="S172" s="55"/>
      <c r="T172" s="55"/>
      <c r="U172" s="55"/>
      <c r="V172" s="55"/>
    </row>
    <row r="173" ht="13.5" customHeight="1">
      <c r="A173" s="80">
        <f t="shared" si="3"/>
        <v>168</v>
      </c>
      <c r="B173" s="26"/>
      <c r="C173" s="39"/>
      <c r="D173" s="40"/>
      <c r="E173" s="42"/>
      <c r="F173" s="84"/>
      <c r="G173" s="45"/>
      <c r="H173" s="45"/>
      <c r="I173" s="46"/>
      <c r="J173" s="136"/>
      <c r="K173" s="137"/>
      <c r="L173" s="138"/>
      <c r="M173" s="39"/>
      <c r="N173" s="39"/>
      <c r="O173" s="39"/>
      <c r="P173" s="55"/>
      <c r="Q173" s="55"/>
      <c r="R173" s="55"/>
      <c r="S173" s="55"/>
      <c r="T173" s="55"/>
      <c r="U173" s="55"/>
      <c r="V173" s="55"/>
    </row>
    <row r="174" ht="13.5" customHeight="1">
      <c r="A174" s="80">
        <f t="shared" si="3"/>
        <v>169</v>
      </c>
      <c r="B174" s="26"/>
      <c r="C174" s="39"/>
      <c r="D174" s="40"/>
      <c r="E174" s="42"/>
      <c r="F174" s="84"/>
      <c r="G174" s="45"/>
      <c r="H174" s="45"/>
      <c r="I174" s="46"/>
      <c r="J174" s="136"/>
      <c r="K174" s="137"/>
      <c r="L174" s="138"/>
      <c r="M174" s="39"/>
      <c r="N174" s="39"/>
      <c r="O174" s="39"/>
      <c r="P174" s="55"/>
      <c r="Q174" s="55"/>
      <c r="R174" s="55"/>
      <c r="S174" s="55"/>
      <c r="T174" s="55"/>
      <c r="U174" s="55"/>
      <c r="V174" s="55"/>
    </row>
    <row r="175" ht="13.5" customHeight="1">
      <c r="A175" s="80">
        <f t="shared" si="3"/>
        <v>170</v>
      </c>
      <c r="B175" s="26"/>
      <c r="C175" s="39"/>
      <c r="D175" s="40"/>
      <c r="E175" s="42"/>
      <c r="F175" s="84"/>
      <c r="G175" s="45"/>
      <c r="H175" s="45"/>
      <c r="I175" s="46"/>
      <c r="J175" s="136"/>
      <c r="K175" s="137"/>
      <c r="L175" s="138"/>
      <c r="M175" s="39"/>
      <c r="N175" s="39"/>
      <c r="O175" s="39"/>
      <c r="P175" s="55"/>
      <c r="Q175" s="55"/>
      <c r="R175" s="55"/>
      <c r="S175" s="55"/>
      <c r="T175" s="55"/>
      <c r="U175" s="55"/>
      <c r="V175" s="55"/>
    </row>
    <row r="176" ht="13.5" customHeight="1">
      <c r="A176" s="80">
        <f t="shared" si="3"/>
        <v>171</v>
      </c>
      <c r="B176" s="26"/>
      <c r="C176" s="39"/>
      <c r="D176" s="40"/>
      <c r="E176" s="42"/>
      <c r="F176" s="84"/>
      <c r="G176" s="45"/>
      <c r="H176" s="45"/>
      <c r="I176" s="46"/>
      <c r="J176" s="136"/>
      <c r="K176" s="137"/>
      <c r="L176" s="138"/>
      <c r="M176" s="39"/>
      <c r="N176" s="39"/>
      <c r="O176" s="39"/>
      <c r="P176" s="55"/>
      <c r="Q176" s="55"/>
      <c r="R176" s="55"/>
      <c r="S176" s="55"/>
      <c r="T176" s="55"/>
      <c r="U176" s="55"/>
      <c r="V176" s="55"/>
    </row>
    <row r="177" ht="13.5" customHeight="1">
      <c r="A177" s="80">
        <f t="shared" si="3"/>
        <v>172</v>
      </c>
      <c r="B177" s="26"/>
      <c r="C177" s="39"/>
      <c r="D177" s="40"/>
      <c r="E177" s="42"/>
      <c r="F177" s="84"/>
      <c r="G177" s="45"/>
      <c r="H177" s="45"/>
      <c r="I177" s="46"/>
      <c r="J177" s="136"/>
      <c r="K177" s="137"/>
      <c r="L177" s="138"/>
      <c r="M177" s="39"/>
      <c r="N177" s="39"/>
      <c r="O177" s="39"/>
      <c r="P177" s="55"/>
      <c r="Q177" s="55"/>
      <c r="R177" s="55"/>
      <c r="S177" s="55"/>
      <c r="T177" s="55"/>
      <c r="U177" s="55"/>
      <c r="V177" s="55"/>
    </row>
    <row r="178" ht="13.5" customHeight="1">
      <c r="A178" s="80">
        <f t="shared" si="3"/>
        <v>173</v>
      </c>
      <c r="B178" s="26"/>
      <c r="C178" s="39"/>
      <c r="D178" s="40"/>
      <c r="E178" s="42"/>
      <c r="F178" s="84"/>
      <c r="G178" s="45"/>
      <c r="H178" s="45"/>
      <c r="I178" s="46"/>
      <c r="J178" s="136"/>
      <c r="K178" s="137"/>
      <c r="L178" s="138"/>
      <c r="M178" s="39"/>
      <c r="N178" s="39"/>
      <c r="O178" s="39"/>
      <c r="P178" s="55"/>
      <c r="Q178" s="55"/>
      <c r="R178" s="55"/>
      <c r="S178" s="55"/>
      <c r="T178" s="55"/>
      <c r="U178" s="55"/>
      <c r="V178" s="55"/>
    </row>
    <row r="179" ht="13.5" customHeight="1">
      <c r="A179" s="80">
        <f t="shared" si="3"/>
        <v>174</v>
      </c>
      <c r="B179" s="26"/>
      <c r="C179" s="39"/>
      <c r="D179" s="40"/>
      <c r="E179" s="42"/>
      <c r="F179" s="84"/>
      <c r="G179" s="45"/>
      <c r="H179" s="45"/>
      <c r="I179" s="46"/>
      <c r="J179" s="136"/>
      <c r="K179" s="137"/>
      <c r="L179" s="138"/>
      <c r="M179" s="39"/>
      <c r="N179" s="39"/>
      <c r="O179" s="39"/>
      <c r="P179" s="55"/>
      <c r="Q179" s="55"/>
      <c r="R179" s="55"/>
      <c r="S179" s="55"/>
      <c r="T179" s="55"/>
      <c r="U179" s="55"/>
      <c r="V179" s="55"/>
    </row>
    <row r="180" ht="13.5" customHeight="1">
      <c r="A180" s="80">
        <f t="shared" si="3"/>
        <v>175</v>
      </c>
      <c r="B180" s="26"/>
      <c r="C180" s="39"/>
      <c r="D180" s="40"/>
      <c r="E180" s="42"/>
      <c r="F180" s="84"/>
      <c r="G180" s="45"/>
      <c r="H180" s="45"/>
      <c r="I180" s="46"/>
      <c r="J180" s="136"/>
      <c r="K180" s="137"/>
      <c r="L180" s="138"/>
      <c r="M180" s="39"/>
      <c r="N180" s="39"/>
      <c r="O180" s="39"/>
      <c r="P180" s="55"/>
      <c r="Q180" s="55"/>
      <c r="R180" s="55"/>
      <c r="S180" s="55"/>
      <c r="T180" s="55"/>
      <c r="U180" s="55"/>
      <c r="V180" s="55"/>
    </row>
    <row r="181" ht="13.5" customHeight="1">
      <c r="A181" s="80">
        <f t="shared" si="3"/>
        <v>176</v>
      </c>
      <c r="B181" s="26"/>
      <c r="C181" s="39"/>
      <c r="D181" s="40"/>
      <c r="E181" s="42"/>
      <c r="F181" s="84"/>
      <c r="G181" s="45"/>
      <c r="H181" s="45"/>
      <c r="I181" s="46"/>
      <c r="J181" s="136"/>
      <c r="K181" s="137"/>
      <c r="L181" s="138"/>
      <c r="M181" s="39"/>
      <c r="N181" s="39"/>
      <c r="O181" s="39"/>
      <c r="P181" s="55"/>
      <c r="Q181" s="55"/>
      <c r="R181" s="55"/>
      <c r="S181" s="55"/>
      <c r="T181" s="55"/>
      <c r="U181" s="55"/>
      <c r="V181" s="55"/>
    </row>
    <row r="182" ht="13.5" customHeight="1">
      <c r="A182" s="80">
        <f t="shared" si="3"/>
        <v>177</v>
      </c>
      <c r="B182" s="26"/>
      <c r="C182" s="39"/>
      <c r="D182" s="40"/>
      <c r="E182" s="42"/>
      <c r="F182" s="84"/>
      <c r="G182" s="45"/>
      <c r="H182" s="45"/>
      <c r="I182" s="46"/>
      <c r="J182" s="136"/>
      <c r="K182" s="137"/>
      <c r="L182" s="138"/>
      <c r="M182" s="39"/>
      <c r="N182" s="39"/>
      <c r="O182" s="39"/>
      <c r="P182" s="55"/>
      <c r="Q182" s="55"/>
      <c r="R182" s="55"/>
      <c r="S182" s="55"/>
      <c r="T182" s="55"/>
      <c r="U182" s="55"/>
      <c r="V182" s="55"/>
    </row>
    <row r="183" ht="13.5" customHeight="1">
      <c r="A183" s="80">
        <f t="shared" si="3"/>
        <v>178</v>
      </c>
      <c r="B183" s="26"/>
      <c r="C183" s="39"/>
      <c r="D183" s="40"/>
      <c r="E183" s="42"/>
      <c r="F183" s="84"/>
      <c r="G183" s="45"/>
      <c r="H183" s="45"/>
      <c r="I183" s="46"/>
      <c r="J183" s="136"/>
      <c r="K183" s="137"/>
      <c r="L183" s="138"/>
      <c r="M183" s="39"/>
      <c r="N183" s="39"/>
      <c r="O183" s="39"/>
      <c r="P183" s="55"/>
      <c r="Q183" s="55"/>
      <c r="R183" s="55"/>
      <c r="S183" s="55"/>
      <c r="T183" s="55"/>
      <c r="U183" s="55"/>
      <c r="V183" s="55"/>
    </row>
    <row r="184" ht="13.5" customHeight="1">
      <c r="A184" s="80">
        <f t="shared" si="3"/>
        <v>179</v>
      </c>
      <c r="B184" s="26"/>
      <c r="C184" s="39"/>
      <c r="D184" s="40"/>
      <c r="E184" s="42"/>
      <c r="F184" s="84"/>
      <c r="G184" s="45"/>
      <c r="H184" s="45"/>
      <c r="I184" s="46"/>
      <c r="J184" s="136"/>
      <c r="K184" s="137"/>
      <c r="L184" s="138"/>
      <c r="M184" s="39"/>
      <c r="N184" s="39"/>
      <c r="O184" s="39"/>
      <c r="P184" s="55"/>
      <c r="Q184" s="55"/>
      <c r="R184" s="55"/>
      <c r="S184" s="55"/>
      <c r="T184" s="55"/>
      <c r="U184" s="55"/>
      <c r="V184" s="55"/>
    </row>
    <row r="185" ht="13.5" customHeight="1">
      <c r="A185" s="80">
        <f t="shared" si="3"/>
        <v>180</v>
      </c>
      <c r="B185" s="26"/>
      <c r="C185" s="39"/>
      <c r="D185" s="40"/>
      <c r="E185" s="42"/>
      <c r="F185" s="84"/>
      <c r="G185" s="45"/>
      <c r="H185" s="45"/>
      <c r="I185" s="46"/>
      <c r="J185" s="136"/>
      <c r="K185" s="137"/>
      <c r="L185" s="138"/>
      <c r="M185" s="39"/>
      <c r="N185" s="39"/>
      <c r="O185" s="39"/>
      <c r="P185" s="55"/>
      <c r="Q185" s="55"/>
      <c r="R185" s="55"/>
      <c r="S185" s="55"/>
      <c r="T185" s="55"/>
      <c r="U185" s="55"/>
      <c r="V185" s="55"/>
    </row>
    <row r="186" ht="13.5" customHeight="1">
      <c r="A186" s="80">
        <f t="shared" si="3"/>
        <v>181</v>
      </c>
      <c r="B186" s="26"/>
      <c r="C186" s="39"/>
      <c r="D186" s="40"/>
      <c r="E186" s="42"/>
      <c r="F186" s="84"/>
      <c r="G186" s="45"/>
      <c r="H186" s="45"/>
      <c r="I186" s="46"/>
      <c r="J186" s="136"/>
      <c r="K186" s="137"/>
      <c r="L186" s="138"/>
      <c r="M186" s="39"/>
      <c r="N186" s="39"/>
      <c r="O186" s="39"/>
      <c r="P186" s="55"/>
      <c r="Q186" s="55"/>
      <c r="R186" s="55"/>
      <c r="S186" s="55"/>
      <c r="T186" s="55"/>
      <c r="U186" s="55"/>
      <c r="V186" s="55"/>
    </row>
    <row r="187" ht="13.5" customHeight="1">
      <c r="A187" s="80">
        <f t="shared" si="3"/>
        <v>182</v>
      </c>
      <c r="B187" s="26"/>
      <c r="C187" s="39"/>
      <c r="D187" s="40"/>
      <c r="E187" s="42"/>
      <c r="F187" s="84"/>
      <c r="G187" s="45"/>
      <c r="H187" s="45"/>
      <c r="I187" s="46"/>
      <c r="J187" s="136"/>
      <c r="K187" s="137"/>
      <c r="L187" s="138"/>
      <c r="M187" s="39"/>
      <c r="N187" s="39"/>
      <c r="O187" s="39"/>
      <c r="P187" s="55"/>
      <c r="Q187" s="55"/>
      <c r="R187" s="55"/>
      <c r="S187" s="55"/>
      <c r="T187" s="55"/>
      <c r="U187" s="55"/>
      <c r="V187" s="55"/>
    </row>
    <row r="188" ht="13.5" customHeight="1">
      <c r="A188" s="80">
        <f t="shared" si="3"/>
        <v>183</v>
      </c>
      <c r="B188" s="26"/>
      <c r="C188" s="39"/>
      <c r="D188" s="40"/>
      <c r="E188" s="42"/>
      <c r="F188" s="84"/>
      <c r="G188" s="45"/>
      <c r="H188" s="45"/>
      <c r="I188" s="46"/>
      <c r="J188" s="136"/>
      <c r="K188" s="137"/>
      <c r="L188" s="138"/>
      <c r="M188" s="39"/>
      <c r="N188" s="39"/>
      <c r="O188" s="39"/>
      <c r="P188" s="55"/>
      <c r="Q188" s="55"/>
      <c r="R188" s="55"/>
      <c r="S188" s="55"/>
      <c r="T188" s="55"/>
      <c r="U188" s="55"/>
      <c r="V188" s="55"/>
    </row>
    <row r="189" ht="13.5" customHeight="1">
      <c r="A189" s="80">
        <f t="shared" si="3"/>
        <v>184</v>
      </c>
      <c r="B189" s="26"/>
      <c r="C189" s="39"/>
      <c r="D189" s="40"/>
      <c r="E189" s="42"/>
      <c r="F189" s="84"/>
      <c r="G189" s="45"/>
      <c r="H189" s="45"/>
      <c r="I189" s="46"/>
      <c r="J189" s="136"/>
      <c r="K189" s="137"/>
      <c r="L189" s="138"/>
      <c r="M189" s="39"/>
      <c r="N189" s="39"/>
      <c r="O189" s="39"/>
      <c r="P189" s="55"/>
      <c r="Q189" s="55"/>
      <c r="R189" s="55"/>
      <c r="S189" s="55"/>
      <c r="T189" s="55"/>
      <c r="U189" s="55"/>
      <c r="V189" s="55"/>
    </row>
    <row r="190" ht="13.5" customHeight="1">
      <c r="A190" s="80">
        <f t="shared" si="3"/>
        <v>185</v>
      </c>
      <c r="B190" s="26"/>
      <c r="C190" s="39"/>
      <c r="D190" s="40"/>
      <c r="E190" s="42"/>
      <c r="F190" s="84"/>
      <c r="G190" s="45"/>
      <c r="H190" s="45"/>
      <c r="I190" s="46"/>
      <c r="J190" s="136"/>
      <c r="K190" s="137"/>
      <c r="L190" s="138"/>
      <c r="M190" s="39"/>
      <c r="N190" s="39"/>
      <c r="O190" s="39"/>
      <c r="P190" s="55"/>
      <c r="Q190" s="55"/>
      <c r="R190" s="55"/>
      <c r="S190" s="55"/>
      <c r="T190" s="55"/>
      <c r="U190" s="55"/>
      <c r="V190" s="55"/>
    </row>
    <row r="191" ht="13.5" customHeight="1">
      <c r="A191" s="80">
        <f t="shared" si="3"/>
        <v>186</v>
      </c>
      <c r="B191" s="26"/>
      <c r="C191" s="39"/>
      <c r="D191" s="40"/>
      <c r="E191" s="42"/>
      <c r="F191" s="84"/>
      <c r="G191" s="45"/>
      <c r="H191" s="45"/>
      <c r="I191" s="46"/>
      <c r="J191" s="136"/>
      <c r="K191" s="137"/>
      <c r="L191" s="138"/>
      <c r="M191" s="39"/>
      <c r="N191" s="39"/>
      <c r="O191" s="39"/>
      <c r="P191" s="55"/>
      <c r="Q191" s="55"/>
      <c r="R191" s="55"/>
      <c r="S191" s="55"/>
      <c r="T191" s="55"/>
      <c r="U191" s="55"/>
      <c r="V191" s="55"/>
    </row>
    <row r="192" ht="13.5" customHeight="1">
      <c r="A192" s="80">
        <f t="shared" si="3"/>
        <v>187</v>
      </c>
      <c r="B192" s="26"/>
      <c r="C192" s="39"/>
      <c r="D192" s="40"/>
      <c r="E192" s="42"/>
      <c r="F192" s="84"/>
      <c r="G192" s="45"/>
      <c r="H192" s="45"/>
      <c r="I192" s="46"/>
      <c r="J192" s="136"/>
      <c r="K192" s="137"/>
      <c r="L192" s="138"/>
      <c r="M192" s="39"/>
      <c r="N192" s="39"/>
      <c r="O192" s="39"/>
      <c r="P192" s="55"/>
      <c r="Q192" s="55"/>
      <c r="R192" s="55"/>
      <c r="S192" s="55"/>
      <c r="T192" s="55"/>
      <c r="U192" s="55"/>
      <c r="V192" s="55"/>
    </row>
    <row r="193" ht="13.5" customHeight="1">
      <c r="A193" s="80">
        <f t="shared" si="3"/>
        <v>188</v>
      </c>
      <c r="B193" s="26"/>
      <c r="C193" s="39"/>
      <c r="D193" s="40"/>
      <c r="E193" s="42"/>
      <c r="F193" s="84"/>
      <c r="G193" s="45"/>
      <c r="H193" s="45"/>
      <c r="I193" s="46"/>
      <c r="J193" s="136"/>
      <c r="K193" s="137"/>
      <c r="L193" s="138"/>
      <c r="M193" s="39"/>
      <c r="N193" s="39"/>
      <c r="O193" s="39"/>
      <c r="P193" s="55"/>
      <c r="Q193" s="55"/>
      <c r="R193" s="55"/>
      <c r="S193" s="55"/>
      <c r="T193" s="55"/>
      <c r="U193" s="55"/>
      <c r="V193" s="55"/>
    </row>
    <row r="194" ht="13.5" customHeight="1">
      <c r="A194" s="80">
        <f t="shared" si="3"/>
        <v>189</v>
      </c>
      <c r="B194" s="26"/>
      <c r="C194" s="39"/>
      <c r="D194" s="40"/>
      <c r="E194" s="42"/>
      <c r="F194" s="84"/>
      <c r="G194" s="45"/>
      <c r="H194" s="45"/>
      <c r="I194" s="46"/>
      <c r="J194" s="136"/>
      <c r="K194" s="137"/>
      <c r="L194" s="138"/>
      <c r="M194" s="39"/>
      <c r="N194" s="39"/>
      <c r="O194" s="39"/>
      <c r="P194" s="55"/>
      <c r="Q194" s="55"/>
      <c r="R194" s="55"/>
      <c r="S194" s="55"/>
      <c r="T194" s="55"/>
      <c r="U194" s="55"/>
      <c r="V194" s="55"/>
    </row>
    <row r="195" ht="13.5" customHeight="1">
      <c r="A195" s="80">
        <f t="shared" si="3"/>
        <v>190</v>
      </c>
      <c r="B195" s="26"/>
      <c r="C195" s="39"/>
      <c r="D195" s="40"/>
      <c r="E195" s="42"/>
      <c r="F195" s="84"/>
      <c r="G195" s="45"/>
      <c r="H195" s="45"/>
      <c r="I195" s="46"/>
      <c r="J195" s="136"/>
      <c r="K195" s="137"/>
      <c r="L195" s="138"/>
      <c r="M195" s="39"/>
      <c r="N195" s="39"/>
      <c r="O195" s="39"/>
      <c r="P195" s="55"/>
      <c r="Q195" s="55"/>
      <c r="R195" s="55"/>
      <c r="S195" s="55"/>
      <c r="T195" s="55"/>
      <c r="U195" s="55"/>
      <c r="V195" s="55"/>
    </row>
    <row r="196" ht="13.5" customHeight="1">
      <c r="A196" s="80">
        <f t="shared" si="3"/>
        <v>191</v>
      </c>
      <c r="B196" s="26"/>
      <c r="C196" s="39"/>
      <c r="D196" s="40"/>
      <c r="E196" s="42"/>
      <c r="F196" s="84"/>
      <c r="G196" s="45"/>
      <c r="H196" s="45"/>
      <c r="I196" s="46"/>
      <c r="J196" s="136"/>
      <c r="K196" s="137"/>
      <c r="L196" s="138"/>
      <c r="M196" s="39"/>
      <c r="N196" s="39"/>
      <c r="O196" s="39"/>
      <c r="P196" s="55"/>
      <c r="Q196" s="55"/>
      <c r="R196" s="55"/>
      <c r="S196" s="55"/>
      <c r="T196" s="55"/>
      <c r="U196" s="55"/>
      <c r="V196" s="55"/>
    </row>
    <row r="197" ht="13.5" customHeight="1">
      <c r="A197" s="80">
        <f t="shared" si="3"/>
        <v>192</v>
      </c>
      <c r="B197" s="26"/>
      <c r="C197" s="39"/>
      <c r="D197" s="40"/>
      <c r="E197" s="42"/>
      <c r="F197" s="84"/>
      <c r="G197" s="45"/>
      <c r="H197" s="45"/>
      <c r="I197" s="46"/>
      <c r="J197" s="136"/>
      <c r="K197" s="137"/>
      <c r="L197" s="138"/>
      <c r="M197" s="39"/>
      <c r="N197" s="39"/>
      <c r="O197" s="39"/>
      <c r="P197" s="55"/>
      <c r="Q197" s="55"/>
      <c r="R197" s="55"/>
      <c r="S197" s="55"/>
      <c r="T197" s="55"/>
      <c r="U197" s="55"/>
      <c r="V197" s="55"/>
    </row>
    <row r="198" ht="13.5" customHeight="1">
      <c r="A198" s="80">
        <f t="shared" si="3"/>
        <v>193</v>
      </c>
      <c r="B198" s="26"/>
      <c r="C198" s="39"/>
      <c r="D198" s="40"/>
      <c r="E198" s="42"/>
      <c r="F198" s="84"/>
      <c r="G198" s="45"/>
      <c r="H198" s="45"/>
      <c r="I198" s="46"/>
      <c r="J198" s="136"/>
      <c r="K198" s="137"/>
      <c r="L198" s="138"/>
      <c r="M198" s="39"/>
      <c r="N198" s="39"/>
      <c r="O198" s="39"/>
      <c r="P198" s="55"/>
      <c r="Q198" s="55"/>
      <c r="R198" s="55"/>
      <c r="S198" s="55"/>
      <c r="T198" s="55"/>
      <c r="U198" s="55"/>
      <c r="V198" s="55"/>
    </row>
    <row r="199" ht="13.5" customHeight="1">
      <c r="A199" s="80">
        <f t="shared" si="3"/>
        <v>194</v>
      </c>
      <c r="B199" s="26"/>
      <c r="C199" s="39"/>
      <c r="D199" s="40"/>
      <c r="E199" s="42"/>
      <c r="F199" s="84"/>
      <c r="G199" s="45"/>
      <c r="H199" s="45"/>
      <c r="I199" s="46"/>
      <c r="J199" s="136"/>
      <c r="K199" s="137"/>
      <c r="L199" s="138"/>
      <c r="M199" s="39"/>
      <c r="N199" s="39"/>
      <c r="O199" s="39"/>
      <c r="P199" s="55"/>
      <c r="Q199" s="55"/>
      <c r="R199" s="55"/>
      <c r="S199" s="55"/>
      <c r="T199" s="55"/>
      <c r="U199" s="55"/>
      <c r="V199" s="55"/>
    </row>
    <row r="200" ht="13.5" customHeight="1">
      <c r="A200" s="80">
        <f t="shared" si="3"/>
        <v>195</v>
      </c>
      <c r="B200" s="26"/>
      <c r="C200" s="39"/>
      <c r="D200" s="40"/>
      <c r="E200" s="42"/>
      <c r="F200" s="84"/>
      <c r="G200" s="45"/>
      <c r="H200" s="45"/>
      <c r="I200" s="46"/>
      <c r="J200" s="136"/>
      <c r="K200" s="137"/>
      <c r="L200" s="138"/>
      <c r="M200" s="39"/>
      <c r="N200" s="39"/>
      <c r="O200" s="39"/>
      <c r="P200" s="55"/>
      <c r="Q200" s="55"/>
      <c r="R200" s="55"/>
      <c r="S200" s="55"/>
      <c r="T200" s="55"/>
      <c r="U200" s="55"/>
      <c r="V200" s="55"/>
    </row>
    <row r="201" ht="13.5" customHeight="1">
      <c r="A201" s="80">
        <f t="shared" si="3"/>
        <v>196</v>
      </c>
      <c r="B201" s="26"/>
      <c r="C201" s="39"/>
      <c r="D201" s="40"/>
      <c r="E201" s="42"/>
      <c r="F201" s="84"/>
      <c r="G201" s="45"/>
      <c r="H201" s="45"/>
      <c r="I201" s="46"/>
      <c r="J201" s="136"/>
      <c r="K201" s="137"/>
      <c r="L201" s="138"/>
      <c r="M201" s="39"/>
      <c r="N201" s="39"/>
      <c r="O201" s="39"/>
      <c r="P201" s="55"/>
      <c r="Q201" s="55"/>
      <c r="R201" s="55"/>
      <c r="S201" s="55"/>
      <c r="T201" s="55"/>
      <c r="U201" s="55"/>
      <c r="V201" s="55"/>
    </row>
    <row r="202" ht="13.5" customHeight="1">
      <c r="A202" s="80">
        <f t="shared" si="3"/>
        <v>197</v>
      </c>
      <c r="B202" s="26"/>
      <c r="C202" s="39"/>
      <c r="D202" s="40"/>
      <c r="E202" s="42"/>
      <c r="F202" s="84"/>
      <c r="G202" s="45"/>
      <c r="H202" s="45"/>
      <c r="I202" s="46"/>
      <c r="J202" s="136"/>
      <c r="K202" s="137"/>
      <c r="L202" s="138"/>
      <c r="M202" s="39"/>
      <c r="N202" s="39"/>
      <c r="O202" s="39"/>
      <c r="P202" s="55"/>
      <c r="Q202" s="55"/>
      <c r="R202" s="55"/>
      <c r="S202" s="55"/>
      <c r="T202" s="55"/>
      <c r="U202" s="55"/>
      <c r="V202" s="55"/>
    </row>
    <row r="203" ht="13.5" customHeight="1">
      <c r="A203" s="80">
        <f t="shared" si="3"/>
        <v>198</v>
      </c>
      <c r="B203" s="26"/>
      <c r="C203" s="39"/>
      <c r="D203" s="40"/>
      <c r="E203" s="42"/>
      <c r="F203" s="84"/>
      <c r="G203" s="45"/>
      <c r="H203" s="45"/>
      <c r="I203" s="46"/>
      <c r="J203" s="136"/>
      <c r="K203" s="137"/>
      <c r="L203" s="138"/>
      <c r="M203" s="39"/>
      <c r="N203" s="39"/>
      <c r="O203" s="39"/>
      <c r="P203" s="55"/>
      <c r="Q203" s="55"/>
      <c r="R203" s="55"/>
      <c r="S203" s="55"/>
      <c r="T203" s="55"/>
      <c r="U203" s="55"/>
      <c r="V203" s="55"/>
    </row>
    <row r="204" ht="13.5" customHeight="1">
      <c r="A204" s="80">
        <f t="shared" si="3"/>
        <v>199</v>
      </c>
      <c r="B204" s="26"/>
      <c r="C204" s="39"/>
      <c r="D204" s="40"/>
      <c r="E204" s="42"/>
      <c r="F204" s="84"/>
      <c r="G204" s="45"/>
      <c r="H204" s="45"/>
      <c r="I204" s="46"/>
      <c r="J204" s="136"/>
      <c r="K204" s="137"/>
      <c r="L204" s="138"/>
      <c r="M204" s="39"/>
      <c r="N204" s="39"/>
      <c r="O204" s="39"/>
      <c r="P204" s="55"/>
      <c r="Q204" s="55"/>
      <c r="R204" s="55"/>
      <c r="S204" s="55"/>
      <c r="T204" s="55"/>
      <c r="U204" s="55"/>
      <c r="V204" s="55"/>
    </row>
    <row r="205" ht="13.5" customHeight="1">
      <c r="A205" s="80">
        <f t="shared" si="3"/>
        <v>200</v>
      </c>
      <c r="B205" s="26"/>
      <c r="C205" s="39"/>
      <c r="D205" s="40"/>
      <c r="E205" s="42"/>
      <c r="F205" s="84"/>
      <c r="G205" s="45"/>
      <c r="H205" s="45"/>
      <c r="I205" s="46"/>
      <c r="J205" s="136"/>
      <c r="K205" s="137"/>
      <c r="L205" s="138"/>
      <c r="M205" s="39"/>
      <c r="N205" s="39"/>
      <c r="O205" s="39"/>
      <c r="P205" s="55"/>
      <c r="Q205" s="55"/>
      <c r="R205" s="55"/>
      <c r="S205" s="55"/>
      <c r="T205" s="55"/>
      <c r="U205" s="55"/>
      <c r="V205" s="55"/>
    </row>
    <row r="206" ht="13.5" customHeight="1">
      <c r="A206" s="80">
        <f t="shared" si="3"/>
        <v>201</v>
      </c>
      <c r="B206" s="26"/>
      <c r="C206" s="39"/>
      <c r="D206" s="40"/>
      <c r="E206" s="42"/>
      <c r="F206" s="84"/>
      <c r="G206" s="45"/>
      <c r="H206" s="45"/>
      <c r="I206" s="46"/>
      <c r="J206" s="136"/>
      <c r="K206" s="137"/>
      <c r="L206" s="138"/>
      <c r="M206" s="39"/>
      <c r="N206" s="39"/>
      <c r="O206" s="39"/>
      <c r="P206" s="55"/>
      <c r="Q206" s="55"/>
      <c r="R206" s="55"/>
      <c r="S206" s="55"/>
      <c r="T206" s="55"/>
      <c r="U206" s="55"/>
      <c r="V206" s="55"/>
    </row>
    <row r="207" ht="13.5" customHeight="1">
      <c r="A207" s="80">
        <f t="shared" si="3"/>
        <v>202</v>
      </c>
      <c r="B207" s="26"/>
      <c r="C207" s="39"/>
      <c r="D207" s="40"/>
      <c r="E207" s="42"/>
      <c r="F207" s="84"/>
      <c r="G207" s="45"/>
      <c r="H207" s="45"/>
      <c r="I207" s="46"/>
      <c r="J207" s="136"/>
      <c r="K207" s="137"/>
      <c r="L207" s="138"/>
      <c r="M207" s="39"/>
      <c r="N207" s="39"/>
      <c r="O207" s="39"/>
      <c r="P207" s="55"/>
      <c r="Q207" s="55"/>
      <c r="R207" s="55"/>
      <c r="S207" s="55"/>
      <c r="T207" s="55"/>
      <c r="U207" s="55"/>
      <c r="V207" s="55"/>
    </row>
    <row r="208" ht="13.5" customHeight="1">
      <c r="A208" s="80">
        <f t="shared" si="3"/>
        <v>203</v>
      </c>
      <c r="B208" s="26"/>
      <c r="C208" s="39"/>
      <c r="D208" s="40"/>
      <c r="E208" s="42"/>
      <c r="F208" s="84"/>
      <c r="G208" s="45"/>
      <c r="H208" s="45"/>
      <c r="I208" s="46"/>
      <c r="J208" s="136"/>
      <c r="K208" s="137"/>
      <c r="L208" s="138"/>
      <c r="M208" s="39"/>
      <c r="N208" s="39"/>
      <c r="O208" s="39"/>
      <c r="P208" s="55"/>
      <c r="Q208" s="55"/>
      <c r="R208" s="55"/>
      <c r="S208" s="55"/>
      <c r="T208" s="55"/>
      <c r="U208" s="55"/>
      <c r="V208" s="55"/>
    </row>
    <row r="209" ht="13.5" customHeight="1">
      <c r="A209" s="80">
        <f t="shared" si="3"/>
        <v>204</v>
      </c>
      <c r="B209" s="26"/>
      <c r="C209" s="39"/>
      <c r="D209" s="40"/>
      <c r="E209" s="42"/>
      <c r="F209" s="84"/>
      <c r="G209" s="45"/>
      <c r="H209" s="45"/>
      <c r="I209" s="46"/>
      <c r="J209" s="136"/>
      <c r="K209" s="137"/>
      <c r="L209" s="138"/>
      <c r="M209" s="39"/>
      <c r="N209" s="39"/>
      <c r="O209" s="39"/>
      <c r="P209" s="55"/>
      <c r="Q209" s="55"/>
      <c r="R209" s="55"/>
      <c r="S209" s="55"/>
      <c r="T209" s="55"/>
      <c r="U209" s="55"/>
      <c r="V209" s="55"/>
    </row>
    <row r="210" ht="13.5" customHeight="1">
      <c r="A210" s="80">
        <f t="shared" si="3"/>
        <v>205</v>
      </c>
      <c r="B210" s="26"/>
      <c r="C210" s="39"/>
      <c r="D210" s="40"/>
      <c r="E210" s="42"/>
      <c r="F210" s="84"/>
      <c r="G210" s="45"/>
      <c r="H210" s="45"/>
      <c r="I210" s="46"/>
      <c r="J210" s="136"/>
      <c r="K210" s="137"/>
      <c r="L210" s="138"/>
      <c r="M210" s="39"/>
      <c r="N210" s="39"/>
      <c r="O210" s="39"/>
      <c r="P210" s="55"/>
      <c r="Q210" s="55"/>
      <c r="R210" s="55"/>
      <c r="S210" s="55"/>
      <c r="T210" s="55"/>
      <c r="U210" s="55"/>
      <c r="V210" s="55"/>
    </row>
    <row r="211" ht="13.5" customHeight="1">
      <c r="A211" s="80">
        <f t="shared" si="3"/>
        <v>206</v>
      </c>
      <c r="B211" s="26"/>
      <c r="C211" s="39"/>
      <c r="D211" s="40"/>
      <c r="E211" s="42"/>
      <c r="F211" s="84"/>
      <c r="G211" s="45"/>
      <c r="H211" s="45"/>
      <c r="I211" s="46"/>
      <c r="J211" s="136"/>
      <c r="K211" s="137"/>
      <c r="L211" s="138"/>
      <c r="M211" s="39"/>
      <c r="N211" s="39"/>
      <c r="O211" s="39"/>
      <c r="P211" s="55"/>
      <c r="Q211" s="55"/>
      <c r="R211" s="55"/>
      <c r="S211" s="55"/>
      <c r="T211" s="55"/>
      <c r="U211" s="55"/>
      <c r="V211" s="55"/>
    </row>
    <row r="212" ht="13.5" customHeight="1">
      <c r="A212" s="80">
        <f t="shared" si="3"/>
        <v>207</v>
      </c>
      <c r="B212" s="26"/>
      <c r="C212" s="39"/>
      <c r="D212" s="40"/>
      <c r="E212" s="42"/>
      <c r="F212" s="84"/>
      <c r="G212" s="45"/>
      <c r="H212" s="45"/>
      <c r="I212" s="46"/>
      <c r="J212" s="136"/>
      <c r="K212" s="137"/>
      <c r="L212" s="138"/>
      <c r="M212" s="39"/>
      <c r="N212" s="39"/>
      <c r="O212" s="39"/>
      <c r="P212" s="55"/>
      <c r="Q212" s="55"/>
      <c r="R212" s="55"/>
      <c r="S212" s="55"/>
      <c r="T212" s="55"/>
      <c r="U212" s="55"/>
      <c r="V212" s="55"/>
    </row>
    <row r="213" ht="13.5" customHeight="1">
      <c r="A213" s="80">
        <f t="shared" si="3"/>
        <v>208</v>
      </c>
      <c r="B213" s="26"/>
      <c r="C213" s="39"/>
      <c r="D213" s="40"/>
      <c r="E213" s="42"/>
      <c r="F213" s="84"/>
      <c r="G213" s="45"/>
      <c r="H213" s="45"/>
      <c r="I213" s="46"/>
      <c r="J213" s="136"/>
      <c r="K213" s="137"/>
      <c r="L213" s="138"/>
      <c r="M213" s="39"/>
      <c r="N213" s="39"/>
      <c r="O213" s="39"/>
      <c r="P213" s="55"/>
      <c r="Q213" s="55"/>
      <c r="R213" s="55"/>
      <c r="S213" s="55"/>
      <c r="T213" s="55"/>
      <c r="U213" s="55"/>
      <c r="V213" s="55"/>
    </row>
    <row r="214" ht="13.5" customHeight="1">
      <c r="A214" s="80">
        <f t="shared" si="3"/>
        <v>209</v>
      </c>
      <c r="B214" s="26"/>
      <c r="C214" s="39"/>
      <c r="D214" s="40"/>
      <c r="E214" s="42"/>
      <c r="F214" s="84"/>
      <c r="G214" s="45"/>
      <c r="H214" s="45"/>
      <c r="I214" s="46"/>
      <c r="J214" s="136"/>
      <c r="K214" s="137"/>
      <c r="L214" s="138"/>
      <c r="M214" s="39"/>
      <c r="N214" s="39"/>
      <c r="O214" s="39"/>
      <c r="P214" s="55"/>
      <c r="Q214" s="55"/>
      <c r="R214" s="55"/>
      <c r="S214" s="55"/>
      <c r="T214" s="55"/>
      <c r="U214" s="55"/>
      <c r="V214" s="55"/>
    </row>
    <row r="215" ht="13.5" customHeight="1">
      <c r="A215" s="80">
        <f t="shared" si="3"/>
        <v>210</v>
      </c>
      <c r="B215" s="26"/>
      <c r="C215" s="39"/>
      <c r="D215" s="40"/>
      <c r="E215" s="42"/>
      <c r="F215" s="84"/>
      <c r="G215" s="45"/>
      <c r="H215" s="45"/>
      <c r="I215" s="46"/>
      <c r="J215" s="136"/>
      <c r="K215" s="137"/>
      <c r="L215" s="138"/>
      <c r="M215" s="39"/>
      <c r="N215" s="39"/>
      <c r="O215" s="39"/>
      <c r="P215" s="55"/>
      <c r="Q215" s="55"/>
      <c r="R215" s="55"/>
      <c r="S215" s="55"/>
      <c r="T215" s="55"/>
      <c r="U215" s="55"/>
      <c r="V215" s="55"/>
    </row>
    <row r="216" ht="13.5" customHeight="1">
      <c r="A216" s="80">
        <f t="shared" si="3"/>
        <v>211</v>
      </c>
      <c r="B216" s="26"/>
      <c r="C216" s="39"/>
      <c r="D216" s="40"/>
      <c r="E216" s="42"/>
      <c r="F216" s="84"/>
      <c r="G216" s="45"/>
      <c r="H216" s="45"/>
      <c r="I216" s="46"/>
      <c r="J216" s="136"/>
      <c r="K216" s="137"/>
      <c r="L216" s="138"/>
      <c r="M216" s="39"/>
      <c r="N216" s="39"/>
      <c r="O216" s="39"/>
      <c r="P216" s="55"/>
      <c r="Q216" s="55"/>
      <c r="R216" s="55"/>
      <c r="S216" s="55"/>
      <c r="T216" s="55"/>
      <c r="U216" s="55"/>
      <c r="V216" s="55"/>
    </row>
    <row r="217" ht="13.5" customHeight="1">
      <c r="A217" s="80">
        <f t="shared" si="3"/>
        <v>212</v>
      </c>
      <c r="B217" s="26"/>
      <c r="C217" s="39"/>
      <c r="D217" s="40"/>
      <c r="E217" s="42"/>
      <c r="F217" s="84"/>
      <c r="G217" s="45"/>
      <c r="H217" s="45"/>
      <c r="I217" s="46"/>
      <c r="J217" s="136"/>
      <c r="K217" s="137"/>
      <c r="L217" s="138"/>
      <c r="M217" s="39"/>
      <c r="N217" s="39"/>
      <c r="O217" s="39"/>
      <c r="P217" s="55"/>
      <c r="Q217" s="55"/>
      <c r="R217" s="55"/>
      <c r="S217" s="55"/>
      <c r="T217" s="55"/>
      <c r="U217" s="55"/>
      <c r="V217" s="55"/>
    </row>
    <row r="218" ht="13.5" customHeight="1">
      <c r="A218" s="80">
        <f t="shared" si="3"/>
        <v>213</v>
      </c>
      <c r="B218" s="26"/>
      <c r="C218" s="39"/>
      <c r="D218" s="40"/>
      <c r="E218" s="42"/>
      <c r="F218" s="84"/>
      <c r="G218" s="45"/>
      <c r="H218" s="45"/>
      <c r="I218" s="46"/>
      <c r="J218" s="136"/>
      <c r="K218" s="137"/>
      <c r="L218" s="138"/>
      <c r="M218" s="39"/>
      <c r="N218" s="39"/>
      <c r="O218" s="39"/>
      <c r="P218" s="55"/>
      <c r="Q218" s="55"/>
      <c r="R218" s="55"/>
      <c r="S218" s="55"/>
      <c r="T218" s="55"/>
      <c r="U218" s="55"/>
      <c r="V218" s="55"/>
    </row>
    <row r="219" ht="13.5" customHeight="1">
      <c r="A219" s="80">
        <f t="shared" si="3"/>
        <v>214</v>
      </c>
      <c r="B219" s="26"/>
      <c r="C219" s="39"/>
      <c r="D219" s="40"/>
      <c r="E219" s="42"/>
      <c r="F219" s="84"/>
      <c r="G219" s="45"/>
      <c r="H219" s="45"/>
      <c r="I219" s="46"/>
      <c r="J219" s="136"/>
      <c r="K219" s="137"/>
      <c r="L219" s="138"/>
      <c r="M219" s="39"/>
      <c r="N219" s="39"/>
      <c r="O219" s="39"/>
      <c r="P219" s="55"/>
      <c r="Q219" s="55"/>
      <c r="R219" s="55"/>
      <c r="S219" s="55"/>
      <c r="T219" s="55"/>
      <c r="U219" s="55"/>
      <c r="V219" s="55"/>
    </row>
    <row r="220" ht="13.5" customHeight="1">
      <c r="A220" s="80">
        <f t="shared" si="3"/>
        <v>215</v>
      </c>
      <c r="B220" s="26"/>
      <c r="C220" s="39"/>
      <c r="D220" s="40"/>
      <c r="E220" s="42"/>
      <c r="F220" s="84"/>
      <c r="G220" s="45"/>
      <c r="H220" s="45"/>
      <c r="I220" s="46"/>
      <c r="J220" s="136"/>
      <c r="K220" s="137"/>
      <c r="L220" s="138"/>
      <c r="M220" s="39"/>
      <c r="N220" s="39"/>
      <c r="O220" s="39"/>
      <c r="P220" s="55"/>
      <c r="Q220" s="55"/>
      <c r="R220" s="55"/>
      <c r="S220" s="55"/>
      <c r="T220" s="55"/>
      <c r="U220" s="55"/>
      <c r="V220" s="55"/>
    </row>
    <row r="221" ht="13.5" customHeight="1">
      <c r="A221" s="80">
        <f t="shared" si="3"/>
        <v>216</v>
      </c>
      <c r="B221" s="26"/>
      <c r="C221" s="39"/>
      <c r="D221" s="40"/>
      <c r="E221" s="42"/>
      <c r="F221" s="84"/>
      <c r="G221" s="45"/>
      <c r="H221" s="45"/>
      <c r="I221" s="46"/>
      <c r="J221" s="136"/>
      <c r="K221" s="137"/>
      <c r="L221" s="138"/>
      <c r="M221" s="39"/>
      <c r="N221" s="39"/>
      <c r="O221" s="39"/>
      <c r="P221" s="55"/>
      <c r="Q221" s="55"/>
      <c r="R221" s="55"/>
      <c r="S221" s="55"/>
      <c r="T221" s="55"/>
      <c r="U221" s="55"/>
      <c r="V221" s="55"/>
    </row>
    <row r="222" ht="13.5" customHeight="1">
      <c r="A222" s="80">
        <f t="shared" si="3"/>
        <v>217</v>
      </c>
      <c r="B222" s="26"/>
      <c r="C222" s="39"/>
      <c r="D222" s="40"/>
      <c r="E222" s="42"/>
      <c r="F222" s="84"/>
      <c r="G222" s="45"/>
      <c r="H222" s="45"/>
      <c r="I222" s="46"/>
      <c r="J222" s="136"/>
      <c r="K222" s="137"/>
      <c r="L222" s="138"/>
      <c r="M222" s="39"/>
      <c r="N222" s="39"/>
      <c r="O222" s="39"/>
      <c r="P222" s="55"/>
      <c r="Q222" s="55"/>
      <c r="R222" s="55"/>
      <c r="S222" s="55"/>
      <c r="T222" s="55"/>
      <c r="U222" s="55"/>
      <c r="V222" s="55"/>
    </row>
    <row r="223" ht="13.5" customHeight="1">
      <c r="A223" s="80">
        <f t="shared" si="3"/>
        <v>218</v>
      </c>
      <c r="B223" s="26"/>
      <c r="C223" s="39"/>
      <c r="D223" s="40"/>
      <c r="E223" s="42"/>
      <c r="F223" s="84"/>
      <c r="G223" s="45"/>
      <c r="H223" s="45"/>
      <c r="I223" s="46"/>
      <c r="J223" s="136"/>
      <c r="K223" s="137"/>
      <c r="L223" s="138"/>
      <c r="M223" s="39"/>
      <c r="N223" s="39"/>
      <c r="O223" s="39"/>
      <c r="P223" s="55"/>
      <c r="Q223" s="55"/>
      <c r="R223" s="55"/>
      <c r="S223" s="55"/>
      <c r="T223" s="55"/>
      <c r="U223" s="55"/>
      <c r="V223" s="55"/>
    </row>
    <row r="224" ht="13.5" customHeight="1">
      <c r="A224" s="80">
        <f t="shared" si="3"/>
        <v>219</v>
      </c>
      <c r="B224" s="26"/>
      <c r="C224" s="39"/>
      <c r="D224" s="40"/>
      <c r="E224" s="42"/>
      <c r="F224" s="84"/>
      <c r="G224" s="45"/>
      <c r="H224" s="45"/>
      <c r="I224" s="46"/>
      <c r="J224" s="136"/>
      <c r="K224" s="137"/>
      <c r="L224" s="138"/>
      <c r="M224" s="39"/>
      <c r="N224" s="39"/>
      <c r="O224" s="39"/>
      <c r="P224" s="55"/>
      <c r="Q224" s="55"/>
      <c r="R224" s="55"/>
      <c r="S224" s="55"/>
      <c r="T224" s="55"/>
      <c r="U224" s="55"/>
      <c r="V224" s="55"/>
    </row>
    <row r="225" ht="13.5" customHeight="1">
      <c r="A225" s="80">
        <f t="shared" si="3"/>
        <v>220</v>
      </c>
      <c r="B225" s="26"/>
      <c r="C225" s="39"/>
      <c r="D225" s="40"/>
      <c r="E225" s="42"/>
      <c r="F225" s="84"/>
      <c r="G225" s="45"/>
      <c r="H225" s="45"/>
      <c r="I225" s="46"/>
      <c r="J225" s="136"/>
      <c r="K225" s="137"/>
      <c r="L225" s="138"/>
      <c r="M225" s="39"/>
      <c r="N225" s="39"/>
      <c r="O225" s="39"/>
      <c r="P225" s="55"/>
      <c r="Q225" s="55"/>
      <c r="R225" s="55"/>
      <c r="S225" s="55"/>
      <c r="T225" s="55"/>
      <c r="U225" s="55"/>
      <c r="V225" s="55"/>
    </row>
    <row r="226" ht="13.5" customHeight="1">
      <c r="A226" s="80">
        <f t="shared" si="3"/>
        <v>221</v>
      </c>
      <c r="B226" s="26"/>
      <c r="C226" s="39"/>
      <c r="D226" s="40"/>
      <c r="E226" s="42"/>
      <c r="F226" s="84"/>
      <c r="G226" s="45"/>
      <c r="H226" s="45"/>
      <c r="I226" s="46"/>
      <c r="J226" s="136"/>
      <c r="K226" s="137"/>
      <c r="L226" s="138"/>
      <c r="M226" s="39"/>
      <c r="N226" s="39"/>
      <c r="O226" s="39"/>
      <c r="P226" s="55"/>
      <c r="Q226" s="55"/>
      <c r="R226" s="55"/>
      <c r="S226" s="55"/>
      <c r="T226" s="55"/>
      <c r="U226" s="55"/>
      <c r="V226" s="55"/>
    </row>
    <row r="227" ht="13.5" customHeight="1">
      <c r="A227" s="80">
        <f t="shared" si="3"/>
        <v>222</v>
      </c>
      <c r="B227" s="26"/>
      <c r="C227" s="39"/>
      <c r="D227" s="40"/>
      <c r="E227" s="42"/>
      <c r="F227" s="84"/>
      <c r="G227" s="45"/>
      <c r="H227" s="45"/>
      <c r="I227" s="46"/>
      <c r="J227" s="136"/>
      <c r="K227" s="137"/>
      <c r="L227" s="138"/>
      <c r="M227" s="39"/>
      <c r="N227" s="39"/>
      <c r="O227" s="39"/>
      <c r="P227" s="55"/>
      <c r="Q227" s="55"/>
      <c r="R227" s="55"/>
      <c r="S227" s="55"/>
      <c r="T227" s="55"/>
      <c r="U227" s="55"/>
      <c r="V227" s="55"/>
    </row>
    <row r="228" ht="13.5" customHeight="1">
      <c r="A228" s="80">
        <f t="shared" si="3"/>
        <v>223</v>
      </c>
      <c r="B228" s="26"/>
      <c r="C228" s="39"/>
      <c r="D228" s="40"/>
      <c r="E228" s="42"/>
      <c r="F228" s="84"/>
      <c r="G228" s="45"/>
      <c r="H228" s="45"/>
      <c r="I228" s="46"/>
      <c r="J228" s="136"/>
      <c r="K228" s="137"/>
      <c r="L228" s="138"/>
      <c r="M228" s="39"/>
      <c r="N228" s="39"/>
      <c r="O228" s="39"/>
      <c r="P228" s="55"/>
      <c r="Q228" s="55"/>
      <c r="R228" s="55"/>
      <c r="S228" s="55"/>
      <c r="T228" s="55"/>
      <c r="U228" s="55"/>
      <c r="V228" s="55"/>
    </row>
    <row r="229" ht="13.5" customHeight="1">
      <c r="A229" s="80">
        <f t="shared" si="3"/>
        <v>224</v>
      </c>
      <c r="B229" s="26"/>
      <c r="C229" s="39"/>
      <c r="D229" s="40"/>
      <c r="E229" s="42"/>
      <c r="F229" s="84"/>
      <c r="G229" s="45"/>
      <c r="H229" s="45"/>
      <c r="I229" s="46"/>
      <c r="J229" s="136"/>
      <c r="K229" s="137"/>
      <c r="L229" s="138"/>
      <c r="M229" s="39"/>
      <c r="N229" s="39"/>
      <c r="O229" s="39"/>
      <c r="P229" s="55"/>
      <c r="Q229" s="55"/>
      <c r="R229" s="55"/>
      <c r="S229" s="55"/>
      <c r="T229" s="55"/>
      <c r="U229" s="55"/>
      <c r="V229" s="55"/>
    </row>
    <row r="230" ht="13.5" customHeight="1">
      <c r="A230" s="80">
        <f t="shared" si="3"/>
        <v>225</v>
      </c>
      <c r="B230" s="26"/>
      <c r="C230" s="39"/>
      <c r="D230" s="40"/>
      <c r="E230" s="42"/>
      <c r="F230" s="84"/>
      <c r="G230" s="45"/>
      <c r="H230" s="45"/>
      <c r="I230" s="46"/>
      <c r="J230" s="136"/>
      <c r="K230" s="137"/>
      <c r="L230" s="138"/>
      <c r="M230" s="39"/>
      <c r="N230" s="39"/>
      <c r="O230" s="39"/>
      <c r="P230" s="55"/>
      <c r="Q230" s="55"/>
      <c r="R230" s="55"/>
      <c r="S230" s="55"/>
      <c r="T230" s="55"/>
      <c r="U230" s="55"/>
      <c r="V230" s="55"/>
    </row>
    <row r="231" ht="13.5" customHeight="1">
      <c r="A231" s="80">
        <f t="shared" si="3"/>
        <v>226</v>
      </c>
      <c r="B231" s="26"/>
      <c r="C231" s="39"/>
      <c r="D231" s="40"/>
      <c r="E231" s="42"/>
      <c r="F231" s="84"/>
      <c r="G231" s="45"/>
      <c r="H231" s="45"/>
      <c r="I231" s="46"/>
      <c r="J231" s="136"/>
      <c r="K231" s="137"/>
      <c r="L231" s="138"/>
      <c r="M231" s="39"/>
      <c r="N231" s="39"/>
      <c r="O231" s="39"/>
      <c r="P231" s="55"/>
      <c r="Q231" s="55"/>
      <c r="R231" s="55"/>
      <c r="S231" s="55"/>
      <c r="T231" s="55"/>
      <c r="U231" s="55"/>
      <c r="V231" s="55"/>
    </row>
    <row r="232" ht="13.5" customHeight="1">
      <c r="A232" s="80">
        <f t="shared" si="3"/>
        <v>227</v>
      </c>
      <c r="B232" s="26"/>
      <c r="C232" s="39"/>
      <c r="D232" s="40"/>
      <c r="E232" s="42"/>
      <c r="F232" s="84"/>
      <c r="G232" s="45"/>
      <c r="H232" s="45"/>
      <c r="I232" s="46"/>
      <c r="J232" s="136"/>
      <c r="K232" s="137"/>
      <c r="L232" s="138"/>
      <c r="M232" s="39"/>
      <c r="N232" s="39"/>
      <c r="O232" s="39"/>
      <c r="P232" s="55"/>
      <c r="Q232" s="55"/>
      <c r="R232" s="55"/>
      <c r="S232" s="55"/>
      <c r="T232" s="55"/>
      <c r="U232" s="55"/>
      <c r="V232" s="55"/>
    </row>
    <row r="233" ht="13.5" customHeight="1">
      <c r="A233" s="80">
        <f t="shared" si="3"/>
        <v>228</v>
      </c>
      <c r="B233" s="26"/>
      <c r="C233" s="39"/>
      <c r="D233" s="40"/>
      <c r="E233" s="42"/>
      <c r="F233" s="84"/>
      <c r="G233" s="45"/>
      <c r="H233" s="45"/>
      <c r="I233" s="46"/>
      <c r="J233" s="136"/>
      <c r="K233" s="137"/>
      <c r="L233" s="138"/>
      <c r="M233" s="39"/>
      <c r="N233" s="39"/>
      <c r="O233" s="39"/>
      <c r="P233" s="55"/>
      <c r="Q233" s="55"/>
      <c r="R233" s="55"/>
      <c r="S233" s="55"/>
      <c r="T233" s="55"/>
      <c r="U233" s="55"/>
      <c r="V233" s="55"/>
    </row>
    <row r="234" ht="13.5" customHeight="1">
      <c r="A234" s="80">
        <f t="shared" si="3"/>
        <v>229</v>
      </c>
      <c r="B234" s="26"/>
      <c r="C234" s="39"/>
      <c r="D234" s="40"/>
      <c r="E234" s="42"/>
      <c r="F234" s="84"/>
      <c r="G234" s="45"/>
      <c r="H234" s="45"/>
      <c r="I234" s="46"/>
      <c r="J234" s="136"/>
      <c r="K234" s="137"/>
      <c r="L234" s="138"/>
      <c r="M234" s="39"/>
      <c r="N234" s="39"/>
      <c r="O234" s="39"/>
      <c r="P234" s="55"/>
      <c r="Q234" s="55"/>
      <c r="R234" s="55"/>
      <c r="S234" s="55"/>
      <c r="T234" s="55"/>
      <c r="U234" s="55"/>
      <c r="V234" s="55"/>
    </row>
    <row r="235" ht="13.5" customHeight="1">
      <c r="A235" s="80">
        <f t="shared" si="3"/>
        <v>230</v>
      </c>
      <c r="B235" s="26"/>
      <c r="C235" s="39"/>
      <c r="D235" s="40"/>
      <c r="E235" s="42"/>
      <c r="F235" s="84"/>
      <c r="G235" s="45"/>
      <c r="H235" s="45"/>
      <c r="I235" s="46"/>
      <c r="J235" s="136"/>
      <c r="K235" s="137"/>
      <c r="L235" s="138"/>
      <c r="M235" s="39"/>
      <c r="N235" s="39"/>
      <c r="O235" s="39"/>
      <c r="P235" s="55"/>
      <c r="Q235" s="55"/>
      <c r="R235" s="55"/>
      <c r="S235" s="55"/>
      <c r="T235" s="55"/>
      <c r="U235" s="55"/>
      <c r="V235" s="55"/>
    </row>
    <row r="236" ht="13.5" customHeight="1">
      <c r="A236" s="80">
        <f t="shared" si="3"/>
        <v>231</v>
      </c>
      <c r="B236" s="26"/>
      <c r="C236" s="39"/>
      <c r="D236" s="40"/>
      <c r="E236" s="42"/>
      <c r="F236" s="84"/>
      <c r="G236" s="45"/>
      <c r="H236" s="45"/>
      <c r="I236" s="46"/>
      <c r="J236" s="136"/>
      <c r="K236" s="137"/>
      <c r="L236" s="138"/>
      <c r="M236" s="39"/>
      <c r="N236" s="39"/>
      <c r="O236" s="39"/>
      <c r="P236" s="55"/>
      <c r="Q236" s="55"/>
      <c r="R236" s="55"/>
      <c r="S236" s="55"/>
      <c r="T236" s="55"/>
      <c r="U236" s="55"/>
      <c r="V236" s="55"/>
    </row>
    <row r="237" ht="13.5" customHeight="1">
      <c r="A237" s="80">
        <f t="shared" si="3"/>
        <v>232</v>
      </c>
      <c r="B237" s="26"/>
      <c r="C237" s="39"/>
      <c r="D237" s="40"/>
      <c r="E237" s="42"/>
      <c r="F237" s="84"/>
      <c r="G237" s="45"/>
      <c r="H237" s="45"/>
      <c r="I237" s="46"/>
      <c r="J237" s="136"/>
      <c r="K237" s="137"/>
      <c r="L237" s="138"/>
      <c r="M237" s="39"/>
      <c r="N237" s="39"/>
      <c r="O237" s="39"/>
      <c r="P237" s="55"/>
      <c r="Q237" s="55"/>
      <c r="R237" s="55"/>
      <c r="S237" s="55"/>
      <c r="T237" s="55"/>
      <c r="U237" s="55"/>
      <c r="V237" s="55"/>
    </row>
    <row r="238" ht="13.5" customHeight="1">
      <c r="A238" s="80">
        <f t="shared" si="3"/>
        <v>233</v>
      </c>
      <c r="B238" s="26"/>
      <c r="C238" s="39"/>
      <c r="D238" s="40"/>
      <c r="E238" s="42"/>
      <c r="F238" s="84"/>
      <c r="G238" s="45"/>
      <c r="H238" s="45"/>
      <c r="I238" s="46"/>
      <c r="J238" s="136"/>
      <c r="K238" s="137"/>
      <c r="L238" s="138"/>
      <c r="M238" s="39"/>
      <c r="N238" s="39"/>
      <c r="O238" s="39"/>
      <c r="P238" s="55"/>
      <c r="Q238" s="55"/>
      <c r="R238" s="55"/>
      <c r="S238" s="55"/>
      <c r="T238" s="55"/>
      <c r="U238" s="55"/>
      <c r="V238" s="55"/>
    </row>
    <row r="239" ht="13.5" customHeight="1">
      <c r="A239" s="80">
        <f t="shared" si="3"/>
        <v>234</v>
      </c>
      <c r="B239" s="26"/>
      <c r="C239" s="39"/>
      <c r="D239" s="40"/>
      <c r="E239" s="42"/>
      <c r="F239" s="84"/>
      <c r="G239" s="45"/>
      <c r="H239" s="45"/>
      <c r="I239" s="46"/>
      <c r="J239" s="136"/>
      <c r="K239" s="137"/>
      <c r="L239" s="138"/>
      <c r="M239" s="39"/>
      <c r="N239" s="39"/>
      <c r="O239" s="39"/>
      <c r="P239" s="55"/>
      <c r="Q239" s="55"/>
      <c r="R239" s="55"/>
      <c r="S239" s="55"/>
      <c r="T239" s="55"/>
      <c r="U239" s="55"/>
      <c r="V239" s="55"/>
    </row>
    <row r="240" ht="13.5" customHeight="1">
      <c r="A240" s="80">
        <f t="shared" si="3"/>
        <v>235</v>
      </c>
      <c r="B240" s="26"/>
      <c r="C240" s="39"/>
      <c r="D240" s="40"/>
      <c r="E240" s="42"/>
      <c r="F240" s="84"/>
      <c r="G240" s="45"/>
      <c r="H240" s="45"/>
      <c r="I240" s="46"/>
      <c r="J240" s="136"/>
      <c r="K240" s="137"/>
      <c r="L240" s="138"/>
      <c r="M240" s="39"/>
      <c r="N240" s="39"/>
      <c r="O240" s="39"/>
      <c r="P240" s="55"/>
      <c r="Q240" s="55"/>
      <c r="R240" s="55"/>
      <c r="S240" s="55"/>
      <c r="T240" s="55"/>
      <c r="U240" s="55"/>
      <c r="V240" s="55"/>
    </row>
    <row r="241" ht="13.5" customHeight="1">
      <c r="A241" s="80">
        <f t="shared" si="3"/>
        <v>236</v>
      </c>
      <c r="B241" s="26"/>
      <c r="C241" s="39"/>
      <c r="D241" s="40"/>
      <c r="E241" s="42"/>
      <c r="F241" s="84"/>
      <c r="G241" s="45"/>
      <c r="H241" s="45"/>
      <c r="I241" s="46"/>
      <c r="J241" s="136"/>
      <c r="K241" s="137"/>
      <c r="L241" s="138"/>
      <c r="M241" s="39"/>
      <c r="N241" s="39"/>
      <c r="O241" s="39"/>
      <c r="P241" s="55"/>
      <c r="Q241" s="55"/>
      <c r="R241" s="55"/>
      <c r="S241" s="55"/>
      <c r="T241" s="55"/>
      <c r="U241" s="55"/>
      <c r="V241" s="55"/>
    </row>
    <row r="242" ht="13.5" customHeight="1">
      <c r="A242" s="80">
        <f t="shared" si="3"/>
        <v>237</v>
      </c>
      <c r="B242" s="26"/>
      <c r="C242" s="39"/>
      <c r="D242" s="40"/>
      <c r="E242" s="42"/>
      <c r="F242" s="84"/>
      <c r="G242" s="45"/>
      <c r="H242" s="45"/>
      <c r="I242" s="46"/>
      <c r="J242" s="136"/>
      <c r="K242" s="137"/>
      <c r="L242" s="138"/>
      <c r="M242" s="39"/>
      <c r="N242" s="39"/>
      <c r="O242" s="39"/>
      <c r="P242" s="55"/>
      <c r="Q242" s="55"/>
      <c r="R242" s="55"/>
      <c r="S242" s="55"/>
      <c r="T242" s="55"/>
      <c r="U242" s="55"/>
      <c r="V242" s="55"/>
    </row>
    <row r="243" ht="13.5" customHeight="1">
      <c r="A243" s="80">
        <f t="shared" si="3"/>
        <v>238</v>
      </c>
      <c r="B243" s="26"/>
      <c r="C243" s="39"/>
      <c r="D243" s="40"/>
      <c r="E243" s="42"/>
      <c r="F243" s="84"/>
      <c r="G243" s="45"/>
      <c r="H243" s="45"/>
      <c r="I243" s="46"/>
      <c r="J243" s="136"/>
      <c r="K243" s="137"/>
      <c r="L243" s="138"/>
      <c r="M243" s="39"/>
      <c r="N243" s="39"/>
      <c r="O243" s="39"/>
      <c r="P243" s="55"/>
      <c r="Q243" s="55"/>
      <c r="R243" s="55"/>
      <c r="S243" s="55"/>
      <c r="T243" s="55"/>
      <c r="U243" s="55"/>
      <c r="V243" s="55"/>
    </row>
    <row r="244" ht="13.5" customHeight="1">
      <c r="A244" s="80">
        <f t="shared" si="3"/>
        <v>239</v>
      </c>
      <c r="B244" s="26"/>
      <c r="C244" s="39"/>
      <c r="D244" s="40"/>
      <c r="E244" s="42"/>
      <c r="F244" s="84"/>
      <c r="G244" s="45"/>
      <c r="H244" s="45"/>
      <c r="I244" s="46"/>
      <c r="J244" s="136"/>
      <c r="K244" s="137"/>
      <c r="L244" s="138"/>
      <c r="M244" s="39"/>
      <c r="N244" s="39"/>
      <c r="O244" s="39"/>
      <c r="P244" s="55"/>
      <c r="Q244" s="55"/>
      <c r="R244" s="55"/>
      <c r="S244" s="55"/>
      <c r="T244" s="55"/>
      <c r="U244" s="55"/>
      <c r="V244" s="55"/>
    </row>
    <row r="245" ht="13.5" customHeight="1">
      <c r="A245" s="80">
        <f t="shared" si="3"/>
        <v>240</v>
      </c>
      <c r="B245" s="26"/>
      <c r="C245" s="39"/>
      <c r="D245" s="40"/>
      <c r="E245" s="42"/>
      <c r="F245" s="84"/>
      <c r="G245" s="45"/>
      <c r="H245" s="45"/>
      <c r="I245" s="46"/>
      <c r="J245" s="136"/>
      <c r="K245" s="137"/>
      <c r="L245" s="138"/>
      <c r="M245" s="39"/>
      <c r="N245" s="39"/>
      <c r="O245" s="39"/>
      <c r="P245" s="55"/>
      <c r="Q245" s="55"/>
      <c r="R245" s="55"/>
      <c r="S245" s="55"/>
      <c r="T245" s="55"/>
      <c r="U245" s="55"/>
      <c r="V245" s="55"/>
    </row>
    <row r="246" ht="13.5" customHeight="1">
      <c r="A246" s="80">
        <f t="shared" si="3"/>
        <v>241</v>
      </c>
      <c r="B246" s="26"/>
      <c r="C246" s="39"/>
      <c r="D246" s="40"/>
      <c r="E246" s="42"/>
      <c r="F246" s="84"/>
      <c r="G246" s="45"/>
      <c r="H246" s="45"/>
      <c r="I246" s="46"/>
      <c r="J246" s="136"/>
      <c r="K246" s="137"/>
      <c r="L246" s="138"/>
      <c r="M246" s="39"/>
      <c r="N246" s="39"/>
      <c r="O246" s="39"/>
      <c r="P246" s="55"/>
      <c r="Q246" s="55"/>
      <c r="R246" s="55"/>
      <c r="S246" s="55"/>
      <c r="T246" s="55"/>
      <c r="U246" s="55"/>
      <c r="V246" s="55"/>
    </row>
    <row r="247" ht="13.5" customHeight="1">
      <c r="A247" s="80">
        <f t="shared" si="3"/>
        <v>242</v>
      </c>
      <c r="B247" s="26"/>
      <c r="C247" s="39"/>
      <c r="D247" s="40"/>
      <c r="E247" s="42"/>
      <c r="F247" s="84"/>
      <c r="G247" s="45"/>
      <c r="H247" s="45"/>
      <c r="I247" s="46"/>
      <c r="J247" s="136"/>
      <c r="K247" s="137"/>
      <c r="L247" s="138"/>
      <c r="M247" s="39"/>
      <c r="N247" s="39"/>
      <c r="O247" s="39"/>
      <c r="P247" s="55"/>
      <c r="Q247" s="55"/>
      <c r="R247" s="55"/>
      <c r="S247" s="55"/>
      <c r="T247" s="55"/>
      <c r="U247" s="55"/>
      <c r="V247" s="55"/>
    </row>
    <row r="248" ht="13.5" customHeight="1">
      <c r="A248" s="80">
        <f t="shared" si="3"/>
        <v>243</v>
      </c>
      <c r="B248" s="26"/>
      <c r="C248" s="39"/>
      <c r="D248" s="40"/>
      <c r="E248" s="42"/>
      <c r="F248" s="84"/>
      <c r="G248" s="45"/>
      <c r="H248" s="45"/>
      <c r="I248" s="46"/>
      <c r="J248" s="136"/>
      <c r="K248" s="137"/>
      <c r="L248" s="138"/>
      <c r="M248" s="39"/>
      <c r="N248" s="39"/>
      <c r="O248" s="39"/>
      <c r="P248" s="55"/>
      <c r="Q248" s="55"/>
      <c r="R248" s="55"/>
      <c r="S248" s="55"/>
      <c r="T248" s="55"/>
      <c r="U248" s="55"/>
      <c r="V248" s="55"/>
    </row>
    <row r="249" ht="13.5" customHeight="1">
      <c r="A249" s="80">
        <f t="shared" si="3"/>
        <v>244</v>
      </c>
      <c r="B249" s="26"/>
      <c r="C249" s="39"/>
      <c r="D249" s="40"/>
      <c r="E249" s="42"/>
      <c r="F249" s="84"/>
      <c r="G249" s="45"/>
      <c r="H249" s="45"/>
      <c r="I249" s="46"/>
      <c r="J249" s="136"/>
      <c r="K249" s="137"/>
      <c r="L249" s="138"/>
      <c r="M249" s="39"/>
      <c r="N249" s="39"/>
      <c r="O249" s="39"/>
      <c r="P249" s="55"/>
      <c r="Q249" s="55"/>
      <c r="R249" s="55"/>
      <c r="S249" s="55"/>
      <c r="T249" s="55"/>
      <c r="U249" s="55"/>
      <c r="V249" s="55"/>
    </row>
    <row r="250" ht="13.5" customHeight="1">
      <c r="A250" s="80">
        <f t="shared" si="3"/>
        <v>245</v>
      </c>
      <c r="B250" s="26"/>
      <c r="C250" s="39"/>
      <c r="D250" s="40"/>
      <c r="E250" s="42"/>
      <c r="F250" s="84"/>
      <c r="G250" s="45"/>
      <c r="H250" s="45"/>
      <c r="I250" s="46"/>
      <c r="J250" s="136"/>
      <c r="K250" s="137"/>
      <c r="L250" s="138"/>
      <c r="M250" s="39"/>
      <c r="N250" s="39"/>
      <c r="O250" s="39"/>
      <c r="P250" s="55"/>
      <c r="Q250" s="55"/>
      <c r="R250" s="55"/>
      <c r="S250" s="55"/>
      <c r="T250" s="55"/>
      <c r="U250" s="55"/>
      <c r="V250" s="55"/>
    </row>
    <row r="251" ht="13.5" customHeight="1">
      <c r="A251" s="80">
        <f t="shared" si="3"/>
        <v>246</v>
      </c>
      <c r="B251" s="26"/>
      <c r="C251" s="39"/>
      <c r="D251" s="40"/>
      <c r="E251" s="42"/>
      <c r="F251" s="84"/>
      <c r="G251" s="45"/>
      <c r="H251" s="45"/>
      <c r="I251" s="46"/>
      <c r="J251" s="136"/>
      <c r="K251" s="137"/>
      <c r="L251" s="138"/>
      <c r="M251" s="39"/>
      <c r="N251" s="39"/>
      <c r="O251" s="39"/>
      <c r="P251" s="55"/>
      <c r="Q251" s="55"/>
      <c r="R251" s="55"/>
      <c r="S251" s="55"/>
      <c r="T251" s="55"/>
      <c r="U251" s="55"/>
      <c r="V251" s="55"/>
    </row>
    <row r="252" ht="13.5" customHeight="1">
      <c r="A252" s="80">
        <f t="shared" si="3"/>
        <v>247</v>
      </c>
      <c r="B252" s="26"/>
      <c r="C252" s="39"/>
      <c r="D252" s="40"/>
      <c r="E252" s="42"/>
      <c r="F252" s="84"/>
      <c r="G252" s="45"/>
      <c r="H252" s="45"/>
      <c r="I252" s="46"/>
      <c r="J252" s="136"/>
      <c r="K252" s="137"/>
      <c r="L252" s="138"/>
      <c r="M252" s="39"/>
      <c r="N252" s="39"/>
      <c r="O252" s="39"/>
      <c r="P252" s="55"/>
      <c r="Q252" s="55"/>
      <c r="R252" s="55"/>
      <c r="S252" s="55"/>
      <c r="T252" s="55"/>
      <c r="U252" s="55"/>
      <c r="V252" s="55"/>
    </row>
    <row r="253" ht="13.5" customHeight="1">
      <c r="A253" s="80">
        <f t="shared" si="3"/>
        <v>248</v>
      </c>
      <c r="B253" s="26"/>
      <c r="C253" s="39"/>
      <c r="D253" s="40"/>
      <c r="E253" s="42"/>
      <c r="F253" s="84"/>
      <c r="G253" s="45"/>
      <c r="H253" s="45"/>
      <c r="I253" s="46"/>
      <c r="J253" s="136"/>
      <c r="K253" s="137"/>
      <c r="L253" s="138"/>
      <c r="M253" s="39"/>
      <c r="N253" s="39"/>
      <c r="O253" s="39"/>
      <c r="P253" s="55"/>
      <c r="Q253" s="55"/>
      <c r="R253" s="55"/>
      <c r="S253" s="55"/>
      <c r="T253" s="55"/>
      <c r="U253" s="55"/>
      <c r="V253" s="55"/>
    </row>
    <row r="254" ht="13.5" customHeight="1">
      <c r="A254" s="80">
        <f t="shared" si="3"/>
        <v>249</v>
      </c>
      <c r="B254" s="26"/>
      <c r="C254" s="39"/>
      <c r="D254" s="40"/>
      <c r="E254" s="42"/>
      <c r="F254" s="84"/>
      <c r="G254" s="45"/>
      <c r="H254" s="45"/>
      <c r="I254" s="46"/>
      <c r="J254" s="136"/>
      <c r="K254" s="137"/>
      <c r="L254" s="138"/>
      <c r="M254" s="39"/>
      <c r="N254" s="39"/>
      <c r="O254" s="39"/>
      <c r="P254" s="55"/>
      <c r="Q254" s="55"/>
      <c r="R254" s="55"/>
      <c r="S254" s="55"/>
      <c r="T254" s="55"/>
      <c r="U254" s="55"/>
      <c r="V254" s="55"/>
    </row>
    <row r="255" ht="13.5" customHeight="1">
      <c r="A255" s="80">
        <f t="shared" si="3"/>
        <v>250</v>
      </c>
      <c r="B255" s="26"/>
      <c r="C255" s="39"/>
      <c r="D255" s="40"/>
      <c r="E255" s="42"/>
      <c r="F255" s="84"/>
      <c r="G255" s="45"/>
      <c r="H255" s="45"/>
      <c r="I255" s="46"/>
      <c r="J255" s="136"/>
      <c r="K255" s="137"/>
      <c r="L255" s="138"/>
      <c r="M255" s="39"/>
      <c r="N255" s="39"/>
      <c r="O255" s="39"/>
      <c r="P255" s="55"/>
      <c r="Q255" s="55"/>
      <c r="R255" s="55"/>
      <c r="S255" s="55"/>
      <c r="T255" s="55"/>
      <c r="U255" s="55"/>
      <c r="V255" s="55"/>
    </row>
    <row r="256" ht="13.5" customHeight="1">
      <c r="A256" s="80">
        <f t="shared" si="3"/>
        <v>251</v>
      </c>
      <c r="B256" s="26"/>
      <c r="C256" s="39"/>
      <c r="D256" s="40"/>
      <c r="E256" s="42"/>
      <c r="F256" s="84"/>
      <c r="G256" s="45"/>
      <c r="H256" s="45"/>
      <c r="I256" s="46"/>
      <c r="J256" s="136"/>
      <c r="K256" s="137"/>
      <c r="L256" s="138"/>
      <c r="M256" s="39"/>
      <c r="N256" s="39"/>
      <c r="O256" s="39"/>
      <c r="P256" s="55"/>
      <c r="Q256" s="55"/>
      <c r="R256" s="55"/>
      <c r="S256" s="55"/>
      <c r="T256" s="55"/>
      <c r="U256" s="55"/>
      <c r="V256" s="55"/>
    </row>
    <row r="257" ht="13.5" customHeight="1">
      <c r="A257" s="80">
        <f t="shared" si="3"/>
        <v>252</v>
      </c>
      <c r="B257" s="26"/>
      <c r="C257" s="39"/>
      <c r="D257" s="40"/>
      <c r="E257" s="42"/>
      <c r="F257" s="84"/>
      <c r="G257" s="45"/>
      <c r="H257" s="45"/>
      <c r="I257" s="46"/>
      <c r="J257" s="136"/>
      <c r="K257" s="137"/>
      <c r="L257" s="138"/>
      <c r="M257" s="39"/>
      <c r="N257" s="39"/>
      <c r="O257" s="39"/>
      <c r="P257" s="55"/>
      <c r="Q257" s="55"/>
      <c r="R257" s="55"/>
      <c r="S257" s="55"/>
      <c r="T257" s="55"/>
      <c r="U257" s="55"/>
      <c r="V257" s="55"/>
    </row>
    <row r="258" ht="13.5" customHeight="1">
      <c r="A258" s="80">
        <f t="shared" si="3"/>
        <v>253</v>
      </c>
      <c r="B258" s="26"/>
      <c r="C258" s="39"/>
      <c r="D258" s="40"/>
      <c r="E258" s="42"/>
      <c r="F258" s="84"/>
      <c r="G258" s="45"/>
      <c r="H258" s="45"/>
      <c r="I258" s="46"/>
      <c r="J258" s="136"/>
      <c r="K258" s="137"/>
      <c r="L258" s="138"/>
      <c r="M258" s="39"/>
      <c r="N258" s="39"/>
      <c r="O258" s="39"/>
      <c r="P258" s="55"/>
      <c r="Q258" s="55"/>
      <c r="R258" s="55"/>
      <c r="S258" s="55"/>
      <c r="T258" s="55"/>
      <c r="U258" s="55"/>
      <c r="V258" s="55"/>
    </row>
    <row r="259" ht="13.5" customHeight="1">
      <c r="A259" s="80">
        <f t="shared" si="3"/>
        <v>254</v>
      </c>
      <c r="B259" s="26"/>
      <c r="C259" s="39"/>
      <c r="D259" s="40"/>
      <c r="E259" s="42"/>
      <c r="F259" s="84"/>
      <c r="G259" s="45"/>
      <c r="H259" s="45"/>
      <c r="I259" s="46"/>
      <c r="J259" s="136"/>
      <c r="K259" s="137"/>
      <c r="L259" s="138"/>
      <c r="M259" s="39"/>
      <c r="N259" s="39"/>
      <c r="O259" s="39"/>
      <c r="P259" s="55"/>
      <c r="Q259" s="55"/>
      <c r="R259" s="55"/>
      <c r="S259" s="55"/>
      <c r="T259" s="55"/>
      <c r="U259" s="55"/>
      <c r="V259" s="55"/>
    </row>
    <row r="260" ht="13.5" customHeight="1">
      <c r="A260" s="80">
        <f t="shared" si="3"/>
        <v>255</v>
      </c>
      <c r="B260" s="26"/>
      <c r="C260" s="39"/>
      <c r="D260" s="40"/>
      <c r="E260" s="42"/>
      <c r="F260" s="84"/>
      <c r="G260" s="45"/>
      <c r="H260" s="45"/>
      <c r="I260" s="46"/>
      <c r="J260" s="136"/>
      <c r="K260" s="137"/>
      <c r="L260" s="138"/>
      <c r="M260" s="39"/>
      <c r="N260" s="39"/>
      <c r="O260" s="39"/>
      <c r="P260" s="55"/>
      <c r="Q260" s="55"/>
      <c r="R260" s="55"/>
      <c r="S260" s="55"/>
      <c r="T260" s="55"/>
      <c r="U260" s="55"/>
      <c r="V260" s="55"/>
    </row>
    <row r="261" ht="13.5" customHeight="1">
      <c r="A261" s="80">
        <f t="shared" si="3"/>
        <v>256</v>
      </c>
      <c r="B261" s="26"/>
      <c r="C261" s="39"/>
      <c r="D261" s="40"/>
      <c r="E261" s="42"/>
      <c r="F261" s="84"/>
      <c r="G261" s="45"/>
      <c r="H261" s="45"/>
      <c r="I261" s="46"/>
      <c r="J261" s="136"/>
      <c r="K261" s="137"/>
      <c r="L261" s="138"/>
      <c r="M261" s="39"/>
      <c r="N261" s="39"/>
      <c r="O261" s="39"/>
      <c r="P261" s="55"/>
      <c r="Q261" s="55"/>
      <c r="R261" s="55"/>
      <c r="S261" s="55"/>
      <c r="T261" s="55"/>
      <c r="U261" s="55"/>
      <c r="V261" s="55"/>
    </row>
    <row r="262" ht="13.5" customHeight="1">
      <c r="A262" s="80">
        <f t="shared" si="3"/>
        <v>257</v>
      </c>
      <c r="B262" s="26"/>
      <c r="C262" s="39"/>
      <c r="D262" s="40"/>
      <c r="E262" s="42"/>
      <c r="F262" s="84"/>
      <c r="G262" s="45"/>
      <c r="H262" s="45"/>
      <c r="I262" s="46"/>
      <c r="J262" s="136"/>
      <c r="K262" s="137"/>
      <c r="L262" s="138"/>
      <c r="M262" s="39"/>
      <c r="N262" s="39"/>
      <c r="O262" s="39"/>
      <c r="P262" s="55"/>
      <c r="Q262" s="55"/>
      <c r="R262" s="55"/>
      <c r="S262" s="55"/>
      <c r="T262" s="55"/>
      <c r="U262" s="55"/>
      <c r="V262" s="55"/>
    </row>
    <row r="263" ht="13.5" customHeight="1">
      <c r="A263" s="80">
        <f t="shared" si="3"/>
        <v>258</v>
      </c>
      <c r="B263" s="26"/>
      <c r="C263" s="39"/>
      <c r="D263" s="40"/>
      <c r="E263" s="42"/>
      <c r="F263" s="84"/>
      <c r="G263" s="45"/>
      <c r="H263" s="45"/>
      <c r="I263" s="46"/>
      <c r="J263" s="136"/>
      <c r="K263" s="137"/>
      <c r="L263" s="138"/>
      <c r="M263" s="39"/>
      <c r="N263" s="39"/>
      <c r="O263" s="39"/>
      <c r="P263" s="55"/>
      <c r="Q263" s="55"/>
      <c r="R263" s="55"/>
      <c r="S263" s="55"/>
      <c r="T263" s="55"/>
      <c r="U263" s="55"/>
      <c r="V263" s="55"/>
    </row>
    <row r="264" ht="13.5" customHeight="1">
      <c r="A264" s="80">
        <f t="shared" si="3"/>
        <v>259</v>
      </c>
      <c r="B264" s="26"/>
      <c r="C264" s="39"/>
      <c r="D264" s="40"/>
      <c r="E264" s="42"/>
      <c r="F264" s="84"/>
      <c r="G264" s="45"/>
      <c r="H264" s="45"/>
      <c r="I264" s="46"/>
      <c r="J264" s="136"/>
      <c r="K264" s="137"/>
      <c r="L264" s="138"/>
      <c r="M264" s="39"/>
      <c r="N264" s="39"/>
      <c r="O264" s="39"/>
      <c r="P264" s="55"/>
      <c r="Q264" s="55"/>
      <c r="R264" s="55"/>
      <c r="S264" s="55"/>
      <c r="T264" s="55"/>
      <c r="U264" s="55"/>
      <c r="V264" s="55"/>
    </row>
    <row r="265" ht="13.5" customHeight="1">
      <c r="A265" s="80">
        <f t="shared" si="3"/>
        <v>260</v>
      </c>
      <c r="B265" s="26"/>
      <c r="C265" s="39"/>
      <c r="D265" s="40"/>
      <c r="E265" s="42"/>
      <c r="F265" s="84"/>
      <c r="G265" s="45"/>
      <c r="H265" s="45"/>
      <c r="I265" s="46"/>
      <c r="J265" s="136"/>
      <c r="K265" s="137"/>
      <c r="L265" s="138"/>
      <c r="M265" s="39"/>
      <c r="N265" s="39"/>
      <c r="O265" s="39"/>
      <c r="P265" s="55"/>
      <c r="Q265" s="55"/>
      <c r="R265" s="55"/>
      <c r="S265" s="55"/>
      <c r="T265" s="55"/>
      <c r="U265" s="55"/>
      <c r="V265" s="55"/>
    </row>
    <row r="266" ht="13.5" customHeight="1">
      <c r="A266" s="80">
        <f t="shared" si="3"/>
        <v>261</v>
      </c>
      <c r="B266" s="26"/>
      <c r="C266" s="39"/>
      <c r="D266" s="40"/>
      <c r="E266" s="42"/>
      <c r="F266" s="84"/>
      <c r="G266" s="45"/>
      <c r="H266" s="45"/>
      <c r="I266" s="46"/>
      <c r="J266" s="136"/>
      <c r="K266" s="137"/>
      <c r="L266" s="138"/>
      <c r="M266" s="39"/>
      <c r="N266" s="39"/>
      <c r="O266" s="39"/>
      <c r="P266" s="55"/>
      <c r="Q266" s="55"/>
      <c r="R266" s="55"/>
      <c r="S266" s="55"/>
      <c r="T266" s="55"/>
      <c r="U266" s="55"/>
      <c r="V266" s="55"/>
    </row>
    <row r="267" ht="13.5" customHeight="1">
      <c r="A267" s="80">
        <f t="shared" si="3"/>
        <v>262</v>
      </c>
      <c r="B267" s="26"/>
      <c r="C267" s="39"/>
      <c r="D267" s="40"/>
      <c r="E267" s="42"/>
      <c r="F267" s="84"/>
      <c r="G267" s="45"/>
      <c r="H267" s="45"/>
      <c r="I267" s="46"/>
      <c r="J267" s="136"/>
      <c r="K267" s="137"/>
      <c r="L267" s="138"/>
      <c r="M267" s="39"/>
      <c r="N267" s="39"/>
      <c r="O267" s="39"/>
      <c r="P267" s="55"/>
      <c r="Q267" s="55"/>
      <c r="R267" s="55"/>
      <c r="S267" s="55"/>
      <c r="T267" s="55"/>
      <c r="U267" s="55"/>
      <c r="V267" s="55"/>
    </row>
    <row r="268" ht="13.5" customHeight="1">
      <c r="A268" s="80">
        <f t="shared" si="3"/>
        <v>263</v>
      </c>
      <c r="B268" s="26"/>
      <c r="C268" s="39"/>
      <c r="D268" s="40"/>
      <c r="E268" s="42"/>
      <c r="F268" s="84"/>
      <c r="G268" s="45"/>
      <c r="H268" s="45"/>
      <c r="I268" s="46"/>
      <c r="J268" s="136"/>
      <c r="K268" s="137"/>
      <c r="L268" s="138"/>
      <c r="M268" s="39"/>
      <c r="N268" s="39"/>
      <c r="O268" s="39"/>
      <c r="P268" s="55"/>
      <c r="Q268" s="55"/>
      <c r="R268" s="55"/>
      <c r="S268" s="55"/>
      <c r="T268" s="55"/>
      <c r="U268" s="55"/>
      <c r="V268" s="55"/>
    </row>
    <row r="269" ht="13.5" customHeight="1">
      <c r="A269" s="80">
        <f t="shared" si="3"/>
        <v>264</v>
      </c>
      <c r="B269" s="26"/>
      <c r="C269" s="39"/>
      <c r="D269" s="40"/>
      <c r="E269" s="42"/>
      <c r="F269" s="84"/>
      <c r="G269" s="45"/>
      <c r="H269" s="45"/>
      <c r="I269" s="46"/>
      <c r="J269" s="136"/>
      <c r="K269" s="137"/>
      <c r="L269" s="138"/>
      <c r="M269" s="39"/>
      <c r="N269" s="39"/>
      <c r="O269" s="39"/>
      <c r="P269" s="55"/>
      <c r="Q269" s="55"/>
      <c r="R269" s="55"/>
      <c r="S269" s="55"/>
      <c r="T269" s="55"/>
      <c r="U269" s="55"/>
      <c r="V269" s="55"/>
    </row>
    <row r="270" ht="13.5" customHeight="1">
      <c r="A270" s="80">
        <f t="shared" si="3"/>
        <v>265</v>
      </c>
      <c r="B270" s="26"/>
      <c r="C270" s="39"/>
      <c r="D270" s="40"/>
      <c r="E270" s="42"/>
      <c r="F270" s="84"/>
      <c r="G270" s="45"/>
      <c r="H270" s="45"/>
      <c r="I270" s="46"/>
      <c r="J270" s="136"/>
      <c r="K270" s="137"/>
      <c r="L270" s="138"/>
      <c r="M270" s="39"/>
      <c r="N270" s="39"/>
      <c r="O270" s="39"/>
      <c r="P270" s="55"/>
      <c r="Q270" s="55"/>
      <c r="R270" s="55"/>
      <c r="S270" s="55"/>
      <c r="T270" s="55"/>
      <c r="U270" s="55"/>
      <c r="V270" s="55"/>
    </row>
    <row r="271" ht="13.5" customHeight="1">
      <c r="A271" s="80">
        <f t="shared" si="3"/>
        <v>266</v>
      </c>
      <c r="B271" s="26"/>
      <c r="C271" s="39"/>
      <c r="D271" s="40"/>
      <c r="E271" s="42"/>
      <c r="F271" s="84"/>
      <c r="G271" s="45"/>
      <c r="H271" s="45"/>
      <c r="I271" s="46"/>
      <c r="J271" s="136"/>
      <c r="K271" s="137"/>
      <c r="L271" s="138"/>
      <c r="M271" s="39"/>
      <c r="N271" s="39"/>
      <c r="O271" s="39"/>
      <c r="P271" s="55"/>
      <c r="Q271" s="55"/>
      <c r="R271" s="55"/>
      <c r="S271" s="55"/>
      <c r="T271" s="55"/>
      <c r="U271" s="55"/>
      <c r="V271" s="55"/>
    </row>
    <row r="272" ht="13.5" customHeight="1">
      <c r="A272" s="80">
        <f t="shared" si="3"/>
        <v>267</v>
      </c>
      <c r="B272" s="26"/>
      <c r="C272" s="39"/>
      <c r="D272" s="40"/>
      <c r="E272" s="42"/>
      <c r="F272" s="84"/>
      <c r="G272" s="45"/>
      <c r="H272" s="45"/>
      <c r="I272" s="46"/>
      <c r="J272" s="136"/>
      <c r="K272" s="137"/>
      <c r="L272" s="138"/>
      <c r="M272" s="39"/>
      <c r="N272" s="39"/>
      <c r="O272" s="39"/>
      <c r="P272" s="55"/>
      <c r="Q272" s="55"/>
      <c r="R272" s="55"/>
      <c r="S272" s="55"/>
      <c r="T272" s="55"/>
      <c r="U272" s="55"/>
      <c r="V272" s="55"/>
    </row>
    <row r="273" ht="13.5" customHeight="1">
      <c r="A273" s="80">
        <f t="shared" si="3"/>
        <v>268</v>
      </c>
      <c r="B273" s="26"/>
      <c r="C273" s="39"/>
      <c r="D273" s="40"/>
      <c r="E273" s="42"/>
      <c r="F273" s="84"/>
      <c r="G273" s="45"/>
      <c r="H273" s="45"/>
      <c r="I273" s="46"/>
      <c r="J273" s="136"/>
      <c r="K273" s="137"/>
      <c r="L273" s="138"/>
      <c r="M273" s="39"/>
      <c r="N273" s="39"/>
      <c r="O273" s="39"/>
      <c r="P273" s="55"/>
      <c r="Q273" s="55"/>
      <c r="R273" s="55"/>
      <c r="S273" s="55"/>
      <c r="T273" s="55"/>
      <c r="U273" s="55"/>
      <c r="V273" s="55"/>
    </row>
    <row r="274" ht="13.5" customHeight="1">
      <c r="A274" s="80">
        <f t="shared" si="3"/>
        <v>269</v>
      </c>
      <c r="B274" s="26"/>
      <c r="C274" s="39"/>
      <c r="D274" s="40"/>
      <c r="E274" s="42"/>
      <c r="F274" s="84"/>
      <c r="G274" s="45"/>
      <c r="H274" s="45"/>
      <c r="I274" s="46"/>
      <c r="J274" s="136"/>
      <c r="K274" s="137"/>
      <c r="L274" s="138"/>
      <c r="M274" s="39"/>
      <c r="N274" s="39"/>
      <c r="O274" s="39"/>
      <c r="P274" s="55"/>
      <c r="Q274" s="55"/>
      <c r="R274" s="55"/>
      <c r="S274" s="55"/>
      <c r="T274" s="55"/>
      <c r="U274" s="55"/>
      <c r="V274" s="55"/>
    </row>
    <row r="275" ht="13.5" customHeight="1">
      <c r="A275" s="80">
        <f t="shared" si="3"/>
        <v>270</v>
      </c>
      <c r="B275" s="26"/>
      <c r="C275" s="39"/>
      <c r="D275" s="40"/>
      <c r="E275" s="42"/>
      <c r="F275" s="84"/>
      <c r="G275" s="45"/>
      <c r="H275" s="45"/>
      <c r="I275" s="46"/>
      <c r="J275" s="136"/>
      <c r="K275" s="137"/>
      <c r="L275" s="138"/>
      <c r="M275" s="39"/>
      <c r="N275" s="39"/>
      <c r="O275" s="39"/>
      <c r="P275" s="55"/>
      <c r="Q275" s="55"/>
      <c r="R275" s="55"/>
      <c r="S275" s="55"/>
      <c r="T275" s="55"/>
      <c r="U275" s="55"/>
      <c r="V275" s="55"/>
    </row>
    <row r="276" ht="13.5" customHeight="1">
      <c r="A276" s="80">
        <f t="shared" si="3"/>
        <v>271</v>
      </c>
      <c r="B276" s="26"/>
      <c r="C276" s="39"/>
      <c r="D276" s="40"/>
      <c r="E276" s="42"/>
      <c r="F276" s="84"/>
      <c r="G276" s="45"/>
      <c r="H276" s="45"/>
      <c r="I276" s="46"/>
      <c r="J276" s="136"/>
      <c r="K276" s="137"/>
      <c r="L276" s="138"/>
      <c r="M276" s="39"/>
      <c r="N276" s="39"/>
      <c r="O276" s="39"/>
      <c r="P276" s="55"/>
      <c r="Q276" s="55"/>
      <c r="R276" s="55"/>
      <c r="S276" s="55"/>
      <c r="T276" s="55"/>
      <c r="U276" s="55"/>
      <c r="V276" s="55"/>
    </row>
    <row r="277" ht="13.5" customHeight="1">
      <c r="A277" s="80">
        <f t="shared" si="3"/>
        <v>272</v>
      </c>
      <c r="B277" s="26"/>
      <c r="C277" s="39"/>
      <c r="D277" s="40"/>
      <c r="E277" s="42"/>
      <c r="F277" s="84"/>
      <c r="G277" s="45"/>
      <c r="H277" s="45"/>
      <c r="I277" s="46"/>
      <c r="J277" s="136"/>
      <c r="K277" s="137"/>
      <c r="L277" s="138"/>
      <c r="M277" s="39"/>
      <c r="N277" s="39"/>
      <c r="O277" s="39"/>
      <c r="P277" s="55"/>
      <c r="Q277" s="55"/>
      <c r="R277" s="55"/>
      <c r="S277" s="55"/>
      <c r="T277" s="55"/>
      <c r="U277" s="55"/>
      <c r="V277" s="55"/>
    </row>
    <row r="278" ht="13.5" customHeight="1">
      <c r="A278" s="80">
        <f t="shared" si="3"/>
        <v>273</v>
      </c>
      <c r="B278" s="26"/>
      <c r="C278" s="39"/>
      <c r="D278" s="40"/>
      <c r="E278" s="42"/>
      <c r="F278" s="84"/>
      <c r="G278" s="45"/>
      <c r="H278" s="45"/>
      <c r="I278" s="46"/>
      <c r="J278" s="136"/>
      <c r="K278" s="137"/>
      <c r="L278" s="138"/>
      <c r="M278" s="39"/>
      <c r="N278" s="39"/>
      <c r="O278" s="39"/>
      <c r="P278" s="55"/>
      <c r="Q278" s="55"/>
      <c r="R278" s="55"/>
      <c r="S278" s="55"/>
      <c r="T278" s="55"/>
      <c r="U278" s="55"/>
      <c r="V278" s="55"/>
    </row>
    <row r="279" ht="13.5" customHeight="1">
      <c r="A279" s="80">
        <f t="shared" si="3"/>
        <v>274</v>
      </c>
      <c r="B279" s="26"/>
      <c r="C279" s="39"/>
      <c r="D279" s="40"/>
      <c r="E279" s="42"/>
      <c r="F279" s="84"/>
      <c r="G279" s="45"/>
      <c r="H279" s="45"/>
      <c r="I279" s="46"/>
      <c r="J279" s="136"/>
      <c r="K279" s="137"/>
      <c r="L279" s="138"/>
      <c r="M279" s="39"/>
      <c r="N279" s="39"/>
      <c r="O279" s="39"/>
      <c r="P279" s="55"/>
      <c r="Q279" s="55"/>
      <c r="R279" s="55"/>
      <c r="S279" s="55"/>
      <c r="T279" s="55"/>
      <c r="U279" s="55"/>
      <c r="V279" s="55"/>
    </row>
    <row r="280" ht="13.5" customHeight="1">
      <c r="A280" s="80">
        <f t="shared" si="3"/>
        <v>275</v>
      </c>
      <c r="B280" s="26"/>
      <c r="C280" s="39"/>
      <c r="D280" s="40"/>
      <c r="E280" s="42"/>
      <c r="F280" s="84"/>
      <c r="G280" s="45"/>
      <c r="H280" s="45"/>
      <c r="I280" s="46"/>
      <c r="J280" s="136"/>
      <c r="K280" s="137"/>
      <c r="L280" s="138"/>
      <c r="M280" s="39"/>
      <c r="N280" s="39"/>
      <c r="O280" s="39"/>
      <c r="P280" s="55"/>
      <c r="Q280" s="55"/>
      <c r="R280" s="55"/>
      <c r="S280" s="55"/>
      <c r="T280" s="55"/>
      <c r="U280" s="55"/>
      <c r="V280" s="55"/>
    </row>
    <row r="281" ht="13.5" customHeight="1">
      <c r="A281" s="80">
        <f t="shared" si="3"/>
        <v>276</v>
      </c>
      <c r="B281" s="26"/>
      <c r="C281" s="39"/>
      <c r="D281" s="40"/>
      <c r="E281" s="42"/>
      <c r="F281" s="84"/>
      <c r="G281" s="45"/>
      <c r="H281" s="45"/>
      <c r="I281" s="46"/>
      <c r="J281" s="136"/>
      <c r="K281" s="137"/>
      <c r="L281" s="138"/>
      <c r="M281" s="39"/>
      <c r="N281" s="39"/>
      <c r="O281" s="39"/>
      <c r="P281" s="55"/>
      <c r="Q281" s="55"/>
      <c r="R281" s="55"/>
      <c r="S281" s="55"/>
      <c r="T281" s="55"/>
      <c r="U281" s="55"/>
      <c r="V281" s="55"/>
    </row>
    <row r="282" ht="13.5" customHeight="1">
      <c r="A282" s="80">
        <f t="shared" si="3"/>
        <v>277</v>
      </c>
      <c r="B282" s="26"/>
      <c r="C282" s="39"/>
      <c r="D282" s="40"/>
      <c r="E282" s="42"/>
      <c r="F282" s="84"/>
      <c r="G282" s="45"/>
      <c r="H282" s="45"/>
      <c r="I282" s="46"/>
      <c r="J282" s="136"/>
      <c r="K282" s="137"/>
      <c r="L282" s="138"/>
      <c r="M282" s="39"/>
      <c r="N282" s="39"/>
      <c r="O282" s="39"/>
      <c r="P282" s="55"/>
      <c r="Q282" s="55"/>
      <c r="R282" s="55"/>
      <c r="S282" s="55"/>
      <c r="T282" s="55"/>
      <c r="U282" s="55"/>
      <c r="V282" s="55"/>
    </row>
    <row r="283" ht="13.5" customHeight="1">
      <c r="A283" s="80">
        <f t="shared" si="3"/>
        <v>278</v>
      </c>
      <c r="B283" s="26"/>
      <c r="C283" s="39"/>
      <c r="D283" s="40"/>
      <c r="E283" s="42"/>
      <c r="F283" s="84"/>
      <c r="G283" s="45"/>
      <c r="H283" s="45"/>
      <c r="I283" s="46"/>
      <c r="J283" s="136"/>
      <c r="K283" s="137"/>
      <c r="L283" s="138"/>
      <c r="M283" s="39"/>
      <c r="N283" s="39"/>
      <c r="O283" s="39"/>
      <c r="P283" s="55"/>
      <c r="Q283" s="55"/>
      <c r="R283" s="55"/>
      <c r="S283" s="55"/>
      <c r="T283" s="55"/>
      <c r="U283" s="55"/>
      <c r="V283" s="55"/>
    </row>
    <row r="284" ht="13.5" customHeight="1">
      <c r="A284" s="80">
        <f t="shared" si="3"/>
        <v>279</v>
      </c>
      <c r="B284" s="26"/>
      <c r="C284" s="39"/>
      <c r="D284" s="40"/>
      <c r="E284" s="42"/>
      <c r="F284" s="84"/>
      <c r="G284" s="45"/>
      <c r="H284" s="45"/>
      <c r="I284" s="46"/>
      <c r="J284" s="136"/>
      <c r="K284" s="137"/>
      <c r="L284" s="138"/>
      <c r="M284" s="39"/>
      <c r="N284" s="39"/>
      <c r="O284" s="39"/>
      <c r="P284" s="55"/>
      <c r="Q284" s="55"/>
      <c r="R284" s="55"/>
      <c r="S284" s="55"/>
      <c r="T284" s="55"/>
      <c r="U284" s="55"/>
      <c r="V284" s="55"/>
    </row>
    <row r="285" ht="13.5" customHeight="1">
      <c r="A285" s="80">
        <f t="shared" si="3"/>
        <v>280</v>
      </c>
      <c r="B285" s="26"/>
      <c r="C285" s="39"/>
      <c r="D285" s="40"/>
      <c r="E285" s="42"/>
      <c r="F285" s="84"/>
      <c r="G285" s="45"/>
      <c r="H285" s="45"/>
      <c r="I285" s="46"/>
      <c r="J285" s="136"/>
      <c r="K285" s="137"/>
      <c r="L285" s="138"/>
      <c r="M285" s="39"/>
      <c r="N285" s="39"/>
      <c r="O285" s="39"/>
      <c r="P285" s="55"/>
      <c r="Q285" s="55"/>
      <c r="R285" s="55"/>
      <c r="S285" s="55"/>
      <c r="T285" s="55"/>
      <c r="U285" s="55"/>
      <c r="V285" s="55"/>
    </row>
    <row r="286" ht="13.5" customHeight="1">
      <c r="A286" s="80">
        <f t="shared" si="3"/>
        <v>281</v>
      </c>
      <c r="B286" s="26"/>
      <c r="C286" s="39"/>
      <c r="D286" s="40"/>
      <c r="E286" s="42"/>
      <c r="F286" s="84"/>
      <c r="G286" s="45"/>
      <c r="H286" s="45"/>
      <c r="I286" s="46"/>
      <c r="J286" s="136"/>
      <c r="K286" s="137"/>
      <c r="L286" s="138"/>
      <c r="M286" s="39"/>
      <c r="N286" s="39"/>
      <c r="O286" s="39"/>
      <c r="P286" s="55"/>
      <c r="Q286" s="55"/>
      <c r="R286" s="55"/>
      <c r="S286" s="55"/>
      <c r="T286" s="55"/>
      <c r="U286" s="55"/>
      <c r="V286" s="55"/>
    </row>
    <row r="287" ht="13.5" customHeight="1">
      <c r="A287" s="80">
        <f t="shared" si="3"/>
        <v>282</v>
      </c>
      <c r="B287" s="26"/>
      <c r="C287" s="39"/>
      <c r="D287" s="40"/>
      <c r="E287" s="42"/>
      <c r="F287" s="84"/>
      <c r="G287" s="45"/>
      <c r="H287" s="45"/>
      <c r="I287" s="46"/>
      <c r="J287" s="136"/>
      <c r="K287" s="137"/>
      <c r="L287" s="138"/>
      <c r="M287" s="39"/>
      <c r="N287" s="39"/>
      <c r="O287" s="39"/>
      <c r="P287" s="55"/>
      <c r="Q287" s="55"/>
      <c r="R287" s="55"/>
      <c r="S287" s="55"/>
      <c r="T287" s="55"/>
      <c r="U287" s="55"/>
      <c r="V287" s="55"/>
    </row>
    <row r="288" ht="13.5" customHeight="1">
      <c r="A288" s="80">
        <f t="shared" si="3"/>
        <v>283</v>
      </c>
      <c r="B288" s="26"/>
      <c r="C288" s="39"/>
      <c r="D288" s="40"/>
      <c r="E288" s="42"/>
      <c r="F288" s="84"/>
      <c r="G288" s="45"/>
      <c r="H288" s="45"/>
      <c r="I288" s="46"/>
      <c r="J288" s="136"/>
      <c r="K288" s="137"/>
      <c r="L288" s="138"/>
      <c r="M288" s="39"/>
      <c r="N288" s="39"/>
      <c r="O288" s="39"/>
      <c r="P288" s="55"/>
      <c r="Q288" s="55"/>
      <c r="R288" s="55"/>
      <c r="S288" s="55"/>
      <c r="T288" s="55"/>
      <c r="U288" s="55"/>
      <c r="V288" s="55"/>
    </row>
    <row r="289" ht="13.5" customHeight="1">
      <c r="A289" s="80">
        <f t="shared" si="3"/>
        <v>284</v>
      </c>
      <c r="B289" s="26"/>
      <c r="C289" s="39"/>
      <c r="D289" s="40"/>
      <c r="E289" s="42"/>
      <c r="F289" s="84"/>
      <c r="G289" s="45"/>
      <c r="H289" s="45"/>
      <c r="I289" s="46"/>
      <c r="J289" s="136"/>
      <c r="K289" s="137"/>
      <c r="L289" s="138"/>
      <c r="M289" s="39"/>
      <c r="N289" s="39"/>
      <c r="O289" s="39"/>
      <c r="P289" s="55"/>
      <c r="Q289" s="55"/>
      <c r="R289" s="55"/>
      <c r="S289" s="55"/>
      <c r="T289" s="55"/>
      <c r="U289" s="55"/>
      <c r="V289" s="55"/>
    </row>
    <row r="290" ht="13.5" customHeight="1">
      <c r="A290" s="80">
        <f t="shared" si="3"/>
        <v>285</v>
      </c>
      <c r="B290" s="26"/>
      <c r="C290" s="39"/>
      <c r="D290" s="40"/>
      <c r="E290" s="42"/>
      <c r="F290" s="84"/>
      <c r="G290" s="45"/>
      <c r="H290" s="45"/>
      <c r="I290" s="46"/>
      <c r="J290" s="136"/>
      <c r="K290" s="137"/>
      <c r="L290" s="138"/>
      <c r="M290" s="39"/>
      <c r="N290" s="39"/>
      <c r="O290" s="39"/>
      <c r="P290" s="55"/>
      <c r="Q290" s="55"/>
      <c r="R290" s="55"/>
      <c r="S290" s="55"/>
      <c r="T290" s="55"/>
      <c r="U290" s="55"/>
      <c r="V290" s="55"/>
    </row>
    <row r="291" ht="13.5" customHeight="1">
      <c r="A291" s="80">
        <f t="shared" si="3"/>
        <v>286</v>
      </c>
      <c r="B291" s="26"/>
      <c r="C291" s="39"/>
      <c r="D291" s="40"/>
      <c r="E291" s="42"/>
      <c r="F291" s="84"/>
      <c r="G291" s="45"/>
      <c r="H291" s="45"/>
      <c r="I291" s="46"/>
      <c r="J291" s="136"/>
      <c r="K291" s="137"/>
      <c r="L291" s="138"/>
      <c r="M291" s="39"/>
      <c r="N291" s="39"/>
      <c r="O291" s="39"/>
      <c r="P291" s="55"/>
      <c r="Q291" s="55"/>
      <c r="R291" s="55"/>
      <c r="S291" s="55"/>
      <c r="T291" s="55"/>
      <c r="U291" s="55"/>
      <c r="V291" s="55"/>
    </row>
    <row r="292" ht="13.5" customHeight="1">
      <c r="A292" s="80">
        <f t="shared" si="3"/>
        <v>287</v>
      </c>
      <c r="B292" s="26"/>
      <c r="C292" s="39"/>
      <c r="D292" s="40"/>
      <c r="E292" s="42"/>
      <c r="F292" s="84"/>
      <c r="G292" s="45"/>
      <c r="H292" s="45"/>
      <c r="I292" s="46"/>
      <c r="J292" s="136"/>
      <c r="K292" s="137"/>
      <c r="L292" s="138"/>
      <c r="M292" s="39"/>
      <c r="N292" s="39"/>
      <c r="O292" s="39"/>
      <c r="P292" s="55"/>
      <c r="Q292" s="55"/>
      <c r="R292" s="55"/>
      <c r="S292" s="55"/>
      <c r="T292" s="55"/>
      <c r="U292" s="55"/>
      <c r="V292" s="55"/>
    </row>
    <row r="293" ht="13.5" customHeight="1">
      <c r="A293" s="80">
        <f t="shared" si="3"/>
        <v>288</v>
      </c>
      <c r="B293" s="26"/>
      <c r="C293" s="39"/>
      <c r="D293" s="40"/>
      <c r="E293" s="42"/>
      <c r="F293" s="84"/>
      <c r="G293" s="45"/>
      <c r="H293" s="45"/>
      <c r="I293" s="46"/>
      <c r="J293" s="136"/>
      <c r="K293" s="137"/>
      <c r="L293" s="138"/>
      <c r="M293" s="39"/>
      <c r="N293" s="39"/>
      <c r="O293" s="39"/>
      <c r="P293" s="55"/>
      <c r="Q293" s="55"/>
      <c r="R293" s="55"/>
      <c r="S293" s="55"/>
      <c r="T293" s="55"/>
      <c r="U293" s="55"/>
      <c r="V293" s="55"/>
    </row>
    <row r="294" ht="13.5" customHeight="1">
      <c r="A294" s="80">
        <f t="shared" si="3"/>
        <v>289</v>
      </c>
      <c r="B294" s="26"/>
      <c r="C294" s="39"/>
      <c r="D294" s="40"/>
      <c r="E294" s="42"/>
      <c r="F294" s="84"/>
      <c r="G294" s="45"/>
      <c r="H294" s="45"/>
      <c r="I294" s="46"/>
      <c r="J294" s="136"/>
      <c r="K294" s="137"/>
      <c r="L294" s="138"/>
      <c r="M294" s="39"/>
      <c r="N294" s="39"/>
      <c r="O294" s="39"/>
      <c r="P294" s="55"/>
      <c r="Q294" s="55"/>
      <c r="R294" s="55"/>
      <c r="S294" s="55"/>
      <c r="T294" s="55"/>
      <c r="U294" s="55"/>
      <c r="V294" s="55"/>
    </row>
    <row r="295" ht="13.5" customHeight="1">
      <c r="A295" s="80">
        <f t="shared" si="3"/>
        <v>290</v>
      </c>
      <c r="B295" s="26"/>
      <c r="C295" s="39"/>
      <c r="D295" s="40"/>
      <c r="E295" s="42"/>
      <c r="F295" s="84"/>
      <c r="G295" s="45"/>
      <c r="H295" s="45"/>
      <c r="I295" s="46"/>
      <c r="J295" s="136"/>
      <c r="K295" s="137"/>
      <c r="L295" s="138"/>
      <c r="M295" s="39"/>
      <c r="N295" s="39"/>
      <c r="O295" s="39"/>
      <c r="P295" s="55"/>
      <c r="Q295" s="55"/>
      <c r="R295" s="55"/>
      <c r="S295" s="55"/>
      <c r="T295" s="55"/>
      <c r="U295" s="55"/>
      <c r="V295" s="55"/>
    </row>
    <row r="296" ht="13.5" customHeight="1">
      <c r="A296" s="80">
        <f t="shared" si="3"/>
        <v>291</v>
      </c>
      <c r="B296" s="26"/>
      <c r="C296" s="39"/>
      <c r="D296" s="40"/>
      <c r="E296" s="42"/>
      <c r="F296" s="84"/>
      <c r="G296" s="45"/>
      <c r="H296" s="45"/>
      <c r="I296" s="46"/>
      <c r="J296" s="136"/>
      <c r="K296" s="137"/>
      <c r="L296" s="138"/>
      <c r="M296" s="39"/>
      <c r="N296" s="39"/>
      <c r="O296" s="39"/>
      <c r="P296" s="55"/>
      <c r="Q296" s="55"/>
      <c r="R296" s="55"/>
      <c r="S296" s="55"/>
      <c r="T296" s="55"/>
      <c r="U296" s="55"/>
      <c r="V296" s="55"/>
    </row>
    <row r="297" ht="13.5" customHeight="1">
      <c r="A297" s="80">
        <f t="shared" si="3"/>
        <v>292</v>
      </c>
      <c r="B297" s="26"/>
      <c r="C297" s="39"/>
      <c r="D297" s="40"/>
      <c r="E297" s="42"/>
      <c r="F297" s="84"/>
      <c r="G297" s="45"/>
      <c r="H297" s="45"/>
      <c r="I297" s="46"/>
      <c r="J297" s="136"/>
      <c r="K297" s="137"/>
      <c r="L297" s="138"/>
      <c r="M297" s="39"/>
      <c r="N297" s="39"/>
      <c r="O297" s="39"/>
      <c r="P297" s="55"/>
      <c r="Q297" s="55"/>
      <c r="R297" s="55"/>
      <c r="S297" s="55"/>
      <c r="T297" s="55"/>
      <c r="U297" s="55"/>
      <c r="V297" s="55"/>
    </row>
    <row r="298" ht="13.5" customHeight="1">
      <c r="A298" s="80">
        <f t="shared" si="3"/>
        <v>293</v>
      </c>
      <c r="B298" s="26"/>
      <c r="C298" s="39"/>
      <c r="D298" s="40"/>
      <c r="E298" s="42"/>
      <c r="F298" s="84"/>
      <c r="G298" s="45"/>
      <c r="H298" s="45"/>
      <c r="I298" s="46"/>
      <c r="J298" s="136"/>
      <c r="K298" s="137"/>
      <c r="L298" s="138"/>
      <c r="M298" s="39"/>
      <c r="N298" s="39"/>
      <c r="O298" s="39"/>
      <c r="P298" s="55"/>
      <c r="Q298" s="55"/>
      <c r="R298" s="55"/>
      <c r="S298" s="55"/>
      <c r="T298" s="55"/>
      <c r="U298" s="55"/>
      <c r="V298" s="55"/>
    </row>
    <row r="299" ht="13.5" customHeight="1">
      <c r="A299" s="80">
        <f t="shared" si="3"/>
        <v>294</v>
      </c>
      <c r="B299" s="26"/>
      <c r="C299" s="39"/>
      <c r="D299" s="40"/>
      <c r="E299" s="42"/>
      <c r="F299" s="84"/>
      <c r="G299" s="45"/>
      <c r="H299" s="45"/>
      <c r="I299" s="46"/>
      <c r="J299" s="136"/>
      <c r="K299" s="137"/>
      <c r="L299" s="138"/>
      <c r="M299" s="39"/>
      <c r="N299" s="39"/>
      <c r="O299" s="39"/>
      <c r="P299" s="55"/>
      <c r="Q299" s="55"/>
      <c r="R299" s="55"/>
      <c r="S299" s="55"/>
      <c r="T299" s="55"/>
      <c r="U299" s="55"/>
      <c r="V299" s="55"/>
    </row>
    <row r="300" ht="13.5" customHeight="1">
      <c r="A300" s="80">
        <f t="shared" si="3"/>
        <v>295</v>
      </c>
      <c r="B300" s="26"/>
      <c r="C300" s="39"/>
      <c r="D300" s="40"/>
      <c r="E300" s="42"/>
      <c r="F300" s="84"/>
      <c r="G300" s="45"/>
      <c r="H300" s="45"/>
      <c r="I300" s="46"/>
      <c r="J300" s="136"/>
      <c r="K300" s="137"/>
      <c r="L300" s="138"/>
      <c r="M300" s="39"/>
      <c r="N300" s="39"/>
      <c r="O300" s="39"/>
      <c r="P300" s="55"/>
      <c r="Q300" s="55"/>
      <c r="R300" s="55"/>
      <c r="S300" s="55"/>
      <c r="T300" s="55"/>
      <c r="U300" s="55"/>
      <c r="V300" s="55"/>
    </row>
    <row r="301" ht="13.5" customHeight="1">
      <c r="A301" s="80">
        <f t="shared" si="3"/>
        <v>296</v>
      </c>
      <c r="B301" s="26"/>
      <c r="C301" s="39"/>
      <c r="D301" s="40"/>
      <c r="E301" s="42"/>
      <c r="F301" s="84"/>
      <c r="G301" s="45"/>
      <c r="H301" s="45"/>
      <c r="I301" s="46"/>
      <c r="J301" s="136"/>
      <c r="K301" s="137"/>
      <c r="L301" s="138"/>
      <c r="M301" s="39"/>
      <c r="N301" s="39"/>
      <c r="O301" s="39"/>
      <c r="P301" s="55"/>
      <c r="Q301" s="55"/>
      <c r="R301" s="55"/>
      <c r="S301" s="55"/>
      <c r="T301" s="55"/>
      <c r="U301" s="55"/>
      <c r="V301" s="55"/>
    </row>
    <row r="302" ht="13.5" customHeight="1">
      <c r="A302" s="80">
        <f t="shared" si="3"/>
        <v>297</v>
      </c>
      <c r="B302" s="26"/>
      <c r="C302" s="39"/>
      <c r="D302" s="40"/>
      <c r="E302" s="42"/>
      <c r="F302" s="84"/>
      <c r="G302" s="45"/>
      <c r="H302" s="45"/>
      <c r="I302" s="46"/>
      <c r="J302" s="136"/>
      <c r="K302" s="137"/>
      <c r="L302" s="138"/>
      <c r="M302" s="39"/>
      <c r="N302" s="39"/>
      <c r="O302" s="39"/>
      <c r="P302" s="55"/>
      <c r="Q302" s="55"/>
      <c r="R302" s="55"/>
      <c r="S302" s="55"/>
      <c r="T302" s="55"/>
      <c r="U302" s="55"/>
      <c r="V302" s="55"/>
    </row>
    <row r="303" ht="13.5" customHeight="1">
      <c r="A303" s="80">
        <f t="shared" si="3"/>
        <v>298</v>
      </c>
      <c r="B303" s="26"/>
      <c r="C303" s="39"/>
      <c r="D303" s="40"/>
      <c r="E303" s="42"/>
      <c r="F303" s="84"/>
      <c r="G303" s="45"/>
      <c r="H303" s="45"/>
      <c r="I303" s="46"/>
      <c r="J303" s="136"/>
      <c r="K303" s="137"/>
      <c r="L303" s="138"/>
      <c r="M303" s="39"/>
      <c r="N303" s="39"/>
      <c r="O303" s="39"/>
      <c r="P303" s="55"/>
      <c r="Q303" s="55"/>
      <c r="R303" s="55"/>
      <c r="S303" s="55"/>
      <c r="T303" s="55"/>
      <c r="U303" s="55"/>
      <c r="V303" s="55"/>
    </row>
    <row r="304" ht="13.5" customHeight="1">
      <c r="A304" s="80">
        <f t="shared" si="3"/>
        <v>299</v>
      </c>
      <c r="B304" s="26"/>
      <c r="C304" s="39"/>
      <c r="D304" s="40"/>
      <c r="E304" s="42"/>
      <c r="F304" s="84"/>
      <c r="G304" s="45"/>
      <c r="H304" s="45"/>
      <c r="I304" s="46"/>
      <c r="J304" s="136"/>
      <c r="K304" s="137"/>
      <c r="L304" s="138"/>
      <c r="M304" s="39"/>
      <c r="N304" s="39"/>
      <c r="O304" s="39"/>
      <c r="P304" s="55"/>
      <c r="Q304" s="55"/>
      <c r="R304" s="55"/>
      <c r="S304" s="55"/>
      <c r="T304" s="55"/>
      <c r="U304" s="55"/>
      <c r="V304" s="55"/>
    </row>
    <row r="305" ht="13.5" customHeight="1">
      <c r="A305" s="80">
        <f t="shared" si="3"/>
        <v>300</v>
      </c>
      <c r="B305" s="26"/>
      <c r="C305" s="39"/>
      <c r="D305" s="40"/>
      <c r="E305" s="42"/>
      <c r="F305" s="84"/>
      <c r="G305" s="45"/>
      <c r="H305" s="45"/>
      <c r="I305" s="46"/>
      <c r="J305" s="136"/>
      <c r="K305" s="137"/>
      <c r="L305" s="138"/>
      <c r="M305" s="39"/>
      <c r="N305" s="39"/>
      <c r="O305" s="39"/>
      <c r="P305" s="55"/>
      <c r="Q305" s="55"/>
      <c r="R305" s="55"/>
      <c r="S305" s="55"/>
      <c r="T305" s="55"/>
      <c r="U305" s="55"/>
      <c r="V305" s="55"/>
    </row>
    <row r="306" ht="13.5" customHeight="1">
      <c r="A306" s="80">
        <f t="shared" si="3"/>
        <v>301</v>
      </c>
      <c r="B306" s="26"/>
      <c r="C306" s="39"/>
      <c r="D306" s="40"/>
      <c r="E306" s="42"/>
      <c r="F306" s="84"/>
      <c r="G306" s="45"/>
      <c r="H306" s="45"/>
      <c r="I306" s="46"/>
      <c r="J306" s="136"/>
      <c r="K306" s="137"/>
      <c r="L306" s="138"/>
      <c r="M306" s="39"/>
      <c r="N306" s="39"/>
      <c r="O306" s="39"/>
      <c r="P306" s="55"/>
      <c r="Q306" s="55"/>
      <c r="R306" s="55"/>
      <c r="S306" s="55"/>
      <c r="T306" s="55"/>
      <c r="U306" s="55"/>
      <c r="V306" s="55"/>
    </row>
    <row r="307" ht="13.5" customHeight="1">
      <c r="A307" s="80">
        <f t="shared" si="3"/>
        <v>302</v>
      </c>
      <c r="B307" s="26"/>
      <c r="C307" s="39"/>
      <c r="D307" s="40"/>
      <c r="E307" s="42"/>
      <c r="F307" s="84"/>
      <c r="G307" s="45"/>
      <c r="H307" s="45"/>
      <c r="I307" s="46"/>
      <c r="J307" s="136"/>
      <c r="K307" s="137"/>
      <c r="L307" s="138"/>
      <c r="M307" s="39"/>
      <c r="N307" s="39"/>
      <c r="O307" s="39"/>
      <c r="P307" s="55"/>
      <c r="Q307" s="55"/>
      <c r="R307" s="55"/>
      <c r="S307" s="55"/>
      <c r="T307" s="55"/>
      <c r="U307" s="55"/>
      <c r="V307" s="55"/>
    </row>
    <row r="308" ht="13.5" customHeight="1">
      <c r="A308" s="80">
        <f t="shared" si="3"/>
        <v>303</v>
      </c>
      <c r="B308" s="26"/>
      <c r="C308" s="39"/>
      <c r="D308" s="40"/>
      <c r="E308" s="42"/>
      <c r="F308" s="84"/>
      <c r="G308" s="45"/>
      <c r="H308" s="45"/>
      <c r="I308" s="46"/>
      <c r="J308" s="136"/>
      <c r="K308" s="137"/>
      <c r="L308" s="138"/>
      <c r="M308" s="39"/>
      <c r="N308" s="39"/>
      <c r="O308" s="39"/>
      <c r="P308" s="55"/>
      <c r="Q308" s="55"/>
      <c r="R308" s="55"/>
      <c r="S308" s="55"/>
      <c r="T308" s="55"/>
      <c r="U308" s="55"/>
      <c r="V308" s="55"/>
    </row>
    <row r="309" ht="13.5" customHeight="1">
      <c r="A309" s="80">
        <f t="shared" si="3"/>
        <v>304</v>
      </c>
      <c r="B309" s="26"/>
      <c r="C309" s="39"/>
      <c r="D309" s="40"/>
      <c r="E309" s="42"/>
      <c r="F309" s="84"/>
      <c r="G309" s="45"/>
      <c r="H309" s="45"/>
      <c r="I309" s="46"/>
      <c r="J309" s="136"/>
      <c r="K309" s="137"/>
      <c r="L309" s="138"/>
      <c r="M309" s="39"/>
      <c r="N309" s="39"/>
      <c r="O309" s="39"/>
      <c r="P309" s="55"/>
      <c r="Q309" s="55"/>
      <c r="R309" s="55"/>
      <c r="S309" s="55"/>
      <c r="T309" s="55"/>
      <c r="U309" s="55"/>
      <c r="V309" s="55"/>
    </row>
    <row r="310" ht="13.5" customHeight="1">
      <c r="A310" s="80">
        <f t="shared" si="3"/>
        <v>305</v>
      </c>
      <c r="B310" s="26"/>
      <c r="C310" s="39"/>
      <c r="D310" s="40"/>
      <c r="E310" s="42"/>
      <c r="F310" s="84"/>
      <c r="G310" s="45"/>
      <c r="H310" s="45"/>
      <c r="I310" s="46"/>
      <c r="J310" s="136"/>
      <c r="K310" s="137"/>
      <c r="L310" s="138"/>
      <c r="M310" s="39"/>
      <c r="N310" s="39"/>
      <c r="O310" s="39"/>
      <c r="P310" s="55"/>
      <c r="Q310" s="55"/>
      <c r="R310" s="55"/>
      <c r="S310" s="55"/>
      <c r="T310" s="55"/>
      <c r="U310" s="55"/>
      <c r="V310" s="55"/>
    </row>
    <row r="311" ht="13.5" customHeight="1">
      <c r="A311" s="80">
        <f t="shared" si="3"/>
        <v>306</v>
      </c>
      <c r="B311" s="26"/>
      <c r="C311" s="39"/>
      <c r="D311" s="40"/>
      <c r="E311" s="42"/>
      <c r="F311" s="84"/>
      <c r="G311" s="45"/>
      <c r="H311" s="45"/>
      <c r="I311" s="46"/>
      <c r="J311" s="136"/>
      <c r="K311" s="137"/>
      <c r="L311" s="138"/>
      <c r="M311" s="39"/>
      <c r="N311" s="39"/>
      <c r="O311" s="39"/>
      <c r="P311" s="55"/>
      <c r="Q311" s="55"/>
      <c r="R311" s="55"/>
      <c r="S311" s="55"/>
      <c r="T311" s="55"/>
      <c r="U311" s="55"/>
      <c r="V311" s="55"/>
    </row>
    <row r="312" ht="13.5" customHeight="1">
      <c r="A312" s="80">
        <f t="shared" si="3"/>
        <v>307</v>
      </c>
      <c r="B312" s="26"/>
      <c r="C312" s="39"/>
      <c r="D312" s="40"/>
      <c r="E312" s="42"/>
      <c r="F312" s="84"/>
      <c r="G312" s="45"/>
      <c r="H312" s="45"/>
      <c r="I312" s="46"/>
      <c r="J312" s="136"/>
      <c r="K312" s="137"/>
      <c r="L312" s="138"/>
      <c r="M312" s="39"/>
      <c r="N312" s="39"/>
      <c r="O312" s="39"/>
      <c r="P312" s="55"/>
      <c r="Q312" s="55"/>
      <c r="R312" s="55"/>
      <c r="S312" s="55"/>
      <c r="T312" s="55"/>
      <c r="U312" s="55"/>
      <c r="V312" s="55"/>
    </row>
    <row r="313" ht="13.5" customHeight="1">
      <c r="A313" s="80">
        <f t="shared" si="3"/>
        <v>308</v>
      </c>
      <c r="B313" s="26"/>
      <c r="C313" s="39"/>
      <c r="D313" s="40"/>
      <c r="E313" s="42"/>
      <c r="F313" s="84"/>
      <c r="G313" s="45"/>
      <c r="H313" s="45"/>
      <c r="I313" s="46"/>
      <c r="J313" s="136"/>
      <c r="K313" s="137"/>
      <c r="L313" s="138"/>
      <c r="M313" s="39"/>
      <c r="N313" s="39"/>
      <c r="O313" s="39"/>
      <c r="P313" s="55"/>
      <c r="Q313" s="55"/>
      <c r="R313" s="55"/>
      <c r="S313" s="55"/>
      <c r="T313" s="55"/>
      <c r="U313" s="55"/>
      <c r="V313" s="55"/>
    </row>
    <row r="314" ht="13.5" customHeight="1">
      <c r="A314" s="80">
        <f t="shared" si="3"/>
        <v>309</v>
      </c>
      <c r="B314" s="26"/>
      <c r="C314" s="39"/>
      <c r="D314" s="40"/>
      <c r="E314" s="42"/>
      <c r="F314" s="84"/>
      <c r="G314" s="45"/>
      <c r="H314" s="45"/>
      <c r="I314" s="46"/>
      <c r="J314" s="136"/>
      <c r="K314" s="137"/>
      <c r="L314" s="138"/>
      <c r="M314" s="39"/>
      <c r="N314" s="39"/>
      <c r="O314" s="39"/>
      <c r="P314" s="55"/>
      <c r="Q314" s="55"/>
      <c r="R314" s="55"/>
      <c r="S314" s="55"/>
      <c r="T314" s="55"/>
      <c r="U314" s="55"/>
      <c r="V314" s="55"/>
    </row>
    <row r="315" ht="13.5" customHeight="1">
      <c r="A315" s="80">
        <f t="shared" si="3"/>
        <v>310</v>
      </c>
      <c r="B315" s="26"/>
      <c r="C315" s="39"/>
      <c r="D315" s="40"/>
      <c r="E315" s="42"/>
      <c r="F315" s="84"/>
      <c r="G315" s="45"/>
      <c r="H315" s="45"/>
      <c r="I315" s="46"/>
      <c r="J315" s="136"/>
      <c r="K315" s="137"/>
      <c r="L315" s="138"/>
      <c r="M315" s="39"/>
      <c r="N315" s="39"/>
      <c r="O315" s="39"/>
      <c r="P315" s="55"/>
      <c r="Q315" s="55"/>
      <c r="R315" s="55"/>
      <c r="S315" s="55"/>
      <c r="T315" s="55"/>
      <c r="U315" s="55"/>
      <c r="V315" s="55"/>
    </row>
    <row r="316" ht="13.5" customHeight="1">
      <c r="A316" s="80">
        <f t="shared" si="3"/>
        <v>311</v>
      </c>
      <c r="B316" s="26"/>
      <c r="C316" s="39"/>
      <c r="D316" s="40"/>
      <c r="E316" s="42"/>
      <c r="F316" s="84"/>
      <c r="G316" s="45"/>
      <c r="H316" s="45"/>
      <c r="I316" s="46"/>
      <c r="J316" s="136"/>
      <c r="K316" s="137"/>
      <c r="L316" s="138"/>
      <c r="M316" s="39"/>
      <c r="N316" s="39"/>
      <c r="O316" s="39"/>
      <c r="P316" s="55"/>
      <c r="Q316" s="55"/>
      <c r="R316" s="55"/>
      <c r="S316" s="55"/>
      <c r="T316" s="55"/>
      <c r="U316" s="55"/>
      <c r="V316" s="55"/>
    </row>
    <row r="317" ht="13.5" customHeight="1">
      <c r="A317" s="80">
        <f t="shared" si="3"/>
        <v>312</v>
      </c>
      <c r="B317" s="26"/>
      <c r="C317" s="39"/>
      <c r="D317" s="40"/>
      <c r="E317" s="42"/>
      <c r="F317" s="84"/>
      <c r="G317" s="45"/>
      <c r="H317" s="45"/>
      <c r="I317" s="46"/>
      <c r="J317" s="136"/>
      <c r="K317" s="137"/>
      <c r="L317" s="138"/>
      <c r="M317" s="39"/>
      <c r="N317" s="39"/>
      <c r="O317" s="39"/>
      <c r="P317" s="55"/>
      <c r="Q317" s="55"/>
      <c r="R317" s="55"/>
      <c r="S317" s="55"/>
      <c r="T317" s="55"/>
      <c r="U317" s="55"/>
      <c r="V317" s="55"/>
    </row>
    <row r="318" ht="13.5" customHeight="1">
      <c r="A318" s="80">
        <f t="shared" si="3"/>
        <v>313</v>
      </c>
      <c r="B318" s="26"/>
      <c r="C318" s="39"/>
      <c r="D318" s="40"/>
      <c r="E318" s="42"/>
      <c r="F318" s="84"/>
      <c r="G318" s="45"/>
      <c r="H318" s="45"/>
      <c r="I318" s="46"/>
      <c r="J318" s="136"/>
      <c r="K318" s="137"/>
      <c r="L318" s="138"/>
      <c r="M318" s="39"/>
      <c r="N318" s="39"/>
      <c r="O318" s="39"/>
      <c r="P318" s="55"/>
      <c r="Q318" s="55"/>
      <c r="R318" s="55"/>
      <c r="S318" s="55"/>
      <c r="T318" s="55"/>
      <c r="U318" s="55"/>
      <c r="V318" s="55"/>
    </row>
    <row r="319" ht="13.5" customHeight="1">
      <c r="A319" s="80">
        <f t="shared" si="3"/>
        <v>314</v>
      </c>
      <c r="B319" s="26"/>
      <c r="C319" s="39"/>
      <c r="D319" s="40"/>
      <c r="E319" s="42"/>
      <c r="F319" s="84"/>
      <c r="G319" s="45"/>
      <c r="H319" s="45"/>
      <c r="I319" s="46"/>
      <c r="J319" s="136"/>
      <c r="K319" s="137"/>
      <c r="L319" s="138"/>
      <c r="M319" s="39"/>
      <c r="N319" s="39"/>
      <c r="O319" s="39"/>
      <c r="P319" s="55"/>
      <c r="Q319" s="55"/>
      <c r="R319" s="55"/>
      <c r="S319" s="55"/>
      <c r="T319" s="55"/>
      <c r="U319" s="55"/>
      <c r="V319" s="55"/>
    </row>
    <row r="320" ht="13.5" customHeight="1">
      <c r="A320" s="80">
        <f t="shared" si="3"/>
        <v>315</v>
      </c>
      <c r="B320" s="26"/>
      <c r="C320" s="39"/>
      <c r="D320" s="40"/>
      <c r="E320" s="42"/>
      <c r="F320" s="84"/>
      <c r="G320" s="45"/>
      <c r="H320" s="45"/>
      <c r="I320" s="46"/>
      <c r="J320" s="136"/>
      <c r="K320" s="137"/>
      <c r="L320" s="138"/>
      <c r="M320" s="39"/>
      <c r="N320" s="39"/>
      <c r="O320" s="39"/>
      <c r="P320" s="55"/>
      <c r="Q320" s="55"/>
      <c r="R320" s="55"/>
      <c r="S320" s="55"/>
      <c r="T320" s="55"/>
      <c r="U320" s="55"/>
      <c r="V320" s="55"/>
    </row>
    <row r="321" ht="13.5" customHeight="1">
      <c r="A321" s="80">
        <f t="shared" si="3"/>
        <v>316</v>
      </c>
      <c r="B321" s="26"/>
      <c r="C321" s="39"/>
      <c r="D321" s="40"/>
      <c r="E321" s="42"/>
      <c r="F321" s="84"/>
      <c r="G321" s="45"/>
      <c r="H321" s="45"/>
      <c r="I321" s="46"/>
      <c r="J321" s="136"/>
      <c r="K321" s="137"/>
      <c r="L321" s="138"/>
      <c r="M321" s="39"/>
      <c r="N321" s="39"/>
      <c r="O321" s="39"/>
      <c r="P321" s="55"/>
      <c r="Q321" s="55"/>
      <c r="R321" s="55"/>
      <c r="S321" s="55"/>
      <c r="T321" s="55"/>
      <c r="U321" s="55"/>
      <c r="V321" s="55"/>
    </row>
    <row r="322" ht="13.5" customHeight="1">
      <c r="A322" s="80">
        <f t="shared" si="3"/>
        <v>317</v>
      </c>
      <c r="B322" s="26"/>
      <c r="C322" s="39"/>
      <c r="D322" s="40"/>
      <c r="E322" s="42"/>
      <c r="F322" s="84"/>
      <c r="G322" s="45"/>
      <c r="H322" s="45"/>
      <c r="I322" s="46"/>
      <c r="J322" s="136"/>
      <c r="K322" s="137"/>
      <c r="L322" s="138"/>
      <c r="M322" s="39"/>
      <c r="N322" s="39"/>
      <c r="O322" s="39"/>
      <c r="P322" s="55"/>
      <c r="Q322" s="55"/>
      <c r="R322" s="55"/>
      <c r="S322" s="55"/>
      <c r="T322" s="55"/>
      <c r="U322" s="55"/>
      <c r="V322" s="55"/>
    </row>
    <row r="323" ht="13.5" customHeight="1">
      <c r="A323" s="80">
        <f t="shared" si="3"/>
        <v>318</v>
      </c>
      <c r="B323" s="26"/>
      <c r="C323" s="39"/>
      <c r="D323" s="40"/>
      <c r="E323" s="42"/>
      <c r="F323" s="84"/>
      <c r="G323" s="45"/>
      <c r="H323" s="45"/>
      <c r="I323" s="46"/>
      <c r="J323" s="136"/>
      <c r="K323" s="137"/>
      <c r="L323" s="138"/>
      <c r="M323" s="39"/>
      <c r="N323" s="39"/>
      <c r="O323" s="39"/>
      <c r="P323" s="55"/>
      <c r="Q323" s="55"/>
      <c r="R323" s="55"/>
      <c r="S323" s="55"/>
      <c r="T323" s="55"/>
      <c r="U323" s="55"/>
      <c r="V323" s="55"/>
    </row>
    <row r="324" ht="13.5" customHeight="1">
      <c r="A324" s="80">
        <f t="shared" si="3"/>
        <v>319</v>
      </c>
      <c r="B324" s="26"/>
      <c r="C324" s="39"/>
      <c r="D324" s="40"/>
      <c r="E324" s="42"/>
      <c r="F324" s="84"/>
      <c r="G324" s="45"/>
      <c r="H324" s="45"/>
      <c r="I324" s="46"/>
      <c r="J324" s="136"/>
      <c r="K324" s="137"/>
      <c r="L324" s="138"/>
      <c r="M324" s="39"/>
      <c r="N324" s="39"/>
      <c r="O324" s="39"/>
      <c r="P324" s="55"/>
      <c r="Q324" s="55"/>
      <c r="R324" s="55"/>
      <c r="S324" s="55"/>
      <c r="T324" s="55"/>
      <c r="U324" s="55"/>
      <c r="V324" s="55"/>
    </row>
    <row r="325" ht="13.5" customHeight="1">
      <c r="A325" s="80">
        <f t="shared" si="3"/>
        <v>320</v>
      </c>
      <c r="B325" s="26"/>
      <c r="C325" s="39"/>
      <c r="D325" s="40"/>
      <c r="E325" s="42"/>
      <c r="F325" s="84"/>
      <c r="G325" s="45"/>
      <c r="H325" s="45"/>
      <c r="I325" s="46"/>
      <c r="J325" s="136"/>
      <c r="K325" s="137"/>
      <c r="L325" s="138"/>
      <c r="M325" s="39"/>
      <c r="N325" s="39"/>
      <c r="O325" s="39"/>
      <c r="P325" s="55"/>
      <c r="Q325" s="55"/>
      <c r="R325" s="55"/>
      <c r="S325" s="55"/>
      <c r="T325" s="55"/>
      <c r="U325" s="55"/>
      <c r="V325" s="55"/>
    </row>
    <row r="326" ht="13.5" customHeight="1">
      <c r="A326" s="80">
        <f t="shared" si="3"/>
        <v>321</v>
      </c>
      <c r="B326" s="26"/>
      <c r="C326" s="39"/>
      <c r="D326" s="40"/>
      <c r="E326" s="42"/>
      <c r="F326" s="84"/>
      <c r="G326" s="45"/>
      <c r="H326" s="45"/>
      <c r="I326" s="46"/>
      <c r="J326" s="136"/>
      <c r="K326" s="137"/>
      <c r="L326" s="138"/>
      <c r="M326" s="39"/>
      <c r="N326" s="39"/>
      <c r="O326" s="39"/>
      <c r="P326" s="55"/>
      <c r="Q326" s="55"/>
      <c r="R326" s="55"/>
      <c r="S326" s="55"/>
      <c r="T326" s="55"/>
      <c r="U326" s="55"/>
      <c r="V326" s="55"/>
    </row>
    <row r="327" ht="13.5" customHeight="1">
      <c r="A327" s="80">
        <f t="shared" si="3"/>
        <v>322</v>
      </c>
      <c r="B327" s="26"/>
      <c r="C327" s="39"/>
      <c r="D327" s="40"/>
      <c r="E327" s="42"/>
      <c r="F327" s="84"/>
      <c r="G327" s="45"/>
      <c r="H327" s="45"/>
      <c r="I327" s="46"/>
      <c r="J327" s="136"/>
      <c r="K327" s="137"/>
      <c r="L327" s="138"/>
      <c r="M327" s="39"/>
      <c r="N327" s="39"/>
      <c r="O327" s="39"/>
      <c r="P327" s="55"/>
      <c r="Q327" s="55"/>
      <c r="R327" s="55"/>
      <c r="S327" s="55"/>
      <c r="T327" s="55"/>
      <c r="U327" s="55"/>
      <c r="V327" s="55"/>
    </row>
    <row r="328" ht="13.5" customHeight="1">
      <c r="A328" s="80">
        <f t="shared" si="3"/>
        <v>323</v>
      </c>
      <c r="B328" s="26"/>
      <c r="C328" s="39"/>
      <c r="D328" s="40"/>
      <c r="E328" s="42"/>
      <c r="F328" s="84"/>
      <c r="G328" s="45"/>
      <c r="H328" s="45"/>
      <c r="I328" s="46"/>
      <c r="J328" s="136"/>
      <c r="K328" s="137"/>
      <c r="L328" s="138"/>
      <c r="M328" s="39"/>
      <c r="N328" s="39"/>
      <c r="O328" s="39"/>
      <c r="P328" s="55"/>
      <c r="Q328" s="55"/>
      <c r="R328" s="55"/>
      <c r="S328" s="55"/>
      <c r="T328" s="55"/>
      <c r="U328" s="55"/>
      <c r="V328" s="55"/>
    </row>
    <row r="329" ht="13.5" customHeight="1">
      <c r="A329" s="80">
        <f t="shared" si="3"/>
        <v>324</v>
      </c>
      <c r="B329" s="26"/>
      <c r="C329" s="39"/>
      <c r="D329" s="40"/>
      <c r="E329" s="42"/>
      <c r="F329" s="84"/>
      <c r="G329" s="45"/>
      <c r="H329" s="45"/>
      <c r="I329" s="46"/>
      <c r="J329" s="136"/>
      <c r="K329" s="137"/>
      <c r="L329" s="138"/>
      <c r="M329" s="39"/>
      <c r="N329" s="39"/>
      <c r="O329" s="39"/>
      <c r="P329" s="55"/>
      <c r="Q329" s="55"/>
      <c r="R329" s="55"/>
      <c r="S329" s="55"/>
      <c r="T329" s="55"/>
      <c r="U329" s="55"/>
      <c r="V329" s="55"/>
    </row>
    <row r="330" ht="13.5" customHeight="1">
      <c r="A330" s="80">
        <f t="shared" si="3"/>
        <v>325</v>
      </c>
      <c r="B330" s="26"/>
      <c r="C330" s="39"/>
      <c r="D330" s="40"/>
      <c r="E330" s="42"/>
      <c r="F330" s="84"/>
      <c r="G330" s="45"/>
      <c r="H330" s="45"/>
      <c r="I330" s="46"/>
      <c r="J330" s="136"/>
      <c r="K330" s="137"/>
      <c r="L330" s="138"/>
      <c r="M330" s="39"/>
      <c r="N330" s="39"/>
      <c r="O330" s="39"/>
      <c r="P330" s="55"/>
      <c r="Q330" s="55"/>
      <c r="R330" s="55"/>
      <c r="S330" s="55"/>
      <c r="T330" s="55"/>
      <c r="U330" s="55"/>
      <c r="V330" s="55"/>
    </row>
    <row r="331" ht="13.5" customHeight="1">
      <c r="A331" s="80">
        <f t="shared" si="3"/>
        <v>326</v>
      </c>
      <c r="B331" s="26"/>
      <c r="C331" s="39"/>
      <c r="D331" s="40"/>
      <c r="E331" s="42"/>
      <c r="F331" s="84"/>
      <c r="G331" s="45"/>
      <c r="H331" s="45"/>
      <c r="I331" s="46"/>
      <c r="J331" s="136"/>
      <c r="K331" s="137"/>
      <c r="L331" s="138"/>
      <c r="M331" s="39"/>
      <c r="N331" s="39"/>
      <c r="O331" s="39"/>
      <c r="P331" s="55"/>
      <c r="Q331" s="55"/>
      <c r="R331" s="55"/>
      <c r="S331" s="55"/>
      <c r="T331" s="55"/>
      <c r="U331" s="55"/>
      <c r="V331" s="55"/>
    </row>
    <row r="332" ht="13.5" customHeight="1">
      <c r="A332" s="80">
        <f t="shared" si="3"/>
        <v>327</v>
      </c>
      <c r="B332" s="26"/>
      <c r="C332" s="39"/>
      <c r="D332" s="40"/>
      <c r="E332" s="42"/>
      <c r="F332" s="84"/>
      <c r="G332" s="45"/>
      <c r="H332" s="45"/>
      <c r="I332" s="46"/>
      <c r="J332" s="136"/>
      <c r="K332" s="137"/>
      <c r="L332" s="138"/>
      <c r="M332" s="39"/>
      <c r="N332" s="39"/>
      <c r="O332" s="39"/>
      <c r="P332" s="55"/>
      <c r="Q332" s="55"/>
      <c r="R332" s="55"/>
      <c r="S332" s="55"/>
      <c r="T332" s="55"/>
      <c r="U332" s="55"/>
      <c r="V332" s="55"/>
    </row>
    <row r="333" ht="13.5" customHeight="1">
      <c r="A333" s="80">
        <f t="shared" si="3"/>
        <v>328</v>
      </c>
      <c r="B333" s="26"/>
      <c r="C333" s="39"/>
      <c r="D333" s="40"/>
      <c r="E333" s="42"/>
      <c r="F333" s="84"/>
      <c r="G333" s="45"/>
      <c r="H333" s="45"/>
      <c r="I333" s="46"/>
      <c r="J333" s="136"/>
      <c r="K333" s="137"/>
      <c r="L333" s="138"/>
      <c r="M333" s="39"/>
      <c r="N333" s="39"/>
      <c r="O333" s="39"/>
      <c r="P333" s="55"/>
      <c r="Q333" s="55"/>
      <c r="R333" s="55"/>
      <c r="S333" s="55"/>
      <c r="T333" s="55"/>
      <c r="U333" s="55"/>
      <c r="V333" s="55"/>
    </row>
    <row r="334" ht="13.5" customHeight="1">
      <c r="A334" s="80">
        <f t="shared" si="3"/>
        <v>329</v>
      </c>
      <c r="B334" s="26"/>
      <c r="C334" s="39"/>
      <c r="D334" s="40"/>
      <c r="E334" s="42"/>
      <c r="F334" s="84"/>
      <c r="G334" s="45"/>
      <c r="H334" s="45"/>
      <c r="I334" s="46"/>
      <c r="J334" s="136"/>
      <c r="K334" s="137"/>
      <c r="L334" s="138"/>
      <c r="M334" s="39"/>
      <c r="N334" s="39"/>
      <c r="O334" s="39"/>
      <c r="P334" s="55"/>
      <c r="Q334" s="55"/>
      <c r="R334" s="55"/>
      <c r="S334" s="55"/>
      <c r="T334" s="55"/>
      <c r="U334" s="55"/>
      <c r="V334" s="55"/>
    </row>
    <row r="335" ht="13.5" customHeight="1">
      <c r="A335" s="80">
        <f t="shared" si="3"/>
        <v>330</v>
      </c>
      <c r="B335" s="26"/>
      <c r="C335" s="39"/>
      <c r="D335" s="40"/>
      <c r="E335" s="42"/>
      <c r="F335" s="84"/>
      <c r="G335" s="45"/>
      <c r="H335" s="45"/>
      <c r="I335" s="46"/>
      <c r="J335" s="136"/>
      <c r="K335" s="137"/>
      <c r="L335" s="138"/>
      <c r="M335" s="39"/>
      <c r="N335" s="39"/>
      <c r="O335" s="39"/>
      <c r="P335" s="55"/>
      <c r="Q335" s="55"/>
      <c r="R335" s="55"/>
      <c r="S335" s="55"/>
      <c r="T335" s="55"/>
      <c r="U335" s="55"/>
      <c r="V335" s="55"/>
    </row>
    <row r="336" ht="13.5" customHeight="1">
      <c r="A336" s="80">
        <f t="shared" si="3"/>
        <v>331</v>
      </c>
      <c r="B336" s="26"/>
      <c r="C336" s="39"/>
      <c r="D336" s="40"/>
      <c r="E336" s="42"/>
      <c r="F336" s="84"/>
      <c r="G336" s="45"/>
      <c r="H336" s="45"/>
      <c r="I336" s="46"/>
      <c r="J336" s="136"/>
      <c r="K336" s="137"/>
      <c r="L336" s="138"/>
      <c r="M336" s="39"/>
      <c r="N336" s="39"/>
      <c r="O336" s="39"/>
      <c r="P336" s="55"/>
      <c r="Q336" s="55"/>
      <c r="R336" s="55"/>
      <c r="S336" s="55"/>
      <c r="T336" s="55"/>
      <c r="U336" s="55"/>
      <c r="V336" s="55"/>
    </row>
    <row r="337" ht="13.5" customHeight="1">
      <c r="A337" s="80">
        <f t="shared" si="3"/>
        <v>332</v>
      </c>
      <c r="B337" s="26"/>
      <c r="C337" s="39"/>
      <c r="D337" s="40"/>
      <c r="E337" s="42"/>
      <c r="F337" s="84"/>
      <c r="G337" s="45"/>
      <c r="H337" s="45"/>
      <c r="I337" s="46"/>
      <c r="J337" s="136"/>
      <c r="K337" s="137"/>
      <c r="L337" s="138"/>
      <c r="M337" s="39"/>
      <c r="N337" s="39"/>
      <c r="O337" s="39"/>
      <c r="P337" s="55"/>
      <c r="Q337" s="55"/>
      <c r="R337" s="55"/>
      <c r="S337" s="55"/>
      <c r="T337" s="55"/>
      <c r="U337" s="55"/>
      <c r="V337" s="55"/>
    </row>
    <row r="338" ht="13.5" customHeight="1">
      <c r="A338" s="80">
        <f t="shared" si="3"/>
        <v>333</v>
      </c>
      <c r="B338" s="26"/>
      <c r="C338" s="39"/>
      <c r="D338" s="40"/>
      <c r="E338" s="42"/>
      <c r="F338" s="84"/>
      <c r="G338" s="45"/>
      <c r="H338" s="45"/>
      <c r="I338" s="46"/>
      <c r="J338" s="136"/>
      <c r="K338" s="137"/>
      <c r="L338" s="138"/>
      <c r="M338" s="39"/>
      <c r="N338" s="39"/>
      <c r="O338" s="39"/>
      <c r="P338" s="55"/>
      <c r="Q338" s="55"/>
      <c r="R338" s="55"/>
      <c r="S338" s="55"/>
      <c r="T338" s="55"/>
      <c r="U338" s="55"/>
      <c r="V338" s="55"/>
    </row>
    <row r="339" ht="13.5" customHeight="1">
      <c r="A339" s="80">
        <f t="shared" si="3"/>
        <v>334</v>
      </c>
      <c r="B339" s="26"/>
      <c r="C339" s="39"/>
      <c r="D339" s="40"/>
      <c r="E339" s="42"/>
      <c r="F339" s="84"/>
      <c r="G339" s="45"/>
      <c r="H339" s="45"/>
      <c r="I339" s="46"/>
      <c r="J339" s="136"/>
      <c r="K339" s="137"/>
      <c r="L339" s="138"/>
      <c r="M339" s="39"/>
      <c r="N339" s="39"/>
      <c r="O339" s="39"/>
      <c r="P339" s="55"/>
      <c r="Q339" s="55"/>
      <c r="R339" s="55"/>
      <c r="S339" s="55"/>
      <c r="T339" s="55"/>
      <c r="U339" s="55"/>
      <c r="V339" s="55"/>
    </row>
    <row r="340" ht="13.5" customHeight="1">
      <c r="A340" s="80">
        <f t="shared" si="3"/>
        <v>335</v>
      </c>
      <c r="B340" s="26"/>
      <c r="C340" s="39"/>
      <c r="D340" s="40"/>
      <c r="E340" s="42"/>
      <c r="F340" s="84"/>
      <c r="G340" s="45"/>
      <c r="H340" s="45"/>
      <c r="I340" s="46"/>
      <c r="J340" s="136"/>
      <c r="K340" s="137"/>
      <c r="L340" s="138"/>
      <c r="M340" s="39"/>
      <c r="N340" s="39"/>
      <c r="O340" s="39"/>
      <c r="P340" s="55"/>
      <c r="Q340" s="55"/>
      <c r="R340" s="55"/>
      <c r="S340" s="55"/>
      <c r="T340" s="55"/>
      <c r="U340" s="55"/>
      <c r="V340" s="55"/>
    </row>
    <row r="341" ht="13.5" customHeight="1">
      <c r="A341" s="80">
        <f t="shared" si="3"/>
        <v>336</v>
      </c>
      <c r="B341" s="26"/>
      <c r="C341" s="39"/>
      <c r="D341" s="40"/>
      <c r="E341" s="42"/>
      <c r="F341" s="84"/>
      <c r="G341" s="45"/>
      <c r="H341" s="45"/>
      <c r="I341" s="46"/>
      <c r="J341" s="136"/>
      <c r="K341" s="137"/>
      <c r="L341" s="138"/>
      <c r="M341" s="39"/>
      <c r="N341" s="39"/>
      <c r="O341" s="39"/>
      <c r="P341" s="55"/>
      <c r="Q341" s="55"/>
      <c r="R341" s="55"/>
      <c r="S341" s="55"/>
      <c r="T341" s="55"/>
      <c r="U341" s="55"/>
      <c r="V341" s="55"/>
    </row>
    <row r="342" ht="13.5" customHeight="1">
      <c r="A342" s="80">
        <f t="shared" si="3"/>
        <v>337</v>
      </c>
      <c r="B342" s="26"/>
      <c r="C342" s="39"/>
      <c r="D342" s="40"/>
      <c r="E342" s="42"/>
      <c r="F342" s="84"/>
      <c r="G342" s="45"/>
      <c r="H342" s="45"/>
      <c r="I342" s="46"/>
      <c r="J342" s="136"/>
      <c r="K342" s="137"/>
      <c r="L342" s="138"/>
      <c r="M342" s="39"/>
      <c r="N342" s="39"/>
      <c r="O342" s="39"/>
      <c r="P342" s="55"/>
      <c r="Q342" s="55"/>
      <c r="R342" s="55"/>
      <c r="S342" s="55"/>
      <c r="T342" s="55"/>
      <c r="U342" s="55"/>
      <c r="V342" s="55"/>
    </row>
    <row r="343" ht="13.5" customHeight="1">
      <c r="A343" s="80">
        <f t="shared" si="3"/>
        <v>338</v>
      </c>
      <c r="B343" s="26"/>
      <c r="C343" s="39"/>
      <c r="D343" s="40"/>
      <c r="E343" s="42"/>
      <c r="F343" s="84"/>
      <c r="G343" s="45"/>
      <c r="H343" s="45"/>
      <c r="I343" s="46"/>
      <c r="J343" s="136"/>
      <c r="K343" s="137"/>
      <c r="L343" s="138"/>
      <c r="M343" s="39"/>
      <c r="N343" s="39"/>
      <c r="O343" s="39"/>
      <c r="P343" s="55"/>
      <c r="Q343" s="55"/>
      <c r="R343" s="55"/>
      <c r="S343" s="55"/>
      <c r="T343" s="55"/>
      <c r="U343" s="55"/>
      <c r="V343" s="55"/>
    </row>
    <row r="344" ht="13.5" customHeight="1">
      <c r="A344" s="80">
        <f t="shared" si="3"/>
        <v>339</v>
      </c>
      <c r="B344" s="26"/>
      <c r="C344" s="39"/>
      <c r="D344" s="40"/>
      <c r="E344" s="42"/>
      <c r="F344" s="84"/>
      <c r="G344" s="45"/>
      <c r="H344" s="45"/>
      <c r="I344" s="46"/>
      <c r="J344" s="136"/>
      <c r="K344" s="137"/>
      <c r="L344" s="138"/>
      <c r="M344" s="39"/>
      <c r="N344" s="39"/>
      <c r="O344" s="39"/>
      <c r="P344" s="55"/>
      <c r="Q344" s="55"/>
      <c r="R344" s="55"/>
      <c r="S344" s="55"/>
      <c r="T344" s="55"/>
      <c r="U344" s="55"/>
      <c r="V344" s="55"/>
    </row>
    <row r="345" ht="13.5" customHeight="1">
      <c r="A345" s="80">
        <f t="shared" si="3"/>
        <v>340</v>
      </c>
      <c r="B345" s="26"/>
      <c r="C345" s="39"/>
      <c r="D345" s="40"/>
      <c r="E345" s="42"/>
      <c r="F345" s="84"/>
      <c r="G345" s="45"/>
      <c r="H345" s="45"/>
      <c r="I345" s="46"/>
      <c r="J345" s="136"/>
      <c r="K345" s="137"/>
      <c r="L345" s="138"/>
      <c r="M345" s="39"/>
      <c r="N345" s="39"/>
      <c r="O345" s="39"/>
      <c r="P345" s="55"/>
      <c r="Q345" s="55"/>
      <c r="R345" s="55"/>
      <c r="S345" s="55"/>
      <c r="T345" s="55"/>
      <c r="U345" s="55"/>
      <c r="V345" s="55"/>
    </row>
    <row r="346" ht="13.5" customHeight="1">
      <c r="A346" s="80">
        <f t="shared" si="3"/>
        <v>341</v>
      </c>
      <c r="B346" s="26"/>
      <c r="C346" s="39"/>
      <c r="D346" s="40"/>
      <c r="E346" s="42"/>
      <c r="F346" s="84"/>
      <c r="G346" s="45"/>
      <c r="H346" s="45"/>
      <c r="I346" s="46"/>
      <c r="J346" s="136"/>
      <c r="K346" s="137"/>
      <c r="L346" s="138"/>
      <c r="M346" s="39"/>
      <c r="N346" s="39"/>
      <c r="O346" s="39"/>
      <c r="P346" s="55"/>
      <c r="Q346" s="55"/>
      <c r="R346" s="55"/>
      <c r="S346" s="55"/>
      <c r="T346" s="55"/>
      <c r="U346" s="55"/>
      <c r="V346" s="55"/>
    </row>
    <row r="347" ht="13.5" customHeight="1">
      <c r="A347" s="80">
        <f t="shared" si="3"/>
        <v>342</v>
      </c>
      <c r="B347" s="26"/>
      <c r="C347" s="39"/>
      <c r="D347" s="40"/>
      <c r="E347" s="42"/>
      <c r="F347" s="84"/>
      <c r="G347" s="45"/>
      <c r="H347" s="45"/>
      <c r="I347" s="46"/>
      <c r="J347" s="136"/>
      <c r="K347" s="137"/>
      <c r="L347" s="138"/>
      <c r="M347" s="39"/>
      <c r="N347" s="39"/>
      <c r="O347" s="39"/>
      <c r="P347" s="55"/>
      <c r="Q347" s="55"/>
      <c r="R347" s="55"/>
      <c r="S347" s="55"/>
      <c r="T347" s="55"/>
      <c r="U347" s="55"/>
      <c r="V347" s="55"/>
    </row>
    <row r="348" ht="13.5" customHeight="1">
      <c r="A348" s="80">
        <f t="shared" si="3"/>
        <v>343</v>
      </c>
      <c r="B348" s="26"/>
      <c r="C348" s="39"/>
      <c r="D348" s="40"/>
      <c r="E348" s="42"/>
      <c r="F348" s="84"/>
      <c r="G348" s="45"/>
      <c r="H348" s="45"/>
      <c r="I348" s="46"/>
      <c r="J348" s="136"/>
      <c r="K348" s="137"/>
      <c r="L348" s="138"/>
      <c r="M348" s="39"/>
      <c r="N348" s="39"/>
      <c r="O348" s="39"/>
      <c r="P348" s="55"/>
      <c r="Q348" s="55"/>
      <c r="R348" s="55"/>
      <c r="S348" s="55"/>
      <c r="T348" s="55"/>
      <c r="U348" s="55"/>
      <c r="V348" s="55"/>
    </row>
    <row r="349" ht="13.5" customHeight="1">
      <c r="A349" s="80">
        <f t="shared" si="3"/>
        <v>344</v>
      </c>
      <c r="B349" s="26"/>
      <c r="C349" s="39"/>
      <c r="D349" s="40"/>
      <c r="E349" s="42"/>
      <c r="F349" s="84"/>
      <c r="G349" s="45"/>
      <c r="H349" s="45"/>
      <c r="I349" s="46"/>
      <c r="J349" s="136"/>
      <c r="K349" s="137"/>
      <c r="L349" s="138"/>
      <c r="M349" s="39"/>
      <c r="N349" s="39"/>
      <c r="O349" s="39"/>
      <c r="P349" s="55"/>
      <c r="Q349" s="55"/>
      <c r="R349" s="55"/>
      <c r="S349" s="55"/>
      <c r="T349" s="55"/>
      <c r="U349" s="55"/>
      <c r="V349" s="55"/>
    </row>
    <row r="350" ht="13.5" customHeight="1">
      <c r="A350" s="80">
        <f t="shared" si="3"/>
        <v>345</v>
      </c>
      <c r="B350" s="26"/>
      <c r="C350" s="39"/>
      <c r="D350" s="40"/>
      <c r="E350" s="42"/>
      <c r="F350" s="84"/>
      <c r="G350" s="45"/>
      <c r="H350" s="45"/>
      <c r="I350" s="46"/>
      <c r="J350" s="136"/>
      <c r="K350" s="137"/>
      <c r="L350" s="138"/>
      <c r="M350" s="39"/>
      <c r="N350" s="39"/>
      <c r="O350" s="39"/>
      <c r="P350" s="55"/>
      <c r="Q350" s="55"/>
      <c r="R350" s="55"/>
      <c r="S350" s="55"/>
      <c r="T350" s="55"/>
      <c r="U350" s="55"/>
      <c r="V350" s="55"/>
    </row>
    <row r="351" ht="13.5" customHeight="1">
      <c r="A351" s="80">
        <f t="shared" si="3"/>
        <v>346</v>
      </c>
      <c r="B351" s="26"/>
      <c r="C351" s="39"/>
      <c r="D351" s="40"/>
      <c r="E351" s="42"/>
      <c r="F351" s="84"/>
      <c r="G351" s="45"/>
      <c r="H351" s="45"/>
      <c r="I351" s="46"/>
      <c r="J351" s="136"/>
      <c r="K351" s="137"/>
      <c r="L351" s="138"/>
      <c r="M351" s="39"/>
      <c r="N351" s="39"/>
      <c r="O351" s="39"/>
      <c r="P351" s="55"/>
      <c r="Q351" s="55"/>
      <c r="R351" s="55"/>
      <c r="S351" s="55"/>
      <c r="T351" s="55"/>
      <c r="U351" s="55"/>
      <c r="V351" s="55"/>
    </row>
    <row r="352" ht="13.5" customHeight="1">
      <c r="A352" s="80">
        <f t="shared" si="3"/>
        <v>347</v>
      </c>
      <c r="B352" s="26"/>
      <c r="C352" s="39"/>
      <c r="D352" s="40"/>
      <c r="E352" s="42"/>
      <c r="F352" s="84"/>
      <c r="G352" s="45"/>
      <c r="H352" s="45"/>
      <c r="I352" s="46"/>
      <c r="J352" s="136"/>
      <c r="K352" s="137"/>
      <c r="L352" s="138"/>
      <c r="M352" s="39"/>
      <c r="N352" s="39"/>
      <c r="O352" s="39"/>
      <c r="P352" s="55"/>
      <c r="Q352" s="55"/>
      <c r="R352" s="55"/>
      <c r="S352" s="55"/>
      <c r="T352" s="55"/>
      <c r="U352" s="55"/>
      <c r="V352" s="55"/>
    </row>
    <row r="353" ht="13.5" customHeight="1">
      <c r="A353" s="80">
        <f t="shared" si="3"/>
        <v>348</v>
      </c>
      <c r="B353" s="26"/>
      <c r="C353" s="39"/>
      <c r="D353" s="40"/>
      <c r="E353" s="42"/>
      <c r="F353" s="84"/>
      <c r="G353" s="45"/>
      <c r="H353" s="45"/>
      <c r="I353" s="46"/>
      <c r="J353" s="136"/>
      <c r="K353" s="137"/>
      <c r="L353" s="138"/>
      <c r="M353" s="39"/>
      <c r="N353" s="39"/>
      <c r="O353" s="39"/>
      <c r="P353" s="55"/>
      <c r="Q353" s="55"/>
      <c r="R353" s="55"/>
      <c r="S353" s="55"/>
      <c r="T353" s="55"/>
      <c r="U353" s="55"/>
      <c r="V353" s="55"/>
    </row>
    <row r="354" ht="13.5" customHeight="1">
      <c r="A354" s="80">
        <f t="shared" si="3"/>
        <v>349</v>
      </c>
      <c r="B354" s="26"/>
      <c r="C354" s="39"/>
      <c r="D354" s="40"/>
      <c r="E354" s="42"/>
      <c r="F354" s="84"/>
      <c r="G354" s="45"/>
      <c r="H354" s="45"/>
      <c r="I354" s="46"/>
      <c r="J354" s="136"/>
      <c r="K354" s="137"/>
      <c r="L354" s="138"/>
      <c r="M354" s="39"/>
      <c r="N354" s="39"/>
      <c r="O354" s="39"/>
      <c r="P354" s="55"/>
      <c r="Q354" s="55"/>
      <c r="R354" s="55"/>
      <c r="S354" s="55"/>
      <c r="T354" s="55"/>
      <c r="U354" s="55"/>
      <c r="V354" s="55"/>
    </row>
    <row r="355" ht="13.5" customHeight="1">
      <c r="A355" s="80">
        <f t="shared" si="3"/>
        <v>350</v>
      </c>
      <c r="B355" s="26"/>
      <c r="C355" s="39"/>
      <c r="D355" s="40"/>
      <c r="E355" s="42"/>
      <c r="F355" s="84"/>
      <c r="G355" s="45"/>
      <c r="H355" s="45"/>
      <c r="I355" s="46"/>
      <c r="J355" s="136"/>
      <c r="K355" s="137"/>
      <c r="L355" s="138"/>
      <c r="M355" s="39"/>
      <c r="N355" s="39"/>
      <c r="O355" s="39"/>
      <c r="P355" s="55"/>
      <c r="Q355" s="55"/>
      <c r="R355" s="55"/>
      <c r="S355" s="55"/>
      <c r="T355" s="55"/>
      <c r="U355" s="55"/>
      <c r="V355" s="55"/>
    </row>
    <row r="356" ht="13.5" customHeight="1">
      <c r="A356" s="80">
        <f t="shared" si="3"/>
        <v>351</v>
      </c>
      <c r="B356" s="26"/>
      <c r="C356" s="39"/>
      <c r="D356" s="40"/>
      <c r="E356" s="42"/>
      <c r="F356" s="84"/>
      <c r="G356" s="45"/>
      <c r="H356" s="45"/>
      <c r="I356" s="46"/>
      <c r="J356" s="136"/>
      <c r="K356" s="137"/>
      <c r="L356" s="138"/>
      <c r="M356" s="39"/>
      <c r="N356" s="39"/>
      <c r="O356" s="39"/>
      <c r="P356" s="55"/>
      <c r="Q356" s="55"/>
      <c r="R356" s="55"/>
      <c r="S356" s="55"/>
      <c r="T356" s="55"/>
      <c r="U356" s="55"/>
      <c r="V356" s="55"/>
    </row>
    <row r="357" ht="13.5" customHeight="1">
      <c r="A357" s="80">
        <f t="shared" si="3"/>
        <v>352</v>
      </c>
      <c r="B357" s="26"/>
      <c r="C357" s="39"/>
      <c r="D357" s="40"/>
      <c r="E357" s="42"/>
      <c r="F357" s="84"/>
      <c r="G357" s="45"/>
      <c r="H357" s="45"/>
      <c r="I357" s="46"/>
      <c r="J357" s="136"/>
      <c r="K357" s="137"/>
      <c r="L357" s="138"/>
      <c r="M357" s="39"/>
      <c r="N357" s="39"/>
      <c r="O357" s="39"/>
      <c r="P357" s="55"/>
      <c r="Q357" s="55"/>
      <c r="R357" s="55"/>
      <c r="S357" s="55"/>
      <c r="T357" s="55"/>
      <c r="U357" s="55"/>
      <c r="V357" s="55"/>
    </row>
    <row r="358" ht="13.5" customHeight="1">
      <c r="A358" s="80">
        <f t="shared" si="3"/>
        <v>353</v>
      </c>
      <c r="B358" s="26"/>
      <c r="C358" s="39"/>
      <c r="D358" s="40"/>
      <c r="E358" s="42"/>
      <c r="F358" s="84"/>
      <c r="G358" s="45"/>
      <c r="H358" s="45"/>
      <c r="I358" s="46"/>
      <c r="J358" s="136"/>
      <c r="K358" s="137"/>
      <c r="L358" s="138"/>
      <c r="M358" s="39"/>
      <c r="N358" s="39"/>
      <c r="O358" s="39"/>
      <c r="P358" s="55"/>
      <c r="Q358" s="55"/>
      <c r="R358" s="55"/>
      <c r="S358" s="55"/>
      <c r="T358" s="55"/>
      <c r="U358" s="55"/>
      <c r="V358" s="55"/>
    </row>
    <row r="359" ht="13.5" customHeight="1">
      <c r="A359" s="80">
        <f t="shared" si="3"/>
        <v>354</v>
      </c>
      <c r="B359" s="26"/>
      <c r="C359" s="39"/>
      <c r="D359" s="40"/>
      <c r="E359" s="42"/>
      <c r="F359" s="84"/>
      <c r="G359" s="45"/>
      <c r="H359" s="45"/>
      <c r="I359" s="46"/>
      <c r="J359" s="136"/>
      <c r="K359" s="137"/>
      <c r="L359" s="138"/>
      <c r="M359" s="39"/>
      <c r="N359" s="39"/>
      <c r="O359" s="39"/>
      <c r="P359" s="55"/>
      <c r="Q359" s="55"/>
      <c r="R359" s="55"/>
      <c r="S359" s="55"/>
      <c r="T359" s="55"/>
      <c r="U359" s="55"/>
      <c r="V359" s="55"/>
    </row>
    <row r="360" ht="13.5" customHeight="1">
      <c r="A360" s="80">
        <f t="shared" si="3"/>
        <v>355</v>
      </c>
      <c r="B360" s="26"/>
      <c r="C360" s="39"/>
      <c r="D360" s="40"/>
      <c r="E360" s="42"/>
      <c r="F360" s="84"/>
      <c r="G360" s="45"/>
      <c r="H360" s="45"/>
      <c r="I360" s="46"/>
      <c r="J360" s="136"/>
      <c r="K360" s="137"/>
      <c r="L360" s="138"/>
      <c r="M360" s="39"/>
      <c r="N360" s="39"/>
      <c r="O360" s="39"/>
      <c r="P360" s="55"/>
      <c r="Q360" s="55"/>
      <c r="R360" s="55"/>
      <c r="S360" s="55"/>
      <c r="T360" s="55"/>
      <c r="U360" s="55"/>
      <c r="V360" s="55"/>
    </row>
    <row r="361" ht="13.5" customHeight="1">
      <c r="A361" s="80">
        <f t="shared" si="3"/>
        <v>356</v>
      </c>
      <c r="B361" s="26"/>
      <c r="C361" s="39"/>
      <c r="D361" s="40"/>
      <c r="E361" s="42"/>
      <c r="F361" s="84"/>
      <c r="G361" s="45"/>
      <c r="H361" s="45"/>
      <c r="I361" s="46"/>
      <c r="J361" s="136"/>
      <c r="K361" s="137"/>
      <c r="L361" s="138"/>
      <c r="M361" s="39"/>
      <c r="N361" s="39"/>
      <c r="O361" s="39"/>
      <c r="P361" s="55"/>
      <c r="Q361" s="55"/>
      <c r="R361" s="55"/>
      <c r="S361" s="55"/>
      <c r="T361" s="55"/>
      <c r="U361" s="55"/>
      <c r="V361" s="55"/>
    </row>
    <row r="362" ht="13.5" customHeight="1">
      <c r="A362" s="80">
        <f t="shared" si="3"/>
        <v>357</v>
      </c>
      <c r="B362" s="26"/>
      <c r="C362" s="39"/>
      <c r="D362" s="40"/>
      <c r="E362" s="42"/>
      <c r="F362" s="84"/>
      <c r="G362" s="45"/>
      <c r="H362" s="45"/>
      <c r="I362" s="46"/>
      <c r="J362" s="136"/>
      <c r="K362" s="137"/>
      <c r="L362" s="138"/>
      <c r="M362" s="39"/>
      <c r="N362" s="39"/>
      <c r="O362" s="39"/>
      <c r="P362" s="55"/>
      <c r="Q362" s="55"/>
      <c r="R362" s="55"/>
      <c r="S362" s="55"/>
      <c r="T362" s="55"/>
      <c r="U362" s="55"/>
      <c r="V362" s="55"/>
    </row>
    <row r="363" ht="13.5" customHeight="1">
      <c r="A363" s="80">
        <f t="shared" si="3"/>
        <v>358</v>
      </c>
      <c r="B363" s="26"/>
      <c r="C363" s="39"/>
      <c r="D363" s="40"/>
      <c r="E363" s="42"/>
      <c r="F363" s="84"/>
      <c r="G363" s="45"/>
      <c r="H363" s="45"/>
      <c r="I363" s="46"/>
      <c r="J363" s="136"/>
      <c r="K363" s="137"/>
      <c r="L363" s="138"/>
      <c r="M363" s="39"/>
      <c r="N363" s="39"/>
      <c r="O363" s="39"/>
      <c r="P363" s="55"/>
      <c r="Q363" s="55"/>
      <c r="R363" s="55"/>
      <c r="S363" s="55"/>
      <c r="T363" s="55"/>
      <c r="U363" s="55"/>
      <c r="V363" s="55"/>
    </row>
    <row r="364" ht="13.5" customHeight="1">
      <c r="A364" s="80">
        <f t="shared" si="3"/>
        <v>359</v>
      </c>
      <c r="B364" s="26"/>
      <c r="C364" s="39"/>
      <c r="D364" s="40"/>
      <c r="E364" s="42"/>
      <c r="F364" s="84"/>
      <c r="G364" s="45"/>
      <c r="H364" s="45"/>
      <c r="I364" s="46"/>
      <c r="J364" s="136"/>
      <c r="K364" s="137"/>
      <c r="L364" s="138"/>
      <c r="M364" s="39"/>
      <c r="N364" s="39"/>
      <c r="O364" s="39"/>
      <c r="P364" s="55"/>
      <c r="Q364" s="55"/>
      <c r="R364" s="55"/>
      <c r="S364" s="55"/>
      <c r="T364" s="55"/>
      <c r="U364" s="55"/>
      <c r="V364" s="55"/>
    </row>
    <row r="365" ht="13.5" customHeight="1">
      <c r="A365" s="80">
        <f t="shared" si="3"/>
        <v>360</v>
      </c>
      <c r="B365" s="26"/>
      <c r="C365" s="39"/>
      <c r="D365" s="40"/>
      <c r="E365" s="42"/>
      <c r="F365" s="84"/>
      <c r="G365" s="45"/>
      <c r="H365" s="45"/>
      <c r="I365" s="46"/>
      <c r="J365" s="136"/>
      <c r="K365" s="137"/>
      <c r="L365" s="138"/>
      <c r="M365" s="39"/>
      <c r="N365" s="39"/>
      <c r="O365" s="39"/>
      <c r="P365" s="55"/>
      <c r="Q365" s="55"/>
      <c r="R365" s="55"/>
      <c r="S365" s="55"/>
      <c r="T365" s="55"/>
      <c r="U365" s="55"/>
      <c r="V365" s="55"/>
    </row>
    <row r="366" ht="13.5" customHeight="1">
      <c r="A366" s="80">
        <f t="shared" si="3"/>
        <v>361</v>
      </c>
      <c r="B366" s="26"/>
      <c r="C366" s="39"/>
      <c r="D366" s="40"/>
      <c r="E366" s="42"/>
      <c r="F366" s="84"/>
      <c r="G366" s="45"/>
      <c r="H366" s="45"/>
      <c r="I366" s="46"/>
      <c r="J366" s="136"/>
      <c r="K366" s="137"/>
      <c r="L366" s="138"/>
      <c r="M366" s="39"/>
      <c r="N366" s="39"/>
      <c r="O366" s="39"/>
      <c r="P366" s="55"/>
      <c r="Q366" s="55"/>
      <c r="R366" s="55"/>
      <c r="S366" s="55"/>
      <c r="T366" s="55"/>
      <c r="U366" s="55"/>
      <c r="V366" s="55"/>
    </row>
    <row r="367" ht="13.5" customHeight="1">
      <c r="A367" s="80">
        <f t="shared" si="3"/>
        <v>362</v>
      </c>
      <c r="B367" s="26"/>
      <c r="C367" s="39"/>
      <c r="D367" s="40"/>
      <c r="E367" s="42"/>
      <c r="F367" s="84"/>
      <c r="G367" s="45"/>
      <c r="H367" s="45"/>
      <c r="I367" s="46"/>
      <c r="J367" s="136"/>
      <c r="K367" s="137"/>
      <c r="L367" s="138"/>
      <c r="M367" s="39"/>
      <c r="N367" s="39"/>
      <c r="O367" s="39"/>
      <c r="P367" s="55"/>
      <c r="Q367" s="55"/>
      <c r="R367" s="55"/>
      <c r="S367" s="55"/>
      <c r="T367" s="55"/>
      <c r="U367" s="55"/>
      <c r="V367" s="55"/>
    </row>
    <row r="368" ht="13.5" customHeight="1">
      <c r="A368" s="80">
        <f t="shared" si="3"/>
        <v>363</v>
      </c>
      <c r="B368" s="26"/>
      <c r="C368" s="39"/>
      <c r="D368" s="40"/>
      <c r="E368" s="42"/>
      <c r="F368" s="84"/>
      <c r="G368" s="45"/>
      <c r="H368" s="45"/>
      <c r="I368" s="46"/>
      <c r="J368" s="136"/>
      <c r="K368" s="137"/>
      <c r="L368" s="138"/>
      <c r="M368" s="39"/>
      <c r="N368" s="39"/>
      <c r="O368" s="39"/>
      <c r="P368" s="55"/>
      <c r="Q368" s="55"/>
      <c r="R368" s="55"/>
      <c r="S368" s="55"/>
      <c r="T368" s="55"/>
      <c r="U368" s="55"/>
      <c r="V368" s="55"/>
    </row>
    <row r="369" ht="13.5" customHeight="1">
      <c r="A369" s="80">
        <f t="shared" si="3"/>
        <v>364</v>
      </c>
      <c r="B369" s="26"/>
      <c r="C369" s="39"/>
      <c r="D369" s="40"/>
      <c r="E369" s="42"/>
      <c r="F369" s="84"/>
      <c r="G369" s="45"/>
      <c r="H369" s="45"/>
      <c r="I369" s="46"/>
      <c r="J369" s="136"/>
      <c r="K369" s="137"/>
      <c r="L369" s="138"/>
      <c r="M369" s="39"/>
      <c r="N369" s="39"/>
      <c r="O369" s="39"/>
      <c r="P369" s="55"/>
      <c r="Q369" s="55"/>
      <c r="R369" s="55"/>
      <c r="S369" s="55"/>
      <c r="T369" s="55"/>
      <c r="U369" s="55"/>
      <c r="V369" s="55"/>
    </row>
    <row r="370" ht="13.5" customHeight="1">
      <c r="A370" s="80">
        <f t="shared" si="3"/>
        <v>365</v>
      </c>
      <c r="B370" s="26"/>
      <c r="C370" s="39"/>
      <c r="D370" s="40"/>
      <c r="E370" s="42"/>
      <c r="F370" s="84"/>
      <c r="G370" s="45"/>
      <c r="H370" s="45"/>
      <c r="I370" s="46"/>
      <c r="J370" s="136"/>
      <c r="K370" s="137"/>
      <c r="L370" s="138"/>
      <c r="M370" s="39"/>
      <c r="N370" s="39"/>
      <c r="O370" s="39"/>
      <c r="P370" s="55"/>
      <c r="Q370" s="55"/>
      <c r="R370" s="55"/>
      <c r="S370" s="55"/>
      <c r="T370" s="55"/>
      <c r="U370" s="55"/>
      <c r="V370" s="55"/>
    </row>
    <row r="371" ht="13.5" customHeight="1">
      <c r="A371" s="80">
        <f t="shared" si="3"/>
        <v>366</v>
      </c>
      <c r="B371" s="26"/>
      <c r="C371" s="39"/>
      <c r="D371" s="40"/>
      <c r="E371" s="42"/>
      <c r="F371" s="84"/>
      <c r="G371" s="45"/>
      <c r="H371" s="45"/>
      <c r="I371" s="46"/>
      <c r="J371" s="136"/>
      <c r="K371" s="137"/>
      <c r="L371" s="138"/>
      <c r="M371" s="39"/>
      <c r="N371" s="39"/>
      <c r="O371" s="39"/>
      <c r="P371" s="55"/>
      <c r="Q371" s="55"/>
      <c r="R371" s="55"/>
      <c r="S371" s="55"/>
      <c r="T371" s="55"/>
      <c r="U371" s="55"/>
      <c r="V371" s="55"/>
    </row>
    <row r="372" ht="13.5" customHeight="1">
      <c r="A372" s="80">
        <f t="shared" si="3"/>
        <v>367</v>
      </c>
      <c r="B372" s="26"/>
      <c r="C372" s="39"/>
      <c r="D372" s="40"/>
      <c r="E372" s="42"/>
      <c r="F372" s="84"/>
      <c r="G372" s="45"/>
      <c r="H372" s="45"/>
      <c r="I372" s="46"/>
      <c r="J372" s="136"/>
      <c r="K372" s="137"/>
      <c r="L372" s="138"/>
      <c r="M372" s="39"/>
      <c r="N372" s="39"/>
      <c r="O372" s="39"/>
      <c r="P372" s="55"/>
      <c r="Q372" s="55"/>
      <c r="R372" s="55"/>
      <c r="S372" s="55"/>
      <c r="T372" s="55"/>
      <c r="U372" s="55"/>
      <c r="V372" s="55"/>
    </row>
    <row r="373" ht="13.5" customHeight="1">
      <c r="A373" s="80">
        <f t="shared" si="3"/>
        <v>368</v>
      </c>
      <c r="B373" s="26"/>
      <c r="C373" s="39"/>
      <c r="D373" s="40"/>
      <c r="E373" s="42"/>
      <c r="F373" s="84"/>
      <c r="G373" s="45"/>
      <c r="H373" s="45"/>
      <c r="I373" s="46"/>
      <c r="J373" s="136"/>
      <c r="K373" s="137"/>
      <c r="L373" s="138"/>
      <c r="M373" s="39"/>
      <c r="N373" s="39"/>
      <c r="O373" s="39"/>
      <c r="P373" s="55"/>
      <c r="Q373" s="55"/>
      <c r="R373" s="55"/>
      <c r="S373" s="55"/>
      <c r="T373" s="55"/>
      <c r="U373" s="55"/>
      <c r="V373" s="55"/>
    </row>
    <row r="374" ht="13.5" customHeight="1">
      <c r="A374" s="80">
        <f t="shared" si="3"/>
        <v>369</v>
      </c>
      <c r="B374" s="26"/>
      <c r="C374" s="39"/>
      <c r="D374" s="40"/>
      <c r="E374" s="42"/>
      <c r="F374" s="84"/>
      <c r="G374" s="45"/>
      <c r="H374" s="45"/>
      <c r="I374" s="46"/>
      <c r="J374" s="136"/>
      <c r="K374" s="137"/>
      <c r="L374" s="138"/>
      <c r="M374" s="39"/>
      <c r="N374" s="39"/>
      <c r="O374" s="39"/>
      <c r="P374" s="55"/>
      <c r="Q374" s="55"/>
      <c r="R374" s="55"/>
      <c r="S374" s="55"/>
      <c r="T374" s="55"/>
      <c r="U374" s="55"/>
      <c r="V374" s="55"/>
    </row>
    <row r="375" ht="13.5" customHeight="1">
      <c r="A375" s="80">
        <f t="shared" si="3"/>
        <v>370</v>
      </c>
      <c r="B375" s="26"/>
      <c r="C375" s="39"/>
      <c r="D375" s="40"/>
      <c r="E375" s="42"/>
      <c r="F375" s="84"/>
      <c r="G375" s="45"/>
      <c r="H375" s="45"/>
      <c r="I375" s="46"/>
      <c r="J375" s="136"/>
      <c r="K375" s="137"/>
      <c r="L375" s="138"/>
      <c r="M375" s="39"/>
      <c r="N375" s="39"/>
      <c r="O375" s="39"/>
      <c r="P375" s="55"/>
      <c r="Q375" s="55"/>
      <c r="R375" s="55"/>
      <c r="S375" s="55"/>
      <c r="T375" s="55"/>
      <c r="U375" s="55"/>
      <c r="V375" s="55"/>
    </row>
    <row r="376" ht="13.5" customHeight="1">
      <c r="A376" s="80">
        <f t="shared" si="3"/>
        <v>371</v>
      </c>
      <c r="B376" s="26"/>
      <c r="C376" s="39"/>
      <c r="D376" s="40"/>
      <c r="E376" s="42"/>
      <c r="F376" s="84"/>
      <c r="G376" s="45"/>
      <c r="H376" s="45"/>
      <c r="I376" s="46"/>
      <c r="J376" s="136"/>
      <c r="K376" s="137"/>
      <c r="L376" s="138"/>
      <c r="M376" s="39"/>
      <c r="N376" s="39"/>
      <c r="O376" s="39"/>
      <c r="P376" s="55"/>
      <c r="Q376" s="55"/>
      <c r="R376" s="55"/>
      <c r="S376" s="55"/>
      <c r="T376" s="55"/>
      <c r="U376" s="55"/>
      <c r="V376" s="55"/>
    </row>
    <row r="377" ht="13.5" customHeight="1">
      <c r="A377" s="80">
        <f t="shared" si="3"/>
        <v>372</v>
      </c>
      <c r="B377" s="26"/>
      <c r="C377" s="39"/>
      <c r="D377" s="40"/>
      <c r="E377" s="42"/>
      <c r="F377" s="84"/>
      <c r="G377" s="45"/>
      <c r="H377" s="45"/>
      <c r="I377" s="46"/>
      <c r="J377" s="136"/>
      <c r="K377" s="137"/>
      <c r="L377" s="138"/>
      <c r="M377" s="39"/>
      <c r="N377" s="39"/>
      <c r="O377" s="39"/>
      <c r="P377" s="55"/>
      <c r="Q377" s="55"/>
      <c r="R377" s="55"/>
      <c r="S377" s="55"/>
      <c r="T377" s="55"/>
      <c r="U377" s="55"/>
      <c r="V377" s="55"/>
    </row>
    <row r="378" ht="13.5" customHeight="1">
      <c r="A378" s="80">
        <f t="shared" si="3"/>
        <v>373</v>
      </c>
      <c r="B378" s="26"/>
      <c r="C378" s="39"/>
      <c r="D378" s="40"/>
      <c r="E378" s="42"/>
      <c r="F378" s="84"/>
      <c r="G378" s="45"/>
      <c r="H378" s="45"/>
      <c r="I378" s="46"/>
      <c r="J378" s="136"/>
      <c r="K378" s="137"/>
      <c r="L378" s="138"/>
      <c r="M378" s="39"/>
      <c r="N378" s="39"/>
      <c r="O378" s="39"/>
      <c r="P378" s="55"/>
      <c r="Q378" s="55"/>
      <c r="R378" s="55"/>
      <c r="S378" s="55"/>
      <c r="T378" s="55"/>
      <c r="U378" s="55"/>
      <c r="V378" s="55"/>
    </row>
    <row r="379" ht="13.5" customHeight="1">
      <c r="A379" s="80">
        <f t="shared" si="3"/>
        <v>374</v>
      </c>
      <c r="B379" s="26"/>
      <c r="C379" s="39"/>
      <c r="D379" s="40"/>
      <c r="E379" s="42"/>
      <c r="F379" s="84"/>
      <c r="G379" s="45"/>
      <c r="H379" s="45"/>
      <c r="I379" s="46"/>
      <c r="J379" s="136"/>
      <c r="K379" s="137"/>
      <c r="L379" s="138"/>
      <c r="M379" s="39"/>
      <c r="N379" s="39"/>
      <c r="O379" s="39"/>
      <c r="P379" s="55"/>
      <c r="Q379" s="55"/>
      <c r="R379" s="55"/>
      <c r="S379" s="55"/>
      <c r="T379" s="55"/>
      <c r="U379" s="55"/>
      <c r="V379" s="55"/>
    </row>
    <row r="380" ht="13.5" customHeight="1">
      <c r="A380" s="80">
        <f t="shared" si="3"/>
        <v>375</v>
      </c>
      <c r="B380" s="26"/>
      <c r="C380" s="39"/>
      <c r="D380" s="40"/>
      <c r="E380" s="42"/>
      <c r="F380" s="84"/>
      <c r="G380" s="45"/>
      <c r="H380" s="45"/>
      <c r="I380" s="46"/>
      <c r="J380" s="136"/>
      <c r="K380" s="137"/>
      <c r="L380" s="138"/>
      <c r="M380" s="39"/>
      <c r="N380" s="39"/>
      <c r="O380" s="39"/>
      <c r="P380" s="55"/>
      <c r="Q380" s="55"/>
      <c r="R380" s="55"/>
      <c r="S380" s="55"/>
      <c r="T380" s="55"/>
      <c r="U380" s="55"/>
      <c r="V380" s="55"/>
    </row>
    <row r="381" ht="13.5" customHeight="1">
      <c r="A381" s="80">
        <f t="shared" si="3"/>
        <v>376</v>
      </c>
      <c r="B381" s="26"/>
      <c r="C381" s="39"/>
      <c r="D381" s="40"/>
      <c r="E381" s="42"/>
      <c r="F381" s="84"/>
      <c r="G381" s="45"/>
      <c r="H381" s="45"/>
      <c r="I381" s="46"/>
      <c r="J381" s="136"/>
      <c r="K381" s="137"/>
      <c r="L381" s="138"/>
      <c r="M381" s="39"/>
      <c r="N381" s="39"/>
      <c r="O381" s="39"/>
      <c r="P381" s="55"/>
      <c r="Q381" s="55"/>
      <c r="R381" s="55"/>
      <c r="S381" s="55"/>
      <c r="T381" s="55"/>
      <c r="U381" s="55"/>
      <c r="V381" s="55"/>
    </row>
    <row r="382" ht="13.5" customHeight="1">
      <c r="A382" s="80">
        <f t="shared" si="3"/>
        <v>377</v>
      </c>
      <c r="B382" s="26"/>
      <c r="C382" s="39"/>
      <c r="D382" s="40"/>
      <c r="E382" s="42"/>
      <c r="F382" s="84"/>
      <c r="G382" s="45"/>
      <c r="H382" s="45"/>
      <c r="I382" s="46"/>
      <c r="J382" s="136"/>
      <c r="K382" s="137"/>
      <c r="L382" s="138"/>
      <c r="M382" s="39"/>
      <c r="N382" s="39"/>
      <c r="O382" s="39"/>
      <c r="P382" s="55"/>
      <c r="Q382" s="55"/>
      <c r="R382" s="55"/>
      <c r="S382" s="55"/>
      <c r="T382" s="55"/>
      <c r="U382" s="55"/>
      <c r="V382" s="55"/>
    </row>
    <row r="383" ht="13.5" customHeight="1">
      <c r="A383" s="80">
        <f t="shared" si="3"/>
        <v>378</v>
      </c>
      <c r="B383" s="26"/>
      <c r="C383" s="39"/>
      <c r="D383" s="40"/>
      <c r="E383" s="42"/>
      <c r="F383" s="84"/>
      <c r="G383" s="45"/>
      <c r="H383" s="45"/>
      <c r="I383" s="46"/>
      <c r="J383" s="136"/>
      <c r="K383" s="137"/>
      <c r="L383" s="138"/>
      <c r="M383" s="39"/>
      <c r="N383" s="39"/>
      <c r="O383" s="39"/>
      <c r="P383" s="55"/>
      <c r="Q383" s="55"/>
      <c r="R383" s="55"/>
      <c r="S383" s="55"/>
      <c r="T383" s="55"/>
      <c r="U383" s="55"/>
      <c r="V383" s="55"/>
    </row>
    <row r="384" ht="13.5" customHeight="1">
      <c r="A384" s="80">
        <f t="shared" si="3"/>
        <v>379</v>
      </c>
      <c r="B384" s="26"/>
      <c r="C384" s="39"/>
      <c r="D384" s="40"/>
      <c r="E384" s="42"/>
      <c r="F384" s="84"/>
      <c r="G384" s="45"/>
      <c r="H384" s="45"/>
      <c r="I384" s="46"/>
      <c r="J384" s="136"/>
      <c r="K384" s="137"/>
      <c r="L384" s="138"/>
      <c r="M384" s="39"/>
      <c r="N384" s="39"/>
      <c r="O384" s="39"/>
      <c r="P384" s="55"/>
      <c r="Q384" s="55"/>
      <c r="R384" s="55"/>
      <c r="S384" s="55"/>
      <c r="T384" s="55"/>
      <c r="U384" s="55"/>
      <c r="V384" s="55"/>
    </row>
    <row r="385" ht="13.5" customHeight="1">
      <c r="A385" s="80">
        <f t="shared" si="3"/>
        <v>380</v>
      </c>
      <c r="B385" s="26"/>
      <c r="C385" s="39"/>
      <c r="D385" s="40"/>
      <c r="E385" s="42"/>
      <c r="F385" s="84"/>
      <c r="G385" s="45"/>
      <c r="H385" s="45"/>
      <c r="I385" s="46"/>
      <c r="J385" s="136"/>
      <c r="K385" s="137"/>
      <c r="L385" s="138"/>
      <c r="M385" s="39"/>
      <c r="N385" s="39"/>
      <c r="O385" s="39"/>
      <c r="P385" s="55"/>
      <c r="Q385" s="55"/>
      <c r="R385" s="55"/>
      <c r="S385" s="55"/>
      <c r="T385" s="55"/>
      <c r="U385" s="55"/>
      <c r="V385" s="55"/>
    </row>
    <row r="386" ht="13.5" customHeight="1">
      <c r="A386" s="80">
        <f t="shared" si="3"/>
        <v>381</v>
      </c>
      <c r="B386" s="26"/>
      <c r="C386" s="39"/>
      <c r="D386" s="40"/>
      <c r="E386" s="42"/>
      <c r="F386" s="84"/>
      <c r="G386" s="45"/>
      <c r="H386" s="45"/>
      <c r="I386" s="46"/>
      <c r="J386" s="136"/>
      <c r="K386" s="137"/>
      <c r="L386" s="138"/>
      <c r="M386" s="39"/>
      <c r="N386" s="39"/>
      <c r="O386" s="39"/>
      <c r="P386" s="55"/>
      <c r="Q386" s="55"/>
      <c r="R386" s="55"/>
      <c r="S386" s="55"/>
      <c r="T386" s="55"/>
      <c r="U386" s="55"/>
      <c r="V386" s="55"/>
    </row>
    <row r="387" ht="13.5" customHeight="1">
      <c r="A387" s="80">
        <f t="shared" si="3"/>
        <v>382</v>
      </c>
      <c r="B387" s="26"/>
      <c r="C387" s="39"/>
      <c r="D387" s="40"/>
      <c r="E387" s="42"/>
      <c r="F387" s="84"/>
      <c r="G387" s="45"/>
      <c r="H387" s="45"/>
      <c r="I387" s="46"/>
      <c r="J387" s="136"/>
      <c r="K387" s="137"/>
      <c r="L387" s="138"/>
      <c r="M387" s="39"/>
      <c r="N387" s="39"/>
      <c r="O387" s="39"/>
      <c r="P387" s="55"/>
      <c r="Q387" s="55"/>
      <c r="R387" s="55"/>
      <c r="S387" s="55"/>
      <c r="T387" s="55"/>
      <c r="U387" s="55"/>
      <c r="V387" s="55"/>
    </row>
    <row r="388" ht="13.5" customHeight="1">
      <c r="A388" s="80">
        <f t="shared" si="3"/>
        <v>383</v>
      </c>
      <c r="B388" s="26"/>
      <c r="C388" s="39"/>
      <c r="D388" s="40"/>
      <c r="E388" s="42"/>
      <c r="F388" s="84"/>
      <c r="G388" s="45"/>
      <c r="H388" s="45"/>
      <c r="I388" s="46"/>
      <c r="J388" s="136"/>
      <c r="K388" s="137"/>
      <c r="L388" s="138"/>
      <c r="M388" s="39"/>
      <c r="N388" s="39"/>
      <c r="O388" s="39"/>
      <c r="P388" s="55"/>
      <c r="Q388" s="55"/>
      <c r="R388" s="55"/>
      <c r="S388" s="55"/>
      <c r="T388" s="55"/>
      <c r="U388" s="55"/>
      <c r="V388" s="55"/>
    </row>
    <row r="389" ht="13.5" customHeight="1">
      <c r="A389" s="80">
        <f t="shared" si="3"/>
        <v>384</v>
      </c>
      <c r="B389" s="26"/>
      <c r="C389" s="39"/>
      <c r="D389" s="40"/>
      <c r="E389" s="42"/>
      <c r="F389" s="84"/>
      <c r="G389" s="45"/>
      <c r="H389" s="45"/>
      <c r="I389" s="46"/>
      <c r="J389" s="136"/>
      <c r="K389" s="137"/>
      <c r="L389" s="138"/>
      <c r="M389" s="39"/>
      <c r="N389" s="39"/>
      <c r="O389" s="39"/>
      <c r="P389" s="55"/>
      <c r="Q389" s="55"/>
      <c r="R389" s="55"/>
      <c r="S389" s="55"/>
      <c r="T389" s="55"/>
      <c r="U389" s="55"/>
      <c r="V389" s="55"/>
    </row>
    <row r="390" ht="13.5" customHeight="1">
      <c r="A390" s="80">
        <f t="shared" si="3"/>
        <v>385</v>
      </c>
      <c r="B390" s="26"/>
      <c r="C390" s="39"/>
      <c r="D390" s="40"/>
      <c r="E390" s="42"/>
      <c r="F390" s="84"/>
      <c r="G390" s="45"/>
      <c r="H390" s="45"/>
      <c r="I390" s="46"/>
      <c r="J390" s="136"/>
      <c r="K390" s="137"/>
      <c r="L390" s="138"/>
      <c r="M390" s="39"/>
      <c r="N390" s="39"/>
      <c r="O390" s="39"/>
      <c r="P390" s="55"/>
      <c r="Q390" s="55"/>
      <c r="R390" s="55"/>
      <c r="S390" s="55"/>
      <c r="T390" s="55"/>
      <c r="U390" s="55"/>
      <c r="V390" s="55"/>
    </row>
    <row r="391" ht="13.5" customHeight="1">
      <c r="A391" s="80">
        <f t="shared" si="3"/>
        <v>386</v>
      </c>
      <c r="B391" s="26"/>
      <c r="C391" s="39"/>
      <c r="D391" s="40"/>
      <c r="E391" s="42"/>
      <c r="F391" s="84"/>
      <c r="G391" s="45"/>
      <c r="H391" s="45"/>
      <c r="I391" s="46"/>
      <c r="J391" s="136"/>
      <c r="K391" s="137"/>
      <c r="L391" s="138"/>
      <c r="M391" s="39"/>
      <c r="N391" s="39"/>
      <c r="O391" s="39"/>
      <c r="P391" s="55"/>
      <c r="Q391" s="55"/>
      <c r="R391" s="55"/>
      <c r="S391" s="55"/>
      <c r="T391" s="55"/>
      <c r="U391" s="55"/>
      <c r="V391" s="55"/>
    </row>
    <row r="392" ht="13.5" customHeight="1">
      <c r="A392" s="80">
        <f t="shared" si="3"/>
        <v>387</v>
      </c>
      <c r="B392" s="26"/>
      <c r="C392" s="39"/>
      <c r="D392" s="40"/>
      <c r="E392" s="42"/>
      <c r="F392" s="84"/>
      <c r="G392" s="45"/>
      <c r="H392" s="45"/>
      <c r="I392" s="46"/>
      <c r="J392" s="136"/>
      <c r="K392" s="137"/>
      <c r="L392" s="138"/>
      <c r="M392" s="39"/>
      <c r="N392" s="39"/>
      <c r="O392" s="39"/>
      <c r="P392" s="55"/>
      <c r="Q392" s="55"/>
      <c r="R392" s="55"/>
      <c r="S392" s="55"/>
      <c r="T392" s="55"/>
      <c r="U392" s="55"/>
      <c r="V392" s="55"/>
    </row>
    <row r="393" ht="13.5" customHeight="1">
      <c r="A393" s="80">
        <f t="shared" si="3"/>
        <v>388</v>
      </c>
      <c r="B393" s="26"/>
      <c r="C393" s="39"/>
      <c r="D393" s="40"/>
      <c r="E393" s="42"/>
      <c r="F393" s="84"/>
      <c r="G393" s="45"/>
      <c r="H393" s="45"/>
      <c r="I393" s="46"/>
      <c r="J393" s="136"/>
      <c r="K393" s="137"/>
      <c r="L393" s="138"/>
      <c r="M393" s="39"/>
      <c r="N393" s="39"/>
      <c r="O393" s="39"/>
      <c r="P393" s="55"/>
      <c r="Q393" s="55"/>
      <c r="R393" s="55"/>
      <c r="S393" s="55"/>
      <c r="T393" s="55"/>
      <c r="U393" s="55"/>
      <c r="V393" s="55"/>
    </row>
    <row r="394" ht="13.5" customHeight="1">
      <c r="A394" s="80">
        <f t="shared" si="3"/>
        <v>389</v>
      </c>
      <c r="B394" s="26"/>
      <c r="C394" s="39"/>
      <c r="D394" s="40"/>
      <c r="E394" s="42"/>
      <c r="F394" s="84"/>
      <c r="G394" s="45"/>
      <c r="H394" s="45"/>
      <c r="I394" s="46"/>
      <c r="J394" s="136"/>
      <c r="K394" s="137"/>
      <c r="L394" s="138"/>
      <c r="M394" s="39"/>
      <c r="N394" s="39"/>
      <c r="O394" s="39"/>
      <c r="P394" s="55"/>
      <c r="Q394" s="55"/>
      <c r="R394" s="55"/>
      <c r="S394" s="55"/>
      <c r="T394" s="55"/>
      <c r="U394" s="55"/>
      <c r="V394" s="55"/>
    </row>
    <row r="395" ht="13.5" customHeight="1">
      <c r="A395" s="80">
        <f t="shared" si="3"/>
        <v>390</v>
      </c>
      <c r="B395" s="26"/>
      <c r="C395" s="39"/>
      <c r="D395" s="40"/>
      <c r="E395" s="42"/>
      <c r="F395" s="84"/>
      <c r="G395" s="45"/>
      <c r="H395" s="45"/>
      <c r="I395" s="46"/>
      <c r="J395" s="136"/>
      <c r="K395" s="137"/>
      <c r="L395" s="138"/>
      <c r="M395" s="39"/>
      <c r="N395" s="39"/>
      <c r="O395" s="39"/>
      <c r="P395" s="55"/>
      <c r="Q395" s="55"/>
      <c r="R395" s="55"/>
      <c r="S395" s="55"/>
      <c r="T395" s="55"/>
      <c r="U395" s="55"/>
      <c r="V395" s="55"/>
    </row>
    <row r="396" ht="13.5" customHeight="1">
      <c r="A396" s="80">
        <f t="shared" si="3"/>
        <v>391</v>
      </c>
      <c r="B396" s="26"/>
      <c r="C396" s="39"/>
      <c r="D396" s="40"/>
      <c r="E396" s="42"/>
      <c r="F396" s="84"/>
      <c r="G396" s="45"/>
      <c r="H396" s="45"/>
      <c r="I396" s="46"/>
      <c r="J396" s="136"/>
      <c r="K396" s="137"/>
      <c r="L396" s="138"/>
      <c r="M396" s="39"/>
      <c r="N396" s="39"/>
      <c r="O396" s="39"/>
      <c r="P396" s="55"/>
      <c r="Q396" s="55"/>
      <c r="R396" s="55"/>
      <c r="S396" s="55"/>
      <c r="T396" s="55"/>
      <c r="U396" s="55"/>
      <c r="V396" s="55"/>
    </row>
    <row r="397" ht="13.5" customHeight="1">
      <c r="A397" s="80">
        <f t="shared" si="3"/>
        <v>392</v>
      </c>
      <c r="B397" s="26"/>
      <c r="C397" s="39"/>
      <c r="D397" s="40"/>
      <c r="E397" s="42"/>
      <c r="F397" s="84"/>
      <c r="G397" s="45"/>
      <c r="H397" s="45"/>
      <c r="I397" s="46"/>
      <c r="J397" s="136"/>
      <c r="K397" s="137"/>
      <c r="L397" s="138"/>
      <c r="M397" s="39"/>
      <c r="N397" s="39"/>
      <c r="O397" s="39"/>
      <c r="P397" s="55"/>
      <c r="Q397" s="55"/>
      <c r="R397" s="55"/>
      <c r="S397" s="55"/>
      <c r="T397" s="55"/>
      <c r="U397" s="55"/>
      <c r="V397" s="55"/>
    </row>
    <row r="398" ht="13.5" customHeight="1">
      <c r="A398" s="80">
        <f t="shared" si="3"/>
        <v>393</v>
      </c>
      <c r="B398" s="26"/>
      <c r="C398" s="39"/>
      <c r="D398" s="40"/>
      <c r="E398" s="42"/>
      <c r="F398" s="84"/>
      <c r="G398" s="45"/>
      <c r="H398" s="45"/>
      <c r="I398" s="46"/>
      <c r="J398" s="136"/>
      <c r="K398" s="137"/>
      <c r="L398" s="138"/>
      <c r="M398" s="39"/>
      <c r="N398" s="39"/>
      <c r="O398" s="39"/>
      <c r="P398" s="55"/>
      <c r="Q398" s="55"/>
      <c r="R398" s="55"/>
      <c r="S398" s="55"/>
      <c r="T398" s="55"/>
      <c r="U398" s="55"/>
      <c r="V398" s="55"/>
    </row>
    <row r="399" ht="13.5" customHeight="1">
      <c r="A399" s="80">
        <f t="shared" si="3"/>
        <v>394</v>
      </c>
      <c r="B399" s="26"/>
      <c r="C399" s="39"/>
      <c r="D399" s="40"/>
      <c r="E399" s="42"/>
      <c r="F399" s="84"/>
      <c r="G399" s="45"/>
      <c r="H399" s="45"/>
      <c r="I399" s="46"/>
      <c r="J399" s="136"/>
      <c r="K399" s="137"/>
      <c r="L399" s="138"/>
      <c r="M399" s="39"/>
      <c r="N399" s="39"/>
      <c r="O399" s="39"/>
      <c r="P399" s="55"/>
      <c r="Q399" s="55"/>
      <c r="R399" s="55"/>
      <c r="S399" s="55"/>
      <c r="T399" s="55"/>
      <c r="U399" s="55"/>
      <c r="V399" s="55"/>
    </row>
    <row r="400" ht="13.5" customHeight="1">
      <c r="A400" s="80">
        <f t="shared" si="3"/>
        <v>395</v>
      </c>
      <c r="B400" s="26"/>
      <c r="C400" s="39"/>
      <c r="D400" s="40"/>
      <c r="E400" s="42"/>
      <c r="F400" s="84"/>
      <c r="G400" s="45"/>
      <c r="H400" s="45"/>
      <c r="I400" s="46"/>
      <c r="J400" s="136"/>
      <c r="K400" s="137"/>
      <c r="L400" s="138"/>
      <c r="M400" s="39"/>
      <c r="N400" s="39"/>
      <c r="O400" s="39"/>
      <c r="P400" s="55"/>
      <c r="Q400" s="55"/>
      <c r="R400" s="55"/>
      <c r="S400" s="55"/>
      <c r="T400" s="55"/>
      <c r="U400" s="55"/>
      <c r="V400" s="55"/>
    </row>
    <row r="401" ht="13.5" customHeight="1">
      <c r="A401" s="80">
        <f t="shared" si="3"/>
        <v>396</v>
      </c>
      <c r="B401" s="26"/>
      <c r="C401" s="39"/>
      <c r="D401" s="40"/>
      <c r="E401" s="42"/>
      <c r="F401" s="84"/>
      <c r="G401" s="45"/>
      <c r="H401" s="45"/>
      <c r="I401" s="46"/>
      <c r="J401" s="136"/>
      <c r="K401" s="137"/>
      <c r="L401" s="138"/>
      <c r="M401" s="39"/>
      <c r="N401" s="39"/>
      <c r="O401" s="39"/>
      <c r="P401" s="55"/>
      <c r="Q401" s="55"/>
      <c r="R401" s="55"/>
      <c r="S401" s="55"/>
      <c r="T401" s="55"/>
      <c r="U401" s="55"/>
      <c r="V401" s="55"/>
    </row>
    <row r="402" ht="13.5" customHeight="1">
      <c r="A402" s="80">
        <f t="shared" si="3"/>
        <v>397</v>
      </c>
      <c r="B402" s="26"/>
      <c r="C402" s="39"/>
      <c r="D402" s="40"/>
      <c r="E402" s="42"/>
      <c r="F402" s="84"/>
      <c r="G402" s="45"/>
      <c r="H402" s="45"/>
      <c r="I402" s="46"/>
      <c r="J402" s="136"/>
      <c r="K402" s="137"/>
      <c r="L402" s="138"/>
      <c r="M402" s="39"/>
      <c r="N402" s="39"/>
      <c r="O402" s="39"/>
      <c r="P402" s="55"/>
      <c r="Q402" s="55"/>
      <c r="R402" s="55"/>
      <c r="S402" s="55"/>
      <c r="T402" s="55"/>
      <c r="U402" s="55"/>
      <c r="V402" s="55"/>
    </row>
    <row r="403" ht="13.5" customHeight="1">
      <c r="A403" s="80">
        <f t="shared" si="3"/>
        <v>398</v>
      </c>
      <c r="B403" s="26"/>
      <c r="C403" s="39"/>
      <c r="D403" s="40"/>
      <c r="E403" s="42"/>
      <c r="F403" s="84"/>
      <c r="G403" s="45"/>
      <c r="H403" s="45"/>
      <c r="I403" s="46"/>
      <c r="J403" s="136"/>
      <c r="K403" s="137"/>
      <c r="L403" s="138"/>
      <c r="M403" s="39"/>
      <c r="N403" s="39"/>
      <c r="O403" s="39"/>
      <c r="P403" s="55"/>
      <c r="Q403" s="55"/>
      <c r="R403" s="55"/>
      <c r="S403" s="55"/>
      <c r="T403" s="55"/>
      <c r="U403" s="55"/>
      <c r="V403" s="55"/>
    </row>
    <row r="404" ht="13.5" customHeight="1">
      <c r="A404" s="80">
        <f t="shared" si="3"/>
        <v>399</v>
      </c>
      <c r="B404" s="26"/>
      <c r="C404" s="39"/>
      <c r="D404" s="40"/>
      <c r="E404" s="42"/>
      <c r="F404" s="84"/>
      <c r="G404" s="45"/>
      <c r="H404" s="45"/>
      <c r="I404" s="46"/>
      <c r="J404" s="136"/>
      <c r="K404" s="137"/>
      <c r="L404" s="138"/>
      <c r="M404" s="39"/>
      <c r="N404" s="39"/>
      <c r="O404" s="39"/>
      <c r="P404" s="55"/>
      <c r="Q404" s="55"/>
      <c r="R404" s="55"/>
      <c r="S404" s="55"/>
      <c r="T404" s="55"/>
      <c r="U404" s="55"/>
      <c r="V404" s="55"/>
    </row>
    <row r="405" ht="13.5" customHeight="1">
      <c r="A405" s="80">
        <f t="shared" si="3"/>
        <v>400</v>
      </c>
      <c r="B405" s="26"/>
      <c r="C405" s="39"/>
      <c r="D405" s="40"/>
      <c r="E405" s="42"/>
      <c r="F405" s="84"/>
      <c r="G405" s="45"/>
      <c r="H405" s="45"/>
      <c r="I405" s="46"/>
      <c r="J405" s="136"/>
      <c r="K405" s="137"/>
      <c r="L405" s="138"/>
      <c r="M405" s="39"/>
      <c r="N405" s="39"/>
      <c r="O405" s="39"/>
      <c r="P405" s="55"/>
      <c r="Q405" s="55"/>
      <c r="R405" s="55"/>
      <c r="S405" s="55"/>
      <c r="T405" s="55"/>
      <c r="U405" s="55"/>
      <c r="V405" s="55"/>
    </row>
    <row r="406" ht="13.5" customHeight="1">
      <c r="A406" s="80">
        <f t="shared" si="3"/>
        <v>401</v>
      </c>
      <c r="B406" s="26"/>
      <c r="C406" s="39"/>
      <c r="D406" s="40"/>
      <c r="E406" s="42"/>
      <c r="F406" s="84"/>
      <c r="G406" s="45"/>
      <c r="H406" s="45"/>
      <c r="I406" s="46"/>
      <c r="J406" s="136"/>
      <c r="K406" s="137"/>
      <c r="L406" s="138"/>
      <c r="M406" s="39"/>
      <c r="N406" s="39"/>
      <c r="O406" s="39"/>
      <c r="P406" s="55"/>
      <c r="Q406" s="55"/>
      <c r="R406" s="55"/>
      <c r="S406" s="55"/>
      <c r="T406" s="55"/>
      <c r="U406" s="55"/>
      <c r="V406" s="55"/>
    </row>
    <row r="407" ht="13.5" customHeight="1">
      <c r="A407" s="80">
        <f t="shared" si="3"/>
        <v>402</v>
      </c>
      <c r="B407" s="26"/>
      <c r="C407" s="39"/>
      <c r="D407" s="40"/>
      <c r="E407" s="42"/>
      <c r="F407" s="84"/>
      <c r="G407" s="45"/>
      <c r="H407" s="45"/>
      <c r="I407" s="46"/>
      <c r="J407" s="136"/>
      <c r="K407" s="137"/>
      <c r="L407" s="138"/>
      <c r="M407" s="39"/>
      <c r="N407" s="39"/>
      <c r="O407" s="39"/>
      <c r="P407" s="55"/>
      <c r="Q407" s="55"/>
      <c r="R407" s="55"/>
      <c r="S407" s="55"/>
      <c r="T407" s="55"/>
      <c r="U407" s="55"/>
      <c r="V407" s="55"/>
    </row>
    <row r="408" ht="13.5" customHeight="1">
      <c r="A408" s="80">
        <f t="shared" si="3"/>
        <v>403</v>
      </c>
      <c r="B408" s="26"/>
      <c r="C408" s="39"/>
      <c r="D408" s="40"/>
      <c r="E408" s="42"/>
      <c r="F408" s="84"/>
      <c r="G408" s="45"/>
      <c r="H408" s="45"/>
      <c r="I408" s="46"/>
      <c r="J408" s="136"/>
      <c r="K408" s="137"/>
      <c r="L408" s="138"/>
      <c r="M408" s="39"/>
      <c r="N408" s="39"/>
      <c r="O408" s="39"/>
      <c r="P408" s="55"/>
      <c r="Q408" s="55"/>
      <c r="R408" s="55"/>
      <c r="S408" s="55"/>
      <c r="T408" s="55"/>
      <c r="U408" s="55"/>
      <c r="V408" s="55"/>
    </row>
    <row r="409" ht="13.5" customHeight="1">
      <c r="A409" s="80">
        <f t="shared" si="3"/>
        <v>404</v>
      </c>
      <c r="B409" s="26"/>
      <c r="C409" s="39"/>
      <c r="D409" s="40"/>
      <c r="E409" s="42"/>
      <c r="F409" s="84"/>
      <c r="G409" s="45"/>
      <c r="H409" s="45"/>
      <c r="I409" s="46"/>
      <c r="J409" s="136"/>
      <c r="K409" s="137"/>
      <c r="L409" s="138"/>
      <c r="M409" s="39"/>
      <c r="N409" s="39"/>
      <c r="O409" s="39"/>
      <c r="P409" s="55"/>
      <c r="Q409" s="55"/>
      <c r="R409" s="55"/>
      <c r="S409" s="55"/>
      <c r="T409" s="55"/>
      <c r="U409" s="55"/>
      <c r="V409" s="55"/>
    </row>
    <row r="410" ht="13.5" customHeight="1">
      <c r="A410" s="80">
        <f t="shared" si="3"/>
        <v>405</v>
      </c>
      <c r="B410" s="26"/>
      <c r="C410" s="39"/>
      <c r="D410" s="40"/>
      <c r="E410" s="42"/>
      <c r="F410" s="84"/>
      <c r="G410" s="45"/>
      <c r="H410" s="45"/>
      <c r="I410" s="46"/>
      <c r="J410" s="136"/>
      <c r="K410" s="137"/>
      <c r="L410" s="138"/>
      <c r="M410" s="39"/>
      <c r="N410" s="39"/>
      <c r="O410" s="39"/>
      <c r="P410" s="55"/>
      <c r="Q410" s="55"/>
      <c r="R410" s="55"/>
      <c r="S410" s="55"/>
      <c r="T410" s="55"/>
      <c r="U410" s="55"/>
      <c r="V410" s="55"/>
    </row>
    <row r="411" ht="13.5" customHeight="1">
      <c r="A411" s="80">
        <f t="shared" si="3"/>
        <v>406</v>
      </c>
      <c r="B411" s="26"/>
      <c r="C411" s="39"/>
      <c r="D411" s="40"/>
      <c r="E411" s="42"/>
      <c r="F411" s="84"/>
      <c r="G411" s="45"/>
      <c r="H411" s="45"/>
      <c r="I411" s="46"/>
      <c r="J411" s="136"/>
      <c r="K411" s="137"/>
      <c r="L411" s="138"/>
      <c r="M411" s="39"/>
      <c r="N411" s="39"/>
      <c r="O411" s="39"/>
      <c r="P411" s="55"/>
      <c r="Q411" s="55"/>
      <c r="R411" s="55"/>
      <c r="S411" s="55"/>
      <c r="T411" s="55"/>
      <c r="U411" s="55"/>
      <c r="V411" s="55"/>
    </row>
    <row r="412" ht="13.5" customHeight="1">
      <c r="A412" s="80">
        <f t="shared" si="3"/>
        <v>407</v>
      </c>
      <c r="B412" s="26"/>
      <c r="C412" s="39"/>
      <c r="D412" s="40"/>
      <c r="E412" s="42"/>
      <c r="F412" s="84"/>
      <c r="G412" s="45"/>
      <c r="H412" s="45"/>
      <c r="I412" s="46"/>
      <c r="J412" s="136"/>
      <c r="K412" s="137"/>
      <c r="L412" s="138"/>
      <c r="M412" s="39"/>
      <c r="N412" s="39"/>
      <c r="O412" s="39"/>
      <c r="P412" s="55"/>
      <c r="Q412" s="55"/>
      <c r="R412" s="55"/>
      <c r="S412" s="55"/>
      <c r="T412" s="55"/>
      <c r="U412" s="55"/>
      <c r="V412" s="55"/>
    </row>
    <row r="413" ht="13.5" customHeight="1">
      <c r="A413" s="80">
        <f t="shared" si="3"/>
        <v>408</v>
      </c>
      <c r="B413" s="26"/>
      <c r="C413" s="39"/>
      <c r="D413" s="40"/>
      <c r="E413" s="42"/>
      <c r="F413" s="84"/>
      <c r="G413" s="45"/>
      <c r="H413" s="45"/>
      <c r="I413" s="46"/>
      <c r="J413" s="136"/>
      <c r="K413" s="137"/>
      <c r="L413" s="138"/>
      <c r="M413" s="39"/>
      <c r="N413" s="39"/>
      <c r="O413" s="39"/>
      <c r="P413" s="55"/>
      <c r="Q413" s="55"/>
      <c r="R413" s="55"/>
      <c r="S413" s="55"/>
      <c r="T413" s="55"/>
      <c r="U413" s="55"/>
      <c r="V413" s="55"/>
    </row>
    <row r="414" ht="13.5" customHeight="1">
      <c r="A414" s="80">
        <f t="shared" si="3"/>
        <v>409</v>
      </c>
      <c r="B414" s="26"/>
      <c r="C414" s="39"/>
      <c r="D414" s="40"/>
      <c r="E414" s="42"/>
      <c r="F414" s="84"/>
      <c r="G414" s="45"/>
      <c r="H414" s="45"/>
      <c r="I414" s="46"/>
      <c r="J414" s="136"/>
      <c r="K414" s="137"/>
      <c r="L414" s="138"/>
      <c r="M414" s="39"/>
      <c r="N414" s="39"/>
      <c r="O414" s="39"/>
      <c r="P414" s="55"/>
      <c r="Q414" s="55"/>
      <c r="R414" s="55"/>
      <c r="S414" s="55"/>
      <c r="T414" s="55"/>
      <c r="U414" s="55"/>
      <c r="V414" s="55"/>
    </row>
    <row r="415" ht="13.5" customHeight="1">
      <c r="A415" s="80">
        <f t="shared" si="3"/>
        <v>410</v>
      </c>
      <c r="B415" s="26"/>
      <c r="C415" s="39"/>
      <c r="D415" s="40"/>
      <c r="E415" s="42"/>
      <c r="F415" s="84"/>
      <c r="G415" s="45"/>
      <c r="H415" s="45"/>
      <c r="I415" s="46"/>
      <c r="J415" s="136"/>
      <c r="K415" s="137"/>
      <c r="L415" s="138"/>
      <c r="M415" s="39"/>
      <c r="N415" s="39"/>
      <c r="O415" s="39"/>
      <c r="P415" s="55"/>
      <c r="Q415" s="55"/>
      <c r="R415" s="55"/>
      <c r="S415" s="55"/>
      <c r="T415" s="55"/>
      <c r="U415" s="55"/>
      <c r="V415" s="55"/>
    </row>
    <row r="416" ht="13.5" customHeight="1">
      <c r="A416" s="80">
        <f t="shared" si="3"/>
        <v>411</v>
      </c>
      <c r="B416" s="26"/>
      <c r="C416" s="39"/>
      <c r="D416" s="40"/>
      <c r="E416" s="42"/>
      <c r="F416" s="84"/>
      <c r="G416" s="45"/>
      <c r="H416" s="45"/>
      <c r="I416" s="46"/>
      <c r="J416" s="136"/>
      <c r="K416" s="137"/>
      <c r="L416" s="138"/>
      <c r="M416" s="39"/>
      <c r="N416" s="39"/>
      <c r="O416" s="39"/>
      <c r="P416" s="55"/>
      <c r="Q416" s="55"/>
      <c r="R416" s="55"/>
      <c r="S416" s="55"/>
      <c r="T416" s="55"/>
      <c r="U416" s="55"/>
      <c r="V416" s="55"/>
    </row>
    <row r="417" ht="13.5" customHeight="1">
      <c r="A417" s="80">
        <f t="shared" si="3"/>
        <v>412</v>
      </c>
      <c r="B417" s="26"/>
      <c r="C417" s="39"/>
      <c r="D417" s="40"/>
      <c r="E417" s="42"/>
      <c r="F417" s="84"/>
      <c r="G417" s="45"/>
      <c r="H417" s="45"/>
      <c r="I417" s="46"/>
      <c r="J417" s="136"/>
      <c r="K417" s="137"/>
      <c r="L417" s="138"/>
      <c r="M417" s="39"/>
      <c r="N417" s="39"/>
      <c r="O417" s="39"/>
      <c r="P417" s="55"/>
      <c r="Q417" s="55"/>
      <c r="R417" s="55"/>
      <c r="S417" s="55"/>
      <c r="T417" s="55"/>
      <c r="U417" s="55"/>
      <c r="V417" s="55"/>
    </row>
    <row r="418" ht="13.5" customHeight="1">
      <c r="A418" s="80">
        <f t="shared" si="3"/>
        <v>413</v>
      </c>
      <c r="B418" s="26"/>
      <c r="C418" s="39"/>
      <c r="D418" s="40"/>
      <c r="E418" s="42"/>
      <c r="F418" s="84"/>
      <c r="G418" s="45"/>
      <c r="H418" s="45"/>
      <c r="I418" s="46"/>
      <c r="J418" s="136"/>
      <c r="K418" s="137"/>
      <c r="L418" s="138"/>
      <c r="M418" s="39"/>
      <c r="N418" s="39"/>
      <c r="O418" s="39"/>
      <c r="P418" s="55"/>
      <c r="Q418" s="55"/>
      <c r="R418" s="55"/>
      <c r="S418" s="55"/>
      <c r="T418" s="55"/>
      <c r="U418" s="55"/>
      <c r="V418" s="55"/>
    </row>
    <row r="419" ht="13.5" customHeight="1">
      <c r="A419" s="80">
        <f t="shared" si="3"/>
        <v>414</v>
      </c>
      <c r="B419" s="26"/>
      <c r="C419" s="39"/>
      <c r="D419" s="40"/>
      <c r="E419" s="42"/>
      <c r="F419" s="84"/>
      <c r="G419" s="45"/>
      <c r="H419" s="45"/>
      <c r="I419" s="46"/>
      <c r="J419" s="136"/>
      <c r="K419" s="137"/>
      <c r="L419" s="138"/>
      <c r="M419" s="39"/>
      <c r="N419" s="39"/>
      <c r="O419" s="39"/>
      <c r="P419" s="55"/>
      <c r="Q419" s="55"/>
      <c r="R419" s="55"/>
      <c r="S419" s="55"/>
      <c r="T419" s="55"/>
      <c r="U419" s="55"/>
      <c r="V419" s="55"/>
    </row>
    <row r="420" ht="13.5" customHeight="1">
      <c r="A420" s="80">
        <f t="shared" si="3"/>
        <v>415</v>
      </c>
      <c r="B420" s="26"/>
      <c r="C420" s="39"/>
      <c r="D420" s="40"/>
      <c r="E420" s="42"/>
      <c r="F420" s="84"/>
      <c r="G420" s="45"/>
      <c r="H420" s="45"/>
      <c r="I420" s="46"/>
      <c r="J420" s="136"/>
      <c r="K420" s="137"/>
      <c r="L420" s="138"/>
      <c r="M420" s="39"/>
      <c r="N420" s="39"/>
      <c r="O420" s="39"/>
      <c r="P420" s="55"/>
      <c r="Q420" s="55"/>
      <c r="R420" s="55"/>
      <c r="S420" s="55"/>
      <c r="T420" s="55"/>
      <c r="U420" s="55"/>
      <c r="V420" s="55"/>
    </row>
    <row r="421" ht="13.5" customHeight="1">
      <c r="A421" s="80">
        <f t="shared" si="3"/>
        <v>416</v>
      </c>
      <c r="B421" s="26"/>
      <c r="C421" s="39"/>
      <c r="D421" s="40"/>
      <c r="E421" s="42"/>
      <c r="F421" s="84"/>
      <c r="G421" s="45"/>
      <c r="H421" s="45"/>
      <c r="I421" s="46"/>
      <c r="J421" s="136"/>
      <c r="K421" s="137"/>
      <c r="L421" s="138"/>
      <c r="M421" s="39"/>
      <c r="N421" s="39"/>
      <c r="O421" s="39"/>
      <c r="P421" s="55"/>
      <c r="Q421" s="55"/>
      <c r="R421" s="55"/>
      <c r="S421" s="55"/>
      <c r="T421" s="55"/>
      <c r="U421" s="55"/>
      <c r="V421" s="55"/>
    </row>
    <row r="422" ht="13.5" customHeight="1">
      <c r="A422" s="80">
        <f t="shared" si="3"/>
        <v>417</v>
      </c>
      <c r="B422" s="26"/>
      <c r="C422" s="39"/>
      <c r="D422" s="40"/>
      <c r="E422" s="42"/>
      <c r="F422" s="84"/>
      <c r="G422" s="45"/>
      <c r="H422" s="45"/>
      <c r="I422" s="46"/>
      <c r="J422" s="136"/>
      <c r="K422" s="137"/>
      <c r="L422" s="138"/>
      <c r="M422" s="39"/>
      <c r="N422" s="39"/>
      <c r="O422" s="39"/>
      <c r="P422" s="55"/>
      <c r="Q422" s="55"/>
      <c r="R422" s="55"/>
      <c r="S422" s="55"/>
      <c r="T422" s="55"/>
      <c r="U422" s="55"/>
      <c r="V422" s="55"/>
    </row>
    <row r="423" ht="13.5" customHeight="1">
      <c r="A423" s="80">
        <f t="shared" si="3"/>
        <v>418</v>
      </c>
      <c r="B423" s="26"/>
      <c r="C423" s="39"/>
      <c r="D423" s="40"/>
      <c r="E423" s="42"/>
      <c r="F423" s="84"/>
      <c r="G423" s="45"/>
      <c r="H423" s="45"/>
      <c r="I423" s="46"/>
      <c r="J423" s="136"/>
      <c r="K423" s="137"/>
      <c r="L423" s="138"/>
      <c r="M423" s="39"/>
      <c r="N423" s="39"/>
      <c r="O423" s="39"/>
      <c r="P423" s="55"/>
      <c r="Q423" s="55"/>
      <c r="R423" s="55"/>
      <c r="S423" s="55"/>
      <c r="T423" s="55"/>
      <c r="U423" s="55"/>
      <c r="V423" s="55"/>
    </row>
    <row r="424" ht="13.5" customHeight="1">
      <c r="A424" s="80">
        <f t="shared" si="3"/>
        <v>419</v>
      </c>
      <c r="B424" s="26"/>
      <c r="C424" s="39"/>
      <c r="D424" s="40"/>
      <c r="E424" s="42"/>
      <c r="F424" s="84"/>
      <c r="G424" s="45"/>
      <c r="H424" s="45"/>
      <c r="I424" s="46"/>
      <c r="J424" s="136"/>
      <c r="K424" s="137"/>
      <c r="L424" s="138"/>
      <c r="M424" s="39"/>
      <c r="N424" s="39"/>
      <c r="O424" s="39"/>
      <c r="P424" s="55"/>
      <c r="Q424" s="55"/>
      <c r="R424" s="55"/>
      <c r="S424" s="55"/>
      <c r="T424" s="55"/>
      <c r="U424" s="55"/>
      <c r="V424" s="55"/>
    </row>
    <row r="425" ht="13.5" customHeight="1">
      <c r="A425" s="80">
        <f t="shared" si="3"/>
        <v>420</v>
      </c>
      <c r="B425" s="26"/>
      <c r="C425" s="39"/>
      <c r="D425" s="40"/>
      <c r="E425" s="42"/>
      <c r="F425" s="84"/>
      <c r="G425" s="45"/>
      <c r="H425" s="45"/>
      <c r="I425" s="46"/>
      <c r="J425" s="136"/>
      <c r="K425" s="137"/>
      <c r="L425" s="138"/>
      <c r="M425" s="39"/>
      <c r="N425" s="39"/>
      <c r="O425" s="39"/>
      <c r="P425" s="55"/>
      <c r="Q425" s="55"/>
      <c r="R425" s="55"/>
      <c r="S425" s="55"/>
      <c r="T425" s="55"/>
      <c r="U425" s="55"/>
      <c r="V425" s="55"/>
    </row>
    <row r="426" ht="13.5" customHeight="1">
      <c r="A426" s="80">
        <f t="shared" si="3"/>
        <v>421</v>
      </c>
      <c r="B426" s="26"/>
      <c r="C426" s="39"/>
      <c r="D426" s="40"/>
      <c r="E426" s="42"/>
      <c r="F426" s="84"/>
      <c r="G426" s="45"/>
      <c r="H426" s="45"/>
      <c r="I426" s="46"/>
      <c r="J426" s="136"/>
      <c r="K426" s="137"/>
      <c r="L426" s="138"/>
      <c r="M426" s="39"/>
      <c r="N426" s="39"/>
      <c r="O426" s="39"/>
      <c r="P426" s="55"/>
      <c r="Q426" s="55"/>
      <c r="R426" s="55"/>
      <c r="S426" s="55"/>
      <c r="T426" s="55"/>
      <c r="U426" s="55"/>
      <c r="V426" s="55"/>
    </row>
    <row r="427" ht="13.5" customHeight="1">
      <c r="A427" s="80">
        <f t="shared" si="3"/>
        <v>422</v>
      </c>
      <c r="B427" s="26"/>
      <c r="C427" s="39"/>
      <c r="D427" s="40"/>
      <c r="E427" s="42"/>
      <c r="F427" s="84"/>
      <c r="G427" s="45"/>
      <c r="H427" s="45"/>
      <c r="I427" s="46"/>
      <c r="J427" s="136"/>
      <c r="K427" s="137"/>
      <c r="L427" s="138"/>
      <c r="M427" s="39"/>
      <c r="N427" s="39"/>
      <c r="O427" s="39"/>
      <c r="P427" s="55"/>
      <c r="Q427" s="55"/>
      <c r="R427" s="55"/>
      <c r="S427" s="55"/>
      <c r="T427" s="55"/>
      <c r="U427" s="55"/>
      <c r="V427" s="55"/>
    </row>
    <row r="428" ht="13.5" customHeight="1">
      <c r="A428" s="80">
        <f t="shared" si="3"/>
        <v>423</v>
      </c>
      <c r="B428" s="26"/>
      <c r="C428" s="39"/>
      <c r="D428" s="40"/>
      <c r="E428" s="42"/>
      <c r="F428" s="84"/>
      <c r="G428" s="45"/>
      <c r="H428" s="45"/>
      <c r="I428" s="46"/>
      <c r="J428" s="136"/>
      <c r="K428" s="137"/>
      <c r="L428" s="138"/>
      <c r="M428" s="39"/>
      <c r="N428" s="39"/>
      <c r="O428" s="39"/>
      <c r="P428" s="55"/>
      <c r="Q428" s="55"/>
      <c r="R428" s="55"/>
      <c r="S428" s="55"/>
      <c r="T428" s="55"/>
      <c r="U428" s="55"/>
      <c r="V428" s="55"/>
    </row>
    <row r="429" ht="13.5" customHeight="1">
      <c r="A429" s="80">
        <f t="shared" si="3"/>
        <v>424</v>
      </c>
      <c r="B429" s="26"/>
      <c r="C429" s="39"/>
      <c r="D429" s="40"/>
      <c r="E429" s="42"/>
      <c r="F429" s="84"/>
      <c r="G429" s="45"/>
      <c r="H429" s="45"/>
      <c r="I429" s="46"/>
      <c r="J429" s="136"/>
      <c r="K429" s="137"/>
      <c r="L429" s="138"/>
      <c r="M429" s="39"/>
      <c r="N429" s="39"/>
      <c r="O429" s="39"/>
      <c r="P429" s="55"/>
      <c r="Q429" s="55"/>
      <c r="R429" s="55"/>
      <c r="S429" s="55"/>
      <c r="T429" s="55"/>
      <c r="U429" s="55"/>
      <c r="V429" s="55"/>
    </row>
    <row r="430" ht="13.5" customHeight="1">
      <c r="A430" s="80">
        <f t="shared" si="3"/>
        <v>425</v>
      </c>
      <c r="B430" s="26"/>
      <c r="C430" s="39"/>
      <c r="D430" s="40"/>
      <c r="E430" s="42"/>
      <c r="F430" s="84"/>
      <c r="G430" s="45"/>
      <c r="H430" s="45"/>
      <c r="I430" s="46"/>
      <c r="J430" s="136"/>
      <c r="K430" s="137"/>
      <c r="L430" s="138"/>
      <c r="M430" s="39"/>
      <c r="N430" s="39"/>
      <c r="O430" s="39"/>
      <c r="P430" s="55"/>
      <c r="Q430" s="55"/>
      <c r="R430" s="55"/>
      <c r="S430" s="55"/>
      <c r="T430" s="55"/>
      <c r="U430" s="55"/>
      <c r="V430" s="55"/>
    </row>
    <row r="431" ht="13.5" customHeight="1">
      <c r="A431" s="80">
        <f t="shared" si="3"/>
        <v>426</v>
      </c>
      <c r="B431" s="26"/>
      <c r="C431" s="39"/>
      <c r="D431" s="40"/>
      <c r="E431" s="42"/>
      <c r="F431" s="84"/>
      <c r="G431" s="45"/>
      <c r="H431" s="45"/>
      <c r="I431" s="46"/>
      <c r="J431" s="136"/>
      <c r="K431" s="137"/>
      <c r="L431" s="138"/>
      <c r="M431" s="39"/>
      <c r="N431" s="39"/>
      <c r="O431" s="39"/>
      <c r="P431" s="55"/>
      <c r="Q431" s="55"/>
      <c r="R431" s="55"/>
      <c r="S431" s="55"/>
      <c r="T431" s="55"/>
      <c r="U431" s="55"/>
      <c r="V431" s="55"/>
    </row>
    <row r="432" ht="13.5" customHeight="1">
      <c r="A432" s="80">
        <f t="shared" si="3"/>
        <v>427</v>
      </c>
      <c r="B432" s="26"/>
      <c r="C432" s="39"/>
      <c r="D432" s="40"/>
      <c r="E432" s="42"/>
      <c r="F432" s="84"/>
      <c r="G432" s="45"/>
      <c r="H432" s="45"/>
      <c r="I432" s="46"/>
      <c r="J432" s="136"/>
      <c r="K432" s="137"/>
      <c r="L432" s="138"/>
      <c r="M432" s="39"/>
      <c r="N432" s="39"/>
      <c r="O432" s="39"/>
      <c r="P432" s="55"/>
      <c r="Q432" s="55"/>
      <c r="R432" s="55"/>
      <c r="S432" s="55"/>
      <c r="T432" s="55"/>
      <c r="U432" s="55"/>
      <c r="V432" s="55"/>
    </row>
    <row r="433" ht="13.5" customHeight="1">
      <c r="A433" s="80">
        <f t="shared" si="3"/>
        <v>428</v>
      </c>
      <c r="B433" s="26"/>
      <c r="C433" s="39"/>
      <c r="D433" s="40"/>
      <c r="E433" s="42"/>
      <c r="F433" s="84"/>
      <c r="G433" s="45"/>
      <c r="H433" s="45"/>
      <c r="I433" s="46"/>
      <c r="J433" s="136"/>
      <c r="K433" s="137"/>
      <c r="L433" s="138"/>
      <c r="M433" s="39"/>
      <c r="N433" s="39"/>
      <c r="O433" s="39"/>
      <c r="P433" s="55"/>
      <c r="Q433" s="55"/>
      <c r="R433" s="55"/>
      <c r="S433" s="55"/>
      <c r="T433" s="55"/>
      <c r="U433" s="55"/>
      <c r="V433" s="55"/>
    </row>
    <row r="434" ht="13.5" customHeight="1">
      <c r="A434" s="80">
        <f t="shared" si="3"/>
        <v>429</v>
      </c>
      <c r="B434" s="26"/>
      <c r="C434" s="39"/>
      <c r="D434" s="40"/>
      <c r="E434" s="42"/>
      <c r="F434" s="84"/>
      <c r="G434" s="45"/>
      <c r="H434" s="45"/>
      <c r="I434" s="46"/>
      <c r="J434" s="136"/>
      <c r="K434" s="137"/>
      <c r="L434" s="138"/>
      <c r="M434" s="39"/>
      <c r="N434" s="39"/>
      <c r="O434" s="39"/>
      <c r="P434" s="55"/>
      <c r="Q434" s="55"/>
      <c r="R434" s="55"/>
      <c r="S434" s="55"/>
      <c r="T434" s="55"/>
      <c r="U434" s="55"/>
      <c r="V434" s="55"/>
    </row>
    <row r="435" ht="13.5" customHeight="1">
      <c r="A435" s="80">
        <f t="shared" si="3"/>
        <v>430</v>
      </c>
      <c r="B435" s="26"/>
      <c r="C435" s="39"/>
      <c r="D435" s="40"/>
      <c r="E435" s="42"/>
      <c r="F435" s="84"/>
      <c r="G435" s="45"/>
      <c r="H435" s="45"/>
      <c r="I435" s="46"/>
      <c r="J435" s="136"/>
      <c r="K435" s="137"/>
      <c r="L435" s="138"/>
      <c r="M435" s="39"/>
      <c r="N435" s="39"/>
      <c r="O435" s="39"/>
      <c r="P435" s="55"/>
      <c r="Q435" s="55"/>
      <c r="R435" s="55"/>
      <c r="S435" s="55"/>
      <c r="T435" s="55"/>
      <c r="U435" s="55"/>
      <c r="V435" s="55"/>
    </row>
    <row r="436" ht="13.5" customHeight="1">
      <c r="A436" s="80">
        <f t="shared" si="3"/>
        <v>431</v>
      </c>
      <c r="B436" s="26"/>
      <c r="C436" s="39"/>
      <c r="D436" s="40"/>
      <c r="E436" s="42"/>
      <c r="F436" s="84"/>
      <c r="G436" s="45"/>
      <c r="H436" s="45"/>
      <c r="I436" s="46"/>
      <c r="J436" s="136"/>
      <c r="K436" s="137"/>
      <c r="L436" s="138"/>
      <c r="M436" s="39"/>
      <c r="N436" s="39"/>
      <c r="O436" s="39"/>
      <c r="P436" s="55"/>
      <c r="Q436" s="55"/>
      <c r="R436" s="55"/>
      <c r="S436" s="55"/>
      <c r="T436" s="55"/>
      <c r="U436" s="55"/>
      <c r="V436" s="55"/>
    </row>
    <row r="437" ht="13.5" customHeight="1">
      <c r="A437" s="80">
        <f t="shared" si="3"/>
        <v>432</v>
      </c>
      <c r="B437" s="26"/>
      <c r="C437" s="39"/>
      <c r="D437" s="40"/>
      <c r="E437" s="42"/>
      <c r="F437" s="84"/>
      <c r="G437" s="45"/>
      <c r="H437" s="45"/>
      <c r="I437" s="46"/>
      <c r="J437" s="136"/>
      <c r="K437" s="137"/>
      <c r="L437" s="138"/>
      <c r="M437" s="39"/>
      <c r="N437" s="39"/>
      <c r="O437" s="39"/>
      <c r="P437" s="55"/>
      <c r="Q437" s="55"/>
      <c r="R437" s="55"/>
      <c r="S437" s="55"/>
      <c r="T437" s="55"/>
      <c r="U437" s="55"/>
      <c r="V437" s="55"/>
    </row>
    <row r="438" ht="13.5" customHeight="1">
      <c r="A438" s="80">
        <f t="shared" si="3"/>
        <v>433</v>
      </c>
      <c r="B438" s="26"/>
      <c r="C438" s="39"/>
      <c r="D438" s="40"/>
      <c r="E438" s="42"/>
      <c r="F438" s="84"/>
      <c r="G438" s="45"/>
      <c r="H438" s="45"/>
      <c r="I438" s="46"/>
      <c r="J438" s="136"/>
      <c r="K438" s="137"/>
      <c r="L438" s="138"/>
      <c r="M438" s="39"/>
      <c r="N438" s="39"/>
      <c r="O438" s="39"/>
      <c r="P438" s="55"/>
      <c r="Q438" s="55"/>
      <c r="R438" s="55"/>
      <c r="S438" s="55"/>
      <c r="T438" s="55"/>
      <c r="U438" s="55"/>
      <c r="V438" s="55"/>
    </row>
    <row r="439" ht="13.5" customHeight="1">
      <c r="A439" s="80">
        <f t="shared" si="3"/>
        <v>434</v>
      </c>
      <c r="B439" s="26"/>
      <c r="C439" s="39"/>
      <c r="D439" s="40"/>
      <c r="E439" s="42"/>
      <c r="F439" s="84"/>
      <c r="G439" s="45"/>
      <c r="H439" s="45"/>
      <c r="I439" s="46"/>
      <c r="J439" s="136"/>
      <c r="K439" s="137"/>
      <c r="L439" s="138"/>
      <c r="M439" s="39"/>
      <c r="N439" s="39"/>
      <c r="O439" s="39"/>
      <c r="P439" s="55"/>
      <c r="Q439" s="55"/>
      <c r="R439" s="55"/>
      <c r="S439" s="55"/>
      <c r="T439" s="55"/>
      <c r="U439" s="55"/>
      <c r="V439" s="55"/>
    </row>
    <row r="440" ht="13.5" customHeight="1">
      <c r="A440" s="80">
        <f t="shared" si="3"/>
        <v>435</v>
      </c>
      <c r="B440" s="26"/>
      <c r="C440" s="39"/>
      <c r="D440" s="40"/>
      <c r="E440" s="42"/>
      <c r="F440" s="84"/>
      <c r="G440" s="45"/>
      <c r="H440" s="45"/>
      <c r="I440" s="46"/>
      <c r="J440" s="136"/>
      <c r="K440" s="137"/>
      <c r="L440" s="138"/>
      <c r="M440" s="39"/>
      <c r="N440" s="39"/>
      <c r="O440" s="39"/>
      <c r="P440" s="55"/>
      <c r="Q440" s="55"/>
      <c r="R440" s="55"/>
      <c r="S440" s="55"/>
      <c r="T440" s="55"/>
      <c r="U440" s="55"/>
      <c r="V440" s="55"/>
    </row>
    <row r="441" ht="13.5" customHeight="1">
      <c r="A441" s="80">
        <f t="shared" si="3"/>
        <v>436</v>
      </c>
      <c r="B441" s="26"/>
      <c r="C441" s="39"/>
      <c r="D441" s="40"/>
      <c r="E441" s="42"/>
      <c r="F441" s="84"/>
      <c r="G441" s="45"/>
      <c r="H441" s="45"/>
      <c r="I441" s="46"/>
      <c r="J441" s="136"/>
      <c r="K441" s="137"/>
      <c r="L441" s="138"/>
      <c r="M441" s="39"/>
      <c r="N441" s="39"/>
      <c r="O441" s="39"/>
      <c r="P441" s="55"/>
      <c r="Q441" s="55"/>
      <c r="R441" s="55"/>
      <c r="S441" s="55"/>
      <c r="T441" s="55"/>
      <c r="U441" s="55"/>
      <c r="V441" s="55"/>
    </row>
    <row r="442" ht="13.5" customHeight="1">
      <c r="A442" s="80">
        <f t="shared" si="3"/>
        <v>437</v>
      </c>
      <c r="B442" s="26"/>
      <c r="C442" s="39"/>
      <c r="D442" s="40"/>
      <c r="E442" s="42"/>
      <c r="F442" s="84"/>
      <c r="G442" s="45"/>
      <c r="H442" s="45"/>
      <c r="I442" s="46"/>
      <c r="J442" s="136"/>
      <c r="K442" s="137"/>
      <c r="L442" s="138"/>
      <c r="M442" s="39"/>
      <c r="N442" s="39"/>
      <c r="O442" s="39"/>
      <c r="P442" s="55"/>
      <c r="Q442" s="55"/>
      <c r="R442" s="55"/>
      <c r="S442" s="55"/>
      <c r="T442" s="55"/>
      <c r="U442" s="55"/>
      <c r="V442" s="55"/>
    </row>
    <row r="443" ht="13.5" customHeight="1">
      <c r="A443" s="80">
        <f t="shared" si="3"/>
        <v>438</v>
      </c>
      <c r="B443" s="26"/>
      <c r="C443" s="39"/>
      <c r="D443" s="40"/>
      <c r="E443" s="42"/>
      <c r="F443" s="84"/>
      <c r="G443" s="45"/>
      <c r="H443" s="45"/>
      <c r="I443" s="46"/>
      <c r="J443" s="136"/>
      <c r="K443" s="137"/>
      <c r="L443" s="138"/>
      <c r="M443" s="39"/>
      <c r="N443" s="39"/>
      <c r="O443" s="39"/>
      <c r="P443" s="55"/>
      <c r="Q443" s="55"/>
      <c r="R443" s="55"/>
      <c r="S443" s="55"/>
      <c r="T443" s="55"/>
      <c r="U443" s="55"/>
      <c r="V443" s="55"/>
    </row>
    <row r="444" ht="13.5" customHeight="1">
      <c r="A444" s="80">
        <f t="shared" si="3"/>
        <v>439</v>
      </c>
      <c r="B444" s="26"/>
      <c r="C444" s="39"/>
      <c r="D444" s="40"/>
      <c r="E444" s="42"/>
      <c r="F444" s="84"/>
      <c r="G444" s="45"/>
      <c r="H444" s="45"/>
      <c r="I444" s="46"/>
      <c r="J444" s="136"/>
      <c r="K444" s="137"/>
      <c r="L444" s="138"/>
      <c r="M444" s="39"/>
      <c r="N444" s="39"/>
      <c r="O444" s="39"/>
      <c r="P444" s="55"/>
      <c r="Q444" s="55"/>
      <c r="R444" s="55"/>
      <c r="S444" s="55"/>
      <c r="T444" s="55"/>
      <c r="U444" s="55"/>
      <c r="V444" s="55"/>
    </row>
    <row r="445" ht="13.5" customHeight="1">
      <c r="A445" s="80">
        <f t="shared" si="3"/>
        <v>440</v>
      </c>
      <c r="B445" s="26"/>
      <c r="C445" s="39"/>
      <c r="D445" s="40"/>
      <c r="E445" s="42"/>
      <c r="F445" s="84"/>
      <c r="G445" s="45"/>
      <c r="H445" s="45"/>
      <c r="I445" s="46"/>
      <c r="J445" s="136"/>
      <c r="K445" s="137"/>
      <c r="L445" s="138"/>
      <c r="M445" s="39"/>
      <c r="N445" s="39"/>
      <c r="O445" s="39"/>
      <c r="P445" s="55"/>
      <c r="Q445" s="55"/>
      <c r="R445" s="55"/>
      <c r="S445" s="55"/>
      <c r="T445" s="55"/>
      <c r="U445" s="55"/>
      <c r="V445" s="55"/>
    </row>
    <row r="446" ht="13.5" customHeight="1">
      <c r="A446" s="80">
        <f t="shared" si="3"/>
        <v>441</v>
      </c>
      <c r="B446" s="26"/>
      <c r="C446" s="39"/>
      <c r="D446" s="40"/>
      <c r="E446" s="42"/>
      <c r="F446" s="84"/>
      <c r="G446" s="45"/>
      <c r="H446" s="45"/>
      <c r="I446" s="46"/>
      <c r="J446" s="136"/>
      <c r="K446" s="137"/>
      <c r="L446" s="138"/>
      <c r="M446" s="39"/>
      <c r="N446" s="39"/>
      <c r="O446" s="39"/>
      <c r="P446" s="55"/>
      <c r="Q446" s="55"/>
      <c r="R446" s="55"/>
      <c r="S446" s="55"/>
      <c r="T446" s="55"/>
      <c r="U446" s="55"/>
      <c r="V446" s="55"/>
    </row>
    <row r="447" ht="13.5" customHeight="1">
      <c r="A447" s="80">
        <f t="shared" si="3"/>
        <v>442</v>
      </c>
      <c r="B447" s="26"/>
      <c r="C447" s="39"/>
      <c r="D447" s="40"/>
      <c r="E447" s="42"/>
      <c r="F447" s="84"/>
      <c r="G447" s="45"/>
      <c r="H447" s="45"/>
      <c r="I447" s="46"/>
      <c r="J447" s="136"/>
      <c r="K447" s="137"/>
      <c r="L447" s="138"/>
      <c r="M447" s="39"/>
      <c r="N447" s="39"/>
      <c r="O447" s="39"/>
      <c r="P447" s="55"/>
      <c r="Q447" s="55"/>
      <c r="R447" s="55"/>
      <c r="S447" s="55"/>
      <c r="T447" s="55"/>
      <c r="U447" s="55"/>
      <c r="V447" s="55"/>
    </row>
    <row r="448" ht="13.5" customHeight="1">
      <c r="A448" s="80">
        <f t="shared" si="3"/>
        <v>443</v>
      </c>
      <c r="B448" s="26"/>
      <c r="C448" s="39"/>
      <c r="D448" s="40"/>
      <c r="E448" s="42"/>
      <c r="F448" s="84"/>
      <c r="G448" s="45"/>
      <c r="H448" s="45"/>
      <c r="I448" s="46"/>
      <c r="J448" s="136"/>
      <c r="K448" s="137"/>
      <c r="L448" s="138"/>
      <c r="M448" s="39"/>
      <c r="N448" s="39"/>
      <c r="O448" s="39"/>
      <c r="P448" s="55"/>
      <c r="Q448" s="55"/>
      <c r="R448" s="55"/>
      <c r="S448" s="55"/>
      <c r="T448" s="55"/>
      <c r="U448" s="55"/>
      <c r="V448" s="55"/>
    </row>
    <row r="449" ht="13.5" customHeight="1">
      <c r="A449" s="80">
        <f t="shared" si="3"/>
        <v>444</v>
      </c>
      <c r="B449" s="26"/>
      <c r="C449" s="39"/>
      <c r="D449" s="40"/>
      <c r="E449" s="42"/>
      <c r="F449" s="84"/>
      <c r="G449" s="45"/>
      <c r="H449" s="45"/>
      <c r="I449" s="46"/>
      <c r="J449" s="136"/>
      <c r="K449" s="137"/>
      <c r="L449" s="138"/>
      <c r="M449" s="39"/>
      <c r="N449" s="39"/>
      <c r="O449" s="39"/>
      <c r="P449" s="55"/>
      <c r="Q449" s="55"/>
      <c r="R449" s="55"/>
      <c r="S449" s="55"/>
      <c r="T449" s="55"/>
      <c r="U449" s="55"/>
      <c r="V449" s="55"/>
    </row>
    <row r="450" ht="13.5" customHeight="1">
      <c r="A450" s="80">
        <f t="shared" si="3"/>
        <v>445</v>
      </c>
      <c r="B450" s="26"/>
      <c r="C450" s="39"/>
      <c r="D450" s="40"/>
      <c r="E450" s="42"/>
      <c r="F450" s="84"/>
      <c r="G450" s="45"/>
      <c r="H450" s="45"/>
      <c r="I450" s="46"/>
      <c r="J450" s="136"/>
      <c r="K450" s="137"/>
      <c r="L450" s="138"/>
      <c r="M450" s="39"/>
      <c r="N450" s="39"/>
      <c r="O450" s="39"/>
      <c r="P450" s="55"/>
      <c r="Q450" s="55"/>
      <c r="R450" s="55"/>
      <c r="S450" s="55"/>
      <c r="T450" s="55"/>
      <c r="U450" s="55"/>
      <c r="V450" s="55"/>
    </row>
    <row r="451" ht="13.5" customHeight="1">
      <c r="A451" s="80">
        <f t="shared" si="3"/>
        <v>446</v>
      </c>
      <c r="B451" s="26"/>
      <c r="C451" s="39"/>
      <c r="D451" s="40"/>
      <c r="E451" s="42"/>
      <c r="F451" s="84"/>
      <c r="G451" s="45"/>
      <c r="H451" s="45"/>
      <c r="I451" s="46"/>
      <c r="J451" s="136"/>
      <c r="K451" s="137"/>
      <c r="L451" s="138"/>
      <c r="M451" s="39"/>
      <c r="N451" s="39"/>
      <c r="O451" s="39"/>
      <c r="P451" s="55"/>
      <c r="Q451" s="55"/>
      <c r="R451" s="55"/>
      <c r="S451" s="55"/>
      <c r="T451" s="55"/>
      <c r="U451" s="55"/>
      <c r="V451" s="55"/>
    </row>
    <row r="452" ht="13.5" customHeight="1">
      <c r="A452" s="80">
        <f t="shared" si="3"/>
        <v>447</v>
      </c>
      <c r="B452" s="26"/>
      <c r="C452" s="39"/>
      <c r="D452" s="40"/>
      <c r="E452" s="42"/>
      <c r="F452" s="84"/>
      <c r="G452" s="45"/>
      <c r="H452" s="45"/>
      <c r="I452" s="46"/>
      <c r="J452" s="136"/>
      <c r="K452" s="137"/>
      <c r="L452" s="138"/>
      <c r="M452" s="39"/>
      <c r="N452" s="39"/>
      <c r="O452" s="39"/>
      <c r="P452" s="55"/>
      <c r="Q452" s="55"/>
      <c r="R452" s="55"/>
      <c r="S452" s="55"/>
      <c r="T452" s="55"/>
      <c r="U452" s="55"/>
      <c r="V452" s="55"/>
    </row>
    <row r="453" ht="13.5" customHeight="1">
      <c r="A453" s="80">
        <f t="shared" si="3"/>
        <v>448</v>
      </c>
      <c r="B453" s="26"/>
      <c r="C453" s="39"/>
      <c r="D453" s="40"/>
      <c r="E453" s="42"/>
      <c r="F453" s="84"/>
      <c r="G453" s="45"/>
      <c r="H453" s="45"/>
      <c r="I453" s="46"/>
      <c r="J453" s="136"/>
      <c r="K453" s="137"/>
      <c r="L453" s="138"/>
      <c r="M453" s="39"/>
      <c r="N453" s="39"/>
      <c r="O453" s="39"/>
      <c r="P453" s="55"/>
      <c r="Q453" s="55"/>
      <c r="R453" s="55"/>
      <c r="S453" s="55"/>
      <c r="T453" s="55"/>
      <c r="U453" s="55"/>
      <c r="V453" s="55"/>
    </row>
    <row r="454" ht="13.5" customHeight="1">
      <c r="A454" s="80">
        <f t="shared" si="3"/>
        <v>449</v>
      </c>
      <c r="B454" s="26"/>
      <c r="C454" s="39"/>
      <c r="D454" s="40"/>
      <c r="E454" s="42"/>
      <c r="F454" s="84"/>
      <c r="G454" s="45"/>
      <c r="H454" s="45"/>
      <c r="I454" s="46"/>
      <c r="J454" s="136"/>
      <c r="K454" s="137"/>
      <c r="L454" s="138"/>
      <c r="M454" s="39"/>
      <c r="N454" s="39"/>
      <c r="O454" s="39"/>
      <c r="P454" s="55"/>
      <c r="Q454" s="55"/>
      <c r="R454" s="55"/>
      <c r="S454" s="55"/>
      <c r="T454" s="55"/>
      <c r="U454" s="55"/>
      <c r="V454" s="55"/>
    </row>
    <row r="455" ht="13.5" customHeight="1">
      <c r="A455" s="80">
        <f t="shared" si="3"/>
        <v>450</v>
      </c>
      <c r="B455" s="26"/>
      <c r="C455" s="39"/>
      <c r="D455" s="40"/>
      <c r="E455" s="42"/>
      <c r="F455" s="84"/>
      <c r="G455" s="45"/>
      <c r="H455" s="45"/>
      <c r="I455" s="46"/>
      <c r="J455" s="136"/>
      <c r="K455" s="137"/>
      <c r="L455" s="138"/>
      <c r="M455" s="39"/>
      <c r="N455" s="39"/>
      <c r="O455" s="39"/>
      <c r="P455" s="55"/>
      <c r="Q455" s="55"/>
      <c r="R455" s="55"/>
      <c r="S455" s="55"/>
      <c r="T455" s="55"/>
      <c r="U455" s="55"/>
      <c r="V455" s="55"/>
    </row>
    <row r="456" ht="13.5" customHeight="1">
      <c r="A456" s="80">
        <f t="shared" si="3"/>
        <v>451</v>
      </c>
      <c r="B456" s="26"/>
      <c r="C456" s="39"/>
      <c r="D456" s="40"/>
      <c r="E456" s="42"/>
      <c r="F456" s="84"/>
      <c r="G456" s="45"/>
      <c r="H456" s="45"/>
      <c r="I456" s="46"/>
      <c r="J456" s="136"/>
      <c r="K456" s="137"/>
      <c r="L456" s="138"/>
      <c r="M456" s="39"/>
      <c r="N456" s="39"/>
      <c r="O456" s="39"/>
      <c r="P456" s="55"/>
      <c r="Q456" s="55"/>
      <c r="R456" s="55"/>
      <c r="S456" s="55"/>
      <c r="T456" s="55"/>
      <c r="U456" s="55"/>
      <c r="V456" s="55"/>
    </row>
    <row r="457" ht="13.5" customHeight="1">
      <c r="A457" s="80">
        <f t="shared" si="3"/>
        <v>452</v>
      </c>
      <c r="B457" s="26"/>
      <c r="C457" s="39"/>
      <c r="D457" s="40"/>
      <c r="E457" s="42"/>
      <c r="F457" s="84"/>
      <c r="G457" s="45"/>
      <c r="H457" s="45"/>
      <c r="I457" s="46"/>
      <c r="J457" s="136"/>
      <c r="K457" s="137"/>
      <c r="L457" s="138"/>
      <c r="M457" s="39"/>
      <c r="N457" s="39"/>
      <c r="O457" s="39"/>
      <c r="P457" s="55"/>
      <c r="Q457" s="55"/>
      <c r="R457" s="55"/>
      <c r="S457" s="55"/>
      <c r="T457" s="55"/>
      <c r="U457" s="55"/>
      <c r="V457" s="55"/>
    </row>
    <row r="458" ht="13.5" customHeight="1">
      <c r="A458" s="80">
        <f t="shared" si="3"/>
        <v>453</v>
      </c>
      <c r="B458" s="26"/>
      <c r="C458" s="39"/>
      <c r="D458" s="40"/>
      <c r="E458" s="42"/>
      <c r="F458" s="84"/>
      <c r="G458" s="45"/>
      <c r="H458" s="45"/>
      <c r="I458" s="46"/>
      <c r="J458" s="136"/>
      <c r="K458" s="137"/>
      <c r="L458" s="138"/>
      <c r="M458" s="39"/>
      <c r="N458" s="39"/>
      <c r="O458" s="39"/>
      <c r="P458" s="55"/>
      <c r="Q458" s="55"/>
      <c r="R458" s="55"/>
      <c r="S458" s="55"/>
      <c r="T458" s="55"/>
      <c r="U458" s="55"/>
      <c r="V458" s="55"/>
    </row>
    <row r="459" ht="13.5" customHeight="1">
      <c r="A459" s="80">
        <f t="shared" si="3"/>
        <v>454</v>
      </c>
      <c r="B459" s="26"/>
      <c r="C459" s="39"/>
      <c r="D459" s="40"/>
      <c r="E459" s="42"/>
      <c r="F459" s="84"/>
      <c r="G459" s="45"/>
      <c r="H459" s="45"/>
      <c r="I459" s="46"/>
      <c r="J459" s="136"/>
      <c r="K459" s="137"/>
      <c r="L459" s="138"/>
      <c r="M459" s="39"/>
      <c r="N459" s="39"/>
      <c r="O459" s="39"/>
      <c r="P459" s="55"/>
      <c r="Q459" s="55"/>
      <c r="R459" s="55"/>
      <c r="S459" s="55"/>
      <c r="T459" s="55"/>
      <c r="U459" s="55"/>
      <c r="V459" s="55"/>
    </row>
    <row r="460" ht="13.5" customHeight="1">
      <c r="A460" s="80">
        <f t="shared" si="3"/>
        <v>455</v>
      </c>
      <c r="B460" s="26"/>
      <c r="C460" s="39"/>
      <c r="D460" s="40"/>
      <c r="E460" s="42"/>
      <c r="F460" s="84"/>
      <c r="G460" s="45"/>
      <c r="H460" s="45"/>
      <c r="I460" s="46"/>
      <c r="J460" s="136"/>
      <c r="K460" s="137"/>
      <c r="L460" s="138"/>
      <c r="M460" s="39"/>
      <c r="N460" s="39"/>
      <c r="O460" s="39"/>
      <c r="P460" s="55"/>
      <c r="Q460" s="55"/>
      <c r="R460" s="55"/>
      <c r="S460" s="55"/>
      <c r="T460" s="55"/>
      <c r="U460" s="55"/>
      <c r="V460" s="55"/>
    </row>
    <row r="461" ht="13.5" customHeight="1">
      <c r="A461" s="80">
        <f t="shared" si="3"/>
        <v>456</v>
      </c>
      <c r="B461" s="26"/>
      <c r="C461" s="39"/>
      <c r="D461" s="40"/>
      <c r="E461" s="42"/>
      <c r="F461" s="84"/>
      <c r="G461" s="45"/>
      <c r="H461" s="45"/>
      <c r="I461" s="46"/>
      <c r="J461" s="136"/>
      <c r="K461" s="137"/>
      <c r="L461" s="138"/>
      <c r="M461" s="39"/>
      <c r="N461" s="39"/>
      <c r="O461" s="39"/>
      <c r="P461" s="55"/>
      <c r="Q461" s="55"/>
      <c r="R461" s="55"/>
      <c r="S461" s="55"/>
      <c r="T461" s="55"/>
      <c r="U461" s="55"/>
      <c r="V461" s="55"/>
    </row>
    <row r="462" ht="13.5" customHeight="1">
      <c r="A462" s="80">
        <f t="shared" si="3"/>
        <v>457</v>
      </c>
      <c r="B462" s="26"/>
      <c r="C462" s="39"/>
      <c r="D462" s="40"/>
      <c r="E462" s="42"/>
      <c r="F462" s="84"/>
      <c r="G462" s="45"/>
      <c r="H462" s="45"/>
      <c r="I462" s="46"/>
      <c r="J462" s="136"/>
      <c r="K462" s="137"/>
      <c r="L462" s="138"/>
      <c r="M462" s="39"/>
      <c r="N462" s="39"/>
      <c r="O462" s="39"/>
      <c r="P462" s="55"/>
      <c r="Q462" s="55"/>
      <c r="R462" s="55"/>
      <c r="S462" s="55"/>
      <c r="T462" s="55"/>
      <c r="U462" s="55"/>
      <c r="V462" s="55"/>
    </row>
    <row r="463" ht="13.5" customHeight="1">
      <c r="A463" s="80">
        <f t="shared" si="3"/>
        <v>458</v>
      </c>
      <c r="B463" s="26"/>
      <c r="C463" s="39"/>
      <c r="D463" s="40"/>
      <c r="E463" s="42"/>
      <c r="F463" s="84"/>
      <c r="G463" s="45"/>
      <c r="H463" s="45"/>
      <c r="I463" s="46"/>
      <c r="J463" s="136"/>
      <c r="K463" s="137"/>
      <c r="L463" s="138"/>
      <c r="M463" s="39"/>
      <c r="N463" s="39"/>
      <c r="O463" s="39"/>
      <c r="P463" s="55"/>
      <c r="Q463" s="55"/>
      <c r="R463" s="55"/>
      <c r="S463" s="55"/>
      <c r="T463" s="55"/>
      <c r="U463" s="55"/>
      <c r="V463" s="55"/>
    </row>
    <row r="464" ht="13.5" customHeight="1">
      <c r="A464" s="80">
        <f t="shared" si="3"/>
        <v>459</v>
      </c>
      <c r="B464" s="26"/>
      <c r="C464" s="39"/>
      <c r="D464" s="40"/>
      <c r="E464" s="42"/>
      <c r="F464" s="84"/>
      <c r="G464" s="45"/>
      <c r="H464" s="45"/>
      <c r="I464" s="46"/>
      <c r="J464" s="136"/>
      <c r="K464" s="137"/>
      <c r="L464" s="138"/>
      <c r="M464" s="39"/>
      <c r="N464" s="39"/>
      <c r="O464" s="39"/>
      <c r="P464" s="55"/>
      <c r="Q464" s="55"/>
      <c r="R464" s="55"/>
      <c r="S464" s="55"/>
      <c r="T464" s="55"/>
      <c r="U464" s="55"/>
      <c r="V464" s="55"/>
    </row>
    <row r="465" ht="13.5" customHeight="1">
      <c r="A465" s="80">
        <f t="shared" si="3"/>
        <v>460</v>
      </c>
      <c r="B465" s="26"/>
      <c r="C465" s="39"/>
      <c r="D465" s="40"/>
      <c r="E465" s="42"/>
      <c r="F465" s="84"/>
      <c r="G465" s="45"/>
      <c r="H465" s="45"/>
      <c r="I465" s="46"/>
      <c r="J465" s="136"/>
      <c r="K465" s="137"/>
      <c r="L465" s="138"/>
      <c r="M465" s="39"/>
      <c r="N465" s="39"/>
      <c r="O465" s="39"/>
      <c r="P465" s="55"/>
      <c r="Q465" s="55"/>
      <c r="R465" s="55"/>
      <c r="S465" s="55"/>
      <c r="T465" s="55"/>
      <c r="U465" s="55"/>
      <c r="V465" s="55"/>
    </row>
    <row r="466" ht="13.5" customHeight="1">
      <c r="A466" s="80">
        <f t="shared" si="3"/>
        <v>461</v>
      </c>
      <c r="B466" s="26"/>
      <c r="C466" s="39"/>
      <c r="D466" s="40"/>
      <c r="E466" s="42"/>
      <c r="F466" s="84"/>
      <c r="G466" s="45"/>
      <c r="H466" s="45"/>
      <c r="I466" s="46"/>
      <c r="J466" s="136"/>
      <c r="K466" s="137"/>
      <c r="L466" s="138"/>
      <c r="M466" s="39"/>
      <c r="N466" s="39"/>
      <c r="O466" s="39"/>
      <c r="P466" s="55"/>
      <c r="Q466" s="55"/>
      <c r="R466" s="55"/>
      <c r="S466" s="55"/>
      <c r="T466" s="55"/>
      <c r="U466" s="55"/>
      <c r="V466" s="55"/>
    </row>
    <row r="467" ht="13.5" customHeight="1">
      <c r="A467" s="80">
        <f t="shared" si="3"/>
        <v>462</v>
      </c>
      <c r="B467" s="26"/>
      <c r="C467" s="39"/>
      <c r="D467" s="40"/>
      <c r="E467" s="42"/>
      <c r="F467" s="84"/>
      <c r="G467" s="45"/>
      <c r="H467" s="45"/>
      <c r="I467" s="46"/>
      <c r="J467" s="136"/>
      <c r="K467" s="137"/>
      <c r="L467" s="138"/>
      <c r="M467" s="39"/>
      <c r="N467" s="39"/>
      <c r="O467" s="39"/>
      <c r="P467" s="55"/>
      <c r="Q467" s="55"/>
      <c r="R467" s="55"/>
      <c r="S467" s="55"/>
      <c r="T467" s="55"/>
      <c r="U467" s="55"/>
      <c r="V467" s="55"/>
    </row>
    <row r="468" ht="13.5" customHeight="1">
      <c r="A468" s="80">
        <f t="shared" si="3"/>
        <v>463</v>
      </c>
      <c r="B468" s="26"/>
      <c r="C468" s="39"/>
      <c r="D468" s="40"/>
      <c r="E468" s="42"/>
      <c r="F468" s="84"/>
      <c r="G468" s="45"/>
      <c r="H468" s="45"/>
      <c r="I468" s="46"/>
      <c r="J468" s="136"/>
      <c r="K468" s="137"/>
      <c r="L468" s="138"/>
      <c r="M468" s="39"/>
      <c r="N468" s="39"/>
      <c r="O468" s="39"/>
      <c r="P468" s="55"/>
      <c r="Q468" s="55"/>
      <c r="R468" s="55"/>
      <c r="S468" s="55"/>
      <c r="T468" s="55"/>
      <c r="U468" s="55"/>
      <c r="V468" s="55"/>
    </row>
    <row r="469" ht="13.5" customHeight="1">
      <c r="A469" s="80">
        <f t="shared" si="3"/>
        <v>464</v>
      </c>
      <c r="B469" s="26"/>
      <c r="C469" s="39"/>
      <c r="D469" s="40"/>
      <c r="E469" s="42"/>
      <c r="F469" s="84"/>
      <c r="G469" s="45"/>
      <c r="H469" s="45"/>
      <c r="I469" s="46"/>
      <c r="J469" s="136"/>
      <c r="K469" s="137"/>
      <c r="L469" s="138"/>
      <c r="M469" s="39"/>
      <c r="N469" s="39"/>
      <c r="O469" s="39"/>
      <c r="P469" s="55"/>
      <c r="Q469" s="55"/>
      <c r="R469" s="55"/>
      <c r="S469" s="55"/>
      <c r="T469" s="55"/>
      <c r="U469" s="55"/>
      <c r="V469" s="55"/>
    </row>
    <row r="470" ht="13.5" customHeight="1">
      <c r="A470" s="80">
        <f t="shared" si="3"/>
        <v>465</v>
      </c>
      <c r="B470" s="26"/>
      <c r="C470" s="39"/>
      <c r="D470" s="40"/>
      <c r="E470" s="42"/>
      <c r="F470" s="84"/>
      <c r="G470" s="45"/>
      <c r="H470" s="45"/>
      <c r="I470" s="46"/>
      <c r="J470" s="136"/>
      <c r="K470" s="137"/>
      <c r="L470" s="138"/>
      <c r="M470" s="39"/>
      <c r="N470" s="39"/>
      <c r="O470" s="39"/>
      <c r="P470" s="55"/>
      <c r="Q470" s="55"/>
      <c r="R470" s="55"/>
      <c r="S470" s="55"/>
      <c r="T470" s="55"/>
      <c r="U470" s="55"/>
      <c r="V470" s="55"/>
    </row>
    <row r="471" ht="13.5" customHeight="1">
      <c r="A471" s="80">
        <f t="shared" si="3"/>
        <v>466</v>
      </c>
      <c r="B471" s="26"/>
      <c r="C471" s="39"/>
      <c r="D471" s="40"/>
      <c r="E471" s="42"/>
      <c r="F471" s="84"/>
      <c r="G471" s="45"/>
      <c r="H471" s="45"/>
      <c r="I471" s="46"/>
      <c r="J471" s="136"/>
      <c r="K471" s="137"/>
      <c r="L471" s="138"/>
      <c r="M471" s="39"/>
      <c r="N471" s="39"/>
      <c r="O471" s="39"/>
      <c r="P471" s="55"/>
      <c r="Q471" s="55"/>
      <c r="R471" s="55"/>
      <c r="S471" s="55"/>
      <c r="T471" s="55"/>
      <c r="U471" s="55"/>
      <c r="V471" s="55"/>
    </row>
    <row r="472" ht="13.5" customHeight="1">
      <c r="A472" s="80">
        <f t="shared" si="3"/>
        <v>467</v>
      </c>
      <c r="B472" s="26"/>
      <c r="C472" s="39"/>
      <c r="D472" s="40"/>
      <c r="E472" s="42"/>
      <c r="F472" s="84"/>
      <c r="G472" s="45"/>
      <c r="H472" s="45"/>
      <c r="I472" s="46"/>
      <c r="J472" s="136"/>
      <c r="K472" s="137"/>
      <c r="L472" s="138"/>
      <c r="M472" s="39"/>
      <c r="N472" s="39"/>
      <c r="O472" s="39"/>
      <c r="P472" s="55"/>
      <c r="Q472" s="55"/>
      <c r="R472" s="55"/>
      <c r="S472" s="55"/>
      <c r="T472" s="55"/>
      <c r="U472" s="55"/>
      <c r="V472" s="55"/>
    </row>
    <row r="473" ht="13.5" customHeight="1">
      <c r="A473" s="80">
        <f t="shared" si="3"/>
        <v>468</v>
      </c>
      <c r="B473" s="26"/>
      <c r="C473" s="39"/>
      <c r="D473" s="40"/>
      <c r="E473" s="42"/>
      <c r="F473" s="84"/>
      <c r="G473" s="45"/>
      <c r="H473" s="45"/>
      <c r="I473" s="46"/>
      <c r="J473" s="136"/>
      <c r="K473" s="137"/>
      <c r="L473" s="138"/>
      <c r="M473" s="39"/>
      <c r="N473" s="39"/>
      <c r="O473" s="39"/>
      <c r="P473" s="55"/>
      <c r="Q473" s="55"/>
      <c r="R473" s="55"/>
      <c r="S473" s="55"/>
      <c r="T473" s="55"/>
      <c r="U473" s="55"/>
      <c r="V473" s="55"/>
    </row>
    <row r="474" ht="13.5" customHeight="1">
      <c r="A474" s="80">
        <f t="shared" si="3"/>
        <v>469</v>
      </c>
      <c r="B474" s="26"/>
      <c r="C474" s="39"/>
      <c r="D474" s="40"/>
      <c r="E474" s="42"/>
      <c r="F474" s="84"/>
      <c r="G474" s="45"/>
      <c r="H474" s="45"/>
      <c r="I474" s="46"/>
      <c r="J474" s="136"/>
      <c r="K474" s="137"/>
      <c r="L474" s="138"/>
      <c r="M474" s="39"/>
      <c r="N474" s="39"/>
      <c r="O474" s="39"/>
      <c r="P474" s="55"/>
      <c r="Q474" s="55"/>
      <c r="R474" s="55"/>
      <c r="S474" s="55"/>
      <c r="T474" s="55"/>
      <c r="U474" s="55"/>
      <c r="V474" s="55"/>
    </row>
    <row r="475" ht="13.5" customHeight="1">
      <c r="A475" s="80">
        <f t="shared" si="3"/>
        <v>470</v>
      </c>
      <c r="B475" s="26"/>
      <c r="C475" s="39"/>
      <c r="D475" s="40"/>
      <c r="E475" s="42"/>
      <c r="F475" s="84"/>
      <c r="G475" s="45"/>
      <c r="H475" s="45"/>
      <c r="I475" s="46"/>
      <c r="J475" s="136"/>
      <c r="K475" s="137"/>
      <c r="L475" s="138"/>
      <c r="M475" s="39"/>
      <c r="N475" s="39"/>
      <c r="O475" s="39"/>
      <c r="P475" s="55"/>
      <c r="Q475" s="55"/>
      <c r="R475" s="55"/>
      <c r="S475" s="55"/>
      <c r="T475" s="55"/>
      <c r="U475" s="55"/>
      <c r="V475" s="55"/>
    </row>
    <row r="476" ht="13.5" customHeight="1">
      <c r="A476" s="80">
        <f t="shared" si="3"/>
        <v>471</v>
      </c>
      <c r="B476" s="26"/>
      <c r="C476" s="39"/>
      <c r="D476" s="40"/>
      <c r="E476" s="42"/>
      <c r="F476" s="84"/>
      <c r="G476" s="45"/>
      <c r="H476" s="45"/>
      <c r="I476" s="46"/>
      <c r="J476" s="136"/>
      <c r="K476" s="137"/>
      <c r="L476" s="138"/>
      <c r="M476" s="39"/>
      <c r="N476" s="39"/>
      <c r="O476" s="39"/>
      <c r="P476" s="55"/>
      <c r="Q476" s="55"/>
      <c r="R476" s="55"/>
      <c r="S476" s="55"/>
      <c r="T476" s="55"/>
      <c r="U476" s="55"/>
      <c r="V476" s="55"/>
    </row>
    <row r="477" ht="13.5" customHeight="1">
      <c r="A477" s="80">
        <f t="shared" si="3"/>
        <v>472</v>
      </c>
      <c r="B477" s="26"/>
      <c r="C477" s="39"/>
      <c r="D477" s="40"/>
      <c r="E477" s="42"/>
      <c r="F477" s="84"/>
      <c r="G477" s="45"/>
      <c r="H477" s="45"/>
      <c r="I477" s="46"/>
      <c r="J477" s="136"/>
      <c r="K477" s="137"/>
      <c r="L477" s="138"/>
      <c r="M477" s="39"/>
      <c r="N477" s="39"/>
      <c r="O477" s="39"/>
      <c r="P477" s="55"/>
      <c r="Q477" s="55"/>
      <c r="R477" s="55"/>
      <c r="S477" s="55"/>
      <c r="T477" s="55"/>
      <c r="U477" s="55"/>
      <c r="V477" s="55"/>
    </row>
    <row r="478" ht="13.5" customHeight="1">
      <c r="A478" s="80">
        <f t="shared" si="3"/>
        <v>473</v>
      </c>
      <c r="B478" s="26"/>
      <c r="C478" s="39"/>
      <c r="D478" s="40"/>
      <c r="E478" s="42"/>
      <c r="F478" s="84"/>
      <c r="G478" s="45"/>
      <c r="H478" s="45"/>
      <c r="I478" s="46"/>
      <c r="J478" s="136"/>
      <c r="K478" s="137"/>
      <c r="L478" s="138"/>
      <c r="M478" s="39"/>
      <c r="N478" s="39"/>
      <c r="O478" s="39"/>
      <c r="P478" s="55"/>
      <c r="Q478" s="55"/>
      <c r="R478" s="55"/>
      <c r="S478" s="55"/>
      <c r="T478" s="55"/>
      <c r="U478" s="55"/>
      <c r="V478" s="55"/>
    </row>
    <row r="479" ht="13.5" customHeight="1">
      <c r="A479" s="80">
        <f t="shared" si="3"/>
        <v>474</v>
      </c>
      <c r="B479" s="26"/>
      <c r="C479" s="39"/>
      <c r="D479" s="40"/>
      <c r="E479" s="42"/>
      <c r="F479" s="84"/>
      <c r="G479" s="45"/>
      <c r="H479" s="45"/>
      <c r="I479" s="46"/>
      <c r="J479" s="136"/>
      <c r="K479" s="137"/>
      <c r="L479" s="138"/>
      <c r="M479" s="39"/>
      <c r="N479" s="39"/>
      <c r="O479" s="39"/>
      <c r="P479" s="55"/>
      <c r="Q479" s="55"/>
      <c r="R479" s="55"/>
      <c r="S479" s="55"/>
      <c r="T479" s="55"/>
      <c r="U479" s="55"/>
      <c r="V479" s="55"/>
    </row>
    <row r="480" ht="13.5" customHeight="1">
      <c r="A480" s="80">
        <f t="shared" si="3"/>
        <v>475</v>
      </c>
      <c r="B480" s="26"/>
      <c r="C480" s="39"/>
      <c r="D480" s="40"/>
      <c r="E480" s="42"/>
      <c r="F480" s="84"/>
      <c r="G480" s="45"/>
      <c r="H480" s="45"/>
      <c r="I480" s="46"/>
      <c r="J480" s="136"/>
      <c r="K480" s="137"/>
      <c r="L480" s="138"/>
      <c r="M480" s="39"/>
      <c r="N480" s="39"/>
      <c r="O480" s="39"/>
      <c r="P480" s="55"/>
      <c r="Q480" s="55"/>
      <c r="R480" s="55"/>
      <c r="S480" s="55"/>
      <c r="T480" s="55"/>
      <c r="U480" s="55"/>
      <c r="V480" s="55"/>
    </row>
    <row r="481" ht="13.5" customHeight="1">
      <c r="A481" s="80">
        <f t="shared" si="3"/>
        <v>476</v>
      </c>
      <c r="B481" s="26"/>
      <c r="C481" s="39"/>
      <c r="D481" s="40"/>
      <c r="E481" s="42"/>
      <c r="F481" s="84"/>
      <c r="G481" s="45"/>
      <c r="H481" s="45"/>
      <c r="I481" s="46"/>
      <c r="J481" s="136"/>
      <c r="K481" s="137"/>
      <c r="L481" s="138"/>
      <c r="M481" s="39"/>
      <c r="N481" s="39"/>
      <c r="O481" s="39"/>
      <c r="P481" s="55"/>
      <c r="Q481" s="55"/>
      <c r="R481" s="55"/>
      <c r="S481" s="55"/>
      <c r="T481" s="55"/>
      <c r="U481" s="55"/>
      <c r="V481" s="55"/>
    </row>
    <row r="482" ht="13.5" customHeight="1">
      <c r="A482" s="80">
        <f t="shared" si="3"/>
        <v>477</v>
      </c>
      <c r="B482" s="26"/>
      <c r="C482" s="39"/>
      <c r="D482" s="40"/>
      <c r="E482" s="42"/>
      <c r="F482" s="84"/>
      <c r="G482" s="45"/>
      <c r="H482" s="45"/>
      <c r="I482" s="46"/>
      <c r="J482" s="136"/>
      <c r="K482" s="137"/>
      <c r="L482" s="138"/>
      <c r="M482" s="39"/>
      <c r="N482" s="39"/>
      <c r="O482" s="39"/>
      <c r="P482" s="55"/>
      <c r="Q482" s="55"/>
      <c r="R482" s="55"/>
      <c r="S482" s="55"/>
      <c r="T482" s="55"/>
      <c r="U482" s="55"/>
      <c r="V482" s="55"/>
    </row>
    <row r="483" ht="13.5" customHeight="1">
      <c r="A483" s="80">
        <f t="shared" si="3"/>
        <v>478</v>
      </c>
      <c r="B483" s="26"/>
      <c r="C483" s="39"/>
      <c r="D483" s="40"/>
      <c r="E483" s="42"/>
      <c r="F483" s="84"/>
      <c r="G483" s="45"/>
      <c r="H483" s="45"/>
      <c r="I483" s="46"/>
      <c r="J483" s="136"/>
      <c r="K483" s="137"/>
      <c r="L483" s="138"/>
      <c r="M483" s="39"/>
      <c r="N483" s="39"/>
      <c r="O483" s="39"/>
      <c r="P483" s="55"/>
      <c r="Q483" s="55"/>
      <c r="R483" s="55"/>
      <c r="S483" s="55"/>
      <c r="T483" s="55"/>
      <c r="U483" s="55"/>
      <c r="V483" s="55"/>
    </row>
    <row r="484" ht="13.5" customHeight="1">
      <c r="A484" s="80">
        <f t="shared" si="3"/>
        <v>479</v>
      </c>
      <c r="B484" s="26"/>
      <c r="C484" s="39"/>
      <c r="D484" s="40"/>
      <c r="E484" s="42"/>
      <c r="F484" s="84"/>
      <c r="G484" s="45"/>
      <c r="H484" s="45"/>
      <c r="I484" s="46"/>
      <c r="J484" s="136"/>
      <c r="K484" s="137"/>
      <c r="L484" s="138"/>
      <c r="M484" s="39"/>
      <c r="N484" s="39"/>
      <c r="O484" s="39"/>
      <c r="P484" s="55"/>
      <c r="Q484" s="55"/>
      <c r="R484" s="55"/>
      <c r="S484" s="55"/>
      <c r="T484" s="55"/>
      <c r="U484" s="55"/>
      <c r="V484" s="55"/>
    </row>
    <row r="485" ht="13.5" customHeight="1">
      <c r="A485" s="80">
        <f t="shared" si="3"/>
        <v>480</v>
      </c>
      <c r="B485" s="26"/>
      <c r="C485" s="39"/>
      <c r="D485" s="40"/>
      <c r="E485" s="42"/>
      <c r="F485" s="84"/>
      <c r="G485" s="45"/>
      <c r="H485" s="45"/>
      <c r="I485" s="46"/>
      <c r="J485" s="136"/>
      <c r="K485" s="137"/>
      <c r="L485" s="138"/>
      <c r="M485" s="39"/>
      <c r="N485" s="39"/>
      <c r="O485" s="39"/>
      <c r="P485" s="55"/>
      <c r="Q485" s="55"/>
      <c r="R485" s="55"/>
      <c r="S485" s="55"/>
      <c r="T485" s="55"/>
      <c r="U485" s="55"/>
      <c r="V485" s="55"/>
    </row>
    <row r="486" ht="13.5" customHeight="1">
      <c r="A486" s="80">
        <f t="shared" si="3"/>
        <v>481</v>
      </c>
      <c r="B486" s="26"/>
      <c r="C486" s="39"/>
      <c r="D486" s="40"/>
      <c r="E486" s="42"/>
      <c r="F486" s="84"/>
      <c r="G486" s="45"/>
      <c r="H486" s="45"/>
      <c r="I486" s="46"/>
      <c r="J486" s="136"/>
      <c r="K486" s="137"/>
      <c r="L486" s="138"/>
      <c r="M486" s="39"/>
      <c r="N486" s="39"/>
      <c r="O486" s="39"/>
      <c r="P486" s="55"/>
      <c r="Q486" s="55"/>
      <c r="R486" s="55"/>
      <c r="S486" s="55"/>
      <c r="T486" s="55"/>
      <c r="U486" s="55"/>
      <c r="V486" s="55"/>
    </row>
    <row r="487" ht="13.5" customHeight="1">
      <c r="A487" s="80">
        <f t="shared" si="3"/>
        <v>482</v>
      </c>
      <c r="B487" s="26"/>
      <c r="C487" s="39"/>
      <c r="D487" s="40"/>
      <c r="E487" s="42"/>
      <c r="F487" s="84"/>
      <c r="G487" s="45"/>
      <c r="H487" s="45"/>
      <c r="I487" s="46"/>
      <c r="J487" s="136"/>
      <c r="K487" s="137"/>
      <c r="L487" s="138"/>
      <c r="M487" s="39"/>
      <c r="N487" s="39"/>
      <c r="O487" s="39"/>
      <c r="P487" s="55"/>
      <c r="Q487" s="55"/>
      <c r="R487" s="55"/>
      <c r="S487" s="55"/>
      <c r="T487" s="55"/>
      <c r="U487" s="55"/>
      <c r="V487" s="55"/>
    </row>
    <row r="488" ht="13.5" customHeight="1">
      <c r="A488" s="80">
        <f t="shared" si="3"/>
        <v>483</v>
      </c>
      <c r="B488" s="26"/>
      <c r="C488" s="39"/>
      <c r="D488" s="40"/>
      <c r="E488" s="42"/>
      <c r="F488" s="84"/>
      <c r="G488" s="45"/>
      <c r="H488" s="45"/>
      <c r="I488" s="46"/>
      <c r="J488" s="136"/>
      <c r="K488" s="137"/>
      <c r="L488" s="138"/>
      <c r="M488" s="39"/>
      <c r="N488" s="39"/>
      <c r="O488" s="39"/>
      <c r="P488" s="55"/>
      <c r="Q488" s="55"/>
      <c r="R488" s="55"/>
      <c r="S488" s="55"/>
      <c r="T488" s="55"/>
      <c r="U488" s="55"/>
      <c r="V488" s="55"/>
    </row>
    <row r="489" ht="13.5" customHeight="1">
      <c r="A489" s="80">
        <f t="shared" si="3"/>
        <v>484</v>
      </c>
      <c r="B489" s="26"/>
      <c r="C489" s="39"/>
      <c r="D489" s="40"/>
      <c r="E489" s="42"/>
      <c r="F489" s="84"/>
      <c r="G489" s="45"/>
      <c r="H489" s="45"/>
      <c r="I489" s="46"/>
      <c r="J489" s="136"/>
      <c r="K489" s="137"/>
      <c r="L489" s="138"/>
      <c r="M489" s="39"/>
      <c r="N489" s="39"/>
      <c r="O489" s="39"/>
      <c r="P489" s="55"/>
      <c r="Q489" s="55"/>
      <c r="R489" s="55"/>
      <c r="S489" s="55"/>
      <c r="T489" s="55"/>
      <c r="U489" s="55"/>
      <c r="V489" s="55"/>
    </row>
    <row r="490" ht="13.5" customHeight="1">
      <c r="A490" s="80">
        <f t="shared" si="3"/>
        <v>485</v>
      </c>
      <c r="B490" s="26"/>
      <c r="C490" s="39"/>
      <c r="D490" s="40"/>
      <c r="E490" s="42"/>
      <c r="F490" s="84"/>
      <c r="G490" s="45"/>
      <c r="H490" s="45"/>
      <c r="I490" s="46"/>
      <c r="J490" s="136"/>
      <c r="K490" s="137"/>
      <c r="L490" s="138"/>
      <c r="M490" s="39"/>
      <c r="N490" s="39"/>
      <c r="O490" s="39"/>
      <c r="P490" s="55"/>
      <c r="Q490" s="55"/>
      <c r="R490" s="55"/>
      <c r="S490" s="55"/>
      <c r="T490" s="55"/>
      <c r="U490" s="55"/>
      <c r="V490" s="55"/>
    </row>
    <row r="491" ht="13.5" customHeight="1">
      <c r="A491" s="80">
        <f t="shared" si="3"/>
        <v>486</v>
      </c>
      <c r="B491" s="26"/>
      <c r="C491" s="39"/>
      <c r="D491" s="40"/>
      <c r="E491" s="42"/>
      <c r="F491" s="84"/>
      <c r="G491" s="45"/>
      <c r="H491" s="45"/>
      <c r="I491" s="46"/>
      <c r="J491" s="136"/>
      <c r="K491" s="137"/>
      <c r="L491" s="138"/>
      <c r="M491" s="39"/>
      <c r="N491" s="39"/>
      <c r="O491" s="39"/>
      <c r="P491" s="55"/>
      <c r="Q491" s="55"/>
      <c r="R491" s="55"/>
      <c r="S491" s="55"/>
      <c r="T491" s="55"/>
      <c r="U491" s="55"/>
      <c r="V491" s="55"/>
    </row>
    <row r="492" ht="13.5" customHeight="1">
      <c r="A492" s="80">
        <f t="shared" si="3"/>
        <v>487</v>
      </c>
      <c r="B492" s="26"/>
      <c r="C492" s="39"/>
      <c r="D492" s="40"/>
      <c r="E492" s="42"/>
      <c r="F492" s="84"/>
      <c r="G492" s="45"/>
      <c r="H492" s="45"/>
      <c r="I492" s="46"/>
      <c r="J492" s="136"/>
      <c r="K492" s="137"/>
      <c r="L492" s="138"/>
      <c r="M492" s="39"/>
      <c r="N492" s="39"/>
      <c r="O492" s="39"/>
      <c r="P492" s="55"/>
      <c r="Q492" s="55"/>
      <c r="R492" s="55"/>
      <c r="S492" s="55"/>
      <c r="T492" s="55"/>
      <c r="U492" s="55"/>
      <c r="V492" s="55"/>
    </row>
    <row r="493" ht="13.5" customHeight="1">
      <c r="A493" s="80">
        <f t="shared" si="3"/>
        <v>488</v>
      </c>
      <c r="B493" s="26"/>
      <c r="C493" s="39"/>
      <c r="D493" s="40"/>
      <c r="E493" s="42"/>
      <c r="F493" s="84"/>
      <c r="G493" s="45"/>
      <c r="H493" s="45"/>
      <c r="I493" s="46"/>
      <c r="J493" s="136"/>
      <c r="K493" s="137"/>
      <c r="L493" s="138"/>
      <c r="M493" s="39"/>
      <c r="N493" s="39"/>
      <c r="O493" s="39"/>
      <c r="P493" s="55"/>
      <c r="Q493" s="55"/>
      <c r="R493" s="55"/>
      <c r="S493" s="55"/>
      <c r="T493" s="55"/>
      <c r="U493" s="55"/>
      <c r="V493" s="55"/>
    </row>
    <row r="494" ht="13.5" customHeight="1">
      <c r="A494" s="80">
        <f t="shared" si="3"/>
        <v>489</v>
      </c>
      <c r="B494" s="26"/>
      <c r="C494" s="39"/>
      <c r="D494" s="40"/>
      <c r="E494" s="42"/>
      <c r="F494" s="84"/>
      <c r="G494" s="45"/>
      <c r="H494" s="45"/>
      <c r="I494" s="46"/>
      <c r="J494" s="136"/>
      <c r="K494" s="137"/>
      <c r="L494" s="138"/>
      <c r="M494" s="39"/>
      <c r="N494" s="39"/>
      <c r="O494" s="39"/>
      <c r="P494" s="55"/>
      <c r="Q494" s="55"/>
      <c r="R494" s="55"/>
      <c r="S494" s="55"/>
      <c r="T494" s="55"/>
      <c r="U494" s="55"/>
      <c r="V494" s="55"/>
    </row>
    <row r="495" ht="13.5" customHeight="1">
      <c r="A495" s="80">
        <f t="shared" si="3"/>
        <v>490</v>
      </c>
      <c r="B495" s="26"/>
      <c r="C495" s="39"/>
      <c r="D495" s="40"/>
      <c r="E495" s="42"/>
      <c r="F495" s="84"/>
      <c r="G495" s="45"/>
      <c r="H495" s="45"/>
      <c r="I495" s="46"/>
      <c r="J495" s="136"/>
      <c r="K495" s="137"/>
      <c r="L495" s="138"/>
      <c r="M495" s="39"/>
      <c r="N495" s="39"/>
      <c r="O495" s="39"/>
      <c r="P495" s="55"/>
      <c r="Q495" s="55"/>
      <c r="R495" s="55"/>
      <c r="S495" s="55"/>
      <c r="T495" s="55"/>
      <c r="U495" s="55"/>
      <c r="V495" s="55"/>
    </row>
    <row r="496" ht="13.5" customHeight="1">
      <c r="A496" s="80">
        <f t="shared" si="3"/>
        <v>491</v>
      </c>
      <c r="B496" s="26"/>
      <c r="C496" s="39"/>
      <c r="D496" s="40"/>
      <c r="E496" s="42"/>
      <c r="F496" s="84"/>
      <c r="G496" s="45"/>
      <c r="H496" s="45"/>
      <c r="I496" s="46"/>
      <c r="J496" s="136"/>
      <c r="K496" s="137"/>
      <c r="L496" s="138"/>
      <c r="M496" s="39"/>
      <c r="N496" s="39"/>
      <c r="O496" s="39"/>
      <c r="P496" s="55"/>
      <c r="Q496" s="55"/>
      <c r="R496" s="55"/>
      <c r="S496" s="55"/>
      <c r="T496" s="55"/>
      <c r="U496" s="55"/>
      <c r="V496" s="55"/>
    </row>
    <row r="497" ht="13.5" customHeight="1">
      <c r="A497" s="80">
        <f t="shared" si="3"/>
        <v>492</v>
      </c>
      <c r="B497" s="26"/>
      <c r="C497" s="39"/>
      <c r="D497" s="40"/>
      <c r="E497" s="42"/>
      <c r="F497" s="84"/>
      <c r="G497" s="45"/>
      <c r="H497" s="45"/>
      <c r="I497" s="46"/>
      <c r="J497" s="136"/>
      <c r="K497" s="137"/>
      <c r="L497" s="138"/>
      <c r="M497" s="39"/>
      <c r="N497" s="39"/>
      <c r="O497" s="39"/>
      <c r="P497" s="55"/>
      <c r="Q497" s="55"/>
      <c r="R497" s="55"/>
      <c r="S497" s="55"/>
      <c r="T497" s="55"/>
      <c r="U497" s="55"/>
      <c r="V497" s="55"/>
    </row>
    <row r="498" ht="13.5" customHeight="1">
      <c r="A498" s="80">
        <f t="shared" si="3"/>
        <v>493</v>
      </c>
      <c r="B498" s="26"/>
      <c r="C498" s="39"/>
      <c r="D498" s="40"/>
      <c r="E498" s="42"/>
      <c r="F498" s="84"/>
      <c r="G498" s="45"/>
      <c r="H498" s="45"/>
      <c r="I498" s="46"/>
      <c r="J498" s="136"/>
      <c r="K498" s="137"/>
      <c r="L498" s="138"/>
      <c r="M498" s="39"/>
      <c r="N498" s="39"/>
      <c r="O498" s="39"/>
      <c r="P498" s="55"/>
      <c r="Q498" s="55"/>
      <c r="R498" s="55"/>
      <c r="S498" s="55"/>
      <c r="T498" s="55"/>
      <c r="U498" s="55"/>
      <c r="V498" s="55"/>
    </row>
    <row r="499" ht="13.5" customHeight="1">
      <c r="A499" s="80">
        <f t="shared" si="3"/>
        <v>494</v>
      </c>
      <c r="B499" s="26"/>
      <c r="C499" s="39"/>
      <c r="D499" s="40"/>
      <c r="E499" s="42"/>
      <c r="F499" s="84"/>
      <c r="G499" s="45"/>
      <c r="H499" s="45"/>
      <c r="I499" s="46"/>
      <c r="J499" s="136"/>
      <c r="K499" s="137"/>
      <c r="L499" s="138"/>
      <c r="M499" s="39"/>
      <c r="N499" s="39"/>
      <c r="O499" s="39"/>
      <c r="P499" s="55"/>
      <c r="Q499" s="55"/>
      <c r="R499" s="55"/>
      <c r="S499" s="55"/>
      <c r="T499" s="55"/>
      <c r="U499" s="55"/>
      <c r="V499" s="55"/>
    </row>
    <row r="500" ht="13.5" customHeight="1">
      <c r="A500" s="80">
        <f t="shared" si="3"/>
        <v>495</v>
      </c>
      <c r="B500" s="26"/>
      <c r="C500" s="39"/>
      <c r="D500" s="40"/>
      <c r="E500" s="42"/>
      <c r="F500" s="84"/>
      <c r="G500" s="45"/>
      <c r="H500" s="45"/>
      <c r="I500" s="46"/>
      <c r="J500" s="136"/>
      <c r="K500" s="137"/>
      <c r="L500" s="138"/>
      <c r="M500" s="39"/>
      <c r="N500" s="39"/>
      <c r="O500" s="39"/>
      <c r="P500" s="55"/>
      <c r="Q500" s="55"/>
      <c r="R500" s="55"/>
      <c r="S500" s="55"/>
      <c r="T500" s="55"/>
      <c r="U500" s="55"/>
      <c r="V500" s="55"/>
    </row>
    <row r="501" ht="13.5" customHeight="1">
      <c r="A501" s="80">
        <f t="shared" si="3"/>
        <v>496</v>
      </c>
      <c r="B501" s="26"/>
      <c r="C501" s="39"/>
      <c r="D501" s="40"/>
      <c r="E501" s="42"/>
      <c r="F501" s="84"/>
      <c r="G501" s="45"/>
      <c r="H501" s="45"/>
      <c r="I501" s="46"/>
      <c r="J501" s="136"/>
      <c r="K501" s="137"/>
      <c r="L501" s="138"/>
      <c r="M501" s="39"/>
      <c r="N501" s="39"/>
      <c r="O501" s="39"/>
      <c r="P501" s="55"/>
      <c r="Q501" s="55"/>
      <c r="R501" s="55"/>
      <c r="S501" s="55"/>
      <c r="T501" s="55"/>
      <c r="U501" s="55"/>
      <c r="V501" s="55"/>
    </row>
    <row r="502" ht="13.5" customHeight="1">
      <c r="A502" s="80">
        <f t="shared" si="3"/>
        <v>497</v>
      </c>
      <c r="B502" s="26"/>
      <c r="C502" s="39"/>
      <c r="D502" s="40"/>
      <c r="E502" s="42"/>
      <c r="F502" s="84"/>
      <c r="G502" s="45"/>
      <c r="H502" s="45"/>
      <c r="I502" s="46"/>
      <c r="J502" s="136"/>
      <c r="K502" s="137"/>
      <c r="L502" s="138"/>
      <c r="M502" s="39"/>
      <c r="N502" s="39"/>
      <c r="O502" s="39"/>
      <c r="P502" s="55"/>
      <c r="Q502" s="55"/>
      <c r="R502" s="55"/>
      <c r="S502" s="55"/>
      <c r="T502" s="55"/>
      <c r="U502" s="55"/>
      <c r="V502" s="55"/>
    </row>
    <row r="503" ht="13.5" customHeight="1">
      <c r="A503" s="80">
        <f t="shared" si="3"/>
        <v>498</v>
      </c>
      <c r="B503" s="26"/>
      <c r="C503" s="39"/>
      <c r="D503" s="40"/>
      <c r="E503" s="42"/>
      <c r="F503" s="84"/>
      <c r="G503" s="45"/>
      <c r="H503" s="45"/>
      <c r="I503" s="46"/>
      <c r="J503" s="136"/>
      <c r="K503" s="137"/>
      <c r="L503" s="138"/>
      <c r="M503" s="39"/>
      <c r="N503" s="39"/>
      <c r="O503" s="39"/>
      <c r="P503" s="55"/>
      <c r="Q503" s="55"/>
      <c r="R503" s="55"/>
      <c r="S503" s="55"/>
      <c r="T503" s="55"/>
      <c r="U503" s="55"/>
      <c r="V503" s="55"/>
    </row>
    <row r="504" ht="13.5" customHeight="1">
      <c r="A504" s="80">
        <f t="shared" si="3"/>
        <v>499</v>
      </c>
      <c r="B504" s="26"/>
      <c r="C504" s="39"/>
      <c r="D504" s="40"/>
      <c r="E504" s="42"/>
      <c r="F504" s="84"/>
      <c r="G504" s="45"/>
      <c r="H504" s="45"/>
      <c r="I504" s="46"/>
      <c r="J504" s="136"/>
      <c r="K504" s="137"/>
      <c r="L504" s="138"/>
      <c r="M504" s="39"/>
      <c r="N504" s="39"/>
      <c r="O504" s="39"/>
      <c r="P504" s="55"/>
      <c r="Q504" s="55"/>
      <c r="R504" s="55"/>
      <c r="S504" s="55"/>
      <c r="T504" s="55"/>
      <c r="U504" s="55"/>
      <c r="V504" s="55"/>
    </row>
    <row r="505" ht="13.5" customHeight="1">
      <c r="A505" s="80">
        <f t="shared" si="3"/>
        <v>500</v>
      </c>
      <c r="B505" s="26"/>
      <c r="C505" s="39"/>
      <c r="D505" s="40"/>
      <c r="E505" s="42"/>
      <c r="F505" s="84"/>
      <c r="G505" s="45"/>
      <c r="H505" s="45"/>
      <c r="I505" s="46"/>
      <c r="J505" s="136"/>
      <c r="K505" s="137"/>
      <c r="L505" s="138"/>
      <c r="M505" s="39"/>
      <c r="N505" s="39"/>
      <c r="O505" s="39"/>
      <c r="P505" s="55"/>
      <c r="Q505" s="55"/>
      <c r="R505" s="55"/>
      <c r="S505" s="55"/>
      <c r="T505" s="55"/>
      <c r="U505" s="55"/>
      <c r="V505" s="55"/>
    </row>
    <row r="506" ht="13.5" customHeight="1">
      <c r="A506" s="80">
        <f t="shared" si="3"/>
        <v>501</v>
      </c>
      <c r="B506" s="26"/>
      <c r="C506" s="39"/>
      <c r="D506" s="40"/>
      <c r="E506" s="42"/>
      <c r="F506" s="84"/>
      <c r="G506" s="45"/>
      <c r="H506" s="45"/>
      <c r="I506" s="46"/>
      <c r="J506" s="136"/>
      <c r="K506" s="137"/>
      <c r="L506" s="138"/>
      <c r="M506" s="39"/>
      <c r="N506" s="39"/>
      <c r="O506" s="39"/>
      <c r="P506" s="55"/>
      <c r="Q506" s="55"/>
      <c r="R506" s="55"/>
      <c r="S506" s="55"/>
      <c r="T506" s="55"/>
      <c r="U506" s="55"/>
      <c r="V506" s="55"/>
    </row>
    <row r="507" ht="13.5" customHeight="1">
      <c r="A507" s="80">
        <f t="shared" si="3"/>
        <v>502</v>
      </c>
      <c r="B507" s="26"/>
      <c r="C507" s="39"/>
      <c r="D507" s="40"/>
      <c r="E507" s="42"/>
      <c r="F507" s="84"/>
      <c r="G507" s="45"/>
      <c r="H507" s="45"/>
      <c r="I507" s="46"/>
      <c r="J507" s="136"/>
      <c r="K507" s="137"/>
      <c r="L507" s="138"/>
      <c r="M507" s="39"/>
      <c r="N507" s="39"/>
      <c r="O507" s="39"/>
      <c r="P507" s="55"/>
      <c r="Q507" s="55"/>
      <c r="R507" s="55"/>
      <c r="S507" s="55"/>
      <c r="T507" s="55"/>
      <c r="U507" s="55"/>
      <c r="V507" s="55"/>
    </row>
    <row r="508" ht="13.5" customHeight="1">
      <c r="A508" s="80">
        <f t="shared" si="3"/>
        <v>503</v>
      </c>
      <c r="B508" s="26"/>
      <c r="C508" s="39"/>
      <c r="D508" s="40"/>
      <c r="E508" s="42"/>
      <c r="F508" s="84"/>
      <c r="G508" s="45"/>
      <c r="H508" s="45"/>
      <c r="I508" s="46"/>
      <c r="J508" s="136"/>
      <c r="K508" s="137"/>
      <c r="L508" s="138"/>
      <c r="M508" s="39"/>
      <c r="N508" s="39"/>
      <c r="O508" s="39"/>
      <c r="P508" s="55"/>
      <c r="Q508" s="55"/>
      <c r="R508" s="55"/>
      <c r="S508" s="55"/>
      <c r="T508" s="55"/>
      <c r="U508" s="55"/>
      <c r="V508" s="55"/>
    </row>
    <row r="509" ht="13.5" customHeight="1">
      <c r="A509" s="80">
        <f t="shared" si="3"/>
        <v>504</v>
      </c>
      <c r="B509" s="26"/>
      <c r="C509" s="39"/>
      <c r="D509" s="40"/>
      <c r="E509" s="42"/>
      <c r="F509" s="84"/>
      <c r="G509" s="45"/>
      <c r="H509" s="45"/>
      <c r="I509" s="46"/>
      <c r="J509" s="136"/>
      <c r="K509" s="137"/>
      <c r="L509" s="138"/>
      <c r="M509" s="39"/>
      <c r="N509" s="39"/>
      <c r="O509" s="39"/>
      <c r="P509" s="55"/>
      <c r="Q509" s="55"/>
      <c r="R509" s="55"/>
      <c r="S509" s="55"/>
      <c r="T509" s="55"/>
      <c r="U509" s="55"/>
      <c r="V509" s="55"/>
    </row>
    <row r="510" ht="13.5" customHeight="1">
      <c r="A510" s="80">
        <f t="shared" si="3"/>
        <v>505</v>
      </c>
      <c r="B510" s="26"/>
      <c r="C510" s="39"/>
      <c r="D510" s="40"/>
      <c r="E510" s="42"/>
      <c r="F510" s="84"/>
      <c r="G510" s="45"/>
      <c r="H510" s="45"/>
      <c r="I510" s="46"/>
      <c r="J510" s="136"/>
      <c r="K510" s="137"/>
      <c r="L510" s="138"/>
      <c r="M510" s="39"/>
      <c r="N510" s="39"/>
      <c r="O510" s="39"/>
      <c r="P510" s="55"/>
      <c r="Q510" s="55"/>
      <c r="R510" s="55"/>
      <c r="S510" s="55"/>
      <c r="T510" s="55"/>
      <c r="U510" s="55"/>
      <c r="V510" s="55"/>
    </row>
    <row r="511" ht="13.5" customHeight="1">
      <c r="A511" s="80">
        <f t="shared" si="3"/>
        <v>506</v>
      </c>
      <c r="B511" s="26"/>
      <c r="C511" s="39"/>
      <c r="D511" s="40"/>
      <c r="E511" s="42"/>
      <c r="F511" s="84"/>
      <c r="G511" s="45"/>
      <c r="H511" s="45"/>
      <c r="I511" s="46"/>
      <c r="J511" s="136"/>
      <c r="K511" s="137"/>
      <c r="L511" s="138"/>
      <c r="M511" s="39"/>
      <c r="N511" s="39"/>
      <c r="O511" s="39"/>
      <c r="P511" s="55"/>
      <c r="Q511" s="55"/>
      <c r="R511" s="55"/>
      <c r="S511" s="55"/>
      <c r="T511" s="55"/>
      <c r="U511" s="55"/>
      <c r="V511" s="55"/>
    </row>
    <row r="512" ht="13.5" customHeight="1">
      <c r="A512" s="80">
        <f t="shared" si="3"/>
        <v>507</v>
      </c>
      <c r="B512" s="26"/>
      <c r="C512" s="39"/>
      <c r="D512" s="40"/>
      <c r="E512" s="42"/>
      <c r="F512" s="84"/>
      <c r="G512" s="45"/>
      <c r="H512" s="45"/>
      <c r="I512" s="46"/>
      <c r="J512" s="136"/>
      <c r="K512" s="137"/>
      <c r="L512" s="138"/>
      <c r="M512" s="39"/>
      <c r="N512" s="39"/>
      <c r="O512" s="39"/>
      <c r="P512" s="55"/>
      <c r="Q512" s="55"/>
      <c r="R512" s="55"/>
      <c r="S512" s="55"/>
      <c r="T512" s="55"/>
      <c r="U512" s="55"/>
      <c r="V512" s="55"/>
    </row>
    <row r="513" ht="13.5" customHeight="1">
      <c r="A513" s="80">
        <f t="shared" si="3"/>
        <v>508</v>
      </c>
      <c r="B513" s="26"/>
      <c r="C513" s="39"/>
      <c r="D513" s="40"/>
      <c r="E513" s="42"/>
      <c r="F513" s="84"/>
      <c r="G513" s="45"/>
      <c r="H513" s="45"/>
      <c r="I513" s="46"/>
      <c r="J513" s="136"/>
      <c r="K513" s="137"/>
      <c r="L513" s="138"/>
      <c r="M513" s="39"/>
      <c r="N513" s="39"/>
      <c r="O513" s="39"/>
      <c r="P513" s="55"/>
      <c r="Q513" s="55"/>
      <c r="R513" s="55"/>
      <c r="S513" s="55"/>
      <c r="T513" s="55"/>
      <c r="U513" s="55"/>
      <c r="V513" s="55"/>
    </row>
    <row r="514" ht="13.5" customHeight="1">
      <c r="A514" s="80">
        <f t="shared" si="3"/>
        <v>509</v>
      </c>
      <c r="B514" s="26"/>
      <c r="C514" s="39"/>
      <c r="D514" s="40"/>
      <c r="E514" s="42"/>
      <c r="F514" s="84"/>
      <c r="G514" s="45"/>
      <c r="H514" s="45"/>
      <c r="I514" s="46"/>
      <c r="J514" s="136"/>
      <c r="K514" s="137"/>
      <c r="L514" s="138"/>
      <c r="M514" s="39"/>
      <c r="N514" s="39"/>
      <c r="O514" s="39"/>
      <c r="P514" s="55"/>
      <c r="Q514" s="55"/>
      <c r="R514" s="55"/>
      <c r="S514" s="55"/>
      <c r="T514" s="55"/>
      <c r="U514" s="55"/>
      <c r="V514" s="55"/>
    </row>
    <row r="515" ht="13.5" customHeight="1">
      <c r="A515" s="80">
        <f t="shared" si="3"/>
        <v>510</v>
      </c>
      <c r="B515" s="26"/>
      <c r="C515" s="39"/>
      <c r="D515" s="40"/>
      <c r="E515" s="42"/>
      <c r="F515" s="84"/>
      <c r="G515" s="45"/>
      <c r="H515" s="45"/>
      <c r="I515" s="46"/>
      <c r="J515" s="136"/>
      <c r="K515" s="137"/>
      <c r="L515" s="138"/>
      <c r="M515" s="39"/>
      <c r="N515" s="39"/>
      <c r="O515" s="39"/>
      <c r="P515" s="55"/>
      <c r="Q515" s="55"/>
      <c r="R515" s="55"/>
      <c r="S515" s="55"/>
      <c r="T515" s="55"/>
      <c r="U515" s="55"/>
      <c r="V515" s="55"/>
    </row>
    <row r="516" ht="13.5" customHeight="1">
      <c r="A516" s="80">
        <f t="shared" si="3"/>
        <v>511</v>
      </c>
      <c r="B516" s="26"/>
      <c r="C516" s="39"/>
      <c r="D516" s="40"/>
      <c r="E516" s="42"/>
      <c r="F516" s="84"/>
      <c r="G516" s="45"/>
      <c r="H516" s="45"/>
      <c r="I516" s="46"/>
      <c r="J516" s="136"/>
      <c r="K516" s="137"/>
      <c r="L516" s="138"/>
      <c r="M516" s="39"/>
      <c r="N516" s="39"/>
      <c r="O516" s="39"/>
      <c r="P516" s="55"/>
      <c r="Q516" s="55"/>
      <c r="R516" s="55"/>
      <c r="S516" s="55"/>
      <c r="T516" s="55"/>
      <c r="U516" s="55"/>
      <c r="V516" s="55"/>
    </row>
    <row r="517" ht="13.5" customHeight="1">
      <c r="A517" s="80">
        <f t="shared" si="3"/>
        <v>512</v>
      </c>
      <c r="B517" s="26"/>
      <c r="C517" s="39"/>
      <c r="D517" s="40"/>
      <c r="E517" s="42"/>
      <c r="F517" s="84"/>
      <c r="G517" s="45"/>
      <c r="H517" s="45"/>
      <c r="I517" s="46"/>
      <c r="J517" s="136"/>
      <c r="K517" s="137"/>
      <c r="L517" s="138"/>
      <c r="M517" s="39"/>
      <c r="N517" s="39"/>
      <c r="O517" s="39"/>
      <c r="P517" s="55"/>
      <c r="Q517" s="55"/>
      <c r="R517" s="55"/>
      <c r="S517" s="55"/>
      <c r="T517" s="55"/>
      <c r="U517" s="55"/>
      <c r="V517" s="55"/>
    </row>
    <row r="518" ht="13.5" customHeight="1">
      <c r="A518" s="80">
        <f t="shared" si="3"/>
        <v>513</v>
      </c>
      <c r="B518" s="26"/>
      <c r="C518" s="39"/>
      <c r="D518" s="40"/>
      <c r="E518" s="42"/>
      <c r="F518" s="84"/>
      <c r="G518" s="45"/>
      <c r="H518" s="45"/>
      <c r="I518" s="46"/>
      <c r="J518" s="136"/>
      <c r="K518" s="137"/>
      <c r="L518" s="138"/>
      <c r="M518" s="39"/>
      <c r="N518" s="39"/>
      <c r="O518" s="39"/>
      <c r="P518" s="55"/>
      <c r="Q518" s="55"/>
      <c r="R518" s="55"/>
      <c r="S518" s="55"/>
      <c r="T518" s="55"/>
      <c r="U518" s="55"/>
      <c r="V518" s="55"/>
    </row>
    <row r="519" ht="13.5" customHeight="1">
      <c r="A519" s="80">
        <f t="shared" si="3"/>
        <v>514</v>
      </c>
      <c r="B519" s="26"/>
      <c r="C519" s="39"/>
      <c r="D519" s="40"/>
      <c r="E519" s="42"/>
      <c r="F519" s="84"/>
      <c r="G519" s="45"/>
      <c r="H519" s="45"/>
      <c r="I519" s="46"/>
      <c r="J519" s="136"/>
      <c r="K519" s="137"/>
      <c r="L519" s="138"/>
      <c r="M519" s="39"/>
      <c r="N519" s="39"/>
      <c r="O519" s="39"/>
      <c r="P519" s="55"/>
      <c r="Q519" s="55"/>
      <c r="R519" s="55"/>
      <c r="S519" s="55"/>
      <c r="T519" s="55"/>
      <c r="U519" s="55"/>
      <c r="V519" s="55"/>
    </row>
    <row r="520" ht="13.5" customHeight="1">
      <c r="A520" s="80">
        <f t="shared" si="3"/>
        <v>515</v>
      </c>
      <c r="B520" s="26"/>
      <c r="C520" s="39"/>
      <c r="D520" s="40"/>
      <c r="E520" s="42"/>
      <c r="F520" s="84"/>
      <c r="G520" s="45"/>
      <c r="H520" s="45"/>
      <c r="I520" s="46"/>
      <c r="J520" s="136"/>
      <c r="K520" s="137"/>
      <c r="L520" s="138"/>
      <c r="M520" s="39"/>
      <c r="N520" s="39"/>
      <c r="O520" s="39"/>
      <c r="P520" s="55"/>
      <c r="Q520" s="55"/>
      <c r="R520" s="55"/>
      <c r="S520" s="55"/>
      <c r="T520" s="55"/>
      <c r="U520" s="55"/>
      <c r="V520" s="55"/>
    </row>
    <row r="521" ht="13.5" customHeight="1">
      <c r="A521" s="80">
        <f t="shared" si="3"/>
        <v>516</v>
      </c>
      <c r="B521" s="26"/>
      <c r="C521" s="39"/>
      <c r="D521" s="40"/>
      <c r="E521" s="42"/>
      <c r="F521" s="84"/>
      <c r="G521" s="45"/>
      <c r="H521" s="45"/>
      <c r="I521" s="46"/>
      <c r="J521" s="136"/>
      <c r="K521" s="137"/>
      <c r="L521" s="138"/>
      <c r="M521" s="39"/>
      <c r="N521" s="39"/>
      <c r="O521" s="39"/>
      <c r="P521" s="55"/>
      <c r="Q521" s="55"/>
      <c r="R521" s="55"/>
      <c r="S521" s="55"/>
      <c r="T521" s="55"/>
      <c r="U521" s="55"/>
      <c r="V521" s="55"/>
    </row>
    <row r="522" ht="13.5" customHeight="1">
      <c r="A522" s="80">
        <f t="shared" si="3"/>
        <v>517</v>
      </c>
      <c r="B522" s="26"/>
      <c r="C522" s="39"/>
      <c r="D522" s="40"/>
      <c r="E522" s="42"/>
      <c r="F522" s="84"/>
      <c r="G522" s="45"/>
      <c r="H522" s="45"/>
      <c r="I522" s="46"/>
      <c r="J522" s="136"/>
      <c r="K522" s="137"/>
      <c r="L522" s="138"/>
      <c r="M522" s="39"/>
      <c r="N522" s="39"/>
      <c r="O522" s="39"/>
      <c r="P522" s="55"/>
      <c r="Q522" s="55"/>
      <c r="R522" s="55"/>
      <c r="S522" s="55"/>
      <c r="T522" s="55"/>
      <c r="U522" s="55"/>
      <c r="V522" s="55"/>
    </row>
    <row r="523" ht="13.5" customHeight="1">
      <c r="A523" s="80">
        <f t="shared" si="3"/>
        <v>518</v>
      </c>
      <c r="B523" s="26"/>
      <c r="C523" s="39"/>
      <c r="D523" s="40"/>
      <c r="E523" s="42"/>
      <c r="F523" s="84"/>
      <c r="G523" s="45"/>
      <c r="H523" s="45"/>
      <c r="I523" s="46"/>
      <c r="J523" s="136"/>
      <c r="K523" s="137"/>
      <c r="L523" s="138"/>
      <c r="M523" s="39"/>
      <c r="N523" s="39"/>
      <c r="O523" s="39"/>
      <c r="P523" s="55"/>
      <c r="Q523" s="55"/>
      <c r="R523" s="55"/>
      <c r="S523" s="55"/>
      <c r="T523" s="55"/>
      <c r="U523" s="55"/>
      <c r="V523" s="55"/>
    </row>
    <row r="524" ht="13.5" customHeight="1">
      <c r="A524" s="80">
        <f t="shared" si="3"/>
        <v>519</v>
      </c>
      <c r="B524" s="26"/>
      <c r="C524" s="39"/>
      <c r="D524" s="40"/>
      <c r="E524" s="42"/>
      <c r="F524" s="84"/>
      <c r="G524" s="45"/>
      <c r="H524" s="45"/>
      <c r="I524" s="46"/>
      <c r="J524" s="136"/>
      <c r="K524" s="137"/>
      <c r="L524" s="138"/>
      <c r="M524" s="39"/>
      <c r="N524" s="39"/>
      <c r="O524" s="39"/>
      <c r="P524" s="55"/>
      <c r="Q524" s="55"/>
      <c r="R524" s="55"/>
      <c r="S524" s="55"/>
      <c r="T524" s="55"/>
      <c r="U524" s="55"/>
      <c r="V524" s="55"/>
    </row>
    <row r="525" ht="13.5" customHeight="1">
      <c r="A525" s="80">
        <f t="shared" si="3"/>
        <v>520</v>
      </c>
      <c r="B525" s="26"/>
      <c r="C525" s="39"/>
      <c r="D525" s="40"/>
      <c r="E525" s="42"/>
      <c r="F525" s="84"/>
      <c r="G525" s="45"/>
      <c r="H525" s="45"/>
      <c r="I525" s="46"/>
      <c r="J525" s="136"/>
      <c r="K525" s="137"/>
      <c r="L525" s="138"/>
      <c r="M525" s="39"/>
      <c r="N525" s="39"/>
      <c r="O525" s="39"/>
      <c r="P525" s="55"/>
      <c r="Q525" s="55"/>
      <c r="R525" s="55"/>
      <c r="S525" s="55"/>
      <c r="T525" s="55"/>
      <c r="U525" s="55"/>
      <c r="V525" s="55"/>
    </row>
    <row r="526" ht="13.5" customHeight="1">
      <c r="A526" s="80">
        <f t="shared" si="3"/>
        <v>521</v>
      </c>
      <c r="B526" s="26"/>
      <c r="C526" s="39"/>
      <c r="D526" s="40"/>
      <c r="E526" s="42"/>
      <c r="F526" s="84"/>
      <c r="G526" s="45"/>
      <c r="H526" s="45"/>
      <c r="I526" s="46"/>
      <c r="J526" s="136"/>
      <c r="K526" s="137"/>
      <c r="L526" s="138"/>
      <c r="M526" s="39"/>
      <c r="N526" s="39"/>
      <c r="O526" s="39"/>
      <c r="P526" s="55"/>
      <c r="Q526" s="55"/>
      <c r="R526" s="55"/>
      <c r="S526" s="55"/>
      <c r="T526" s="55"/>
      <c r="U526" s="55"/>
      <c r="V526" s="55"/>
    </row>
    <row r="527" ht="13.5" customHeight="1">
      <c r="A527" s="80">
        <f t="shared" si="3"/>
        <v>522</v>
      </c>
      <c r="B527" s="26"/>
      <c r="C527" s="39"/>
      <c r="D527" s="40"/>
      <c r="E527" s="42"/>
      <c r="F527" s="84"/>
      <c r="G527" s="45"/>
      <c r="H527" s="45"/>
      <c r="I527" s="46"/>
      <c r="J527" s="136"/>
      <c r="K527" s="137"/>
      <c r="L527" s="138"/>
      <c r="M527" s="39"/>
      <c r="N527" s="39"/>
      <c r="O527" s="39"/>
      <c r="P527" s="55"/>
      <c r="Q527" s="55"/>
      <c r="R527" s="55"/>
      <c r="S527" s="55"/>
      <c r="T527" s="55"/>
      <c r="U527" s="55"/>
      <c r="V527" s="55"/>
    </row>
    <row r="528" ht="13.5" customHeight="1">
      <c r="A528" s="80">
        <f t="shared" si="3"/>
        <v>523</v>
      </c>
      <c r="B528" s="26"/>
      <c r="C528" s="39"/>
      <c r="D528" s="40"/>
      <c r="E528" s="42"/>
      <c r="F528" s="84"/>
      <c r="G528" s="45"/>
      <c r="H528" s="45"/>
      <c r="I528" s="46"/>
      <c r="J528" s="136"/>
      <c r="K528" s="137"/>
      <c r="L528" s="138"/>
      <c r="M528" s="39"/>
      <c r="N528" s="39"/>
      <c r="O528" s="39"/>
      <c r="P528" s="55"/>
      <c r="Q528" s="55"/>
      <c r="R528" s="55"/>
      <c r="S528" s="55"/>
      <c r="T528" s="55"/>
      <c r="U528" s="55"/>
      <c r="V528" s="55"/>
    </row>
    <row r="529" ht="13.5" customHeight="1">
      <c r="A529" s="80">
        <f t="shared" si="3"/>
        <v>524</v>
      </c>
      <c r="B529" s="26"/>
      <c r="C529" s="39"/>
      <c r="D529" s="40"/>
      <c r="E529" s="42"/>
      <c r="F529" s="84"/>
      <c r="G529" s="45"/>
      <c r="H529" s="45"/>
      <c r="I529" s="46"/>
      <c r="J529" s="136"/>
      <c r="K529" s="137"/>
      <c r="L529" s="138"/>
      <c r="M529" s="39"/>
      <c r="N529" s="39"/>
      <c r="O529" s="39"/>
      <c r="P529" s="55"/>
      <c r="Q529" s="55"/>
      <c r="R529" s="55"/>
      <c r="S529" s="55"/>
      <c r="T529" s="55"/>
      <c r="U529" s="55"/>
      <c r="V529" s="55"/>
    </row>
    <row r="530" ht="13.5" customHeight="1">
      <c r="A530" s="80">
        <f t="shared" si="3"/>
        <v>525</v>
      </c>
      <c r="B530" s="26"/>
      <c r="C530" s="39"/>
      <c r="D530" s="40"/>
      <c r="E530" s="42"/>
      <c r="F530" s="84"/>
      <c r="G530" s="45"/>
      <c r="H530" s="45"/>
      <c r="I530" s="46"/>
      <c r="J530" s="136"/>
      <c r="K530" s="137"/>
      <c r="L530" s="138"/>
      <c r="M530" s="39"/>
      <c r="N530" s="39"/>
      <c r="O530" s="39"/>
      <c r="P530" s="55"/>
      <c r="Q530" s="55"/>
      <c r="R530" s="55"/>
      <c r="S530" s="55"/>
      <c r="T530" s="55"/>
      <c r="U530" s="55"/>
      <c r="V530" s="55"/>
    </row>
    <row r="531" ht="13.5" customHeight="1">
      <c r="A531" s="80">
        <f t="shared" si="3"/>
        <v>526</v>
      </c>
      <c r="B531" s="26"/>
      <c r="C531" s="39"/>
      <c r="D531" s="40"/>
      <c r="E531" s="42"/>
      <c r="F531" s="84"/>
      <c r="G531" s="45"/>
      <c r="H531" s="45"/>
      <c r="I531" s="46"/>
      <c r="J531" s="136"/>
      <c r="K531" s="137"/>
      <c r="L531" s="138"/>
      <c r="M531" s="39"/>
      <c r="N531" s="39"/>
      <c r="O531" s="39"/>
      <c r="P531" s="55"/>
      <c r="Q531" s="55"/>
      <c r="R531" s="55"/>
      <c r="S531" s="55"/>
      <c r="T531" s="55"/>
      <c r="U531" s="55"/>
      <c r="V531" s="55"/>
    </row>
    <row r="532" ht="13.5" customHeight="1">
      <c r="A532" s="80">
        <f t="shared" si="3"/>
        <v>527</v>
      </c>
      <c r="B532" s="26"/>
      <c r="C532" s="39"/>
      <c r="D532" s="40"/>
      <c r="E532" s="42"/>
      <c r="F532" s="84"/>
      <c r="G532" s="45"/>
      <c r="H532" s="45"/>
      <c r="I532" s="46"/>
      <c r="J532" s="136"/>
      <c r="K532" s="137"/>
      <c r="L532" s="138"/>
      <c r="M532" s="39"/>
      <c r="N532" s="39"/>
      <c r="O532" s="39"/>
      <c r="P532" s="55"/>
      <c r="Q532" s="55"/>
      <c r="R532" s="55"/>
      <c r="S532" s="55"/>
      <c r="T532" s="55"/>
      <c r="U532" s="55"/>
      <c r="V532" s="55"/>
    </row>
    <row r="533" ht="13.5" customHeight="1">
      <c r="A533" s="80">
        <f t="shared" si="3"/>
        <v>528</v>
      </c>
      <c r="B533" s="26"/>
      <c r="C533" s="39"/>
      <c r="D533" s="40"/>
      <c r="E533" s="42"/>
      <c r="F533" s="84"/>
      <c r="G533" s="45"/>
      <c r="H533" s="45"/>
      <c r="I533" s="46"/>
      <c r="J533" s="136"/>
      <c r="K533" s="137"/>
      <c r="L533" s="138"/>
      <c r="M533" s="39"/>
      <c r="N533" s="39"/>
      <c r="O533" s="39"/>
      <c r="P533" s="55"/>
      <c r="Q533" s="55"/>
      <c r="R533" s="55"/>
      <c r="S533" s="55"/>
      <c r="T533" s="55"/>
      <c r="U533" s="55"/>
      <c r="V533" s="55"/>
    </row>
    <row r="534" ht="13.5" customHeight="1">
      <c r="A534" s="80">
        <f t="shared" si="3"/>
        <v>529</v>
      </c>
      <c r="B534" s="26"/>
      <c r="C534" s="39"/>
      <c r="D534" s="40"/>
      <c r="E534" s="42"/>
      <c r="F534" s="84"/>
      <c r="G534" s="45"/>
      <c r="H534" s="45"/>
      <c r="I534" s="46"/>
      <c r="J534" s="136"/>
      <c r="K534" s="137"/>
      <c r="L534" s="138"/>
      <c r="M534" s="39"/>
      <c r="N534" s="39"/>
      <c r="O534" s="39"/>
      <c r="P534" s="55"/>
      <c r="Q534" s="55"/>
      <c r="R534" s="55"/>
      <c r="S534" s="55"/>
      <c r="T534" s="55"/>
      <c r="U534" s="55"/>
      <c r="V534" s="55"/>
    </row>
    <row r="535" ht="13.5" customHeight="1">
      <c r="A535" s="80">
        <f t="shared" si="3"/>
        <v>530</v>
      </c>
      <c r="B535" s="26"/>
      <c r="C535" s="39"/>
      <c r="D535" s="40"/>
      <c r="E535" s="42"/>
      <c r="F535" s="84"/>
      <c r="G535" s="45"/>
      <c r="H535" s="45"/>
      <c r="I535" s="46"/>
      <c r="J535" s="136"/>
      <c r="K535" s="137"/>
      <c r="L535" s="138"/>
      <c r="M535" s="39"/>
      <c r="N535" s="39"/>
      <c r="O535" s="39"/>
      <c r="P535" s="55"/>
      <c r="Q535" s="55"/>
      <c r="R535" s="55"/>
      <c r="S535" s="55"/>
      <c r="T535" s="55"/>
      <c r="U535" s="55"/>
      <c r="V535" s="55"/>
    </row>
    <row r="536" ht="13.5" customHeight="1">
      <c r="A536" s="80">
        <f t="shared" si="3"/>
        <v>531</v>
      </c>
      <c r="B536" s="26"/>
      <c r="C536" s="39"/>
      <c r="D536" s="40"/>
      <c r="E536" s="42"/>
      <c r="F536" s="84"/>
      <c r="G536" s="45"/>
      <c r="H536" s="45"/>
      <c r="I536" s="46"/>
      <c r="J536" s="136"/>
      <c r="K536" s="137"/>
      <c r="L536" s="138"/>
      <c r="M536" s="39"/>
      <c r="N536" s="39"/>
      <c r="O536" s="39"/>
      <c r="P536" s="55"/>
      <c r="Q536" s="55"/>
      <c r="R536" s="55"/>
      <c r="S536" s="55"/>
      <c r="T536" s="55"/>
      <c r="U536" s="55"/>
      <c r="V536" s="55"/>
    </row>
    <row r="537" ht="13.5" customHeight="1">
      <c r="A537" s="80">
        <f t="shared" si="3"/>
        <v>532</v>
      </c>
      <c r="B537" s="26"/>
      <c r="C537" s="39"/>
      <c r="D537" s="40"/>
      <c r="E537" s="42"/>
      <c r="F537" s="84"/>
      <c r="G537" s="45"/>
      <c r="H537" s="45"/>
      <c r="I537" s="46"/>
      <c r="J537" s="136"/>
      <c r="K537" s="137"/>
      <c r="L537" s="138"/>
      <c r="M537" s="39"/>
      <c r="N537" s="39"/>
      <c r="O537" s="39"/>
      <c r="P537" s="55"/>
      <c r="Q537" s="55"/>
      <c r="R537" s="55"/>
      <c r="S537" s="55"/>
      <c r="T537" s="55"/>
      <c r="U537" s="55"/>
      <c r="V537" s="55"/>
    </row>
    <row r="538" ht="13.5" customHeight="1">
      <c r="A538" s="80">
        <f t="shared" si="3"/>
        <v>533</v>
      </c>
      <c r="B538" s="26"/>
      <c r="C538" s="39"/>
      <c r="D538" s="40"/>
      <c r="E538" s="42"/>
      <c r="F538" s="84"/>
      <c r="G538" s="45"/>
      <c r="H538" s="45"/>
      <c r="I538" s="46"/>
      <c r="J538" s="136"/>
      <c r="K538" s="137"/>
      <c r="L538" s="138"/>
      <c r="M538" s="39"/>
      <c r="N538" s="39"/>
      <c r="O538" s="39"/>
      <c r="P538" s="55"/>
      <c r="Q538" s="55"/>
      <c r="R538" s="55"/>
      <c r="S538" s="55"/>
      <c r="T538" s="55"/>
      <c r="U538" s="55"/>
      <c r="V538" s="55"/>
    </row>
    <row r="539" ht="13.5" customHeight="1">
      <c r="A539" s="80">
        <f t="shared" si="3"/>
        <v>534</v>
      </c>
      <c r="B539" s="26"/>
      <c r="C539" s="39"/>
      <c r="D539" s="40"/>
      <c r="E539" s="42"/>
      <c r="F539" s="84"/>
      <c r="G539" s="45"/>
      <c r="H539" s="45"/>
      <c r="I539" s="46"/>
      <c r="J539" s="136"/>
      <c r="K539" s="137"/>
      <c r="L539" s="138"/>
      <c r="M539" s="39"/>
      <c r="N539" s="39"/>
      <c r="O539" s="39"/>
      <c r="P539" s="55"/>
      <c r="Q539" s="55"/>
      <c r="R539" s="55"/>
      <c r="S539" s="55"/>
      <c r="T539" s="55"/>
      <c r="U539" s="55"/>
      <c r="V539" s="55"/>
    </row>
    <row r="540" ht="13.5" customHeight="1">
      <c r="A540" s="80">
        <f t="shared" si="3"/>
        <v>535</v>
      </c>
      <c r="B540" s="26"/>
      <c r="C540" s="39"/>
      <c r="D540" s="40"/>
      <c r="E540" s="42"/>
      <c r="F540" s="84"/>
      <c r="G540" s="45"/>
      <c r="H540" s="45"/>
      <c r="I540" s="46"/>
      <c r="J540" s="136"/>
      <c r="K540" s="137"/>
      <c r="L540" s="138"/>
      <c r="M540" s="39"/>
      <c r="N540" s="39"/>
      <c r="O540" s="39"/>
      <c r="P540" s="55"/>
      <c r="Q540" s="55"/>
      <c r="R540" s="55"/>
      <c r="S540" s="55"/>
      <c r="T540" s="55"/>
      <c r="U540" s="55"/>
      <c r="V540" s="55"/>
    </row>
    <row r="541" ht="13.5" customHeight="1">
      <c r="A541" s="80">
        <f t="shared" si="3"/>
        <v>536</v>
      </c>
      <c r="B541" s="26"/>
      <c r="C541" s="39"/>
      <c r="D541" s="40"/>
      <c r="E541" s="42"/>
      <c r="F541" s="84"/>
      <c r="G541" s="45"/>
      <c r="H541" s="45"/>
      <c r="I541" s="46"/>
      <c r="J541" s="136"/>
      <c r="K541" s="137"/>
      <c r="L541" s="138"/>
      <c r="M541" s="39"/>
      <c r="N541" s="39"/>
      <c r="O541" s="39"/>
      <c r="P541" s="55"/>
      <c r="Q541" s="55"/>
      <c r="R541" s="55"/>
      <c r="S541" s="55"/>
      <c r="T541" s="55"/>
      <c r="U541" s="55"/>
      <c r="V541" s="55"/>
    </row>
    <row r="542" ht="13.5" customHeight="1">
      <c r="A542" s="80">
        <f t="shared" si="3"/>
        <v>537</v>
      </c>
      <c r="B542" s="26"/>
      <c r="C542" s="39"/>
      <c r="D542" s="40"/>
      <c r="E542" s="42"/>
      <c r="F542" s="84"/>
      <c r="G542" s="45"/>
      <c r="H542" s="45"/>
      <c r="I542" s="46"/>
      <c r="J542" s="136"/>
      <c r="K542" s="137"/>
      <c r="L542" s="138"/>
      <c r="M542" s="39"/>
      <c r="N542" s="39"/>
      <c r="O542" s="39"/>
      <c r="P542" s="55"/>
      <c r="Q542" s="55"/>
      <c r="R542" s="55"/>
      <c r="S542" s="55"/>
      <c r="T542" s="55"/>
      <c r="U542" s="55"/>
      <c r="V542" s="55"/>
    </row>
    <row r="543" ht="13.5" customHeight="1">
      <c r="A543" s="80">
        <f t="shared" si="3"/>
        <v>538</v>
      </c>
      <c r="B543" s="26"/>
      <c r="C543" s="39"/>
      <c r="D543" s="40"/>
      <c r="E543" s="42"/>
      <c r="F543" s="84"/>
      <c r="G543" s="45"/>
      <c r="H543" s="45"/>
      <c r="I543" s="46"/>
      <c r="J543" s="136"/>
      <c r="K543" s="137"/>
      <c r="L543" s="138"/>
      <c r="M543" s="39"/>
      <c r="N543" s="39"/>
      <c r="O543" s="39"/>
      <c r="P543" s="55"/>
      <c r="Q543" s="55"/>
      <c r="R543" s="55"/>
      <c r="S543" s="55"/>
      <c r="T543" s="55"/>
      <c r="U543" s="55"/>
      <c r="V543" s="55"/>
    </row>
    <row r="544" ht="13.5" customHeight="1">
      <c r="A544" s="80">
        <f t="shared" si="3"/>
        <v>539</v>
      </c>
      <c r="B544" s="26"/>
      <c r="C544" s="39"/>
      <c r="D544" s="40"/>
      <c r="E544" s="42"/>
      <c r="F544" s="84"/>
      <c r="G544" s="45"/>
      <c r="H544" s="45"/>
      <c r="I544" s="46"/>
      <c r="J544" s="136"/>
      <c r="K544" s="137"/>
      <c r="L544" s="138"/>
      <c r="M544" s="39"/>
      <c r="N544" s="39"/>
      <c r="O544" s="39"/>
      <c r="P544" s="55"/>
      <c r="Q544" s="55"/>
      <c r="R544" s="55"/>
      <c r="S544" s="55"/>
      <c r="T544" s="55"/>
      <c r="U544" s="55"/>
      <c r="V544" s="55"/>
    </row>
    <row r="545" ht="13.5" customHeight="1">
      <c r="A545" s="80">
        <f t="shared" si="3"/>
        <v>540</v>
      </c>
      <c r="B545" s="26"/>
      <c r="C545" s="39"/>
      <c r="D545" s="40"/>
      <c r="E545" s="42"/>
      <c r="F545" s="84"/>
      <c r="G545" s="45"/>
      <c r="H545" s="45"/>
      <c r="I545" s="46"/>
      <c r="J545" s="136"/>
      <c r="K545" s="137"/>
      <c r="L545" s="138"/>
      <c r="M545" s="39"/>
      <c r="N545" s="39"/>
      <c r="O545" s="39"/>
      <c r="P545" s="55"/>
      <c r="Q545" s="55"/>
      <c r="R545" s="55"/>
      <c r="S545" s="55"/>
      <c r="T545" s="55"/>
      <c r="U545" s="55"/>
      <c r="V545" s="55"/>
    </row>
    <row r="546" ht="13.5" customHeight="1">
      <c r="A546" s="80">
        <f t="shared" si="3"/>
        <v>541</v>
      </c>
      <c r="B546" s="26"/>
      <c r="C546" s="39"/>
      <c r="D546" s="40"/>
      <c r="E546" s="42"/>
      <c r="F546" s="84"/>
      <c r="G546" s="45"/>
      <c r="H546" s="45"/>
      <c r="I546" s="46"/>
      <c r="J546" s="136"/>
      <c r="K546" s="137"/>
      <c r="L546" s="138"/>
      <c r="M546" s="39"/>
      <c r="N546" s="39"/>
      <c r="O546" s="39"/>
      <c r="P546" s="55"/>
      <c r="Q546" s="55"/>
      <c r="R546" s="55"/>
      <c r="S546" s="55"/>
      <c r="T546" s="55"/>
      <c r="U546" s="55"/>
      <c r="V546" s="55"/>
    </row>
    <row r="547" ht="13.5" customHeight="1">
      <c r="A547" s="80">
        <f t="shared" si="3"/>
        <v>542</v>
      </c>
      <c r="B547" s="26"/>
      <c r="C547" s="39"/>
      <c r="D547" s="40"/>
      <c r="E547" s="42"/>
      <c r="F547" s="84"/>
      <c r="G547" s="45"/>
      <c r="H547" s="45"/>
      <c r="I547" s="46"/>
      <c r="J547" s="136"/>
      <c r="K547" s="137"/>
      <c r="L547" s="138"/>
      <c r="M547" s="39"/>
      <c r="N547" s="39"/>
      <c r="O547" s="39"/>
      <c r="P547" s="55"/>
      <c r="Q547" s="55"/>
      <c r="R547" s="55"/>
      <c r="S547" s="55"/>
      <c r="T547" s="55"/>
      <c r="U547" s="55"/>
      <c r="V547" s="55"/>
    </row>
    <row r="548" ht="13.5" customHeight="1">
      <c r="A548" s="80">
        <f t="shared" si="3"/>
        <v>543</v>
      </c>
      <c r="B548" s="26"/>
      <c r="C548" s="39"/>
      <c r="D548" s="40"/>
      <c r="E548" s="42"/>
      <c r="F548" s="84"/>
      <c r="G548" s="45"/>
      <c r="H548" s="45"/>
      <c r="I548" s="46"/>
      <c r="J548" s="136"/>
      <c r="K548" s="137"/>
      <c r="L548" s="138"/>
      <c r="M548" s="39"/>
      <c r="N548" s="39"/>
      <c r="O548" s="39"/>
      <c r="P548" s="55"/>
      <c r="Q548" s="55"/>
      <c r="R548" s="55"/>
      <c r="S548" s="55"/>
      <c r="T548" s="55"/>
      <c r="U548" s="55"/>
      <c r="V548" s="55"/>
    </row>
    <row r="549" ht="13.5" customHeight="1">
      <c r="A549" s="80">
        <f t="shared" si="3"/>
        <v>544</v>
      </c>
      <c r="B549" s="26"/>
      <c r="C549" s="39"/>
      <c r="D549" s="40"/>
      <c r="E549" s="42"/>
      <c r="F549" s="84"/>
      <c r="G549" s="45"/>
      <c r="H549" s="45"/>
      <c r="I549" s="46"/>
      <c r="J549" s="136"/>
      <c r="K549" s="137"/>
      <c r="L549" s="138"/>
      <c r="M549" s="39"/>
      <c r="N549" s="39"/>
      <c r="O549" s="39"/>
      <c r="P549" s="55"/>
      <c r="Q549" s="55"/>
      <c r="R549" s="55"/>
      <c r="S549" s="55"/>
      <c r="T549" s="55"/>
      <c r="U549" s="55"/>
      <c r="V549" s="55"/>
    </row>
    <row r="550" ht="13.5" customHeight="1">
      <c r="A550" s="3"/>
      <c r="B550" s="15"/>
      <c r="C550" s="3"/>
      <c r="D550" s="4"/>
      <c r="E550" s="6"/>
      <c r="F550" s="3"/>
      <c r="G550" s="7"/>
      <c r="H550" s="7"/>
      <c r="I550" s="6"/>
      <c r="J550" s="90"/>
      <c r="K550" s="91"/>
      <c r="L550" s="92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3.5" customHeight="1">
      <c r="A551" s="3"/>
      <c r="B551" s="15"/>
      <c r="C551" s="3"/>
      <c r="D551" s="4"/>
      <c r="E551" s="6"/>
      <c r="F551" s="3"/>
      <c r="G551" s="7"/>
      <c r="H551" s="7"/>
      <c r="I551" s="6"/>
      <c r="J551" s="90"/>
      <c r="K551" s="91"/>
      <c r="L551" s="92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3.5" customHeight="1">
      <c r="A552" s="3"/>
      <c r="B552" s="15"/>
      <c r="C552" s="3"/>
      <c r="D552" s="4"/>
      <c r="E552" s="6"/>
      <c r="F552" s="3"/>
      <c r="G552" s="7"/>
      <c r="H552" s="7"/>
      <c r="I552" s="6"/>
      <c r="J552" s="90"/>
      <c r="K552" s="91"/>
      <c r="L552" s="92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3.5" customHeight="1">
      <c r="A553" s="3"/>
      <c r="B553" s="15"/>
      <c r="C553" s="3"/>
      <c r="D553" s="4"/>
      <c r="E553" s="6"/>
      <c r="F553" s="3"/>
      <c r="G553" s="7"/>
      <c r="H553" s="7"/>
      <c r="I553" s="6"/>
      <c r="J553" s="90"/>
      <c r="K553" s="91"/>
      <c r="L553" s="92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3.5" customHeight="1">
      <c r="A554" s="3"/>
      <c r="B554" s="15"/>
      <c r="C554" s="3"/>
      <c r="D554" s="4"/>
      <c r="E554" s="6"/>
      <c r="F554" s="3"/>
      <c r="G554" s="7"/>
      <c r="H554" s="7"/>
      <c r="I554" s="6"/>
      <c r="J554" s="90"/>
      <c r="K554" s="91"/>
      <c r="L554" s="92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3.5" customHeight="1">
      <c r="A555" s="3"/>
      <c r="B555" s="15"/>
      <c r="C555" s="3"/>
      <c r="D555" s="4"/>
      <c r="E555" s="6"/>
      <c r="F555" s="3"/>
      <c r="G555" s="7"/>
      <c r="H555" s="7"/>
      <c r="I555" s="6"/>
      <c r="J555" s="90"/>
      <c r="K555" s="91"/>
      <c r="L555" s="92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3.5" customHeight="1">
      <c r="A556" s="3"/>
      <c r="B556" s="15"/>
      <c r="C556" s="3"/>
      <c r="D556" s="4"/>
      <c r="E556" s="6"/>
      <c r="F556" s="3"/>
      <c r="G556" s="7"/>
      <c r="H556" s="7"/>
      <c r="I556" s="6"/>
      <c r="J556" s="90"/>
      <c r="K556" s="91"/>
      <c r="L556" s="92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3.5" customHeight="1">
      <c r="A557" s="3"/>
      <c r="B557" s="15"/>
      <c r="C557" s="3"/>
      <c r="D557" s="4"/>
      <c r="E557" s="6"/>
      <c r="F557" s="3"/>
      <c r="G557" s="7"/>
      <c r="H557" s="7"/>
      <c r="I557" s="6"/>
      <c r="J557" s="90"/>
      <c r="K557" s="91"/>
      <c r="L557" s="92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3.5" customHeight="1">
      <c r="A558" s="3"/>
      <c r="B558" s="15"/>
      <c r="C558" s="3"/>
      <c r="D558" s="4"/>
      <c r="E558" s="6"/>
      <c r="F558" s="3"/>
      <c r="G558" s="7"/>
      <c r="H558" s="7"/>
      <c r="I558" s="6"/>
      <c r="J558" s="90"/>
      <c r="K558" s="91"/>
      <c r="L558" s="92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3.5" customHeight="1">
      <c r="A559" s="3"/>
      <c r="B559" s="15"/>
      <c r="C559" s="3"/>
      <c r="D559" s="4"/>
      <c r="E559" s="6"/>
      <c r="F559" s="3"/>
      <c r="G559" s="7"/>
      <c r="H559" s="7"/>
      <c r="I559" s="6"/>
      <c r="J559" s="90"/>
      <c r="K559" s="91"/>
      <c r="L559" s="92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3.5" customHeight="1">
      <c r="A560" s="3"/>
      <c r="B560" s="15"/>
      <c r="C560" s="3"/>
      <c r="D560" s="4"/>
      <c r="E560" s="6"/>
      <c r="F560" s="3"/>
      <c r="G560" s="7"/>
      <c r="H560" s="7"/>
      <c r="I560" s="6"/>
      <c r="J560" s="90"/>
      <c r="K560" s="91"/>
      <c r="L560" s="92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3.5" customHeight="1">
      <c r="A561" s="3"/>
      <c r="B561" s="15"/>
      <c r="C561" s="3"/>
      <c r="D561" s="4"/>
      <c r="E561" s="6"/>
      <c r="F561" s="3"/>
      <c r="G561" s="7"/>
      <c r="H561" s="7"/>
      <c r="I561" s="6"/>
      <c r="J561" s="90"/>
      <c r="K561" s="91"/>
      <c r="L561" s="92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3.5" customHeight="1">
      <c r="A562" s="3"/>
      <c r="B562" s="15"/>
      <c r="C562" s="3"/>
      <c r="D562" s="4"/>
      <c r="E562" s="6"/>
      <c r="F562" s="3"/>
      <c r="G562" s="7"/>
      <c r="H562" s="7"/>
      <c r="I562" s="6"/>
      <c r="J562" s="90"/>
      <c r="K562" s="91"/>
      <c r="L562" s="92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3.5" customHeight="1">
      <c r="A563" s="3"/>
      <c r="B563" s="15"/>
      <c r="C563" s="3"/>
      <c r="D563" s="4"/>
      <c r="E563" s="6"/>
      <c r="F563" s="3"/>
      <c r="G563" s="7"/>
      <c r="H563" s="7"/>
      <c r="I563" s="6"/>
      <c r="J563" s="90"/>
      <c r="K563" s="91"/>
      <c r="L563" s="92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3.5" customHeight="1">
      <c r="A564" s="3"/>
      <c r="B564" s="15"/>
      <c r="C564" s="3"/>
      <c r="D564" s="4"/>
      <c r="E564" s="6"/>
      <c r="F564" s="3"/>
      <c r="G564" s="7"/>
      <c r="H564" s="7"/>
      <c r="I564" s="6"/>
      <c r="J564" s="90"/>
      <c r="K564" s="91"/>
      <c r="L564" s="92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3.5" customHeight="1">
      <c r="A565" s="3"/>
      <c r="B565" s="15"/>
      <c r="C565" s="3"/>
      <c r="D565" s="4"/>
      <c r="E565" s="6"/>
      <c r="F565" s="3"/>
      <c r="G565" s="7"/>
      <c r="H565" s="7"/>
      <c r="I565" s="6"/>
      <c r="J565" s="90"/>
      <c r="K565" s="91"/>
      <c r="L565" s="92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3.5" customHeight="1">
      <c r="A566" s="3"/>
      <c r="B566" s="15"/>
      <c r="C566" s="3"/>
      <c r="D566" s="4"/>
      <c r="E566" s="6"/>
      <c r="F566" s="3"/>
      <c r="G566" s="7"/>
      <c r="H566" s="7"/>
      <c r="I566" s="6"/>
      <c r="J566" s="90"/>
      <c r="K566" s="91"/>
      <c r="L566" s="92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3.5" customHeight="1">
      <c r="A567" s="3"/>
      <c r="B567" s="15"/>
      <c r="C567" s="3"/>
      <c r="D567" s="4"/>
      <c r="E567" s="6"/>
      <c r="F567" s="3"/>
      <c r="G567" s="7"/>
      <c r="H567" s="7"/>
      <c r="I567" s="6"/>
      <c r="J567" s="90"/>
      <c r="K567" s="91"/>
      <c r="L567" s="92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3.5" customHeight="1">
      <c r="A568" s="3"/>
      <c r="B568" s="15"/>
      <c r="C568" s="3"/>
      <c r="D568" s="4"/>
      <c r="E568" s="6"/>
      <c r="F568" s="3"/>
      <c r="G568" s="7"/>
      <c r="H568" s="7"/>
      <c r="I568" s="6"/>
      <c r="J568" s="90"/>
      <c r="K568" s="91"/>
      <c r="L568" s="92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3.5" customHeight="1">
      <c r="A569" s="3"/>
      <c r="B569" s="15"/>
      <c r="C569" s="3"/>
      <c r="D569" s="4"/>
      <c r="E569" s="6"/>
      <c r="F569" s="3"/>
      <c r="G569" s="7"/>
      <c r="H569" s="7"/>
      <c r="I569" s="6"/>
      <c r="J569" s="90"/>
      <c r="K569" s="91"/>
      <c r="L569" s="92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3.5" customHeight="1">
      <c r="A570" s="3"/>
      <c r="B570" s="15"/>
      <c r="C570" s="3"/>
      <c r="D570" s="4"/>
      <c r="E570" s="6"/>
      <c r="F570" s="3"/>
      <c r="G570" s="7"/>
      <c r="H570" s="7"/>
      <c r="I570" s="6"/>
      <c r="J570" s="90"/>
      <c r="K570" s="91"/>
      <c r="L570" s="92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3.5" customHeight="1">
      <c r="A571" s="3"/>
      <c r="B571" s="15"/>
      <c r="C571" s="3"/>
      <c r="D571" s="4"/>
      <c r="E571" s="6"/>
      <c r="F571" s="3"/>
      <c r="G571" s="7"/>
      <c r="H571" s="7"/>
      <c r="I571" s="6"/>
      <c r="J571" s="90"/>
      <c r="K571" s="91"/>
      <c r="L571" s="92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3.5" customHeight="1">
      <c r="A572" s="3"/>
      <c r="B572" s="15"/>
      <c r="C572" s="3"/>
      <c r="D572" s="4"/>
      <c r="E572" s="6"/>
      <c r="F572" s="3"/>
      <c r="G572" s="7"/>
      <c r="H572" s="7"/>
      <c r="I572" s="6"/>
      <c r="J572" s="90"/>
      <c r="K572" s="91"/>
      <c r="L572" s="92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3.5" customHeight="1">
      <c r="A573" s="3"/>
      <c r="B573" s="15"/>
      <c r="C573" s="3"/>
      <c r="D573" s="4"/>
      <c r="E573" s="6"/>
      <c r="F573" s="3"/>
      <c r="G573" s="7"/>
      <c r="H573" s="7"/>
      <c r="I573" s="6"/>
      <c r="J573" s="90"/>
      <c r="K573" s="91"/>
      <c r="L573" s="92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3.5" customHeight="1">
      <c r="A574" s="3"/>
      <c r="B574" s="15"/>
      <c r="C574" s="3"/>
      <c r="D574" s="4"/>
      <c r="E574" s="6"/>
      <c r="F574" s="3"/>
      <c r="G574" s="7"/>
      <c r="H574" s="7"/>
      <c r="I574" s="6"/>
      <c r="J574" s="90"/>
      <c r="K574" s="91"/>
      <c r="L574" s="92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3.5" customHeight="1">
      <c r="A575" s="3"/>
      <c r="B575" s="15"/>
      <c r="C575" s="3"/>
      <c r="D575" s="4"/>
      <c r="E575" s="6"/>
      <c r="F575" s="3"/>
      <c r="G575" s="7"/>
      <c r="H575" s="7"/>
      <c r="I575" s="6"/>
      <c r="J575" s="90"/>
      <c r="K575" s="91"/>
      <c r="L575" s="92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3.5" customHeight="1">
      <c r="A576" s="3"/>
      <c r="B576" s="15"/>
      <c r="C576" s="3"/>
      <c r="D576" s="4"/>
      <c r="E576" s="6"/>
      <c r="F576" s="3"/>
      <c r="G576" s="7"/>
      <c r="H576" s="7"/>
      <c r="I576" s="6"/>
      <c r="J576" s="90"/>
      <c r="K576" s="91"/>
      <c r="L576" s="92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3.5" customHeight="1">
      <c r="A577" s="3"/>
      <c r="B577" s="15"/>
      <c r="C577" s="3"/>
      <c r="D577" s="4"/>
      <c r="E577" s="6"/>
      <c r="F577" s="3"/>
      <c r="G577" s="7"/>
      <c r="H577" s="7"/>
      <c r="I577" s="6"/>
      <c r="J577" s="90"/>
      <c r="K577" s="91"/>
      <c r="L577" s="92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3.5" customHeight="1">
      <c r="A578" s="3"/>
      <c r="B578" s="15"/>
      <c r="C578" s="3"/>
      <c r="D578" s="4"/>
      <c r="E578" s="6"/>
      <c r="F578" s="3"/>
      <c r="G578" s="7"/>
      <c r="H578" s="7"/>
      <c r="I578" s="6"/>
      <c r="J578" s="90"/>
      <c r="K578" s="91"/>
      <c r="L578" s="92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3.5" customHeight="1">
      <c r="A579" s="3"/>
      <c r="B579" s="15"/>
      <c r="C579" s="3"/>
      <c r="D579" s="4"/>
      <c r="E579" s="6"/>
      <c r="F579" s="3"/>
      <c r="G579" s="7"/>
      <c r="H579" s="7"/>
      <c r="I579" s="6"/>
      <c r="J579" s="90"/>
      <c r="K579" s="91"/>
      <c r="L579" s="92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3.5" customHeight="1">
      <c r="A580" s="3"/>
      <c r="B580" s="15"/>
      <c r="C580" s="3"/>
      <c r="D580" s="4"/>
      <c r="E580" s="6"/>
      <c r="F580" s="3"/>
      <c r="G580" s="7"/>
      <c r="H580" s="7"/>
      <c r="I580" s="6"/>
      <c r="J580" s="90"/>
      <c r="K580" s="91"/>
      <c r="L580" s="92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3.5" customHeight="1">
      <c r="A581" s="3"/>
      <c r="B581" s="15"/>
      <c r="C581" s="3"/>
      <c r="D581" s="4"/>
      <c r="E581" s="6"/>
      <c r="F581" s="3"/>
      <c r="G581" s="7"/>
      <c r="H581" s="7"/>
      <c r="I581" s="6"/>
      <c r="J581" s="90"/>
      <c r="K581" s="91"/>
      <c r="L581" s="92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3.5" customHeight="1">
      <c r="A582" s="3"/>
      <c r="B582" s="15"/>
      <c r="C582" s="3"/>
      <c r="D582" s="4"/>
      <c r="E582" s="6"/>
      <c r="F582" s="3"/>
      <c r="G582" s="7"/>
      <c r="H582" s="7"/>
      <c r="I582" s="6"/>
      <c r="J582" s="90"/>
      <c r="K582" s="91"/>
      <c r="L582" s="92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3.5" customHeight="1">
      <c r="A583" s="3"/>
      <c r="B583" s="15"/>
      <c r="C583" s="3"/>
      <c r="D583" s="4"/>
      <c r="E583" s="6"/>
      <c r="F583" s="3"/>
      <c r="G583" s="7"/>
      <c r="H583" s="7"/>
      <c r="I583" s="6"/>
      <c r="J583" s="90"/>
      <c r="K583" s="91"/>
      <c r="L583" s="92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3.5" customHeight="1">
      <c r="A584" s="3"/>
      <c r="B584" s="15"/>
      <c r="C584" s="3"/>
      <c r="D584" s="4"/>
      <c r="E584" s="6"/>
      <c r="F584" s="3"/>
      <c r="G584" s="7"/>
      <c r="H584" s="7"/>
      <c r="I584" s="6"/>
      <c r="J584" s="90"/>
      <c r="K584" s="91"/>
      <c r="L584" s="92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3.5" customHeight="1">
      <c r="A585" s="3"/>
      <c r="B585" s="15"/>
      <c r="C585" s="3"/>
      <c r="D585" s="4"/>
      <c r="E585" s="6"/>
      <c r="F585" s="3"/>
      <c r="G585" s="7"/>
      <c r="H585" s="7"/>
      <c r="I585" s="6"/>
      <c r="J585" s="90"/>
      <c r="K585" s="91"/>
      <c r="L585" s="92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3.5" customHeight="1">
      <c r="A586" s="3"/>
      <c r="B586" s="15"/>
      <c r="C586" s="3"/>
      <c r="D586" s="4"/>
      <c r="E586" s="6"/>
      <c r="F586" s="3"/>
      <c r="G586" s="7"/>
      <c r="H586" s="7"/>
      <c r="I586" s="6"/>
      <c r="J586" s="90"/>
      <c r="K586" s="91"/>
      <c r="L586" s="92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3.5" customHeight="1">
      <c r="A587" s="3"/>
      <c r="B587" s="15"/>
      <c r="C587" s="3"/>
      <c r="D587" s="4"/>
      <c r="E587" s="6"/>
      <c r="F587" s="3"/>
      <c r="G587" s="7"/>
      <c r="H587" s="7"/>
      <c r="I587" s="6"/>
      <c r="J587" s="90"/>
      <c r="K587" s="91"/>
      <c r="L587" s="92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3.5" customHeight="1">
      <c r="A588" s="3"/>
      <c r="B588" s="15"/>
      <c r="C588" s="3"/>
      <c r="D588" s="4"/>
      <c r="E588" s="6"/>
      <c r="F588" s="3"/>
      <c r="G588" s="7"/>
      <c r="H588" s="7"/>
      <c r="I588" s="6"/>
      <c r="J588" s="90"/>
      <c r="K588" s="91"/>
      <c r="L588" s="92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3.5" customHeight="1">
      <c r="A589" s="3"/>
      <c r="B589" s="15"/>
      <c r="C589" s="3"/>
      <c r="D589" s="4"/>
      <c r="E589" s="6"/>
      <c r="F589" s="3"/>
      <c r="G589" s="7"/>
      <c r="H589" s="7"/>
      <c r="I589" s="6"/>
      <c r="J589" s="90"/>
      <c r="K589" s="91"/>
      <c r="L589" s="92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3.5" customHeight="1">
      <c r="A590" s="3"/>
      <c r="B590" s="15"/>
      <c r="C590" s="3"/>
      <c r="D590" s="4"/>
      <c r="E590" s="6"/>
      <c r="F590" s="3"/>
      <c r="G590" s="7"/>
      <c r="H590" s="7"/>
      <c r="I590" s="6"/>
      <c r="J590" s="90"/>
      <c r="K590" s="91"/>
      <c r="L590" s="92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3.5" customHeight="1">
      <c r="A591" s="3"/>
      <c r="B591" s="15"/>
      <c r="C591" s="3"/>
      <c r="D591" s="4"/>
      <c r="E591" s="6"/>
      <c r="F591" s="3"/>
      <c r="G591" s="7"/>
      <c r="H591" s="7"/>
      <c r="I591" s="6"/>
      <c r="J591" s="90"/>
      <c r="K591" s="91"/>
      <c r="L591" s="92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3.5" customHeight="1">
      <c r="A592" s="3"/>
      <c r="B592" s="15"/>
      <c r="C592" s="3"/>
      <c r="D592" s="4"/>
      <c r="E592" s="6"/>
      <c r="F592" s="3"/>
      <c r="G592" s="7"/>
      <c r="H592" s="7"/>
      <c r="I592" s="6"/>
      <c r="J592" s="90"/>
      <c r="K592" s="91"/>
      <c r="L592" s="92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3.5" customHeight="1">
      <c r="A593" s="3"/>
      <c r="B593" s="15"/>
      <c r="C593" s="3"/>
      <c r="D593" s="4"/>
      <c r="E593" s="6"/>
      <c r="F593" s="3"/>
      <c r="G593" s="7"/>
      <c r="H593" s="7"/>
      <c r="I593" s="6"/>
      <c r="J593" s="90"/>
      <c r="K593" s="91"/>
      <c r="L593" s="92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3.5" customHeight="1">
      <c r="A594" s="3"/>
      <c r="B594" s="15"/>
      <c r="C594" s="3"/>
      <c r="D594" s="4"/>
      <c r="E594" s="6"/>
      <c r="F594" s="3"/>
      <c r="G594" s="7"/>
      <c r="H594" s="7"/>
      <c r="I594" s="6"/>
      <c r="J594" s="90"/>
      <c r="K594" s="91"/>
      <c r="L594" s="92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3.5" customHeight="1">
      <c r="A595" s="3"/>
      <c r="B595" s="15"/>
      <c r="C595" s="3"/>
      <c r="D595" s="4"/>
      <c r="E595" s="6"/>
      <c r="F595" s="3"/>
      <c r="G595" s="7"/>
      <c r="H595" s="7"/>
      <c r="I595" s="6"/>
      <c r="J595" s="90"/>
      <c r="K595" s="91"/>
      <c r="L595" s="92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3.5" customHeight="1">
      <c r="A596" s="3"/>
      <c r="B596" s="15"/>
      <c r="C596" s="3"/>
      <c r="D596" s="4"/>
      <c r="E596" s="6"/>
      <c r="F596" s="3"/>
      <c r="G596" s="7"/>
      <c r="H596" s="7"/>
      <c r="I596" s="6"/>
      <c r="J596" s="90"/>
      <c r="K596" s="91"/>
      <c r="L596" s="92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3.5" customHeight="1">
      <c r="A597" s="3"/>
      <c r="B597" s="15"/>
      <c r="C597" s="3"/>
      <c r="D597" s="4"/>
      <c r="E597" s="6"/>
      <c r="F597" s="3"/>
      <c r="G597" s="7"/>
      <c r="H597" s="7"/>
      <c r="I597" s="6"/>
      <c r="J597" s="90"/>
      <c r="K597" s="91"/>
      <c r="L597" s="92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3.5" customHeight="1">
      <c r="A598" s="3"/>
      <c r="B598" s="15"/>
      <c r="C598" s="3"/>
      <c r="D598" s="4"/>
      <c r="E598" s="6"/>
      <c r="F598" s="3"/>
      <c r="G598" s="7"/>
      <c r="H598" s="7"/>
      <c r="I598" s="6"/>
      <c r="J598" s="90"/>
      <c r="K598" s="91"/>
      <c r="L598" s="92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3.5" customHeight="1">
      <c r="A599" s="3"/>
      <c r="B599" s="15"/>
      <c r="C599" s="3"/>
      <c r="D599" s="4"/>
      <c r="E599" s="6"/>
      <c r="F599" s="3"/>
      <c r="G599" s="7"/>
      <c r="H599" s="7"/>
      <c r="I599" s="6"/>
      <c r="J599" s="90"/>
      <c r="K599" s="91"/>
      <c r="L599" s="92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3.5" customHeight="1">
      <c r="A600" s="3"/>
      <c r="B600" s="15"/>
      <c r="C600" s="3"/>
      <c r="D600" s="4"/>
      <c r="E600" s="6"/>
      <c r="F600" s="3"/>
      <c r="G600" s="7"/>
      <c r="H600" s="7"/>
      <c r="I600" s="6"/>
      <c r="J600" s="90"/>
      <c r="K600" s="91"/>
      <c r="L600" s="92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3.5" customHeight="1">
      <c r="A601" s="3"/>
      <c r="B601" s="15"/>
      <c r="C601" s="3"/>
      <c r="D601" s="4"/>
      <c r="E601" s="6"/>
      <c r="F601" s="3"/>
      <c r="G601" s="7"/>
      <c r="H601" s="7"/>
      <c r="I601" s="6"/>
      <c r="J601" s="90"/>
      <c r="K601" s="91"/>
      <c r="L601" s="92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3.5" customHeight="1">
      <c r="A602" s="3"/>
      <c r="B602" s="15"/>
      <c r="C602" s="3"/>
      <c r="D602" s="4"/>
      <c r="E602" s="6"/>
      <c r="F602" s="3"/>
      <c r="G602" s="7"/>
      <c r="H602" s="7"/>
      <c r="I602" s="6"/>
      <c r="J602" s="90"/>
      <c r="K602" s="91"/>
      <c r="L602" s="92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3.5" customHeight="1">
      <c r="A603" s="3"/>
      <c r="B603" s="15"/>
      <c r="C603" s="3"/>
      <c r="D603" s="4"/>
      <c r="E603" s="6"/>
      <c r="F603" s="3"/>
      <c r="G603" s="7"/>
      <c r="H603" s="7"/>
      <c r="I603" s="6"/>
      <c r="J603" s="90"/>
      <c r="K603" s="91"/>
      <c r="L603" s="92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3.5" customHeight="1">
      <c r="A604" s="3"/>
      <c r="B604" s="15"/>
      <c r="C604" s="3"/>
      <c r="D604" s="4"/>
      <c r="E604" s="6"/>
      <c r="F604" s="3"/>
      <c r="G604" s="7"/>
      <c r="H604" s="7"/>
      <c r="I604" s="6"/>
      <c r="J604" s="90"/>
      <c r="K604" s="91"/>
      <c r="L604" s="92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3.5" customHeight="1">
      <c r="A605" s="3"/>
      <c r="B605" s="15"/>
      <c r="C605" s="3"/>
      <c r="D605" s="4"/>
      <c r="E605" s="6"/>
      <c r="F605" s="3"/>
      <c r="G605" s="7"/>
      <c r="H605" s="7"/>
      <c r="I605" s="6"/>
      <c r="J605" s="90"/>
      <c r="K605" s="91"/>
      <c r="L605" s="92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3.5" customHeight="1">
      <c r="A606" s="3"/>
      <c r="B606" s="15"/>
      <c r="C606" s="3"/>
      <c r="D606" s="4"/>
      <c r="E606" s="6"/>
      <c r="F606" s="3"/>
      <c r="G606" s="7"/>
      <c r="H606" s="7"/>
      <c r="I606" s="6"/>
      <c r="J606" s="90"/>
      <c r="K606" s="91"/>
      <c r="L606" s="92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3.5" customHeight="1">
      <c r="A607" s="3"/>
      <c r="B607" s="15"/>
      <c r="C607" s="3"/>
      <c r="D607" s="4"/>
      <c r="E607" s="6"/>
      <c r="F607" s="3"/>
      <c r="G607" s="7"/>
      <c r="H607" s="7"/>
      <c r="I607" s="6"/>
      <c r="J607" s="90"/>
      <c r="K607" s="91"/>
      <c r="L607" s="92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3.5" customHeight="1">
      <c r="A608" s="3"/>
      <c r="B608" s="15"/>
      <c r="C608" s="3"/>
      <c r="D608" s="4"/>
      <c r="E608" s="6"/>
      <c r="F608" s="3"/>
      <c r="G608" s="7"/>
      <c r="H608" s="7"/>
      <c r="I608" s="6"/>
      <c r="J608" s="90"/>
      <c r="K608" s="91"/>
      <c r="L608" s="92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3.5" customHeight="1">
      <c r="A609" s="3"/>
      <c r="B609" s="15"/>
      <c r="C609" s="3"/>
      <c r="D609" s="4"/>
      <c r="E609" s="6"/>
      <c r="F609" s="3"/>
      <c r="G609" s="7"/>
      <c r="H609" s="7"/>
      <c r="I609" s="6"/>
      <c r="J609" s="90"/>
      <c r="K609" s="91"/>
      <c r="L609" s="92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3.5" customHeight="1">
      <c r="A610" s="3"/>
      <c r="B610" s="15"/>
      <c r="C610" s="3"/>
      <c r="D610" s="4"/>
      <c r="E610" s="6"/>
      <c r="F610" s="3"/>
      <c r="G610" s="7"/>
      <c r="H610" s="7"/>
      <c r="I610" s="6"/>
      <c r="J610" s="90"/>
      <c r="K610" s="91"/>
      <c r="L610" s="92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3.5" customHeight="1">
      <c r="A611" s="3"/>
      <c r="B611" s="15"/>
      <c r="C611" s="3"/>
      <c r="D611" s="4"/>
      <c r="E611" s="6"/>
      <c r="F611" s="3"/>
      <c r="G611" s="7"/>
      <c r="H611" s="7"/>
      <c r="I611" s="6"/>
      <c r="J611" s="90"/>
      <c r="K611" s="91"/>
      <c r="L611" s="92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3.5" customHeight="1">
      <c r="A612" s="3"/>
      <c r="B612" s="15"/>
      <c r="C612" s="3"/>
      <c r="D612" s="4"/>
      <c r="E612" s="6"/>
      <c r="F612" s="3"/>
      <c r="G612" s="7"/>
      <c r="H612" s="7"/>
      <c r="I612" s="6"/>
      <c r="J612" s="90"/>
      <c r="K612" s="91"/>
      <c r="L612" s="92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3.5" customHeight="1">
      <c r="A613" s="3"/>
      <c r="B613" s="15"/>
      <c r="C613" s="3"/>
      <c r="D613" s="4"/>
      <c r="E613" s="6"/>
      <c r="F613" s="3"/>
      <c r="G613" s="7"/>
      <c r="H613" s="7"/>
      <c r="I613" s="6"/>
      <c r="J613" s="90"/>
      <c r="K613" s="91"/>
      <c r="L613" s="92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3.5" customHeight="1">
      <c r="A614" s="3"/>
      <c r="B614" s="15"/>
      <c r="C614" s="3"/>
      <c r="D614" s="4"/>
      <c r="E614" s="6"/>
      <c r="F614" s="3"/>
      <c r="G614" s="7"/>
      <c r="H614" s="7"/>
      <c r="I614" s="6"/>
      <c r="J614" s="90"/>
      <c r="K614" s="91"/>
      <c r="L614" s="92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3.5" customHeight="1">
      <c r="A615" s="3"/>
      <c r="B615" s="15"/>
      <c r="C615" s="3"/>
      <c r="D615" s="4"/>
      <c r="E615" s="6"/>
      <c r="F615" s="3"/>
      <c r="G615" s="7"/>
      <c r="H615" s="7"/>
      <c r="I615" s="6"/>
      <c r="J615" s="90"/>
      <c r="K615" s="91"/>
      <c r="L615" s="92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3.5" customHeight="1">
      <c r="A616" s="3"/>
      <c r="B616" s="15"/>
      <c r="C616" s="3"/>
      <c r="D616" s="4"/>
      <c r="E616" s="6"/>
      <c r="F616" s="3"/>
      <c r="G616" s="7"/>
      <c r="H616" s="7"/>
      <c r="I616" s="6"/>
      <c r="J616" s="90"/>
      <c r="K616" s="91"/>
      <c r="L616" s="92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3.5" customHeight="1">
      <c r="A617" s="3"/>
      <c r="B617" s="15"/>
      <c r="C617" s="3"/>
      <c r="D617" s="4"/>
      <c r="E617" s="6"/>
      <c r="F617" s="3"/>
      <c r="G617" s="7"/>
      <c r="H617" s="7"/>
      <c r="I617" s="6"/>
      <c r="J617" s="90"/>
      <c r="K617" s="91"/>
      <c r="L617" s="92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3.5" customHeight="1">
      <c r="A618" s="3"/>
      <c r="B618" s="15"/>
      <c r="C618" s="3"/>
      <c r="D618" s="4"/>
      <c r="E618" s="6"/>
      <c r="F618" s="3"/>
      <c r="G618" s="7"/>
      <c r="H618" s="7"/>
      <c r="I618" s="6"/>
      <c r="J618" s="90"/>
      <c r="K618" s="91"/>
      <c r="L618" s="92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3.5" customHeight="1">
      <c r="A619" s="3"/>
      <c r="B619" s="15"/>
      <c r="C619" s="3"/>
      <c r="D619" s="4"/>
      <c r="E619" s="6"/>
      <c r="F619" s="3"/>
      <c r="G619" s="7"/>
      <c r="H619" s="7"/>
      <c r="I619" s="6"/>
      <c r="J619" s="90"/>
      <c r="K619" s="91"/>
      <c r="L619" s="92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3.5" customHeight="1">
      <c r="A620" s="3"/>
      <c r="B620" s="15"/>
      <c r="C620" s="3"/>
      <c r="D620" s="4"/>
      <c r="E620" s="6"/>
      <c r="F620" s="3"/>
      <c r="G620" s="7"/>
      <c r="H620" s="7"/>
      <c r="I620" s="6"/>
      <c r="J620" s="90"/>
      <c r="K620" s="91"/>
      <c r="L620" s="92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3.5" customHeight="1">
      <c r="A621" s="3"/>
      <c r="B621" s="15"/>
      <c r="C621" s="3"/>
      <c r="D621" s="4"/>
      <c r="E621" s="6"/>
      <c r="F621" s="3"/>
      <c r="G621" s="7"/>
      <c r="H621" s="7"/>
      <c r="I621" s="6"/>
      <c r="J621" s="90"/>
      <c r="K621" s="91"/>
      <c r="L621" s="92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3.5" customHeight="1">
      <c r="A622" s="3"/>
      <c r="B622" s="15"/>
      <c r="C622" s="3"/>
      <c r="D622" s="4"/>
      <c r="E622" s="6"/>
      <c r="F622" s="3"/>
      <c r="G622" s="7"/>
      <c r="H622" s="7"/>
      <c r="I622" s="6"/>
      <c r="J622" s="90"/>
      <c r="K622" s="91"/>
      <c r="L622" s="92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3.5" customHeight="1">
      <c r="A623" s="3"/>
      <c r="B623" s="15"/>
      <c r="C623" s="3"/>
      <c r="D623" s="4"/>
      <c r="E623" s="6"/>
      <c r="F623" s="3"/>
      <c r="G623" s="7"/>
      <c r="H623" s="7"/>
      <c r="I623" s="6"/>
      <c r="J623" s="90"/>
      <c r="K623" s="91"/>
      <c r="L623" s="92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3.5" customHeight="1">
      <c r="A624" s="3"/>
      <c r="B624" s="15"/>
      <c r="C624" s="3"/>
      <c r="D624" s="4"/>
      <c r="E624" s="6"/>
      <c r="F624" s="3"/>
      <c r="G624" s="7"/>
      <c r="H624" s="7"/>
      <c r="I624" s="6"/>
      <c r="J624" s="90"/>
      <c r="K624" s="91"/>
      <c r="L624" s="92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3.5" customHeight="1">
      <c r="A625" s="3"/>
      <c r="B625" s="15"/>
      <c r="C625" s="3"/>
      <c r="D625" s="4"/>
      <c r="E625" s="6"/>
      <c r="F625" s="3"/>
      <c r="G625" s="7"/>
      <c r="H625" s="7"/>
      <c r="I625" s="6"/>
      <c r="J625" s="90"/>
      <c r="K625" s="91"/>
      <c r="L625" s="92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3.5" customHeight="1">
      <c r="A626" s="3"/>
      <c r="B626" s="15"/>
      <c r="C626" s="3"/>
      <c r="D626" s="4"/>
      <c r="E626" s="6"/>
      <c r="F626" s="3"/>
      <c r="G626" s="7"/>
      <c r="H626" s="7"/>
      <c r="I626" s="6"/>
      <c r="J626" s="90"/>
      <c r="K626" s="91"/>
      <c r="L626" s="92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3.5" customHeight="1">
      <c r="A627" s="3"/>
      <c r="B627" s="15"/>
      <c r="C627" s="3"/>
      <c r="D627" s="4"/>
      <c r="E627" s="6"/>
      <c r="F627" s="3"/>
      <c r="G627" s="7"/>
      <c r="H627" s="7"/>
      <c r="I627" s="6"/>
      <c r="J627" s="90"/>
      <c r="K627" s="91"/>
      <c r="L627" s="92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3.5" customHeight="1">
      <c r="A628" s="3"/>
      <c r="B628" s="15"/>
      <c r="C628" s="3"/>
      <c r="D628" s="4"/>
      <c r="E628" s="6"/>
      <c r="F628" s="3"/>
      <c r="G628" s="7"/>
      <c r="H628" s="7"/>
      <c r="I628" s="6"/>
      <c r="J628" s="90"/>
      <c r="K628" s="91"/>
      <c r="L628" s="92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3.5" customHeight="1">
      <c r="A629" s="3"/>
      <c r="B629" s="15"/>
      <c r="C629" s="3"/>
      <c r="D629" s="4"/>
      <c r="E629" s="6"/>
      <c r="F629" s="3"/>
      <c r="G629" s="7"/>
      <c r="H629" s="7"/>
      <c r="I629" s="6"/>
      <c r="J629" s="90"/>
      <c r="K629" s="91"/>
      <c r="L629" s="92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3.5" customHeight="1">
      <c r="A630" s="3"/>
      <c r="B630" s="15"/>
      <c r="C630" s="3"/>
      <c r="D630" s="4"/>
      <c r="E630" s="6"/>
      <c r="F630" s="3"/>
      <c r="G630" s="7"/>
      <c r="H630" s="7"/>
      <c r="I630" s="6"/>
      <c r="J630" s="90"/>
      <c r="K630" s="91"/>
      <c r="L630" s="92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3.5" customHeight="1">
      <c r="A631" s="3"/>
      <c r="B631" s="15"/>
      <c r="C631" s="3"/>
      <c r="D631" s="4"/>
      <c r="E631" s="6"/>
      <c r="F631" s="3"/>
      <c r="G631" s="7"/>
      <c r="H631" s="7"/>
      <c r="I631" s="6"/>
      <c r="J631" s="90"/>
      <c r="K631" s="91"/>
      <c r="L631" s="92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3.5" customHeight="1">
      <c r="A632" s="3"/>
      <c r="B632" s="15"/>
      <c r="C632" s="3"/>
      <c r="D632" s="4"/>
      <c r="E632" s="6"/>
      <c r="F632" s="3"/>
      <c r="G632" s="7"/>
      <c r="H632" s="7"/>
      <c r="I632" s="6"/>
      <c r="J632" s="90"/>
      <c r="K632" s="91"/>
      <c r="L632" s="92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3.5" customHeight="1">
      <c r="A633" s="3"/>
      <c r="B633" s="15"/>
      <c r="C633" s="3"/>
      <c r="D633" s="4"/>
      <c r="E633" s="6"/>
      <c r="F633" s="3"/>
      <c r="G633" s="7"/>
      <c r="H633" s="7"/>
      <c r="I633" s="6"/>
      <c r="J633" s="90"/>
      <c r="K633" s="91"/>
      <c r="L633" s="92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3.5" customHeight="1">
      <c r="A634" s="3"/>
      <c r="B634" s="15"/>
      <c r="C634" s="3"/>
      <c r="D634" s="4"/>
      <c r="E634" s="6"/>
      <c r="F634" s="3"/>
      <c r="G634" s="7"/>
      <c r="H634" s="7"/>
      <c r="I634" s="6"/>
      <c r="J634" s="90"/>
      <c r="K634" s="91"/>
      <c r="L634" s="92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3.5" customHeight="1">
      <c r="A635" s="3"/>
      <c r="B635" s="15"/>
      <c r="C635" s="3"/>
      <c r="D635" s="4"/>
      <c r="E635" s="6"/>
      <c r="F635" s="3"/>
      <c r="G635" s="7"/>
      <c r="H635" s="7"/>
      <c r="I635" s="6"/>
      <c r="J635" s="90"/>
      <c r="K635" s="91"/>
      <c r="L635" s="92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3.5" customHeight="1">
      <c r="A636" s="3"/>
      <c r="B636" s="15"/>
      <c r="C636" s="3"/>
      <c r="D636" s="4"/>
      <c r="E636" s="6"/>
      <c r="F636" s="3"/>
      <c r="G636" s="7"/>
      <c r="H636" s="7"/>
      <c r="I636" s="6"/>
      <c r="J636" s="90"/>
      <c r="K636" s="91"/>
      <c r="L636" s="92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3.5" customHeight="1">
      <c r="A637" s="3"/>
      <c r="B637" s="15"/>
      <c r="C637" s="3"/>
      <c r="D637" s="4"/>
      <c r="E637" s="6"/>
      <c r="F637" s="3"/>
      <c r="G637" s="7"/>
      <c r="H637" s="7"/>
      <c r="I637" s="6"/>
      <c r="J637" s="90"/>
      <c r="K637" s="91"/>
      <c r="L637" s="92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3.5" customHeight="1">
      <c r="A638" s="3"/>
      <c r="B638" s="15"/>
      <c r="C638" s="3"/>
      <c r="D638" s="4"/>
      <c r="E638" s="6"/>
      <c r="F638" s="3"/>
      <c r="G638" s="7"/>
      <c r="H638" s="7"/>
      <c r="I638" s="6"/>
      <c r="J638" s="90"/>
      <c r="K638" s="91"/>
      <c r="L638" s="92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3.5" customHeight="1">
      <c r="A639" s="3"/>
      <c r="B639" s="15"/>
      <c r="C639" s="3"/>
      <c r="D639" s="4"/>
      <c r="E639" s="6"/>
      <c r="F639" s="3"/>
      <c r="G639" s="7"/>
      <c r="H639" s="7"/>
      <c r="I639" s="6"/>
      <c r="J639" s="90"/>
      <c r="K639" s="91"/>
      <c r="L639" s="92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3.5" customHeight="1">
      <c r="A640" s="3"/>
      <c r="B640" s="15"/>
      <c r="C640" s="3"/>
      <c r="D640" s="4"/>
      <c r="E640" s="6"/>
      <c r="F640" s="3"/>
      <c r="G640" s="7"/>
      <c r="H640" s="7"/>
      <c r="I640" s="6"/>
      <c r="J640" s="90"/>
      <c r="K640" s="91"/>
      <c r="L640" s="92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3.5" customHeight="1">
      <c r="A641" s="3"/>
      <c r="B641" s="15"/>
      <c r="C641" s="3"/>
      <c r="D641" s="4"/>
      <c r="E641" s="6"/>
      <c r="F641" s="3"/>
      <c r="G641" s="7"/>
      <c r="H641" s="7"/>
      <c r="I641" s="6"/>
      <c r="J641" s="90"/>
      <c r="K641" s="91"/>
      <c r="L641" s="92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3.5" customHeight="1">
      <c r="A642" s="3"/>
      <c r="B642" s="15"/>
      <c r="C642" s="3"/>
      <c r="D642" s="4"/>
      <c r="E642" s="6"/>
      <c r="F642" s="3"/>
      <c r="G642" s="7"/>
      <c r="H642" s="7"/>
      <c r="I642" s="6"/>
      <c r="J642" s="90"/>
      <c r="K642" s="91"/>
      <c r="L642" s="92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3.5" customHeight="1">
      <c r="A643" s="3"/>
      <c r="B643" s="15"/>
      <c r="C643" s="3"/>
      <c r="D643" s="4"/>
      <c r="E643" s="6"/>
      <c r="F643" s="3"/>
      <c r="G643" s="7"/>
      <c r="H643" s="7"/>
      <c r="I643" s="6"/>
      <c r="J643" s="90"/>
      <c r="K643" s="91"/>
      <c r="L643" s="92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3.5" customHeight="1">
      <c r="A644" s="3"/>
      <c r="B644" s="15"/>
      <c r="C644" s="3"/>
      <c r="D644" s="4"/>
      <c r="E644" s="6"/>
      <c r="F644" s="3"/>
      <c r="G644" s="7"/>
      <c r="H644" s="7"/>
      <c r="I644" s="6"/>
      <c r="J644" s="90"/>
      <c r="K644" s="91"/>
      <c r="L644" s="92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3.5" customHeight="1">
      <c r="A645" s="3"/>
      <c r="B645" s="15"/>
      <c r="C645" s="3"/>
      <c r="D645" s="4"/>
      <c r="E645" s="6"/>
      <c r="F645" s="3"/>
      <c r="G645" s="7"/>
      <c r="H645" s="7"/>
      <c r="I645" s="6"/>
      <c r="J645" s="90"/>
      <c r="K645" s="91"/>
      <c r="L645" s="92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3.5" customHeight="1">
      <c r="A646" s="3"/>
      <c r="B646" s="15"/>
      <c r="C646" s="3"/>
      <c r="D646" s="4"/>
      <c r="E646" s="6"/>
      <c r="F646" s="3"/>
      <c r="G646" s="7"/>
      <c r="H646" s="7"/>
      <c r="I646" s="6"/>
      <c r="J646" s="90"/>
      <c r="K646" s="91"/>
      <c r="L646" s="92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3.5" customHeight="1">
      <c r="A647" s="3"/>
      <c r="B647" s="15"/>
      <c r="C647" s="3"/>
      <c r="D647" s="4"/>
      <c r="E647" s="6"/>
      <c r="F647" s="3"/>
      <c r="G647" s="7"/>
      <c r="H647" s="7"/>
      <c r="I647" s="6"/>
      <c r="J647" s="90"/>
      <c r="K647" s="91"/>
      <c r="L647" s="92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3.5" customHeight="1">
      <c r="A648" s="3"/>
      <c r="B648" s="15"/>
      <c r="C648" s="3"/>
      <c r="D648" s="4"/>
      <c r="E648" s="6"/>
      <c r="F648" s="3"/>
      <c r="G648" s="7"/>
      <c r="H648" s="7"/>
      <c r="I648" s="6"/>
      <c r="J648" s="90"/>
      <c r="K648" s="91"/>
      <c r="L648" s="92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3.5" customHeight="1">
      <c r="A649" s="3"/>
      <c r="B649" s="15"/>
      <c r="C649" s="3"/>
      <c r="D649" s="4"/>
      <c r="E649" s="6"/>
      <c r="F649" s="3"/>
      <c r="G649" s="7"/>
      <c r="H649" s="7"/>
      <c r="I649" s="6"/>
      <c r="J649" s="90"/>
      <c r="K649" s="91"/>
      <c r="L649" s="92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3.5" customHeight="1">
      <c r="A650" s="3"/>
      <c r="B650" s="15"/>
      <c r="C650" s="3"/>
      <c r="D650" s="4"/>
      <c r="E650" s="6"/>
      <c r="F650" s="3"/>
      <c r="G650" s="7"/>
      <c r="H650" s="7"/>
      <c r="I650" s="6"/>
      <c r="J650" s="90"/>
      <c r="K650" s="91"/>
      <c r="L650" s="92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3.5" customHeight="1">
      <c r="A651" s="3"/>
      <c r="B651" s="15"/>
      <c r="C651" s="3"/>
      <c r="D651" s="4"/>
      <c r="E651" s="6"/>
      <c r="F651" s="3"/>
      <c r="G651" s="7"/>
      <c r="H651" s="7"/>
      <c r="I651" s="6"/>
      <c r="J651" s="90"/>
      <c r="K651" s="91"/>
      <c r="L651" s="92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3.5" customHeight="1">
      <c r="A652" s="3"/>
      <c r="B652" s="15"/>
      <c r="C652" s="3"/>
      <c r="D652" s="4"/>
      <c r="E652" s="6"/>
      <c r="F652" s="3"/>
      <c r="G652" s="7"/>
      <c r="H652" s="7"/>
      <c r="I652" s="6"/>
      <c r="J652" s="90"/>
      <c r="K652" s="91"/>
      <c r="L652" s="92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3.5" customHeight="1">
      <c r="A653" s="3"/>
      <c r="B653" s="15"/>
      <c r="C653" s="3"/>
      <c r="D653" s="4"/>
      <c r="E653" s="6"/>
      <c r="F653" s="3"/>
      <c r="G653" s="7"/>
      <c r="H653" s="7"/>
      <c r="I653" s="6"/>
      <c r="J653" s="90"/>
      <c r="K653" s="91"/>
      <c r="L653" s="92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3.5" customHeight="1">
      <c r="A654" s="3"/>
      <c r="B654" s="15"/>
      <c r="C654" s="3"/>
      <c r="D654" s="4"/>
      <c r="E654" s="6"/>
      <c r="F654" s="3"/>
      <c r="G654" s="7"/>
      <c r="H654" s="7"/>
      <c r="I654" s="6"/>
      <c r="J654" s="90"/>
      <c r="K654" s="91"/>
      <c r="L654" s="92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3.5" customHeight="1">
      <c r="A655" s="3"/>
      <c r="B655" s="15"/>
      <c r="C655" s="3"/>
      <c r="D655" s="4"/>
      <c r="E655" s="6"/>
      <c r="F655" s="3"/>
      <c r="G655" s="7"/>
      <c r="H655" s="7"/>
      <c r="I655" s="6"/>
      <c r="J655" s="90"/>
      <c r="K655" s="91"/>
      <c r="L655" s="92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3.5" customHeight="1">
      <c r="A656" s="3"/>
      <c r="B656" s="15"/>
      <c r="C656" s="3"/>
      <c r="D656" s="4"/>
      <c r="E656" s="6"/>
      <c r="F656" s="3"/>
      <c r="G656" s="7"/>
      <c r="H656" s="7"/>
      <c r="I656" s="6"/>
      <c r="J656" s="90"/>
      <c r="K656" s="91"/>
      <c r="L656" s="92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3.5" customHeight="1">
      <c r="A657" s="3"/>
      <c r="B657" s="15"/>
      <c r="C657" s="3"/>
      <c r="D657" s="4"/>
      <c r="E657" s="6"/>
      <c r="F657" s="3"/>
      <c r="G657" s="7"/>
      <c r="H657" s="7"/>
      <c r="I657" s="6"/>
      <c r="J657" s="90"/>
      <c r="K657" s="91"/>
      <c r="L657" s="92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3.5" customHeight="1">
      <c r="A658" s="3"/>
      <c r="B658" s="15"/>
      <c r="C658" s="3"/>
      <c r="D658" s="4"/>
      <c r="E658" s="6"/>
      <c r="F658" s="3"/>
      <c r="G658" s="7"/>
      <c r="H658" s="7"/>
      <c r="I658" s="6"/>
      <c r="J658" s="90"/>
      <c r="K658" s="91"/>
      <c r="L658" s="92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3.5" customHeight="1">
      <c r="A659" s="3"/>
      <c r="B659" s="15"/>
      <c r="C659" s="3"/>
      <c r="D659" s="4"/>
      <c r="E659" s="6"/>
      <c r="F659" s="3"/>
      <c r="G659" s="7"/>
      <c r="H659" s="7"/>
      <c r="I659" s="6"/>
      <c r="J659" s="90"/>
      <c r="K659" s="91"/>
      <c r="L659" s="92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3.5" customHeight="1">
      <c r="A660" s="3"/>
      <c r="B660" s="15"/>
      <c r="C660" s="3"/>
      <c r="D660" s="4"/>
      <c r="E660" s="6"/>
      <c r="F660" s="3"/>
      <c r="G660" s="7"/>
      <c r="H660" s="7"/>
      <c r="I660" s="6"/>
      <c r="J660" s="90"/>
      <c r="K660" s="91"/>
      <c r="L660" s="92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3.5" customHeight="1">
      <c r="A661" s="3"/>
      <c r="B661" s="15"/>
      <c r="C661" s="3"/>
      <c r="D661" s="4"/>
      <c r="E661" s="6"/>
      <c r="F661" s="3"/>
      <c r="G661" s="7"/>
      <c r="H661" s="7"/>
      <c r="I661" s="6"/>
      <c r="J661" s="90"/>
      <c r="K661" s="91"/>
      <c r="L661" s="92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3.5" customHeight="1">
      <c r="A662" s="3"/>
      <c r="B662" s="15"/>
      <c r="C662" s="3"/>
      <c r="D662" s="4"/>
      <c r="E662" s="6"/>
      <c r="F662" s="3"/>
      <c r="G662" s="7"/>
      <c r="H662" s="7"/>
      <c r="I662" s="6"/>
      <c r="J662" s="90"/>
      <c r="K662" s="91"/>
      <c r="L662" s="92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3.5" customHeight="1">
      <c r="A663" s="3"/>
      <c r="B663" s="15"/>
      <c r="C663" s="3"/>
      <c r="D663" s="4"/>
      <c r="E663" s="6"/>
      <c r="F663" s="3"/>
      <c r="G663" s="7"/>
      <c r="H663" s="7"/>
      <c r="I663" s="6"/>
      <c r="J663" s="90"/>
      <c r="K663" s="91"/>
      <c r="L663" s="92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3.5" customHeight="1">
      <c r="A664" s="3"/>
      <c r="B664" s="15"/>
      <c r="C664" s="3"/>
      <c r="D664" s="4"/>
      <c r="E664" s="6"/>
      <c r="F664" s="3"/>
      <c r="G664" s="7"/>
      <c r="H664" s="7"/>
      <c r="I664" s="6"/>
      <c r="J664" s="90"/>
      <c r="K664" s="91"/>
      <c r="L664" s="92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3.5" customHeight="1">
      <c r="A665" s="3"/>
      <c r="B665" s="15"/>
      <c r="C665" s="3"/>
      <c r="D665" s="4"/>
      <c r="E665" s="6"/>
      <c r="F665" s="3"/>
      <c r="G665" s="7"/>
      <c r="H665" s="7"/>
      <c r="I665" s="6"/>
      <c r="J665" s="90"/>
      <c r="K665" s="91"/>
      <c r="L665" s="92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3.5" customHeight="1">
      <c r="A666" s="3"/>
      <c r="B666" s="15"/>
      <c r="C666" s="3"/>
      <c r="D666" s="4"/>
      <c r="E666" s="6"/>
      <c r="F666" s="3"/>
      <c r="G666" s="7"/>
      <c r="H666" s="7"/>
      <c r="I666" s="6"/>
      <c r="J666" s="90"/>
      <c r="K666" s="91"/>
      <c r="L666" s="92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3.5" customHeight="1">
      <c r="A667" s="3"/>
      <c r="B667" s="15"/>
      <c r="C667" s="3"/>
      <c r="D667" s="4"/>
      <c r="E667" s="6"/>
      <c r="F667" s="3"/>
      <c r="G667" s="7"/>
      <c r="H667" s="7"/>
      <c r="I667" s="6"/>
      <c r="J667" s="90"/>
      <c r="K667" s="91"/>
      <c r="L667" s="92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3.5" customHeight="1">
      <c r="A668" s="3"/>
      <c r="B668" s="15"/>
      <c r="C668" s="3"/>
      <c r="D668" s="4"/>
      <c r="E668" s="6"/>
      <c r="F668" s="3"/>
      <c r="G668" s="7"/>
      <c r="H668" s="7"/>
      <c r="I668" s="6"/>
      <c r="J668" s="90"/>
      <c r="K668" s="91"/>
      <c r="L668" s="92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3.5" customHeight="1">
      <c r="A669" s="3"/>
      <c r="B669" s="15"/>
      <c r="C669" s="3"/>
      <c r="D669" s="4"/>
      <c r="E669" s="6"/>
      <c r="F669" s="3"/>
      <c r="G669" s="7"/>
      <c r="H669" s="7"/>
      <c r="I669" s="6"/>
      <c r="J669" s="90"/>
      <c r="K669" s="91"/>
      <c r="L669" s="92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3.5" customHeight="1">
      <c r="A670" s="3"/>
      <c r="B670" s="15"/>
      <c r="C670" s="3"/>
      <c r="D670" s="4"/>
      <c r="E670" s="6"/>
      <c r="F670" s="3"/>
      <c r="G670" s="7"/>
      <c r="H670" s="7"/>
      <c r="I670" s="6"/>
      <c r="J670" s="90"/>
      <c r="K670" s="91"/>
      <c r="L670" s="92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3.5" customHeight="1">
      <c r="A671" s="3"/>
      <c r="B671" s="15"/>
      <c r="C671" s="3"/>
      <c r="D671" s="4"/>
      <c r="E671" s="6"/>
      <c r="F671" s="3"/>
      <c r="G671" s="7"/>
      <c r="H671" s="7"/>
      <c r="I671" s="6"/>
      <c r="J671" s="90"/>
      <c r="K671" s="91"/>
      <c r="L671" s="92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3.5" customHeight="1">
      <c r="A672" s="3"/>
      <c r="B672" s="15"/>
      <c r="C672" s="3"/>
      <c r="D672" s="4"/>
      <c r="E672" s="6"/>
      <c r="F672" s="3"/>
      <c r="G672" s="7"/>
      <c r="H672" s="7"/>
      <c r="I672" s="6"/>
      <c r="J672" s="90"/>
      <c r="K672" s="91"/>
      <c r="L672" s="92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3.5" customHeight="1">
      <c r="A673" s="3"/>
      <c r="B673" s="15"/>
      <c r="C673" s="3"/>
      <c r="D673" s="4"/>
      <c r="E673" s="6"/>
      <c r="F673" s="3"/>
      <c r="G673" s="7"/>
      <c r="H673" s="7"/>
      <c r="I673" s="6"/>
      <c r="J673" s="90"/>
      <c r="K673" s="91"/>
      <c r="L673" s="92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3.5" customHeight="1">
      <c r="A674" s="3"/>
      <c r="B674" s="15"/>
      <c r="C674" s="3"/>
      <c r="D674" s="4"/>
      <c r="E674" s="6"/>
      <c r="F674" s="3"/>
      <c r="G674" s="7"/>
      <c r="H674" s="7"/>
      <c r="I674" s="6"/>
      <c r="J674" s="90"/>
      <c r="K674" s="91"/>
      <c r="L674" s="92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3.5" customHeight="1">
      <c r="A675" s="3"/>
      <c r="B675" s="15"/>
      <c r="C675" s="3"/>
      <c r="D675" s="4"/>
      <c r="E675" s="6"/>
      <c r="F675" s="3"/>
      <c r="G675" s="7"/>
      <c r="H675" s="7"/>
      <c r="I675" s="6"/>
      <c r="J675" s="90"/>
      <c r="K675" s="91"/>
      <c r="L675" s="92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3.5" customHeight="1">
      <c r="A676" s="3"/>
      <c r="B676" s="15"/>
      <c r="C676" s="3"/>
      <c r="D676" s="4"/>
      <c r="E676" s="6"/>
      <c r="F676" s="3"/>
      <c r="G676" s="7"/>
      <c r="H676" s="7"/>
      <c r="I676" s="6"/>
      <c r="J676" s="90"/>
      <c r="K676" s="91"/>
      <c r="L676" s="92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3.5" customHeight="1">
      <c r="A677" s="3"/>
      <c r="B677" s="15"/>
      <c r="C677" s="3"/>
      <c r="D677" s="4"/>
      <c r="E677" s="6"/>
      <c r="F677" s="3"/>
      <c r="G677" s="7"/>
      <c r="H677" s="7"/>
      <c r="I677" s="6"/>
      <c r="J677" s="90"/>
      <c r="K677" s="91"/>
      <c r="L677" s="92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3.5" customHeight="1">
      <c r="A678" s="3"/>
      <c r="B678" s="15"/>
      <c r="C678" s="3"/>
      <c r="D678" s="4"/>
      <c r="E678" s="6"/>
      <c r="F678" s="3"/>
      <c r="G678" s="7"/>
      <c r="H678" s="7"/>
      <c r="I678" s="6"/>
      <c r="J678" s="90"/>
      <c r="K678" s="91"/>
      <c r="L678" s="92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3.5" customHeight="1">
      <c r="A679" s="3"/>
      <c r="B679" s="15"/>
      <c r="C679" s="3"/>
      <c r="D679" s="4"/>
      <c r="E679" s="6"/>
      <c r="F679" s="3"/>
      <c r="G679" s="7"/>
      <c r="H679" s="7"/>
      <c r="I679" s="6"/>
      <c r="J679" s="90"/>
      <c r="K679" s="91"/>
      <c r="L679" s="92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3.5" customHeight="1">
      <c r="A680" s="3"/>
      <c r="B680" s="15"/>
      <c r="C680" s="3"/>
      <c r="D680" s="4"/>
      <c r="E680" s="6"/>
      <c r="F680" s="3"/>
      <c r="G680" s="7"/>
      <c r="H680" s="7"/>
      <c r="I680" s="6"/>
      <c r="J680" s="90"/>
      <c r="K680" s="91"/>
      <c r="L680" s="92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3.5" customHeight="1">
      <c r="A681" s="3"/>
      <c r="B681" s="15"/>
      <c r="C681" s="3"/>
      <c r="D681" s="4"/>
      <c r="E681" s="6"/>
      <c r="F681" s="3"/>
      <c r="G681" s="7"/>
      <c r="H681" s="7"/>
      <c r="I681" s="6"/>
      <c r="J681" s="90"/>
      <c r="K681" s="91"/>
      <c r="L681" s="92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3.5" customHeight="1">
      <c r="A682" s="3"/>
      <c r="B682" s="15"/>
      <c r="C682" s="3"/>
      <c r="D682" s="4"/>
      <c r="E682" s="6"/>
      <c r="F682" s="3"/>
      <c r="G682" s="7"/>
      <c r="H682" s="7"/>
      <c r="I682" s="6"/>
      <c r="J682" s="90"/>
      <c r="K682" s="91"/>
      <c r="L682" s="92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3.5" customHeight="1">
      <c r="A683" s="3"/>
      <c r="B683" s="15"/>
      <c r="C683" s="3"/>
      <c r="D683" s="4"/>
      <c r="E683" s="6"/>
      <c r="F683" s="3"/>
      <c r="G683" s="7"/>
      <c r="H683" s="7"/>
      <c r="I683" s="6"/>
      <c r="J683" s="90"/>
      <c r="K683" s="91"/>
      <c r="L683" s="92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3.5" customHeight="1">
      <c r="A684" s="3"/>
      <c r="B684" s="15"/>
      <c r="C684" s="3"/>
      <c r="D684" s="4"/>
      <c r="E684" s="6"/>
      <c r="F684" s="3"/>
      <c r="G684" s="7"/>
      <c r="H684" s="7"/>
      <c r="I684" s="6"/>
      <c r="J684" s="90"/>
      <c r="K684" s="91"/>
      <c r="L684" s="92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3.5" customHeight="1">
      <c r="A685" s="3"/>
      <c r="B685" s="15"/>
      <c r="C685" s="3"/>
      <c r="D685" s="4"/>
      <c r="E685" s="6"/>
      <c r="F685" s="3"/>
      <c r="G685" s="7"/>
      <c r="H685" s="7"/>
      <c r="I685" s="6"/>
      <c r="J685" s="90"/>
      <c r="K685" s="91"/>
      <c r="L685" s="92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3.5" customHeight="1">
      <c r="A686" s="3"/>
      <c r="B686" s="15"/>
      <c r="C686" s="3"/>
      <c r="D686" s="4"/>
      <c r="E686" s="6"/>
      <c r="F686" s="3"/>
      <c r="G686" s="7"/>
      <c r="H686" s="7"/>
      <c r="I686" s="6"/>
      <c r="J686" s="90"/>
      <c r="K686" s="91"/>
      <c r="L686" s="92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3.5" customHeight="1">
      <c r="A687" s="3"/>
      <c r="B687" s="15"/>
      <c r="C687" s="3"/>
      <c r="D687" s="4"/>
      <c r="E687" s="6"/>
      <c r="F687" s="3"/>
      <c r="G687" s="7"/>
      <c r="H687" s="7"/>
      <c r="I687" s="6"/>
      <c r="J687" s="90"/>
      <c r="K687" s="91"/>
      <c r="L687" s="92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3.5" customHeight="1">
      <c r="A688" s="3"/>
      <c r="B688" s="15"/>
      <c r="C688" s="3"/>
      <c r="D688" s="4"/>
      <c r="E688" s="6"/>
      <c r="F688" s="3"/>
      <c r="G688" s="7"/>
      <c r="H688" s="7"/>
      <c r="I688" s="6"/>
      <c r="J688" s="90"/>
      <c r="K688" s="91"/>
      <c r="L688" s="92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3.5" customHeight="1">
      <c r="A689" s="3"/>
      <c r="B689" s="15"/>
      <c r="C689" s="3"/>
      <c r="D689" s="4"/>
      <c r="E689" s="6"/>
      <c r="F689" s="3"/>
      <c r="G689" s="7"/>
      <c r="H689" s="7"/>
      <c r="I689" s="6"/>
      <c r="J689" s="90"/>
      <c r="K689" s="91"/>
      <c r="L689" s="92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3.5" customHeight="1">
      <c r="A690" s="3"/>
      <c r="B690" s="15"/>
      <c r="C690" s="3"/>
      <c r="D690" s="4"/>
      <c r="E690" s="6"/>
      <c r="F690" s="3"/>
      <c r="G690" s="7"/>
      <c r="H690" s="7"/>
      <c r="I690" s="6"/>
      <c r="J690" s="90"/>
      <c r="K690" s="91"/>
      <c r="L690" s="92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3.5" customHeight="1">
      <c r="A691" s="3"/>
      <c r="B691" s="15"/>
      <c r="C691" s="3"/>
      <c r="D691" s="4"/>
      <c r="E691" s="6"/>
      <c r="F691" s="3"/>
      <c r="G691" s="7"/>
      <c r="H691" s="7"/>
      <c r="I691" s="6"/>
      <c r="J691" s="90"/>
      <c r="K691" s="91"/>
      <c r="L691" s="92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3.5" customHeight="1">
      <c r="A692" s="3"/>
      <c r="B692" s="15"/>
      <c r="C692" s="3"/>
      <c r="D692" s="4"/>
      <c r="E692" s="6"/>
      <c r="F692" s="3"/>
      <c r="G692" s="7"/>
      <c r="H692" s="7"/>
      <c r="I692" s="6"/>
      <c r="J692" s="90"/>
      <c r="K692" s="91"/>
      <c r="L692" s="92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3.5" customHeight="1">
      <c r="A693" s="3"/>
      <c r="B693" s="15"/>
      <c r="C693" s="3"/>
      <c r="D693" s="4"/>
      <c r="E693" s="6"/>
      <c r="F693" s="3"/>
      <c r="G693" s="7"/>
      <c r="H693" s="7"/>
      <c r="I693" s="6"/>
      <c r="J693" s="90"/>
      <c r="K693" s="91"/>
      <c r="L693" s="92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3.5" customHeight="1">
      <c r="A694" s="3"/>
      <c r="B694" s="15"/>
      <c r="C694" s="3"/>
      <c r="D694" s="4"/>
      <c r="E694" s="6"/>
      <c r="F694" s="3"/>
      <c r="G694" s="7"/>
      <c r="H694" s="7"/>
      <c r="I694" s="6"/>
      <c r="J694" s="90"/>
      <c r="K694" s="91"/>
      <c r="L694" s="92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3.5" customHeight="1">
      <c r="A695" s="3"/>
      <c r="B695" s="15"/>
      <c r="C695" s="3"/>
      <c r="D695" s="4"/>
      <c r="E695" s="6"/>
      <c r="F695" s="3"/>
      <c r="G695" s="7"/>
      <c r="H695" s="7"/>
      <c r="I695" s="6"/>
      <c r="J695" s="90"/>
      <c r="K695" s="91"/>
      <c r="L695" s="92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3.5" customHeight="1">
      <c r="A696" s="3"/>
      <c r="B696" s="15"/>
      <c r="C696" s="3"/>
      <c r="D696" s="4"/>
      <c r="E696" s="6"/>
      <c r="F696" s="3"/>
      <c r="G696" s="7"/>
      <c r="H696" s="7"/>
      <c r="I696" s="6"/>
      <c r="J696" s="90"/>
      <c r="K696" s="91"/>
      <c r="L696" s="92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3.5" customHeight="1">
      <c r="A697" s="3"/>
      <c r="B697" s="15"/>
      <c r="C697" s="3"/>
      <c r="D697" s="4"/>
      <c r="E697" s="6"/>
      <c r="F697" s="3"/>
      <c r="G697" s="7"/>
      <c r="H697" s="7"/>
      <c r="I697" s="6"/>
      <c r="J697" s="90"/>
      <c r="K697" s="91"/>
      <c r="L697" s="92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3.5" customHeight="1">
      <c r="A698" s="3"/>
      <c r="B698" s="15"/>
      <c r="C698" s="3"/>
      <c r="D698" s="4"/>
      <c r="E698" s="6"/>
      <c r="F698" s="3"/>
      <c r="G698" s="7"/>
      <c r="H698" s="7"/>
      <c r="I698" s="6"/>
      <c r="J698" s="90"/>
      <c r="K698" s="91"/>
      <c r="L698" s="92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3.5" customHeight="1">
      <c r="A699" s="3"/>
      <c r="B699" s="15"/>
      <c r="C699" s="3"/>
      <c r="D699" s="4"/>
      <c r="E699" s="6"/>
      <c r="F699" s="3"/>
      <c r="G699" s="7"/>
      <c r="H699" s="7"/>
      <c r="I699" s="6"/>
      <c r="J699" s="90"/>
      <c r="K699" s="91"/>
      <c r="L699" s="92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3.5" customHeight="1">
      <c r="A700" s="3"/>
      <c r="B700" s="15"/>
      <c r="C700" s="3"/>
      <c r="D700" s="4"/>
      <c r="E700" s="6"/>
      <c r="F700" s="3"/>
      <c r="G700" s="7"/>
      <c r="H700" s="7"/>
      <c r="I700" s="6"/>
      <c r="J700" s="90"/>
      <c r="K700" s="91"/>
      <c r="L700" s="92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3.5" customHeight="1">
      <c r="A701" s="3"/>
      <c r="B701" s="15"/>
      <c r="C701" s="3"/>
      <c r="D701" s="4"/>
      <c r="E701" s="6"/>
      <c r="F701" s="3"/>
      <c r="G701" s="7"/>
      <c r="H701" s="7"/>
      <c r="I701" s="6"/>
      <c r="J701" s="90"/>
      <c r="K701" s="91"/>
      <c r="L701" s="92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3.5" customHeight="1">
      <c r="A702" s="3"/>
      <c r="B702" s="15"/>
      <c r="C702" s="3"/>
      <c r="D702" s="4"/>
      <c r="E702" s="6"/>
      <c r="F702" s="3"/>
      <c r="G702" s="7"/>
      <c r="H702" s="7"/>
      <c r="I702" s="6"/>
      <c r="J702" s="90"/>
      <c r="K702" s="91"/>
      <c r="L702" s="92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3.5" customHeight="1">
      <c r="A703" s="3"/>
      <c r="B703" s="15"/>
      <c r="C703" s="3"/>
      <c r="D703" s="4"/>
      <c r="E703" s="6"/>
      <c r="F703" s="3"/>
      <c r="G703" s="7"/>
      <c r="H703" s="7"/>
      <c r="I703" s="6"/>
      <c r="J703" s="90"/>
      <c r="K703" s="91"/>
      <c r="L703" s="92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3.5" customHeight="1">
      <c r="A704" s="3"/>
      <c r="B704" s="15"/>
      <c r="C704" s="3"/>
      <c r="D704" s="4"/>
      <c r="E704" s="6"/>
      <c r="F704" s="3"/>
      <c r="G704" s="7"/>
      <c r="H704" s="7"/>
      <c r="I704" s="6"/>
      <c r="J704" s="90"/>
      <c r="K704" s="91"/>
      <c r="L704" s="92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3.5" customHeight="1">
      <c r="A705" s="3"/>
      <c r="B705" s="15"/>
      <c r="C705" s="3"/>
      <c r="D705" s="4"/>
      <c r="E705" s="6"/>
      <c r="F705" s="3"/>
      <c r="G705" s="7"/>
      <c r="H705" s="7"/>
      <c r="I705" s="6"/>
      <c r="J705" s="90"/>
      <c r="K705" s="91"/>
      <c r="L705" s="92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3.5" customHeight="1">
      <c r="A706" s="3"/>
      <c r="B706" s="15"/>
      <c r="C706" s="3"/>
      <c r="D706" s="4"/>
      <c r="E706" s="6"/>
      <c r="F706" s="3"/>
      <c r="G706" s="7"/>
      <c r="H706" s="7"/>
      <c r="I706" s="6"/>
      <c r="J706" s="90"/>
      <c r="K706" s="91"/>
      <c r="L706" s="92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3.5" customHeight="1">
      <c r="A707" s="3"/>
      <c r="B707" s="15"/>
      <c r="C707" s="3"/>
      <c r="D707" s="4"/>
      <c r="E707" s="6"/>
      <c r="F707" s="3"/>
      <c r="G707" s="7"/>
      <c r="H707" s="7"/>
      <c r="I707" s="6"/>
      <c r="J707" s="90"/>
      <c r="K707" s="91"/>
      <c r="L707" s="92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3.5" customHeight="1">
      <c r="A708" s="3"/>
      <c r="B708" s="15"/>
      <c r="C708" s="3"/>
      <c r="D708" s="4"/>
      <c r="E708" s="6"/>
      <c r="F708" s="3"/>
      <c r="G708" s="7"/>
      <c r="H708" s="7"/>
      <c r="I708" s="6"/>
      <c r="J708" s="90"/>
      <c r="K708" s="91"/>
      <c r="L708" s="92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3.5" customHeight="1">
      <c r="A709" s="3"/>
      <c r="B709" s="15"/>
      <c r="C709" s="3"/>
      <c r="D709" s="4"/>
      <c r="E709" s="6"/>
      <c r="F709" s="3"/>
      <c r="G709" s="7"/>
      <c r="H709" s="7"/>
      <c r="I709" s="6"/>
      <c r="J709" s="90"/>
      <c r="K709" s="91"/>
      <c r="L709" s="92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3.5" customHeight="1">
      <c r="A710" s="3"/>
      <c r="B710" s="15"/>
      <c r="C710" s="3"/>
      <c r="D710" s="4"/>
      <c r="E710" s="6"/>
      <c r="F710" s="3"/>
      <c r="G710" s="7"/>
      <c r="H710" s="7"/>
      <c r="I710" s="6"/>
      <c r="J710" s="90"/>
      <c r="K710" s="91"/>
      <c r="L710" s="92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3.5" customHeight="1">
      <c r="A711" s="3"/>
      <c r="B711" s="15"/>
      <c r="C711" s="3"/>
      <c r="D711" s="4"/>
      <c r="E711" s="6"/>
      <c r="F711" s="3"/>
      <c r="G711" s="7"/>
      <c r="H711" s="7"/>
      <c r="I711" s="6"/>
      <c r="J711" s="90"/>
      <c r="K711" s="91"/>
      <c r="L711" s="92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3.5" customHeight="1">
      <c r="A712" s="3"/>
      <c r="B712" s="15"/>
      <c r="C712" s="3"/>
      <c r="D712" s="4"/>
      <c r="E712" s="6"/>
      <c r="F712" s="3"/>
      <c r="G712" s="7"/>
      <c r="H712" s="7"/>
      <c r="I712" s="6"/>
      <c r="J712" s="90"/>
      <c r="K712" s="91"/>
      <c r="L712" s="92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3.5" customHeight="1">
      <c r="A713" s="3"/>
      <c r="B713" s="15"/>
      <c r="C713" s="3"/>
      <c r="D713" s="4"/>
      <c r="E713" s="6"/>
      <c r="F713" s="3"/>
      <c r="G713" s="7"/>
      <c r="H713" s="7"/>
      <c r="I713" s="6"/>
      <c r="J713" s="90"/>
      <c r="K713" s="91"/>
      <c r="L713" s="92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3.5" customHeight="1">
      <c r="A714" s="3"/>
      <c r="B714" s="15"/>
      <c r="C714" s="3"/>
      <c r="D714" s="4"/>
      <c r="E714" s="6"/>
      <c r="F714" s="3"/>
      <c r="G714" s="7"/>
      <c r="H714" s="7"/>
      <c r="I714" s="6"/>
      <c r="J714" s="90"/>
      <c r="K714" s="91"/>
      <c r="L714" s="92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3.5" customHeight="1">
      <c r="A715" s="3"/>
      <c r="B715" s="15"/>
      <c r="C715" s="3"/>
      <c r="D715" s="4"/>
      <c r="E715" s="6"/>
      <c r="F715" s="3"/>
      <c r="G715" s="7"/>
      <c r="H715" s="7"/>
      <c r="I715" s="6"/>
      <c r="J715" s="90"/>
      <c r="K715" s="91"/>
      <c r="L715" s="92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3.5" customHeight="1">
      <c r="A716" s="3"/>
      <c r="B716" s="15"/>
      <c r="C716" s="3"/>
      <c r="D716" s="4"/>
      <c r="E716" s="6"/>
      <c r="F716" s="3"/>
      <c r="G716" s="7"/>
      <c r="H716" s="7"/>
      <c r="I716" s="6"/>
      <c r="J716" s="90"/>
      <c r="K716" s="91"/>
      <c r="L716" s="92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3.5" customHeight="1">
      <c r="A717" s="3"/>
      <c r="B717" s="15"/>
      <c r="C717" s="3"/>
      <c r="D717" s="4"/>
      <c r="E717" s="6"/>
      <c r="F717" s="3"/>
      <c r="G717" s="7"/>
      <c r="H717" s="7"/>
      <c r="I717" s="6"/>
      <c r="J717" s="90"/>
      <c r="K717" s="91"/>
      <c r="L717" s="92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3.5" customHeight="1">
      <c r="A718" s="3"/>
      <c r="B718" s="15"/>
      <c r="C718" s="3"/>
      <c r="D718" s="4"/>
      <c r="E718" s="6"/>
      <c r="F718" s="3"/>
      <c r="G718" s="7"/>
      <c r="H718" s="7"/>
      <c r="I718" s="6"/>
      <c r="J718" s="90"/>
      <c r="K718" s="91"/>
      <c r="L718" s="92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3.5" customHeight="1">
      <c r="A719" s="3"/>
      <c r="B719" s="15"/>
      <c r="C719" s="3"/>
      <c r="D719" s="4"/>
      <c r="E719" s="6"/>
      <c r="F719" s="3"/>
      <c r="G719" s="7"/>
      <c r="H719" s="7"/>
      <c r="I719" s="6"/>
      <c r="J719" s="90"/>
      <c r="K719" s="91"/>
      <c r="L719" s="92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3.5" customHeight="1">
      <c r="A720" s="3"/>
      <c r="B720" s="15"/>
      <c r="C720" s="3"/>
      <c r="D720" s="4"/>
      <c r="E720" s="6"/>
      <c r="F720" s="3"/>
      <c r="G720" s="7"/>
      <c r="H720" s="7"/>
      <c r="I720" s="6"/>
      <c r="J720" s="90"/>
      <c r="K720" s="91"/>
      <c r="L720" s="92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3.5" customHeight="1">
      <c r="A721" s="3"/>
      <c r="B721" s="15"/>
      <c r="C721" s="3"/>
      <c r="D721" s="4"/>
      <c r="E721" s="6"/>
      <c r="F721" s="3"/>
      <c r="G721" s="7"/>
      <c r="H721" s="7"/>
      <c r="I721" s="6"/>
      <c r="J721" s="90"/>
      <c r="K721" s="91"/>
      <c r="L721" s="92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3.5" customHeight="1">
      <c r="A722" s="3"/>
      <c r="B722" s="15"/>
      <c r="C722" s="3"/>
      <c r="D722" s="4"/>
      <c r="E722" s="6"/>
      <c r="F722" s="3"/>
      <c r="G722" s="7"/>
      <c r="H722" s="7"/>
      <c r="I722" s="6"/>
      <c r="J722" s="90"/>
      <c r="K722" s="91"/>
      <c r="L722" s="92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3.5" customHeight="1">
      <c r="A723" s="3"/>
      <c r="B723" s="15"/>
      <c r="C723" s="3"/>
      <c r="D723" s="4"/>
      <c r="E723" s="6"/>
      <c r="F723" s="3"/>
      <c r="G723" s="7"/>
      <c r="H723" s="7"/>
      <c r="I723" s="6"/>
      <c r="J723" s="90"/>
      <c r="K723" s="91"/>
      <c r="L723" s="92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3.5" customHeight="1">
      <c r="A724" s="3"/>
      <c r="B724" s="15"/>
      <c r="C724" s="3"/>
      <c r="D724" s="4"/>
      <c r="E724" s="6"/>
      <c r="F724" s="3"/>
      <c r="G724" s="7"/>
      <c r="H724" s="7"/>
      <c r="I724" s="6"/>
      <c r="J724" s="90"/>
      <c r="K724" s="91"/>
      <c r="L724" s="92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3.5" customHeight="1">
      <c r="A725" s="3"/>
      <c r="B725" s="15"/>
      <c r="C725" s="3"/>
      <c r="D725" s="4"/>
      <c r="E725" s="6"/>
      <c r="F725" s="3"/>
      <c r="G725" s="7"/>
      <c r="H725" s="7"/>
      <c r="I725" s="6"/>
      <c r="J725" s="90"/>
      <c r="K725" s="91"/>
      <c r="L725" s="92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3.5" customHeight="1">
      <c r="A726" s="3"/>
      <c r="B726" s="15"/>
      <c r="C726" s="3"/>
      <c r="D726" s="4"/>
      <c r="E726" s="6"/>
      <c r="F726" s="3"/>
      <c r="G726" s="7"/>
      <c r="H726" s="7"/>
      <c r="I726" s="6"/>
      <c r="J726" s="90"/>
      <c r="K726" s="91"/>
      <c r="L726" s="92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3.5" customHeight="1">
      <c r="A727" s="3"/>
      <c r="B727" s="15"/>
      <c r="C727" s="3"/>
      <c r="D727" s="4"/>
      <c r="E727" s="6"/>
      <c r="F727" s="3"/>
      <c r="G727" s="7"/>
      <c r="H727" s="7"/>
      <c r="I727" s="6"/>
      <c r="J727" s="90"/>
      <c r="K727" s="91"/>
      <c r="L727" s="92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3.5" customHeight="1">
      <c r="A728" s="3"/>
      <c r="B728" s="15"/>
      <c r="C728" s="3"/>
      <c r="D728" s="4"/>
      <c r="E728" s="6"/>
      <c r="F728" s="3"/>
      <c r="G728" s="7"/>
      <c r="H728" s="7"/>
      <c r="I728" s="6"/>
      <c r="J728" s="90"/>
      <c r="K728" s="91"/>
      <c r="L728" s="92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3.5" customHeight="1">
      <c r="A729" s="3"/>
      <c r="B729" s="15"/>
      <c r="C729" s="3"/>
      <c r="D729" s="4"/>
      <c r="E729" s="6"/>
      <c r="F729" s="3"/>
      <c r="G729" s="7"/>
      <c r="H729" s="7"/>
      <c r="I729" s="6"/>
      <c r="J729" s="90"/>
      <c r="K729" s="91"/>
      <c r="L729" s="92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3.5" customHeight="1">
      <c r="A730" s="3"/>
      <c r="B730" s="15"/>
      <c r="C730" s="3"/>
      <c r="D730" s="4"/>
      <c r="E730" s="6"/>
      <c r="F730" s="3"/>
      <c r="G730" s="7"/>
      <c r="H730" s="7"/>
      <c r="I730" s="6"/>
      <c r="J730" s="90"/>
      <c r="K730" s="91"/>
      <c r="L730" s="92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3.5" customHeight="1">
      <c r="A731" s="3"/>
      <c r="B731" s="15"/>
      <c r="C731" s="3"/>
      <c r="D731" s="4"/>
      <c r="E731" s="6"/>
      <c r="F731" s="3"/>
      <c r="G731" s="7"/>
      <c r="H731" s="7"/>
      <c r="I731" s="6"/>
      <c r="J731" s="90"/>
      <c r="K731" s="91"/>
      <c r="L731" s="92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3.5" customHeight="1">
      <c r="A732" s="3"/>
      <c r="B732" s="15"/>
      <c r="C732" s="3"/>
      <c r="D732" s="4"/>
      <c r="E732" s="6"/>
      <c r="F732" s="3"/>
      <c r="G732" s="7"/>
      <c r="H732" s="7"/>
      <c r="I732" s="6"/>
      <c r="J732" s="90"/>
      <c r="K732" s="91"/>
      <c r="L732" s="92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3.5" customHeight="1">
      <c r="A733" s="3"/>
      <c r="B733" s="15"/>
      <c r="C733" s="3"/>
      <c r="D733" s="4"/>
      <c r="E733" s="6"/>
      <c r="F733" s="3"/>
      <c r="G733" s="7"/>
      <c r="H733" s="7"/>
      <c r="I733" s="6"/>
      <c r="J733" s="90"/>
      <c r="K733" s="91"/>
      <c r="L733" s="92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3.5" customHeight="1">
      <c r="A734" s="3"/>
      <c r="B734" s="15"/>
      <c r="C734" s="3"/>
      <c r="D734" s="4"/>
      <c r="E734" s="6"/>
      <c r="F734" s="3"/>
      <c r="G734" s="7"/>
      <c r="H734" s="7"/>
      <c r="I734" s="6"/>
      <c r="J734" s="90"/>
      <c r="K734" s="91"/>
      <c r="L734" s="92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3.5" customHeight="1">
      <c r="A735" s="3"/>
      <c r="B735" s="15"/>
      <c r="C735" s="3"/>
      <c r="D735" s="4"/>
      <c r="E735" s="6"/>
      <c r="F735" s="3"/>
      <c r="G735" s="7"/>
      <c r="H735" s="7"/>
      <c r="I735" s="6"/>
      <c r="J735" s="90"/>
      <c r="K735" s="91"/>
      <c r="L735" s="92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3.5" customHeight="1">
      <c r="A736" s="3"/>
      <c r="B736" s="15"/>
      <c r="C736" s="3"/>
      <c r="D736" s="4"/>
      <c r="E736" s="6"/>
      <c r="F736" s="3"/>
      <c r="G736" s="7"/>
      <c r="H736" s="7"/>
      <c r="I736" s="6"/>
      <c r="J736" s="90"/>
      <c r="K736" s="91"/>
      <c r="L736" s="92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3.5" customHeight="1">
      <c r="A737" s="3"/>
      <c r="B737" s="15"/>
      <c r="C737" s="3"/>
      <c r="D737" s="4"/>
      <c r="E737" s="6"/>
      <c r="F737" s="3"/>
      <c r="G737" s="7"/>
      <c r="H737" s="7"/>
      <c r="I737" s="6"/>
      <c r="J737" s="90"/>
      <c r="K737" s="91"/>
      <c r="L737" s="92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3.5" customHeight="1">
      <c r="A738" s="3"/>
      <c r="B738" s="15"/>
      <c r="C738" s="3"/>
      <c r="D738" s="4"/>
      <c r="E738" s="6"/>
      <c r="F738" s="3"/>
      <c r="G738" s="7"/>
      <c r="H738" s="7"/>
      <c r="I738" s="6"/>
      <c r="J738" s="90"/>
      <c r="K738" s="91"/>
      <c r="L738" s="92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3.5" customHeight="1">
      <c r="A739" s="3"/>
      <c r="B739" s="15"/>
      <c r="C739" s="3"/>
      <c r="D739" s="4"/>
      <c r="E739" s="6"/>
      <c r="F739" s="3"/>
      <c r="G739" s="7"/>
      <c r="H739" s="7"/>
      <c r="I739" s="6"/>
      <c r="J739" s="90"/>
      <c r="K739" s="91"/>
      <c r="L739" s="92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3.5" customHeight="1">
      <c r="A740" s="3"/>
      <c r="B740" s="15"/>
      <c r="C740" s="3"/>
      <c r="D740" s="4"/>
      <c r="E740" s="6"/>
      <c r="F740" s="3"/>
      <c r="G740" s="7"/>
      <c r="H740" s="7"/>
      <c r="I740" s="6"/>
      <c r="J740" s="90"/>
      <c r="K740" s="91"/>
      <c r="L740" s="92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3.5" customHeight="1">
      <c r="A741" s="3"/>
      <c r="B741" s="15"/>
      <c r="C741" s="3"/>
      <c r="D741" s="4"/>
      <c r="E741" s="6"/>
      <c r="F741" s="3"/>
      <c r="G741" s="7"/>
      <c r="H741" s="7"/>
      <c r="I741" s="6"/>
      <c r="J741" s="90"/>
      <c r="K741" s="91"/>
      <c r="L741" s="92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3.5" customHeight="1">
      <c r="A742" s="3"/>
      <c r="B742" s="15"/>
      <c r="C742" s="3"/>
      <c r="D742" s="4"/>
      <c r="E742" s="6"/>
      <c r="F742" s="3"/>
      <c r="G742" s="7"/>
      <c r="H742" s="7"/>
      <c r="I742" s="6"/>
      <c r="J742" s="90"/>
      <c r="K742" s="91"/>
      <c r="L742" s="92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3.5" customHeight="1">
      <c r="A743" s="3"/>
      <c r="B743" s="15"/>
      <c r="C743" s="3"/>
      <c r="D743" s="4"/>
      <c r="E743" s="6"/>
      <c r="F743" s="3"/>
      <c r="G743" s="7"/>
      <c r="H743" s="7"/>
      <c r="I743" s="6"/>
      <c r="J743" s="90"/>
      <c r="K743" s="91"/>
      <c r="L743" s="92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3.5" customHeight="1">
      <c r="A744" s="3"/>
      <c r="B744" s="15"/>
      <c r="C744" s="3"/>
      <c r="D744" s="4"/>
      <c r="E744" s="6"/>
      <c r="F744" s="3"/>
      <c r="G744" s="7"/>
      <c r="H744" s="7"/>
      <c r="I744" s="6"/>
      <c r="J744" s="90"/>
      <c r="K744" s="91"/>
      <c r="L744" s="92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3.5" customHeight="1">
      <c r="A745" s="3"/>
      <c r="B745" s="15"/>
      <c r="C745" s="3"/>
      <c r="D745" s="4"/>
      <c r="E745" s="6"/>
      <c r="F745" s="3"/>
      <c r="G745" s="7"/>
      <c r="H745" s="7"/>
      <c r="I745" s="6"/>
      <c r="J745" s="90"/>
      <c r="K745" s="91"/>
      <c r="L745" s="92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3.5" customHeight="1">
      <c r="A746" s="3"/>
      <c r="B746" s="15"/>
      <c r="C746" s="3"/>
      <c r="D746" s="4"/>
      <c r="E746" s="6"/>
      <c r="F746" s="3"/>
      <c r="G746" s="7"/>
      <c r="H746" s="7"/>
      <c r="I746" s="6"/>
      <c r="J746" s="90"/>
      <c r="K746" s="91"/>
      <c r="L746" s="92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3.5" customHeight="1">
      <c r="A747" s="3"/>
      <c r="B747" s="15"/>
      <c r="C747" s="3"/>
      <c r="D747" s="4"/>
      <c r="E747" s="6"/>
      <c r="F747" s="3"/>
      <c r="G747" s="7"/>
      <c r="H747" s="7"/>
      <c r="I747" s="6"/>
      <c r="J747" s="90"/>
      <c r="K747" s="91"/>
      <c r="L747" s="92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3.5" customHeight="1">
      <c r="A748" s="3"/>
      <c r="B748" s="15"/>
      <c r="C748" s="3"/>
      <c r="D748" s="4"/>
      <c r="E748" s="6"/>
      <c r="F748" s="3"/>
      <c r="G748" s="7"/>
      <c r="H748" s="7"/>
      <c r="I748" s="6"/>
      <c r="J748" s="90"/>
      <c r="K748" s="91"/>
      <c r="L748" s="92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3.5" customHeight="1">
      <c r="A749" s="3"/>
      <c r="B749" s="15"/>
      <c r="C749" s="3"/>
      <c r="D749" s="4"/>
      <c r="E749" s="6"/>
      <c r="F749" s="3"/>
      <c r="G749" s="7"/>
      <c r="H749" s="7"/>
      <c r="I749" s="6"/>
      <c r="J749" s="90"/>
      <c r="K749" s="91"/>
      <c r="L749" s="92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3.5" customHeight="1">
      <c r="A750" s="3"/>
      <c r="B750" s="15"/>
      <c r="C750" s="3"/>
      <c r="D750" s="4"/>
      <c r="E750" s="6"/>
      <c r="F750" s="3"/>
      <c r="G750" s="7"/>
      <c r="H750" s="7"/>
      <c r="I750" s="6"/>
      <c r="J750" s="90"/>
      <c r="K750" s="91"/>
      <c r="L750" s="92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3.5" customHeight="1">
      <c r="A751" s="3"/>
      <c r="B751" s="15"/>
      <c r="C751" s="3"/>
      <c r="D751" s="4"/>
      <c r="E751" s="6"/>
      <c r="F751" s="3"/>
      <c r="G751" s="7"/>
      <c r="H751" s="7"/>
      <c r="I751" s="6"/>
      <c r="J751" s="90"/>
      <c r="K751" s="91"/>
      <c r="L751" s="92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3.5" customHeight="1">
      <c r="A752" s="3"/>
      <c r="B752" s="15"/>
      <c r="C752" s="3"/>
      <c r="D752" s="4"/>
      <c r="E752" s="6"/>
      <c r="F752" s="3"/>
      <c r="G752" s="7"/>
      <c r="H752" s="7"/>
      <c r="I752" s="6"/>
      <c r="J752" s="90"/>
      <c r="K752" s="91"/>
      <c r="L752" s="92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3.5" customHeight="1">
      <c r="A753" s="3"/>
      <c r="B753" s="15"/>
      <c r="C753" s="3"/>
      <c r="D753" s="4"/>
      <c r="E753" s="6"/>
      <c r="F753" s="3"/>
      <c r="G753" s="7"/>
      <c r="H753" s="7"/>
      <c r="I753" s="6"/>
      <c r="J753" s="90"/>
      <c r="K753" s="91"/>
      <c r="L753" s="92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3.5" customHeight="1">
      <c r="A754" s="3"/>
      <c r="B754" s="15"/>
      <c r="C754" s="3"/>
      <c r="D754" s="4"/>
      <c r="E754" s="6"/>
      <c r="F754" s="3"/>
      <c r="G754" s="7"/>
      <c r="H754" s="7"/>
      <c r="I754" s="6"/>
      <c r="J754" s="90"/>
      <c r="K754" s="91"/>
      <c r="L754" s="92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3.5" customHeight="1">
      <c r="A755" s="3"/>
      <c r="B755" s="15"/>
      <c r="C755" s="3"/>
      <c r="D755" s="4"/>
      <c r="E755" s="6"/>
      <c r="F755" s="3"/>
      <c r="G755" s="7"/>
      <c r="H755" s="7"/>
      <c r="I755" s="6"/>
      <c r="J755" s="90"/>
      <c r="K755" s="91"/>
      <c r="L755" s="92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3.5" customHeight="1">
      <c r="A756" s="3"/>
      <c r="B756" s="15"/>
      <c r="C756" s="3"/>
      <c r="D756" s="4"/>
      <c r="E756" s="6"/>
      <c r="F756" s="3"/>
      <c r="G756" s="7"/>
      <c r="H756" s="7"/>
      <c r="I756" s="6"/>
      <c r="J756" s="90"/>
      <c r="K756" s="91"/>
      <c r="L756" s="92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3.5" customHeight="1">
      <c r="A757" s="3"/>
      <c r="B757" s="15"/>
      <c r="C757" s="3"/>
      <c r="D757" s="4"/>
      <c r="E757" s="6"/>
      <c r="F757" s="3"/>
      <c r="G757" s="7"/>
      <c r="H757" s="7"/>
      <c r="I757" s="6"/>
      <c r="J757" s="90"/>
      <c r="K757" s="91"/>
      <c r="L757" s="92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3.5" customHeight="1">
      <c r="A758" s="3"/>
      <c r="B758" s="15"/>
      <c r="C758" s="3"/>
      <c r="D758" s="4"/>
      <c r="E758" s="6"/>
      <c r="F758" s="3"/>
      <c r="G758" s="7"/>
      <c r="H758" s="7"/>
      <c r="I758" s="6"/>
      <c r="J758" s="90"/>
      <c r="K758" s="91"/>
      <c r="L758" s="92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3.5" customHeight="1">
      <c r="A759" s="3"/>
      <c r="B759" s="15"/>
      <c r="C759" s="3"/>
      <c r="D759" s="4"/>
      <c r="E759" s="6"/>
      <c r="F759" s="3"/>
      <c r="G759" s="7"/>
      <c r="H759" s="7"/>
      <c r="I759" s="6"/>
      <c r="J759" s="90"/>
      <c r="K759" s="91"/>
      <c r="L759" s="92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3.5" customHeight="1">
      <c r="A760" s="3"/>
      <c r="B760" s="15"/>
      <c r="C760" s="3"/>
      <c r="D760" s="4"/>
      <c r="E760" s="6"/>
      <c r="F760" s="3"/>
      <c r="G760" s="7"/>
      <c r="H760" s="7"/>
      <c r="I760" s="6"/>
      <c r="J760" s="90"/>
      <c r="K760" s="91"/>
      <c r="L760" s="92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3.5" customHeight="1">
      <c r="A761" s="3"/>
      <c r="B761" s="15"/>
      <c r="C761" s="3"/>
      <c r="D761" s="4"/>
      <c r="E761" s="6"/>
      <c r="F761" s="3"/>
      <c r="G761" s="7"/>
      <c r="H761" s="7"/>
      <c r="I761" s="6"/>
      <c r="J761" s="90"/>
      <c r="K761" s="91"/>
      <c r="L761" s="92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3.5" customHeight="1">
      <c r="A762" s="3"/>
      <c r="B762" s="15"/>
      <c r="C762" s="3"/>
      <c r="D762" s="4"/>
      <c r="E762" s="6"/>
      <c r="F762" s="3"/>
      <c r="G762" s="7"/>
      <c r="H762" s="7"/>
      <c r="I762" s="6"/>
      <c r="J762" s="90"/>
      <c r="K762" s="91"/>
      <c r="L762" s="92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3.5" customHeight="1">
      <c r="A763" s="3"/>
      <c r="B763" s="15"/>
      <c r="C763" s="3"/>
      <c r="D763" s="4"/>
      <c r="E763" s="6"/>
      <c r="F763" s="3"/>
      <c r="G763" s="7"/>
      <c r="H763" s="7"/>
      <c r="I763" s="6"/>
      <c r="J763" s="90"/>
      <c r="K763" s="91"/>
      <c r="L763" s="92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3.5" customHeight="1">
      <c r="A764" s="3"/>
      <c r="B764" s="15"/>
      <c r="C764" s="3"/>
      <c r="D764" s="4"/>
      <c r="E764" s="6"/>
      <c r="F764" s="3"/>
      <c r="G764" s="7"/>
      <c r="H764" s="7"/>
      <c r="I764" s="6"/>
      <c r="J764" s="90"/>
      <c r="K764" s="91"/>
      <c r="L764" s="92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3.5" customHeight="1">
      <c r="A765" s="3"/>
      <c r="B765" s="15"/>
      <c r="C765" s="3"/>
      <c r="D765" s="4"/>
      <c r="E765" s="6"/>
      <c r="F765" s="3"/>
      <c r="G765" s="7"/>
      <c r="H765" s="7"/>
      <c r="I765" s="6"/>
      <c r="J765" s="90"/>
      <c r="K765" s="91"/>
      <c r="L765" s="92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3.5" customHeight="1">
      <c r="A766" s="3"/>
      <c r="B766" s="15"/>
      <c r="C766" s="3"/>
      <c r="D766" s="4"/>
      <c r="E766" s="6"/>
      <c r="F766" s="3"/>
      <c r="G766" s="7"/>
      <c r="H766" s="7"/>
      <c r="I766" s="6"/>
      <c r="J766" s="90"/>
      <c r="K766" s="91"/>
      <c r="L766" s="92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3.5" customHeight="1">
      <c r="A767" s="3"/>
      <c r="B767" s="15"/>
      <c r="C767" s="3"/>
      <c r="D767" s="4"/>
      <c r="E767" s="6"/>
      <c r="F767" s="3"/>
      <c r="G767" s="7"/>
      <c r="H767" s="7"/>
      <c r="I767" s="6"/>
      <c r="J767" s="90"/>
      <c r="K767" s="91"/>
      <c r="L767" s="92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3.5" customHeight="1">
      <c r="A768" s="3"/>
      <c r="B768" s="15"/>
      <c r="C768" s="3"/>
      <c r="D768" s="4"/>
      <c r="E768" s="6"/>
      <c r="F768" s="3"/>
      <c r="G768" s="7"/>
      <c r="H768" s="7"/>
      <c r="I768" s="6"/>
      <c r="J768" s="90"/>
      <c r="K768" s="91"/>
      <c r="L768" s="92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3.5" customHeight="1">
      <c r="A769" s="3"/>
      <c r="B769" s="15"/>
      <c r="C769" s="3"/>
      <c r="D769" s="4"/>
      <c r="E769" s="6"/>
      <c r="F769" s="3"/>
      <c r="G769" s="7"/>
      <c r="H769" s="7"/>
      <c r="I769" s="6"/>
      <c r="J769" s="90"/>
      <c r="K769" s="91"/>
      <c r="L769" s="92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3.5" customHeight="1">
      <c r="A770" s="3"/>
      <c r="B770" s="15"/>
      <c r="C770" s="3"/>
      <c r="D770" s="4"/>
      <c r="E770" s="6"/>
      <c r="F770" s="3"/>
      <c r="G770" s="7"/>
      <c r="H770" s="7"/>
      <c r="I770" s="6"/>
      <c r="J770" s="90"/>
      <c r="K770" s="91"/>
      <c r="L770" s="92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3.5" customHeight="1">
      <c r="A771" s="3"/>
      <c r="B771" s="15"/>
      <c r="C771" s="3"/>
      <c r="D771" s="4"/>
      <c r="E771" s="6"/>
      <c r="F771" s="3"/>
      <c r="G771" s="7"/>
      <c r="H771" s="7"/>
      <c r="I771" s="6"/>
      <c r="J771" s="90"/>
      <c r="K771" s="91"/>
      <c r="L771" s="92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3.5" customHeight="1">
      <c r="A772" s="3"/>
      <c r="B772" s="15"/>
      <c r="C772" s="3"/>
      <c r="D772" s="4"/>
      <c r="E772" s="6"/>
      <c r="F772" s="3"/>
      <c r="G772" s="7"/>
      <c r="H772" s="7"/>
      <c r="I772" s="6"/>
      <c r="J772" s="90"/>
      <c r="K772" s="91"/>
      <c r="L772" s="92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3.5" customHeight="1">
      <c r="A773" s="3"/>
      <c r="B773" s="15"/>
      <c r="C773" s="3"/>
      <c r="D773" s="4"/>
      <c r="E773" s="6"/>
      <c r="F773" s="3"/>
      <c r="G773" s="7"/>
      <c r="H773" s="7"/>
      <c r="I773" s="6"/>
      <c r="J773" s="90"/>
      <c r="K773" s="91"/>
      <c r="L773" s="92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3.5" customHeight="1">
      <c r="A774" s="3"/>
      <c r="B774" s="15"/>
      <c r="C774" s="3"/>
      <c r="D774" s="4"/>
      <c r="E774" s="6"/>
      <c r="F774" s="3"/>
      <c r="G774" s="7"/>
      <c r="H774" s="7"/>
      <c r="I774" s="6"/>
      <c r="J774" s="90"/>
      <c r="K774" s="91"/>
      <c r="L774" s="92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3.5" customHeight="1">
      <c r="A775" s="3"/>
      <c r="B775" s="15"/>
      <c r="C775" s="3"/>
      <c r="D775" s="4"/>
      <c r="E775" s="6"/>
      <c r="F775" s="3"/>
      <c r="G775" s="7"/>
      <c r="H775" s="7"/>
      <c r="I775" s="6"/>
      <c r="J775" s="90"/>
      <c r="K775" s="91"/>
      <c r="L775" s="92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3.5" customHeight="1">
      <c r="A776" s="3"/>
      <c r="B776" s="15"/>
      <c r="C776" s="3"/>
      <c r="D776" s="4"/>
      <c r="E776" s="6"/>
      <c r="F776" s="3"/>
      <c r="G776" s="7"/>
      <c r="H776" s="7"/>
      <c r="I776" s="6"/>
      <c r="J776" s="90"/>
      <c r="K776" s="91"/>
      <c r="L776" s="92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3.5" customHeight="1">
      <c r="A777" s="3"/>
      <c r="B777" s="15"/>
      <c r="C777" s="3"/>
      <c r="D777" s="4"/>
      <c r="E777" s="6"/>
      <c r="F777" s="3"/>
      <c r="G777" s="7"/>
      <c r="H777" s="7"/>
      <c r="I777" s="6"/>
      <c r="J777" s="90"/>
      <c r="K777" s="91"/>
      <c r="L777" s="92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3.5" customHeight="1">
      <c r="A778" s="3"/>
      <c r="B778" s="15"/>
      <c r="C778" s="3"/>
      <c r="D778" s="4"/>
      <c r="E778" s="6"/>
      <c r="F778" s="3"/>
      <c r="G778" s="7"/>
      <c r="H778" s="7"/>
      <c r="I778" s="6"/>
      <c r="J778" s="90"/>
      <c r="K778" s="91"/>
      <c r="L778" s="92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3.5" customHeight="1">
      <c r="A779" s="3"/>
      <c r="B779" s="15"/>
      <c r="C779" s="3"/>
      <c r="D779" s="4"/>
      <c r="E779" s="6"/>
      <c r="F779" s="3"/>
      <c r="G779" s="7"/>
      <c r="H779" s="7"/>
      <c r="I779" s="6"/>
      <c r="J779" s="90"/>
      <c r="K779" s="91"/>
      <c r="L779" s="92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3.5" customHeight="1">
      <c r="A780" s="3"/>
      <c r="B780" s="15"/>
      <c r="C780" s="3"/>
      <c r="D780" s="4"/>
      <c r="E780" s="6"/>
      <c r="F780" s="3"/>
      <c r="G780" s="7"/>
      <c r="H780" s="7"/>
      <c r="I780" s="6"/>
      <c r="J780" s="90"/>
      <c r="K780" s="91"/>
      <c r="L780" s="92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3.5" customHeight="1">
      <c r="A781" s="3"/>
      <c r="B781" s="15"/>
      <c r="C781" s="3"/>
      <c r="D781" s="4"/>
      <c r="E781" s="6"/>
      <c r="F781" s="3"/>
      <c r="G781" s="7"/>
      <c r="H781" s="7"/>
      <c r="I781" s="6"/>
      <c r="J781" s="90"/>
      <c r="K781" s="91"/>
      <c r="L781" s="92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3.5" customHeight="1">
      <c r="A782" s="3"/>
      <c r="B782" s="15"/>
      <c r="C782" s="3"/>
      <c r="D782" s="4"/>
      <c r="E782" s="6"/>
      <c r="F782" s="3"/>
      <c r="G782" s="7"/>
      <c r="H782" s="7"/>
      <c r="I782" s="6"/>
      <c r="J782" s="90"/>
      <c r="K782" s="91"/>
      <c r="L782" s="92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3.5" customHeight="1">
      <c r="A783" s="3"/>
      <c r="B783" s="15"/>
      <c r="C783" s="3"/>
      <c r="D783" s="4"/>
      <c r="E783" s="6"/>
      <c r="F783" s="3"/>
      <c r="G783" s="7"/>
      <c r="H783" s="7"/>
      <c r="I783" s="6"/>
      <c r="J783" s="90"/>
      <c r="K783" s="91"/>
      <c r="L783" s="92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3.5" customHeight="1">
      <c r="A784" s="3"/>
      <c r="B784" s="15"/>
      <c r="C784" s="3"/>
      <c r="D784" s="4"/>
      <c r="E784" s="6"/>
      <c r="F784" s="3"/>
      <c r="G784" s="7"/>
      <c r="H784" s="7"/>
      <c r="I784" s="6"/>
      <c r="J784" s="90"/>
      <c r="K784" s="91"/>
      <c r="L784" s="92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3.5" customHeight="1">
      <c r="A785" s="3"/>
      <c r="B785" s="15"/>
      <c r="C785" s="3"/>
      <c r="D785" s="4"/>
      <c r="E785" s="6"/>
      <c r="F785" s="3"/>
      <c r="G785" s="7"/>
      <c r="H785" s="7"/>
      <c r="I785" s="6"/>
      <c r="J785" s="90"/>
      <c r="K785" s="91"/>
      <c r="L785" s="92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3.5" customHeight="1">
      <c r="A786" s="3"/>
      <c r="B786" s="15"/>
      <c r="C786" s="3"/>
      <c r="D786" s="4"/>
      <c r="E786" s="6"/>
      <c r="F786" s="3"/>
      <c r="G786" s="7"/>
      <c r="H786" s="7"/>
      <c r="I786" s="6"/>
      <c r="J786" s="90"/>
      <c r="K786" s="91"/>
      <c r="L786" s="92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3.5" customHeight="1">
      <c r="A787" s="3"/>
      <c r="B787" s="15"/>
      <c r="C787" s="3"/>
      <c r="D787" s="4"/>
      <c r="E787" s="6"/>
      <c r="F787" s="3"/>
      <c r="G787" s="7"/>
      <c r="H787" s="7"/>
      <c r="I787" s="6"/>
      <c r="J787" s="90"/>
      <c r="K787" s="91"/>
      <c r="L787" s="92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3.5" customHeight="1">
      <c r="A788" s="3"/>
      <c r="B788" s="15"/>
      <c r="C788" s="3"/>
      <c r="D788" s="4"/>
      <c r="E788" s="6"/>
      <c r="F788" s="3"/>
      <c r="G788" s="7"/>
      <c r="H788" s="7"/>
      <c r="I788" s="6"/>
      <c r="J788" s="90"/>
      <c r="K788" s="91"/>
      <c r="L788" s="92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3.5" customHeight="1">
      <c r="A789" s="3"/>
      <c r="B789" s="15"/>
      <c r="C789" s="3"/>
      <c r="D789" s="4"/>
      <c r="E789" s="6"/>
      <c r="F789" s="3"/>
      <c r="G789" s="7"/>
      <c r="H789" s="7"/>
      <c r="I789" s="6"/>
      <c r="J789" s="90"/>
      <c r="K789" s="91"/>
      <c r="L789" s="92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3.5" customHeight="1">
      <c r="A790" s="3"/>
      <c r="B790" s="15"/>
      <c r="C790" s="3"/>
      <c r="D790" s="4"/>
      <c r="E790" s="6"/>
      <c r="F790" s="3"/>
      <c r="G790" s="7"/>
      <c r="H790" s="7"/>
      <c r="I790" s="6"/>
      <c r="J790" s="90"/>
      <c r="K790" s="91"/>
      <c r="L790" s="92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3.5" customHeight="1">
      <c r="A791" s="3"/>
      <c r="B791" s="15"/>
      <c r="C791" s="3"/>
      <c r="D791" s="4"/>
      <c r="E791" s="6"/>
      <c r="F791" s="3"/>
      <c r="G791" s="7"/>
      <c r="H791" s="7"/>
      <c r="I791" s="6"/>
      <c r="J791" s="90"/>
      <c r="K791" s="91"/>
      <c r="L791" s="92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3.5" customHeight="1">
      <c r="A792" s="3"/>
      <c r="B792" s="15"/>
      <c r="C792" s="3"/>
      <c r="D792" s="4"/>
      <c r="E792" s="6"/>
      <c r="F792" s="3"/>
      <c r="G792" s="7"/>
      <c r="H792" s="7"/>
      <c r="I792" s="6"/>
      <c r="J792" s="90"/>
      <c r="K792" s="91"/>
      <c r="L792" s="92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3.5" customHeight="1">
      <c r="A793" s="3"/>
      <c r="B793" s="15"/>
      <c r="C793" s="3"/>
      <c r="D793" s="4"/>
      <c r="E793" s="6"/>
      <c r="F793" s="3"/>
      <c r="G793" s="7"/>
      <c r="H793" s="7"/>
      <c r="I793" s="6"/>
      <c r="J793" s="90"/>
      <c r="K793" s="91"/>
      <c r="L793" s="92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3.5" customHeight="1">
      <c r="A794" s="3"/>
      <c r="B794" s="15"/>
      <c r="C794" s="3"/>
      <c r="D794" s="4"/>
      <c r="E794" s="6"/>
      <c r="F794" s="3"/>
      <c r="G794" s="7"/>
      <c r="H794" s="7"/>
      <c r="I794" s="6"/>
      <c r="J794" s="90"/>
      <c r="K794" s="91"/>
      <c r="L794" s="92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3.5" customHeight="1">
      <c r="A795" s="3"/>
      <c r="B795" s="15"/>
      <c r="C795" s="3"/>
      <c r="D795" s="4"/>
      <c r="E795" s="6"/>
      <c r="F795" s="3"/>
      <c r="G795" s="7"/>
      <c r="H795" s="7"/>
      <c r="I795" s="6"/>
      <c r="J795" s="90"/>
      <c r="K795" s="91"/>
      <c r="L795" s="92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3.5" customHeight="1">
      <c r="A796" s="3"/>
      <c r="B796" s="15"/>
      <c r="C796" s="3"/>
      <c r="D796" s="4"/>
      <c r="E796" s="6"/>
      <c r="F796" s="3"/>
      <c r="G796" s="7"/>
      <c r="H796" s="7"/>
      <c r="I796" s="6"/>
      <c r="J796" s="90"/>
      <c r="K796" s="91"/>
      <c r="L796" s="92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3.5" customHeight="1">
      <c r="A797" s="3"/>
      <c r="B797" s="15"/>
      <c r="C797" s="3"/>
      <c r="D797" s="4"/>
      <c r="E797" s="6"/>
      <c r="F797" s="3"/>
      <c r="G797" s="7"/>
      <c r="H797" s="7"/>
      <c r="I797" s="6"/>
      <c r="J797" s="90"/>
      <c r="K797" s="91"/>
      <c r="L797" s="92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3.5" customHeight="1">
      <c r="A798" s="3"/>
      <c r="B798" s="15"/>
      <c r="C798" s="3"/>
      <c r="D798" s="4"/>
      <c r="E798" s="6"/>
      <c r="F798" s="3"/>
      <c r="G798" s="7"/>
      <c r="H798" s="7"/>
      <c r="I798" s="6"/>
      <c r="J798" s="90"/>
      <c r="K798" s="91"/>
      <c r="L798" s="92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3.5" customHeight="1">
      <c r="A799" s="3"/>
      <c r="B799" s="15"/>
      <c r="C799" s="3"/>
      <c r="D799" s="4"/>
      <c r="E799" s="6"/>
      <c r="F799" s="3"/>
      <c r="G799" s="7"/>
      <c r="H799" s="7"/>
      <c r="I799" s="6"/>
      <c r="J799" s="90"/>
      <c r="K799" s="91"/>
      <c r="L799" s="92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3.5" customHeight="1">
      <c r="A800" s="3"/>
      <c r="B800" s="15"/>
      <c r="C800" s="3"/>
      <c r="D800" s="4"/>
      <c r="E800" s="6"/>
      <c r="F800" s="3"/>
      <c r="G800" s="7"/>
      <c r="H800" s="7"/>
      <c r="I800" s="6"/>
      <c r="J800" s="90"/>
      <c r="K800" s="91"/>
      <c r="L800" s="92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3.5" customHeight="1">
      <c r="A801" s="3"/>
      <c r="B801" s="15"/>
      <c r="C801" s="3"/>
      <c r="D801" s="4"/>
      <c r="E801" s="6"/>
      <c r="F801" s="3"/>
      <c r="G801" s="7"/>
      <c r="H801" s="7"/>
      <c r="I801" s="6"/>
      <c r="J801" s="90"/>
      <c r="K801" s="91"/>
      <c r="L801" s="92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3.5" customHeight="1">
      <c r="A802" s="3"/>
      <c r="B802" s="15"/>
      <c r="C802" s="3"/>
      <c r="D802" s="4"/>
      <c r="E802" s="6"/>
      <c r="F802" s="3"/>
      <c r="G802" s="7"/>
      <c r="H802" s="7"/>
      <c r="I802" s="6"/>
      <c r="J802" s="90"/>
      <c r="K802" s="91"/>
      <c r="L802" s="92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3.5" customHeight="1">
      <c r="A803" s="3"/>
      <c r="B803" s="15"/>
      <c r="C803" s="3"/>
      <c r="D803" s="4"/>
      <c r="E803" s="6"/>
      <c r="F803" s="3"/>
      <c r="G803" s="7"/>
      <c r="H803" s="7"/>
      <c r="I803" s="6"/>
      <c r="J803" s="90"/>
      <c r="K803" s="91"/>
      <c r="L803" s="92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3.5" customHeight="1">
      <c r="A804" s="3"/>
      <c r="B804" s="15"/>
      <c r="C804" s="3"/>
      <c r="D804" s="4"/>
      <c r="E804" s="6"/>
      <c r="F804" s="3"/>
      <c r="G804" s="7"/>
      <c r="H804" s="7"/>
      <c r="I804" s="6"/>
      <c r="J804" s="90"/>
      <c r="K804" s="91"/>
      <c r="L804" s="92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3.5" customHeight="1">
      <c r="A805" s="3"/>
      <c r="B805" s="15"/>
      <c r="C805" s="3"/>
      <c r="D805" s="4"/>
      <c r="E805" s="6"/>
      <c r="F805" s="3"/>
      <c r="G805" s="7"/>
      <c r="H805" s="7"/>
      <c r="I805" s="6"/>
      <c r="J805" s="90"/>
      <c r="K805" s="91"/>
      <c r="L805" s="92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3.5" customHeight="1">
      <c r="A806" s="3"/>
      <c r="B806" s="15"/>
      <c r="C806" s="3"/>
      <c r="D806" s="4"/>
      <c r="E806" s="6"/>
      <c r="F806" s="3"/>
      <c r="G806" s="7"/>
      <c r="H806" s="7"/>
      <c r="I806" s="6"/>
      <c r="J806" s="90"/>
      <c r="K806" s="91"/>
      <c r="L806" s="92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3.5" customHeight="1">
      <c r="A807" s="3"/>
      <c r="B807" s="15"/>
      <c r="C807" s="3"/>
      <c r="D807" s="4"/>
      <c r="E807" s="6"/>
      <c r="F807" s="3"/>
      <c r="G807" s="7"/>
      <c r="H807" s="7"/>
      <c r="I807" s="6"/>
      <c r="J807" s="90"/>
      <c r="K807" s="91"/>
      <c r="L807" s="92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3.5" customHeight="1">
      <c r="A808" s="3"/>
      <c r="B808" s="15"/>
      <c r="C808" s="3"/>
      <c r="D808" s="4"/>
      <c r="E808" s="6"/>
      <c r="F808" s="3"/>
      <c r="G808" s="7"/>
      <c r="H808" s="7"/>
      <c r="I808" s="6"/>
      <c r="J808" s="90"/>
      <c r="K808" s="91"/>
      <c r="L808" s="92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3.5" customHeight="1">
      <c r="A809" s="3"/>
      <c r="B809" s="15"/>
      <c r="C809" s="3"/>
      <c r="D809" s="4"/>
      <c r="E809" s="6"/>
      <c r="F809" s="3"/>
      <c r="G809" s="7"/>
      <c r="H809" s="7"/>
      <c r="I809" s="6"/>
      <c r="J809" s="90"/>
      <c r="K809" s="91"/>
      <c r="L809" s="92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3.5" customHeight="1">
      <c r="A810" s="3"/>
      <c r="B810" s="15"/>
      <c r="C810" s="3"/>
      <c r="D810" s="4"/>
      <c r="E810" s="6"/>
      <c r="F810" s="3"/>
      <c r="G810" s="7"/>
      <c r="H810" s="7"/>
      <c r="I810" s="6"/>
      <c r="J810" s="90"/>
      <c r="K810" s="91"/>
      <c r="L810" s="92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3.5" customHeight="1">
      <c r="A811" s="3"/>
      <c r="B811" s="15"/>
      <c r="C811" s="3"/>
      <c r="D811" s="4"/>
      <c r="E811" s="6"/>
      <c r="F811" s="3"/>
      <c r="G811" s="7"/>
      <c r="H811" s="7"/>
      <c r="I811" s="6"/>
      <c r="J811" s="90"/>
      <c r="K811" s="91"/>
      <c r="L811" s="92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3.5" customHeight="1">
      <c r="A812" s="3"/>
      <c r="B812" s="15"/>
      <c r="C812" s="3"/>
      <c r="D812" s="4"/>
      <c r="E812" s="6"/>
      <c r="F812" s="3"/>
      <c r="G812" s="7"/>
      <c r="H812" s="7"/>
      <c r="I812" s="6"/>
      <c r="J812" s="90"/>
      <c r="K812" s="91"/>
      <c r="L812" s="92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3.5" customHeight="1">
      <c r="A813" s="3"/>
      <c r="B813" s="15"/>
      <c r="C813" s="3"/>
      <c r="D813" s="4"/>
      <c r="E813" s="6"/>
      <c r="F813" s="3"/>
      <c r="G813" s="7"/>
      <c r="H813" s="7"/>
      <c r="I813" s="6"/>
      <c r="J813" s="90"/>
      <c r="K813" s="91"/>
      <c r="L813" s="92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3.5" customHeight="1">
      <c r="A814" s="3"/>
      <c r="B814" s="15"/>
      <c r="C814" s="3"/>
      <c r="D814" s="4"/>
      <c r="E814" s="6"/>
      <c r="F814" s="3"/>
      <c r="G814" s="7"/>
      <c r="H814" s="7"/>
      <c r="I814" s="6"/>
      <c r="J814" s="90"/>
      <c r="K814" s="91"/>
      <c r="L814" s="92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3.5" customHeight="1">
      <c r="A815" s="3"/>
      <c r="B815" s="15"/>
      <c r="C815" s="3"/>
      <c r="D815" s="4"/>
      <c r="E815" s="6"/>
      <c r="F815" s="3"/>
      <c r="G815" s="7"/>
      <c r="H815" s="7"/>
      <c r="I815" s="6"/>
      <c r="J815" s="90"/>
      <c r="K815" s="91"/>
      <c r="L815" s="92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3.5" customHeight="1">
      <c r="A816" s="3"/>
      <c r="B816" s="15"/>
      <c r="C816" s="3"/>
      <c r="D816" s="4"/>
      <c r="E816" s="6"/>
      <c r="F816" s="3"/>
      <c r="G816" s="7"/>
      <c r="H816" s="7"/>
      <c r="I816" s="6"/>
      <c r="J816" s="90"/>
      <c r="K816" s="91"/>
      <c r="L816" s="92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3.5" customHeight="1">
      <c r="A817" s="3"/>
      <c r="B817" s="15"/>
      <c r="C817" s="3"/>
      <c r="D817" s="4"/>
      <c r="E817" s="6"/>
      <c r="F817" s="3"/>
      <c r="G817" s="7"/>
      <c r="H817" s="7"/>
      <c r="I817" s="6"/>
      <c r="J817" s="90"/>
      <c r="K817" s="91"/>
      <c r="L817" s="92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3.5" customHeight="1">
      <c r="A818" s="3"/>
      <c r="B818" s="15"/>
      <c r="C818" s="3"/>
      <c r="D818" s="4"/>
      <c r="E818" s="6"/>
      <c r="F818" s="3"/>
      <c r="G818" s="7"/>
      <c r="H818" s="7"/>
      <c r="I818" s="6"/>
      <c r="J818" s="90"/>
      <c r="K818" s="91"/>
      <c r="L818" s="92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3.5" customHeight="1">
      <c r="A819" s="3"/>
      <c r="B819" s="15"/>
      <c r="C819" s="3"/>
      <c r="D819" s="4"/>
      <c r="E819" s="6"/>
      <c r="F819" s="3"/>
      <c r="G819" s="7"/>
      <c r="H819" s="7"/>
      <c r="I819" s="6"/>
      <c r="J819" s="90"/>
      <c r="K819" s="91"/>
      <c r="L819" s="92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3.5" customHeight="1">
      <c r="A820" s="3"/>
      <c r="B820" s="15"/>
      <c r="C820" s="3"/>
      <c r="D820" s="4"/>
      <c r="E820" s="6"/>
      <c r="F820" s="3"/>
      <c r="G820" s="7"/>
      <c r="H820" s="7"/>
      <c r="I820" s="6"/>
      <c r="J820" s="90"/>
      <c r="K820" s="91"/>
      <c r="L820" s="92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3.5" customHeight="1">
      <c r="A821" s="3"/>
      <c r="B821" s="15"/>
      <c r="C821" s="3"/>
      <c r="D821" s="4"/>
      <c r="E821" s="6"/>
      <c r="F821" s="3"/>
      <c r="G821" s="7"/>
      <c r="H821" s="7"/>
      <c r="I821" s="6"/>
      <c r="J821" s="90"/>
      <c r="K821" s="91"/>
      <c r="L821" s="92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3.5" customHeight="1">
      <c r="A822" s="3"/>
      <c r="B822" s="15"/>
      <c r="C822" s="3"/>
      <c r="D822" s="4"/>
      <c r="E822" s="6"/>
      <c r="F822" s="3"/>
      <c r="G822" s="7"/>
      <c r="H822" s="7"/>
      <c r="I822" s="6"/>
      <c r="J822" s="90"/>
      <c r="K822" s="91"/>
      <c r="L822" s="92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3.5" customHeight="1">
      <c r="A823" s="3"/>
      <c r="B823" s="15"/>
      <c r="C823" s="3"/>
      <c r="D823" s="4"/>
      <c r="E823" s="6"/>
      <c r="F823" s="3"/>
      <c r="G823" s="7"/>
      <c r="H823" s="7"/>
      <c r="I823" s="6"/>
      <c r="J823" s="90"/>
      <c r="K823" s="91"/>
      <c r="L823" s="92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3.5" customHeight="1">
      <c r="A824" s="3"/>
      <c r="B824" s="15"/>
      <c r="C824" s="3"/>
      <c r="D824" s="4"/>
      <c r="E824" s="6"/>
      <c r="F824" s="3"/>
      <c r="G824" s="7"/>
      <c r="H824" s="7"/>
      <c r="I824" s="6"/>
      <c r="J824" s="90"/>
      <c r="K824" s="91"/>
      <c r="L824" s="92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3.5" customHeight="1">
      <c r="A825" s="3"/>
      <c r="B825" s="15"/>
      <c r="C825" s="3"/>
      <c r="D825" s="4"/>
      <c r="E825" s="6"/>
      <c r="F825" s="3"/>
      <c r="G825" s="7"/>
      <c r="H825" s="7"/>
      <c r="I825" s="6"/>
      <c r="J825" s="90"/>
      <c r="K825" s="91"/>
      <c r="L825" s="92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3.5" customHeight="1">
      <c r="A826" s="3"/>
      <c r="B826" s="15"/>
      <c r="C826" s="3"/>
      <c r="D826" s="4"/>
      <c r="E826" s="6"/>
      <c r="F826" s="3"/>
      <c r="G826" s="7"/>
      <c r="H826" s="7"/>
      <c r="I826" s="6"/>
      <c r="J826" s="90"/>
      <c r="K826" s="91"/>
      <c r="L826" s="92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3.5" customHeight="1">
      <c r="A827" s="3"/>
      <c r="B827" s="15"/>
      <c r="C827" s="3"/>
      <c r="D827" s="4"/>
      <c r="E827" s="6"/>
      <c r="F827" s="3"/>
      <c r="G827" s="7"/>
      <c r="H827" s="7"/>
      <c r="I827" s="6"/>
      <c r="J827" s="90"/>
      <c r="K827" s="91"/>
      <c r="L827" s="92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3.5" customHeight="1">
      <c r="A828" s="3"/>
      <c r="B828" s="15"/>
      <c r="C828" s="3"/>
      <c r="D828" s="4"/>
      <c r="E828" s="6"/>
      <c r="F828" s="3"/>
      <c r="G828" s="7"/>
      <c r="H828" s="7"/>
      <c r="I828" s="6"/>
      <c r="J828" s="90"/>
      <c r="K828" s="91"/>
      <c r="L828" s="92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3.5" customHeight="1">
      <c r="A829" s="3"/>
      <c r="B829" s="15"/>
      <c r="C829" s="3"/>
      <c r="D829" s="4"/>
      <c r="E829" s="6"/>
      <c r="F829" s="3"/>
      <c r="G829" s="7"/>
      <c r="H829" s="7"/>
      <c r="I829" s="6"/>
      <c r="J829" s="90"/>
      <c r="K829" s="91"/>
      <c r="L829" s="92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3.5" customHeight="1">
      <c r="A830" s="3"/>
      <c r="B830" s="15"/>
      <c r="C830" s="3"/>
      <c r="D830" s="4"/>
      <c r="E830" s="6"/>
      <c r="F830" s="3"/>
      <c r="G830" s="7"/>
      <c r="H830" s="7"/>
      <c r="I830" s="6"/>
      <c r="J830" s="90"/>
      <c r="K830" s="91"/>
      <c r="L830" s="92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3.5" customHeight="1">
      <c r="A831" s="3"/>
      <c r="B831" s="15"/>
      <c r="C831" s="3"/>
      <c r="D831" s="4"/>
      <c r="E831" s="6"/>
      <c r="F831" s="3"/>
      <c r="G831" s="7"/>
      <c r="H831" s="7"/>
      <c r="I831" s="6"/>
      <c r="J831" s="90"/>
      <c r="K831" s="91"/>
      <c r="L831" s="92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3.5" customHeight="1">
      <c r="A832" s="3"/>
      <c r="B832" s="15"/>
      <c r="C832" s="3"/>
      <c r="D832" s="4"/>
      <c r="E832" s="6"/>
      <c r="F832" s="3"/>
      <c r="G832" s="7"/>
      <c r="H832" s="7"/>
      <c r="I832" s="6"/>
      <c r="J832" s="90"/>
      <c r="K832" s="91"/>
      <c r="L832" s="92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3.5" customHeight="1">
      <c r="A833" s="3"/>
      <c r="B833" s="15"/>
      <c r="C833" s="3"/>
      <c r="D833" s="4"/>
      <c r="E833" s="6"/>
      <c r="F833" s="3"/>
      <c r="G833" s="7"/>
      <c r="H833" s="7"/>
      <c r="I833" s="6"/>
      <c r="J833" s="90"/>
      <c r="K833" s="91"/>
      <c r="L833" s="92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3.5" customHeight="1">
      <c r="A834" s="3"/>
      <c r="B834" s="15"/>
      <c r="C834" s="3"/>
      <c r="D834" s="4"/>
      <c r="E834" s="6"/>
      <c r="F834" s="3"/>
      <c r="G834" s="7"/>
      <c r="H834" s="7"/>
      <c r="I834" s="6"/>
      <c r="J834" s="90"/>
      <c r="K834" s="91"/>
      <c r="L834" s="92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3.5" customHeight="1">
      <c r="A835" s="3"/>
      <c r="B835" s="15"/>
      <c r="C835" s="3"/>
      <c r="D835" s="4"/>
      <c r="E835" s="6"/>
      <c r="F835" s="3"/>
      <c r="G835" s="7"/>
      <c r="H835" s="7"/>
      <c r="I835" s="6"/>
      <c r="J835" s="90"/>
      <c r="K835" s="91"/>
      <c r="L835" s="92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3.5" customHeight="1">
      <c r="A836" s="3"/>
      <c r="B836" s="15"/>
      <c r="C836" s="3"/>
      <c r="D836" s="4"/>
      <c r="E836" s="6"/>
      <c r="F836" s="3"/>
      <c r="G836" s="7"/>
      <c r="H836" s="7"/>
      <c r="I836" s="6"/>
      <c r="J836" s="90"/>
      <c r="K836" s="91"/>
      <c r="L836" s="92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3.5" customHeight="1">
      <c r="A837" s="3"/>
      <c r="B837" s="15"/>
      <c r="C837" s="3"/>
      <c r="D837" s="4"/>
      <c r="E837" s="6"/>
      <c r="F837" s="3"/>
      <c r="G837" s="7"/>
      <c r="H837" s="7"/>
      <c r="I837" s="6"/>
      <c r="J837" s="90"/>
      <c r="K837" s="91"/>
      <c r="L837" s="92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3.5" customHeight="1">
      <c r="A838" s="3"/>
      <c r="B838" s="15"/>
      <c r="C838" s="3"/>
      <c r="D838" s="4"/>
      <c r="E838" s="6"/>
      <c r="F838" s="3"/>
      <c r="G838" s="7"/>
      <c r="H838" s="7"/>
      <c r="I838" s="6"/>
      <c r="J838" s="90"/>
      <c r="K838" s="91"/>
      <c r="L838" s="92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3.5" customHeight="1">
      <c r="A839" s="3"/>
      <c r="B839" s="15"/>
      <c r="C839" s="3"/>
      <c r="D839" s="4"/>
      <c r="E839" s="6"/>
      <c r="F839" s="3"/>
      <c r="G839" s="7"/>
      <c r="H839" s="7"/>
      <c r="I839" s="6"/>
      <c r="J839" s="90"/>
      <c r="K839" s="91"/>
      <c r="L839" s="92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3.5" customHeight="1">
      <c r="A840" s="3"/>
      <c r="B840" s="15"/>
      <c r="C840" s="3"/>
      <c r="D840" s="4"/>
      <c r="E840" s="6"/>
      <c r="F840" s="3"/>
      <c r="G840" s="7"/>
      <c r="H840" s="7"/>
      <c r="I840" s="6"/>
      <c r="J840" s="90"/>
      <c r="K840" s="91"/>
      <c r="L840" s="92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3.5" customHeight="1">
      <c r="A841" s="3"/>
      <c r="B841" s="15"/>
      <c r="C841" s="3"/>
      <c r="D841" s="4"/>
      <c r="E841" s="6"/>
      <c r="F841" s="3"/>
      <c r="G841" s="7"/>
      <c r="H841" s="7"/>
      <c r="I841" s="6"/>
      <c r="J841" s="90"/>
      <c r="K841" s="91"/>
      <c r="L841" s="92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3.5" customHeight="1">
      <c r="A842" s="3"/>
      <c r="B842" s="15"/>
      <c r="C842" s="3"/>
      <c r="D842" s="4"/>
      <c r="E842" s="6"/>
      <c r="F842" s="3"/>
      <c r="G842" s="7"/>
      <c r="H842" s="7"/>
      <c r="I842" s="6"/>
      <c r="J842" s="90"/>
      <c r="K842" s="91"/>
      <c r="L842" s="92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3.5" customHeight="1">
      <c r="A843" s="3"/>
      <c r="B843" s="15"/>
      <c r="C843" s="3"/>
      <c r="D843" s="4"/>
      <c r="E843" s="6"/>
      <c r="F843" s="3"/>
      <c r="G843" s="7"/>
      <c r="H843" s="7"/>
      <c r="I843" s="6"/>
      <c r="J843" s="90"/>
      <c r="K843" s="91"/>
      <c r="L843" s="92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3.5" customHeight="1">
      <c r="A844" s="3"/>
      <c r="B844" s="15"/>
      <c r="C844" s="3"/>
      <c r="D844" s="4"/>
      <c r="E844" s="6"/>
      <c r="F844" s="3"/>
      <c r="G844" s="7"/>
      <c r="H844" s="7"/>
      <c r="I844" s="6"/>
      <c r="J844" s="90"/>
      <c r="K844" s="91"/>
      <c r="L844" s="92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3.5" customHeight="1">
      <c r="A845" s="3"/>
      <c r="B845" s="15"/>
      <c r="C845" s="3"/>
      <c r="D845" s="4"/>
      <c r="E845" s="6"/>
      <c r="F845" s="3"/>
      <c r="G845" s="7"/>
      <c r="H845" s="7"/>
      <c r="I845" s="6"/>
      <c r="J845" s="90"/>
      <c r="K845" s="91"/>
      <c r="L845" s="92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3.5" customHeight="1">
      <c r="A846" s="3"/>
      <c r="B846" s="15"/>
      <c r="C846" s="3"/>
      <c r="D846" s="4"/>
      <c r="E846" s="6"/>
      <c r="F846" s="3"/>
      <c r="G846" s="7"/>
      <c r="H846" s="7"/>
      <c r="I846" s="6"/>
      <c r="J846" s="90"/>
      <c r="K846" s="91"/>
      <c r="L846" s="92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3.5" customHeight="1">
      <c r="A847" s="3"/>
      <c r="B847" s="15"/>
      <c r="C847" s="3"/>
      <c r="D847" s="4"/>
      <c r="E847" s="6"/>
      <c r="F847" s="3"/>
      <c r="G847" s="7"/>
      <c r="H847" s="7"/>
      <c r="I847" s="6"/>
      <c r="J847" s="90"/>
      <c r="K847" s="91"/>
      <c r="L847" s="92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3.5" customHeight="1">
      <c r="A848" s="3"/>
      <c r="B848" s="15"/>
      <c r="C848" s="3"/>
      <c r="D848" s="4"/>
      <c r="E848" s="6"/>
      <c r="F848" s="3"/>
      <c r="G848" s="7"/>
      <c r="H848" s="7"/>
      <c r="I848" s="6"/>
      <c r="J848" s="90"/>
      <c r="K848" s="91"/>
      <c r="L848" s="92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3.5" customHeight="1">
      <c r="A849" s="3"/>
      <c r="B849" s="15"/>
      <c r="C849" s="3"/>
      <c r="D849" s="4"/>
      <c r="E849" s="6"/>
      <c r="F849" s="3"/>
      <c r="G849" s="7"/>
      <c r="H849" s="7"/>
      <c r="I849" s="6"/>
      <c r="J849" s="90"/>
      <c r="K849" s="91"/>
      <c r="L849" s="92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3.5" customHeight="1">
      <c r="A850" s="3"/>
      <c r="B850" s="15"/>
      <c r="C850" s="3"/>
      <c r="D850" s="4"/>
      <c r="E850" s="6"/>
      <c r="F850" s="3"/>
      <c r="G850" s="7"/>
      <c r="H850" s="7"/>
      <c r="I850" s="6"/>
      <c r="J850" s="90"/>
      <c r="K850" s="91"/>
      <c r="L850" s="92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3.5" customHeight="1">
      <c r="A851" s="3"/>
      <c r="B851" s="15"/>
      <c r="C851" s="3"/>
      <c r="D851" s="4"/>
      <c r="E851" s="6"/>
      <c r="F851" s="3"/>
      <c r="G851" s="7"/>
      <c r="H851" s="7"/>
      <c r="I851" s="6"/>
      <c r="J851" s="90"/>
      <c r="K851" s="91"/>
      <c r="L851" s="92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3.5" customHeight="1">
      <c r="A852" s="3"/>
      <c r="B852" s="15"/>
      <c r="C852" s="3"/>
      <c r="D852" s="4"/>
      <c r="E852" s="6"/>
      <c r="F852" s="3"/>
      <c r="G852" s="7"/>
      <c r="H852" s="7"/>
      <c r="I852" s="6"/>
      <c r="J852" s="90"/>
      <c r="K852" s="91"/>
      <c r="L852" s="92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3.5" customHeight="1">
      <c r="A853" s="3"/>
      <c r="B853" s="15"/>
      <c r="C853" s="3"/>
      <c r="D853" s="4"/>
      <c r="E853" s="6"/>
      <c r="F853" s="3"/>
      <c r="G853" s="7"/>
      <c r="H853" s="7"/>
      <c r="I853" s="6"/>
      <c r="J853" s="90"/>
      <c r="K853" s="91"/>
      <c r="L853" s="92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3.5" customHeight="1">
      <c r="A854" s="3"/>
      <c r="B854" s="15"/>
      <c r="C854" s="3"/>
      <c r="D854" s="4"/>
      <c r="E854" s="6"/>
      <c r="F854" s="3"/>
      <c r="G854" s="7"/>
      <c r="H854" s="7"/>
      <c r="I854" s="6"/>
      <c r="J854" s="90"/>
      <c r="K854" s="91"/>
      <c r="L854" s="92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3.5" customHeight="1">
      <c r="A855" s="3"/>
      <c r="B855" s="15"/>
      <c r="C855" s="3"/>
      <c r="D855" s="4"/>
      <c r="E855" s="6"/>
      <c r="F855" s="3"/>
      <c r="G855" s="7"/>
      <c r="H855" s="7"/>
      <c r="I855" s="6"/>
      <c r="J855" s="90"/>
      <c r="K855" s="91"/>
      <c r="L855" s="92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3.5" customHeight="1">
      <c r="A856" s="3"/>
      <c r="B856" s="15"/>
      <c r="C856" s="3"/>
      <c r="D856" s="4"/>
      <c r="E856" s="6"/>
      <c r="F856" s="3"/>
      <c r="G856" s="7"/>
      <c r="H856" s="7"/>
      <c r="I856" s="6"/>
      <c r="J856" s="90"/>
      <c r="K856" s="91"/>
      <c r="L856" s="92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3.5" customHeight="1">
      <c r="A857" s="3"/>
      <c r="B857" s="15"/>
      <c r="C857" s="3"/>
      <c r="D857" s="4"/>
      <c r="E857" s="6"/>
      <c r="F857" s="3"/>
      <c r="G857" s="7"/>
      <c r="H857" s="7"/>
      <c r="I857" s="6"/>
      <c r="J857" s="90"/>
      <c r="K857" s="91"/>
      <c r="L857" s="92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3.5" customHeight="1">
      <c r="A858" s="3"/>
      <c r="B858" s="15"/>
      <c r="C858" s="3"/>
      <c r="D858" s="4"/>
      <c r="E858" s="6"/>
      <c r="F858" s="3"/>
      <c r="G858" s="7"/>
      <c r="H858" s="7"/>
      <c r="I858" s="6"/>
      <c r="J858" s="90"/>
      <c r="K858" s="91"/>
      <c r="L858" s="92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3.5" customHeight="1">
      <c r="A859" s="3"/>
      <c r="B859" s="15"/>
      <c r="C859" s="3"/>
      <c r="D859" s="4"/>
      <c r="E859" s="6"/>
      <c r="F859" s="3"/>
      <c r="G859" s="7"/>
      <c r="H859" s="7"/>
      <c r="I859" s="6"/>
      <c r="J859" s="90"/>
      <c r="K859" s="91"/>
      <c r="L859" s="92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3.5" customHeight="1">
      <c r="A860" s="3"/>
      <c r="B860" s="15"/>
      <c r="C860" s="3"/>
      <c r="D860" s="4"/>
      <c r="E860" s="6"/>
      <c r="F860" s="3"/>
      <c r="G860" s="7"/>
      <c r="H860" s="7"/>
      <c r="I860" s="6"/>
      <c r="J860" s="90"/>
      <c r="K860" s="91"/>
      <c r="L860" s="92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3.5" customHeight="1">
      <c r="A861" s="3"/>
      <c r="B861" s="15"/>
      <c r="C861" s="3"/>
      <c r="D861" s="4"/>
      <c r="E861" s="6"/>
      <c r="F861" s="3"/>
      <c r="G861" s="7"/>
      <c r="H861" s="7"/>
      <c r="I861" s="6"/>
      <c r="J861" s="90"/>
      <c r="K861" s="91"/>
      <c r="L861" s="92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3.5" customHeight="1">
      <c r="A862" s="3"/>
      <c r="B862" s="15"/>
      <c r="C862" s="3"/>
      <c r="D862" s="4"/>
      <c r="E862" s="6"/>
      <c r="F862" s="3"/>
      <c r="G862" s="7"/>
      <c r="H862" s="7"/>
      <c r="I862" s="6"/>
      <c r="J862" s="90"/>
      <c r="K862" s="91"/>
      <c r="L862" s="92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3.5" customHeight="1">
      <c r="A863" s="3"/>
      <c r="B863" s="15"/>
      <c r="C863" s="3"/>
      <c r="D863" s="4"/>
      <c r="E863" s="6"/>
      <c r="F863" s="3"/>
      <c r="G863" s="7"/>
      <c r="H863" s="7"/>
      <c r="I863" s="6"/>
      <c r="J863" s="90"/>
      <c r="K863" s="91"/>
      <c r="L863" s="92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3.5" customHeight="1">
      <c r="A864" s="3"/>
      <c r="B864" s="15"/>
      <c r="C864" s="3"/>
      <c r="D864" s="4"/>
      <c r="E864" s="6"/>
      <c r="F864" s="3"/>
      <c r="G864" s="7"/>
      <c r="H864" s="7"/>
      <c r="I864" s="6"/>
      <c r="J864" s="90"/>
      <c r="K864" s="91"/>
      <c r="L864" s="92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3.5" customHeight="1">
      <c r="A865" s="3"/>
      <c r="B865" s="15"/>
      <c r="C865" s="3"/>
      <c r="D865" s="4"/>
      <c r="E865" s="6"/>
      <c r="F865" s="3"/>
      <c r="G865" s="7"/>
      <c r="H865" s="7"/>
      <c r="I865" s="6"/>
      <c r="J865" s="90"/>
      <c r="K865" s="91"/>
      <c r="L865" s="92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3.5" customHeight="1">
      <c r="A866" s="3"/>
      <c r="B866" s="15"/>
      <c r="C866" s="3"/>
      <c r="D866" s="4"/>
      <c r="E866" s="6"/>
      <c r="F866" s="3"/>
      <c r="G866" s="7"/>
      <c r="H866" s="7"/>
      <c r="I866" s="6"/>
      <c r="J866" s="90"/>
      <c r="K866" s="91"/>
      <c r="L866" s="92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3.5" customHeight="1">
      <c r="A867" s="3"/>
      <c r="B867" s="15"/>
      <c r="C867" s="3"/>
      <c r="D867" s="4"/>
      <c r="E867" s="6"/>
      <c r="F867" s="3"/>
      <c r="G867" s="7"/>
      <c r="H867" s="7"/>
      <c r="I867" s="6"/>
      <c r="J867" s="90"/>
      <c r="K867" s="91"/>
      <c r="L867" s="92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3.5" customHeight="1">
      <c r="A868" s="3"/>
      <c r="B868" s="15"/>
      <c r="C868" s="3"/>
      <c r="D868" s="4"/>
      <c r="E868" s="6"/>
      <c r="F868" s="3"/>
      <c r="G868" s="7"/>
      <c r="H868" s="7"/>
      <c r="I868" s="6"/>
      <c r="J868" s="90"/>
      <c r="K868" s="91"/>
      <c r="L868" s="92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3.5" customHeight="1">
      <c r="A869" s="3"/>
      <c r="B869" s="15"/>
      <c r="C869" s="3"/>
      <c r="D869" s="4"/>
      <c r="E869" s="6"/>
      <c r="F869" s="3"/>
      <c r="G869" s="7"/>
      <c r="H869" s="7"/>
      <c r="I869" s="6"/>
      <c r="J869" s="90"/>
      <c r="K869" s="91"/>
      <c r="L869" s="92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3.5" customHeight="1">
      <c r="A870" s="3"/>
      <c r="B870" s="15"/>
      <c r="C870" s="3"/>
      <c r="D870" s="4"/>
      <c r="E870" s="6"/>
      <c r="F870" s="3"/>
      <c r="G870" s="7"/>
      <c r="H870" s="7"/>
      <c r="I870" s="6"/>
      <c r="J870" s="90"/>
      <c r="K870" s="91"/>
      <c r="L870" s="92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3.5" customHeight="1">
      <c r="A871" s="3"/>
      <c r="B871" s="15"/>
      <c r="C871" s="3"/>
      <c r="D871" s="4"/>
      <c r="E871" s="6"/>
      <c r="F871" s="3"/>
      <c r="G871" s="7"/>
      <c r="H871" s="7"/>
      <c r="I871" s="6"/>
      <c r="J871" s="90"/>
      <c r="K871" s="91"/>
      <c r="L871" s="92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3.5" customHeight="1">
      <c r="A872" s="3"/>
      <c r="B872" s="15"/>
      <c r="C872" s="3"/>
      <c r="D872" s="4"/>
      <c r="E872" s="6"/>
      <c r="F872" s="3"/>
      <c r="G872" s="7"/>
      <c r="H872" s="7"/>
      <c r="I872" s="6"/>
      <c r="J872" s="90"/>
      <c r="K872" s="91"/>
      <c r="L872" s="92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3.5" customHeight="1">
      <c r="A873" s="3"/>
      <c r="B873" s="15"/>
      <c r="C873" s="3"/>
      <c r="D873" s="4"/>
      <c r="E873" s="6"/>
      <c r="F873" s="3"/>
      <c r="G873" s="7"/>
      <c r="H873" s="7"/>
      <c r="I873" s="6"/>
      <c r="J873" s="90"/>
      <c r="K873" s="91"/>
      <c r="L873" s="92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3.5" customHeight="1">
      <c r="A874" s="3"/>
      <c r="B874" s="15"/>
      <c r="C874" s="3"/>
      <c r="D874" s="4"/>
      <c r="E874" s="6"/>
      <c r="F874" s="3"/>
      <c r="G874" s="7"/>
      <c r="H874" s="7"/>
      <c r="I874" s="6"/>
      <c r="J874" s="90"/>
      <c r="K874" s="91"/>
      <c r="L874" s="92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3.5" customHeight="1">
      <c r="A875" s="3"/>
      <c r="B875" s="15"/>
      <c r="C875" s="3"/>
      <c r="D875" s="4"/>
      <c r="E875" s="6"/>
      <c r="F875" s="3"/>
      <c r="G875" s="7"/>
      <c r="H875" s="7"/>
      <c r="I875" s="6"/>
      <c r="J875" s="90"/>
      <c r="K875" s="91"/>
      <c r="L875" s="92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3.5" customHeight="1">
      <c r="A876" s="3"/>
      <c r="B876" s="15"/>
      <c r="C876" s="3"/>
      <c r="D876" s="4"/>
      <c r="E876" s="6"/>
      <c r="F876" s="3"/>
      <c r="G876" s="7"/>
      <c r="H876" s="7"/>
      <c r="I876" s="6"/>
      <c r="J876" s="90"/>
      <c r="K876" s="91"/>
      <c r="L876" s="92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3.5" customHeight="1">
      <c r="A877" s="3"/>
      <c r="B877" s="15"/>
      <c r="C877" s="3"/>
      <c r="D877" s="4"/>
      <c r="E877" s="6"/>
      <c r="F877" s="3"/>
      <c r="G877" s="7"/>
      <c r="H877" s="7"/>
      <c r="I877" s="6"/>
      <c r="J877" s="90"/>
      <c r="K877" s="91"/>
      <c r="L877" s="92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3.5" customHeight="1">
      <c r="A878" s="3"/>
      <c r="B878" s="15"/>
      <c r="C878" s="3"/>
      <c r="D878" s="4"/>
      <c r="E878" s="6"/>
      <c r="F878" s="3"/>
      <c r="G878" s="7"/>
      <c r="H878" s="7"/>
      <c r="I878" s="6"/>
      <c r="J878" s="90"/>
      <c r="K878" s="91"/>
      <c r="L878" s="92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3.5" customHeight="1">
      <c r="A879" s="3"/>
      <c r="B879" s="15"/>
      <c r="C879" s="3"/>
      <c r="D879" s="4"/>
      <c r="E879" s="6"/>
      <c r="F879" s="3"/>
      <c r="G879" s="7"/>
      <c r="H879" s="7"/>
      <c r="I879" s="6"/>
      <c r="J879" s="90"/>
      <c r="K879" s="91"/>
      <c r="L879" s="92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3.5" customHeight="1">
      <c r="A880" s="3"/>
      <c r="B880" s="15"/>
      <c r="C880" s="3"/>
      <c r="D880" s="4"/>
      <c r="E880" s="6"/>
      <c r="F880" s="3"/>
      <c r="G880" s="7"/>
      <c r="H880" s="7"/>
      <c r="I880" s="6"/>
      <c r="J880" s="90"/>
      <c r="K880" s="91"/>
      <c r="L880" s="92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3.5" customHeight="1">
      <c r="A881" s="3"/>
      <c r="B881" s="15"/>
      <c r="C881" s="3"/>
      <c r="D881" s="4"/>
      <c r="E881" s="6"/>
      <c r="F881" s="3"/>
      <c r="G881" s="7"/>
      <c r="H881" s="7"/>
      <c r="I881" s="6"/>
      <c r="J881" s="90"/>
      <c r="K881" s="91"/>
      <c r="L881" s="92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3.5" customHeight="1">
      <c r="A882" s="3"/>
      <c r="B882" s="15"/>
      <c r="C882" s="3"/>
      <c r="D882" s="4"/>
      <c r="E882" s="6"/>
      <c r="F882" s="3"/>
      <c r="G882" s="7"/>
      <c r="H882" s="7"/>
      <c r="I882" s="6"/>
      <c r="J882" s="90"/>
      <c r="K882" s="91"/>
      <c r="L882" s="92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3.5" customHeight="1">
      <c r="A883" s="3"/>
      <c r="B883" s="15"/>
      <c r="C883" s="3"/>
      <c r="D883" s="4"/>
      <c r="E883" s="6"/>
      <c r="F883" s="3"/>
      <c r="G883" s="7"/>
      <c r="H883" s="7"/>
      <c r="I883" s="6"/>
      <c r="J883" s="90"/>
      <c r="K883" s="91"/>
      <c r="L883" s="92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3.5" customHeight="1">
      <c r="A884" s="3"/>
      <c r="B884" s="15"/>
      <c r="C884" s="3"/>
      <c r="D884" s="4"/>
      <c r="E884" s="6"/>
      <c r="F884" s="3"/>
      <c r="G884" s="7"/>
      <c r="H884" s="7"/>
      <c r="I884" s="6"/>
      <c r="J884" s="90"/>
      <c r="K884" s="91"/>
      <c r="L884" s="92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3.5" customHeight="1">
      <c r="A885" s="3"/>
      <c r="B885" s="15"/>
      <c r="C885" s="3"/>
      <c r="D885" s="4"/>
      <c r="E885" s="6"/>
      <c r="F885" s="3"/>
      <c r="G885" s="7"/>
      <c r="H885" s="7"/>
      <c r="I885" s="6"/>
      <c r="J885" s="90"/>
      <c r="K885" s="91"/>
      <c r="L885" s="92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3.5" customHeight="1">
      <c r="A886" s="3"/>
      <c r="B886" s="15"/>
      <c r="C886" s="3"/>
      <c r="D886" s="4"/>
      <c r="E886" s="6"/>
      <c r="F886" s="3"/>
      <c r="G886" s="7"/>
      <c r="H886" s="7"/>
      <c r="I886" s="6"/>
      <c r="J886" s="90"/>
      <c r="K886" s="91"/>
      <c r="L886" s="92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3.5" customHeight="1">
      <c r="A887" s="3"/>
      <c r="B887" s="15"/>
      <c r="C887" s="3"/>
      <c r="D887" s="4"/>
      <c r="E887" s="6"/>
      <c r="F887" s="3"/>
      <c r="G887" s="7"/>
      <c r="H887" s="7"/>
      <c r="I887" s="6"/>
      <c r="J887" s="90"/>
      <c r="K887" s="91"/>
      <c r="L887" s="92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3.5" customHeight="1">
      <c r="A888" s="3"/>
      <c r="B888" s="15"/>
      <c r="C888" s="3"/>
      <c r="D888" s="4"/>
      <c r="E888" s="6"/>
      <c r="F888" s="3"/>
      <c r="G888" s="7"/>
      <c r="H888" s="7"/>
      <c r="I888" s="6"/>
      <c r="J888" s="90"/>
      <c r="K888" s="91"/>
      <c r="L888" s="92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3.5" customHeight="1">
      <c r="A889" s="3"/>
      <c r="B889" s="15"/>
      <c r="C889" s="3"/>
      <c r="D889" s="4"/>
      <c r="E889" s="6"/>
      <c r="F889" s="3"/>
      <c r="G889" s="7"/>
      <c r="H889" s="7"/>
      <c r="I889" s="6"/>
      <c r="J889" s="90"/>
      <c r="K889" s="91"/>
      <c r="L889" s="92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3.5" customHeight="1">
      <c r="A890" s="3"/>
      <c r="B890" s="15"/>
      <c r="C890" s="3"/>
      <c r="D890" s="4"/>
      <c r="E890" s="6"/>
      <c r="F890" s="3"/>
      <c r="G890" s="7"/>
      <c r="H890" s="7"/>
      <c r="I890" s="6"/>
      <c r="J890" s="90"/>
      <c r="K890" s="91"/>
      <c r="L890" s="92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3.5" customHeight="1">
      <c r="A891" s="3"/>
      <c r="B891" s="15"/>
      <c r="C891" s="3"/>
      <c r="D891" s="4"/>
      <c r="E891" s="6"/>
      <c r="F891" s="3"/>
      <c r="G891" s="7"/>
      <c r="H891" s="7"/>
      <c r="I891" s="6"/>
      <c r="J891" s="90"/>
      <c r="K891" s="91"/>
      <c r="L891" s="92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3.5" customHeight="1">
      <c r="A892" s="3"/>
      <c r="B892" s="15"/>
      <c r="C892" s="3"/>
      <c r="D892" s="4"/>
      <c r="E892" s="6"/>
      <c r="F892" s="3"/>
      <c r="G892" s="7"/>
      <c r="H892" s="7"/>
      <c r="I892" s="6"/>
      <c r="J892" s="90"/>
      <c r="K892" s="91"/>
      <c r="L892" s="92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3.5" customHeight="1">
      <c r="A893" s="3"/>
      <c r="B893" s="15"/>
      <c r="C893" s="3"/>
      <c r="D893" s="4"/>
      <c r="E893" s="6"/>
      <c r="F893" s="3"/>
      <c r="G893" s="7"/>
      <c r="H893" s="7"/>
      <c r="I893" s="6"/>
      <c r="J893" s="90"/>
      <c r="K893" s="91"/>
      <c r="L893" s="92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3.5" customHeight="1">
      <c r="A894" s="3"/>
      <c r="B894" s="15"/>
      <c r="C894" s="3"/>
      <c r="D894" s="4"/>
      <c r="E894" s="6"/>
      <c r="F894" s="3"/>
      <c r="G894" s="7"/>
      <c r="H894" s="7"/>
      <c r="I894" s="6"/>
      <c r="J894" s="90"/>
      <c r="K894" s="91"/>
      <c r="L894" s="92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3.5" customHeight="1">
      <c r="A895" s="3"/>
      <c r="B895" s="15"/>
      <c r="C895" s="3"/>
      <c r="D895" s="4"/>
      <c r="E895" s="6"/>
      <c r="F895" s="3"/>
      <c r="G895" s="7"/>
      <c r="H895" s="7"/>
      <c r="I895" s="6"/>
      <c r="J895" s="90"/>
      <c r="K895" s="91"/>
      <c r="L895" s="92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3.5" customHeight="1">
      <c r="A896" s="3"/>
      <c r="B896" s="15"/>
      <c r="C896" s="3"/>
      <c r="D896" s="4"/>
      <c r="E896" s="6"/>
      <c r="F896" s="3"/>
      <c r="G896" s="7"/>
      <c r="H896" s="7"/>
      <c r="I896" s="6"/>
      <c r="J896" s="90"/>
      <c r="K896" s="91"/>
      <c r="L896" s="92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3.5" customHeight="1">
      <c r="A897" s="3"/>
      <c r="B897" s="15"/>
      <c r="C897" s="3"/>
      <c r="D897" s="4"/>
      <c r="E897" s="6"/>
      <c r="F897" s="3"/>
      <c r="G897" s="7"/>
      <c r="H897" s="7"/>
      <c r="I897" s="6"/>
      <c r="J897" s="90"/>
      <c r="K897" s="91"/>
      <c r="L897" s="92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3.5" customHeight="1">
      <c r="A898" s="3"/>
      <c r="B898" s="15"/>
      <c r="C898" s="3"/>
      <c r="D898" s="4"/>
      <c r="E898" s="6"/>
      <c r="F898" s="3"/>
      <c r="G898" s="7"/>
      <c r="H898" s="7"/>
      <c r="I898" s="6"/>
      <c r="J898" s="90"/>
      <c r="K898" s="91"/>
      <c r="L898" s="92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3.5" customHeight="1">
      <c r="A899" s="3"/>
      <c r="B899" s="15"/>
      <c r="C899" s="3"/>
      <c r="D899" s="4"/>
      <c r="E899" s="6"/>
      <c r="F899" s="3"/>
      <c r="G899" s="7"/>
      <c r="H899" s="7"/>
      <c r="I899" s="6"/>
      <c r="J899" s="90"/>
      <c r="K899" s="91"/>
      <c r="L899" s="92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3.5" customHeight="1">
      <c r="A900" s="3"/>
      <c r="B900" s="15"/>
      <c r="C900" s="3"/>
      <c r="D900" s="4"/>
      <c r="E900" s="6"/>
      <c r="F900" s="3"/>
      <c r="G900" s="7"/>
      <c r="H900" s="7"/>
      <c r="I900" s="6"/>
      <c r="J900" s="90"/>
      <c r="K900" s="91"/>
      <c r="L900" s="92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3.5" customHeight="1">
      <c r="A901" s="3"/>
      <c r="B901" s="15"/>
      <c r="C901" s="3"/>
      <c r="D901" s="4"/>
      <c r="E901" s="6"/>
      <c r="F901" s="3"/>
      <c r="G901" s="7"/>
      <c r="H901" s="7"/>
      <c r="I901" s="6"/>
      <c r="J901" s="90"/>
      <c r="K901" s="91"/>
      <c r="L901" s="92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3.5" customHeight="1">
      <c r="A902" s="3"/>
      <c r="B902" s="15"/>
      <c r="C902" s="3"/>
      <c r="D902" s="4"/>
      <c r="E902" s="6"/>
      <c r="F902" s="3"/>
      <c r="G902" s="7"/>
      <c r="H902" s="7"/>
      <c r="I902" s="6"/>
      <c r="J902" s="90"/>
      <c r="K902" s="91"/>
      <c r="L902" s="92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3.5" customHeight="1">
      <c r="A903" s="3"/>
      <c r="B903" s="15"/>
      <c r="C903" s="3"/>
      <c r="D903" s="4"/>
      <c r="E903" s="6"/>
      <c r="F903" s="3"/>
      <c r="G903" s="7"/>
      <c r="H903" s="7"/>
      <c r="I903" s="6"/>
      <c r="J903" s="90"/>
      <c r="K903" s="91"/>
      <c r="L903" s="92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3.5" customHeight="1">
      <c r="A904" s="3"/>
      <c r="B904" s="15"/>
      <c r="C904" s="3"/>
      <c r="D904" s="4"/>
      <c r="E904" s="6"/>
      <c r="F904" s="3"/>
      <c r="G904" s="7"/>
      <c r="H904" s="7"/>
      <c r="I904" s="6"/>
      <c r="J904" s="90"/>
      <c r="K904" s="91"/>
      <c r="L904" s="92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3.5" customHeight="1">
      <c r="A905" s="3"/>
      <c r="B905" s="15"/>
      <c r="C905" s="3"/>
      <c r="D905" s="4"/>
      <c r="E905" s="6"/>
      <c r="F905" s="3"/>
      <c r="G905" s="7"/>
      <c r="H905" s="7"/>
      <c r="I905" s="6"/>
      <c r="J905" s="90"/>
      <c r="K905" s="91"/>
      <c r="L905" s="92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3.5" customHeight="1">
      <c r="A906" s="3"/>
      <c r="B906" s="15"/>
      <c r="C906" s="3"/>
      <c r="D906" s="4"/>
      <c r="E906" s="6"/>
      <c r="F906" s="3"/>
      <c r="G906" s="7"/>
      <c r="H906" s="7"/>
      <c r="I906" s="6"/>
      <c r="J906" s="90"/>
      <c r="K906" s="91"/>
      <c r="L906" s="92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3.5" customHeight="1">
      <c r="A907" s="3"/>
      <c r="B907" s="15"/>
      <c r="C907" s="3"/>
      <c r="D907" s="4"/>
      <c r="E907" s="6"/>
      <c r="F907" s="3"/>
      <c r="G907" s="7"/>
      <c r="H907" s="7"/>
      <c r="I907" s="6"/>
      <c r="J907" s="90"/>
      <c r="K907" s="91"/>
      <c r="L907" s="92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3.5" customHeight="1">
      <c r="A908" s="3"/>
      <c r="B908" s="15"/>
      <c r="C908" s="3"/>
      <c r="D908" s="4"/>
      <c r="E908" s="6"/>
      <c r="F908" s="3"/>
      <c r="G908" s="7"/>
      <c r="H908" s="7"/>
      <c r="I908" s="6"/>
      <c r="J908" s="90"/>
      <c r="K908" s="91"/>
      <c r="L908" s="92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3.5" customHeight="1">
      <c r="A909" s="3"/>
      <c r="B909" s="15"/>
      <c r="C909" s="3"/>
      <c r="D909" s="4"/>
      <c r="E909" s="6"/>
      <c r="F909" s="3"/>
      <c r="G909" s="7"/>
      <c r="H909" s="7"/>
      <c r="I909" s="6"/>
      <c r="J909" s="90"/>
      <c r="K909" s="91"/>
      <c r="L909" s="92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3.5" customHeight="1">
      <c r="A910" s="3"/>
      <c r="B910" s="15"/>
      <c r="C910" s="3"/>
      <c r="D910" s="4"/>
      <c r="E910" s="6"/>
      <c r="F910" s="3"/>
      <c r="G910" s="7"/>
      <c r="H910" s="7"/>
      <c r="I910" s="6"/>
      <c r="J910" s="90"/>
      <c r="K910" s="91"/>
      <c r="L910" s="92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3.5" customHeight="1">
      <c r="A911" s="3"/>
      <c r="B911" s="15"/>
      <c r="C911" s="3"/>
      <c r="D911" s="4"/>
      <c r="E911" s="6"/>
      <c r="F911" s="3"/>
      <c r="G911" s="7"/>
      <c r="H911" s="7"/>
      <c r="I911" s="6"/>
      <c r="J911" s="90"/>
      <c r="K911" s="91"/>
      <c r="L911" s="92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3.5" customHeight="1">
      <c r="A912" s="3"/>
      <c r="B912" s="15"/>
      <c r="C912" s="3"/>
      <c r="D912" s="4"/>
      <c r="E912" s="6"/>
      <c r="F912" s="3"/>
      <c r="G912" s="7"/>
      <c r="H912" s="7"/>
      <c r="I912" s="6"/>
      <c r="J912" s="90"/>
      <c r="K912" s="91"/>
      <c r="L912" s="92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3.5" customHeight="1">
      <c r="A913" s="3"/>
      <c r="B913" s="15"/>
      <c r="C913" s="3"/>
      <c r="D913" s="4"/>
      <c r="E913" s="6"/>
      <c r="F913" s="3"/>
      <c r="G913" s="7"/>
      <c r="H913" s="7"/>
      <c r="I913" s="6"/>
      <c r="J913" s="90"/>
      <c r="K913" s="91"/>
      <c r="L913" s="92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3.5" customHeight="1">
      <c r="A914" s="3"/>
      <c r="B914" s="15"/>
      <c r="C914" s="3"/>
      <c r="D914" s="4"/>
      <c r="E914" s="6"/>
      <c r="F914" s="3"/>
      <c r="G914" s="7"/>
      <c r="H914" s="7"/>
      <c r="I914" s="6"/>
      <c r="J914" s="90"/>
      <c r="K914" s="91"/>
      <c r="L914" s="92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3.5" customHeight="1">
      <c r="A915" s="3"/>
      <c r="B915" s="15"/>
      <c r="C915" s="3"/>
      <c r="D915" s="4"/>
      <c r="E915" s="6"/>
      <c r="F915" s="3"/>
      <c r="G915" s="7"/>
      <c r="H915" s="7"/>
      <c r="I915" s="6"/>
      <c r="J915" s="90"/>
      <c r="K915" s="91"/>
      <c r="L915" s="92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3.5" customHeight="1">
      <c r="A916" s="3"/>
      <c r="B916" s="15"/>
      <c r="C916" s="3"/>
      <c r="D916" s="4"/>
      <c r="E916" s="6"/>
      <c r="F916" s="3"/>
      <c r="G916" s="7"/>
      <c r="H916" s="7"/>
      <c r="I916" s="6"/>
      <c r="J916" s="90"/>
      <c r="K916" s="91"/>
      <c r="L916" s="92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3.5" customHeight="1">
      <c r="A917" s="3"/>
      <c r="B917" s="15"/>
      <c r="C917" s="3"/>
      <c r="D917" s="4"/>
      <c r="E917" s="6"/>
      <c r="F917" s="3"/>
      <c r="G917" s="7"/>
      <c r="H917" s="7"/>
      <c r="I917" s="6"/>
      <c r="J917" s="90"/>
      <c r="K917" s="91"/>
      <c r="L917" s="92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3.5" customHeight="1">
      <c r="A918" s="3"/>
      <c r="B918" s="15"/>
      <c r="C918" s="3"/>
      <c r="D918" s="4"/>
      <c r="E918" s="6"/>
      <c r="F918" s="3"/>
      <c r="G918" s="7"/>
      <c r="H918" s="7"/>
      <c r="I918" s="6"/>
      <c r="J918" s="90"/>
      <c r="K918" s="91"/>
      <c r="L918" s="92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3.5" customHeight="1">
      <c r="A919" s="3"/>
      <c r="B919" s="15"/>
      <c r="C919" s="3"/>
      <c r="D919" s="4"/>
      <c r="E919" s="6"/>
      <c r="F919" s="3"/>
      <c r="G919" s="7"/>
      <c r="H919" s="7"/>
      <c r="I919" s="6"/>
      <c r="J919" s="90"/>
      <c r="K919" s="91"/>
      <c r="L919" s="92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3.5" customHeight="1">
      <c r="A920" s="3"/>
      <c r="B920" s="15"/>
      <c r="C920" s="3"/>
      <c r="D920" s="4"/>
      <c r="E920" s="6"/>
      <c r="F920" s="3"/>
      <c r="G920" s="7"/>
      <c r="H920" s="7"/>
      <c r="I920" s="6"/>
      <c r="J920" s="90"/>
      <c r="K920" s="91"/>
      <c r="L920" s="92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3.5" customHeight="1">
      <c r="A921" s="3"/>
      <c r="B921" s="15"/>
      <c r="C921" s="3"/>
      <c r="D921" s="4"/>
      <c r="E921" s="6"/>
      <c r="F921" s="3"/>
      <c r="G921" s="7"/>
      <c r="H921" s="7"/>
      <c r="I921" s="6"/>
      <c r="J921" s="90"/>
      <c r="K921" s="91"/>
      <c r="L921" s="92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3.5" customHeight="1">
      <c r="A922" s="3"/>
      <c r="B922" s="15"/>
      <c r="C922" s="3"/>
      <c r="D922" s="4"/>
      <c r="E922" s="6"/>
      <c r="F922" s="3"/>
      <c r="G922" s="7"/>
      <c r="H922" s="7"/>
      <c r="I922" s="6"/>
      <c r="J922" s="90"/>
      <c r="K922" s="91"/>
      <c r="L922" s="92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3.5" customHeight="1">
      <c r="A923" s="3"/>
      <c r="B923" s="15"/>
      <c r="C923" s="3"/>
      <c r="D923" s="4"/>
      <c r="E923" s="6"/>
      <c r="F923" s="3"/>
      <c r="G923" s="7"/>
      <c r="H923" s="7"/>
      <c r="I923" s="6"/>
      <c r="J923" s="90"/>
      <c r="K923" s="91"/>
      <c r="L923" s="92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3.5" customHeight="1">
      <c r="A924" s="3"/>
      <c r="B924" s="15"/>
      <c r="C924" s="3"/>
      <c r="D924" s="4"/>
      <c r="E924" s="6"/>
      <c r="F924" s="3"/>
      <c r="G924" s="7"/>
      <c r="H924" s="7"/>
      <c r="I924" s="6"/>
      <c r="J924" s="90"/>
      <c r="K924" s="91"/>
      <c r="L924" s="92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3.5" customHeight="1">
      <c r="A925" s="3"/>
      <c r="B925" s="15"/>
      <c r="C925" s="3"/>
      <c r="D925" s="4"/>
      <c r="E925" s="6"/>
      <c r="F925" s="3"/>
      <c r="G925" s="7"/>
      <c r="H925" s="7"/>
      <c r="I925" s="6"/>
      <c r="J925" s="90"/>
      <c r="K925" s="91"/>
      <c r="L925" s="92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3.5" customHeight="1">
      <c r="A926" s="3"/>
      <c r="B926" s="15"/>
      <c r="C926" s="3"/>
      <c r="D926" s="4"/>
      <c r="E926" s="6"/>
      <c r="F926" s="3"/>
      <c r="G926" s="7"/>
      <c r="H926" s="7"/>
      <c r="I926" s="6"/>
      <c r="J926" s="90"/>
      <c r="K926" s="91"/>
      <c r="L926" s="92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3.5" customHeight="1">
      <c r="A927" s="3"/>
      <c r="B927" s="15"/>
      <c r="C927" s="3"/>
      <c r="D927" s="4"/>
      <c r="E927" s="6"/>
      <c r="F927" s="3"/>
      <c r="G927" s="7"/>
      <c r="H927" s="7"/>
      <c r="I927" s="6"/>
      <c r="J927" s="90"/>
      <c r="K927" s="91"/>
      <c r="L927" s="92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3.5" customHeight="1">
      <c r="A928" s="3"/>
      <c r="B928" s="15"/>
      <c r="C928" s="3"/>
      <c r="D928" s="4"/>
      <c r="E928" s="6"/>
      <c r="F928" s="3"/>
      <c r="G928" s="7"/>
      <c r="H928" s="7"/>
      <c r="I928" s="6"/>
      <c r="J928" s="90"/>
      <c r="K928" s="91"/>
      <c r="L928" s="92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3.5" customHeight="1">
      <c r="A929" s="3"/>
      <c r="B929" s="15"/>
      <c r="C929" s="3"/>
      <c r="D929" s="4"/>
      <c r="E929" s="6"/>
      <c r="F929" s="3"/>
      <c r="G929" s="7"/>
      <c r="H929" s="7"/>
      <c r="I929" s="6"/>
      <c r="J929" s="90"/>
      <c r="K929" s="91"/>
      <c r="L929" s="92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3.5" customHeight="1">
      <c r="A930" s="3"/>
      <c r="B930" s="15"/>
      <c r="C930" s="3"/>
      <c r="D930" s="4"/>
      <c r="E930" s="6"/>
      <c r="F930" s="3"/>
      <c r="G930" s="7"/>
      <c r="H930" s="7"/>
      <c r="I930" s="6"/>
      <c r="J930" s="90"/>
      <c r="K930" s="91"/>
      <c r="L930" s="92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3.5" customHeight="1">
      <c r="A931" s="3"/>
      <c r="B931" s="15"/>
      <c r="C931" s="3"/>
      <c r="D931" s="4"/>
      <c r="E931" s="6"/>
      <c r="F931" s="3"/>
      <c r="G931" s="7"/>
      <c r="H931" s="7"/>
      <c r="I931" s="6"/>
      <c r="J931" s="90"/>
      <c r="K931" s="91"/>
      <c r="L931" s="92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3.5" customHeight="1">
      <c r="A932" s="3"/>
      <c r="B932" s="15"/>
      <c r="C932" s="3"/>
      <c r="D932" s="4"/>
      <c r="E932" s="6"/>
      <c r="F932" s="3"/>
      <c r="G932" s="7"/>
      <c r="H932" s="7"/>
      <c r="I932" s="6"/>
      <c r="J932" s="90"/>
      <c r="K932" s="91"/>
      <c r="L932" s="92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3.5" customHeight="1">
      <c r="A933" s="3"/>
      <c r="B933" s="15"/>
      <c r="C933" s="3"/>
      <c r="D933" s="4"/>
      <c r="E933" s="6"/>
      <c r="F933" s="3"/>
      <c r="G933" s="7"/>
      <c r="H933" s="7"/>
      <c r="I933" s="6"/>
      <c r="J933" s="90"/>
      <c r="K933" s="91"/>
      <c r="L933" s="92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3.5" customHeight="1">
      <c r="A934" s="3"/>
      <c r="B934" s="15"/>
      <c r="C934" s="3"/>
      <c r="D934" s="4"/>
      <c r="E934" s="6"/>
      <c r="F934" s="3"/>
      <c r="G934" s="7"/>
      <c r="H934" s="7"/>
      <c r="I934" s="6"/>
      <c r="J934" s="90"/>
      <c r="K934" s="91"/>
      <c r="L934" s="92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3.5" customHeight="1">
      <c r="A935" s="3"/>
      <c r="B935" s="15"/>
      <c r="C935" s="3"/>
      <c r="D935" s="4"/>
      <c r="E935" s="6"/>
      <c r="F935" s="3"/>
      <c r="G935" s="7"/>
      <c r="H935" s="7"/>
      <c r="I935" s="6"/>
      <c r="J935" s="90"/>
      <c r="K935" s="91"/>
      <c r="L935" s="92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3.5" customHeight="1">
      <c r="A936" s="3"/>
      <c r="B936" s="15"/>
      <c r="C936" s="3"/>
      <c r="D936" s="4"/>
      <c r="E936" s="6"/>
      <c r="F936" s="3"/>
      <c r="G936" s="7"/>
      <c r="H936" s="7"/>
      <c r="I936" s="6"/>
      <c r="J936" s="90"/>
      <c r="K936" s="91"/>
      <c r="L936" s="92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3.5" customHeight="1">
      <c r="A937" s="3"/>
      <c r="B937" s="15"/>
      <c r="C937" s="3"/>
      <c r="D937" s="4"/>
      <c r="E937" s="6"/>
      <c r="F937" s="3"/>
      <c r="G937" s="7"/>
      <c r="H937" s="7"/>
      <c r="I937" s="6"/>
      <c r="J937" s="90"/>
      <c r="K937" s="91"/>
      <c r="L937" s="92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3.5" customHeight="1">
      <c r="A938" s="3"/>
      <c r="B938" s="15"/>
      <c r="C938" s="3"/>
      <c r="D938" s="4"/>
      <c r="E938" s="6"/>
      <c r="F938" s="3"/>
      <c r="G938" s="7"/>
      <c r="H938" s="7"/>
      <c r="I938" s="6"/>
      <c r="J938" s="90"/>
      <c r="K938" s="91"/>
      <c r="L938" s="92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3.5" customHeight="1">
      <c r="A939" s="3"/>
      <c r="B939" s="15"/>
      <c r="C939" s="3"/>
      <c r="D939" s="4"/>
      <c r="E939" s="6"/>
      <c r="F939" s="3"/>
      <c r="G939" s="7"/>
      <c r="H939" s="7"/>
      <c r="I939" s="6"/>
      <c r="J939" s="90"/>
      <c r="K939" s="91"/>
      <c r="L939" s="92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3.5" customHeight="1">
      <c r="A940" s="3"/>
      <c r="B940" s="15"/>
      <c r="C940" s="3"/>
      <c r="D940" s="4"/>
      <c r="E940" s="6"/>
      <c r="F940" s="3"/>
      <c r="G940" s="7"/>
      <c r="H940" s="7"/>
      <c r="I940" s="6"/>
      <c r="J940" s="90"/>
      <c r="K940" s="91"/>
      <c r="L940" s="92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3.5" customHeight="1">
      <c r="A941" s="3"/>
      <c r="B941" s="15"/>
      <c r="C941" s="3"/>
      <c r="D941" s="4"/>
      <c r="E941" s="6"/>
      <c r="F941" s="3"/>
      <c r="G941" s="7"/>
      <c r="H941" s="7"/>
      <c r="I941" s="6"/>
      <c r="J941" s="90"/>
      <c r="K941" s="91"/>
      <c r="L941" s="92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3.5" customHeight="1">
      <c r="A942" s="3"/>
      <c r="B942" s="15"/>
      <c r="C942" s="3"/>
      <c r="D942" s="4"/>
      <c r="E942" s="6"/>
      <c r="F942" s="3"/>
      <c r="G942" s="7"/>
      <c r="H942" s="7"/>
      <c r="I942" s="6"/>
      <c r="J942" s="90"/>
      <c r="K942" s="91"/>
      <c r="L942" s="92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3.5" customHeight="1">
      <c r="A943" s="3"/>
      <c r="B943" s="15"/>
      <c r="C943" s="3"/>
      <c r="D943" s="4"/>
      <c r="E943" s="6"/>
      <c r="F943" s="3"/>
      <c r="G943" s="7"/>
      <c r="H943" s="7"/>
      <c r="I943" s="6"/>
      <c r="J943" s="90"/>
      <c r="K943" s="91"/>
      <c r="L943" s="92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3.5" customHeight="1">
      <c r="A944" s="3"/>
      <c r="B944" s="15"/>
      <c r="C944" s="3"/>
      <c r="D944" s="4"/>
      <c r="E944" s="6"/>
      <c r="F944" s="3"/>
      <c r="G944" s="7"/>
      <c r="H944" s="7"/>
      <c r="I944" s="6"/>
      <c r="J944" s="90"/>
      <c r="K944" s="91"/>
      <c r="L944" s="92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3.5" customHeight="1">
      <c r="A945" s="3"/>
      <c r="B945" s="15"/>
      <c r="C945" s="3"/>
      <c r="D945" s="4"/>
      <c r="E945" s="6"/>
      <c r="F945" s="3"/>
      <c r="G945" s="7"/>
      <c r="H945" s="7"/>
      <c r="I945" s="6"/>
      <c r="J945" s="90"/>
      <c r="K945" s="91"/>
      <c r="L945" s="92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3.5" customHeight="1">
      <c r="A946" s="3"/>
      <c r="B946" s="15"/>
      <c r="C946" s="3"/>
      <c r="D946" s="4"/>
      <c r="E946" s="6"/>
      <c r="F946" s="3"/>
      <c r="G946" s="7"/>
      <c r="H946" s="7"/>
      <c r="I946" s="6"/>
      <c r="J946" s="90"/>
      <c r="K946" s="91"/>
      <c r="L946" s="92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3.5" customHeight="1">
      <c r="A947" s="3"/>
      <c r="B947" s="15"/>
      <c r="C947" s="3"/>
      <c r="D947" s="4"/>
      <c r="E947" s="6"/>
      <c r="F947" s="3"/>
      <c r="G947" s="7"/>
      <c r="H947" s="7"/>
      <c r="I947" s="6"/>
      <c r="J947" s="90"/>
      <c r="K947" s="91"/>
      <c r="L947" s="92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3.5" customHeight="1">
      <c r="A948" s="3"/>
      <c r="B948" s="15"/>
      <c r="C948" s="3"/>
      <c r="D948" s="4"/>
      <c r="E948" s="6"/>
      <c r="F948" s="3"/>
      <c r="G948" s="7"/>
      <c r="H948" s="7"/>
      <c r="I948" s="6"/>
      <c r="J948" s="90"/>
      <c r="K948" s="91"/>
      <c r="L948" s="92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3.5" customHeight="1">
      <c r="A949" s="3"/>
      <c r="B949" s="15"/>
      <c r="C949" s="3"/>
      <c r="D949" s="4"/>
      <c r="E949" s="6"/>
      <c r="F949" s="3"/>
      <c r="G949" s="7"/>
      <c r="H949" s="7"/>
      <c r="I949" s="6"/>
      <c r="J949" s="90"/>
      <c r="K949" s="91"/>
      <c r="L949" s="92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3.5" customHeight="1">
      <c r="A950" s="3"/>
      <c r="B950" s="15"/>
      <c r="C950" s="3"/>
      <c r="D950" s="4"/>
      <c r="E950" s="6"/>
      <c r="F950" s="3"/>
      <c r="G950" s="7"/>
      <c r="H950" s="7"/>
      <c r="I950" s="6"/>
      <c r="J950" s="90"/>
      <c r="K950" s="91"/>
      <c r="L950" s="92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3.5" customHeight="1">
      <c r="A951" s="3"/>
      <c r="B951" s="15"/>
      <c r="C951" s="3"/>
      <c r="D951" s="4"/>
      <c r="E951" s="6"/>
      <c r="F951" s="3"/>
      <c r="G951" s="7"/>
      <c r="H951" s="7"/>
      <c r="I951" s="6"/>
      <c r="J951" s="90"/>
      <c r="K951" s="91"/>
      <c r="L951" s="92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3.5" customHeight="1">
      <c r="A952" s="3"/>
      <c r="B952" s="15"/>
      <c r="C952" s="3"/>
      <c r="D952" s="4"/>
      <c r="E952" s="6"/>
      <c r="F952" s="3"/>
      <c r="G952" s="7"/>
      <c r="H952" s="7"/>
      <c r="I952" s="6"/>
      <c r="J952" s="90"/>
      <c r="K952" s="91"/>
      <c r="L952" s="92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3.5" customHeight="1">
      <c r="A953" s="3"/>
      <c r="B953" s="15"/>
      <c r="C953" s="3"/>
      <c r="D953" s="4"/>
      <c r="E953" s="6"/>
      <c r="F953" s="3"/>
      <c r="G953" s="7"/>
      <c r="H953" s="7"/>
      <c r="I953" s="6"/>
      <c r="J953" s="90"/>
      <c r="K953" s="91"/>
      <c r="L953" s="92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3.5" customHeight="1">
      <c r="A954" s="3"/>
      <c r="B954" s="15"/>
      <c r="C954" s="3"/>
      <c r="D954" s="4"/>
      <c r="E954" s="6"/>
      <c r="F954" s="3"/>
      <c r="G954" s="7"/>
      <c r="H954" s="7"/>
      <c r="I954" s="6"/>
      <c r="J954" s="90"/>
      <c r="K954" s="91"/>
      <c r="L954" s="92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3.5" customHeight="1">
      <c r="A955" s="3"/>
      <c r="B955" s="15"/>
      <c r="C955" s="3"/>
      <c r="D955" s="4"/>
      <c r="E955" s="6"/>
      <c r="F955" s="3"/>
      <c r="G955" s="7"/>
      <c r="H955" s="7"/>
      <c r="I955" s="6"/>
      <c r="J955" s="90"/>
      <c r="K955" s="91"/>
      <c r="L955" s="92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3.5" customHeight="1">
      <c r="A956" s="3"/>
      <c r="B956" s="15"/>
      <c r="C956" s="3"/>
      <c r="D956" s="4"/>
      <c r="E956" s="6"/>
      <c r="F956" s="3"/>
      <c r="G956" s="7"/>
      <c r="H956" s="7"/>
      <c r="I956" s="6"/>
      <c r="J956" s="90"/>
      <c r="K956" s="91"/>
      <c r="L956" s="92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3.5" customHeight="1">
      <c r="A957" s="3"/>
      <c r="B957" s="15"/>
      <c r="C957" s="3"/>
      <c r="D957" s="4"/>
      <c r="E957" s="6"/>
      <c r="F957" s="3"/>
      <c r="G957" s="7"/>
      <c r="H957" s="7"/>
      <c r="I957" s="6"/>
      <c r="J957" s="90"/>
      <c r="K957" s="91"/>
      <c r="L957" s="92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3.5" customHeight="1">
      <c r="A958" s="3"/>
      <c r="B958" s="15"/>
      <c r="C958" s="3"/>
      <c r="D958" s="4"/>
      <c r="E958" s="6"/>
      <c r="F958" s="3"/>
      <c r="G958" s="7"/>
      <c r="H958" s="7"/>
      <c r="I958" s="6"/>
      <c r="J958" s="90"/>
      <c r="K958" s="91"/>
      <c r="L958" s="92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3.5" customHeight="1">
      <c r="A959" s="3"/>
      <c r="B959" s="15"/>
      <c r="C959" s="3"/>
      <c r="D959" s="4"/>
      <c r="E959" s="6"/>
      <c r="F959" s="3"/>
      <c r="G959" s="7"/>
      <c r="H959" s="7"/>
      <c r="I959" s="6"/>
      <c r="J959" s="90"/>
      <c r="K959" s="91"/>
      <c r="L959" s="92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3.5" customHeight="1">
      <c r="A960" s="3"/>
      <c r="B960" s="15"/>
      <c r="C960" s="3"/>
      <c r="D960" s="4"/>
      <c r="E960" s="6"/>
      <c r="F960" s="3"/>
      <c r="G960" s="7"/>
      <c r="H960" s="7"/>
      <c r="I960" s="6"/>
      <c r="J960" s="90"/>
      <c r="K960" s="91"/>
      <c r="L960" s="92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3.5" customHeight="1">
      <c r="A961" s="3"/>
      <c r="B961" s="15"/>
      <c r="C961" s="3"/>
      <c r="D961" s="4"/>
      <c r="E961" s="6"/>
      <c r="F961" s="3"/>
      <c r="G961" s="7"/>
      <c r="H961" s="7"/>
      <c r="I961" s="6"/>
      <c r="J961" s="90"/>
      <c r="K961" s="91"/>
      <c r="L961" s="92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3.5" customHeight="1">
      <c r="A962" s="3"/>
      <c r="B962" s="15"/>
      <c r="C962" s="3"/>
      <c r="D962" s="4"/>
      <c r="E962" s="6"/>
      <c r="F962" s="3"/>
      <c r="G962" s="7"/>
      <c r="H962" s="7"/>
      <c r="I962" s="6"/>
      <c r="J962" s="90"/>
      <c r="K962" s="91"/>
      <c r="L962" s="92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3.5" customHeight="1">
      <c r="A963" s="3"/>
      <c r="B963" s="15"/>
      <c r="C963" s="3"/>
      <c r="D963" s="4"/>
      <c r="E963" s="6"/>
      <c r="F963" s="3"/>
      <c r="G963" s="7"/>
      <c r="H963" s="7"/>
      <c r="I963" s="6"/>
      <c r="J963" s="90"/>
      <c r="K963" s="91"/>
      <c r="L963" s="92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3.5" customHeight="1">
      <c r="A964" s="3"/>
      <c r="B964" s="15"/>
      <c r="C964" s="3"/>
      <c r="D964" s="4"/>
      <c r="E964" s="6"/>
      <c r="F964" s="3"/>
      <c r="G964" s="7"/>
      <c r="H964" s="7"/>
      <c r="I964" s="6"/>
      <c r="J964" s="90"/>
      <c r="K964" s="91"/>
      <c r="L964" s="92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3.5" customHeight="1">
      <c r="A965" s="3"/>
      <c r="B965" s="15"/>
      <c r="C965" s="3"/>
      <c r="D965" s="4"/>
      <c r="E965" s="6"/>
      <c r="F965" s="3"/>
      <c r="G965" s="7"/>
      <c r="H965" s="7"/>
      <c r="I965" s="6"/>
      <c r="J965" s="90"/>
      <c r="K965" s="91"/>
      <c r="L965" s="92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3.5" customHeight="1">
      <c r="A966" s="3"/>
      <c r="B966" s="15"/>
      <c r="C966" s="3"/>
      <c r="D966" s="4"/>
      <c r="E966" s="6"/>
      <c r="F966" s="3"/>
      <c r="G966" s="7"/>
      <c r="H966" s="7"/>
      <c r="I966" s="6"/>
      <c r="J966" s="90"/>
      <c r="K966" s="91"/>
      <c r="L966" s="92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3.5" customHeight="1">
      <c r="A967" s="3"/>
      <c r="B967" s="15"/>
      <c r="C967" s="3"/>
      <c r="D967" s="4"/>
      <c r="E967" s="6"/>
      <c r="F967" s="3"/>
      <c r="G967" s="7"/>
      <c r="H967" s="7"/>
      <c r="I967" s="6"/>
      <c r="J967" s="90"/>
      <c r="K967" s="91"/>
      <c r="L967" s="92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3.5" customHeight="1">
      <c r="A968" s="3"/>
      <c r="B968" s="15"/>
      <c r="C968" s="3"/>
      <c r="D968" s="4"/>
      <c r="E968" s="6"/>
      <c r="F968" s="3"/>
      <c r="G968" s="7"/>
      <c r="H968" s="7"/>
      <c r="I968" s="6"/>
      <c r="J968" s="90"/>
      <c r="K968" s="91"/>
      <c r="L968" s="92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3.5" customHeight="1">
      <c r="A969" s="3"/>
      <c r="B969" s="15"/>
      <c r="C969" s="3"/>
      <c r="D969" s="4"/>
      <c r="E969" s="6"/>
      <c r="F969" s="3"/>
      <c r="G969" s="7"/>
      <c r="H969" s="7"/>
      <c r="I969" s="6"/>
      <c r="J969" s="90"/>
      <c r="K969" s="91"/>
      <c r="L969" s="92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3.5" customHeight="1">
      <c r="A970" s="3"/>
      <c r="B970" s="15"/>
      <c r="C970" s="3"/>
      <c r="D970" s="4"/>
      <c r="E970" s="6"/>
      <c r="F970" s="3"/>
      <c r="G970" s="7"/>
      <c r="H970" s="7"/>
      <c r="I970" s="6"/>
      <c r="J970" s="90"/>
      <c r="K970" s="91"/>
      <c r="L970" s="92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3.5" customHeight="1">
      <c r="A971" s="3"/>
      <c r="B971" s="15"/>
      <c r="C971" s="3"/>
      <c r="D971" s="4"/>
      <c r="E971" s="6"/>
      <c r="F971" s="3"/>
      <c r="G971" s="7"/>
      <c r="H971" s="7"/>
      <c r="I971" s="6"/>
      <c r="J971" s="90"/>
      <c r="K971" s="91"/>
      <c r="L971" s="92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3.5" customHeight="1">
      <c r="A972" s="3"/>
      <c r="B972" s="15"/>
      <c r="C972" s="3"/>
      <c r="D972" s="4"/>
      <c r="E972" s="6"/>
      <c r="F972" s="3"/>
      <c r="G972" s="7"/>
      <c r="H972" s="7"/>
      <c r="I972" s="6"/>
      <c r="J972" s="90"/>
      <c r="K972" s="91"/>
      <c r="L972" s="92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3.5" customHeight="1">
      <c r="A973" s="3"/>
      <c r="B973" s="15"/>
      <c r="C973" s="3"/>
      <c r="D973" s="4"/>
      <c r="E973" s="6"/>
      <c r="F973" s="3"/>
      <c r="G973" s="7"/>
      <c r="H973" s="7"/>
      <c r="I973" s="6"/>
      <c r="J973" s="90"/>
      <c r="K973" s="91"/>
      <c r="L973" s="92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3.5" customHeight="1">
      <c r="A974" s="3"/>
      <c r="B974" s="15"/>
      <c r="C974" s="3"/>
      <c r="D974" s="4"/>
      <c r="E974" s="6"/>
      <c r="F974" s="3"/>
      <c r="G974" s="7"/>
      <c r="H974" s="7"/>
      <c r="I974" s="6"/>
      <c r="J974" s="90"/>
      <c r="K974" s="91"/>
      <c r="L974" s="92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3.5" customHeight="1">
      <c r="A975" s="3"/>
      <c r="B975" s="15"/>
      <c r="C975" s="3"/>
      <c r="D975" s="4"/>
      <c r="E975" s="6"/>
      <c r="F975" s="3"/>
      <c r="G975" s="7"/>
      <c r="H975" s="7"/>
      <c r="I975" s="6"/>
      <c r="J975" s="90"/>
      <c r="K975" s="91"/>
      <c r="L975" s="92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3.5" customHeight="1">
      <c r="A976" s="3"/>
      <c r="B976" s="15"/>
      <c r="C976" s="3"/>
      <c r="D976" s="4"/>
      <c r="E976" s="6"/>
      <c r="F976" s="3"/>
      <c r="G976" s="7"/>
      <c r="H976" s="7"/>
      <c r="I976" s="6"/>
      <c r="J976" s="90"/>
      <c r="K976" s="91"/>
      <c r="L976" s="92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3.5" customHeight="1">
      <c r="A977" s="3"/>
      <c r="B977" s="15"/>
      <c r="C977" s="3"/>
      <c r="D977" s="4"/>
      <c r="E977" s="6"/>
      <c r="F977" s="3"/>
      <c r="G977" s="7"/>
      <c r="H977" s="7"/>
      <c r="I977" s="6"/>
      <c r="J977" s="90"/>
      <c r="K977" s="91"/>
      <c r="L977" s="92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3.5" customHeight="1">
      <c r="A978" s="3"/>
      <c r="B978" s="15"/>
      <c r="C978" s="3"/>
      <c r="D978" s="4"/>
      <c r="E978" s="6"/>
      <c r="F978" s="3"/>
      <c r="G978" s="7"/>
      <c r="H978" s="7"/>
      <c r="I978" s="6"/>
      <c r="J978" s="90"/>
      <c r="K978" s="91"/>
      <c r="L978" s="92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3.5" customHeight="1">
      <c r="A979" s="3"/>
      <c r="B979" s="15"/>
      <c r="C979" s="3"/>
      <c r="D979" s="4"/>
      <c r="E979" s="6"/>
      <c r="F979" s="3"/>
      <c r="G979" s="7"/>
      <c r="H979" s="7"/>
      <c r="I979" s="6"/>
      <c r="J979" s="90"/>
      <c r="K979" s="91"/>
      <c r="L979" s="92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3.5" customHeight="1">
      <c r="A980" s="3"/>
      <c r="B980" s="15"/>
      <c r="C980" s="3"/>
      <c r="D980" s="4"/>
      <c r="E980" s="6"/>
      <c r="F980" s="3"/>
      <c r="G980" s="7"/>
      <c r="H980" s="7"/>
      <c r="I980" s="6"/>
      <c r="J980" s="90"/>
      <c r="K980" s="91"/>
      <c r="L980" s="92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3.5" customHeight="1">
      <c r="A981" s="3"/>
      <c r="B981" s="15"/>
      <c r="C981" s="3"/>
      <c r="D981" s="4"/>
      <c r="E981" s="6"/>
      <c r="F981" s="3"/>
      <c r="G981" s="7"/>
      <c r="H981" s="7"/>
      <c r="I981" s="6"/>
      <c r="J981" s="90"/>
      <c r="K981" s="91"/>
      <c r="L981" s="92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3.5" customHeight="1">
      <c r="A982" s="3"/>
      <c r="B982" s="15"/>
      <c r="C982" s="3"/>
      <c r="D982" s="4"/>
      <c r="E982" s="6"/>
      <c r="F982" s="3"/>
      <c r="G982" s="7"/>
      <c r="H982" s="7"/>
      <c r="I982" s="6"/>
      <c r="J982" s="90"/>
      <c r="K982" s="91"/>
      <c r="L982" s="92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3.5" customHeight="1">
      <c r="A983" s="3"/>
      <c r="B983" s="15"/>
      <c r="C983" s="3"/>
      <c r="D983" s="4"/>
      <c r="E983" s="6"/>
      <c r="F983" s="3"/>
      <c r="G983" s="7"/>
      <c r="H983" s="7"/>
      <c r="I983" s="6"/>
      <c r="J983" s="90"/>
      <c r="K983" s="91"/>
      <c r="L983" s="92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3.5" customHeight="1">
      <c r="A984" s="3"/>
      <c r="B984" s="15"/>
      <c r="C984" s="3"/>
      <c r="D984" s="4"/>
      <c r="E984" s="6"/>
      <c r="F984" s="3"/>
      <c r="G984" s="7"/>
      <c r="H984" s="7"/>
      <c r="I984" s="6"/>
      <c r="J984" s="90"/>
      <c r="K984" s="91"/>
      <c r="L984" s="92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3.5" customHeight="1">
      <c r="A985" s="3"/>
      <c r="B985" s="15"/>
      <c r="C985" s="3"/>
      <c r="D985" s="4"/>
      <c r="E985" s="6"/>
      <c r="F985" s="3"/>
      <c r="G985" s="7"/>
      <c r="H985" s="7"/>
      <c r="I985" s="6"/>
      <c r="J985" s="90"/>
      <c r="K985" s="91"/>
      <c r="L985" s="92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3.5" customHeight="1">
      <c r="A986" s="3"/>
      <c r="B986" s="15"/>
      <c r="C986" s="3"/>
      <c r="D986" s="4"/>
      <c r="E986" s="6"/>
      <c r="F986" s="3"/>
      <c r="G986" s="7"/>
      <c r="H986" s="7"/>
      <c r="I986" s="6"/>
      <c r="J986" s="90"/>
      <c r="K986" s="91"/>
      <c r="L986" s="92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3.5" customHeight="1">
      <c r="A987" s="3"/>
      <c r="B987" s="15"/>
      <c r="C987" s="3"/>
      <c r="D987" s="4"/>
      <c r="E987" s="6"/>
      <c r="F987" s="3"/>
      <c r="G987" s="7"/>
      <c r="H987" s="7"/>
      <c r="I987" s="6"/>
      <c r="J987" s="90"/>
      <c r="K987" s="91"/>
      <c r="L987" s="92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3.5" customHeight="1">
      <c r="A988" s="3"/>
      <c r="B988" s="15"/>
      <c r="C988" s="3"/>
      <c r="D988" s="4"/>
      <c r="E988" s="6"/>
      <c r="F988" s="3"/>
      <c r="G988" s="7"/>
      <c r="H988" s="7"/>
      <c r="I988" s="6"/>
      <c r="J988" s="90"/>
      <c r="K988" s="91"/>
      <c r="L988" s="92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3.5" customHeight="1">
      <c r="A989" s="3"/>
      <c r="B989" s="15"/>
      <c r="C989" s="3"/>
      <c r="D989" s="4"/>
      <c r="E989" s="6"/>
      <c r="F989" s="3"/>
      <c r="G989" s="7"/>
      <c r="H989" s="7"/>
      <c r="I989" s="6"/>
      <c r="J989" s="90"/>
      <c r="K989" s="91"/>
      <c r="L989" s="92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3.5" customHeight="1">
      <c r="A990" s="3"/>
      <c r="B990" s="15"/>
      <c r="C990" s="3"/>
      <c r="D990" s="4"/>
      <c r="E990" s="6"/>
      <c r="F990" s="3"/>
      <c r="G990" s="7"/>
      <c r="H990" s="7"/>
      <c r="I990" s="6"/>
      <c r="J990" s="90"/>
      <c r="K990" s="91"/>
      <c r="L990" s="92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3.5" customHeight="1">
      <c r="A991" s="3"/>
      <c r="B991" s="15"/>
      <c r="C991" s="3"/>
      <c r="D991" s="4"/>
      <c r="E991" s="6"/>
      <c r="F991" s="3"/>
      <c r="G991" s="7"/>
      <c r="H991" s="7"/>
      <c r="I991" s="6"/>
      <c r="J991" s="90"/>
      <c r="K991" s="91"/>
      <c r="L991" s="92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3.5" customHeight="1">
      <c r="A992" s="3"/>
      <c r="B992" s="15"/>
      <c r="C992" s="3"/>
      <c r="D992" s="4"/>
      <c r="E992" s="6"/>
      <c r="F992" s="3"/>
      <c r="G992" s="7"/>
      <c r="H992" s="7"/>
      <c r="I992" s="6"/>
      <c r="J992" s="90"/>
      <c r="K992" s="91"/>
      <c r="L992" s="92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3.5" customHeight="1">
      <c r="A993" s="3"/>
      <c r="B993" s="15"/>
      <c r="C993" s="3"/>
      <c r="D993" s="4"/>
      <c r="E993" s="6"/>
      <c r="F993" s="3"/>
      <c r="G993" s="7"/>
      <c r="H993" s="7"/>
      <c r="I993" s="6"/>
      <c r="J993" s="90"/>
      <c r="K993" s="91"/>
      <c r="L993" s="92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3.5" customHeight="1">
      <c r="A994" s="3"/>
      <c r="B994" s="15"/>
      <c r="C994" s="3"/>
      <c r="D994" s="4"/>
      <c r="E994" s="6"/>
      <c r="F994" s="3"/>
      <c r="G994" s="7"/>
      <c r="H994" s="7"/>
      <c r="I994" s="6"/>
      <c r="J994" s="90"/>
      <c r="K994" s="91"/>
      <c r="L994" s="92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3.5" customHeight="1">
      <c r="A995" s="3"/>
      <c r="B995" s="15"/>
      <c r="C995" s="3"/>
      <c r="D995" s="4"/>
      <c r="E995" s="6"/>
      <c r="F995" s="3"/>
      <c r="G995" s="7"/>
      <c r="H995" s="7"/>
      <c r="I995" s="6"/>
      <c r="J995" s="90"/>
      <c r="K995" s="91"/>
      <c r="L995" s="92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3.5" customHeight="1">
      <c r="A996" s="3"/>
      <c r="B996" s="15"/>
      <c r="C996" s="3"/>
      <c r="D996" s="4"/>
      <c r="E996" s="6"/>
      <c r="F996" s="3"/>
      <c r="G996" s="7"/>
      <c r="H996" s="7"/>
      <c r="I996" s="6"/>
      <c r="J996" s="90"/>
      <c r="K996" s="91"/>
      <c r="L996" s="92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3.5" customHeight="1">
      <c r="A997" s="3"/>
      <c r="B997" s="15"/>
      <c r="C997" s="3"/>
      <c r="D997" s="4"/>
      <c r="E997" s="6"/>
      <c r="F997" s="3"/>
      <c r="G997" s="7"/>
      <c r="H997" s="7"/>
      <c r="I997" s="6"/>
      <c r="J997" s="90"/>
      <c r="K997" s="91"/>
      <c r="L997" s="92"/>
      <c r="M997" s="3"/>
      <c r="N997" s="3"/>
      <c r="O997" s="3"/>
      <c r="P997" s="3"/>
      <c r="Q997" s="3"/>
      <c r="R997" s="3"/>
      <c r="S997" s="3"/>
      <c r="T997" s="3"/>
      <c r="U997" s="3"/>
      <c r="V997" s="3"/>
    </row>
  </sheetData>
  <autoFilter ref="$A$4:$L$549">
    <sortState ref="A4:L549">
      <sortCondition ref="I4:I549"/>
    </sortState>
  </autoFilter>
  <printOptions/>
  <pageMargins bottom="0.75" footer="0.0" header="0.0" left="0.7" right="0.7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7.43"/>
  </cols>
  <sheetData>
    <row r="1">
      <c r="A1" s="139" t="str">
        <f>IFERROR(__xludf.DUMMYFUNCTION("UNIQUE(FILTER({'DTHU Sơ cấp'!H4:H999; 'DTHU Thứ cấp'!F4:F999}, {'DTHU Sơ cấp'!H4:H999; 'DTHU Thứ cấp'!F4:F999} &lt;&gt; """"))"),"Nhân viên")</f>
        <v>Nhân viên</v>
      </c>
      <c r="B1" s="139" t="str">
        <f>IFERROR(__xludf.DUMMYFUNCTION("TRANSPOSE(SORT(UNIQUE(FILTER({'DTHU Sơ cấp'!J5:J999; 'DTHU Thứ cấp'!I5:I999}, {'DTHU Sơ cấp'!J5:J999; 'DTHU Thứ cấp'!I5:I999} &lt;&gt; """"))))"),"2024-T10")</f>
        <v>2024-T10</v>
      </c>
      <c r="C1" s="139" t="str">
        <f>IFERROR(__xludf.DUMMYFUNCTION("""COMPUTED_VALUE"""),"2024-T11")</f>
        <v>2024-T11</v>
      </c>
      <c r="D1" s="139" t="str">
        <f>IFERROR(__xludf.DUMMYFUNCTION("""COMPUTED_VALUE"""),"2024-T12")</f>
        <v>2024-T12</v>
      </c>
      <c r="E1" s="139" t="str">
        <f>IFERROR(__xludf.DUMMYFUNCTION("""COMPUTED_VALUE"""),"2025-T01")</f>
        <v>2025-T01</v>
      </c>
      <c r="F1" s="139" t="str">
        <f>IFERROR(__xludf.DUMMYFUNCTION("""COMPUTED_VALUE"""),"2025-T02")</f>
        <v>2025-T02</v>
      </c>
      <c r="G1" s="139" t="str">
        <f>IFERROR(__xludf.DUMMYFUNCTION("""COMPUTED_VALUE"""),"2025-T03")</f>
        <v>2025-T03</v>
      </c>
      <c r="H1" s="139" t="str">
        <f>IFERROR(__xludf.DUMMYFUNCTION("""COMPUTED_VALUE"""),"2025-T04")</f>
        <v>2025-T04</v>
      </c>
      <c r="I1" s="139" t="str">
        <f>IFERROR(__xludf.DUMMYFUNCTION("""COMPUTED_VALUE"""),"2025-T05")</f>
        <v>2025-T05</v>
      </c>
      <c r="J1" s="139" t="str">
        <f>IFERROR(__xludf.DUMMYFUNCTION("""COMPUTED_VALUE"""),"2025-T06")</f>
        <v>2025-T06</v>
      </c>
      <c r="K1" s="139" t="str">
        <f>IFERROR(__xludf.DUMMYFUNCTION("""COMPUTED_VALUE"""),"2025-T07")</f>
        <v>2025-T07</v>
      </c>
      <c r="L1" s="139" t="str">
        <f>IFERROR(__xludf.DUMMYFUNCTION("""COMPUTED_VALUE"""),"2025-T08")</f>
        <v>2025-T08</v>
      </c>
      <c r="M1" s="139" t="str">
        <f>IFERROR(__xludf.DUMMYFUNCTION("""COMPUTED_VALUE"""),"2025-T09")</f>
        <v>2025-T09</v>
      </c>
      <c r="N1" s="139" t="str">
        <f>IFERROR(__xludf.DUMMYFUNCTION("""COMPUTED_VALUE"""),"2025-T10")</f>
        <v>2025-T10</v>
      </c>
      <c r="O1" s="139" t="str">
        <f>IFERROR(__xludf.DUMMYFUNCTION("""COMPUTED_VALUE"""),"2025-T11")</f>
        <v>2025-T11</v>
      </c>
      <c r="P1" s="139" t="str">
        <f>IFERROR(__xludf.DUMMYFUNCTION("""COMPUTED_VALUE"""),"2025-T12")</f>
        <v>2025-T12</v>
      </c>
      <c r="Q1" s="139" t="str">
        <f>IFERROR(__xludf.DUMMYFUNCTION("""COMPUTED_VALUE"""),"2026-T01")</f>
        <v>2026-T01</v>
      </c>
      <c r="R1" s="140" t="str">
        <f>IFERROR(__xludf.DUMMYFUNCTION("""COMPUTED_VALUE"""),"2026-T02")</f>
        <v>2026-T02</v>
      </c>
      <c r="S1" s="140" t="str">
        <f>IFERROR(__xludf.DUMMYFUNCTION("""COMPUTED_VALUE"""),"2026-T03")</f>
        <v>2026-T03</v>
      </c>
      <c r="T1" s="140" t="str">
        <f>IFERROR(__xludf.DUMMYFUNCTION("""COMPUTED_VALUE"""),"2026-T04")</f>
        <v>2026-T04</v>
      </c>
      <c r="U1" s="140" t="str">
        <f>IFERROR(__xludf.DUMMYFUNCTION("""COMPUTED_VALUE"""),"2026-T05")</f>
        <v>2026-T05</v>
      </c>
      <c r="V1" s="140" t="str">
        <f>IFERROR(__xludf.DUMMYFUNCTION("""COMPUTED_VALUE"""),"2026-T06")</f>
        <v>2026-T06</v>
      </c>
      <c r="W1" s="140"/>
      <c r="X1" s="140"/>
      <c r="Y1" s="140"/>
      <c r="Z1" s="140"/>
    </row>
    <row r="2">
      <c r="A2" s="141" t="str">
        <f>IFERROR(__xludf.DUMMYFUNCTION("""COMPUTED_VALUE"""),"Hồ Nguyễn Công Thành")</f>
        <v>Hồ Nguyễn Công Thành</v>
      </c>
      <c r="B2" s="141">
        <f t="array" ref="B2:Z999">MAP(B$1:Z$1, LAMBDA(thang, 
  IF(thang="", "", 
    MAP($A$2:$A999, LAMBDA(ten, 
      IF(ten="", "", 
        IFNA(SUMIFS('DTHU Sơ cấp'!$R:$R, 'DTHU Sơ cấp'!$H:$H, ten, 'DTHU Sơ cấp'!$J:$J, thang), 0) + 
        IFNA(SUMIFS('DTHU Thứ cấp'!$J:$J, 'DTHU Thứ cấp'!$F:$F, ten, 'DTHU Thứ cấp'!$I:$I, thang), 0) + 
        IFNA(SUMIFS(MG!$D:$D, MG!$G:$G, ten, MG!$O:$O, thang), 0)
      )
    ))
  )
))</f>
        <v>197794605.9</v>
      </c>
      <c r="C2" s="141">
        <v>0.0</v>
      </c>
      <c r="D2" s="141">
        <v>0.0</v>
      </c>
      <c r="E2" s="141">
        <v>0.0</v>
      </c>
      <c r="F2" s="141">
        <v>5.0E7</v>
      </c>
      <c r="G2" s="141">
        <v>0.0</v>
      </c>
      <c r="H2" s="141">
        <v>3.0E7</v>
      </c>
      <c r="I2" s="141">
        <v>0.0</v>
      </c>
      <c r="J2" s="141">
        <v>2.7E7</v>
      </c>
      <c r="K2" s="141">
        <v>2.2012439818181816E8</v>
      </c>
      <c r="L2" s="141">
        <v>2.748935998454545E8</v>
      </c>
      <c r="M2" s="141">
        <v>1.2245952407499997E8</v>
      </c>
      <c r="N2" s="141">
        <v>0.0</v>
      </c>
      <c r="O2" s="141">
        <v>1.4461567272727272E8</v>
      </c>
      <c r="P2" s="141">
        <v>9.398743127272727E7</v>
      </c>
      <c r="Q2" s="141">
        <v>3.691912997727273E8</v>
      </c>
      <c r="R2" s="141">
        <v>0.0</v>
      </c>
      <c r="S2" s="141">
        <v>0.0</v>
      </c>
      <c r="T2" s="141">
        <v>5.594838226545454E8</v>
      </c>
      <c r="U2" s="141">
        <v>2.436123035181818E8</v>
      </c>
      <c r="V2" s="141">
        <v>0.0</v>
      </c>
      <c r="W2" s="141" t="s">
        <v>222</v>
      </c>
      <c r="X2" s="141" t="s">
        <v>222</v>
      </c>
      <c r="Y2" s="141" t="s">
        <v>222</v>
      </c>
      <c r="Z2" s="141" t="s">
        <v>222</v>
      </c>
    </row>
    <row r="3">
      <c r="A3" s="141" t="str">
        <f>IFERROR(__xludf.DUMMYFUNCTION("""COMPUTED_VALUE"""),"Đoàn Lê Bách")</f>
        <v>Đoàn Lê Bách</v>
      </c>
      <c r="B3" s="141">
        <v>1.778508918E8</v>
      </c>
      <c r="C3" s="141">
        <v>0.0</v>
      </c>
      <c r="D3" s="141">
        <v>1.833512230090909E8</v>
      </c>
      <c r="E3" s="141">
        <v>0.0</v>
      </c>
      <c r="F3" s="141">
        <v>0.0</v>
      </c>
      <c r="G3" s="141">
        <v>2.5E7</v>
      </c>
      <c r="H3" s="141">
        <v>2.7E7</v>
      </c>
      <c r="I3" s="141">
        <v>2.3E7</v>
      </c>
      <c r="J3" s="141">
        <v>0.0</v>
      </c>
      <c r="K3" s="141">
        <v>0.0</v>
      </c>
      <c r="L3" s="141">
        <v>0.0</v>
      </c>
      <c r="M3" s="141">
        <v>2.870641534568181E8</v>
      </c>
      <c r="N3" s="141">
        <v>1.1837307886363636E8</v>
      </c>
      <c r="O3" s="141">
        <v>5.792778658272727E8</v>
      </c>
      <c r="P3" s="141">
        <v>0.0</v>
      </c>
      <c r="Q3" s="141">
        <v>1.3520826454545453E8</v>
      </c>
      <c r="R3" s="141">
        <v>0.0</v>
      </c>
      <c r="S3" s="141">
        <v>1.0743971339999999E8</v>
      </c>
      <c r="T3" s="141">
        <v>5.1036160377272725E8</v>
      </c>
      <c r="U3" s="141">
        <v>0.0</v>
      </c>
      <c r="V3" s="141">
        <v>0.0</v>
      </c>
      <c r="W3" s="141"/>
      <c r="X3" s="141"/>
      <c r="Y3" s="141"/>
      <c r="Z3" s="141"/>
    </row>
    <row r="4">
      <c r="A4" s="141" t="str">
        <f>IFERROR(__xludf.DUMMYFUNCTION("""COMPUTED_VALUE"""),"Võ Thị Thu Thảo")</f>
        <v>Võ Thị Thu Thảo</v>
      </c>
      <c r="B4" s="141">
        <v>0.0</v>
      </c>
      <c r="C4" s="141">
        <v>0.0</v>
      </c>
      <c r="D4" s="141">
        <v>2.421300399409091E8</v>
      </c>
      <c r="E4" s="141">
        <v>1.1089983999999999E8</v>
      </c>
      <c r="F4" s="141">
        <v>0.0</v>
      </c>
      <c r="G4" s="141">
        <v>0.0</v>
      </c>
      <c r="H4" s="141">
        <v>0.0</v>
      </c>
      <c r="I4" s="141">
        <v>0.0</v>
      </c>
      <c r="J4" s="141">
        <v>0.0</v>
      </c>
      <c r="K4" s="141">
        <v>0.0</v>
      </c>
      <c r="L4" s="141">
        <v>0.0</v>
      </c>
      <c r="M4" s="141">
        <v>0.0</v>
      </c>
      <c r="N4" s="141">
        <v>0.0</v>
      </c>
      <c r="O4" s="141">
        <v>0.0</v>
      </c>
      <c r="P4" s="141">
        <v>0.0</v>
      </c>
      <c r="Q4" s="141">
        <v>0.0</v>
      </c>
      <c r="R4" s="141">
        <v>0.0</v>
      </c>
      <c r="S4" s="141">
        <v>0.0</v>
      </c>
      <c r="T4" s="141">
        <v>0.0</v>
      </c>
      <c r="U4" s="141">
        <v>0.0</v>
      </c>
      <c r="V4" s="141">
        <v>0.0</v>
      </c>
      <c r="W4" s="141"/>
      <c r="X4" s="141"/>
      <c r="Y4" s="141"/>
      <c r="Z4" s="141"/>
    </row>
    <row r="5">
      <c r="A5" s="141" t="str">
        <f>IFERROR(__xludf.DUMMYFUNCTION("""COMPUTED_VALUE"""),"Trần Minh Nhật")</f>
        <v>Trần Minh Nhật</v>
      </c>
      <c r="B5" s="141">
        <v>4.0E7</v>
      </c>
      <c r="C5" s="141">
        <v>0.0</v>
      </c>
      <c r="D5" s="141">
        <v>3.195E7</v>
      </c>
      <c r="E5" s="141">
        <v>0.0</v>
      </c>
      <c r="F5" s="141">
        <v>0.0</v>
      </c>
      <c r="G5" s="141">
        <v>0.0</v>
      </c>
      <c r="H5" s="141">
        <v>9.550302913636364E7</v>
      </c>
      <c r="I5" s="141">
        <v>0.0</v>
      </c>
      <c r="J5" s="141">
        <v>0.0</v>
      </c>
      <c r="K5" s="141">
        <v>1.5557775909090906E8</v>
      </c>
      <c r="L5" s="141">
        <v>0.0</v>
      </c>
      <c r="M5" s="141">
        <v>9.643621406363635E7</v>
      </c>
      <c r="N5" s="141">
        <v>1.4948127247272727E8</v>
      </c>
      <c r="O5" s="141">
        <v>5.515833793022727E8</v>
      </c>
      <c r="P5" s="141">
        <v>0.0</v>
      </c>
      <c r="Q5" s="141">
        <v>1.9706967076363638E8</v>
      </c>
      <c r="R5" s="141">
        <v>0.0</v>
      </c>
      <c r="S5" s="141">
        <v>0.0</v>
      </c>
      <c r="T5" s="141">
        <v>2.1242814708181816E8</v>
      </c>
      <c r="U5" s="141">
        <v>1.4743026289090908E8</v>
      </c>
      <c r="V5" s="141">
        <v>0.0</v>
      </c>
      <c r="W5" s="141"/>
      <c r="X5" s="141"/>
      <c r="Y5" s="141"/>
      <c r="Z5" s="141"/>
    </row>
    <row r="6">
      <c r="A6" s="141" t="str">
        <f>IFERROR(__xludf.DUMMYFUNCTION("""COMPUTED_VALUE"""),"Trần Thị Khánh Linh")</f>
        <v>Trần Thị Khánh Linh</v>
      </c>
      <c r="B6" s="141">
        <v>0.0</v>
      </c>
      <c r="C6" s="141">
        <v>2.668E7</v>
      </c>
      <c r="D6" s="141">
        <v>4.1295E7</v>
      </c>
      <c r="E6" s="141">
        <v>2.0645E7</v>
      </c>
      <c r="F6" s="141">
        <v>0.0</v>
      </c>
      <c r="G6" s="141">
        <v>1.7E7</v>
      </c>
      <c r="H6" s="141">
        <v>1.620957975E8</v>
      </c>
      <c r="I6" s="141">
        <v>2.457E7</v>
      </c>
      <c r="J6" s="141">
        <v>0.0</v>
      </c>
      <c r="K6" s="141">
        <v>2.135E7</v>
      </c>
      <c r="L6" s="141">
        <v>1.5182432105227274E8</v>
      </c>
      <c r="M6" s="141">
        <v>1.1506987218181817E8</v>
      </c>
      <c r="N6" s="141">
        <v>1.735E7</v>
      </c>
      <c r="O6" s="141">
        <v>6.9E7</v>
      </c>
      <c r="P6" s="141">
        <v>0.0</v>
      </c>
      <c r="Q6" s="141">
        <v>2.0651998014545456E8</v>
      </c>
      <c r="R6" s="141">
        <v>0.0</v>
      </c>
      <c r="S6" s="141">
        <v>0.0</v>
      </c>
      <c r="T6" s="141">
        <v>1.521951074E8</v>
      </c>
      <c r="U6" s="141">
        <v>2.5E7</v>
      </c>
      <c r="V6" s="141">
        <v>0.0</v>
      </c>
      <c r="W6" s="141"/>
      <c r="X6" s="141"/>
      <c r="Y6" s="141"/>
      <c r="Z6" s="141"/>
    </row>
    <row r="7">
      <c r="A7" s="141" t="str">
        <f>IFERROR(__xludf.DUMMYFUNCTION("""COMPUTED_VALUE"""),"Đoàn Ngọc Hạ Sang")</f>
        <v>Đoàn Ngọc Hạ Sang</v>
      </c>
      <c r="B7" s="141">
        <v>0.0</v>
      </c>
      <c r="C7" s="141">
        <v>0.0</v>
      </c>
      <c r="D7" s="141">
        <v>0.0</v>
      </c>
      <c r="E7" s="141">
        <v>0.0</v>
      </c>
      <c r="F7" s="141">
        <v>0.0</v>
      </c>
      <c r="G7" s="141">
        <v>0.0</v>
      </c>
      <c r="H7" s="141">
        <v>9.76108715E7</v>
      </c>
      <c r="I7" s="141">
        <v>0.0</v>
      </c>
      <c r="J7" s="141">
        <v>0.0</v>
      </c>
      <c r="K7" s="141">
        <v>0.0</v>
      </c>
      <c r="L7" s="141">
        <v>0.0</v>
      </c>
      <c r="M7" s="141">
        <v>0.0</v>
      </c>
      <c r="N7" s="141">
        <v>0.0</v>
      </c>
      <c r="O7" s="141">
        <v>0.0</v>
      </c>
      <c r="P7" s="141">
        <v>0.0</v>
      </c>
      <c r="Q7" s="141">
        <v>0.0</v>
      </c>
      <c r="R7" s="141">
        <v>0.0</v>
      </c>
      <c r="S7" s="141">
        <v>0.0</v>
      </c>
      <c r="T7" s="141">
        <v>0.0</v>
      </c>
      <c r="U7" s="141">
        <v>0.0</v>
      </c>
      <c r="V7" s="141">
        <v>0.0</v>
      </c>
      <c r="W7" s="141"/>
      <c r="X7" s="141"/>
      <c r="Y7" s="141"/>
      <c r="Z7" s="141"/>
    </row>
    <row r="8">
      <c r="A8" s="141" t="str">
        <f>IFERROR(__xludf.DUMMYFUNCTION("""COMPUTED_VALUE"""),"Lê Trịnh Thanh Thúy")</f>
        <v>Lê Trịnh Thanh Thúy</v>
      </c>
      <c r="B8" s="141">
        <v>0.0</v>
      </c>
      <c r="C8" s="141">
        <v>0.0</v>
      </c>
      <c r="D8" s="141">
        <v>0.0</v>
      </c>
      <c r="E8" s="141">
        <v>0.0</v>
      </c>
      <c r="F8" s="141">
        <v>0.0</v>
      </c>
      <c r="G8" s="141">
        <v>0.0</v>
      </c>
      <c r="H8" s="141">
        <v>0.0</v>
      </c>
      <c r="I8" s="141">
        <v>0.0</v>
      </c>
      <c r="J8" s="141">
        <v>0.0</v>
      </c>
      <c r="K8" s="141">
        <v>0.0</v>
      </c>
      <c r="L8" s="141">
        <v>1.239368838590909E8</v>
      </c>
      <c r="M8" s="141">
        <v>0.0</v>
      </c>
      <c r="N8" s="141">
        <v>3.0E7</v>
      </c>
      <c r="O8" s="141">
        <v>2.709219139090909E8</v>
      </c>
      <c r="P8" s="141">
        <v>4.0E7</v>
      </c>
      <c r="Q8" s="141">
        <v>1.3255031362727273E8</v>
      </c>
      <c r="R8" s="141">
        <v>2.482E7</v>
      </c>
      <c r="S8" s="141">
        <v>3.5975E7</v>
      </c>
      <c r="T8" s="141">
        <v>0.0</v>
      </c>
      <c r="U8" s="141">
        <v>0.0</v>
      </c>
      <c r="V8" s="141">
        <v>0.0</v>
      </c>
      <c r="W8" s="141"/>
      <c r="X8" s="141"/>
      <c r="Y8" s="141"/>
      <c r="Z8" s="141"/>
    </row>
    <row r="9">
      <c r="A9" s="141" t="str">
        <f>IFERROR(__xludf.DUMMYFUNCTION("""COMPUTED_VALUE"""),"Lê Thị Cẩm Giang")</f>
        <v>Lê Thị Cẩm Giang</v>
      </c>
      <c r="B9" s="141">
        <v>0.0</v>
      </c>
      <c r="C9" s="141">
        <v>0.0</v>
      </c>
      <c r="D9" s="141">
        <v>0.0</v>
      </c>
      <c r="E9" s="141">
        <v>0.0</v>
      </c>
      <c r="F9" s="141">
        <v>0.0</v>
      </c>
      <c r="G9" s="141">
        <v>0.0</v>
      </c>
      <c r="H9" s="141">
        <v>0.0</v>
      </c>
      <c r="I9" s="141">
        <v>0.0</v>
      </c>
      <c r="J9" s="141">
        <v>0.0</v>
      </c>
      <c r="K9" s="141">
        <v>0.0</v>
      </c>
      <c r="L9" s="141">
        <v>0.0</v>
      </c>
      <c r="M9" s="141">
        <v>1.2522832470909089E8</v>
      </c>
      <c r="N9" s="141">
        <v>0.0</v>
      </c>
      <c r="O9" s="141">
        <v>3.009E7</v>
      </c>
      <c r="P9" s="141">
        <v>0.0</v>
      </c>
      <c r="Q9" s="141">
        <v>5.1013370886727273E8</v>
      </c>
      <c r="R9" s="141">
        <v>0.0</v>
      </c>
      <c r="S9" s="141">
        <v>0.0</v>
      </c>
      <c r="T9" s="141">
        <v>1.4230184703636363E8</v>
      </c>
      <c r="U9" s="141">
        <v>0.0</v>
      </c>
      <c r="V9" s="141">
        <v>0.0</v>
      </c>
      <c r="W9" s="141"/>
      <c r="X9" s="141"/>
      <c r="Y9" s="141"/>
      <c r="Z9" s="141"/>
    </row>
    <row r="10">
      <c r="A10" s="141" t="str">
        <f>IFERROR(__xludf.DUMMYFUNCTION("""COMPUTED_VALUE"""),"Bùi Thị Hạ Uyên")</f>
        <v>Bùi Thị Hạ Uyên</v>
      </c>
      <c r="B10" s="141">
        <v>0.0</v>
      </c>
      <c r="C10" s="141">
        <v>0.0</v>
      </c>
      <c r="D10" s="141">
        <v>0.0</v>
      </c>
      <c r="E10" s="141">
        <v>0.0</v>
      </c>
      <c r="F10" s="141">
        <v>0.0</v>
      </c>
      <c r="G10" s="141">
        <v>0.0</v>
      </c>
      <c r="H10" s="141">
        <v>0.0</v>
      </c>
      <c r="I10" s="141">
        <v>0.0</v>
      </c>
      <c r="J10" s="141">
        <v>0.0</v>
      </c>
      <c r="K10" s="141">
        <v>0.0</v>
      </c>
      <c r="L10" s="141">
        <v>0.0</v>
      </c>
      <c r="M10" s="141">
        <v>0.0</v>
      </c>
      <c r="N10" s="141">
        <v>0.0</v>
      </c>
      <c r="O10" s="141">
        <v>0.0</v>
      </c>
      <c r="P10" s="141">
        <v>0.0</v>
      </c>
      <c r="Q10" s="141">
        <v>0.0</v>
      </c>
      <c r="R10" s="141">
        <v>0.0</v>
      </c>
      <c r="S10" s="141">
        <v>0.0</v>
      </c>
      <c r="T10" s="141">
        <v>4.219009592136364E8</v>
      </c>
      <c r="U10" s="141">
        <v>0.0</v>
      </c>
      <c r="V10" s="141">
        <v>0.0</v>
      </c>
      <c r="W10" s="141"/>
      <c r="X10" s="141"/>
      <c r="Y10" s="141"/>
      <c r="Z10" s="141"/>
    </row>
    <row r="11">
      <c r="A11" s="141" t="str">
        <f>IFERROR(__xludf.DUMMYFUNCTION("""COMPUTED_VALUE"""),"Tô Rô Ly Na")</f>
        <v>Tô Rô Ly Na</v>
      </c>
      <c r="B11" s="141">
        <v>0.0</v>
      </c>
      <c r="C11" s="141">
        <v>0.0</v>
      </c>
      <c r="D11" s="141">
        <v>0.0</v>
      </c>
      <c r="E11" s="141">
        <v>0.0</v>
      </c>
      <c r="F11" s="141">
        <v>0.0</v>
      </c>
      <c r="G11" s="141">
        <v>0.0</v>
      </c>
      <c r="H11" s="141">
        <v>0.0</v>
      </c>
      <c r="I11" s="141">
        <v>0.0</v>
      </c>
      <c r="J11" s="141">
        <v>0.0</v>
      </c>
      <c r="K11" s="141">
        <v>0.0</v>
      </c>
      <c r="L11" s="141">
        <v>0.0</v>
      </c>
      <c r="M11" s="141">
        <v>0.0</v>
      </c>
      <c r="N11" s="141">
        <v>0.0</v>
      </c>
      <c r="O11" s="141">
        <v>0.0</v>
      </c>
      <c r="P11" s="141">
        <v>0.0</v>
      </c>
      <c r="Q11" s="141">
        <v>0.0</v>
      </c>
      <c r="R11" s="141">
        <v>0.0</v>
      </c>
      <c r="S11" s="141">
        <v>0.0</v>
      </c>
      <c r="T11" s="141">
        <v>1.5742752861818182E8</v>
      </c>
      <c r="U11" s="141">
        <v>0.0</v>
      </c>
      <c r="V11" s="141">
        <v>0.0</v>
      </c>
      <c r="W11" s="141"/>
      <c r="X11" s="141"/>
      <c r="Y11" s="141"/>
      <c r="Z11" s="141"/>
    </row>
    <row r="12">
      <c r="A12" s="141" t="str">
        <f>IFERROR(__xludf.DUMMYFUNCTION("""COMPUTED_VALUE"""),"Nguyễn Quý Tài")</f>
        <v>Nguyễn Quý Tài</v>
      </c>
      <c r="B12" s="141">
        <v>0.0</v>
      </c>
      <c r="C12" s="141">
        <v>0.0</v>
      </c>
      <c r="D12" s="141">
        <v>0.0</v>
      </c>
      <c r="E12" s="141">
        <v>0.0</v>
      </c>
      <c r="F12" s="141">
        <v>0.0</v>
      </c>
      <c r="G12" s="141">
        <v>0.0</v>
      </c>
      <c r="H12" s="141">
        <v>0.0</v>
      </c>
      <c r="I12" s="141">
        <v>0.0</v>
      </c>
      <c r="J12" s="141">
        <v>0.0</v>
      </c>
      <c r="K12" s="141">
        <v>0.0</v>
      </c>
      <c r="L12" s="141">
        <v>0.0</v>
      </c>
      <c r="M12" s="141">
        <v>0.0</v>
      </c>
      <c r="N12" s="141">
        <v>0.0</v>
      </c>
      <c r="O12" s="141">
        <v>0.0</v>
      </c>
      <c r="P12" s="141">
        <v>0.0</v>
      </c>
      <c r="Q12" s="141">
        <v>0.0</v>
      </c>
      <c r="R12" s="141">
        <v>0.0</v>
      </c>
      <c r="S12" s="141">
        <v>0.0</v>
      </c>
      <c r="T12" s="141">
        <v>9.523514286363636E7</v>
      </c>
      <c r="U12" s="141">
        <v>0.0</v>
      </c>
      <c r="V12" s="141">
        <v>0.0</v>
      </c>
      <c r="W12" s="141"/>
      <c r="X12" s="141"/>
      <c r="Y12" s="141"/>
      <c r="Z12" s="141"/>
    </row>
    <row r="13">
      <c r="A13" s="141" t="str">
        <f>IFERROR(__xludf.DUMMYFUNCTION("""COMPUTED_VALUE"""),"Châu Thị Kim Ngân")</f>
        <v>Châu Thị Kim Ngân</v>
      </c>
      <c r="B13" s="141">
        <v>0.0</v>
      </c>
      <c r="C13" s="141">
        <v>0.0</v>
      </c>
      <c r="D13" s="141">
        <v>0.0</v>
      </c>
      <c r="E13" s="141">
        <v>0.0</v>
      </c>
      <c r="F13" s="141">
        <v>0.0</v>
      </c>
      <c r="G13" s="141">
        <v>0.0</v>
      </c>
      <c r="H13" s="141">
        <v>0.0</v>
      </c>
      <c r="I13" s="141">
        <v>0.0</v>
      </c>
      <c r="J13" s="141">
        <v>0.0</v>
      </c>
      <c r="K13" s="141">
        <v>0.0</v>
      </c>
      <c r="L13" s="141">
        <v>0.0</v>
      </c>
      <c r="M13" s="141">
        <v>0.0</v>
      </c>
      <c r="N13" s="141">
        <v>0.0</v>
      </c>
      <c r="O13" s="141">
        <v>0.0</v>
      </c>
      <c r="P13" s="141">
        <v>0.0</v>
      </c>
      <c r="Q13" s="141">
        <v>0.0</v>
      </c>
      <c r="R13" s="141">
        <v>0.0</v>
      </c>
      <c r="S13" s="141">
        <v>0.0</v>
      </c>
      <c r="T13" s="141">
        <v>0.0</v>
      </c>
      <c r="U13" s="141">
        <v>0.0</v>
      </c>
      <c r="V13" s="141">
        <v>2.1826381045E8</v>
      </c>
      <c r="W13" s="141"/>
      <c r="X13" s="141"/>
      <c r="Y13" s="141"/>
      <c r="Z13" s="141"/>
    </row>
    <row r="14">
      <c r="A14" s="141" t="str">
        <f>IFERROR(__xludf.DUMMYFUNCTION("""COMPUTED_VALUE"""),"Đinh Viết Hân")</f>
        <v>Đinh Viết Hân</v>
      </c>
      <c r="B14" s="141">
        <v>0.0</v>
      </c>
      <c r="C14" s="141">
        <v>0.0</v>
      </c>
      <c r="D14" s="141">
        <v>0.0</v>
      </c>
      <c r="E14" s="141">
        <v>0.0</v>
      </c>
      <c r="F14" s="141">
        <v>0.0</v>
      </c>
      <c r="G14" s="141">
        <v>0.0</v>
      </c>
      <c r="H14" s="141">
        <v>0.0</v>
      </c>
      <c r="I14" s="141">
        <v>0.0</v>
      </c>
      <c r="J14" s="141">
        <v>0.0</v>
      </c>
      <c r="K14" s="141">
        <v>0.0</v>
      </c>
      <c r="L14" s="141">
        <v>0.0</v>
      </c>
      <c r="M14" s="141">
        <v>0.0</v>
      </c>
      <c r="N14" s="141">
        <v>0.0</v>
      </c>
      <c r="O14" s="141">
        <v>0.0</v>
      </c>
      <c r="P14" s="141">
        <v>0.0</v>
      </c>
      <c r="Q14" s="141">
        <v>0.0</v>
      </c>
      <c r="R14" s="141">
        <v>0.0</v>
      </c>
      <c r="S14" s="141">
        <v>0.0</v>
      </c>
      <c r="T14" s="141">
        <v>0.0</v>
      </c>
      <c r="U14" s="141">
        <v>0.0</v>
      </c>
      <c r="V14" s="141">
        <v>2.093466596E8</v>
      </c>
      <c r="W14" s="141"/>
      <c r="X14" s="141"/>
      <c r="Y14" s="141"/>
      <c r="Z14" s="141"/>
    </row>
    <row r="15">
      <c r="A15" s="141" t="str">
        <f>IFERROR(__xludf.DUMMYFUNCTION("""COMPUTED_VALUE"""),"Bùi Thị Kiểu Chi")</f>
        <v>Bùi Thị Kiểu Chi</v>
      </c>
      <c r="B15" s="141">
        <v>0.0</v>
      </c>
      <c r="C15" s="141">
        <v>0.0</v>
      </c>
      <c r="D15" s="141">
        <v>0.0</v>
      </c>
      <c r="E15" s="141">
        <v>0.0</v>
      </c>
      <c r="F15" s="141">
        <v>0.0</v>
      </c>
      <c r="G15" s="141">
        <v>0.0</v>
      </c>
      <c r="H15" s="141">
        <v>0.0</v>
      </c>
      <c r="I15" s="141">
        <v>0.0</v>
      </c>
      <c r="J15" s="141">
        <v>0.0</v>
      </c>
      <c r="K15" s="141">
        <v>0.0</v>
      </c>
      <c r="L15" s="141">
        <v>0.0</v>
      </c>
      <c r="M15" s="141">
        <v>0.0</v>
      </c>
      <c r="N15" s="141">
        <v>0.0</v>
      </c>
      <c r="O15" s="141">
        <v>0.0</v>
      </c>
      <c r="P15" s="141">
        <v>0.0</v>
      </c>
      <c r="Q15" s="141">
        <v>0.0</v>
      </c>
      <c r="R15" s="141">
        <v>0.0</v>
      </c>
      <c r="S15" s="141">
        <v>0.0</v>
      </c>
      <c r="T15" s="141">
        <v>0.0</v>
      </c>
      <c r="U15" s="141">
        <v>0.0</v>
      </c>
      <c r="V15" s="141">
        <v>1.9321517636363634E8</v>
      </c>
      <c r="W15" s="141"/>
      <c r="X15" s="141"/>
      <c r="Y15" s="141"/>
      <c r="Z15" s="141"/>
    </row>
    <row r="16">
      <c r="A16" s="141" t="str">
        <f>IFERROR(__xludf.DUMMYFUNCTION("""COMPUTED_VALUE"""),"Bùi Xuân Đạt")</f>
        <v>Bùi Xuân Đạt</v>
      </c>
      <c r="B16" s="141">
        <v>0.0</v>
      </c>
      <c r="C16" s="141">
        <v>0.0</v>
      </c>
      <c r="D16" s="141">
        <v>0.0</v>
      </c>
      <c r="E16" s="141">
        <v>2.2899E7</v>
      </c>
      <c r="F16" s="141">
        <v>0.0</v>
      </c>
      <c r="G16" s="141">
        <v>0.0</v>
      </c>
      <c r="H16" s="141">
        <v>0.0</v>
      </c>
      <c r="I16" s="141">
        <v>0.0</v>
      </c>
      <c r="J16" s="141">
        <v>0.0</v>
      </c>
      <c r="K16" s="141">
        <v>0.0</v>
      </c>
      <c r="L16" s="141">
        <v>0.0</v>
      </c>
      <c r="M16" s="141">
        <v>0.0</v>
      </c>
      <c r="N16" s="141">
        <v>0.0</v>
      </c>
      <c r="O16" s="141">
        <v>0.0</v>
      </c>
      <c r="P16" s="141">
        <v>0.0</v>
      </c>
      <c r="Q16" s="141">
        <v>0.0</v>
      </c>
      <c r="R16" s="141">
        <v>0.0</v>
      </c>
      <c r="S16" s="141">
        <v>0.0</v>
      </c>
      <c r="T16" s="141">
        <v>0.0</v>
      </c>
      <c r="U16" s="141">
        <v>0.0</v>
      </c>
      <c r="V16" s="141">
        <v>0.0</v>
      </c>
      <c r="W16" s="141"/>
      <c r="X16" s="141"/>
      <c r="Y16" s="141"/>
      <c r="Z16" s="141"/>
    </row>
    <row r="17">
      <c r="A17" s="141" t="str">
        <f>IFERROR(__xludf.DUMMYFUNCTION("""COMPUTED_VALUE"""),"Vũ Thị Ngọc Duyên")</f>
        <v>Vũ Thị Ngọc Duyên</v>
      </c>
      <c r="B17" s="141">
        <v>0.0</v>
      </c>
      <c r="C17" s="141">
        <v>0.0</v>
      </c>
      <c r="D17" s="141">
        <v>0.0</v>
      </c>
      <c r="E17" s="141">
        <v>0.0</v>
      </c>
      <c r="F17" s="141">
        <v>0.0</v>
      </c>
      <c r="G17" s="141">
        <v>0.0</v>
      </c>
      <c r="H17" s="141">
        <v>0.0</v>
      </c>
      <c r="I17" s="141">
        <v>0.0</v>
      </c>
      <c r="J17" s="141">
        <v>0.0</v>
      </c>
      <c r="K17" s="141">
        <v>0.0</v>
      </c>
      <c r="L17" s="141">
        <v>0.0</v>
      </c>
      <c r="M17" s="141">
        <v>4.075E7</v>
      </c>
      <c r="N17" s="141">
        <v>4.65E7</v>
      </c>
      <c r="O17" s="141">
        <v>6.427E7</v>
      </c>
      <c r="P17" s="141">
        <v>0.0</v>
      </c>
      <c r="Q17" s="141">
        <v>0.0</v>
      </c>
      <c r="R17" s="141">
        <v>0.0</v>
      </c>
      <c r="S17" s="141">
        <v>0.0</v>
      </c>
      <c r="T17" s="141">
        <v>0.0</v>
      </c>
      <c r="U17" s="141">
        <v>0.0</v>
      </c>
      <c r="V17" s="141">
        <v>0.0</v>
      </c>
      <c r="W17" s="141"/>
      <c r="X17" s="141"/>
      <c r="Y17" s="141"/>
      <c r="Z17" s="141"/>
    </row>
    <row r="18">
      <c r="A18" s="141" t="str">
        <f>IFERROR(__xludf.DUMMYFUNCTION("""COMPUTED_VALUE"""),"Nguyễn Thị Hồng")</f>
        <v>Nguyễn Thị Hồng</v>
      </c>
      <c r="B18" s="141">
        <v>0.0</v>
      </c>
      <c r="C18" s="141">
        <v>0.0</v>
      </c>
      <c r="D18" s="141">
        <v>0.0</v>
      </c>
      <c r="E18" s="141">
        <v>0.0</v>
      </c>
      <c r="F18" s="141">
        <v>0.0</v>
      </c>
      <c r="G18" s="141">
        <v>0.0</v>
      </c>
      <c r="H18" s="141">
        <v>0.0</v>
      </c>
      <c r="I18" s="141">
        <v>0.0</v>
      </c>
      <c r="J18" s="141">
        <v>0.0</v>
      </c>
      <c r="K18" s="141">
        <v>0.0</v>
      </c>
      <c r="L18" s="141">
        <v>0.0</v>
      </c>
      <c r="M18" s="141">
        <v>0.0</v>
      </c>
      <c r="N18" s="141">
        <v>3.5E7</v>
      </c>
      <c r="O18" s="141">
        <v>0.0</v>
      </c>
      <c r="P18" s="141">
        <v>0.0</v>
      </c>
      <c r="Q18" s="141">
        <v>0.0</v>
      </c>
      <c r="R18" s="141">
        <v>0.0</v>
      </c>
      <c r="S18" s="141">
        <v>0.0</v>
      </c>
      <c r="T18" s="141">
        <v>0.0</v>
      </c>
      <c r="U18" s="141">
        <v>0.0</v>
      </c>
      <c r="V18" s="141">
        <v>0.0</v>
      </c>
      <c r="W18" s="141"/>
      <c r="X18" s="141"/>
      <c r="Y18" s="141"/>
      <c r="Z18" s="141"/>
    </row>
    <row r="19">
      <c r="A19" s="141" t="str">
        <f>IFERROR(__xludf.DUMMYFUNCTION("""COMPUTED_VALUE"""),"Nguyễn Thị Hồng Nhung")</f>
        <v>Nguyễn Thị Hồng Nhung</v>
      </c>
      <c r="B19" s="141">
        <v>0.0</v>
      </c>
      <c r="C19" s="141">
        <v>0.0</v>
      </c>
      <c r="D19" s="141">
        <v>0.0</v>
      </c>
      <c r="E19" s="141">
        <v>0.0</v>
      </c>
      <c r="F19" s="141">
        <v>0.0</v>
      </c>
      <c r="G19" s="141">
        <v>0.0</v>
      </c>
      <c r="H19" s="141">
        <v>0.0</v>
      </c>
      <c r="I19" s="141">
        <v>0.0</v>
      </c>
      <c r="J19" s="141">
        <v>0.0</v>
      </c>
      <c r="K19" s="141">
        <v>0.0</v>
      </c>
      <c r="L19" s="141">
        <v>0.0</v>
      </c>
      <c r="M19" s="141">
        <v>0.0</v>
      </c>
      <c r="N19" s="141">
        <v>0.0</v>
      </c>
      <c r="O19" s="141">
        <v>3.335E7</v>
      </c>
      <c r="P19" s="141">
        <v>0.0</v>
      </c>
      <c r="Q19" s="141">
        <v>0.0</v>
      </c>
      <c r="R19" s="141">
        <v>0.0</v>
      </c>
      <c r="S19" s="141">
        <v>0.0</v>
      </c>
      <c r="T19" s="141">
        <v>0.0</v>
      </c>
      <c r="U19" s="141">
        <v>0.0</v>
      </c>
      <c r="V19" s="141">
        <v>0.0</v>
      </c>
      <c r="W19" s="141"/>
      <c r="X19" s="141"/>
      <c r="Y19" s="141"/>
      <c r="Z19" s="141"/>
    </row>
    <row r="20">
      <c r="A20" s="141"/>
      <c r="B20" s="141" t="s">
        <v>222</v>
      </c>
      <c r="C20" s="141" t="s">
        <v>222</v>
      </c>
      <c r="D20" s="141" t="s">
        <v>222</v>
      </c>
      <c r="E20" s="141" t="s">
        <v>222</v>
      </c>
      <c r="F20" s="141" t="s">
        <v>222</v>
      </c>
      <c r="G20" s="141" t="s">
        <v>222</v>
      </c>
      <c r="H20" s="141" t="s">
        <v>222</v>
      </c>
      <c r="I20" s="141" t="s">
        <v>222</v>
      </c>
      <c r="J20" s="141" t="s">
        <v>222</v>
      </c>
      <c r="K20" s="141" t="s">
        <v>222</v>
      </c>
      <c r="L20" s="141" t="s">
        <v>222</v>
      </c>
      <c r="M20" s="141" t="s">
        <v>222</v>
      </c>
      <c r="N20" s="141" t="s">
        <v>222</v>
      </c>
      <c r="O20" s="141" t="s">
        <v>222</v>
      </c>
      <c r="P20" s="141" t="s">
        <v>222</v>
      </c>
      <c r="Q20" s="141" t="s">
        <v>222</v>
      </c>
      <c r="R20" s="141" t="s">
        <v>222</v>
      </c>
      <c r="S20" s="141" t="s">
        <v>222</v>
      </c>
      <c r="T20" s="141" t="s">
        <v>222</v>
      </c>
      <c r="U20" s="141" t="s">
        <v>222</v>
      </c>
      <c r="V20" s="141" t="s">
        <v>222</v>
      </c>
      <c r="W20" s="141"/>
      <c r="X20" s="141"/>
      <c r="Y20" s="141"/>
      <c r="Z20" s="141"/>
    </row>
    <row r="21">
      <c r="A21" s="141"/>
      <c r="B21" s="141" t="s">
        <v>222</v>
      </c>
      <c r="C21" s="141" t="s">
        <v>222</v>
      </c>
      <c r="D21" s="141" t="s">
        <v>222</v>
      </c>
      <c r="E21" s="141" t="s">
        <v>222</v>
      </c>
      <c r="F21" s="141" t="s">
        <v>222</v>
      </c>
      <c r="G21" s="141" t="s">
        <v>222</v>
      </c>
      <c r="H21" s="141" t="s">
        <v>222</v>
      </c>
      <c r="I21" s="141" t="s">
        <v>222</v>
      </c>
      <c r="J21" s="141" t="s">
        <v>222</v>
      </c>
      <c r="K21" s="141" t="s">
        <v>222</v>
      </c>
      <c r="L21" s="141" t="s">
        <v>222</v>
      </c>
      <c r="M21" s="141" t="s">
        <v>222</v>
      </c>
      <c r="N21" s="141" t="s">
        <v>222</v>
      </c>
      <c r="O21" s="141" t="s">
        <v>222</v>
      </c>
      <c r="P21" s="141" t="s">
        <v>222</v>
      </c>
      <c r="Q21" s="141" t="s">
        <v>222</v>
      </c>
      <c r="R21" s="141" t="s">
        <v>222</v>
      </c>
      <c r="S21" s="141" t="s">
        <v>222</v>
      </c>
      <c r="T21" s="141" t="s">
        <v>222</v>
      </c>
      <c r="U21" s="141" t="s">
        <v>222</v>
      </c>
      <c r="V21" s="141" t="s">
        <v>222</v>
      </c>
      <c r="W21" s="141"/>
      <c r="X21" s="141"/>
      <c r="Y21" s="141"/>
      <c r="Z21" s="141"/>
    </row>
    <row r="22">
      <c r="A22" s="141"/>
      <c r="B22" s="141" t="s">
        <v>222</v>
      </c>
      <c r="C22" s="141" t="s">
        <v>222</v>
      </c>
      <c r="D22" s="141" t="s">
        <v>222</v>
      </c>
      <c r="E22" s="141" t="s">
        <v>222</v>
      </c>
      <c r="F22" s="141" t="s">
        <v>222</v>
      </c>
      <c r="G22" s="141" t="s">
        <v>222</v>
      </c>
      <c r="H22" s="141" t="s">
        <v>222</v>
      </c>
      <c r="I22" s="141" t="s">
        <v>222</v>
      </c>
      <c r="J22" s="141" t="s">
        <v>222</v>
      </c>
      <c r="K22" s="141" t="s">
        <v>222</v>
      </c>
      <c r="L22" s="141" t="s">
        <v>222</v>
      </c>
      <c r="M22" s="141" t="s">
        <v>222</v>
      </c>
      <c r="N22" s="141" t="s">
        <v>222</v>
      </c>
      <c r="O22" s="141" t="s">
        <v>222</v>
      </c>
      <c r="P22" s="141" t="s">
        <v>222</v>
      </c>
      <c r="Q22" s="141" t="s">
        <v>222</v>
      </c>
      <c r="R22" s="141" t="s">
        <v>222</v>
      </c>
      <c r="S22" s="141" t="s">
        <v>222</v>
      </c>
      <c r="T22" s="141" t="s">
        <v>222</v>
      </c>
      <c r="U22" s="141" t="s">
        <v>222</v>
      </c>
      <c r="V22" s="141" t="s">
        <v>222</v>
      </c>
      <c r="W22" s="141"/>
      <c r="X22" s="141"/>
      <c r="Y22" s="141"/>
      <c r="Z22" s="141"/>
    </row>
    <row r="23">
      <c r="A23" s="141"/>
      <c r="B23" s="141" t="s">
        <v>222</v>
      </c>
      <c r="C23" s="141" t="s">
        <v>222</v>
      </c>
      <c r="D23" s="141" t="s">
        <v>222</v>
      </c>
      <c r="E23" s="141" t="s">
        <v>222</v>
      </c>
      <c r="F23" s="141" t="s">
        <v>222</v>
      </c>
      <c r="G23" s="141" t="s">
        <v>222</v>
      </c>
      <c r="H23" s="141" t="s">
        <v>222</v>
      </c>
      <c r="I23" s="141" t="s">
        <v>222</v>
      </c>
      <c r="J23" s="141" t="s">
        <v>222</v>
      </c>
      <c r="K23" s="141" t="s">
        <v>222</v>
      </c>
      <c r="L23" s="141" t="s">
        <v>222</v>
      </c>
      <c r="M23" s="141" t="s">
        <v>222</v>
      </c>
      <c r="N23" s="141" t="s">
        <v>222</v>
      </c>
      <c r="O23" s="141" t="s">
        <v>222</v>
      </c>
      <c r="P23" s="141" t="s">
        <v>222</v>
      </c>
      <c r="Q23" s="141" t="s">
        <v>222</v>
      </c>
      <c r="R23" s="141" t="s">
        <v>222</v>
      </c>
      <c r="S23" s="141" t="s">
        <v>222</v>
      </c>
      <c r="T23" s="141" t="s">
        <v>222</v>
      </c>
      <c r="U23" s="141" t="s">
        <v>222</v>
      </c>
      <c r="V23" s="141" t="s">
        <v>222</v>
      </c>
      <c r="W23" s="141"/>
      <c r="X23" s="141"/>
      <c r="Y23" s="141"/>
      <c r="Z23" s="141"/>
    </row>
    <row r="24">
      <c r="A24" s="141"/>
      <c r="B24" s="141" t="s">
        <v>222</v>
      </c>
      <c r="C24" s="141" t="s">
        <v>222</v>
      </c>
      <c r="D24" s="141" t="s">
        <v>222</v>
      </c>
      <c r="E24" s="141" t="s">
        <v>222</v>
      </c>
      <c r="F24" s="141" t="s">
        <v>222</v>
      </c>
      <c r="G24" s="141" t="s">
        <v>222</v>
      </c>
      <c r="H24" s="141" t="s">
        <v>222</v>
      </c>
      <c r="I24" s="141" t="s">
        <v>222</v>
      </c>
      <c r="J24" s="141" t="s">
        <v>222</v>
      </c>
      <c r="K24" s="141" t="s">
        <v>222</v>
      </c>
      <c r="L24" s="141" t="s">
        <v>222</v>
      </c>
      <c r="M24" s="141" t="s">
        <v>222</v>
      </c>
      <c r="N24" s="141" t="s">
        <v>222</v>
      </c>
      <c r="O24" s="141" t="s">
        <v>222</v>
      </c>
      <c r="P24" s="141" t="s">
        <v>222</v>
      </c>
      <c r="Q24" s="141" t="s">
        <v>222</v>
      </c>
      <c r="R24" s="141" t="s">
        <v>222</v>
      </c>
      <c r="S24" s="141" t="s">
        <v>222</v>
      </c>
      <c r="T24" s="141" t="s">
        <v>222</v>
      </c>
      <c r="U24" s="141" t="s">
        <v>222</v>
      </c>
      <c r="V24" s="141" t="s">
        <v>222</v>
      </c>
      <c r="W24" s="141"/>
      <c r="X24" s="141"/>
      <c r="Y24" s="141"/>
      <c r="Z24" s="141"/>
    </row>
    <row r="25">
      <c r="A25" s="141"/>
      <c r="B25" s="141" t="s">
        <v>222</v>
      </c>
      <c r="C25" s="141" t="s">
        <v>222</v>
      </c>
      <c r="D25" s="141" t="s">
        <v>222</v>
      </c>
      <c r="E25" s="141" t="s">
        <v>222</v>
      </c>
      <c r="F25" s="141" t="s">
        <v>222</v>
      </c>
      <c r="G25" s="141" t="s">
        <v>222</v>
      </c>
      <c r="H25" s="141" t="s">
        <v>222</v>
      </c>
      <c r="I25" s="141" t="s">
        <v>222</v>
      </c>
      <c r="J25" s="141" t="s">
        <v>222</v>
      </c>
      <c r="K25" s="141" t="s">
        <v>222</v>
      </c>
      <c r="L25" s="141" t="s">
        <v>222</v>
      </c>
      <c r="M25" s="141" t="s">
        <v>222</v>
      </c>
      <c r="N25" s="141" t="s">
        <v>222</v>
      </c>
      <c r="O25" s="141" t="s">
        <v>222</v>
      </c>
      <c r="P25" s="141" t="s">
        <v>222</v>
      </c>
      <c r="Q25" s="141" t="s">
        <v>222</v>
      </c>
      <c r="R25" s="141" t="s">
        <v>222</v>
      </c>
      <c r="S25" s="141" t="s">
        <v>222</v>
      </c>
      <c r="T25" s="141" t="s">
        <v>222</v>
      </c>
      <c r="U25" s="141" t="s">
        <v>222</v>
      </c>
      <c r="V25" s="141" t="s">
        <v>222</v>
      </c>
      <c r="W25" s="141"/>
      <c r="X25" s="141"/>
      <c r="Y25" s="141"/>
      <c r="Z25" s="141"/>
    </row>
    <row r="26">
      <c r="A26" s="141"/>
      <c r="B26" s="141" t="s">
        <v>222</v>
      </c>
      <c r="C26" s="141" t="s">
        <v>222</v>
      </c>
      <c r="D26" s="141" t="s">
        <v>222</v>
      </c>
      <c r="E26" s="141" t="s">
        <v>222</v>
      </c>
      <c r="F26" s="141" t="s">
        <v>222</v>
      </c>
      <c r="G26" s="141" t="s">
        <v>222</v>
      </c>
      <c r="H26" s="141" t="s">
        <v>222</v>
      </c>
      <c r="I26" s="141" t="s">
        <v>222</v>
      </c>
      <c r="J26" s="141" t="s">
        <v>222</v>
      </c>
      <c r="K26" s="141" t="s">
        <v>222</v>
      </c>
      <c r="L26" s="141" t="s">
        <v>222</v>
      </c>
      <c r="M26" s="141" t="s">
        <v>222</v>
      </c>
      <c r="N26" s="141" t="s">
        <v>222</v>
      </c>
      <c r="O26" s="141" t="s">
        <v>222</v>
      </c>
      <c r="P26" s="141" t="s">
        <v>222</v>
      </c>
      <c r="Q26" s="141" t="s">
        <v>222</v>
      </c>
      <c r="R26" s="141" t="s">
        <v>222</v>
      </c>
      <c r="S26" s="141" t="s">
        <v>222</v>
      </c>
      <c r="T26" s="141" t="s">
        <v>222</v>
      </c>
      <c r="U26" s="141" t="s">
        <v>222</v>
      </c>
      <c r="V26" s="141" t="s">
        <v>222</v>
      </c>
      <c r="W26" s="141"/>
      <c r="X26" s="141"/>
      <c r="Y26" s="141"/>
      <c r="Z26" s="141"/>
    </row>
    <row r="27">
      <c r="A27" s="141"/>
      <c r="B27" s="141" t="s">
        <v>222</v>
      </c>
      <c r="C27" s="141" t="s">
        <v>222</v>
      </c>
      <c r="D27" s="141" t="s">
        <v>222</v>
      </c>
      <c r="E27" s="141" t="s">
        <v>222</v>
      </c>
      <c r="F27" s="141" t="s">
        <v>222</v>
      </c>
      <c r="G27" s="141" t="s">
        <v>222</v>
      </c>
      <c r="H27" s="141" t="s">
        <v>222</v>
      </c>
      <c r="I27" s="141" t="s">
        <v>222</v>
      </c>
      <c r="J27" s="141" t="s">
        <v>222</v>
      </c>
      <c r="K27" s="141" t="s">
        <v>222</v>
      </c>
      <c r="L27" s="141" t="s">
        <v>222</v>
      </c>
      <c r="M27" s="141" t="s">
        <v>222</v>
      </c>
      <c r="N27" s="141" t="s">
        <v>222</v>
      </c>
      <c r="O27" s="141" t="s">
        <v>222</v>
      </c>
      <c r="P27" s="141" t="s">
        <v>222</v>
      </c>
      <c r="Q27" s="141" t="s">
        <v>222</v>
      </c>
      <c r="R27" s="141" t="s">
        <v>222</v>
      </c>
      <c r="S27" s="141" t="s">
        <v>222</v>
      </c>
      <c r="T27" s="141" t="s">
        <v>222</v>
      </c>
      <c r="U27" s="141" t="s">
        <v>222</v>
      </c>
      <c r="V27" s="141" t="s">
        <v>222</v>
      </c>
      <c r="W27" s="141"/>
      <c r="X27" s="141"/>
      <c r="Y27" s="141"/>
      <c r="Z27" s="141"/>
    </row>
    <row r="28">
      <c r="A28" s="141"/>
      <c r="B28" s="141" t="s">
        <v>222</v>
      </c>
      <c r="C28" s="141" t="s">
        <v>222</v>
      </c>
      <c r="D28" s="141" t="s">
        <v>222</v>
      </c>
      <c r="E28" s="141" t="s">
        <v>222</v>
      </c>
      <c r="F28" s="141" t="s">
        <v>222</v>
      </c>
      <c r="G28" s="141" t="s">
        <v>222</v>
      </c>
      <c r="H28" s="141" t="s">
        <v>222</v>
      </c>
      <c r="I28" s="141" t="s">
        <v>222</v>
      </c>
      <c r="J28" s="141" t="s">
        <v>222</v>
      </c>
      <c r="K28" s="141" t="s">
        <v>222</v>
      </c>
      <c r="L28" s="141" t="s">
        <v>222</v>
      </c>
      <c r="M28" s="141" t="s">
        <v>222</v>
      </c>
      <c r="N28" s="141" t="s">
        <v>222</v>
      </c>
      <c r="O28" s="141" t="s">
        <v>222</v>
      </c>
      <c r="P28" s="141" t="s">
        <v>222</v>
      </c>
      <c r="Q28" s="141" t="s">
        <v>222</v>
      </c>
      <c r="R28" s="141" t="s">
        <v>222</v>
      </c>
      <c r="S28" s="141" t="s">
        <v>222</v>
      </c>
      <c r="T28" s="141" t="s">
        <v>222</v>
      </c>
      <c r="U28" s="141" t="s">
        <v>222</v>
      </c>
      <c r="V28" s="141" t="s">
        <v>222</v>
      </c>
      <c r="W28" s="141"/>
      <c r="X28" s="141"/>
      <c r="Y28" s="141"/>
      <c r="Z28" s="141"/>
    </row>
    <row r="29">
      <c r="A29" s="141"/>
      <c r="B29" s="141" t="s">
        <v>222</v>
      </c>
      <c r="C29" s="141" t="s">
        <v>222</v>
      </c>
      <c r="D29" s="141" t="s">
        <v>222</v>
      </c>
      <c r="E29" s="141" t="s">
        <v>222</v>
      </c>
      <c r="F29" s="141" t="s">
        <v>222</v>
      </c>
      <c r="G29" s="141" t="s">
        <v>222</v>
      </c>
      <c r="H29" s="141" t="s">
        <v>222</v>
      </c>
      <c r="I29" s="141" t="s">
        <v>222</v>
      </c>
      <c r="J29" s="141" t="s">
        <v>222</v>
      </c>
      <c r="K29" s="141" t="s">
        <v>222</v>
      </c>
      <c r="L29" s="141" t="s">
        <v>222</v>
      </c>
      <c r="M29" s="141" t="s">
        <v>222</v>
      </c>
      <c r="N29" s="141" t="s">
        <v>222</v>
      </c>
      <c r="O29" s="141" t="s">
        <v>222</v>
      </c>
      <c r="P29" s="141" t="s">
        <v>222</v>
      </c>
      <c r="Q29" s="141" t="s">
        <v>222</v>
      </c>
      <c r="R29" s="141" t="s">
        <v>222</v>
      </c>
      <c r="S29" s="141" t="s">
        <v>222</v>
      </c>
      <c r="T29" s="141" t="s">
        <v>222</v>
      </c>
      <c r="U29" s="141" t="s">
        <v>222</v>
      </c>
      <c r="V29" s="141" t="s">
        <v>222</v>
      </c>
      <c r="W29" s="141"/>
      <c r="X29" s="141"/>
      <c r="Y29" s="141"/>
      <c r="Z29" s="141"/>
    </row>
    <row r="30">
      <c r="A30" s="141"/>
      <c r="B30" s="141" t="s">
        <v>222</v>
      </c>
      <c r="C30" s="141" t="s">
        <v>222</v>
      </c>
      <c r="D30" s="141" t="s">
        <v>222</v>
      </c>
      <c r="E30" s="141" t="s">
        <v>222</v>
      </c>
      <c r="F30" s="141" t="s">
        <v>222</v>
      </c>
      <c r="G30" s="141" t="s">
        <v>222</v>
      </c>
      <c r="H30" s="141" t="s">
        <v>222</v>
      </c>
      <c r="I30" s="141" t="s">
        <v>222</v>
      </c>
      <c r="J30" s="141" t="s">
        <v>222</v>
      </c>
      <c r="K30" s="141" t="s">
        <v>222</v>
      </c>
      <c r="L30" s="141" t="s">
        <v>222</v>
      </c>
      <c r="M30" s="141" t="s">
        <v>222</v>
      </c>
      <c r="N30" s="141" t="s">
        <v>222</v>
      </c>
      <c r="O30" s="141" t="s">
        <v>222</v>
      </c>
      <c r="P30" s="141" t="s">
        <v>222</v>
      </c>
      <c r="Q30" s="141" t="s">
        <v>222</v>
      </c>
      <c r="R30" s="141" t="s">
        <v>222</v>
      </c>
      <c r="S30" s="141" t="s">
        <v>222</v>
      </c>
      <c r="T30" s="141" t="s">
        <v>222</v>
      </c>
      <c r="U30" s="141" t="s">
        <v>222</v>
      </c>
      <c r="V30" s="141" t="s">
        <v>222</v>
      </c>
      <c r="W30" s="141"/>
      <c r="X30" s="141"/>
      <c r="Y30" s="141"/>
      <c r="Z30" s="141"/>
    </row>
    <row r="31">
      <c r="A31" s="141"/>
      <c r="B31" s="141" t="s">
        <v>222</v>
      </c>
      <c r="C31" s="141" t="s">
        <v>222</v>
      </c>
      <c r="D31" s="141" t="s">
        <v>222</v>
      </c>
      <c r="E31" s="141" t="s">
        <v>222</v>
      </c>
      <c r="F31" s="141" t="s">
        <v>222</v>
      </c>
      <c r="G31" s="141" t="s">
        <v>222</v>
      </c>
      <c r="H31" s="141" t="s">
        <v>222</v>
      </c>
      <c r="I31" s="141" t="s">
        <v>222</v>
      </c>
      <c r="J31" s="141" t="s">
        <v>222</v>
      </c>
      <c r="K31" s="141" t="s">
        <v>222</v>
      </c>
      <c r="L31" s="141" t="s">
        <v>222</v>
      </c>
      <c r="M31" s="141" t="s">
        <v>222</v>
      </c>
      <c r="N31" s="141" t="s">
        <v>222</v>
      </c>
      <c r="O31" s="141" t="s">
        <v>222</v>
      </c>
      <c r="P31" s="141" t="s">
        <v>222</v>
      </c>
      <c r="Q31" s="141" t="s">
        <v>222</v>
      </c>
      <c r="R31" s="141" t="s">
        <v>222</v>
      </c>
      <c r="S31" s="141" t="s">
        <v>222</v>
      </c>
      <c r="T31" s="141" t="s">
        <v>222</v>
      </c>
      <c r="U31" s="141" t="s">
        <v>222</v>
      </c>
      <c r="V31" s="141" t="s">
        <v>222</v>
      </c>
      <c r="W31" s="141"/>
      <c r="X31" s="141"/>
      <c r="Y31" s="141"/>
      <c r="Z31" s="141"/>
    </row>
    <row r="32">
      <c r="A32" s="141"/>
      <c r="B32" s="141" t="s">
        <v>222</v>
      </c>
      <c r="C32" s="141" t="s">
        <v>222</v>
      </c>
      <c r="D32" s="141" t="s">
        <v>222</v>
      </c>
      <c r="E32" s="141" t="s">
        <v>222</v>
      </c>
      <c r="F32" s="141" t="s">
        <v>222</v>
      </c>
      <c r="G32" s="141" t="s">
        <v>222</v>
      </c>
      <c r="H32" s="141" t="s">
        <v>222</v>
      </c>
      <c r="I32" s="141" t="s">
        <v>222</v>
      </c>
      <c r="J32" s="141" t="s">
        <v>222</v>
      </c>
      <c r="K32" s="141" t="s">
        <v>222</v>
      </c>
      <c r="L32" s="141" t="s">
        <v>222</v>
      </c>
      <c r="M32" s="141" t="s">
        <v>222</v>
      </c>
      <c r="N32" s="141" t="s">
        <v>222</v>
      </c>
      <c r="O32" s="141" t="s">
        <v>222</v>
      </c>
      <c r="P32" s="141" t="s">
        <v>222</v>
      </c>
      <c r="Q32" s="141" t="s">
        <v>222</v>
      </c>
      <c r="R32" s="141" t="s">
        <v>222</v>
      </c>
      <c r="S32" s="141" t="s">
        <v>222</v>
      </c>
      <c r="T32" s="141" t="s">
        <v>222</v>
      </c>
      <c r="U32" s="141" t="s">
        <v>222</v>
      </c>
      <c r="V32" s="141" t="s">
        <v>222</v>
      </c>
      <c r="W32" s="141"/>
      <c r="X32" s="141"/>
      <c r="Y32" s="141"/>
      <c r="Z32" s="141"/>
    </row>
    <row r="33">
      <c r="A33" s="141"/>
      <c r="B33" s="141" t="s">
        <v>222</v>
      </c>
      <c r="C33" s="141" t="s">
        <v>222</v>
      </c>
      <c r="D33" s="141" t="s">
        <v>222</v>
      </c>
      <c r="E33" s="141" t="s">
        <v>222</v>
      </c>
      <c r="F33" s="141" t="s">
        <v>222</v>
      </c>
      <c r="G33" s="141" t="s">
        <v>222</v>
      </c>
      <c r="H33" s="141" t="s">
        <v>222</v>
      </c>
      <c r="I33" s="141" t="s">
        <v>222</v>
      </c>
      <c r="J33" s="141" t="s">
        <v>222</v>
      </c>
      <c r="K33" s="141" t="s">
        <v>222</v>
      </c>
      <c r="L33" s="141" t="s">
        <v>222</v>
      </c>
      <c r="M33" s="141" t="s">
        <v>222</v>
      </c>
      <c r="N33" s="141" t="s">
        <v>222</v>
      </c>
      <c r="O33" s="141" t="s">
        <v>222</v>
      </c>
      <c r="P33" s="141" t="s">
        <v>222</v>
      </c>
      <c r="Q33" s="141" t="s">
        <v>222</v>
      </c>
      <c r="R33" s="141" t="s">
        <v>222</v>
      </c>
      <c r="S33" s="141" t="s">
        <v>222</v>
      </c>
      <c r="T33" s="141" t="s">
        <v>222</v>
      </c>
      <c r="U33" s="141" t="s">
        <v>222</v>
      </c>
      <c r="V33" s="141" t="s">
        <v>222</v>
      </c>
      <c r="W33" s="141"/>
      <c r="X33" s="141"/>
      <c r="Y33" s="141"/>
      <c r="Z33" s="141"/>
    </row>
    <row r="34">
      <c r="A34" s="141"/>
      <c r="B34" s="141" t="s">
        <v>222</v>
      </c>
      <c r="C34" s="141" t="s">
        <v>222</v>
      </c>
      <c r="D34" s="141" t="s">
        <v>222</v>
      </c>
      <c r="E34" s="141" t="s">
        <v>222</v>
      </c>
      <c r="F34" s="141" t="s">
        <v>222</v>
      </c>
      <c r="G34" s="141" t="s">
        <v>222</v>
      </c>
      <c r="H34" s="141" t="s">
        <v>222</v>
      </c>
      <c r="I34" s="141" t="s">
        <v>222</v>
      </c>
      <c r="J34" s="141" t="s">
        <v>222</v>
      </c>
      <c r="K34" s="141" t="s">
        <v>222</v>
      </c>
      <c r="L34" s="141" t="s">
        <v>222</v>
      </c>
      <c r="M34" s="141" t="s">
        <v>222</v>
      </c>
      <c r="N34" s="141" t="s">
        <v>222</v>
      </c>
      <c r="O34" s="141" t="s">
        <v>222</v>
      </c>
      <c r="P34" s="141" t="s">
        <v>222</v>
      </c>
      <c r="Q34" s="141" t="s">
        <v>222</v>
      </c>
      <c r="R34" s="141" t="s">
        <v>222</v>
      </c>
      <c r="S34" s="141" t="s">
        <v>222</v>
      </c>
      <c r="T34" s="141" t="s">
        <v>222</v>
      </c>
      <c r="U34" s="141" t="s">
        <v>222</v>
      </c>
      <c r="V34" s="141" t="s">
        <v>222</v>
      </c>
      <c r="W34" s="141"/>
      <c r="X34" s="141"/>
      <c r="Y34" s="141"/>
      <c r="Z34" s="141"/>
    </row>
    <row r="35">
      <c r="A35" s="141"/>
      <c r="B35" s="141" t="s">
        <v>222</v>
      </c>
      <c r="C35" s="141" t="s">
        <v>222</v>
      </c>
      <c r="D35" s="141" t="s">
        <v>222</v>
      </c>
      <c r="E35" s="141" t="s">
        <v>222</v>
      </c>
      <c r="F35" s="141" t="s">
        <v>222</v>
      </c>
      <c r="G35" s="141" t="s">
        <v>222</v>
      </c>
      <c r="H35" s="141" t="s">
        <v>222</v>
      </c>
      <c r="I35" s="141" t="s">
        <v>222</v>
      </c>
      <c r="J35" s="141" t="s">
        <v>222</v>
      </c>
      <c r="K35" s="141" t="s">
        <v>222</v>
      </c>
      <c r="L35" s="141" t="s">
        <v>222</v>
      </c>
      <c r="M35" s="141" t="s">
        <v>222</v>
      </c>
      <c r="N35" s="141" t="s">
        <v>222</v>
      </c>
      <c r="O35" s="141" t="s">
        <v>222</v>
      </c>
      <c r="P35" s="141" t="s">
        <v>222</v>
      </c>
      <c r="Q35" s="141" t="s">
        <v>222</v>
      </c>
      <c r="R35" s="141" t="s">
        <v>222</v>
      </c>
      <c r="S35" s="141" t="s">
        <v>222</v>
      </c>
      <c r="T35" s="141" t="s">
        <v>222</v>
      </c>
      <c r="U35" s="141" t="s">
        <v>222</v>
      </c>
      <c r="V35" s="141" t="s">
        <v>222</v>
      </c>
      <c r="W35" s="141"/>
      <c r="X35" s="141"/>
      <c r="Y35" s="141"/>
      <c r="Z35" s="141"/>
    </row>
    <row r="36">
      <c r="A36" s="141"/>
      <c r="B36" s="141" t="s">
        <v>222</v>
      </c>
      <c r="C36" s="141" t="s">
        <v>222</v>
      </c>
      <c r="D36" s="141" t="s">
        <v>222</v>
      </c>
      <c r="E36" s="141" t="s">
        <v>222</v>
      </c>
      <c r="F36" s="141" t="s">
        <v>222</v>
      </c>
      <c r="G36" s="141" t="s">
        <v>222</v>
      </c>
      <c r="H36" s="141" t="s">
        <v>222</v>
      </c>
      <c r="I36" s="141" t="s">
        <v>222</v>
      </c>
      <c r="J36" s="141" t="s">
        <v>222</v>
      </c>
      <c r="K36" s="141" t="s">
        <v>222</v>
      </c>
      <c r="L36" s="141" t="s">
        <v>222</v>
      </c>
      <c r="M36" s="141" t="s">
        <v>222</v>
      </c>
      <c r="N36" s="141" t="s">
        <v>222</v>
      </c>
      <c r="O36" s="141" t="s">
        <v>222</v>
      </c>
      <c r="P36" s="141" t="s">
        <v>222</v>
      </c>
      <c r="Q36" s="141" t="s">
        <v>222</v>
      </c>
      <c r="R36" s="141" t="s">
        <v>222</v>
      </c>
      <c r="S36" s="141" t="s">
        <v>222</v>
      </c>
      <c r="T36" s="141" t="s">
        <v>222</v>
      </c>
      <c r="U36" s="141" t="s">
        <v>222</v>
      </c>
      <c r="V36" s="141" t="s">
        <v>222</v>
      </c>
      <c r="W36" s="141"/>
      <c r="X36" s="141"/>
      <c r="Y36" s="141"/>
      <c r="Z36" s="141"/>
    </row>
    <row r="37">
      <c r="A37" s="141"/>
      <c r="B37" s="141" t="s">
        <v>222</v>
      </c>
      <c r="C37" s="141" t="s">
        <v>222</v>
      </c>
      <c r="D37" s="141" t="s">
        <v>222</v>
      </c>
      <c r="E37" s="141" t="s">
        <v>222</v>
      </c>
      <c r="F37" s="141" t="s">
        <v>222</v>
      </c>
      <c r="G37" s="141" t="s">
        <v>222</v>
      </c>
      <c r="H37" s="141" t="s">
        <v>222</v>
      </c>
      <c r="I37" s="141" t="s">
        <v>222</v>
      </c>
      <c r="J37" s="141" t="s">
        <v>222</v>
      </c>
      <c r="K37" s="141" t="s">
        <v>222</v>
      </c>
      <c r="L37" s="141" t="s">
        <v>222</v>
      </c>
      <c r="M37" s="141" t="s">
        <v>222</v>
      </c>
      <c r="N37" s="141" t="s">
        <v>222</v>
      </c>
      <c r="O37" s="141" t="s">
        <v>222</v>
      </c>
      <c r="P37" s="141" t="s">
        <v>222</v>
      </c>
      <c r="Q37" s="141" t="s">
        <v>222</v>
      </c>
      <c r="R37" s="141" t="s">
        <v>222</v>
      </c>
      <c r="S37" s="141" t="s">
        <v>222</v>
      </c>
      <c r="T37" s="141" t="s">
        <v>222</v>
      </c>
      <c r="U37" s="141" t="s">
        <v>222</v>
      </c>
      <c r="V37" s="141" t="s">
        <v>222</v>
      </c>
      <c r="W37" s="141"/>
      <c r="X37" s="141"/>
      <c r="Y37" s="141"/>
      <c r="Z37" s="141"/>
    </row>
    <row r="38">
      <c r="A38" s="141"/>
      <c r="B38" s="141" t="s">
        <v>222</v>
      </c>
      <c r="C38" s="141" t="s">
        <v>222</v>
      </c>
      <c r="D38" s="141" t="s">
        <v>222</v>
      </c>
      <c r="E38" s="141" t="s">
        <v>222</v>
      </c>
      <c r="F38" s="141" t="s">
        <v>222</v>
      </c>
      <c r="G38" s="141" t="s">
        <v>222</v>
      </c>
      <c r="H38" s="141" t="s">
        <v>222</v>
      </c>
      <c r="I38" s="141" t="s">
        <v>222</v>
      </c>
      <c r="J38" s="141" t="s">
        <v>222</v>
      </c>
      <c r="K38" s="141" t="s">
        <v>222</v>
      </c>
      <c r="L38" s="141" t="s">
        <v>222</v>
      </c>
      <c r="M38" s="141" t="s">
        <v>222</v>
      </c>
      <c r="N38" s="141" t="s">
        <v>222</v>
      </c>
      <c r="O38" s="141" t="s">
        <v>222</v>
      </c>
      <c r="P38" s="141" t="s">
        <v>222</v>
      </c>
      <c r="Q38" s="141" t="s">
        <v>222</v>
      </c>
      <c r="R38" s="141" t="s">
        <v>222</v>
      </c>
      <c r="S38" s="141" t="s">
        <v>222</v>
      </c>
      <c r="T38" s="141" t="s">
        <v>222</v>
      </c>
      <c r="U38" s="141" t="s">
        <v>222</v>
      </c>
      <c r="V38" s="141" t="s">
        <v>222</v>
      </c>
      <c r="W38" s="141"/>
      <c r="X38" s="141"/>
      <c r="Y38" s="141"/>
      <c r="Z38" s="141"/>
    </row>
    <row r="39">
      <c r="A39" s="141"/>
      <c r="B39" s="141" t="s">
        <v>222</v>
      </c>
      <c r="C39" s="141" t="s">
        <v>222</v>
      </c>
      <c r="D39" s="141" t="s">
        <v>222</v>
      </c>
      <c r="E39" s="141" t="s">
        <v>222</v>
      </c>
      <c r="F39" s="141" t="s">
        <v>222</v>
      </c>
      <c r="G39" s="141" t="s">
        <v>222</v>
      </c>
      <c r="H39" s="141" t="s">
        <v>222</v>
      </c>
      <c r="I39" s="141" t="s">
        <v>222</v>
      </c>
      <c r="J39" s="141" t="s">
        <v>222</v>
      </c>
      <c r="K39" s="141" t="s">
        <v>222</v>
      </c>
      <c r="L39" s="141" t="s">
        <v>222</v>
      </c>
      <c r="M39" s="141" t="s">
        <v>222</v>
      </c>
      <c r="N39" s="141" t="s">
        <v>222</v>
      </c>
      <c r="O39" s="141" t="s">
        <v>222</v>
      </c>
      <c r="P39" s="141" t="s">
        <v>222</v>
      </c>
      <c r="Q39" s="141" t="s">
        <v>222</v>
      </c>
      <c r="R39" s="141" t="s">
        <v>222</v>
      </c>
      <c r="S39" s="141" t="s">
        <v>222</v>
      </c>
      <c r="T39" s="141" t="s">
        <v>222</v>
      </c>
      <c r="U39" s="141" t="s">
        <v>222</v>
      </c>
      <c r="V39" s="141" t="s">
        <v>222</v>
      </c>
      <c r="W39" s="141"/>
      <c r="X39" s="141"/>
      <c r="Y39" s="141"/>
      <c r="Z39" s="141"/>
    </row>
    <row r="40">
      <c r="A40" s="141"/>
      <c r="B40" s="141" t="s">
        <v>222</v>
      </c>
      <c r="C40" s="141" t="s">
        <v>222</v>
      </c>
      <c r="D40" s="141" t="s">
        <v>222</v>
      </c>
      <c r="E40" s="141" t="s">
        <v>222</v>
      </c>
      <c r="F40" s="141" t="s">
        <v>222</v>
      </c>
      <c r="G40" s="141" t="s">
        <v>222</v>
      </c>
      <c r="H40" s="141" t="s">
        <v>222</v>
      </c>
      <c r="I40" s="141" t="s">
        <v>222</v>
      </c>
      <c r="J40" s="141" t="s">
        <v>222</v>
      </c>
      <c r="K40" s="141" t="s">
        <v>222</v>
      </c>
      <c r="L40" s="141" t="s">
        <v>222</v>
      </c>
      <c r="M40" s="141" t="s">
        <v>222</v>
      </c>
      <c r="N40" s="141" t="s">
        <v>222</v>
      </c>
      <c r="O40" s="141" t="s">
        <v>222</v>
      </c>
      <c r="P40" s="141" t="s">
        <v>222</v>
      </c>
      <c r="Q40" s="141" t="s">
        <v>222</v>
      </c>
      <c r="R40" s="141" t="s">
        <v>222</v>
      </c>
      <c r="S40" s="141" t="s">
        <v>222</v>
      </c>
      <c r="T40" s="141" t="s">
        <v>222</v>
      </c>
      <c r="U40" s="141" t="s">
        <v>222</v>
      </c>
      <c r="V40" s="141" t="s">
        <v>222</v>
      </c>
      <c r="W40" s="141"/>
      <c r="X40" s="141"/>
      <c r="Y40" s="141"/>
      <c r="Z40" s="141"/>
    </row>
    <row r="41">
      <c r="A41" s="141"/>
      <c r="B41" s="141" t="s">
        <v>222</v>
      </c>
      <c r="C41" s="141" t="s">
        <v>222</v>
      </c>
      <c r="D41" s="141" t="s">
        <v>222</v>
      </c>
      <c r="E41" s="141" t="s">
        <v>222</v>
      </c>
      <c r="F41" s="141" t="s">
        <v>222</v>
      </c>
      <c r="G41" s="141" t="s">
        <v>222</v>
      </c>
      <c r="H41" s="141" t="s">
        <v>222</v>
      </c>
      <c r="I41" s="141" t="s">
        <v>222</v>
      </c>
      <c r="J41" s="141" t="s">
        <v>222</v>
      </c>
      <c r="K41" s="141" t="s">
        <v>222</v>
      </c>
      <c r="L41" s="141" t="s">
        <v>222</v>
      </c>
      <c r="M41" s="141" t="s">
        <v>222</v>
      </c>
      <c r="N41" s="141" t="s">
        <v>222</v>
      </c>
      <c r="O41" s="141" t="s">
        <v>222</v>
      </c>
      <c r="P41" s="141" t="s">
        <v>222</v>
      </c>
      <c r="Q41" s="141" t="s">
        <v>222</v>
      </c>
      <c r="R41" s="141" t="s">
        <v>222</v>
      </c>
      <c r="S41" s="141" t="s">
        <v>222</v>
      </c>
      <c r="T41" s="141" t="s">
        <v>222</v>
      </c>
      <c r="U41" s="141" t="s">
        <v>222</v>
      </c>
      <c r="V41" s="141" t="s">
        <v>222</v>
      </c>
      <c r="W41" s="141"/>
      <c r="X41" s="141"/>
      <c r="Y41" s="141"/>
      <c r="Z41" s="141"/>
    </row>
    <row r="42">
      <c r="A42" s="141"/>
      <c r="B42" s="141" t="s">
        <v>222</v>
      </c>
      <c r="C42" s="141" t="s">
        <v>222</v>
      </c>
      <c r="D42" s="141" t="s">
        <v>222</v>
      </c>
      <c r="E42" s="141" t="s">
        <v>222</v>
      </c>
      <c r="F42" s="141" t="s">
        <v>222</v>
      </c>
      <c r="G42" s="141" t="s">
        <v>222</v>
      </c>
      <c r="H42" s="141" t="s">
        <v>222</v>
      </c>
      <c r="I42" s="141" t="s">
        <v>222</v>
      </c>
      <c r="J42" s="141" t="s">
        <v>222</v>
      </c>
      <c r="K42" s="141" t="s">
        <v>222</v>
      </c>
      <c r="L42" s="141" t="s">
        <v>222</v>
      </c>
      <c r="M42" s="141" t="s">
        <v>222</v>
      </c>
      <c r="N42" s="141" t="s">
        <v>222</v>
      </c>
      <c r="O42" s="141" t="s">
        <v>222</v>
      </c>
      <c r="P42" s="141" t="s">
        <v>222</v>
      </c>
      <c r="Q42" s="141" t="s">
        <v>222</v>
      </c>
      <c r="R42" s="141" t="s">
        <v>222</v>
      </c>
      <c r="S42" s="141" t="s">
        <v>222</v>
      </c>
      <c r="T42" s="141" t="s">
        <v>222</v>
      </c>
      <c r="U42" s="141" t="s">
        <v>222</v>
      </c>
      <c r="V42" s="141" t="s">
        <v>222</v>
      </c>
      <c r="W42" s="141"/>
      <c r="X42" s="141"/>
      <c r="Y42" s="141"/>
      <c r="Z42" s="141"/>
    </row>
    <row r="43">
      <c r="A43" s="141"/>
      <c r="B43" s="141" t="s">
        <v>222</v>
      </c>
      <c r="C43" s="141" t="s">
        <v>222</v>
      </c>
      <c r="D43" s="141" t="s">
        <v>222</v>
      </c>
      <c r="E43" s="141" t="s">
        <v>222</v>
      </c>
      <c r="F43" s="141" t="s">
        <v>222</v>
      </c>
      <c r="G43" s="141" t="s">
        <v>222</v>
      </c>
      <c r="H43" s="141" t="s">
        <v>222</v>
      </c>
      <c r="I43" s="141" t="s">
        <v>222</v>
      </c>
      <c r="J43" s="141" t="s">
        <v>222</v>
      </c>
      <c r="K43" s="141" t="s">
        <v>222</v>
      </c>
      <c r="L43" s="141" t="s">
        <v>222</v>
      </c>
      <c r="M43" s="141" t="s">
        <v>222</v>
      </c>
      <c r="N43" s="141" t="s">
        <v>222</v>
      </c>
      <c r="O43" s="141" t="s">
        <v>222</v>
      </c>
      <c r="P43" s="141" t="s">
        <v>222</v>
      </c>
      <c r="Q43" s="141" t="s">
        <v>222</v>
      </c>
      <c r="R43" s="141" t="s">
        <v>222</v>
      </c>
      <c r="S43" s="141" t="s">
        <v>222</v>
      </c>
      <c r="T43" s="141" t="s">
        <v>222</v>
      </c>
      <c r="U43" s="141" t="s">
        <v>222</v>
      </c>
      <c r="V43" s="141" t="s">
        <v>222</v>
      </c>
      <c r="W43" s="141"/>
      <c r="X43" s="141"/>
      <c r="Y43" s="141"/>
      <c r="Z43" s="141"/>
    </row>
    <row r="44">
      <c r="A44" s="141"/>
      <c r="B44" s="141" t="s">
        <v>222</v>
      </c>
      <c r="C44" s="141" t="s">
        <v>222</v>
      </c>
      <c r="D44" s="141" t="s">
        <v>222</v>
      </c>
      <c r="E44" s="141" t="s">
        <v>222</v>
      </c>
      <c r="F44" s="141" t="s">
        <v>222</v>
      </c>
      <c r="G44" s="141" t="s">
        <v>222</v>
      </c>
      <c r="H44" s="141" t="s">
        <v>222</v>
      </c>
      <c r="I44" s="141" t="s">
        <v>222</v>
      </c>
      <c r="J44" s="141" t="s">
        <v>222</v>
      </c>
      <c r="K44" s="141" t="s">
        <v>222</v>
      </c>
      <c r="L44" s="141" t="s">
        <v>222</v>
      </c>
      <c r="M44" s="141" t="s">
        <v>222</v>
      </c>
      <c r="N44" s="141" t="s">
        <v>222</v>
      </c>
      <c r="O44" s="141" t="s">
        <v>222</v>
      </c>
      <c r="P44" s="141" t="s">
        <v>222</v>
      </c>
      <c r="Q44" s="141" t="s">
        <v>222</v>
      </c>
      <c r="R44" s="141" t="s">
        <v>222</v>
      </c>
      <c r="S44" s="141" t="s">
        <v>222</v>
      </c>
      <c r="T44" s="141" t="s">
        <v>222</v>
      </c>
      <c r="U44" s="141" t="s">
        <v>222</v>
      </c>
      <c r="V44" s="141" t="s">
        <v>222</v>
      </c>
      <c r="W44" s="141"/>
      <c r="X44" s="141"/>
      <c r="Y44" s="141"/>
      <c r="Z44" s="141"/>
    </row>
    <row r="45">
      <c r="A45" s="141"/>
      <c r="B45" s="141" t="s">
        <v>222</v>
      </c>
      <c r="C45" s="141" t="s">
        <v>222</v>
      </c>
      <c r="D45" s="141" t="s">
        <v>222</v>
      </c>
      <c r="E45" s="141" t="s">
        <v>222</v>
      </c>
      <c r="F45" s="141" t="s">
        <v>222</v>
      </c>
      <c r="G45" s="141" t="s">
        <v>222</v>
      </c>
      <c r="H45" s="141" t="s">
        <v>222</v>
      </c>
      <c r="I45" s="141" t="s">
        <v>222</v>
      </c>
      <c r="J45" s="141" t="s">
        <v>222</v>
      </c>
      <c r="K45" s="141" t="s">
        <v>222</v>
      </c>
      <c r="L45" s="141" t="s">
        <v>222</v>
      </c>
      <c r="M45" s="141" t="s">
        <v>222</v>
      </c>
      <c r="N45" s="141" t="s">
        <v>222</v>
      </c>
      <c r="O45" s="141" t="s">
        <v>222</v>
      </c>
      <c r="P45" s="141" t="s">
        <v>222</v>
      </c>
      <c r="Q45" s="141" t="s">
        <v>222</v>
      </c>
      <c r="R45" s="141" t="s">
        <v>222</v>
      </c>
      <c r="S45" s="141" t="s">
        <v>222</v>
      </c>
      <c r="T45" s="141" t="s">
        <v>222</v>
      </c>
      <c r="U45" s="141" t="s">
        <v>222</v>
      </c>
      <c r="V45" s="141" t="s">
        <v>222</v>
      </c>
      <c r="W45" s="141"/>
      <c r="X45" s="141"/>
      <c r="Y45" s="141"/>
      <c r="Z45" s="141"/>
    </row>
    <row r="46">
      <c r="A46" s="141"/>
      <c r="B46" s="141" t="s">
        <v>222</v>
      </c>
      <c r="C46" s="141" t="s">
        <v>222</v>
      </c>
      <c r="D46" s="141" t="s">
        <v>222</v>
      </c>
      <c r="E46" s="141" t="s">
        <v>222</v>
      </c>
      <c r="F46" s="141" t="s">
        <v>222</v>
      </c>
      <c r="G46" s="141" t="s">
        <v>222</v>
      </c>
      <c r="H46" s="141" t="s">
        <v>222</v>
      </c>
      <c r="I46" s="141" t="s">
        <v>222</v>
      </c>
      <c r="J46" s="141" t="s">
        <v>222</v>
      </c>
      <c r="K46" s="141" t="s">
        <v>222</v>
      </c>
      <c r="L46" s="141" t="s">
        <v>222</v>
      </c>
      <c r="M46" s="141" t="s">
        <v>222</v>
      </c>
      <c r="N46" s="141" t="s">
        <v>222</v>
      </c>
      <c r="O46" s="141" t="s">
        <v>222</v>
      </c>
      <c r="P46" s="141" t="s">
        <v>222</v>
      </c>
      <c r="Q46" s="141" t="s">
        <v>222</v>
      </c>
      <c r="R46" s="141" t="s">
        <v>222</v>
      </c>
      <c r="S46" s="141" t="s">
        <v>222</v>
      </c>
      <c r="T46" s="141" t="s">
        <v>222</v>
      </c>
      <c r="U46" s="141" t="s">
        <v>222</v>
      </c>
      <c r="V46" s="141" t="s">
        <v>222</v>
      </c>
      <c r="W46" s="141"/>
      <c r="X46" s="141"/>
      <c r="Y46" s="141"/>
      <c r="Z46" s="141"/>
    </row>
    <row r="47">
      <c r="A47" s="141"/>
      <c r="B47" s="141" t="s">
        <v>222</v>
      </c>
      <c r="C47" s="141" t="s">
        <v>222</v>
      </c>
      <c r="D47" s="141" t="s">
        <v>222</v>
      </c>
      <c r="E47" s="141" t="s">
        <v>222</v>
      </c>
      <c r="F47" s="141" t="s">
        <v>222</v>
      </c>
      <c r="G47" s="141" t="s">
        <v>222</v>
      </c>
      <c r="H47" s="141" t="s">
        <v>222</v>
      </c>
      <c r="I47" s="141" t="s">
        <v>222</v>
      </c>
      <c r="J47" s="141" t="s">
        <v>222</v>
      </c>
      <c r="K47" s="141" t="s">
        <v>222</v>
      </c>
      <c r="L47" s="141" t="s">
        <v>222</v>
      </c>
      <c r="M47" s="141" t="s">
        <v>222</v>
      </c>
      <c r="N47" s="141" t="s">
        <v>222</v>
      </c>
      <c r="O47" s="141" t="s">
        <v>222</v>
      </c>
      <c r="P47" s="141" t="s">
        <v>222</v>
      </c>
      <c r="Q47" s="141" t="s">
        <v>222</v>
      </c>
      <c r="R47" s="141" t="s">
        <v>222</v>
      </c>
      <c r="S47" s="141" t="s">
        <v>222</v>
      </c>
      <c r="T47" s="141" t="s">
        <v>222</v>
      </c>
      <c r="U47" s="141" t="s">
        <v>222</v>
      </c>
      <c r="V47" s="141" t="s">
        <v>222</v>
      </c>
      <c r="W47" s="141"/>
      <c r="X47" s="141"/>
      <c r="Y47" s="141"/>
      <c r="Z47" s="141"/>
    </row>
    <row r="48">
      <c r="A48" s="141"/>
      <c r="B48" s="141" t="s">
        <v>222</v>
      </c>
      <c r="C48" s="141" t="s">
        <v>222</v>
      </c>
      <c r="D48" s="141" t="s">
        <v>222</v>
      </c>
      <c r="E48" s="141" t="s">
        <v>222</v>
      </c>
      <c r="F48" s="141" t="s">
        <v>222</v>
      </c>
      <c r="G48" s="141" t="s">
        <v>222</v>
      </c>
      <c r="H48" s="141" t="s">
        <v>222</v>
      </c>
      <c r="I48" s="141" t="s">
        <v>222</v>
      </c>
      <c r="J48" s="141" t="s">
        <v>222</v>
      </c>
      <c r="K48" s="141" t="s">
        <v>222</v>
      </c>
      <c r="L48" s="141" t="s">
        <v>222</v>
      </c>
      <c r="M48" s="141" t="s">
        <v>222</v>
      </c>
      <c r="N48" s="141" t="s">
        <v>222</v>
      </c>
      <c r="O48" s="141" t="s">
        <v>222</v>
      </c>
      <c r="P48" s="141" t="s">
        <v>222</v>
      </c>
      <c r="Q48" s="141" t="s">
        <v>222</v>
      </c>
      <c r="R48" s="141" t="s">
        <v>222</v>
      </c>
      <c r="S48" s="141" t="s">
        <v>222</v>
      </c>
      <c r="T48" s="141" t="s">
        <v>222</v>
      </c>
      <c r="U48" s="141" t="s">
        <v>222</v>
      </c>
      <c r="V48" s="141" t="s">
        <v>222</v>
      </c>
      <c r="W48" s="141"/>
      <c r="X48" s="141"/>
      <c r="Y48" s="141"/>
      <c r="Z48" s="141"/>
    </row>
    <row r="49">
      <c r="A49" s="141"/>
      <c r="B49" s="141" t="s">
        <v>222</v>
      </c>
      <c r="C49" s="141" t="s">
        <v>222</v>
      </c>
      <c r="D49" s="141" t="s">
        <v>222</v>
      </c>
      <c r="E49" s="141" t="s">
        <v>222</v>
      </c>
      <c r="F49" s="141" t="s">
        <v>222</v>
      </c>
      <c r="G49" s="141" t="s">
        <v>222</v>
      </c>
      <c r="H49" s="141" t="s">
        <v>222</v>
      </c>
      <c r="I49" s="141" t="s">
        <v>222</v>
      </c>
      <c r="J49" s="141" t="s">
        <v>222</v>
      </c>
      <c r="K49" s="141" t="s">
        <v>222</v>
      </c>
      <c r="L49" s="141" t="s">
        <v>222</v>
      </c>
      <c r="M49" s="141" t="s">
        <v>222</v>
      </c>
      <c r="N49" s="141" t="s">
        <v>222</v>
      </c>
      <c r="O49" s="141" t="s">
        <v>222</v>
      </c>
      <c r="P49" s="141" t="s">
        <v>222</v>
      </c>
      <c r="Q49" s="141" t="s">
        <v>222</v>
      </c>
      <c r="R49" s="141" t="s">
        <v>222</v>
      </c>
      <c r="S49" s="141" t="s">
        <v>222</v>
      </c>
      <c r="T49" s="141" t="s">
        <v>222</v>
      </c>
      <c r="U49" s="141" t="s">
        <v>222</v>
      </c>
      <c r="V49" s="141" t="s">
        <v>222</v>
      </c>
      <c r="W49" s="141"/>
      <c r="X49" s="141"/>
      <c r="Y49" s="141"/>
      <c r="Z49" s="141"/>
    </row>
    <row r="50">
      <c r="A50" s="141"/>
      <c r="B50" s="141" t="s">
        <v>222</v>
      </c>
      <c r="C50" s="141" t="s">
        <v>222</v>
      </c>
      <c r="D50" s="141" t="s">
        <v>222</v>
      </c>
      <c r="E50" s="141" t="s">
        <v>222</v>
      </c>
      <c r="F50" s="141" t="s">
        <v>222</v>
      </c>
      <c r="G50" s="141" t="s">
        <v>222</v>
      </c>
      <c r="H50" s="141" t="s">
        <v>222</v>
      </c>
      <c r="I50" s="141" t="s">
        <v>222</v>
      </c>
      <c r="J50" s="141" t="s">
        <v>222</v>
      </c>
      <c r="K50" s="141" t="s">
        <v>222</v>
      </c>
      <c r="L50" s="141" t="s">
        <v>222</v>
      </c>
      <c r="M50" s="141" t="s">
        <v>222</v>
      </c>
      <c r="N50" s="141" t="s">
        <v>222</v>
      </c>
      <c r="O50" s="141" t="s">
        <v>222</v>
      </c>
      <c r="P50" s="141" t="s">
        <v>222</v>
      </c>
      <c r="Q50" s="141" t="s">
        <v>222</v>
      </c>
      <c r="R50" s="141" t="s">
        <v>222</v>
      </c>
      <c r="S50" s="141" t="s">
        <v>222</v>
      </c>
      <c r="T50" s="141" t="s">
        <v>222</v>
      </c>
      <c r="U50" s="141" t="s">
        <v>222</v>
      </c>
      <c r="V50" s="141" t="s">
        <v>222</v>
      </c>
      <c r="W50" s="141"/>
      <c r="X50" s="141"/>
      <c r="Y50" s="141"/>
      <c r="Z50" s="141"/>
    </row>
    <row r="51">
      <c r="A51" s="141"/>
      <c r="B51" s="141" t="s">
        <v>222</v>
      </c>
      <c r="C51" s="141" t="s">
        <v>222</v>
      </c>
      <c r="D51" s="141" t="s">
        <v>222</v>
      </c>
      <c r="E51" s="141" t="s">
        <v>222</v>
      </c>
      <c r="F51" s="141" t="s">
        <v>222</v>
      </c>
      <c r="G51" s="141" t="s">
        <v>222</v>
      </c>
      <c r="H51" s="141" t="s">
        <v>222</v>
      </c>
      <c r="I51" s="141" t="s">
        <v>222</v>
      </c>
      <c r="J51" s="141" t="s">
        <v>222</v>
      </c>
      <c r="K51" s="141" t="s">
        <v>222</v>
      </c>
      <c r="L51" s="141" t="s">
        <v>222</v>
      </c>
      <c r="M51" s="141" t="s">
        <v>222</v>
      </c>
      <c r="N51" s="141" t="s">
        <v>222</v>
      </c>
      <c r="O51" s="141" t="s">
        <v>222</v>
      </c>
      <c r="P51" s="141" t="s">
        <v>222</v>
      </c>
      <c r="Q51" s="141" t="s">
        <v>222</v>
      </c>
      <c r="R51" s="141" t="s">
        <v>222</v>
      </c>
      <c r="S51" s="141" t="s">
        <v>222</v>
      </c>
      <c r="T51" s="141" t="s">
        <v>222</v>
      </c>
      <c r="U51" s="141" t="s">
        <v>222</v>
      </c>
      <c r="V51" s="141" t="s">
        <v>222</v>
      </c>
      <c r="W51" s="141"/>
      <c r="X51" s="141"/>
      <c r="Y51" s="141"/>
      <c r="Z51" s="141"/>
    </row>
    <row r="52">
      <c r="A52" s="141"/>
      <c r="B52" s="141" t="s">
        <v>222</v>
      </c>
      <c r="C52" s="141" t="s">
        <v>222</v>
      </c>
      <c r="D52" s="141" t="s">
        <v>222</v>
      </c>
      <c r="E52" s="141" t="s">
        <v>222</v>
      </c>
      <c r="F52" s="141" t="s">
        <v>222</v>
      </c>
      <c r="G52" s="141" t="s">
        <v>222</v>
      </c>
      <c r="H52" s="141" t="s">
        <v>222</v>
      </c>
      <c r="I52" s="141" t="s">
        <v>222</v>
      </c>
      <c r="J52" s="141" t="s">
        <v>222</v>
      </c>
      <c r="K52" s="141" t="s">
        <v>222</v>
      </c>
      <c r="L52" s="141" t="s">
        <v>222</v>
      </c>
      <c r="M52" s="141" t="s">
        <v>222</v>
      </c>
      <c r="N52" s="141" t="s">
        <v>222</v>
      </c>
      <c r="O52" s="141" t="s">
        <v>222</v>
      </c>
      <c r="P52" s="141" t="s">
        <v>222</v>
      </c>
      <c r="Q52" s="141" t="s">
        <v>222</v>
      </c>
      <c r="R52" s="141" t="s">
        <v>222</v>
      </c>
      <c r="S52" s="141" t="s">
        <v>222</v>
      </c>
      <c r="T52" s="141" t="s">
        <v>222</v>
      </c>
      <c r="U52" s="141" t="s">
        <v>222</v>
      </c>
      <c r="V52" s="141" t="s">
        <v>222</v>
      </c>
      <c r="W52" s="141"/>
      <c r="X52" s="141"/>
      <c r="Y52" s="141"/>
      <c r="Z52" s="141"/>
    </row>
    <row r="53">
      <c r="A53" s="141"/>
      <c r="B53" s="141" t="s">
        <v>222</v>
      </c>
      <c r="C53" s="141" t="s">
        <v>222</v>
      </c>
      <c r="D53" s="141" t="s">
        <v>222</v>
      </c>
      <c r="E53" s="141" t="s">
        <v>222</v>
      </c>
      <c r="F53" s="141" t="s">
        <v>222</v>
      </c>
      <c r="G53" s="141" t="s">
        <v>222</v>
      </c>
      <c r="H53" s="141" t="s">
        <v>222</v>
      </c>
      <c r="I53" s="141" t="s">
        <v>222</v>
      </c>
      <c r="J53" s="141" t="s">
        <v>222</v>
      </c>
      <c r="K53" s="141" t="s">
        <v>222</v>
      </c>
      <c r="L53" s="141" t="s">
        <v>222</v>
      </c>
      <c r="M53" s="141" t="s">
        <v>222</v>
      </c>
      <c r="N53" s="141" t="s">
        <v>222</v>
      </c>
      <c r="O53" s="141" t="s">
        <v>222</v>
      </c>
      <c r="P53" s="141" t="s">
        <v>222</v>
      </c>
      <c r="Q53" s="141" t="s">
        <v>222</v>
      </c>
      <c r="R53" s="141" t="s">
        <v>222</v>
      </c>
      <c r="S53" s="141" t="s">
        <v>222</v>
      </c>
      <c r="T53" s="141" t="s">
        <v>222</v>
      </c>
      <c r="U53" s="141" t="s">
        <v>222</v>
      </c>
      <c r="V53" s="141" t="s">
        <v>222</v>
      </c>
      <c r="W53" s="141"/>
      <c r="X53" s="141"/>
      <c r="Y53" s="141"/>
      <c r="Z53" s="141"/>
    </row>
    <row r="54">
      <c r="A54" s="141"/>
      <c r="B54" s="141" t="s">
        <v>222</v>
      </c>
      <c r="C54" s="141" t="s">
        <v>222</v>
      </c>
      <c r="D54" s="141" t="s">
        <v>222</v>
      </c>
      <c r="E54" s="141" t="s">
        <v>222</v>
      </c>
      <c r="F54" s="141" t="s">
        <v>222</v>
      </c>
      <c r="G54" s="141" t="s">
        <v>222</v>
      </c>
      <c r="H54" s="141" t="s">
        <v>222</v>
      </c>
      <c r="I54" s="141" t="s">
        <v>222</v>
      </c>
      <c r="J54" s="141" t="s">
        <v>222</v>
      </c>
      <c r="K54" s="141" t="s">
        <v>222</v>
      </c>
      <c r="L54" s="141" t="s">
        <v>222</v>
      </c>
      <c r="M54" s="141" t="s">
        <v>222</v>
      </c>
      <c r="N54" s="141" t="s">
        <v>222</v>
      </c>
      <c r="O54" s="141" t="s">
        <v>222</v>
      </c>
      <c r="P54" s="141" t="s">
        <v>222</v>
      </c>
      <c r="Q54" s="141" t="s">
        <v>222</v>
      </c>
      <c r="R54" s="141" t="s">
        <v>222</v>
      </c>
      <c r="S54" s="141" t="s">
        <v>222</v>
      </c>
      <c r="T54" s="141" t="s">
        <v>222</v>
      </c>
      <c r="U54" s="141" t="s">
        <v>222</v>
      </c>
      <c r="V54" s="141" t="s">
        <v>222</v>
      </c>
      <c r="W54" s="141"/>
      <c r="X54" s="141"/>
      <c r="Y54" s="141"/>
      <c r="Z54" s="141"/>
    </row>
    <row r="55">
      <c r="A55" s="141"/>
      <c r="B55" s="141" t="s">
        <v>222</v>
      </c>
      <c r="C55" s="141" t="s">
        <v>222</v>
      </c>
      <c r="D55" s="141" t="s">
        <v>222</v>
      </c>
      <c r="E55" s="141" t="s">
        <v>222</v>
      </c>
      <c r="F55" s="141" t="s">
        <v>222</v>
      </c>
      <c r="G55" s="141" t="s">
        <v>222</v>
      </c>
      <c r="H55" s="141" t="s">
        <v>222</v>
      </c>
      <c r="I55" s="141" t="s">
        <v>222</v>
      </c>
      <c r="J55" s="141" t="s">
        <v>222</v>
      </c>
      <c r="K55" s="141" t="s">
        <v>222</v>
      </c>
      <c r="L55" s="141" t="s">
        <v>222</v>
      </c>
      <c r="M55" s="141" t="s">
        <v>222</v>
      </c>
      <c r="N55" s="141" t="s">
        <v>222</v>
      </c>
      <c r="O55" s="141" t="s">
        <v>222</v>
      </c>
      <c r="P55" s="141" t="s">
        <v>222</v>
      </c>
      <c r="Q55" s="141" t="s">
        <v>222</v>
      </c>
      <c r="R55" s="141" t="s">
        <v>222</v>
      </c>
      <c r="S55" s="141" t="s">
        <v>222</v>
      </c>
      <c r="T55" s="141" t="s">
        <v>222</v>
      </c>
      <c r="U55" s="141" t="s">
        <v>222</v>
      </c>
      <c r="V55" s="141" t="s">
        <v>222</v>
      </c>
      <c r="W55" s="141"/>
      <c r="X55" s="141"/>
      <c r="Y55" s="141"/>
      <c r="Z55" s="141"/>
    </row>
    <row r="56">
      <c r="A56" s="141"/>
      <c r="B56" s="141" t="s">
        <v>222</v>
      </c>
      <c r="C56" s="141" t="s">
        <v>222</v>
      </c>
      <c r="D56" s="141" t="s">
        <v>222</v>
      </c>
      <c r="E56" s="141" t="s">
        <v>222</v>
      </c>
      <c r="F56" s="141" t="s">
        <v>222</v>
      </c>
      <c r="G56" s="141" t="s">
        <v>222</v>
      </c>
      <c r="H56" s="141" t="s">
        <v>222</v>
      </c>
      <c r="I56" s="141" t="s">
        <v>222</v>
      </c>
      <c r="J56" s="141" t="s">
        <v>222</v>
      </c>
      <c r="K56" s="141" t="s">
        <v>222</v>
      </c>
      <c r="L56" s="141" t="s">
        <v>222</v>
      </c>
      <c r="M56" s="141" t="s">
        <v>222</v>
      </c>
      <c r="N56" s="141" t="s">
        <v>222</v>
      </c>
      <c r="O56" s="141" t="s">
        <v>222</v>
      </c>
      <c r="P56" s="141" t="s">
        <v>222</v>
      </c>
      <c r="Q56" s="141" t="s">
        <v>222</v>
      </c>
      <c r="R56" s="141" t="s">
        <v>222</v>
      </c>
      <c r="S56" s="141" t="s">
        <v>222</v>
      </c>
      <c r="T56" s="141" t="s">
        <v>222</v>
      </c>
      <c r="U56" s="141" t="s">
        <v>222</v>
      </c>
      <c r="V56" s="141" t="s">
        <v>222</v>
      </c>
      <c r="W56" s="141"/>
      <c r="X56" s="141"/>
      <c r="Y56" s="141"/>
      <c r="Z56" s="141"/>
    </row>
    <row r="57">
      <c r="A57" s="141"/>
      <c r="B57" s="141" t="s">
        <v>222</v>
      </c>
      <c r="C57" s="141" t="s">
        <v>222</v>
      </c>
      <c r="D57" s="141" t="s">
        <v>222</v>
      </c>
      <c r="E57" s="141" t="s">
        <v>222</v>
      </c>
      <c r="F57" s="141" t="s">
        <v>222</v>
      </c>
      <c r="G57" s="141" t="s">
        <v>222</v>
      </c>
      <c r="H57" s="141" t="s">
        <v>222</v>
      </c>
      <c r="I57" s="141" t="s">
        <v>222</v>
      </c>
      <c r="J57" s="141" t="s">
        <v>222</v>
      </c>
      <c r="K57" s="141" t="s">
        <v>222</v>
      </c>
      <c r="L57" s="141" t="s">
        <v>222</v>
      </c>
      <c r="M57" s="141" t="s">
        <v>222</v>
      </c>
      <c r="N57" s="141" t="s">
        <v>222</v>
      </c>
      <c r="O57" s="141" t="s">
        <v>222</v>
      </c>
      <c r="P57" s="141" t="s">
        <v>222</v>
      </c>
      <c r="Q57" s="141" t="s">
        <v>222</v>
      </c>
      <c r="R57" s="141" t="s">
        <v>222</v>
      </c>
      <c r="S57" s="141" t="s">
        <v>222</v>
      </c>
      <c r="T57" s="141" t="s">
        <v>222</v>
      </c>
      <c r="U57" s="141" t="s">
        <v>222</v>
      </c>
      <c r="V57" s="141" t="s">
        <v>222</v>
      </c>
      <c r="W57" s="141"/>
      <c r="X57" s="141"/>
      <c r="Y57" s="141"/>
      <c r="Z57" s="141"/>
    </row>
    <row r="58">
      <c r="A58" s="141"/>
      <c r="B58" s="141" t="s">
        <v>222</v>
      </c>
      <c r="C58" s="141" t="s">
        <v>222</v>
      </c>
      <c r="D58" s="141" t="s">
        <v>222</v>
      </c>
      <c r="E58" s="141" t="s">
        <v>222</v>
      </c>
      <c r="F58" s="141" t="s">
        <v>222</v>
      </c>
      <c r="G58" s="141" t="s">
        <v>222</v>
      </c>
      <c r="H58" s="141" t="s">
        <v>222</v>
      </c>
      <c r="I58" s="141" t="s">
        <v>222</v>
      </c>
      <c r="J58" s="141" t="s">
        <v>222</v>
      </c>
      <c r="K58" s="141" t="s">
        <v>222</v>
      </c>
      <c r="L58" s="141" t="s">
        <v>222</v>
      </c>
      <c r="M58" s="141" t="s">
        <v>222</v>
      </c>
      <c r="N58" s="141" t="s">
        <v>222</v>
      </c>
      <c r="O58" s="141" t="s">
        <v>222</v>
      </c>
      <c r="P58" s="141" t="s">
        <v>222</v>
      </c>
      <c r="Q58" s="141" t="s">
        <v>222</v>
      </c>
      <c r="R58" s="141" t="s">
        <v>222</v>
      </c>
      <c r="S58" s="141" t="s">
        <v>222</v>
      </c>
      <c r="T58" s="141" t="s">
        <v>222</v>
      </c>
      <c r="U58" s="141" t="s">
        <v>222</v>
      </c>
      <c r="V58" s="141" t="s">
        <v>222</v>
      </c>
      <c r="W58" s="141"/>
      <c r="X58" s="141"/>
      <c r="Y58" s="141"/>
      <c r="Z58" s="141"/>
    </row>
    <row r="59">
      <c r="A59" s="141"/>
      <c r="B59" s="141" t="s">
        <v>222</v>
      </c>
      <c r="C59" s="141" t="s">
        <v>222</v>
      </c>
      <c r="D59" s="141" t="s">
        <v>222</v>
      </c>
      <c r="E59" s="141" t="s">
        <v>222</v>
      </c>
      <c r="F59" s="141" t="s">
        <v>222</v>
      </c>
      <c r="G59" s="141" t="s">
        <v>222</v>
      </c>
      <c r="H59" s="141" t="s">
        <v>222</v>
      </c>
      <c r="I59" s="141" t="s">
        <v>222</v>
      </c>
      <c r="J59" s="141" t="s">
        <v>222</v>
      </c>
      <c r="K59" s="141" t="s">
        <v>222</v>
      </c>
      <c r="L59" s="141" t="s">
        <v>222</v>
      </c>
      <c r="M59" s="141" t="s">
        <v>222</v>
      </c>
      <c r="N59" s="141" t="s">
        <v>222</v>
      </c>
      <c r="O59" s="141" t="s">
        <v>222</v>
      </c>
      <c r="P59" s="141" t="s">
        <v>222</v>
      </c>
      <c r="Q59" s="141" t="s">
        <v>222</v>
      </c>
      <c r="R59" s="141" t="s">
        <v>222</v>
      </c>
      <c r="S59" s="141" t="s">
        <v>222</v>
      </c>
      <c r="T59" s="141" t="s">
        <v>222</v>
      </c>
      <c r="U59" s="141" t="s">
        <v>222</v>
      </c>
      <c r="V59" s="141" t="s">
        <v>222</v>
      </c>
      <c r="W59" s="141"/>
      <c r="X59" s="141"/>
      <c r="Y59" s="141"/>
      <c r="Z59" s="141"/>
    </row>
    <row r="60">
      <c r="A60" s="141"/>
      <c r="B60" s="141" t="s">
        <v>222</v>
      </c>
      <c r="C60" s="141" t="s">
        <v>222</v>
      </c>
      <c r="D60" s="141" t="s">
        <v>222</v>
      </c>
      <c r="E60" s="141" t="s">
        <v>222</v>
      </c>
      <c r="F60" s="141" t="s">
        <v>222</v>
      </c>
      <c r="G60" s="141" t="s">
        <v>222</v>
      </c>
      <c r="H60" s="141" t="s">
        <v>222</v>
      </c>
      <c r="I60" s="141" t="s">
        <v>222</v>
      </c>
      <c r="J60" s="141" t="s">
        <v>222</v>
      </c>
      <c r="K60" s="141" t="s">
        <v>222</v>
      </c>
      <c r="L60" s="141" t="s">
        <v>222</v>
      </c>
      <c r="M60" s="141" t="s">
        <v>222</v>
      </c>
      <c r="N60" s="141" t="s">
        <v>222</v>
      </c>
      <c r="O60" s="141" t="s">
        <v>222</v>
      </c>
      <c r="P60" s="141" t="s">
        <v>222</v>
      </c>
      <c r="Q60" s="141" t="s">
        <v>222</v>
      </c>
      <c r="R60" s="141" t="s">
        <v>222</v>
      </c>
      <c r="S60" s="141" t="s">
        <v>222</v>
      </c>
      <c r="T60" s="141" t="s">
        <v>222</v>
      </c>
      <c r="U60" s="141" t="s">
        <v>222</v>
      </c>
      <c r="V60" s="141" t="s">
        <v>222</v>
      </c>
      <c r="W60" s="141"/>
      <c r="X60" s="141"/>
      <c r="Y60" s="141"/>
      <c r="Z60" s="141"/>
    </row>
    <row r="61">
      <c r="A61" s="141"/>
      <c r="B61" s="141" t="s">
        <v>222</v>
      </c>
      <c r="C61" s="141" t="s">
        <v>222</v>
      </c>
      <c r="D61" s="141" t="s">
        <v>222</v>
      </c>
      <c r="E61" s="141" t="s">
        <v>222</v>
      </c>
      <c r="F61" s="141" t="s">
        <v>222</v>
      </c>
      <c r="G61" s="141" t="s">
        <v>222</v>
      </c>
      <c r="H61" s="141" t="s">
        <v>222</v>
      </c>
      <c r="I61" s="141" t="s">
        <v>222</v>
      </c>
      <c r="J61" s="141" t="s">
        <v>222</v>
      </c>
      <c r="K61" s="141" t="s">
        <v>222</v>
      </c>
      <c r="L61" s="141" t="s">
        <v>222</v>
      </c>
      <c r="M61" s="141" t="s">
        <v>222</v>
      </c>
      <c r="N61" s="141" t="s">
        <v>222</v>
      </c>
      <c r="O61" s="141" t="s">
        <v>222</v>
      </c>
      <c r="P61" s="141" t="s">
        <v>222</v>
      </c>
      <c r="Q61" s="141" t="s">
        <v>222</v>
      </c>
      <c r="R61" s="141" t="s">
        <v>222</v>
      </c>
      <c r="S61" s="141" t="s">
        <v>222</v>
      </c>
      <c r="T61" s="141" t="s">
        <v>222</v>
      </c>
      <c r="U61" s="141" t="s">
        <v>222</v>
      </c>
      <c r="V61" s="141" t="s">
        <v>222</v>
      </c>
      <c r="W61" s="141"/>
      <c r="X61" s="141"/>
      <c r="Y61" s="141"/>
      <c r="Z61" s="141"/>
    </row>
    <row r="62">
      <c r="A62" s="141"/>
      <c r="B62" s="141" t="s">
        <v>222</v>
      </c>
      <c r="C62" s="141" t="s">
        <v>222</v>
      </c>
      <c r="D62" s="141" t="s">
        <v>222</v>
      </c>
      <c r="E62" s="141" t="s">
        <v>222</v>
      </c>
      <c r="F62" s="141" t="s">
        <v>222</v>
      </c>
      <c r="G62" s="141" t="s">
        <v>222</v>
      </c>
      <c r="H62" s="141" t="s">
        <v>222</v>
      </c>
      <c r="I62" s="141" t="s">
        <v>222</v>
      </c>
      <c r="J62" s="141" t="s">
        <v>222</v>
      </c>
      <c r="K62" s="141" t="s">
        <v>222</v>
      </c>
      <c r="L62" s="141" t="s">
        <v>222</v>
      </c>
      <c r="M62" s="141" t="s">
        <v>222</v>
      </c>
      <c r="N62" s="141" t="s">
        <v>222</v>
      </c>
      <c r="O62" s="141" t="s">
        <v>222</v>
      </c>
      <c r="P62" s="141" t="s">
        <v>222</v>
      </c>
      <c r="Q62" s="141" t="s">
        <v>222</v>
      </c>
      <c r="R62" s="141" t="s">
        <v>222</v>
      </c>
      <c r="S62" s="141" t="s">
        <v>222</v>
      </c>
      <c r="T62" s="141" t="s">
        <v>222</v>
      </c>
      <c r="U62" s="141" t="s">
        <v>222</v>
      </c>
      <c r="V62" s="141" t="s">
        <v>222</v>
      </c>
      <c r="W62" s="141"/>
      <c r="X62" s="141"/>
      <c r="Y62" s="141"/>
      <c r="Z62" s="141"/>
    </row>
    <row r="63">
      <c r="A63" s="141"/>
      <c r="B63" s="141" t="s">
        <v>222</v>
      </c>
      <c r="C63" s="141" t="s">
        <v>222</v>
      </c>
      <c r="D63" s="141" t="s">
        <v>222</v>
      </c>
      <c r="E63" s="141" t="s">
        <v>222</v>
      </c>
      <c r="F63" s="141" t="s">
        <v>222</v>
      </c>
      <c r="G63" s="141" t="s">
        <v>222</v>
      </c>
      <c r="H63" s="141" t="s">
        <v>222</v>
      </c>
      <c r="I63" s="141" t="s">
        <v>222</v>
      </c>
      <c r="J63" s="141" t="s">
        <v>222</v>
      </c>
      <c r="K63" s="141" t="s">
        <v>222</v>
      </c>
      <c r="L63" s="141" t="s">
        <v>222</v>
      </c>
      <c r="M63" s="141" t="s">
        <v>222</v>
      </c>
      <c r="N63" s="141" t="s">
        <v>222</v>
      </c>
      <c r="O63" s="141" t="s">
        <v>222</v>
      </c>
      <c r="P63" s="141" t="s">
        <v>222</v>
      </c>
      <c r="Q63" s="141" t="s">
        <v>222</v>
      </c>
      <c r="R63" s="141" t="s">
        <v>222</v>
      </c>
      <c r="S63" s="141" t="s">
        <v>222</v>
      </c>
      <c r="T63" s="141" t="s">
        <v>222</v>
      </c>
      <c r="U63" s="141" t="s">
        <v>222</v>
      </c>
      <c r="V63" s="141" t="s">
        <v>222</v>
      </c>
      <c r="W63" s="141"/>
      <c r="X63" s="141"/>
      <c r="Y63" s="141"/>
      <c r="Z63" s="141"/>
    </row>
    <row r="64">
      <c r="A64" s="141"/>
      <c r="B64" s="141" t="s">
        <v>222</v>
      </c>
      <c r="C64" s="141" t="s">
        <v>222</v>
      </c>
      <c r="D64" s="141" t="s">
        <v>222</v>
      </c>
      <c r="E64" s="141" t="s">
        <v>222</v>
      </c>
      <c r="F64" s="141" t="s">
        <v>222</v>
      </c>
      <c r="G64" s="141" t="s">
        <v>222</v>
      </c>
      <c r="H64" s="141" t="s">
        <v>222</v>
      </c>
      <c r="I64" s="141" t="s">
        <v>222</v>
      </c>
      <c r="J64" s="141" t="s">
        <v>222</v>
      </c>
      <c r="K64" s="141" t="s">
        <v>222</v>
      </c>
      <c r="L64" s="141" t="s">
        <v>222</v>
      </c>
      <c r="M64" s="141" t="s">
        <v>222</v>
      </c>
      <c r="N64" s="141" t="s">
        <v>222</v>
      </c>
      <c r="O64" s="141" t="s">
        <v>222</v>
      </c>
      <c r="P64" s="141" t="s">
        <v>222</v>
      </c>
      <c r="Q64" s="141" t="s">
        <v>222</v>
      </c>
      <c r="R64" s="141" t="s">
        <v>222</v>
      </c>
      <c r="S64" s="141" t="s">
        <v>222</v>
      </c>
      <c r="T64" s="141" t="s">
        <v>222</v>
      </c>
      <c r="U64" s="141" t="s">
        <v>222</v>
      </c>
      <c r="V64" s="141" t="s">
        <v>222</v>
      </c>
      <c r="W64" s="141"/>
      <c r="X64" s="141"/>
      <c r="Y64" s="141"/>
      <c r="Z64" s="141"/>
    </row>
    <row r="65">
      <c r="A65" s="141"/>
      <c r="B65" s="141" t="s">
        <v>222</v>
      </c>
      <c r="C65" s="141" t="s">
        <v>222</v>
      </c>
      <c r="D65" s="141" t="s">
        <v>222</v>
      </c>
      <c r="E65" s="141" t="s">
        <v>222</v>
      </c>
      <c r="F65" s="141" t="s">
        <v>222</v>
      </c>
      <c r="G65" s="141" t="s">
        <v>222</v>
      </c>
      <c r="H65" s="141" t="s">
        <v>222</v>
      </c>
      <c r="I65" s="141" t="s">
        <v>222</v>
      </c>
      <c r="J65" s="141" t="s">
        <v>222</v>
      </c>
      <c r="K65" s="141" t="s">
        <v>222</v>
      </c>
      <c r="L65" s="141" t="s">
        <v>222</v>
      </c>
      <c r="M65" s="141" t="s">
        <v>222</v>
      </c>
      <c r="N65" s="141" t="s">
        <v>222</v>
      </c>
      <c r="O65" s="141" t="s">
        <v>222</v>
      </c>
      <c r="P65" s="141" t="s">
        <v>222</v>
      </c>
      <c r="Q65" s="141" t="s">
        <v>222</v>
      </c>
      <c r="R65" s="141" t="s">
        <v>222</v>
      </c>
      <c r="S65" s="141" t="s">
        <v>222</v>
      </c>
      <c r="T65" s="141" t="s">
        <v>222</v>
      </c>
      <c r="U65" s="141" t="s">
        <v>222</v>
      </c>
      <c r="V65" s="141" t="s">
        <v>222</v>
      </c>
      <c r="W65" s="141"/>
      <c r="X65" s="141"/>
      <c r="Y65" s="141"/>
      <c r="Z65" s="141"/>
    </row>
    <row r="66">
      <c r="A66" s="141"/>
      <c r="B66" s="141" t="s">
        <v>222</v>
      </c>
      <c r="C66" s="141" t="s">
        <v>222</v>
      </c>
      <c r="D66" s="141" t="s">
        <v>222</v>
      </c>
      <c r="E66" s="141" t="s">
        <v>222</v>
      </c>
      <c r="F66" s="141" t="s">
        <v>222</v>
      </c>
      <c r="G66" s="141" t="s">
        <v>222</v>
      </c>
      <c r="H66" s="141" t="s">
        <v>222</v>
      </c>
      <c r="I66" s="141" t="s">
        <v>222</v>
      </c>
      <c r="J66" s="141" t="s">
        <v>222</v>
      </c>
      <c r="K66" s="141" t="s">
        <v>222</v>
      </c>
      <c r="L66" s="141" t="s">
        <v>222</v>
      </c>
      <c r="M66" s="141" t="s">
        <v>222</v>
      </c>
      <c r="N66" s="141" t="s">
        <v>222</v>
      </c>
      <c r="O66" s="141" t="s">
        <v>222</v>
      </c>
      <c r="P66" s="141" t="s">
        <v>222</v>
      </c>
      <c r="Q66" s="141" t="s">
        <v>222</v>
      </c>
      <c r="R66" s="141" t="s">
        <v>222</v>
      </c>
      <c r="S66" s="141" t="s">
        <v>222</v>
      </c>
      <c r="T66" s="141" t="s">
        <v>222</v>
      </c>
      <c r="U66" s="141" t="s">
        <v>222</v>
      </c>
      <c r="V66" s="141" t="s">
        <v>222</v>
      </c>
      <c r="W66" s="141"/>
      <c r="X66" s="141"/>
      <c r="Y66" s="141"/>
      <c r="Z66" s="141"/>
    </row>
    <row r="67">
      <c r="A67" s="141"/>
      <c r="B67" s="141" t="s">
        <v>222</v>
      </c>
      <c r="C67" s="141" t="s">
        <v>222</v>
      </c>
      <c r="D67" s="141" t="s">
        <v>222</v>
      </c>
      <c r="E67" s="141" t="s">
        <v>222</v>
      </c>
      <c r="F67" s="141" t="s">
        <v>222</v>
      </c>
      <c r="G67" s="141" t="s">
        <v>222</v>
      </c>
      <c r="H67" s="141" t="s">
        <v>222</v>
      </c>
      <c r="I67" s="141" t="s">
        <v>222</v>
      </c>
      <c r="J67" s="141" t="s">
        <v>222</v>
      </c>
      <c r="K67" s="141" t="s">
        <v>222</v>
      </c>
      <c r="L67" s="141" t="s">
        <v>222</v>
      </c>
      <c r="M67" s="141" t="s">
        <v>222</v>
      </c>
      <c r="N67" s="141" t="s">
        <v>222</v>
      </c>
      <c r="O67" s="141" t="s">
        <v>222</v>
      </c>
      <c r="P67" s="141" t="s">
        <v>222</v>
      </c>
      <c r="Q67" s="141" t="s">
        <v>222</v>
      </c>
      <c r="R67" s="141" t="s">
        <v>222</v>
      </c>
      <c r="S67" s="141" t="s">
        <v>222</v>
      </c>
      <c r="T67" s="141" t="s">
        <v>222</v>
      </c>
      <c r="U67" s="141" t="s">
        <v>222</v>
      </c>
      <c r="V67" s="141" t="s">
        <v>222</v>
      </c>
      <c r="W67" s="141"/>
      <c r="X67" s="141"/>
      <c r="Y67" s="141"/>
      <c r="Z67" s="141"/>
    </row>
    <row r="68">
      <c r="A68" s="141"/>
      <c r="B68" s="141" t="s">
        <v>222</v>
      </c>
      <c r="C68" s="141" t="s">
        <v>222</v>
      </c>
      <c r="D68" s="141" t="s">
        <v>222</v>
      </c>
      <c r="E68" s="141" t="s">
        <v>222</v>
      </c>
      <c r="F68" s="141" t="s">
        <v>222</v>
      </c>
      <c r="G68" s="141" t="s">
        <v>222</v>
      </c>
      <c r="H68" s="141" t="s">
        <v>222</v>
      </c>
      <c r="I68" s="141" t="s">
        <v>222</v>
      </c>
      <c r="J68" s="141" t="s">
        <v>222</v>
      </c>
      <c r="K68" s="141" t="s">
        <v>222</v>
      </c>
      <c r="L68" s="141" t="s">
        <v>222</v>
      </c>
      <c r="M68" s="141" t="s">
        <v>222</v>
      </c>
      <c r="N68" s="141" t="s">
        <v>222</v>
      </c>
      <c r="O68" s="141" t="s">
        <v>222</v>
      </c>
      <c r="P68" s="141" t="s">
        <v>222</v>
      </c>
      <c r="Q68" s="141" t="s">
        <v>222</v>
      </c>
      <c r="R68" s="141" t="s">
        <v>222</v>
      </c>
      <c r="S68" s="141" t="s">
        <v>222</v>
      </c>
      <c r="T68" s="141" t="s">
        <v>222</v>
      </c>
      <c r="U68" s="141" t="s">
        <v>222</v>
      </c>
      <c r="V68" s="141" t="s">
        <v>222</v>
      </c>
      <c r="W68" s="141"/>
      <c r="X68" s="141"/>
      <c r="Y68" s="141"/>
      <c r="Z68" s="141"/>
    </row>
    <row r="69">
      <c r="A69" s="141"/>
      <c r="B69" s="141" t="s">
        <v>222</v>
      </c>
      <c r="C69" s="141" t="s">
        <v>222</v>
      </c>
      <c r="D69" s="141" t="s">
        <v>222</v>
      </c>
      <c r="E69" s="141" t="s">
        <v>222</v>
      </c>
      <c r="F69" s="141" t="s">
        <v>222</v>
      </c>
      <c r="G69" s="141" t="s">
        <v>222</v>
      </c>
      <c r="H69" s="141" t="s">
        <v>222</v>
      </c>
      <c r="I69" s="141" t="s">
        <v>222</v>
      </c>
      <c r="J69" s="141" t="s">
        <v>222</v>
      </c>
      <c r="K69" s="141" t="s">
        <v>222</v>
      </c>
      <c r="L69" s="141" t="s">
        <v>222</v>
      </c>
      <c r="M69" s="141" t="s">
        <v>222</v>
      </c>
      <c r="N69" s="141" t="s">
        <v>222</v>
      </c>
      <c r="O69" s="141" t="s">
        <v>222</v>
      </c>
      <c r="P69" s="141" t="s">
        <v>222</v>
      </c>
      <c r="Q69" s="141" t="s">
        <v>222</v>
      </c>
      <c r="R69" s="141" t="s">
        <v>222</v>
      </c>
      <c r="S69" s="141" t="s">
        <v>222</v>
      </c>
      <c r="T69" s="141" t="s">
        <v>222</v>
      </c>
      <c r="U69" s="141" t="s">
        <v>222</v>
      </c>
      <c r="V69" s="141" t="s">
        <v>222</v>
      </c>
      <c r="W69" s="141"/>
      <c r="X69" s="141"/>
      <c r="Y69" s="141"/>
      <c r="Z69" s="141"/>
    </row>
    <row r="70">
      <c r="A70" s="141"/>
      <c r="B70" s="141" t="s">
        <v>222</v>
      </c>
      <c r="C70" s="141" t="s">
        <v>222</v>
      </c>
      <c r="D70" s="141" t="s">
        <v>222</v>
      </c>
      <c r="E70" s="141" t="s">
        <v>222</v>
      </c>
      <c r="F70" s="141" t="s">
        <v>222</v>
      </c>
      <c r="G70" s="141" t="s">
        <v>222</v>
      </c>
      <c r="H70" s="141" t="s">
        <v>222</v>
      </c>
      <c r="I70" s="141" t="s">
        <v>222</v>
      </c>
      <c r="J70" s="141" t="s">
        <v>222</v>
      </c>
      <c r="K70" s="141" t="s">
        <v>222</v>
      </c>
      <c r="L70" s="141" t="s">
        <v>222</v>
      </c>
      <c r="M70" s="141" t="s">
        <v>222</v>
      </c>
      <c r="N70" s="141" t="s">
        <v>222</v>
      </c>
      <c r="O70" s="141" t="s">
        <v>222</v>
      </c>
      <c r="P70" s="141" t="s">
        <v>222</v>
      </c>
      <c r="Q70" s="141" t="s">
        <v>222</v>
      </c>
      <c r="R70" s="141" t="s">
        <v>222</v>
      </c>
      <c r="S70" s="141" t="s">
        <v>222</v>
      </c>
      <c r="T70" s="141" t="s">
        <v>222</v>
      </c>
      <c r="U70" s="141" t="s">
        <v>222</v>
      </c>
      <c r="V70" s="141" t="s">
        <v>222</v>
      </c>
      <c r="W70" s="141"/>
      <c r="X70" s="141"/>
      <c r="Y70" s="141"/>
      <c r="Z70" s="141"/>
    </row>
    <row r="71">
      <c r="A71" s="141"/>
      <c r="B71" s="141" t="s">
        <v>222</v>
      </c>
      <c r="C71" s="141" t="s">
        <v>222</v>
      </c>
      <c r="D71" s="141" t="s">
        <v>222</v>
      </c>
      <c r="E71" s="141" t="s">
        <v>222</v>
      </c>
      <c r="F71" s="141" t="s">
        <v>222</v>
      </c>
      <c r="G71" s="141" t="s">
        <v>222</v>
      </c>
      <c r="H71" s="141" t="s">
        <v>222</v>
      </c>
      <c r="I71" s="141" t="s">
        <v>222</v>
      </c>
      <c r="J71" s="141" t="s">
        <v>222</v>
      </c>
      <c r="K71" s="141" t="s">
        <v>222</v>
      </c>
      <c r="L71" s="141" t="s">
        <v>222</v>
      </c>
      <c r="M71" s="141" t="s">
        <v>222</v>
      </c>
      <c r="N71" s="141" t="s">
        <v>222</v>
      </c>
      <c r="O71" s="141" t="s">
        <v>222</v>
      </c>
      <c r="P71" s="141" t="s">
        <v>222</v>
      </c>
      <c r="Q71" s="141" t="s">
        <v>222</v>
      </c>
      <c r="R71" s="141" t="s">
        <v>222</v>
      </c>
      <c r="S71" s="141" t="s">
        <v>222</v>
      </c>
      <c r="T71" s="141" t="s">
        <v>222</v>
      </c>
      <c r="U71" s="141" t="s">
        <v>222</v>
      </c>
      <c r="V71" s="141" t="s">
        <v>222</v>
      </c>
      <c r="W71" s="141"/>
      <c r="X71" s="141"/>
      <c r="Y71" s="141"/>
      <c r="Z71" s="141"/>
    </row>
    <row r="72">
      <c r="A72" s="141"/>
      <c r="B72" s="141" t="s">
        <v>222</v>
      </c>
      <c r="C72" s="141" t="s">
        <v>222</v>
      </c>
      <c r="D72" s="141" t="s">
        <v>222</v>
      </c>
      <c r="E72" s="141" t="s">
        <v>222</v>
      </c>
      <c r="F72" s="141" t="s">
        <v>222</v>
      </c>
      <c r="G72" s="141" t="s">
        <v>222</v>
      </c>
      <c r="H72" s="141" t="s">
        <v>222</v>
      </c>
      <c r="I72" s="141" t="s">
        <v>222</v>
      </c>
      <c r="J72" s="141" t="s">
        <v>222</v>
      </c>
      <c r="K72" s="141" t="s">
        <v>222</v>
      </c>
      <c r="L72" s="141" t="s">
        <v>222</v>
      </c>
      <c r="M72" s="141" t="s">
        <v>222</v>
      </c>
      <c r="N72" s="141" t="s">
        <v>222</v>
      </c>
      <c r="O72" s="141" t="s">
        <v>222</v>
      </c>
      <c r="P72" s="141" t="s">
        <v>222</v>
      </c>
      <c r="Q72" s="141" t="s">
        <v>222</v>
      </c>
      <c r="R72" s="141" t="s">
        <v>222</v>
      </c>
      <c r="S72" s="141" t="s">
        <v>222</v>
      </c>
      <c r="T72" s="141" t="s">
        <v>222</v>
      </c>
      <c r="U72" s="141" t="s">
        <v>222</v>
      </c>
      <c r="V72" s="141" t="s">
        <v>222</v>
      </c>
      <c r="W72" s="141"/>
      <c r="X72" s="141"/>
      <c r="Y72" s="141"/>
      <c r="Z72" s="141"/>
    </row>
    <row r="73">
      <c r="A73" s="141"/>
      <c r="B73" s="141" t="s">
        <v>222</v>
      </c>
      <c r="C73" s="141" t="s">
        <v>222</v>
      </c>
      <c r="D73" s="141" t="s">
        <v>222</v>
      </c>
      <c r="E73" s="141" t="s">
        <v>222</v>
      </c>
      <c r="F73" s="141" t="s">
        <v>222</v>
      </c>
      <c r="G73" s="141" t="s">
        <v>222</v>
      </c>
      <c r="H73" s="141" t="s">
        <v>222</v>
      </c>
      <c r="I73" s="141" t="s">
        <v>222</v>
      </c>
      <c r="J73" s="141" t="s">
        <v>222</v>
      </c>
      <c r="K73" s="141" t="s">
        <v>222</v>
      </c>
      <c r="L73" s="141" t="s">
        <v>222</v>
      </c>
      <c r="M73" s="141" t="s">
        <v>222</v>
      </c>
      <c r="N73" s="141" t="s">
        <v>222</v>
      </c>
      <c r="O73" s="141" t="s">
        <v>222</v>
      </c>
      <c r="P73" s="141" t="s">
        <v>222</v>
      </c>
      <c r="Q73" s="141" t="s">
        <v>222</v>
      </c>
      <c r="R73" s="141" t="s">
        <v>222</v>
      </c>
      <c r="S73" s="141" t="s">
        <v>222</v>
      </c>
      <c r="T73" s="141" t="s">
        <v>222</v>
      </c>
      <c r="U73" s="141" t="s">
        <v>222</v>
      </c>
      <c r="V73" s="141" t="s">
        <v>222</v>
      </c>
      <c r="W73" s="141"/>
      <c r="X73" s="141"/>
      <c r="Y73" s="141"/>
      <c r="Z73" s="141"/>
    </row>
    <row r="74">
      <c r="A74" s="141"/>
      <c r="B74" s="141" t="s">
        <v>222</v>
      </c>
      <c r="C74" s="141" t="s">
        <v>222</v>
      </c>
      <c r="D74" s="141" t="s">
        <v>222</v>
      </c>
      <c r="E74" s="141" t="s">
        <v>222</v>
      </c>
      <c r="F74" s="141" t="s">
        <v>222</v>
      </c>
      <c r="G74" s="141" t="s">
        <v>222</v>
      </c>
      <c r="H74" s="141" t="s">
        <v>222</v>
      </c>
      <c r="I74" s="141" t="s">
        <v>222</v>
      </c>
      <c r="J74" s="141" t="s">
        <v>222</v>
      </c>
      <c r="K74" s="141" t="s">
        <v>222</v>
      </c>
      <c r="L74" s="141" t="s">
        <v>222</v>
      </c>
      <c r="M74" s="141" t="s">
        <v>222</v>
      </c>
      <c r="N74" s="141" t="s">
        <v>222</v>
      </c>
      <c r="O74" s="141" t="s">
        <v>222</v>
      </c>
      <c r="P74" s="141" t="s">
        <v>222</v>
      </c>
      <c r="Q74" s="141" t="s">
        <v>222</v>
      </c>
      <c r="R74" s="141" t="s">
        <v>222</v>
      </c>
      <c r="S74" s="141" t="s">
        <v>222</v>
      </c>
      <c r="T74" s="141" t="s">
        <v>222</v>
      </c>
      <c r="U74" s="141" t="s">
        <v>222</v>
      </c>
      <c r="V74" s="141" t="s">
        <v>222</v>
      </c>
      <c r="W74" s="141"/>
      <c r="X74" s="141"/>
      <c r="Y74" s="141"/>
      <c r="Z74" s="141"/>
    </row>
    <row r="75">
      <c r="A75" s="141"/>
      <c r="B75" s="141" t="s">
        <v>222</v>
      </c>
      <c r="C75" s="141" t="s">
        <v>222</v>
      </c>
      <c r="D75" s="141" t="s">
        <v>222</v>
      </c>
      <c r="E75" s="141" t="s">
        <v>222</v>
      </c>
      <c r="F75" s="141" t="s">
        <v>222</v>
      </c>
      <c r="G75" s="141" t="s">
        <v>222</v>
      </c>
      <c r="H75" s="141" t="s">
        <v>222</v>
      </c>
      <c r="I75" s="141" t="s">
        <v>222</v>
      </c>
      <c r="J75" s="141" t="s">
        <v>222</v>
      </c>
      <c r="K75" s="141" t="s">
        <v>222</v>
      </c>
      <c r="L75" s="141" t="s">
        <v>222</v>
      </c>
      <c r="M75" s="141" t="s">
        <v>222</v>
      </c>
      <c r="N75" s="141" t="s">
        <v>222</v>
      </c>
      <c r="O75" s="141" t="s">
        <v>222</v>
      </c>
      <c r="P75" s="141" t="s">
        <v>222</v>
      </c>
      <c r="Q75" s="141" t="s">
        <v>222</v>
      </c>
      <c r="R75" s="141" t="s">
        <v>222</v>
      </c>
      <c r="S75" s="141" t="s">
        <v>222</v>
      </c>
      <c r="T75" s="141" t="s">
        <v>222</v>
      </c>
      <c r="U75" s="141" t="s">
        <v>222</v>
      </c>
      <c r="V75" s="141" t="s">
        <v>222</v>
      </c>
      <c r="W75" s="141"/>
      <c r="X75" s="141"/>
      <c r="Y75" s="141"/>
      <c r="Z75" s="141"/>
    </row>
    <row r="76">
      <c r="A76" s="141"/>
      <c r="B76" s="141" t="s">
        <v>222</v>
      </c>
      <c r="C76" s="141" t="s">
        <v>222</v>
      </c>
      <c r="D76" s="141" t="s">
        <v>222</v>
      </c>
      <c r="E76" s="141" t="s">
        <v>222</v>
      </c>
      <c r="F76" s="141" t="s">
        <v>222</v>
      </c>
      <c r="G76" s="141" t="s">
        <v>222</v>
      </c>
      <c r="H76" s="141" t="s">
        <v>222</v>
      </c>
      <c r="I76" s="141" t="s">
        <v>222</v>
      </c>
      <c r="J76" s="141" t="s">
        <v>222</v>
      </c>
      <c r="K76" s="141" t="s">
        <v>222</v>
      </c>
      <c r="L76" s="141" t="s">
        <v>222</v>
      </c>
      <c r="M76" s="141" t="s">
        <v>222</v>
      </c>
      <c r="N76" s="141" t="s">
        <v>222</v>
      </c>
      <c r="O76" s="141" t="s">
        <v>222</v>
      </c>
      <c r="P76" s="141" t="s">
        <v>222</v>
      </c>
      <c r="Q76" s="141" t="s">
        <v>222</v>
      </c>
      <c r="R76" s="141" t="s">
        <v>222</v>
      </c>
      <c r="S76" s="141" t="s">
        <v>222</v>
      </c>
      <c r="T76" s="141" t="s">
        <v>222</v>
      </c>
      <c r="U76" s="141" t="s">
        <v>222</v>
      </c>
      <c r="V76" s="141" t="s">
        <v>222</v>
      </c>
      <c r="W76" s="141"/>
      <c r="X76" s="141"/>
      <c r="Y76" s="141"/>
      <c r="Z76" s="141"/>
    </row>
    <row r="77">
      <c r="A77" s="141"/>
      <c r="B77" s="141" t="s">
        <v>222</v>
      </c>
      <c r="C77" s="141" t="s">
        <v>222</v>
      </c>
      <c r="D77" s="141" t="s">
        <v>222</v>
      </c>
      <c r="E77" s="141" t="s">
        <v>222</v>
      </c>
      <c r="F77" s="141" t="s">
        <v>222</v>
      </c>
      <c r="G77" s="141" t="s">
        <v>222</v>
      </c>
      <c r="H77" s="141" t="s">
        <v>222</v>
      </c>
      <c r="I77" s="141" t="s">
        <v>222</v>
      </c>
      <c r="J77" s="141" t="s">
        <v>222</v>
      </c>
      <c r="K77" s="141" t="s">
        <v>222</v>
      </c>
      <c r="L77" s="141" t="s">
        <v>222</v>
      </c>
      <c r="M77" s="141" t="s">
        <v>222</v>
      </c>
      <c r="N77" s="141" t="s">
        <v>222</v>
      </c>
      <c r="O77" s="141" t="s">
        <v>222</v>
      </c>
      <c r="P77" s="141" t="s">
        <v>222</v>
      </c>
      <c r="Q77" s="141" t="s">
        <v>222</v>
      </c>
      <c r="R77" s="141" t="s">
        <v>222</v>
      </c>
      <c r="S77" s="141" t="s">
        <v>222</v>
      </c>
      <c r="T77" s="141" t="s">
        <v>222</v>
      </c>
      <c r="U77" s="141" t="s">
        <v>222</v>
      </c>
      <c r="V77" s="141" t="s">
        <v>222</v>
      </c>
      <c r="W77" s="141"/>
      <c r="X77" s="141"/>
      <c r="Y77" s="141"/>
      <c r="Z77" s="141"/>
    </row>
    <row r="78">
      <c r="A78" s="141"/>
      <c r="B78" s="141" t="s">
        <v>222</v>
      </c>
      <c r="C78" s="141" t="s">
        <v>222</v>
      </c>
      <c r="D78" s="141" t="s">
        <v>222</v>
      </c>
      <c r="E78" s="141" t="s">
        <v>222</v>
      </c>
      <c r="F78" s="141" t="s">
        <v>222</v>
      </c>
      <c r="G78" s="141" t="s">
        <v>222</v>
      </c>
      <c r="H78" s="141" t="s">
        <v>222</v>
      </c>
      <c r="I78" s="141" t="s">
        <v>222</v>
      </c>
      <c r="J78" s="141" t="s">
        <v>222</v>
      </c>
      <c r="K78" s="141" t="s">
        <v>222</v>
      </c>
      <c r="L78" s="141" t="s">
        <v>222</v>
      </c>
      <c r="M78" s="141" t="s">
        <v>222</v>
      </c>
      <c r="N78" s="141" t="s">
        <v>222</v>
      </c>
      <c r="O78" s="141" t="s">
        <v>222</v>
      </c>
      <c r="P78" s="141" t="s">
        <v>222</v>
      </c>
      <c r="Q78" s="141" t="s">
        <v>222</v>
      </c>
      <c r="R78" s="141" t="s">
        <v>222</v>
      </c>
      <c r="S78" s="141" t="s">
        <v>222</v>
      </c>
      <c r="T78" s="141" t="s">
        <v>222</v>
      </c>
      <c r="U78" s="141" t="s">
        <v>222</v>
      </c>
      <c r="V78" s="141" t="s">
        <v>222</v>
      </c>
      <c r="W78" s="141"/>
      <c r="X78" s="141"/>
      <c r="Y78" s="141"/>
      <c r="Z78" s="141"/>
    </row>
    <row r="79">
      <c r="A79" s="141"/>
      <c r="B79" s="141" t="s">
        <v>222</v>
      </c>
      <c r="C79" s="141" t="s">
        <v>222</v>
      </c>
      <c r="D79" s="141" t="s">
        <v>222</v>
      </c>
      <c r="E79" s="141" t="s">
        <v>222</v>
      </c>
      <c r="F79" s="141" t="s">
        <v>222</v>
      </c>
      <c r="G79" s="141" t="s">
        <v>222</v>
      </c>
      <c r="H79" s="141" t="s">
        <v>222</v>
      </c>
      <c r="I79" s="141" t="s">
        <v>222</v>
      </c>
      <c r="J79" s="141" t="s">
        <v>222</v>
      </c>
      <c r="K79" s="141" t="s">
        <v>222</v>
      </c>
      <c r="L79" s="141" t="s">
        <v>222</v>
      </c>
      <c r="M79" s="141" t="s">
        <v>222</v>
      </c>
      <c r="N79" s="141" t="s">
        <v>222</v>
      </c>
      <c r="O79" s="141" t="s">
        <v>222</v>
      </c>
      <c r="P79" s="141" t="s">
        <v>222</v>
      </c>
      <c r="Q79" s="141" t="s">
        <v>222</v>
      </c>
      <c r="R79" s="141" t="s">
        <v>222</v>
      </c>
      <c r="S79" s="141" t="s">
        <v>222</v>
      </c>
      <c r="T79" s="141" t="s">
        <v>222</v>
      </c>
      <c r="U79" s="141" t="s">
        <v>222</v>
      </c>
      <c r="V79" s="141" t="s">
        <v>222</v>
      </c>
      <c r="W79" s="141"/>
      <c r="X79" s="141"/>
      <c r="Y79" s="141"/>
      <c r="Z79" s="141"/>
    </row>
    <row r="80">
      <c r="A80" s="141"/>
      <c r="B80" s="141" t="s">
        <v>222</v>
      </c>
      <c r="C80" s="141" t="s">
        <v>222</v>
      </c>
      <c r="D80" s="141" t="s">
        <v>222</v>
      </c>
      <c r="E80" s="141" t="s">
        <v>222</v>
      </c>
      <c r="F80" s="141" t="s">
        <v>222</v>
      </c>
      <c r="G80" s="141" t="s">
        <v>222</v>
      </c>
      <c r="H80" s="141" t="s">
        <v>222</v>
      </c>
      <c r="I80" s="141" t="s">
        <v>222</v>
      </c>
      <c r="J80" s="141" t="s">
        <v>222</v>
      </c>
      <c r="K80" s="141" t="s">
        <v>222</v>
      </c>
      <c r="L80" s="141" t="s">
        <v>222</v>
      </c>
      <c r="M80" s="141" t="s">
        <v>222</v>
      </c>
      <c r="N80" s="141" t="s">
        <v>222</v>
      </c>
      <c r="O80" s="141" t="s">
        <v>222</v>
      </c>
      <c r="P80" s="141" t="s">
        <v>222</v>
      </c>
      <c r="Q80" s="141" t="s">
        <v>222</v>
      </c>
      <c r="R80" s="141" t="s">
        <v>222</v>
      </c>
      <c r="S80" s="141" t="s">
        <v>222</v>
      </c>
      <c r="T80" s="141" t="s">
        <v>222</v>
      </c>
      <c r="U80" s="141" t="s">
        <v>222</v>
      </c>
      <c r="V80" s="141" t="s">
        <v>222</v>
      </c>
      <c r="W80" s="141"/>
      <c r="X80" s="141"/>
      <c r="Y80" s="141"/>
      <c r="Z80" s="141"/>
    </row>
    <row r="81">
      <c r="A81" s="141"/>
      <c r="B81" s="141" t="s">
        <v>222</v>
      </c>
      <c r="C81" s="141" t="s">
        <v>222</v>
      </c>
      <c r="D81" s="141" t="s">
        <v>222</v>
      </c>
      <c r="E81" s="141" t="s">
        <v>222</v>
      </c>
      <c r="F81" s="141" t="s">
        <v>222</v>
      </c>
      <c r="G81" s="141" t="s">
        <v>222</v>
      </c>
      <c r="H81" s="141" t="s">
        <v>222</v>
      </c>
      <c r="I81" s="141" t="s">
        <v>222</v>
      </c>
      <c r="J81" s="141" t="s">
        <v>222</v>
      </c>
      <c r="K81" s="141" t="s">
        <v>222</v>
      </c>
      <c r="L81" s="141" t="s">
        <v>222</v>
      </c>
      <c r="M81" s="141" t="s">
        <v>222</v>
      </c>
      <c r="N81" s="141" t="s">
        <v>222</v>
      </c>
      <c r="O81" s="141" t="s">
        <v>222</v>
      </c>
      <c r="P81" s="141" t="s">
        <v>222</v>
      </c>
      <c r="Q81" s="141" t="s">
        <v>222</v>
      </c>
      <c r="R81" s="141" t="s">
        <v>222</v>
      </c>
      <c r="S81" s="141" t="s">
        <v>222</v>
      </c>
      <c r="T81" s="141" t="s">
        <v>222</v>
      </c>
      <c r="U81" s="141" t="s">
        <v>222</v>
      </c>
      <c r="V81" s="141" t="s">
        <v>222</v>
      </c>
      <c r="W81" s="141"/>
      <c r="X81" s="141"/>
      <c r="Y81" s="141"/>
      <c r="Z81" s="141"/>
    </row>
    <row r="82">
      <c r="A82" s="141"/>
      <c r="B82" s="141" t="s">
        <v>222</v>
      </c>
      <c r="C82" s="141" t="s">
        <v>222</v>
      </c>
      <c r="D82" s="141" t="s">
        <v>222</v>
      </c>
      <c r="E82" s="141" t="s">
        <v>222</v>
      </c>
      <c r="F82" s="141" t="s">
        <v>222</v>
      </c>
      <c r="G82" s="141" t="s">
        <v>222</v>
      </c>
      <c r="H82" s="141" t="s">
        <v>222</v>
      </c>
      <c r="I82" s="141" t="s">
        <v>222</v>
      </c>
      <c r="J82" s="141" t="s">
        <v>222</v>
      </c>
      <c r="K82" s="141" t="s">
        <v>222</v>
      </c>
      <c r="L82" s="141" t="s">
        <v>222</v>
      </c>
      <c r="M82" s="141" t="s">
        <v>222</v>
      </c>
      <c r="N82" s="141" t="s">
        <v>222</v>
      </c>
      <c r="O82" s="141" t="s">
        <v>222</v>
      </c>
      <c r="P82" s="141" t="s">
        <v>222</v>
      </c>
      <c r="Q82" s="141" t="s">
        <v>222</v>
      </c>
      <c r="R82" s="141" t="s">
        <v>222</v>
      </c>
      <c r="S82" s="141" t="s">
        <v>222</v>
      </c>
      <c r="T82" s="141" t="s">
        <v>222</v>
      </c>
      <c r="U82" s="141" t="s">
        <v>222</v>
      </c>
      <c r="V82" s="141" t="s">
        <v>222</v>
      </c>
      <c r="W82" s="141"/>
      <c r="X82" s="141"/>
      <c r="Y82" s="141"/>
      <c r="Z82" s="141"/>
    </row>
    <row r="83">
      <c r="A83" s="141"/>
      <c r="B83" s="141" t="s">
        <v>222</v>
      </c>
      <c r="C83" s="141" t="s">
        <v>222</v>
      </c>
      <c r="D83" s="141" t="s">
        <v>222</v>
      </c>
      <c r="E83" s="141" t="s">
        <v>222</v>
      </c>
      <c r="F83" s="141" t="s">
        <v>222</v>
      </c>
      <c r="G83" s="141" t="s">
        <v>222</v>
      </c>
      <c r="H83" s="141" t="s">
        <v>222</v>
      </c>
      <c r="I83" s="141" t="s">
        <v>222</v>
      </c>
      <c r="J83" s="141" t="s">
        <v>222</v>
      </c>
      <c r="K83" s="141" t="s">
        <v>222</v>
      </c>
      <c r="L83" s="141" t="s">
        <v>222</v>
      </c>
      <c r="M83" s="141" t="s">
        <v>222</v>
      </c>
      <c r="N83" s="141" t="s">
        <v>222</v>
      </c>
      <c r="O83" s="141" t="s">
        <v>222</v>
      </c>
      <c r="P83" s="141" t="s">
        <v>222</v>
      </c>
      <c r="Q83" s="141" t="s">
        <v>222</v>
      </c>
      <c r="R83" s="141" t="s">
        <v>222</v>
      </c>
      <c r="S83" s="141" t="s">
        <v>222</v>
      </c>
      <c r="T83" s="141" t="s">
        <v>222</v>
      </c>
      <c r="U83" s="141" t="s">
        <v>222</v>
      </c>
      <c r="V83" s="141" t="s">
        <v>222</v>
      </c>
      <c r="W83" s="141"/>
      <c r="X83" s="141"/>
      <c r="Y83" s="141"/>
      <c r="Z83" s="141"/>
    </row>
    <row r="84">
      <c r="A84" s="141"/>
      <c r="B84" s="141" t="s">
        <v>222</v>
      </c>
      <c r="C84" s="141" t="s">
        <v>222</v>
      </c>
      <c r="D84" s="141" t="s">
        <v>222</v>
      </c>
      <c r="E84" s="141" t="s">
        <v>222</v>
      </c>
      <c r="F84" s="141" t="s">
        <v>222</v>
      </c>
      <c r="G84" s="141" t="s">
        <v>222</v>
      </c>
      <c r="H84" s="141" t="s">
        <v>222</v>
      </c>
      <c r="I84" s="141" t="s">
        <v>222</v>
      </c>
      <c r="J84" s="141" t="s">
        <v>222</v>
      </c>
      <c r="K84" s="141" t="s">
        <v>222</v>
      </c>
      <c r="L84" s="141" t="s">
        <v>222</v>
      </c>
      <c r="M84" s="141" t="s">
        <v>222</v>
      </c>
      <c r="N84" s="141" t="s">
        <v>222</v>
      </c>
      <c r="O84" s="141" t="s">
        <v>222</v>
      </c>
      <c r="P84" s="141" t="s">
        <v>222</v>
      </c>
      <c r="Q84" s="141" t="s">
        <v>222</v>
      </c>
      <c r="R84" s="141" t="s">
        <v>222</v>
      </c>
      <c r="S84" s="141" t="s">
        <v>222</v>
      </c>
      <c r="T84" s="141" t="s">
        <v>222</v>
      </c>
      <c r="U84" s="141" t="s">
        <v>222</v>
      </c>
      <c r="V84" s="141" t="s">
        <v>222</v>
      </c>
      <c r="W84" s="141"/>
      <c r="X84" s="141"/>
      <c r="Y84" s="141"/>
      <c r="Z84" s="141"/>
    </row>
    <row r="85">
      <c r="A85" s="141"/>
      <c r="B85" s="141" t="s">
        <v>222</v>
      </c>
      <c r="C85" s="141" t="s">
        <v>222</v>
      </c>
      <c r="D85" s="141" t="s">
        <v>222</v>
      </c>
      <c r="E85" s="141" t="s">
        <v>222</v>
      </c>
      <c r="F85" s="141" t="s">
        <v>222</v>
      </c>
      <c r="G85" s="141" t="s">
        <v>222</v>
      </c>
      <c r="H85" s="141" t="s">
        <v>222</v>
      </c>
      <c r="I85" s="141" t="s">
        <v>222</v>
      </c>
      <c r="J85" s="141" t="s">
        <v>222</v>
      </c>
      <c r="K85" s="141" t="s">
        <v>222</v>
      </c>
      <c r="L85" s="141" t="s">
        <v>222</v>
      </c>
      <c r="M85" s="141" t="s">
        <v>222</v>
      </c>
      <c r="N85" s="141" t="s">
        <v>222</v>
      </c>
      <c r="O85" s="141" t="s">
        <v>222</v>
      </c>
      <c r="P85" s="141" t="s">
        <v>222</v>
      </c>
      <c r="Q85" s="141" t="s">
        <v>222</v>
      </c>
      <c r="R85" s="141" t="s">
        <v>222</v>
      </c>
      <c r="S85" s="141" t="s">
        <v>222</v>
      </c>
      <c r="T85" s="141" t="s">
        <v>222</v>
      </c>
      <c r="U85" s="141" t="s">
        <v>222</v>
      </c>
      <c r="V85" s="141" t="s">
        <v>222</v>
      </c>
      <c r="W85" s="141"/>
      <c r="X85" s="141"/>
      <c r="Y85" s="141"/>
      <c r="Z85" s="141"/>
    </row>
    <row r="86">
      <c r="A86" s="141"/>
      <c r="B86" s="141" t="s">
        <v>222</v>
      </c>
      <c r="C86" s="141" t="s">
        <v>222</v>
      </c>
      <c r="D86" s="141" t="s">
        <v>222</v>
      </c>
      <c r="E86" s="141" t="s">
        <v>222</v>
      </c>
      <c r="F86" s="141" t="s">
        <v>222</v>
      </c>
      <c r="G86" s="141" t="s">
        <v>222</v>
      </c>
      <c r="H86" s="141" t="s">
        <v>222</v>
      </c>
      <c r="I86" s="141" t="s">
        <v>222</v>
      </c>
      <c r="J86" s="141" t="s">
        <v>222</v>
      </c>
      <c r="K86" s="141" t="s">
        <v>222</v>
      </c>
      <c r="L86" s="141" t="s">
        <v>222</v>
      </c>
      <c r="M86" s="141" t="s">
        <v>222</v>
      </c>
      <c r="N86" s="141" t="s">
        <v>222</v>
      </c>
      <c r="O86" s="141" t="s">
        <v>222</v>
      </c>
      <c r="P86" s="141" t="s">
        <v>222</v>
      </c>
      <c r="Q86" s="141" t="s">
        <v>222</v>
      </c>
      <c r="R86" s="141" t="s">
        <v>222</v>
      </c>
      <c r="S86" s="141" t="s">
        <v>222</v>
      </c>
      <c r="T86" s="141" t="s">
        <v>222</v>
      </c>
      <c r="U86" s="141" t="s">
        <v>222</v>
      </c>
      <c r="V86" s="141" t="s">
        <v>222</v>
      </c>
      <c r="W86" s="141"/>
      <c r="X86" s="141"/>
      <c r="Y86" s="141"/>
      <c r="Z86" s="141"/>
    </row>
    <row r="87">
      <c r="A87" s="141"/>
      <c r="B87" s="141" t="s">
        <v>222</v>
      </c>
      <c r="C87" s="141" t="s">
        <v>222</v>
      </c>
      <c r="D87" s="141" t="s">
        <v>222</v>
      </c>
      <c r="E87" s="141" t="s">
        <v>222</v>
      </c>
      <c r="F87" s="141" t="s">
        <v>222</v>
      </c>
      <c r="G87" s="141" t="s">
        <v>222</v>
      </c>
      <c r="H87" s="141" t="s">
        <v>222</v>
      </c>
      <c r="I87" s="141" t="s">
        <v>222</v>
      </c>
      <c r="J87" s="141" t="s">
        <v>222</v>
      </c>
      <c r="K87" s="141" t="s">
        <v>222</v>
      </c>
      <c r="L87" s="141" t="s">
        <v>222</v>
      </c>
      <c r="M87" s="141" t="s">
        <v>222</v>
      </c>
      <c r="N87" s="141" t="s">
        <v>222</v>
      </c>
      <c r="O87" s="141" t="s">
        <v>222</v>
      </c>
      <c r="P87" s="141" t="s">
        <v>222</v>
      </c>
      <c r="Q87" s="141" t="s">
        <v>222</v>
      </c>
      <c r="R87" s="141" t="s">
        <v>222</v>
      </c>
      <c r="S87" s="141" t="s">
        <v>222</v>
      </c>
      <c r="T87" s="141" t="s">
        <v>222</v>
      </c>
      <c r="U87" s="141" t="s">
        <v>222</v>
      </c>
      <c r="V87" s="141" t="s">
        <v>222</v>
      </c>
      <c r="W87" s="141"/>
      <c r="X87" s="141"/>
      <c r="Y87" s="141"/>
      <c r="Z87" s="141"/>
    </row>
    <row r="88">
      <c r="A88" s="141"/>
      <c r="B88" s="141" t="s">
        <v>222</v>
      </c>
      <c r="C88" s="141" t="s">
        <v>222</v>
      </c>
      <c r="D88" s="141" t="s">
        <v>222</v>
      </c>
      <c r="E88" s="141" t="s">
        <v>222</v>
      </c>
      <c r="F88" s="141" t="s">
        <v>222</v>
      </c>
      <c r="G88" s="141" t="s">
        <v>222</v>
      </c>
      <c r="H88" s="141" t="s">
        <v>222</v>
      </c>
      <c r="I88" s="141" t="s">
        <v>222</v>
      </c>
      <c r="J88" s="141" t="s">
        <v>222</v>
      </c>
      <c r="K88" s="141" t="s">
        <v>222</v>
      </c>
      <c r="L88" s="141" t="s">
        <v>222</v>
      </c>
      <c r="M88" s="141" t="s">
        <v>222</v>
      </c>
      <c r="N88" s="141" t="s">
        <v>222</v>
      </c>
      <c r="O88" s="141" t="s">
        <v>222</v>
      </c>
      <c r="P88" s="141" t="s">
        <v>222</v>
      </c>
      <c r="Q88" s="141" t="s">
        <v>222</v>
      </c>
      <c r="R88" s="141" t="s">
        <v>222</v>
      </c>
      <c r="S88" s="141" t="s">
        <v>222</v>
      </c>
      <c r="T88" s="141" t="s">
        <v>222</v>
      </c>
      <c r="U88" s="141" t="s">
        <v>222</v>
      </c>
      <c r="V88" s="141" t="s">
        <v>222</v>
      </c>
      <c r="W88" s="141"/>
      <c r="X88" s="141"/>
      <c r="Y88" s="141"/>
      <c r="Z88" s="141"/>
    </row>
    <row r="89">
      <c r="A89" s="141"/>
      <c r="B89" s="141" t="s">
        <v>222</v>
      </c>
      <c r="C89" s="141" t="s">
        <v>222</v>
      </c>
      <c r="D89" s="141" t="s">
        <v>222</v>
      </c>
      <c r="E89" s="141" t="s">
        <v>222</v>
      </c>
      <c r="F89" s="141" t="s">
        <v>222</v>
      </c>
      <c r="G89" s="141" t="s">
        <v>222</v>
      </c>
      <c r="H89" s="141" t="s">
        <v>222</v>
      </c>
      <c r="I89" s="141" t="s">
        <v>222</v>
      </c>
      <c r="J89" s="141" t="s">
        <v>222</v>
      </c>
      <c r="K89" s="141" t="s">
        <v>222</v>
      </c>
      <c r="L89" s="141" t="s">
        <v>222</v>
      </c>
      <c r="M89" s="141" t="s">
        <v>222</v>
      </c>
      <c r="N89" s="141" t="s">
        <v>222</v>
      </c>
      <c r="O89" s="141" t="s">
        <v>222</v>
      </c>
      <c r="P89" s="141" t="s">
        <v>222</v>
      </c>
      <c r="Q89" s="141" t="s">
        <v>222</v>
      </c>
      <c r="R89" s="141" t="s">
        <v>222</v>
      </c>
      <c r="S89" s="141" t="s">
        <v>222</v>
      </c>
      <c r="T89" s="141" t="s">
        <v>222</v>
      </c>
      <c r="U89" s="141" t="s">
        <v>222</v>
      </c>
      <c r="V89" s="141" t="s">
        <v>222</v>
      </c>
      <c r="W89" s="141"/>
      <c r="X89" s="141"/>
      <c r="Y89" s="141"/>
      <c r="Z89" s="141"/>
    </row>
    <row r="90">
      <c r="A90" s="141"/>
      <c r="B90" s="141" t="s">
        <v>222</v>
      </c>
      <c r="C90" s="141" t="s">
        <v>222</v>
      </c>
      <c r="D90" s="141" t="s">
        <v>222</v>
      </c>
      <c r="E90" s="141" t="s">
        <v>222</v>
      </c>
      <c r="F90" s="141" t="s">
        <v>222</v>
      </c>
      <c r="G90" s="141" t="s">
        <v>222</v>
      </c>
      <c r="H90" s="141" t="s">
        <v>222</v>
      </c>
      <c r="I90" s="141" t="s">
        <v>222</v>
      </c>
      <c r="J90" s="141" t="s">
        <v>222</v>
      </c>
      <c r="K90" s="141" t="s">
        <v>222</v>
      </c>
      <c r="L90" s="141" t="s">
        <v>222</v>
      </c>
      <c r="M90" s="141" t="s">
        <v>222</v>
      </c>
      <c r="N90" s="141" t="s">
        <v>222</v>
      </c>
      <c r="O90" s="141" t="s">
        <v>222</v>
      </c>
      <c r="P90" s="141" t="s">
        <v>222</v>
      </c>
      <c r="Q90" s="141" t="s">
        <v>222</v>
      </c>
      <c r="R90" s="141" t="s">
        <v>222</v>
      </c>
      <c r="S90" s="141" t="s">
        <v>222</v>
      </c>
      <c r="T90" s="141" t="s">
        <v>222</v>
      </c>
      <c r="U90" s="141" t="s">
        <v>222</v>
      </c>
      <c r="V90" s="141" t="s">
        <v>222</v>
      </c>
      <c r="W90" s="141"/>
      <c r="X90" s="141"/>
      <c r="Y90" s="141"/>
      <c r="Z90" s="141"/>
    </row>
    <row r="91">
      <c r="A91" s="141"/>
      <c r="B91" s="141" t="s">
        <v>222</v>
      </c>
      <c r="C91" s="141" t="s">
        <v>222</v>
      </c>
      <c r="D91" s="141" t="s">
        <v>222</v>
      </c>
      <c r="E91" s="141" t="s">
        <v>222</v>
      </c>
      <c r="F91" s="141" t="s">
        <v>222</v>
      </c>
      <c r="G91" s="141" t="s">
        <v>222</v>
      </c>
      <c r="H91" s="141" t="s">
        <v>222</v>
      </c>
      <c r="I91" s="141" t="s">
        <v>222</v>
      </c>
      <c r="J91" s="141" t="s">
        <v>222</v>
      </c>
      <c r="K91" s="141" t="s">
        <v>222</v>
      </c>
      <c r="L91" s="141" t="s">
        <v>222</v>
      </c>
      <c r="M91" s="141" t="s">
        <v>222</v>
      </c>
      <c r="N91" s="141" t="s">
        <v>222</v>
      </c>
      <c r="O91" s="141" t="s">
        <v>222</v>
      </c>
      <c r="P91" s="141" t="s">
        <v>222</v>
      </c>
      <c r="Q91" s="141" t="s">
        <v>222</v>
      </c>
      <c r="R91" s="141" t="s">
        <v>222</v>
      </c>
      <c r="S91" s="141" t="s">
        <v>222</v>
      </c>
      <c r="T91" s="141" t="s">
        <v>222</v>
      </c>
      <c r="U91" s="141" t="s">
        <v>222</v>
      </c>
      <c r="V91" s="141" t="s">
        <v>222</v>
      </c>
      <c r="W91" s="141"/>
      <c r="X91" s="141"/>
      <c r="Y91" s="141"/>
      <c r="Z91" s="141"/>
    </row>
    <row r="92">
      <c r="A92" s="141"/>
      <c r="B92" s="141" t="s">
        <v>222</v>
      </c>
      <c r="C92" s="141" t="s">
        <v>222</v>
      </c>
      <c r="D92" s="141" t="s">
        <v>222</v>
      </c>
      <c r="E92" s="141" t="s">
        <v>222</v>
      </c>
      <c r="F92" s="141" t="s">
        <v>222</v>
      </c>
      <c r="G92" s="141" t="s">
        <v>222</v>
      </c>
      <c r="H92" s="141" t="s">
        <v>222</v>
      </c>
      <c r="I92" s="141" t="s">
        <v>222</v>
      </c>
      <c r="J92" s="141" t="s">
        <v>222</v>
      </c>
      <c r="K92" s="141" t="s">
        <v>222</v>
      </c>
      <c r="L92" s="141" t="s">
        <v>222</v>
      </c>
      <c r="M92" s="141" t="s">
        <v>222</v>
      </c>
      <c r="N92" s="141" t="s">
        <v>222</v>
      </c>
      <c r="O92" s="141" t="s">
        <v>222</v>
      </c>
      <c r="P92" s="141" t="s">
        <v>222</v>
      </c>
      <c r="Q92" s="141" t="s">
        <v>222</v>
      </c>
      <c r="R92" s="141" t="s">
        <v>222</v>
      </c>
      <c r="S92" s="141" t="s">
        <v>222</v>
      </c>
      <c r="T92" s="141" t="s">
        <v>222</v>
      </c>
      <c r="U92" s="141" t="s">
        <v>222</v>
      </c>
      <c r="V92" s="141" t="s">
        <v>222</v>
      </c>
      <c r="W92" s="141"/>
      <c r="X92" s="141"/>
      <c r="Y92" s="141"/>
      <c r="Z92" s="141"/>
    </row>
    <row r="93">
      <c r="A93" s="141"/>
      <c r="B93" s="141" t="s">
        <v>222</v>
      </c>
      <c r="C93" s="141" t="s">
        <v>222</v>
      </c>
      <c r="D93" s="141" t="s">
        <v>222</v>
      </c>
      <c r="E93" s="141" t="s">
        <v>222</v>
      </c>
      <c r="F93" s="141" t="s">
        <v>222</v>
      </c>
      <c r="G93" s="141" t="s">
        <v>222</v>
      </c>
      <c r="H93" s="141" t="s">
        <v>222</v>
      </c>
      <c r="I93" s="141" t="s">
        <v>222</v>
      </c>
      <c r="J93" s="141" t="s">
        <v>222</v>
      </c>
      <c r="K93" s="141" t="s">
        <v>222</v>
      </c>
      <c r="L93" s="141" t="s">
        <v>222</v>
      </c>
      <c r="M93" s="141" t="s">
        <v>222</v>
      </c>
      <c r="N93" s="141" t="s">
        <v>222</v>
      </c>
      <c r="O93" s="141" t="s">
        <v>222</v>
      </c>
      <c r="P93" s="141" t="s">
        <v>222</v>
      </c>
      <c r="Q93" s="141" t="s">
        <v>222</v>
      </c>
      <c r="R93" s="141" t="s">
        <v>222</v>
      </c>
      <c r="S93" s="141" t="s">
        <v>222</v>
      </c>
      <c r="T93" s="141" t="s">
        <v>222</v>
      </c>
      <c r="U93" s="141" t="s">
        <v>222</v>
      </c>
      <c r="V93" s="141" t="s">
        <v>222</v>
      </c>
      <c r="W93" s="141"/>
      <c r="X93" s="141"/>
      <c r="Y93" s="141"/>
      <c r="Z93" s="141"/>
    </row>
    <row r="94">
      <c r="A94" s="141"/>
      <c r="B94" s="141" t="s">
        <v>222</v>
      </c>
      <c r="C94" s="141" t="s">
        <v>222</v>
      </c>
      <c r="D94" s="141" t="s">
        <v>222</v>
      </c>
      <c r="E94" s="141" t="s">
        <v>222</v>
      </c>
      <c r="F94" s="141" t="s">
        <v>222</v>
      </c>
      <c r="G94" s="141" t="s">
        <v>222</v>
      </c>
      <c r="H94" s="141" t="s">
        <v>222</v>
      </c>
      <c r="I94" s="141" t="s">
        <v>222</v>
      </c>
      <c r="J94" s="141" t="s">
        <v>222</v>
      </c>
      <c r="K94" s="141" t="s">
        <v>222</v>
      </c>
      <c r="L94" s="141" t="s">
        <v>222</v>
      </c>
      <c r="M94" s="141" t="s">
        <v>222</v>
      </c>
      <c r="N94" s="141" t="s">
        <v>222</v>
      </c>
      <c r="O94" s="141" t="s">
        <v>222</v>
      </c>
      <c r="P94" s="141" t="s">
        <v>222</v>
      </c>
      <c r="Q94" s="141" t="s">
        <v>222</v>
      </c>
      <c r="R94" s="141" t="s">
        <v>222</v>
      </c>
      <c r="S94" s="141" t="s">
        <v>222</v>
      </c>
      <c r="T94" s="141" t="s">
        <v>222</v>
      </c>
      <c r="U94" s="141" t="s">
        <v>222</v>
      </c>
      <c r="V94" s="141" t="s">
        <v>222</v>
      </c>
      <c r="W94" s="141"/>
      <c r="X94" s="141"/>
      <c r="Y94" s="141"/>
      <c r="Z94" s="141"/>
    </row>
    <row r="95">
      <c r="A95" s="141"/>
      <c r="B95" s="141" t="s">
        <v>222</v>
      </c>
      <c r="C95" s="141" t="s">
        <v>222</v>
      </c>
      <c r="D95" s="141" t="s">
        <v>222</v>
      </c>
      <c r="E95" s="141" t="s">
        <v>222</v>
      </c>
      <c r="F95" s="141" t="s">
        <v>222</v>
      </c>
      <c r="G95" s="141" t="s">
        <v>222</v>
      </c>
      <c r="H95" s="141" t="s">
        <v>222</v>
      </c>
      <c r="I95" s="141" t="s">
        <v>222</v>
      </c>
      <c r="J95" s="141" t="s">
        <v>222</v>
      </c>
      <c r="K95" s="141" t="s">
        <v>222</v>
      </c>
      <c r="L95" s="141" t="s">
        <v>222</v>
      </c>
      <c r="M95" s="141" t="s">
        <v>222</v>
      </c>
      <c r="N95" s="141" t="s">
        <v>222</v>
      </c>
      <c r="O95" s="141" t="s">
        <v>222</v>
      </c>
      <c r="P95" s="141" t="s">
        <v>222</v>
      </c>
      <c r="Q95" s="141" t="s">
        <v>222</v>
      </c>
      <c r="R95" s="141" t="s">
        <v>222</v>
      </c>
      <c r="S95" s="141" t="s">
        <v>222</v>
      </c>
      <c r="T95" s="141" t="s">
        <v>222</v>
      </c>
      <c r="U95" s="141" t="s">
        <v>222</v>
      </c>
      <c r="V95" s="141" t="s">
        <v>222</v>
      </c>
      <c r="W95" s="141"/>
      <c r="X95" s="141"/>
      <c r="Y95" s="141"/>
      <c r="Z95" s="141"/>
    </row>
    <row r="96">
      <c r="A96" s="141"/>
      <c r="B96" s="141" t="s">
        <v>222</v>
      </c>
      <c r="C96" s="141" t="s">
        <v>222</v>
      </c>
      <c r="D96" s="141" t="s">
        <v>222</v>
      </c>
      <c r="E96" s="141" t="s">
        <v>222</v>
      </c>
      <c r="F96" s="141" t="s">
        <v>222</v>
      </c>
      <c r="G96" s="141" t="s">
        <v>222</v>
      </c>
      <c r="H96" s="141" t="s">
        <v>222</v>
      </c>
      <c r="I96" s="141" t="s">
        <v>222</v>
      </c>
      <c r="J96" s="141" t="s">
        <v>222</v>
      </c>
      <c r="K96" s="141" t="s">
        <v>222</v>
      </c>
      <c r="L96" s="141" t="s">
        <v>222</v>
      </c>
      <c r="M96" s="141" t="s">
        <v>222</v>
      </c>
      <c r="N96" s="141" t="s">
        <v>222</v>
      </c>
      <c r="O96" s="141" t="s">
        <v>222</v>
      </c>
      <c r="P96" s="141" t="s">
        <v>222</v>
      </c>
      <c r="Q96" s="141" t="s">
        <v>222</v>
      </c>
      <c r="R96" s="141" t="s">
        <v>222</v>
      </c>
      <c r="S96" s="141" t="s">
        <v>222</v>
      </c>
      <c r="T96" s="141" t="s">
        <v>222</v>
      </c>
      <c r="U96" s="141" t="s">
        <v>222</v>
      </c>
      <c r="V96" s="141" t="s">
        <v>222</v>
      </c>
      <c r="W96" s="141"/>
      <c r="X96" s="141"/>
      <c r="Y96" s="141"/>
      <c r="Z96" s="141"/>
    </row>
    <row r="97">
      <c r="A97" s="141"/>
      <c r="B97" s="141" t="s">
        <v>222</v>
      </c>
      <c r="C97" s="141" t="s">
        <v>222</v>
      </c>
      <c r="D97" s="141" t="s">
        <v>222</v>
      </c>
      <c r="E97" s="141" t="s">
        <v>222</v>
      </c>
      <c r="F97" s="141" t="s">
        <v>222</v>
      </c>
      <c r="G97" s="141" t="s">
        <v>222</v>
      </c>
      <c r="H97" s="141" t="s">
        <v>222</v>
      </c>
      <c r="I97" s="141" t="s">
        <v>222</v>
      </c>
      <c r="J97" s="141" t="s">
        <v>222</v>
      </c>
      <c r="K97" s="141" t="s">
        <v>222</v>
      </c>
      <c r="L97" s="141" t="s">
        <v>222</v>
      </c>
      <c r="M97" s="141" t="s">
        <v>222</v>
      </c>
      <c r="N97" s="141" t="s">
        <v>222</v>
      </c>
      <c r="O97" s="141" t="s">
        <v>222</v>
      </c>
      <c r="P97" s="141" t="s">
        <v>222</v>
      </c>
      <c r="Q97" s="141" t="s">
        <v>222</v>
      </c>
      <c r="R97" s="141" t="s">
        <v>222</v>
      </c>
      <c r="S97" s="141" t="s">
        <v>222</v>
      </c>
      <c r="T97" s="141" t="s">
        <v>222</v>
      </c>
      <c r="U97" s="141" t="s">
        <v>222</v>
      </c>
      <c r="V97" s="141" t="s">
        <v>222</v>
      </c>
      <c r="W97" s="141"/>
      <c r="X97" s="141"/>
      <c r="Y97" s="141"/>
      <c r="Z97" s="141"/>
    </row>
    <row r="98">
      <c r="A98" s="141"/>
      <c r="B98" s="141" t="s">
        <v>222</v>
      </c>
      <c r="C98" s="141" t="s">
        <v>222</v>
      </c>
      <c r="D98" s="141" t="s">
        <v>222</v>
      </c>
      <c r="E98" s="141" t="s">
        <v>222</v>
      </c>
      <c r="F98" s="141" t="s">
        <v>222</v>
      </c>
      <c r="G98" s="141" t="s">
        <v>222</v>
      </c>
      <c r="H98" s="141" t="s">
        <v>222</v>
      </c>
      <c r="I98" s="141" t="s">
        <v>222</v>
      </c>
      <c r="J98" s="141" t="s">
        <v>222</v>
      </c>
      <c r="K98" s="141" t="s">
        <v>222</v>
      </c>
      <c r="L98" s="141" t="s">
        <v>222</v>
      </c>
      <c r="M98" s="141" t="s">
        <v>222</v>
      </c>
      <c r="N98" s="141" t="s">
        <v>222</v>
      </c>
      <c r="O98" s="141" t="s">
        <v>222</v>
      </c>
      <c r="P98" s="141" t="s">
        <v>222</v>
      </c>
      <c r="Q98" s="141" t="s">
        <v>222</v>
      </c>
      <c r="R98" s="141" t="s">
        <v>222</v>
      </c>
      <c r="S98" s="141" t="s">
        <v>222</v>
      </c>
      <c r="T98" s="141" t="s">
        <v>222</v>
      </c>
      <c r="U98" s="141" t="s">
        <v>222</v>
      </c>
      <c r="V98" s="141" t="s">
        <v>222</v>
      </c>
      <c r="W98" s="141"/>
      <c r="X98" s="141"/>
      <c r="Y98" s="141"/>
      <c r="Z98" s="141"/>
    </row>
    <row r="99">
      <c r="A99" s="141"/>
      <c r="B99" s="141" t="s">
        <v>222</v>
      </c>
      <c r="C99" s="141" t="s">
        <v>222</v>
      </c>
      <c r="D99" s="141" t="s">
        <v>222</v>
      </c>
      <c r="E99" s="141" t="s">
        <v>222</v>
      </c>
      <c r="F99" s="141" t="s">
        <v>222</v>
      </c>
      <c r="G99" s="141" t="s">
        <v>222</v>
      </c>
      <c r="H99" s="141" t="s">
        <v>222</v>
      </c>
      <c r="I99" s="141" t="s">
        <v>222</v>
      </c>
      <c r="J99" s="141" t="s">
        <v>222</v>
      </c>
      <c r="K99" s="141" t="s">
        <v>222</v>
      </c>
      <c r="L99" s="141" t="s">
        <v>222</v>
      </c>
      <c r="M99" s="141" t="s">
        <v>222</v>
      </c>
      <c r="N99" s="141" t="s">
        <v>222</v>
      </c>
      <c r="O99" s="141" t="s">
        <v>222</v>
      </c>
      <c r="P99" s="141" t="s">
        <v>222</v>
      </c>
      <c r="Q99" s="141" t="s">
        <v>222</v>
      </c>
      <c r="R99" s="141" t="s">
        <v>222</v>
      </c>
      <c r="S99" s="141" t="s">
        <v>222</v>
      </c>
      <c r="T99" s="141" t="s">
        <v>222</v>
      </c>
      <c r="U99" s="141" t="s">
        <v>222</v>
      </c>
      <c r="V99" s="141" t="s">
        <v>222</v>
      </c>
      <c r="W99" s="141"/>
      <c r="X99" s="141"/>
      <c r="Y99" s="141"/>
      <c r="Z99" s="141"/>
    </row>
    <row r="100">
      <c r="A100" s="141"/>
      <c r="B100" s="141" t="s">
        <v>222</v>
      </c>
      <c r="C100" s="141" t="s">
        <v>222</v>
      </c>
      <c r="D100" s="141" t="s">
        <v>222</v>
      </c>
      <c r="E100" s="141" t="s">
        <v>222</v>
      </c>
      <c r="F100" s="141" t="s">
        <v>222</v>
      </c>
      <c r="G100" s="141" t="s">
        <v>222</v>
      </c>
      <c r="H100" s="141" t="s">
        <v>222</v>
      </c>
      <c r="I100" s="141" t="s">
        <v>222</v>
      </c>
      <c r="J100" s="141" t="s">
        <v>222</v>
      </c>
      <c r="K100" s="141" t="s">
        <v>222</v>
      </c>
      <c r="L100" s="141" t="s">
        <v>222</v>
      </c>
      <c r="M100" s="141" t="s">
        <v>222</v>
      </c>
      <c r="N100" s="141" t="s">
        <v>222</v>
      </c>
      <c r="O100" s="141" t="s">
        <v>222</v>
      </c>
      <c r="P100" s="141" t="s">
        <v>222</v>
      </c>
      <c r="Q100" s="141" t="s">
        <v>222</v>
      </c>
      <c r="R100" s="141" t="s">
        <v>222</v>
      </c>
      <c r="S100" s="141" t="s">
        <v>222</v>
      </c>
      <c r="T100" s="141" t="s">
        <v>222</v>
      </c>
      <c r="U100" s="141" t="s">
        <v>222</v>
      </c>
      <c r="V100" s="141" t="s">
        <v>222</v>
      </c>
      <c r="W100" s="141"/>
      <c r="X100" s="141"/>
      <c r="Y100" s="141"/>
      <c r="Z100" s="141"/>
    </row>
    <row r="101">
      <c r="A101" s="141"/>
      <c r="B101" s="141" t="s">
        <v>222</v>
      </c>
      <c r="C101" s="141" t="s">
        <v>222</v>
      </c>
      <c r="D101" s="141" t="s">
        <v>222</v>
      </c>
      <c r="E101" s="141" t="s">
        <v>222</v>
      </c>
      <c r="F101" s="141" t="s">
        <v>222</v>
      </c>
      <c r="G101" s="141" t="s">
        <v>222</v>
      </c>
      <c r="H101" s="141" t="s">
        <v>222</v>
      </c>
      <c r="I101" s="141" t="s">
        <v>222</v>
      </c>
      <c r="J101" s="141" t="s">
        <v>222</v>
      </c>
      <c r="K101" s="141" t="s">
        <v>222</v>
      </c>
      <c r="L101" s="141" t="s">
        <v>222</v>
      </c>
      <c r="M101" s="141" t="s">
        <v>222</v>
      </c>
      <c r="N101" s="141" t="s">
        <v>222</v>
      </c>
      <c r="O101" s="141" t="s">
        <v>222</v>
      </c>
      <c r="P101" s="141" t="s">
        <v>222</v>
      </c>
      <c r="Q101" s="141" t="s">
        <v>222</v>
      </c>
      <c r="R101" s="141" t="s">
        <v>222</v>
      </c>
      <c r="S101" s="141" t="s">
        <v>222</v>
      </c>
      <c r="T101" s="141" t="s">
        <v>222</v>
      </c>
      <c r="U101" s="141" t="s">
        <v>222</v>
      </c>
      <c r="V101" s="141" t="s">
        <v>222</v>
      </c>
      <c r="W101" s="141"/>
      <c r="X101" s="141"/>
      <c r="Y101" s="141"/>
      <c r="Z101" s="141"/>
    </row>
    <row r="102">
      <c r="A102" s="141"/>
      <c r="B102" s="141" t="s">
        <v>222</v>
      </c>
      <c r="C102" s="141" t="s">
        <v>222</v>
      </c>
      <c r="D102" s="141" t="s">
        <v>222</v>
      </c>
      <c r="E102" s="141" t="s">
        <v>222</v>
      </c>
      <c r="F102" s="141" t="s">
        <v>222</v>
      </c>
      <c r="G102" s="141" t="s">
        <v>222</v>
      </c>
      <c r="H102" s="141" t="s">
        <v>222</v>
      </c>
      <c r="I102" s="141" t="s">
        <v>222</v>
      </c>
      <c r="J102" s="141" t="s">
        <v>222</v>
      </c>
      <c r="K102" s="141" t="s">
        <v>222</v>
      </c>
      <c r="L102" s="141" t="s">
        <v>222</v>
      </c>
      <c r="M102" s="141" t="s">
        <v>222</v>
      </c>
      <c r="N102" s="141" t="s">
        <v>222</v>
      </c>
      <c r="O102" s="141" t="s">
        <v>222</v>
      </c>
      <c r="P102" s="141" t="s">
        <v>222</v>
      </c>
      <c r="Q102" s="141" t="s">
        <v>222</v>
      </c>
      <c r="R102" s="141" t="s">
        <v>222</v>
      </c>
      <c r="S102" s="141" t="s">
        <v>222</v>
      </c>
      <c r="T102" s="141" t="s">
        <v>222</v>
      </c>
      <c r="U102" s="141" t="s">
        <v>222</v>
      </c>
      <c r="V102" s="141" t="s">
        <v>222</v>
      </c>
      <c r="W102" s="141"/>
      <c r="X102" s="141"/>
      <c r="Y102" s="141"/>
      <c r="Z102" s="141"/>
    </row>
    <row r="103">
      <c r="A103" s="141"/>
      <c r="B103" s="141" t="s">
        <v>222</v>
      </c>
      <c r="C103" s="141" t="s">
        <v>222</v>
      </c>
      <c r="D103" s="141" t="s">
        <v>222</v>
      </c>
      <c r="E103" s="141" t="s">
        <v>222</v>
      </c>
      <c r="F103" s="141" t="s">
        <v>222</v>
      </c>
      <c r="G103" s="141" t="s">
        <v>222</v>
      </c>
      <c r="H103" s="141" t="s">
        <v>222</v>
      </c>
      <c r="I103" s="141" t="s">
        <v>222</v>
      </c>
      <c r="J103" s="141" t="s">
        <v>222</v>
      </c>
      <c r="K103" s="141" t="s">
        <v>222</v>
      </c>
      <c r="L103" s="141" t="s">
        <v>222</v>
      </c>
      <c r="M103" s="141" t="s">
        <v>222</v>
      </c>
      <c r="N103" s="141" t="s">
        <v>222</v>
      </c>
      <c r="O103" s="141" t="s">
        <v>222</v>
      </c>
      <c r="P103" s="141" t="s">
        <v>222</v>
      </c>
      <c r="Q103" s="141" t="s">
        <v>222</v>
      </c>
      <c r="R103" s="141" t="s">
        <v>222</v>
      </c>
      <c r="S103" s="141" t="s">
        <v>222</v>
      </c>
      <c r="T103" s="141" t="s">
        <v>222</v>
      </c>
      <c r="U103" s="141" t="s">
        <v>222</v>
      </c>
      <c r="V103" s="141" t="s">
        <v>222</v>
      </c>
      <c r="W103" s="141"/>
      <c r="X103" s="141"/>
      <c r="Y103" s="141"/>
      <c r="Z103" s="141"/>
    </row>
    <row r="104">
      <c r="A104" s="141"/>
      <c r="B104" s="141" t="s">
        <v>222</v>
      </c>
      <c r="C104" s="141" t="s">
        <v>222</v>
      </c>
      <c r="D104" s="141" t="s">
        <v>222</v>
      </c>
      <c r="E104" s="141" t="s">
        <v>222</v>
      </c>
      <c r="F104" s="141" t="s">
        <v>222</v>
      </c>
      <c r="G104" s="141" t="s">
        <v>222</v>
      </c>
      <c r="H104" s="141" t="s">
        <v>222</v>
      </c>
      <c r="I104" s="141" t="s">
        <v>222</v>
      </c>
      <c r="J104" s="141" t="s">
        <v>222</v>
      </c>
      <c r="K104" s="141" t="s">
        <v>222</v>
      </c>
      <c r="L104" s="141" t="s">
        <v>222</v>
      </c>
      <c r="M104" s="141" t="s">
        <v>222</v>
      </c>
      <c r="N104" s="141" t="s">
        <v>222</v>
      </c>
      <c r="O104" s="141" t="s">
        <v>222</v>
      </c>
      <c r="P104" s="141" t="s">
        <v>222</v>
      </c>
      <c r="Q104" s="141" t="s">
        <v>222</v>
      </c>
      <c r="R104" s="141" t="s">
        <v>222</v>
      </c>
      <c r="S104" s="141" t="s">
        <v>222</v>
      </c>
      <c r="T104" s="141" t="s">
        <v>222</v>
      </c>
      <c r="U104" s="141" t="s">
        <v>222</v>
      </c>
      <c r="V104" s="141" t="s">
        <v>222</v>
      </c>
      <c r="W104" s="141"/>
      <c r="X104" s="141"/>
      <c r="Y104" s="141"/>
      <c r="Z104" s="141"/>
    </row>
    <row r="105">
      <c r="A105" s="141"/>
      <c r="B105" s="141" t="s">
        <v>222</v>
      </c>
      <c r="C105" s="141" t="s">
        <v>222</v>
      </c>
      <c r="D105" s="141" t="s">
        <v>222</v>
      </c>
      <c r="E105" s="141" t="s">
        <v>222</v>
      </c>
      <c r="F105" s="141" t="s">
        <v>222</v>
      </c>
      <c r="G105" s="141" t="s">
        <v>222</v>
      </c>
      <c r="H105" s="141" t="s">
        <v>222</v>
      </c>
      <c r="I105" s="141" t="s">
        <v>222</v>
      </c>
      <c r="J105" s="141" t="s">
        <v>222</v>
      </c>
      <c r="K105" s="141" t="s">
        <v>222</v>
      </c>
      <c r="L105" s="141" t="s">
        <v>222</v>
      </c>
      <c r="M105" s="141" t="s">
        <v>222</v>
      </c>
      <c r="N105" s="141" t="s">
        <v>222</v>
      </c>
      <c r="O105" s="141" t="s">
        <v>222</v>
      </c>
      <c r="P105" s="141" t="s">
        <v>222</v>
      </c>
      <c r="Q105" s="141" t="s">
        <v>222</v>
      </c>
      <c r="R105" s="141" t="s">
        <v>222</v>
      </c>
      <c r="S105" s="141" t="s">
        <v>222</v>
      </c>
      <c r="T105" s="141" t="s">
        <v>222</v>
      </c>
      <c r="U105" s="141" t="s">
        <v>222</v>
      </c>
      <c r="V105" s="141" t="s">
        <v>222</v>
      </c>
      <c r="W105" s="141"/>
      <c r="X105" s="141"/>
      <c r="Y105" s="141"/>
      <c r="Z105" s="141"/>
    </row>
    <row r="106">
      <c r="A106" s="141"/>
      <c r="B106" s="141" t="s">
        <v>222</v>
      </c>
      <c r="C106" s="141" t="s">
        <v>222</v>
      </c>
      <c r="D106" s="141" t="s">
        <v>222</v>
      </c>
      <c r="E106" s="141" t="s">
        <v>222</v>
      </c>
      <c r="F106" s="141" t="s">
        <v>222</v>
      </c>
      <c r="G106" s="141" t="s">
        <v>222</v>
      </c>
      <c r="H106" s="141" t="s">
        <v>222</v>
      </c>
      <c r="I106" s="141" t="s">
        <v>222</v>
      </c>
      <c r="J106" s="141" t="s">
        <v>222</v>
      </c>
      <c r="K106" s="141" t="s">
        <v>222</v>
      </c>
      <c r="L106" s="141" t="s">
        <v>222</v>
      </c>
      <c r="M106" s="141" t="s">
        <v>222</v>
      </c>
      <c r="N106" s="141" t="s">
        <v>222</v>
      </c>
      <c r="O106" s="141" t="s">
        <v>222</v>
      </c>
      <c r="P106" s="141" t="s">
        <v>222</v>
      </c>
      <c r="Q106" s="141" t="s">
        <v>222</v>
      </c>
      <c r="R106" s="141" t="s">
        <v>222</v>
      </c>
      <c r="S106" s="141" t="s">
        <v>222</v>
      </c>
      <c r="T106" s="141" t="s">
        <v>222</v>
      </c>
      <c r="U106" s="141" t="s">
        <v>222</v>
      </c>
      <c r="V106" s="141" t="s">
        <v>222</v>
      </c>
      <c r="W106" s="141"/>
      <c r="X106" s="141"/>
      <c r="Y106" s="141"/>
      <c r="Z106" s="141"/>
    </row>
    <row r="107">
      <c r="A107" s="141"/>
      <c r="B107" s="141" t="s">
        <v>222</v>
      </c>
      <c r="C107" s="141" t="s">
        <v>222</v>
      </c>
      <c r="D107" s="141" t="s">
        <v>222</v>
      </c>
      <c r="E107" s="141" t="s">
        <v>222</v>
      </c>
      <c r="F107" s="141" t="s">
        <v>222</v>
      </c>
      <c r="G107" s="141" t="s">
        <v>222</v>
      </c>
      <c r="H107" s="141" t="s">
        <v>222</v>
      </c>
      <c r="I107" s="141" t="s">
        <v>222</v>
      </c>
      <c r="J107" s="141" t="s">
        <v>222</v>
      </c>
      <c r="K107" s="141" t="s">
        <v>222</v>
      </c>
      <c r="L107" s="141" t="s">
        <v>222</v>
      </c>
      <c r="M107" s="141" t="s">
        <v>222</v>
      </c>
      <c r="N107" s="141" t="s">
        <v>222</v>
      </c>
      <c r="O107" s="141" t="s">
        <v>222</v>
      </c>
      <c r="P107" s="141" t="s">
        <v>222</v>
      </c>
      <c r="Q107" s="141" t="s">
        <v>222</v>
      </c>
      <c r="R107" s="141" t="s">
        <v>222</v>
      </c>
      <c r="S107" s="141" t="s">
        <v>222</v>
      </c>
      <c r="T107" s="141" t="s">
        <v>222</v>
      </c>
      <c r="U107" s="141" t="s">
        <v>222</v>
      </c>
      <c r="V107" s="141" t="s">
        <v>222</v>
      </c>
      <c r="W107" s="141"/>
      <c r="X107" s="141"/>
      <c r="Y107" s="141"/>
      <c r="Z107" s="141"/>
    </row>
    <row r="108">
      <c r="A108" s="141"/>
      <c r="B108" s="141" t="s">
        <v>222</v>
      </c>
      <c r="C108" s="141" t="s">
        <v>222</v>
      </c>
      <c r="D108" s="141" t="s">
        <v>222</v>
      </c>
      <c r="E108" s="141" t="s">
        <v>222</v>
      </c>
      <c r="F108" s="141" t="s">
        <v>222</v>
      </c>
      <c r="G108" s="141" t="s">
        <v>222</v>
      </c>
      <c r="H108" s="141" t="s">
        <v>222</v>
      </c>
      <c r="I108" s="141" t="s">
        <v>222</v>
      </c>
      <c r="J108" s="141" t="s">
        <v>222</v>
      </c>
      <c r="K108" s="141" t="s">
        <v>222</v>
      </c>
      <c r="L108" s="141" t="s">
        <v>222</v>
      </c>
      <c r="M108" s="141" t="s">
        <v>222</v>
      </c>
      <c r="N108" s="141" t="s">
        <v>222</v>
      </c>
      <c r="O108" s="141" t="s">
        <v>222</v>
      </c>
      <c r="P108" s="141" t="s">
        <v>222</v>
      </c>
      <c r="Q108" s="141" t="s">
        <v>222</v>
      </c>
      <c r="R108" s="141" t="s">
        <v>222</v>
      </c>
      <c r="S108" s="141" t="s">
        <v>222</v>
      </c>
      <c r="T108" s="141" t="s">
        <v>222</v>
      </c>
      <c r="U108" s="141" t="s">
        <v>222</v>
      </c>
      <c r="V108" s="141" t="s">
        <v>222</v>
      </c>
      <c r="W108" s="141"/>
      <c r="X108" s="141"/>
      <c r="Y108" s="141"/>
      <c r="Z108" s="141"/>
    </row>
    <row r="109">
      <c r="A109" s="141"/>
      <c r="B109" s="141" t="s">
        <v>222</v>
      </c>
      <c r="C109" s="141" t="s">
        <v>222</v>
      </c>
      <c r="D109" s="141" t="s">
        <v>222</v>
      </c>
      <c r="E109" s="141" t="s">
        <v>222</v>
      </c>
      <c r="F109" s="141" t="s">
        <v>222</v>
      </c>
      <c r="G109" s="141" t="s">
        <v>222</v>
      </c>
      <c r="H109" s="141" t="s">
        <v>222</v>
      </c>
      <c r="I109" s="141" t="s">
        <v>222</v>
      </c>
      <c r="J109" s="141" t="s">
        <v>222</v>
      </c>
      <c r="K109" s="141" t="s">
        <v>222</v>
      </c>
      <c r="L109" s="141" t="s">
        <v>222</v>
      </c>
      <c r="M109" s="141" t="s">
        <v>222</v>
      </c>
      <c r="N109" s="141" t="s">
        <v>222</v>
      </c>
      <c r="O109" s="141" t="s">
        <v>222</v>
      </c>
      <c r="P109" s="141" t="s">
        <v>222</v>
      </c>
      <c r="Q109" s="141" t="s">
        <v>222</v>
      </c>
      <c r="R109" s="141" t="s">
        <v>222</v>
      </c>
      <c r="S109" s="141" t="s">
        <v>222</v>
      </c>
      <c r="T109" s="141" t="s">
        <v>222</v>
      </c>
      <c r="U109" s="141" t="s">
        <v>222</v>
      </c>
      <c r="V109" s="141" t="s">
        <v>222</v>
      </c>
      <c r="W109" s="141"/>
      <c r="X109" s="141"/>
      <c r="Y109" s="141"/>
      <c r="Z109" s="141"/>
    </row>
    <row r="110">
      <c r="A110" s="141"/>
      <c r="B110" s="141" t="s">
        <v>222</v>
      </c>
      <c r="C110" s="141" t="s">
        <v>222</v>
      </c>
      <c r="D110" s="141" t="s">
        <v>222</v>
      </c>
      <c r="E110" s="141" t="s">
        <v>222</v>
      </c>
      <c r="F110" s="141" t="s">
        <v>222</v>
      </c>
      <c r="G110" s="141" t="s">
        <v>222</v>
      </c>
      <c r="H110" s="141" t="s">
        <v>222</v>
      </c>
      <c r="I110" s="141" t="s">
        <v>222</v>
      </c>
      <c r="J110" s="141" t="s">
        <v>222</v>
      </c>
      <c r="K110" s="141" t="s">
        <v>222</v>
      </c>
      <c r="L110" s="141" t="s">
        <v>222</v>
      </c>
      <c r="M110" s="141" t="s">
        <v>222</v>
      </c>
      <c r="N110" s="141" t="s">
        <v>222</v>
      </c>
      <c r="O110" s="141" t="s">
        <v>222</v>
      </c>
      <c r="P110" s="141" t="s">
        <v>222</v>
      </c>
      <c r="Q110" s="141" t="s">
        <v>222</v>
      </c>
      <c r="R110" s="141" t="s">
        <v>222</v>
      </c>
      <c r="S110" s="141" t="s">
        <v>222</v>
      </c>
      <c r="T110" s="141" t="s">
        <v>222</v>
      </c>
      <c r="U110" s="141" t="s">
        <v>222</v>
      </c>
      <c r="V110" s="141" t="s">
        <v>222</v>
      </c>
      <c r="W110" s="141"/>
      <c r="X110" s="141"/>
      <c r="Y110" s="141"/>
      <c r="Z110" s="141"/>
    </row>
    <row r="111">
      <c r="A111" s="141"/>
      <c r="B111" s="141" t="s">
        <v>222</v>
      </c>
      <c r="C111" s="141" t="s">
        <v>222</v>
      </c>
      <c r="D111" s="141" t="s">
        <v>222</v>
      </c>
      <c r="E111" s="141" t="s">
        <v>222</v>
      </c>
      <c r="F111" s="141" t="s">
        <v>222</v>
      </c>
      <c r="G111" s="141" t="s">
        <v>222</v>
      </c>
      <c r="H111" s="141" t="s">
        <v>222</v>
      </c>
      <c r="I111" s="141" t="s">
        <v>222</v>
      </c>
      <c r="J111" s="141" t="s">
        <v>222</v>
      </c>
      <c r="K111" s="141" t="s">
        <v>222</v>
      </c>
      <c r="L111" s="141" t="s">
        <v>222</v>
      </c>
      <c r="M111" s="141" t="s">
        <v>222</v>
      </c>
      <c r="N111" s="141" t="s">
        <v>222</v>
      </c>
      <c r="O111" s="141" t="s">
        <v>222</v>
      </c>
      <c r="P111" s="141" t="s">
        <v>222</v>
      </c>
      <c r="Q111" s="141" t="s">
        <v>222</v>
      </c>
      <c r="R111" s="141" t="s">
        <v>222</v>
      </c>
      <c r="S111" s="141" t="s">
        <v>222</v>
      </c>
      <c r="T111" s="141" t="s">
        <v>222</v>
      </c>
      <c r="U111" s="141" t="s">
        <v>222</v>
      </c>
      <c r="V111" s="141" t="s">
        <v>222</v>
      </c>
      <c r="W111" s="141"/>
      <c r="X111" s="141"/>
      <c r="Y111" s="141"/>
      <c r="Z111" s="141"/>
    </row>
    <row r="112">
      <c r="A112" s="141"/>
      <c r="B112" s="141" t="s">
        <v>222</v>
      </c>
      <c r="C112" s="141" t="s">
        <v>222</v>
      </c>
      <c r="D112" s="141" t="s">
        <v>222</v>
      </c>
      <c r="E112" s="141" t="s">
        <v>222</v>
      </c>
      <c r="F112" s="141" t="s">
        <v>222</v>
      </c>
      <c r="G112" s="141" t="s">
        <v>222</v>
      </c>
      <c r="H112" s="141" t="s">
        <v>222</v>
      </c>
      <c r="I112" s="141" t="s">
        <v>222</v>
      </c>
      <c r="J112" s="141" t="s">
        <v>222</v>
      </c>
      <c r="K112" s="141" t="s">
        <v>222</v>
      </c>
      <c r="L112" s="141" t="s">
        <v>222</v>
      </c>
      <c r="M112" s="141" t="s">
        <v>222</v>
      </c>
      <c r="N112" s="141" t="s">
        <v>222</v>
      </c>
      <c r="O112" s="141" t="s">
        <v>222</v>
      </c>
      <c r="P112" s="141" t="s">
        <v>222</v>
      </c>
      <c r="Q112" s="141" t="s">
        <v>222</v>
      </c>
      <c r="R112" s="141" t="s">
        <v>222</v>
      </c>
      <c r="S112" s="141" t="s">
        <v>222</v>
      </c>
      <c r="T112" s="141" t="s">
        <v>222</v>
      </c>
      <c r="U112" s="141" t="s">
        <v>222</v>
      </c>
      <c r="V112" s="141" t="s">
        <v>222</v>
      </c>
      <c r="W112" s="141"/>
      <c r="X112" s="141"/>
      <c r="Y112" s="141"/>
      <c r="Z112" s="141"/>
    </row>
    <row r="113">
      <c r="A113" s="141"/>
      <c r="B113" s="141" t="s">
        <v>222</v>
      </c>
      <c r="C113" s="141" t="s">
        <v>222</v>
      </c>
      <c r="D113" s="141" t="s">
        <v>222</v>
      </c>
      <c r="E113" s="141" t="s">
        <v>222</v>
      </c>
      <c r="F113" s="141" t="s">
        <v>222</v>
      </c>
      <c r="G113" s="141" t="s">
        <v>222</v>
      </c>
      <c r="H113" s="141" t="s">
        <v>222</v>
      </c>
      <c r="I113" s="141" t="s">
        <v>222</v>
      </c>
      <c r="J113" s="141" t="s">
        <v>222</v>
      </c>
      <c r="K113" s="141" t="s">
        <v>222</v>
      </c>
      <c r="L113" s="141" t="s">
        <v>222</v>
      </c>
      <c r="M113" s="141" t="s">
        <v>222</v>
      </c>
      <c r="N113" s="141" t="s">
        <v>222</v>
      </c>
      <c r="O113" s="141" t="s">
        <v>222</v>
      </c>
      <c r="P113" s="141" t="s">
        <v>222</v>
      </c>
      <c r="Q113" s="141" t="s">
        <v>222</v>
      </c>
      <c r="R113" s="141" t="s">
        <v>222</v>
      </c>
      <c r="S113" s="141" t="s">
        <v>222</v>
      </c>
      <c r="T113" s="141" t="s">
        <v>222</v>
      </c>
      <c r="U113" s="141" t="s">
        <v>222</v>
      </c>
      <c r="V113" s="141" t="s">
        <v>222</v>
      </c>
      <c r="W113" s="141"/>
      <c r="X113" s="141"/>
      <c r="Y113" s="141"/>
      <c r="Z113" s="141"/>
    </row>
    <row r="114">
      <c r="A114" s="141"/>
      <c r="B114" s="141" t="s">
        <v>222</v>
      </c>
      <c r="C114" s="141" t="s">
        <v>222</v>
      </c>
      <c r="D114" s="141" t="s">
        <v>222</v>
      </c>
      <c r="E114" s="141" t="s">
        <v>222</v>
      </c>
      <c r="F114" s="141" t="s">
        <v>222</v>
      </c>
      <c r="G114" s="141" t="s">
        <v>222</v>
      </c>
      <c r="H114" s="141" t="s">
        <v>222</v>
      </c>
      <c r="I114" s="141" t="s">
        <v>222</v>
      </c>
      <c r="J114" s="141" t="s">
        <v>222</v>
      </c>
      <c r="K114" s="141" t="s">
        <v>222</v>
      </c>
      <c r="L114" s="141" t="s">
        <v>222</v>
      </c>
      <c r="M114" s="141" t="s">
        <v>222</v>
      </c>
      <c r="N114" s="141" t="s">
        <v>222</v>
      </c>
      <c r="O114" s="141" t="s">
        <v>222</v>
      </c>
      <c r="P114" s="141" t="s">
        <v>222</v>
      </c>
      <c r="Q114" s="141" t="s">
        <v>222</v>
      </c>
      <c r="R114" s="141" t="s">
        <v>222</v>
      </c>
      <c r="S114" s="141" t="s">
        <v>222</v>
      </c>
      <c r="T114" s="141" t="s">
        <v>222</v>
      </c>
      <c r="U114" s="141" t="s">
        <v>222</v>
      </c>
      <c r="V114" s="141" t="s">
        <v>222</v>
      </c>
      <c r="W114" s="141"/>
      <c r="X114" s="141"/>
      <c r="Y114" s="141"/>
      <c r="Z114" s="141"/>
    </row>
    <row r="115">
      <c r="A115" s="141"/>
      <c r="B115" s="141" t="s">
        <v>222</v>
      </c>
      <c r="C115" s="141" t="s">
        <v>222</v>
      </c>
      <c r="D115" s="141" t="s">
        <v>222</v>
      </c>
      <c r="E115" s="141" t="s">
        <v>222</v>
      </c>
      <c r="F115" s="141" t="s">
        <v>222</v>
      </c>
      <c r="G115" s="141" t="s">
        <v>222</v>
      </c>
      <c r="H115" s="141" t="s">
        <v>222</v>
      </c>
      <c r="I115" s="141" t="s">
        <v>222</v>
      </c>
      <c r="J115" s="141" t="s">
        <v>222</v>
      </c>
      <c r="K115" s="141" t="s">
        <v>222</v>
      </c>
      <c r="L115" s="141" t="s">
        <v>222</v>
      </c>
      <c r="M115" s="141" t="s">
        <v>222</v>
      </c>
      <c r="N115" s="141" t="s">
        <v>222</v>
      </c>
      <c r="O115" s="141" t="s">
        <v>222</v>
      </c>
      <c r="P115" s="141" t="s">
        <v>222</v>
      </c>
      <c r="Q115" s="141" t="s">
        <v>222</v>
      </c>
      <c r="R115" s="141" t="s">
        <v>222</v>
      </c>
      <c r="S115" s="141" t="s">
        <v>222</v>
      </c>
      <c r="T115" s="141" t="s">
        <v>222</v>
      </c>
      <c r="U115" s="141" t="s">
        <v>222</v>
      </c>
      <c r="V115" s="141" t="s">
        <v>222</v>
      </c>
      <c r="W115" s="141"/>
      <c r="X115" s="141"/>
      <c r="Y115" s="141"/>
      <c r="Z115" s="141"/>
    </row>
    <row r="116">
      <c r="A116" s="141"/>
      <c r="B116" s="141" t="s">
        <v>222</v>
      </c>
      <c r="C116" s="141" t="s">
        <v>222</v>
      </c>
      <c r="D116" s="141" t="s">
        <v>222</v>
      </c>
      <c r="E116" s="141" t="s">
        <v>222</v>
      </c>
      <c r="F116" s="141" t="s">
        <v>222</v>
      </c>
      <c r="G116" s="141" t="s">
        <v>222</v>
      </c>
      <c r="H116" s="141" t="s">
        <v>222</v>
      </c>
      <c r="I116" s="141" t="s">
        <v>222</v>
      </c>
      <c r="J116" s="141" t="s">
        <v>222</v>
      </c>
      <c r="K116" s="141" t="s">
        <v>222</v>
      </c>
      <c r="L116" s="141" t="s">
        <v>222</v>
      </c>
      <c r="M116" s="141" t="s">
        <v>222</v>
      </c>
      <c r="N116" s="141" t="s">
        <v>222</v>
      </c>
      <c r="O116" s="141" t="s">
        <v>222</v>
      </c>
      <c r="P116" s="141" t="s">
        <v>222</v>
      </c>
      <c r="Q116" s="141" t="s">
        <v>222</v>
      </c>
      <c r="R116" s="141" t="s">
        <v>222</v>
      </c>
      <c r="S116" s="141" t="s">
        <v>222</v>
      </c>
      <c r="T116" s="141" t="s">
        <v>222</v>
      </c>
      <c r="U116" s="141" t="s">
        <v>222</v>
      </c>
      <c r="V116" s="141" t="s">
        <v>222</v>
      </c>
      <c r="W116" s="141"/>
      <c r="X116" s="141"/>
      <c r="Y116" s="141"/>
      <c r="Z116" s="141"/>
    </row>
    <row r="117">
      <c r="A117" s="141"/>
      <c r="B117" s="141" t="s">
        <v>222</v>
      </c>
      <c r="C117" s="141" t="s">
        <v>222</v>
      </c>
      <c r="D117" s="141" t="s">
        <v>222</v>
      </c>
      <c r="E117" s="141" t="s">
        <v>222</v>
      </c>
      <c r="F117" s="141" t="s">
        <v>222</v>
      </c>
      <c r="G117" s="141" t="s">
        <v>222</v>
      </c>
      <c r="H117" s="141" t="s">
        <v>222</v>
      </c>
      <c r="I117" s="141" t="s">
        <v>222</v>
      </c>
      <c r="J117" s="141" t="s">
        <v>222</v>
      </c>
      <c r="K117" s="141" t="s">
        <v>222</v>
      </c>
      <c r="L117" s="141" t="s">
        <v>222</v>
      </c>
      <c r="M117" s="141" t="s">
        <v>222</v>
      </c>
      <c r="N117" s="141" t="s">
        <v>222</v>
      </c>
      <c r="O117" s="141" t="s">
        <v>222</v>
      </c>
      <c r="P117" s="141" t="s">
        <v>222</v>
      </c>
      <c r="Q117" s="141" t="s">
        <v>222</v>
      </c>
      <c r="R117" s="141" t="s">
        <v>222</v>
      </c>
      <c r="S117" s="141" t="s">
        <v>222</v>
      </c>
      <c r="T117" s="141" t="s">
        <v>222</v>
      </c>
      <c r="U117" s="141" t="s">
        <v>222</v>
      </c>
      <c r="V117" s="141" t="s">
        <v>222</v>
      </c>
      <c r="W117" s="141"/>
      <c r="X117" s="141"/>
      <c r="Y117" s="141"/>
      <c r="Z117" s="141"/>
    </row>
    <row r="118">
      <c r="A118" s="141"/>
      <c r="B118" s="141" t="s">
        <v>222</v>
      </c>
      <c r="C118" s="141" t="s">
        <v>222</v>
      </c>
      <c r="D118" s="141" t="s">
        <v>222</v>
      </c>
      <c r="E118" s="141" t="s">
        <v>222</v>
      </c>
      <c r="F118" s="141" t="s">
        <v>222</v>
      </c>
      <c r="G118" s="141" t="s">
        <v>222</v>
      </c>
      <c r="H118" s="141" t="s">
        <v>222</v>
      </c>
      <c r="I118" s="141" t="s">
        <v>222</v>
      </c>
      <c r="J118" s="141" t="s">
        <v>222</v>
      </c>
      <c r="K118" s="141" t="s">
        <v>222</v>
      </c>
      <c r="L118" s="141" t="s">
        <v>222</v>
      </c>
      <c r="M118" s="141" t="s">
        <v>222</v>
      </c>
      <c r="N118" s="141" t="s">
        <v>222</v>
      </c>
      <c r="O118" s="141" t="s">
        <v>222</v>
      </c>
      <c r="P118" s="141" t="s">
        <v>222</v>
      </c>
      <c r="Q118" s="141" t="s">
        <v>222</v>
      </c>
      <c r="R118" s="141" t="s">
        <v>222</v>
      </c>
      <c r="S118" s="141" t="s">
        <v>222</v>
      </c>
      <c r="T118" s="141" t="s">
        <v>222</v>
      </c>
      <c r="U118" s="141" t="s">
        <v>222</v>
      </c>
      <c r="V118" s="141" t="s">
        <v>222</v>
      </c>
      <c r="W118" s="141"/>
      <c r="X118" s="141"/>
      <c r="Y118" s="141"/>
      <c r="Z118" s="141"/>
    </row>
    <row r="119">
      <c r="A119" s="141"/>
      <c r="B119" s="141" t="s">
        <v>222</v>
      </c>
      <c r="C119" s="141" t="s">
        <v>222</v>
      </c>
      <c r="D119" s="141" t="s">
        <v>222</v>
      </c>
      <c r="E119" s="141" t="s">
        <v>222</v>
      </c>
      <c r="F119" s="141" t="s">
        <v>222</v>
      </c>
      <c r="G119" s="141" t="s">
        <v>222</v>
      </c>
      <c r="H119" s="141" t="s">
        <v>222</v>
      </c>
      <c r="I119" s="141" t="s">
        <v>222</v>
      </c>
      <c r="J119" s="141" t="s">
        <v>222</v>
      </c>
      <c r="K119" s="141" t="s">
        <v>222</v>
      </c>
      <c r="L119" s="141" t="s">
        <v>222</v>
      </c>
      <c r="M119" s="141" t="s">
        <v>222</v>
      </c>
      <c r="N119" s="141" t="s">
        <v>222</v>
      </c>
      <c r="O119" s="141" t="s">
        <v>222</v>
      </c>
      <c r="P119" s="141" t="s">
        <v>222</v>
      </c>
      <c r="Q119" s="141" t="s">
        <v>222</v>
      </c>
      <c r="R119" s="141" t="s">
        <v>222</v>
      </c>
      <c r="S119" s="141" t="s">
        <v>222</v>
      </c>
      <c r="T119" s="141" t="s">
        <v>222</v>
      </c>
      <c r="U119" s="141" t="s">
        <v>222</v>
      </c>
      <c r="V119" s="141" t="s">
        <v>222</v>
      </c>
      <c r="W119" s="141"/>
      <c r="X119" s="141"/>
      <c r="Y119" s="141"/>
      <c r="Z119" s="141"/>
    </row>
    <row r="120">
      <c r="A120" s="141"/>
      <c r="B120" s="141" t="s">
        <v>222</v>
      </c>
      <c r="C120" s="141" t="s">
        <v>222</v>
      </c>
      <c r="D120" s="141" t="s">
        <v>222</v>
      </c>
      <c r="E120" s="141" t="s">
        <v>222</v>
      </c>
      <c r="F120" s="141" t="s">
        <v>222</v>
      </c>
      <c r="G120" s="141" t="s">
        <v>222</v>
      </c>
      <c r="H120" s="141" t="s">
        <v>222</v>
      </c>
      <c r="I120" s="141" t="s">
        <v>222</v>
      </c>
      <c r="J120" s="141" t="s">
        <v>222</v>
      </c>
      <c r="K120" s="141" t="s">
        <v>222</v>
      </c>
      <c r="L120" s="141" t="s">
        <v>222</v>
      </c>
      <c r="M120" s="141" t="s">
        <v>222</v>
      </c>
      <c r="N120" s="141" t="s">
        <v>222</v>
      </c>
      <c r="O120" s="141" t="s">
        <v>222</v>
      </c>
      <c r="P120" s="141" t="s">
        <v>222</v>
      </c>
      <c r="Q120" s="141" t="s">
        <v>222</v>
      </c>
      <c r="R120" s="141" t="s">
        <v>222</v>
      </c>
      <c r="S120" s="141" t="s">
        <v>222</v>
      </c>
      <c r="T120" s="141" t="s">
        <v>222</v>
      </c>
      <c r="U120" s="141" t="s">
        <v>222</v>
      </c>
      <c r="V120" s="141" t="s">
        <v>222</v>
      </c>
      <c r="W120" s="141"/>
      <c r="X120" s="141"/>
      <c r="Y120" s="141"/>
      <c r="Z120" s="141"/>
    </row>
    <row r="121">
      <c r="A121" s="141"/>
      <c r="B121" s="141" t="s">
        <v>222</v>
      </c>
      <c r="C121" s="141" t="s">
        <v>222</v>
      </c>
      <c r="D121" s="141" t="s">
        <v>222</v>
      </c>
      <c r="E121" s="141" t="s">
        <v>222</v>
      </c>
      <c r="F121" s="141" t="s">
        <v>222</v>
      </c>
      <c r="G121" s="141" t="s">
        <v>222</v>
      </c>
      <c r="H121" s="141" t="s">
        <v>222</v>
      </c>
      <c r="I121" s="141" t="s">
        <v>222</v>
      </c>
      <c r="J121" s="141" t="s">
        <v>222</v>
      </c>
      <c r="K121" s="141" t="s">
        <v>222</v>
      </c>
      <c r="L121" s="141" t="s">
        <v>222</v>
      </c>
      <c r="M121" s="141" t="s">
        <v>222</v>
      </c>
      <c r="N121" s="141" t="s">
        <v>222</v>
      </c>
      <c r="O121" s="141" t="s">
        <v>222</v>
      </c>
      <c r="P121" s="141" t="s">
        <v>222</v>
      </c>
      <c r="Q121" s="141" t="s">
        <v>222</v>
      </c>
      <c r="R121" s="141" t="s">
        <v>222</v>
      </c>
      <c r="S121" s="141" t="s">
        <v>222</v>
      </c>
      <c r="T121" s="141" t="s">
        <v>222</v>
      </c>
      <c r="U121" s="141" t="s">
        <v>222</v>
      </c>
      <c r="V121" s="141" t="s">
        <v>222</v>
      </c>
      <c r="W121" s="141"/>
      <c r="X121" s="141"/>
      <c r="Y121" s="141"/>
      <c r="Z121" s="141"/>
    </row>
    <row r="122">
      <c r="A122" s="141"/>
      <c r="B122" s="141" t="s">
        <v>222</v>
      </c>
      <c r="C122" s="141" t="s">
        <v>222</v>
      </c>
      <c r="D122" s="141" t="s">
        <v>222</v>
      </c>
      <c r="E122" s="141" t="s">
        <v>222</v>
      </c>
      <c r="F122" s="141" t="s">
        <v>222</v>
      </c>
      <c r="G122" s="141" t="s">
        <v>222</v>
      </c>
      <c r="H122" s="141" t="s">
        <v>222</v>
      </c>
      <c r="I122" s="141" t="s">
        <v>222</v>
      </c>
      <c r="J122" s="141" t="s">
        <v>222</v>
      </c>
      <c r="K122" s="141" t="s">
        <v>222</v>
      </c>
      <c r="L122" s="141" t="s">
        <v>222</v>
      </c>
      <c r="M122" s="141" t="s">
        <v>222</v>
      </c>
      <c r="N122" s="141" t="s">
        <v>222</v>
      </c>
      <c r="O122" s="141" t="s">
        <v>222</v>
      </c>
      <c r="P122" s="141" t="s">
        <v>222</v>
      </c>
      <c r="Q122" s="141" t="s">
        <v>222</v>
      </c>
      <c r="R122" s="141" t="s">
        <v>222</v>
      </c>
      <c r="S122" s="141" t="s">
        <v>222</v>
      </c>
      <c r="T122" s="141" t="s">
        <v>222</v>
      </c>
      <c r="U122" s="141" t="s">
        <v>222</v>
      </c>
      <c r="V122" s="141" t="s">
        <v>222</v>
      </c>
      <c r="W122" s="141"/>
      <c r="X122" s="141"/>
      <c r="Y122" s="141"/>
      <c r="Z122" s="141"/>
    </row>
    <row r="123">
      <c r="A123" s="141"/>
      <c r="B123" s="141" t="s">
        <v>222</v>
      </c>
      <c r="C123" s="141" t="s">
        <v>222</v>
      </c>
      <c r="D123" s="141" t="s">
        <v>222</v>
      </c>
      <c r="E123" s="141" t="s">
        <v>222</v>
      </c>
      <c r="F123" s="141" t="s">
        <v>222</v>
      </c>
      <c r="G123" s="141" t="s">
        <v>222</v>
      </c>
      <c r="H123" s="141" t="s">
        <v>222</v>
      </c>
      <c r="I123" s="141" t="s">
        <v>222</v>
      </c>
      <c r="J123" s="141" t="s">
        <v>222</v>
      </c>
      <c r="K123" s="141" t="s">
        <v>222</v>
      </c>
      <c r="L123" s="141" t="s">
        <v>222</v>
      </c>
      <c r="M123" s="141" t="s">
        <v>222</v>
      </c>
      <c r="N123" s="141" t="s">
        <v>222</v>
      </c>
      <c r="O123" s="141" t="s">
        <v>222</v>
      </c>
      <c r="P123" s="141" t="s">
        <v>222</v>
      </c>
      <c r="Q123" s="141" t="s">
        <v>222</v>
      </c>
      <c r="R123" s="141" t="s">
        <v>222</v>
      </c>
      <c r="S123" s="141" t="s">
        <v>222</v>
      </c>
      <c r="T123" s="141" t="s">
        <v>222</v>
      </c>
      <c r="U123" s="141" t="s">
        <v>222</v>
      </c>
      <c r="V123" s="141" t="s">
        <v>222</v>
      </c>
      <c r="W123" s="141"/>
      <c r="X123" s="141"/>
      <c r="Y123" s="141"/>
      <c r="Z123" s="141"/>
    </row>
    <row r="124">
      <c r="A124" s="141"/>
      <c r="B124" s="141" t="s">
        <v>222</v>
      </c>
      <c r="C124" s="141" t="s">
        <v>222</v>
      </c>
      <c r="D124" s="141" t="s">
        <v>222</v>
      </c>
      <c r="E124" s="141" t="s">
        <v>222</v>
      </c>
      <c r="F124" s="141" t="s">
        <v>222</v>
      </c>
      <c r="G124" s="141" t="s">
        <v>222</v>
      </c>
      <c r="H124" s="141" t="s">
        <v>222</v>
      </c>
      <c r="I124" s="141" t="s">
        <v>222</v>
      </c>
      <c r="J124" s="141" t="s">
        <v>222</v>
      </c>
      <c r="K124" s="141" t="s">
        <v>222</v>
      </c>
      <c r="L124" s="141" t="s">
        <v>222</v>
      </c>
      <c r="M124" s="141" t="s">
        <v>222</v>
      </c>
      <c r="N124" s="141" t="s">
        <v>222</v>
      </c>
      <c r="O124" s="141" t="s">
        <v>222</v>
      </c>
      <c r="P124" s="141" t="s">
        <v>222</v>
      </c>
      <c r="Q124" s="141" t="s">
        <v>222</v>
      </c>
      <c r="R124" s="141" t="s">
        <v>222</v>
      </c>
      <c r="S124" s="141" t="s">
        <v>222</v>
      </c>
      <c r="T124" s="141" t="s">
        <v>222</v>
      </c>
      <c r="U124" s="141" t="s">
        <v>222</v>
      </c>
      <c r="V124" s="141" t="s">
        <v>222</v>
      </c>
      <c r="W124" s="141"/>
      <c r="X124" s="141"/>
      <c r="Y124" s="141"/>
      <c r="Z124" s="141"/>
    </row>
    <row r="125">
      <c r="A125" s="141"/>
      <c r="B125" s="141" t="s">
        <v>222</v>
      </c>
      <c r="C125" s="141" t="s">
        <v>222</v>
      </c>
      <c r="D125" s="141" t="s">
        <v>222</v>
      </c>
      <c r="E125" s="141" t="s">
        <v>222</v>
      </c>
      <c r="F125" s="141" t="s">
        <v>222</v>
      </c>
      <c r="G125" s="141" t="s">
        <v>222</v>
      </c>
      <c r="H125" s="141" t="s">
        <v>222</v>
      </c>
      <c r="I125" s="141" t="s">
        <v>222</v>
      </c>
      <c r="J125" s="141" t="s">
        <v>222</v>
      </c>
      <c r="K125" s="141" t="s">
        <v>222</v>
      </c>
      <c r="L125" s="141" t="s">
        <v>222</v>
      </c>
      <c r="M125" s="141" t="s">
        <v>222</v>
      </c>
      <c r="N125" s="141" t="s">
        <v>222</v>
      </c>
      <c r="O125" s="141" t="s">
        <v>222</v>
      </c>
      <c r="P125" s="141" t="s">
        <v>222</v>
      </c>
      <c r="Q125" s="141" t="s">
        <v>222</v>
      </c>
      <c r="R125" s="141" t="s">
        <v>222</v>
      </c>
      <c r="S125" s="141" t="s">
        <v>222</v>
      </c>
      <c r="T125" s="141" t="s">
        <v>222</v>
      </c>
      <c r="U125" s="141" t="s">
        <v>222</v>
      </c>
      <c r="V125" s="141" t="s">
        <v>222</v>
      </c>
      <c r="W125" s="141"/>
      <c r="X125" s="141"/>
      <c r="Y125" s="141"/>
      <c r="Z125" s="141"/>
    </row>
    <row r="126">
      <c r="A126" s="141"/>
      <c r="B126" s="141" t="s">
        <v>222</v>
      </c>
      <c r="C126" s="141" t="s">
        <v>222</v>
      </c>
      <c r="D126" s="141" t="s">
        <v>222</v>
      </c>
      <c r="E126" s="141" t="s">
        <v>222</v>
      </c>
      <c r="F126" s="141" t="s">
        <v>222</v>
      </c>
      <c r="G126" s="141" t="s">
        <v>222</v>
      </c>
      <c r="H126" s="141" t="s">
        <v>222</v>
      </c>
      <c r="I126" s="141" t="s">
        <v>222</v>
      </c>
      <c r="J126" s="141" t="s">
        <v>222</v>
      </c>
      <c r="K126" s="141" t="s">
        <v>222</v>
      </c>
      <c r="L126" s="141" t="s">
        <v>222</v>
      </c>
      <c r="M126" s="141" t="s">
        <v>222</v>
      </c>
      <c r="N126" s="141" t="s">
        <v>222</v>
      </c>
      <c r="O126" s="141" t="s">
        <v>222</v>
      </c>
      <c r="P126" s="141" t="s">
        <v>222</v>
      </c>
      <c r="Q126" s="141" t="s">
        <v>222</v>
      </c>
      <c r="R126" s="141" t="s">
        <v>222</v>
      </c>
      <c r="S126" s="141" t="s">
        <v>222</v>
      </c>
      <c r="T126" s="141" t="s">
        <v>222</v>
      </c>
      <c r="U126" s="141" t="s">
        <v>222</v>
      </c>
      <c r="V126" s="141" t="s">
        <v>222</v>
      </c>
      <c r="W126" s="141"/>
      <c r="X126" s="141"/>
      <c r="Y126" s="141"/>
      <c r="Z126" s="141"/>
    </row>
    <row r="127">
      <c r="A127" s="141"/>
      <c r="B127" s="141" t="s">
        <v>222</v>
      </c>
      <c r="C127" s="141" t="s">
        <v>222</v>
      </c>
      <c r="D127" s="141" t="s">
        <v>222</v>
      </c>
      <c r="E127" s="141" t="s">
        <v>222</v>
      </c>
      <c r="F127" s="141" t="s">
        <v>222</v>
      </c>
      <c r="G127" s="141" t="s">
        <v>222</v>
      </c>
      <c r="H127" s="141" t="s">
        <v>222</v>
      </c>
      <c r="I127" s="141" t="s">
        <v>222</v>
      </c>
      <c r="J127" s="141" t="s">
        <v>222</v>
      </c>
      <c r="K127" s="141" t="s">
        <v>222</v>
      </c>
      <c r="L127" s="141" t="s">
        <v>222</v>
      </c>
      <c r="M127" s="141" t="s">
        <v>222</v>
      </c>
      <c r="N127" s="141" t="s">
        <v>222</v>
      </c>
      <c r="O127" s="141" t="s">
        <v>222</v>
      </c>
      <c r="P127" s="141" t="s">
        <v>222</v>
      </c>
      <c r="Q127" s="141" t="s">
        <v>222</v>
      </c>
      <c r="R127" s="141" t="s">
        <v>222</v>
      </c>
      <c r="S127" s="141" t="s">
        <v>222</v>
      </c>
      <c r="T127" s="141" t="s">
        <v>222</v>
      </c>
      <c r="U127" s="141" t="s">
        <v>222</v>
      </c>
      <c r="V127" s="141" t="s">
        <v>222</v>
      </c>
      <c r="W127" s="141"/>
      <c r="X127" s="141"/>
      <c r="Y127" s="141"/>
      <c r="Z127" s="141"/>
    </row>
    <row r="128">
      <c r="A128" s="141"/>
      <c r="B128" s="141" t="s">
        <v>222</v>
      </c>
      <c r="C128" s="141" t="s">
        <v>222</v>
      </c>
      <c r="D128" s="141" t="s">
        <v>222</v>
      </c>
      <c r="E128" s="141" t="s">
        <v>222</v>
      </c>
      <c r="F128" s="141" t="s">
        <v>222</v>
      </c>
      <c r="G128" s="141" t="s">
        <v>222</v>
      </c>
      <c r="H128" s="141" t="s">
        <v>222</v>
      </c>
      <c r="I128" s="141" t="s">
        <v>222</v>
      </c>
      <c r="J128" s="141" t="s">
        <v>222</v>
      </c>
      <c r="K128" s="141" t="s">
        <v>222</v>
      </c>
      <c r="L128" s="141" t="s">
        <v>222</v>
      </c>
      <c r="M128" s="141" t="s">
        <v>222</v>
      </c>
      <c r="N128" s="141" t="s">
        <v>222</v>
      </c>
      <c r="O128" s="141" t="s">
        <v>222</v>
      </c>
      <c r="P128" s="141" t="s">
        <v>222</v>
      </c>
      <c r="Q128" s="141" t="s">
        <v>222</v>
      </c>
      <c r="R128" s="141" t="s">
        <v>222</v>
      </c>
      <c r="S128" s="141" t="s">
        <v>222</v>
      </c>
      <c r="T128" s="141" t="s">
        <v>222</v>
      </c>
      <c r="U128" s="141" t="s">
        <v>222</v>
      </c>
      <c r="V128" s="141" t="s">
        <v>222</v>
      </c>
      <c r="W128" s="141"/>
      <c r="X128" s="141"/>
      <c r="Y128" s="141"/>
      <c r="Z128" s="141"/>
    </row>
    <row r="129">
      <c r="A129" s="141"/>
      <c r="B129" s="141" t="s">
        <v>222</v>
      </c>
      <c r="C129" s="141" t="s">
        <v>222</v>
      </c>
      <c r="D129" s="141" t="s">
        <v>222</v>
      </c>
      <c r="E129" s="141" t="s">
        <v>222</v>
      </c>
      <c r="F129" s="141" t="s">
        <v>222</v>
      </c>
      <c r="G129" s="141" t="s">
        <v>222</v>
      </c>
      <c r="H129" s="141" t="s">
        <v>222</v>
      </c>
      <c r="I129" s="141" t="s">
        <v>222</v>
      </c>
      <c r="J129" s="141" t="s">
        <v>222</v>
      </c>
      <c r="K129" s="141" t="s">
        <v>222</v>
      </c>
      <c r="L129" s="141" t="s">
        <v>222</v>
      </c>
      <c r="M129" s="141" t="s">
        <v>222</v>
      </c>
      <c r="N129" s="141" t="s">
        <v>222</v>
      </c>
      <c r="O129" s="141" t="s">
        <v>222</v>
      </c>
      <c r="P129" s="141" t="s">
        <v>222</v>
      </c>
      <c r="Q129" s="141" t="s">
        <v>222</v>
      </c>
      <c r="R129" s="141" t="s">
        <v>222</v>
      </c>
      <c r="S129" s="141" t="s">
        <v>222</v>
      </c>
      <c r="T129" s="141" t="s">
        <v>222</v>
      </c>
      <c r="U129" s="141" t="s">
        <v>222</v>
      </c>
      <c r="V129" s="141" t="s">
        <v>222</v>
      </c>
      <c r="W129" s="141"/>
      <c r="X129" s="141"/>
      <c r="Y129" s="141"/>
      <c r="Z129" s="141"/>
    </row>
    <row r="130">
      <c r="A130" s="141"/>
      <c r="B130" s="141" t="s">
        <v>222</v>
      </c>
      <c r="C130" s="141" t="s">
        <v>222</v>
      </c>
      <c r="D130" s="141" t="s">
        <v>222</v>
      </c>
      <c r="E130" s="141" t="s">
        <v>222</v>
      </c>
      <c r="F130" s="141" t="s">
        <v>222</v>
      </c>
      <c r="G130" s="141" t="s">
        <v>222</v>
      </c>
      <c r="H130" s="141" t="s">
        <v>222</v>
      </c>
      <c r="I130" s="141" t="s">
        <v>222</v>
      </c>
      <c r="J130" s="141" t="s">
        <v>222</v>
      </c>
      <c r="K130" s="141" t="s">
        <v>222</v>
      </c>
      <c r="L130" s="141" t="s">
        <v>222</v>
      </c>
      <c r="M130" s="141" t="s">
        <v>222</v>
      </c>
      <c r="N130" s="141" t="s">
        <v>222</v>
      </c>
      <c r="O130" s="141" t="s">
        <v>222</v>
      </c>
      <c r="P130" s="141" t="s">
        <v>222</v>
      </c>
      <c r="Q130" s="141" t="s">
        <v>222</v>
      </c>
      <c r="R130" s="141" t="s">
        <v>222</v>
      </c>
      <c r="S130" s="141" t="s">
        <v>222</v>
      </c>
      <c r="T130" s="141" t="s">
        <v>222</v>
      </c>
      <c r="U130" s="141" t="s">
        <v>222</v>
      </c>
      <c r="V130" s="141" t="s">
        <v>222</v>
      </c>
      <c r="W130" s="141"/>
      <c r="X130" s="141"/>
      <c r="Y130" s="141"/>
      <c r="Z130" s="141"/>
    </row>
    <row r="131">
      <c r="A131" s="141"/>
      <c r="B131" s="141" t="s">
        <v>222</v>
      </c>
      <c r="C131" s="141" t="s">
        <v>222</v>
      </c>
      <c r="D131" s="141" t="s">
        <v>222</v>
      </c>
      <c r="E131" s="141" t="s">
        <v>222</v>
      </c>
      <c r="F131" s="141" t="s">
        <v>222</v>
      </c>
      <c r="G131" s="141" t="s">
        <v>222</v>
      </c>
      <c r="H131" s="141" t="s">
        <v>222</v>
      </c>
      <c r="I131" s="141" t="s">
        <v>222</v>
      </c>
      <c r="J131" s="141" t="s">
        <v>222</v>
      </c>
      <c r="K131" s="141" t="s">
        <v>222</v>
      </c>
      <c r="L131" s="141" t="s">
        <v>222</v>
      </c>
      <c r="M131" s="141" t="s">
        <v>222</v>
      </c>
      <c r="N131" s="141" t="s">
        <v>222</v>
      </c>
      <c r="O131" s="141" t="s">
        <v>222</v>
      </c>
      <c r="P131" s="141" t="s">
        <v>222</v>
      </c>
      <c r="Q131" s="141" t="s">
        <v>222</v>
      </c>
      <c r="R131" s="141" t="s">
        <v>222</v>
      </c>
      <c r="S131" s="141" t="s">
        <v>222</v>
      </c>
      <c r="T131" s="141" t="s">
        <v>222</v>
      </c>
      <c r="U131" s="141" t="s">
        <v>222</v>
      </c>
      <c r="V131" s="141" t="s">
        <v>222</v>
      </c>
      <c r="W131" s="141"/>
      <c r="X131" s="141"/>
      <c r="Y131" s="141"/>
      <c r="Z131" s="141"/>
    </row>
    <row r="132">
      <c r="A132" s="141"/>
      <c r="B132" s="141" t="s">
        <v>222</v>
      </c>
      <c r="C132" s="141" t="s">
        <v>222</v>
      </c>
      <c r="D132" s="141" t="s">
        <v>222</v>
      </c>
      <c r="E132" s="141" t="s">
        <v>222</v>
      </c>
      <c r="F132" s="141" t="s">
        <v>222</v>
      </c>
      <c r="G132" s="141" t="s">
        <v>222</v>
      </c>
      <c r="H132" s="141" t="s">
        <v>222</v>
      </c>
      <c r="I132" s="141" t="s">
        <v>222</v>
      </c>
      <c r="J132" s="141" t="s">
        <v>222</v>
      </c>
      <c r="K132" s="141" t="s">
        <v>222</v>
      </c>
      <c r="L132" s="141" t="s">
        <v>222</v>
      </c>
      <c r="M132" s="141" t="s">
        <v>222</v>
      </c>
      <c r="N132" s="141" t="s">
        <v>222</v>
      </c>
      <c r="O132" s="141" t="s">
        <v>222</v>
      </c>
      <c r="P132" s="141" t="s">
        <v>222</v>
      </c>
      <c r="Q132" s="141" t="s">
        <v>222</v>
      </c>
      <c r="R132" s="141" t="s">
        <v>222</v>
      </c>
      <c r="S132" s="141" t="s">
        <v>222</v>
      </c>
      <c r="T132" s="141" t="s">
        <v>222</v>
      </c>
      <c r="U132" s="141" t="s">
        <v>222</v>
      </c>
      <c r="V132" s="141" t="s">
        <v>222</v>
      </c>
      <c r="W132" s="141"/>
      <c r="X132" s="141"/>
      <c r="Y132" s="141"/>
      <c r="Z132" s="141"/>
    </row>
    <row r="133">
      <c r="A133" s="141"/>
      <c r="B133" s="141" t="s">
        <v>222</v>
      </c>
      <c r="C133" s="141" t="s">
        <v>222</v>
      </c>
      <c r="D133" s="141" t="s">
        <v>222</v>
      </c>
      <c r="E133" s="141" t="s">
        <v>222</v>
      </c>
      <c r="F133" s="141" t="s">
        <v>222</v>
      </c>
      <c r="G133" s="141" t="s">
        <v>222</v>
      </c>
      <c r="H133" s="141" t="s">
        <v>222</v>
      </c>
      <c r="I133" s="141" t="s">
        <v>222</v>
      </c>
      <c r="J133" s="141" t="s">
        <v>222</v>
      </c>
      <c r="K133" s="141" t="s">
        <v>222</v>
      </c>
      <c r="L133" s="141" t="s">
        <v>222</v>
      </c>
      <c r="M133" s="141" t="s">
        <v>222</v>
      </c>
      <c r="N133" s="141" t="s">
        <v>222</v>
      </c>
      <c r="O133" s="141" t="s">
        <v>222</v>
      </c>
      <c r="P133" s="141" t="s">
        <v>222</v>
      </c>
      <c r="Q133" s="141" t="s">
        <v>222</v>
      </c>
      <c r="R133" s="141" t="s">
        <v>222</v>
      </c>
      <c r="S133" s="141" t="s">
        <v>222</v>
      </c>
      <c r="T133" s="141" t="s">
        <v>222</v>
      </c>
      <c r="U133" s="141" t="s">
        <v>222</v>
      </c>
      <c r="V133" s="141" t="s">
        <v>222</v>
      </c>
      <c r="W133" s="141"/>
      <c r="X133" s="141"/>
      <c r="Y133" s="141"/>
      <c r="Z133" s="141"/>
    </row>
    <row r="134">
      <c r="A134" s="141"/>
      <c r="B134" s="141" t="s">
        <v>222</v>
      </c>
      <c r="C134" s="141" t="s">
        <v>222</v>
      </c>
      <c r="D134" s="141" t="s">
        <v>222</v>
      </c>
      <c r="E134" s="141" t="s">
        <v>222</v>
      </c>
      <c r="F134" s="141" t="s">
        <v>222</v>
      </c>
      <c r="G134" s="141" t="s">
        <v>222</v>
      </c>
      <c r="H134" s="141" t="s">
        <v>222</v>
      </c>
      <c r="I134" s="141" t="s">
        <v>222</v>
      </c>
      <c r="J134" s="141" t="s">
        <v>222</v>
      </c>
      <c r="K134" s="141" t="s">
        <v>222</v>
      </c>
      <c r="L134" s="141" t="s">
        <v>222</v>
      </c>
      <c r="M134" s="141" t="s">
        <v>222</v>
      </c>
      <c r="N134" s="141" t="s">
        <v>222</v>
      </c>
      <c r="O134" s="141" t="s">
        <v>222</v>
      </c>
      <c r="P134" s="141" t="s">
        <v>222</v>
      </c>
      <c r="Q134" s="141" t="s">
        <v>222</v>
      </c>
      <c r="R134" s="141" t="s">
        <v>222</v>
      </c>
      <c r="S134" s="141" t="s">
        <v>222</v>
      </c>
      <c r="T134" s="141" t="s">
        <v>222</v>
      </c>
      <c r="U134" s="141" t="s">
        <v>222</v>
      </c>
      <c r="V134" s="141" t="s">
        <v>222</v>
      </c>
      <c r="W134" s="141"/>
      <c r="X134" s="141"/>
      <c r="Y134" s="141"/>
      <c r="Z134" s="141"/>
    </row>
    <row r="135">
      <c r="A135" s="141"/>
      <c r="B135" s="141" t="s">
        <v>222</v>
      </c>
      <c r="C135" s="141" t="s">
        <v>222</v>
      </c>
      <c r="D135" s="141" t="s">
        <v>222</v>
      </c>
      <c r="E135" s="141" t="s">
        <v>222</v>
      </c>
      <c r="F135" s="141" t="s">
        <v>222</v>
      </c>
      <c r="G135" s="141" t="s">
        <v>222</v>
      </c>
      <c r="H135" s="141" t="s">
        <v>222</v>
      </c>
      <c r="I135" s="141" t="s">
        <v>222</v>
      </c>
      <c r="J135" s="141" t="s">
        <v>222</v>
      </c>
      <c r="K135" s="141" t="s">
        <v>222</v>
      </c>
      <c r="L135" s="141" t="s">
        <v>222</v>
      </c>
      <c r="M135" s="141" t="s">
        <v>222</v>
      </c>
      <c r="N135" s="141" t="s">
        <v>222</v>
      </c>
      <c r="O135" s="141" t="s">
        <v>222</v>
      </c>
      <c r="P135" s="141" t="s">
        <v>222</v>
      </c>
      <c r="Q135" s="141" t="s">
        <v>222</v>
      </c>
      <c r="R135" s="141" t="s">
        <v>222</v>
      </c>
      <c r="S135" s="141" t="s">
        <v>222</v>
      </c>
      <c r="T135" s="141" t="s">
        <v>222</v>
      </c>
      <c r="U135" s="141" t="s">
        <v>222</v>
      </c>
      <c r="V135" s="141" t="s">
        <v>222</v>
      </c>
      <c r="W135" s="141"/>
      <c r="X135" s="141"/>
      <c r="Y135" s="141"/>
      <c r="Z135" s="141"/>
    </row>
    <row r="136">
      <c r="A136" s="141"/>
      <c r="B136" s="141" t="s">
        <v>222</v>
      </c>
      <c r="C136" s="141" t="s">
        <v>222</v>
      </c>
      <c r="D136" s="141" t="s">
        <v>222</v>
      </c>
      <c r="E136" s="141" t="s">
        <v>222</v>
      </c>
      <c r="F136" s="141" t="s">
        <v>222</v>
      </c>
      <c r="G136" s="141" t="s">
        <v>222</v>
      </c>
      <c r="H136" s="141" t="s">
        <v>222</v>
      </c>
      <c r="I136" s="141" t="s">
        <v>222</v>
      </c>
      <c r="J136" s="141" t="s">
        <v>222</v>
      </c>
      <c r="K136" s="141" t="s">
        <v>222</v>
      </c>
      <c r="L136" s="141" t="s">
        <v>222</v>
      </c>
      <c r="M136" s="141" t="s">
        <v>222</v>
      </c>
      <c r="N136" s="141" t="s">
        <v>222</v>
      </c>
      <c r="O136" s="141" t="s">
        <v>222</v>
      </c>
      <c r="P136" s="141" t="s">
        <v>222</v>
      </c>
      <c r="Q136" s="141" t="s">
        <v>222</v>
      </c>
      <c r="R136" s="141" t="s">
        <v>222</v>
      </c>
      <c r="S136" s="141" t="s">
        <v>222</v>
      </c>
      <c r="T136" s="141" t="s">
        <v>222</v>
      </c>
      <c r="U136" s="141" t="s">
        <v>222</v>
      </c>
      <c r="V136" s="141" t="s">
        <v>222</v>
      </c>
      <c r="W136" s="141"/>
      <c r="X136" s="141"/>
      <c r="Y136" s="141"/>
      <c r="Z136" s="141"/>
    </row>
    <row r="137">
      <c r="A137" s="141"/>
      <c r="B137" s="141" t="s">
        <v>222</v>
      </c>
      <c r="C137" s="141" t="s">
        <v>222</v>
      </c>
      <c r="D137" s="141" t="s">
        <v>222</v>
      </c>
      <c r="E137" s="141" t="s">
        <v>222</v>
      </c>
      <c r="F137" s="141" t="s">
        <v>222</v>
      </c>
      <c r="G137" s="141" t="s">
        <v>222</v>
      </c>
      <c r="H137" s="141" t="s">
        <v>222</v>
      </c>
      <c r="I137" s="141" t="s">
        <v>222</v>
      </c>
      <c r="J137" s="141" t="s">
        <v>222</v>
      </c>
      <c r="K137" s="141" t="s">
        <v>222</v>
      </c>
      <c r="L137" s="141" t="s">
        <v>222</v>
      </c>
      <c r="M137" s="141" t="s">
        <v>222</v>
      </c>
      <c r="N137" s="141" t="s">
        <v>222</v>
      </c>
      <c r="O137" s="141" t="s">
        <v>222</v>
      </c>
      <c r="P137" s="141" t="s">
        <v>222</v>
      </c>
      <c r="Q137" s="141" t="s">
        <v>222</v>
      </c>
      <c r="R137" s="141" t="s">
        <v>222</v>
      </c>
      <c r="S137" s="141" t="s">
        <v>222</v>
      </c>
      <c r="T137" s="141" t="s">
        <v>222</v>
      </c>
      <c r="U137" s="141" t="s">
        <v>222</v>
      </c>
      <c r="V137" s="141" t="s">
        <v>222</v>
      </c>
      <c r="W137" s="141"/>
      <c r="X137" s="141"/>
      <c r="Y137" s="141"/>
      <c r="Z137" s="141"/>
    </row>
    <row r="138">
      <c r="A138" s="141"/>
      <c r="B138" s="141" t="s">
        <v>222</v>
      </c>
      <c r="C138" s="141" t="s">
        <v>222</v>
      </c>
      <c r="D138" s="141" t="s">
        <v>222</v>
      </c>
      <c r="E138" s="141" t="s">
        <v>222</v>
      </c>
      <c r="F138" s="141" t="s">
        <v>222</v>
      </c>
      <c r="G138" s="141" t="s">
        <v>222</v>
      </c>
      <c r="H138" s="141" t="s">
        <v>222</v>
      </c>
      <c r="I138" s="141" t="s">
        <v>222</v>
      </c>
      <c r="J138" s="141" t="s">
        <v>222</v>
      </c>
      <c r="K138" s="141" t="s">
        <v>222</v>
      </c>
      <c r="L138" s="141" t="s">
        <v>222</v>
      </c>
      <c r="M138" s="141" t="s">
        <v>222</v>
      </c>
      <c r="N138" s="141" t="s">
        <v>222</v>
      </c>
      <c r="O138" s="141" t="s">
        <v>222</v>
      </c>
      <c r="P138" s="141" t="s">
        <v>222</v>
      </c>
      <c r="Q138" s="141" t="s">
        <v>222</v>
      </c>
      <c r="R138" s="141" t="s">
        <v>222</v>
      </c>
      <c r="S138" s="141" t="s">
        <v>222</v>
      </c>
      <c r="T138" s="141" t="s">
        <v>222</v>
      </c>
      <c r="U138" s="141" t="s">
        <v>222</v>
      </c>
      <c r="V138" s="141" t="s">
        <v>222</v>
      </c>
      <c r="W138" s="141"/>
      <c r="X138" s="141"/>
      <c r="Y138" s="141"/>
      <c r="Z138" s="141"/>
    </row>
    <row r="139">
      <c r="A139" s="141"/>
      <c r="B139" s="141" t="s">
        <v>222</v>
      </c>
      <c r="C139" s="141" t="s">
        <v>222</v>
      </c>
      <c r="D139" s="141" t="s">
        <v>222</v>
      </c>
      <c r="E139" s="141" t="s">
        <v>222</v>
      </c>
      <c r="F139" s="141" t="s">
        <v>222</v>
      </c>
      <c r="G139" s="141" t="s">
        <v>222</v>
      </c>
      <c r="H139" s="141" t="s">
        <v>222</v>
      </c>
      <c r="I139" s="141" t="s">
        <v>222</v>
      </c>
      <c r="J139" s="141" t="s">
        <v>222</v>
      </c>
      <c r="K139" s="141" t="s">
        <v>222</v>
      </c>
      <c r="L139" s="141" t="s">
        <v>222</v>
      </c>
      <c r="M139" s="141" t="s">
        <v>222</v>
      </c>
      <c r="N139" s="141" t="s">
        <v>222</v>
      </c>
      <c r="O139" s="141" t="s">
        <v>222</v>
      </c>
      <c r="P139" s="141" t="s">
        <v>222</v>
      </c>
      <c r="Q139" s="141" t="s">
        <v>222</v>
      </c>
      <c r="R139" s="141" t="s">
        <v>222</v>
      </c>
      <c r="S139" s="141" t="s">
        <v>222</v>
      </c>
      <c r="T139" s="141" t="s">
        <v>222</v>
      </c>
      <c r="U139" s="141" t="s">
        <v>222</v>
      </c>
      <c r="V139" s="141" t="s">
        <v>222</v>
      </c>
      <c r="W139" s="141"/>
      <c r="X139" s="141"/>
      <c r="Y139" s="141"/>
      <c r="Z139" s="141"/>
    </row>
    <row r="140">
      <c r="A140" s="141"/>
      <c r="B140" s="141" t="s">
        <v>222</v>
      </c>
      <c r="C140" s="141" t="s">
        <v>222</v>
      </c>
      <c r="D140" s="141" t="s">
        <v>222</v>
      </c>
      <c r="E140" s="141" t="s">
        <v>222</v>
      </c>
      <c r="F140" s="141" t="s">
        <v>222</v>
      </c>
      <c r="G140" s="141" t="s">
        <v>222</v>
      </c>
      <c r="H140" s="141" t="s">
        <v>222</v>
      </c>
      <c r="I140" s="141" t="s">
        <v>222</v>
      </c>
      <c r="J140" s="141" t="s">
        <v>222</v>
      </c>
      <c r="K140" s="141" t="s">
        <v>222</v>
      </c>
      <c r="L140" s="141" t="s">
        <v>222</v>
      </c>
      <c r="M140" s="141" t="s">
        <v>222</v>
      </c>
      <c r="N140" s="141" t="s">
        <v>222</v>
      </c>
      <c r="O140" s="141" t="s">
        <v>222</v>
      </c>
      <c r="P140" s="141" t="s">
        <v>222</v>
      </c>
      <c r="Q140" s="141" t="s">
        <v>222</v>
      </c>
      <c r="R140" s="141" t="s">
        <v>222</v>
      </c>
      <c r="S140" s="141" t="s">
        <v>222</v>
      </c>
      <c r="T140" s="141" t="s">
        <v>222</v>
      </c>
      <c r="U140" s="141" t="s">
        <v>222</v>
      </c>
      <c r="V140" s="141" t="s">
        <v>222</v>
      </c>
      <c r="W140" s="141"/>
      <c r="X140" s="141"/>
      <c r="Y140" s="141"/>
      <c r="Z140" s="141"/>
    </row>
    <row r="141">
      <c r="A141" s="141"/>
      <c r="B141" s="141" t="s">
        <v>222</v>
      </c>
      <c r="C141" s="141" t="s">
        <v>222</v>
      </c>
      <c r="D141" s="141" t="s">
        <v>222</v>
      </c>
      <c r="E141" s="141" t="s">
        <v>222</v>
      </c>
      <c r="F141" s="141" t="s">
        <v>222</v>
      </c>
      <c r="G141" s="141" t="s">
        <v>222</v>
      </c>
      <c r="H141" s="141" t="s">
        <v>222</v>
      </c>
      <c r="I141" s="141" t="s">
        <v>222</v>
      </c>
      <c r="J141" s="141" t="s">
        <v>222</v>
      </c>
      <c r="K141" s="141" t="s">
        <v>222</v>
      </c>
      <c r="L141" s="141" t="s">
        <v>222</v>
      </c>
      <c r="M141" s="141" t="s">
        <v>222</v>
      </c>
      <c r="N141" s="141" t="s">
        <v>222</v>
      </c>
      <c r="O141" s="141" t="s">
        <v>222</v>
      </c>
      <c r="P141" s="141" t="s">
        <v>222</v>
      </c>
      <c r="Q141" s="141" t="s">
        <v>222</v>
      </c>
      <c r="R141" s="141" t="s">
        <v>222</v>
      </c>
      <c r="S141" s="141" t="s">
        <v>222</v>
      </c>
      <c r="T141" s="141" t="s">
        <v>222</v>
      </c>
      <c r="U141" s="141" t="s">
        <v>222</v>
      </c>
      <c r="V141" s="141" t="s">
        <v>222</v>
      </c>
      <c r="W141" s="141"/>
      <c r="X141" s="141"/>
      <c r="Y141" s="141"/>
      <c r="Z141" s="141"/>
    </row>
    <row r="142">
      <c r="A142" s="141"/>
      <c r="B142" s="141" t="s">
        <v>222</v>
      </c>
      <c r="C142" s="141" t="s">
        <v>222</v>
      </c>
      <c r="D142" s="141" t="s">
        <v>222</v>
      </c>
      <c r="E142" s="141" t="s">
        <v>222</v>
      </c>
      <c r="F142" s="141" t="s">
        <v>222</v>
      </c>
      <c r="G142" s="141" t="s">
        <v>222</v>
      </c>
      <c r="H142" s="141" t="s">
        <v>222</v>
      </c>
      <c r="I142" s="141" t="s">
        <v>222</v>
      </c>
      <c r="J142" s="141" t="s">
        <v>222</v>
      </c>
      <c r="K142" s="141" t="s">
        <v>222</v>
      </c>
      <c r="L142" s="141" t="s">
        <v>222</v>
      </c>
      <c r="M142" s="141" t="s">
        <v>222</v>
      </c>
      <c r="N142" s="141" t="s">
        <v>222</v>
      </c>
      <c r="O142" s="141" t="s">
        <v>222</v>
      </c>
      <c r="P142" s="141" t="s">
        <v>222</v>
      </c>
      <c r="Q142" s="141" t="s">
        <v>222</v>
      </c>
      <c r="R142" s="141" t="s">
        <v>222</v>
      </c>
      <c r="S142" s="141" t="s">
        <v>222</v>
      </c>
      <c r="T142" s="141" t="s">
        <v>222</v>
      </c>
      <c r="U142" s="141" t="s">
        <v>222</v>
      </c>
      <c r="V142" s="141" t="s">
        <v>222</v>
      </c>
      <c r="W142" s="141"/>
      <c r="X142" s="141"/>
      <c r="Y142" s="141"/>
      <c r="Z142" s="141"/>
    </row>
    <row r="143">
      <c r="A143" s="141"/>
      <c r="B143" s="141" t="s">
        <v>222</v>
      </c>
      <c r="C143" s="141" t="s">
        <v>222</v>
      </c>
      <c r="D143" s="141" t="s">
        <v>222</v>
      </c>
      <c r="E143" s="141" t="s">
        <v>222</v>
      </c>
      <c r="F143" s="141" t="s">
        <v>222</v>
      </c>
      <c r="G143" s="141" t="s">
        <v>222</v>
      </c>
      <c r="H143" s="141" t="s">
        <v>222</v>
      </c>
      <c r="I143" s="141" t="s">
        <v>222</v>
      </c>
      <c r="J143" s="141" t="s">
        <v>222</v>
      </c>
      <c r="K143" s="141" t="s">
        <v>222</v>
      </c>
      <c r="L143" s="141" t="s">
        <v>222</v>
      </c>
      <c r="M143" s="141" t="s">
        <v>222</v>
      </c>
      <c r="N143" s="141" t="s">
        <v>222</v>
      </c>
      <c r="O143" s="141" t="s">
        <v>222</v>
      </c>
      <c r="P143" s="141" t="s">
        <v>222</v>
      </c>
      <c r="Q143" s="141" t="s">
        <v>222</v>
      </c>
      <c r="R143" s="141" t="s">
        <v>222</v>
      </c>
      <c r="S143" s="141" t="s">
        <v>222</v>
      </c>
      <c r="T143" s="141" t="s">
        <v>222</v>
      </c>
      <c r="U143" s="141" t="s">
        <v>222</v>
      </c>
      <c r="V143" s="141" t="s">
        <v>222</v>
      </c>
      <c r="W143" s="141"/>
      <c r="X143" s="141"/>
      <c r="Y143" s="141"/>
      <c r="Z143" s="141"/>
    </row>
    <row r="144">
      <c r="A144" s="141"/>
      <c r="B144" s="141" t="s">
        <v>222</v>
      </c>
      <c r="C144" s="141" t="s">
        <v>222</v>
      </c>
      <c r="D144" s="141" t="s">
        <v>222</v>
      </c>
      <c r="E144" s="141" t="s">
        <v>222</v>
      </c>
      <c r="F144" s="141" t="s">
        <v>222</v>
      </c>
      <c r="G144" s="141" t="s">
        <v>222</v>
      </c>
      <c r="H144" s="141" t="s">
        <v>222</v>
      </c>
      <c r="I144" s="141" t="s">
        <v>222</v>
      </c>
      <c r="J144" s="141" t="s">
        <v>222</v>
      </c>
      <c r="K144" s="141" t="s">
        <v>222</v>
      </c>
      <c r="L144" s="141" t="s">
        <v>222</v>
      </c>
      <c r="M144" s="141" t="s">
        <v>222</v>
      </c>
      <c r="N144" s="141" t="s">
        <v>222</v>
      </c>
      <c r="O144" s="141" t="s">
        <v>222</v>
      </c>
      <c r="P144" s="141" t="s">
        <v>222</v>
      </c>
      <c r="Q144" s="141" t="s">
        <v>222</v>
      </c>
      <c r="R144" s="141" t="s">
        <v>222</v>
      </c>
      <c r="S144" s="141" t="s">
        <v>222</v>
      </c>
      <c r="T144" s="141" t="s">
        <v>222</v>
      </c>
      <c r="U144" s="141" t="s">
        <v>222</v>
      </c>
      <c r="V144" s="141" t="s">
        <v>222</v>
      </c>
      <c r="W144" s="141"/>
      <c r="X144" s="141"/>
      <c r="Y144" s="141"/>
      <c r="Z144" s="141"/>
    </row>
    <row r="145">
      <c r="A145" s="141"/>
      <c r="B145" s="141" t="s">
        <v>222</v>
      </c>
      <c r="C145" s="141" t="s">
        <v>222</v>
      </c>
      <c r="D145" s="141" t="s">
        <v>222</v>
      </c>
      <c r="E145" s="141" t="s">
        <v>222</v>
      </c>
      <c r="F145" s="141" t="s">
        <v>222</v>
      </c>
      <c r="G145" s="141" t="s">
        <v>222</v>
      </c>
      <c r="H145" s="141" t="s">
        <v>222</v>
      </c>
      <c r="I145" s="141" t="s">
        <v>222</v>
      </c>
      <c r="J145" s="141" t="s">
        <v>222</v>
      </c>
      <c r="K145" s="141" t="s">
        <v>222</v>
      </c>
      <c r="L145" s="141" t="s">
        <v>222</v>
      </c>
      <c r="M145" s="141" t="s">
        <v>222</v>
      </c>
      <c r="N145" s="141" t="s">
        <v>222</v>
      </c>
      <c r="O145" s="141" t="s">
        <v>222</v>
      </c>
      <c r="P145" s="141" t="s">
        <v>222</v>
      </c>
      <c r="Q145" s="141" t="s">
        <v>222</v>
      </c>
      <c r="R145" s="141" t="s">
        <v>222</v>
      </c>
      <c r="S145" s="141" t="s">
        <v>222</v>
      </c>
      <c r="T145" s="141" t="s">
        <v>222</v>
      </c>
      <c r="U145" s="141" t="s">
        <v>222</v>
      </c>
      <c r="V145" s="141" t="s">
        <v>222</v>
      </c>
      <c r="W145" s="141"/>
      <c r="X145" s="141"/>
      <c r="Y145" s="141"/>
      <c r="Z145" s="141"/>
    </row>
    <row r="146">
      <c r="A146" s="141"/>
      <c r="B146" s="141" t="s">
        <v>222</v>
      </c>
      <c r="C146" s="141" t="s">
        <v>222</v>
      </c>
      <c r="D146" s="141" t="s">
        <v>222</v>
      </c>
      <c r="E146" s="141" t="s">
        <v>222</v>
      </c>
      <c r="F146" s="141" t="s">
        <v>222</v>
      </c>
      <c r="G146" s="141" t="s">
        <v>222</v>
      </c>
      <c r="H146" s="141" t="s">
        <v>222</v>
      </c>
      <c r="I146" s="141" t="s">
        <v>222</v>
      </c>
      <c r="J146" s="141" t="s">
        <v>222</v>
      </c>
      <c r="K146" s="141" t="s">
        <v>222</v>
      </c>
      <c r="L146" s="141" t="s">
        <v>222</v>
      </c>
      <c r="M146" s="141" t="s">
        <v>222</v>
      </c>
      <c r="N146" s="141" t="s">
        <v>222</v>
      </c>
      <c r="O146" s="141" t="s">
        <v>222</v>
      </c>
      <c r="P146" s="141" t="s">
        <v>222</v>
      </c>
      <c r="Q146" s="141" t="s">
        <v>222</v>
      </c>
      <c r="R146" s="141" t="s">
        <v>222</v>
      </c>
      <c r="S146" s="141" t="s">
        <v>222</v>
      </c>
      <c r="T146" s="141" t="s">
        <v>222</v>
      </c>
      <c r="U146" s="141" t="s">
        <v>222</v>
      </c>
      <c r="V146" s="141" t="s">
        <v>222</v>
      </c>
      <c r="W146" s="141"/>
      <c r="X146" s="141"/>
      <c r="Y146" s="141"/>
      <c r="Z146" s="141"/>
    </row>
    <row r="147">
      <c r="A147" s="141"/>
      <c r="B147" s="141" t="s">
        <v>222</v>
      </c>
      <c r="C147" s="141" t="s">
        <v>222</v>
      </c>
      <c r="D147" s="141" t="s">
        <v>222</v>
      </c>
      <c r="E147" s="141" t="s">
        <v>222</v>
      </c>
      <c r="F147" s="141" t="s">
        <v>222</v>
      </c>
      <c r="G147" s="141" t="s">
        <v>222</v>
      </c>
      <c r="H147" s="141" t="s">
        <v>222</v>
      </c>
      <c r="I147" s="141" t="s">
        <v>222</v>
      </c>
      <c r="J147" s="141" t="s">
        <v>222</v>
      </c>
      <c r="K147" s="141" t="s">
        <v>222</v>
      </c>
      <c r="L147" s="141" t="s">
        <v>222</v>
      </c>
      <c r="M147" s="141" t="s">
        <v>222</v>
      </c>
      <c r="N147" s="141" t="s">
        <v>222</v>
      </c>
      <c r="O147" s="141" t="s">
        <v>222</v>
      </c>
      <c r="P147" s="141" t="s">
        <v>222</v>
      </c>
      <c r="Q147" s="141" t="s">
        <v>222</v>
      </c>
      <c r="R147" s="141" t="s">
        <v>222</v>
      </c>
      <c r="S147" s="141" t="s">
        <v>222</v>
      </c>
      <c r="T147" s="141" t="s">
        <v>222</v>
      </c>
      <c r="U147" s="141" t="s">
        <v>222</v>
      </c>
      <c r="V147" s="141" t="s">
        <v>222</v>
      </c>
      <c r="W147" s="141"/>
      <c r="X147" s="141"/>
      <c r="Y147" s="141"/>
      <c r="Z147" s="141"/>
    </row>
    <row r="148">
      <c r="A148" s="141"/>
      <c r="B148" s="141" t="s">
        <v>222</v>
      </c>
      <c r="C148" s="141" t="s">
        <v>222</v>
      </c>
      <c r="D148" s="141" t="s">
        <v>222</v>
      </c>
      <c r="E148" s="141" t="s">
        <v>222</v>
      </c>
      <c r="F148" s="141" t="s">
        <v>222</v>
      </c>
      <c r="G148" s="141" t="s">
        <v>222</v>
      </c>
      <c r="H148" s="141" t="s">
        <v>222</v>
      </c>
      <c r="I148" s="141" t="s">
        <v>222</v>
      </c>
      <c r="J148" s="141" t="s">
        <v>222</v>
      </c>
      <c r="K148" s="141" t="s">
        <v>222</v>
      </c>
      <c r="L148" s="141" t="s">
        <v>222</v>
      </c>
      <c r="M148" s="141" t="s">
        <v>222</v>
      </c>
      <c r="N148" s="141" t="s">
        <v>222</v>
      </c>
      <c r="O148" s="141" t="s">
        <v>222</v>
      </c>
      <c r="P148" s="141" t="s">
        <v>222</v>
      </c>
      <c r="Q148" s="141" t="s">
        <v>222</v>
      </c>
      <c r="R148" s="141" t="s">
        <v>222</v>
      </c>
      <c r="S148" s="141" t="s">
        <v>222</v>
      </c>
      <c r="T148" s="141" t="s">
        <v>222</v>
      </c>
      <c r="U148" s="141" t="s">
        <v>222</v>
      </c>
      <c r="V148" s="141" t="s">
        <v>222</v>
      </c>
      <c r="W148" s="141"/>
      <c r="X148" s="141"/>
      <c r="Y148" s="141"/>
      <c r="Z148" s="141"/>
    </row>
    <row r="149">
      <c r="A149" s="141"/>
      <c r="B149" s="141" t="s">
        <v>222</v>
      </c>
      <c r="C149" s="141" t="s">
        <v>222</v>
      </c>
      <c r="D149" s="141" t="s">
        <v>222</v>
      </c>
      <c r="E149" s="141" t="s">
        <v>222</v>
      </c>
      <c r="F149" s="141" t="s">
        <v>222</v>
      </c>
      <c r="G149" s="141" t="s">
        <v>222</v>
      </c>
      <c r="H149" s="141" t="s">
        <v>222</v>
      </c>
      <c r="I149" s="141" t="s">
        <v>222</v>
      </c>
      <c r="J149" s="141" t="s">
        <v>222</v>
      </c>
      <c r="K149" s="141" t="s">
        <v>222</v>
      </c>
      <c r="L149" s="141" t="s">
        <v>222</v>
      </c>
      <c r="M149" s="141" t="s">
        <v>222</v>
      </c>
      <c r="N149" s="141" t="s">
        <v>222</v>
      </c>
      <c r="O149" s="141" t="s">
        <v>222</v>
      </c>
      <c r="P149" s="141" t="s">
        <v>222</v>
      </c>
      <c r="Q149" s="141" t="s">
        <v>222</v>
      </c>
      <c r="R149" s="141" t="s">
        <v>222</v>
      </c>
      <c r="S149" s="141" t="s">
        <v>222</v>
      </c>
      <c r="T149" s="141" t="s">
        <v>222</v>
      </c>
      <c r="U149" s="141" t="s">
        <v>222</v>
      </c>
      <c r="V149" s="141" t="s">
        <v>222</v>
      </c>
      <c r="W149" s="141"/>
      <c r="X149" s="141"/>
      <c r="Y149" s="141"/>
      <c r="Z149" s="141"/>
    </row>
    <row r="150">
      <c r="A150" s="141"/>
      <c r="B150" s="141" t="s">
        <v>222</v>
      </c>
      <c r="C150" s="141" t="s">
        <v>222</v>
      </c>
      <c r="D150" s="141" t="s">
        <v>222</v>
      </c>
      <c r="E150" s="141" t="s">
        <v>222</v>
      </c>
      <c r="F150" s="141" t="s">
        <v>222</v>
      </c>
      <c r="G150" s="141" t="s">
        <v>222</v>
      </c>
      <c r="H150" s="141" t="s">
        <v>222</v>
      </c>
      <c r="I150" s="141" t="s">
        <v>222</v>
      </c>
      <c r="J150" s="141" t="s">
        <v>222</v>
      </c>
      <c r="K150" s="141" t="s">
        <v>222</v>
      </c>
      <c r="L150" s="141" t="s">
        <v>222</v>
      </c>
      <c r="M150" s="141" t="s">
        <v>222</v>
      </c>
      <c r="N150" s="141" t="s">
        <v>222</v>
      </c>
      <c r="O150" s="141" t="s">
        <v>222</v>
      </c>
      <c r="P150" s="141" t="s">
        <v>222</v>
      </c>
      <c r="Q150" s="141" t="s">
        <v>222</v>
      </c>
      <c r="R150" s="141" t="s">
        <v>222</v>
      </c>
      <c r="S150" s="141" t="s">
        <v>222</v>
      </c>
      <c r="T150" s="141" t="s">
        <v>222</v>
      </c>
      <c r="U150" s="141" t="s">
        <v>222</v>
      </c>
      <c r="V150" s="141" t="s">
        <v>222</v>
      </c>
      <c r="W150" s="141"/>
      <c r="X150" s="141"/>
      <c r="Y150" s="141"/>
      <c r="Z150" s="141"/>
    </row>
    <row r="151">
      <c r="A151" s="141"/>
      <c r="B151" s="141" t="s">
        <v>222</v>
      </c>
      <c r="C151" s="141" t="s">
        <v>222</v>
      </c>
      <c r="D151" s="141" t="s">
        <v>222</v>
      </c>
      <c r="E151" s="141" t="s">
        <v>222</v>
      </c>
      <c r="F151" s="141" t="s">
        <v>222</v>
      </c>
      <c r="G151" s="141" t="s">
        <v>222</v>
      </c>
      <c r="H151" s="141" t="s">
        <v>222</v>
      </c>
      <c r="I151" s="141" t="s">
        <v>222</v>
      </c>
      <c r="J151" s="141" t="s">
        <v>222</v>
      </c>
      <c r="K151" s="141" t="s">
        <v>222</v>
      </c>
      <c r="L151" s="141" t="s">
        <v>222</v>
      </c>
      <c r="M151" s="141" t="s">
        <v>222</v>
      </c>
      <c r="N151" s="141" t="s">
        <v>222</v>
      </c>
      <c r="O151" s="141" t="s">
        <v>222</v>
      </c>
      <c r="P151" s="141" t="s">
        <v>222</v>
      </c>
      <c r="Q151" s="141" t="s">
        <v>222</v>
      </c>
      <c r="R151" s="141" t="s">
        <v>222</v>
      </c>
      <c r="S151" s="141" t="s">
        <v>222</v>
      </c>
      <c r="T151" s="141" t="s">
        <v>222</v>
      </c>
      <c r="U151" s="141" t="s">
        <v>222</v>
      </c>
      <c r="V151" s="141" t="s">
        <v>222</v>
      </c>
      <c r="W151" s="141"/>
      <c r="X151" s="141"/>
      <c r="Y151" s="141"/>
      <c r="Z151" s="141"/>
    </row>
    <row r="152">
      <c r="A152" s="141"/>
      <c r="B152" s="141" t="s">
        <v>222</v>
      </c>
      <c r="C152" s="141" t="s">
        <v>222</v>
      </c>
      <c r="D152" s="141" t="s">
        <v>222</v>
      </c>
      <c r="E152" s="141" t="s">
        <v>222</v>
      </c>
      <c r="F152" s="141" t="s">
        <v>222</v>
      </c>
      <c r="G152" s="141" t="s">
        <v>222</v>
      </c>
      <c r="H152" s="141" t="s">
        <v>222</v>
      </c>
      <c r="I152" s="141" t="s">
        <v>222</v>
      </c>
      <c r="J152" s="141" t="s">
        <v>222</v>
      </c>
      <c r="K152" s="141" t="s">
        <v>222</v>
      </c>
      <c r="L152" s="141" t="s">
        <v>222</v>
      </c>
      <c r="M152" s="141" t="s">
        <v>222</v>
      </c>
      <c r="N152" s="141" t="s">
        <v>222</v>
      </c>
      <c r="O152" s="141" t="s">
        <v>222</v>
      </c>
      <c r="P152" s="141" t="s">
        <v>222</v>
      </c>
      <c r="Q152" s="141" t="s">
        <v>222</v>
      </c>
      <c r="R152" s="141" t="s">
        <v>222</v>
      </c>
      <c r="S152" s="141" t="s">
        <v>222</v>
      </c>
      <c r="T152" s="141" t="s">
        <v>222</v>
      </c>
      <c r="U152" s="141" t="s">
        <v>222</v>
      </c>
      <c r="V152" s="141" t="s">
        <v>222</v>
      </c>
      <c r="W152" s="141"/>
      <c r="X152" s="141"/>
      <c r="Y152" s="141"/>
      <c r="Z152" s="141"/>
    </row>
    <row r="153">
      <c r="A153" s="141"/>
      <c r="B153" s="141" t="s">
        <v>222</v>
      </c>
      <c r="C153" s="141" t="s">
        <v>222</v>
      </c>
      <c r="D153" s="141" t="s">
        <v>222</v>
      </c>
      <c r="E153" s="141" t="s">
        <v>222</v>
      </c>
      <c r="F153" s="141" t="s">
        <v>222</v>
      </c>
      <c r="G153" s="141" t="s">
        <v>222</v>
      </c>
      <c r="H153" s="141" t="s">
        <v>222</v>
      </c>
      <c r="I153" s="141" t="s">
        <v>222</v>
      </c>
      <c r="J153" s="141" t="s">
        <v>222</v>
      </c>
      <c r="K153" s="141" t="s">
        <v>222</v>
      </c>
      <c r="L153" s="141" t="s">
        <v>222</v>
      </c>
      <c r="M153" s="141" t="s">
        <v>222</v>
      </c>
      <c r="N153" s="141" t="s">
        <v>222</v>
      </c>
      <c r="O153" s="141" t="s">
        <v>222</v>
      </c>
      <c r="P153" s="141" t="s">
        <v>222</v>
      </c>
      <c r="Q153" s="141" t="s">
        <v>222</v>
      </c>
      <c r="R153" s="141" t="s">
        <v>222</v>
      </c>
      <c r="S153" s="141" t="s">
        <v>222</v>
      </c>
      <c r="T153" s="141" t="s">
        <v>222</v>
      </c>
      <c r="U153" s="141" t="s">
        <v>222</v>
      </c>
      <c r="V153" s="141" t="s">
        <v>222</v>
      </c>
      <c r="W153" s="141"/>
      <c r="X153" s="141"/>
      <c r="Y153" s="141"/>
      <c r="Z153" s="141"/>
    </row>
    <row r="154">
      <c r="A154" s="141"/>
      <c r="B154" s="141" t="s">
        <v>222</v>
      </c>
      <c r="C154" s="141" t="s">
        <v>222</v>
      </c>
      <c r="D154" s="141" t="s">
        <v>222</v>
      </c>
      <c r="E154" s="141" t="s">
        <v>222</v>
      </c>
      <c r="F154" s="141" t="s">
        <v>222</v>
      </c>
      <c r="G154" s="141" t="s">
        <v>222</v>
      </c>
      <c r="H154" s="141" t="s">
        <v>222</v>
      </c>
      <c r="I154" s="141" t="s">
        <v>222</v>
      </c>
      <c r="J154" s="141" t="s">
        <v>222</v>
      </c>
      <c r="K154" s="141" t="s">
        <v>222</v>
      </c>
      <c r="L154" s="141" t="s">
        <v>222</v>
      </c>
      <c r="M154" s="141" t="s">
        <v>222</v>
      </c>
      <c r="N154" s="141" t="s">
        <v>222</v>
      </c>
      <c r="O154" s="141" t="s">
        <v>222</v>
      </c>
      <c r="P154" s="141" t="s">
        <v>222</v>
      </c>
      <c r="Q154" s="141" t="s">
        <v>222</v>
      </c>
      <c r="R154" s="141" t="s">
        <v>222</v>
      </c>
      <c r="S154" s="141" t="s">
        <v>222</v>
      </c>
      <c r="T154" s="141" t="s">
        <v>222</v>
      </c>
      <c r="U154" s="141" t="s">
        <v>222</v>
      </c>
      <c r="V154" s="141" t="s">
        <v>222</v>
      </c>
      <c r="W154" s="141"/>
      <c r="X154" s="141"/>
      <c r="Y154" s="141"/>
      <c r="Z154" s="141"/>
    </row>
    <row r="155">
      <c r="A155" s="141"/>
      <c r="B155" s="141" t="s">
        <v>222</v>
      </c>
      <c r="C155" s="141" t="s">
        <v>222</v>
      </c>
      <c r="D155" s="141" t="s">
        <v>222</v>
      </c>
      <c r="E155" s="141" t="s">
        <v>222</v>
      </c>
      <c r="F155" s="141" t="s">
        <v>222</v>
      </c>
      <c r="G155" s="141" t="s">
        <v>222</v>
      </c>
      <c r="H155" s="141" t="s">
        <v>222</v>
      </c>
      <c r="I155" s="141" t="s">
        <v>222</v>
      </c>
      <c r="J155" s="141" t="s">
        <v>222</v>
      </c>
      <c r="K155" s="141" t="s">
        <v>222</v>
      </c>
      <c r="L155" s="141" t="s">
        <v>222</v>
      </c>
      <c r="M155" s="141" t="s">
        <v>222</v>
      </c>
      <c r="N155" s="141" t="s">
        <v>222</v>
      </c>
      <c r="O155" s="141" t="s">
        <v>222</v>
      </c>
      <c r="P155" s="141" t="s">
        <v>222</v>
      </c>
      <c r="Q155" s="141" t="s">
        <v>222</v>
      </c>
      <c r="R155" s="141" t="s">
        <v>222</v>
      </c>
      <c r="S155" s="141" t="s">
        <v>222</v>
      </c>
      <c r="T155" s="141" t="s">
        <v>222</v>
      </c>
      <c r="U155" s="141" t="s">
        <v>222</v>
      </c>
      <c r="V155" s="141" t="s">
        <v>222</v>
      </c>
      <c r="W155" s="141"/>
      <c r="X155" s="141"/>
      <c r="Y155" s="141"/>
      <c r="Z155" s="141"/>
    </row>
    <row r="156">
      <c r="A156" s="141"/>
      <c r="B156" s="141" t="s">
        <v>222</v>
      </c>
      <c r="C156" s="141" t="s">
        <v>222</v>
      </c>
      <c r="D156" s="141" t="s">
        <v>222</v>
      </c>
      <c r="E156" s="141" t="s">
        <v>222</v>
      </c>
      <c r="F156" s="141" t="s">
        <v>222</v>
      </c>
      <c r="G156" s="141" t="s">
        <v>222</v>
      </c>
      <c r="H156" s="141" t="s">
        <v>222</v>
      </c>
      <c r="I156" s="141" t="s">
        <v>222</v>
      </c>
      <c r="J156" s="141" t="s">
        <v>222</v>
      </c>
      <c r="K156" s="141" t="s">
        <v>222</v>
      </c>
      <c r="L156" s="141" t="s">
        <v>222</v>
      </c>
      <c r="M156" s="141" t="s">
        <v>222</v>
      </c>
      <c r="N156" s="141" t="s">
        <v>222</v>
      </c>
      <c r="O156" s="141" t="s">
        <v>222</v>
      </c>
      <c r="P156" s="141" t="s">
        <v>222</v>
      </c>
      <c r="Q156" s="141" t="s">
        <v>222</v>
      </c>
      <c r="R156" s="141" t="s">
        <v>222</v>
      </c>
      <c r="S156" s="141" t="s">
        <v>222</v>
      </c>
      <c r="T156" s="141" t="s">
        <v>222</v>
      </c>
      <c r="U156" s="141" t="s">
        <v>222</v>
      </c>
      <c r="V156" s="141" t="s">
        <v>222</v>
      </c>
      <c r="W156" s="141"/>
      <c r="X156" s="141"/>
      <c r="Y156" s="141"/>
      <c r="Z156" s="141"/>
    </row>
    <row r="157">
      <c r="A157" s="141"/>
      <c r="B157" s="141" t="s">
        <v>222</v>
      </c>
      <c r="C157" s="141" t="s">
        <v>222</v>
      </c>
      <c r="D157" s="141" t="s">
        <v>222</v>
      </c>
      <c r="E157" s="141" t="s">
        <v>222</v>
      </c>
      <c r="F157" s="141" t="s">
        <v>222</v>
      </c>
      <c r="G157" s="141" t="s">
        <v>222</v>
      </c>
      <c r="H157" s="141" t="s">
        <v>222</v>
      </c>
      <c r="I157" s="141" t="s">
        <v>222</v>
      </c>
      <c r="J157" s="141" t="s">
        <v>222</v>
      </c>
      <c r="K157" s="141" t="s">
        <v>222</v>
      </c>
      <c r="L157" s="141" t="s">
        <v>222</v>
      </c>
      <c r="M157" s="141" t="s">
        <v>222</v>
      </c>
      <c r="N157" s="141" t="s">
        <v>222</v>
      </c>
      <c r="O157" s="141" t="s">
        <v>222</v>
      </c>
      <c r="P157" s="141" t="s">
        <v>222</v>
      </c>
      <c r="Q157" s="141" t="s">
        <v>222</v>
      </c>
      <c r="R157" s="141" t="s">
        <v>222</v>
      </c>
      <c r="S157" s="141" t="s">
        <v>222</v>
      </c>
      <c r="T157" s="141" t="s">
        <v>222</v>
      </c>
      <c r="U157" s="141" t="s">
        <v>222</v>
      </c>
      <c r="V157" s="141" t="s">
        <v>222</v>
      </c>
      <c r="W157" s="141"/>
      <c r="X157" s="141"/>
      <c r="Y157" s="141"/>
      <c r="Z157" s="141"/>
    </row>
    <row r="158">
      <c r="A158" s="141"/>
      <c r="B158" s="141" t="s">
        <v>222</v>
      </c>
      <c r="C158" s="141" t="s">
        <v>222</v>
      </c>
      <c r="D158" s="141" t="s">
        <v>222</v>
      </c>
      <c r="E158" s="141" t="s">
        <v>222</v>
      </c>
      <c r="F158" s="141" t="s">
        <v>222</v>
      </c>
      <c r="G158" s="141" t="s">
        <v>222</v>
      </c>
      <c r="H158" s="141" t="s">
        <v>222</v>
      </c>
      <c r="I158" s="141" t="s">
        <v>222</v>
      </c>
      <c r="J158" s="141" t="s">
        <v>222</v>
      </c>
      <c r="K158" s="141" t="s">
        <v>222</v>
      </c>
      <c r="L158" s="141" t="s">
        <v>222</v>
      </c>
      <c r="M158" s="141" t="s">
        <v>222</v>
      </c>
      <c r="N158" s="141" t="s">
        <v>222</v>
      </c>
      <c r="O158" s="141" t="s">
        <v>222</v>
      </c>
      <c r="P158" s="141" t="s">
        <v>222</v>
      </c>
      <c r="Q158" s="141" t="s">
        <v>222</v>
      </c>
      <c r="R158" s="141" t="s">
        <v>222</v>
      </c>
      <c r="S158" s="141" t="s">
        <v>222</v>
      </c>
      <c r="T158" s="141" t="s">
        <v>222</v>
      </c>
      <c r="U158" s="141" t="s">
        <v>222</v>
      </c>
      <c r="V158" s="141" t="s">
        <v>222</v>
      </c>
      <c r="W158" s="141"/>
      <c r="X158" s="141"/>
      <c r="Y158" s="141"/>
      <c r="Z158" s="141"/>
    </row>
    <row r="159">
      <c r="A159" s="141"/>
      <c r="B159" s="141" t="s">
        <v>222</v>
      </c>
      <c r="C159" s="141" t="s">
        <v>222</v>
      </c>
      <c r="D159" s="141" t="s">
        <v>222</v>
      </c>
      <c r="E159" s="141" t="s">
        <v>222</v>
      </c>
      <c r="F159" s="141" t="s">
        <v>222</v>
      </c>
      <c r="G159" s="141" t="s">
        <v>222</v>
      </c>
      <c r="H159" s="141" t="s">
        <v>222</v>
      </c>
      <c r="I159" s="141" t="s">
        <v>222</v>
      </c>
      <c r="J159" s="141" t="s">
        <v>222</v>
      </c>
      <c r="K159" s="141" t="s">
        <v>222</v>
      </c>
      <c r="L159" s="141" t="s">
        <v>222</v>
      </c>
      <c r="M159" s="141" t="s">
        <v>222</v>
      </c>
      <c r="N159" s="141" t="s">
        <v>222</v>
      </c>
      <c r="O159" s="141" t="s">
        <v>222</v>
      </c>
      <c r="P159" s="141" t="s">
        <v>222</v>
      </c>
      <c r="Q159" s="141" t="s">
        <v>222</v>
      </c>
      <c r="R159" s="141" t="s">
        <v>222</v>
      </c>
      <c r="S159" s="141" t="s">
        <v>222</v>
      </c>
      <c r="T159" s="141" t="s">
        <v>222</v>
      </c>
      <c r="U159" s="141" t="s">
        <v>222</v>
      </c>
      <c r="V159" s="141" t="s">
        <v>222</v>
      </c>
      <c r="W159" s="141"/>
      <c r="X159" s="141"/>
      <c r="Y159" s="141"/>
      <c r="Z159" s="141"/>
    </row>
    <row r="160">
      <c r="A160" s="141"/>
      <c r="B160" s="141" t="s">
        <v>222</v>
      </c>
      <c r="C160" s="141" t="s">
        <v>222</v>
      </c>
      <c r="D160" s="141" t="s">
        <v>222</v>
      </c>
      <c r="E160" s="141" t="s">
        <v>222</v>
      </c>
      <c r="F160" s="141" t="s">
        <v>222</v>
      </c>
      <c r="G160" s="141" t="s">
        <v>222</v>
      </c>
      <c r="H160" s="141" t="s">
        <v>222</v>
      </c>
      <c r="I160" s="141" t="s">
        <v>222</v>
      </c>
      <c r="J160" s="141" t="s">
        <v>222</v>
      </c>
      <c r="K160" s="141" t="s">
        <v>222</v>
      </c>
      <c r="L160" s="141" t="s">
        <v>222</v>
      </c>
      <c r="M160" s="141" t="s">
        <v>222</v>
      </c>
      <c r="N160" s="141" t="s">
        <v>222</v>
      </c>
      <c r="O160" s="141" t="s">
        <v>222</v>
      </c>
      <c r="P160" s="141" t="s">
        <v>222</v>
      </c>
      <c r="Q160" s="141" t="s">
        <v>222</v>
      </c>
      <c r="R160" s="141" t="s">
        <v>222</v>
      </c>
      <c r="S160" s="141" t="s">
        <v>222</v>
      </c>
      <c r="T160" s="141" t="s">
        <v>222</v>
      </c>
      <c r="U160" s="141" t="s">
        <v>222</v>
      </c>
      <c r="V160" s="141" t="s">
        <v>222</v>
      </c>
      <c r="W160" s="141"/>
      <c r="X160" s="141"/>
      <c r="Y160" s="141"/>
      <c r="Z160" s="141"/>
    </row>
    <row r="161">
      <c r="A161" s="141"/>
      <c r="B161" s="141" t="s">
        <v>222</v>
      </c>
      <c r="C161" s="141" t="s">
        <v>222</v>
      </c>
      <c r="D161" s="141" t="s">
        <v>222</v>
      </c>
      <c r="E161" s="141" t="s">
        <v>222</v>
      </c>
      <c r="F161" s="141" t="s">
        <v>222</v>
      </c>
      <c r="G161" s="141" t="s">
        <v>222</v>
      </c>
      <c r="H161" s="141" t="s">
        <v>222</v>
      </c>
      <c r="I161" s="141" t="s">
        <v>222</v>
      </c>
      <c r="J161" s="141" t="s">
        <v>222</v>
      </c>
      <c r="K161" s="141" t="s">
        <v>222</v>
      </c>
      <c r="L161" s="141" t="s">
        <v>222</v>
      </c>
      <c r="M161" s="141" t="s">
        <v>222</v>
      </c>
      <c r="N161" s="141" t="s">
        <v>222</v>
      </c>
      <c r="O161" s="141" t="s">
        <v>222</v>
      </c>
      <c r="P161" s="141" t="s">
        <v>222</v>
      </c>
      <c r="Q161" s="141" t="s">
        <v>222</v>
      </c>
      <c r="R161" s="141" t="s">
        <v>222</v>
      </c>
      <c r="S161" s="141" t="s">
        <v>222</v>
      </c>
      <c r="T161" s="141" t="s">
        <v>222</v>
      </c>
      <c r="U161" s="141" t="s">
        <v>222</v>
      </c>
      <c r="V161" s="141" t="s">
        <v>222</v>
      </c>
      <c r="W161" s="141"/>
      <c r="X161" s="141"/>
      <c r="Y161" s="141"/>
      <c r="Z161" s="141"/>
    </row>
    <row r="162">
      <c r="A162" s="141"/>
      <c r="B162" s="141" t="s">
        <v>222</v>
      </c>
      <c r="C162" s="141" t="s">
        <v>222</v>
      </c>
      <c r="D162" s="141" t="s">
        <v>222</v>
      </c>
      <c r="E162" s="141" t="s">
        <v>222</v>
      </c>
      <c r="F162" s="141" t="s">
        <v>222</v>
      </c>
      <c r="G162" s="141" t="s">
        <v>222</v>
      </c>
      <c r="H162" s="141" t="s">
        <v>222</v>
      </c>
      <c r="I162" s="141" t="s">
        <v>222</v>
      </c>
      <c r="J162" s="141" t="s">
        <v>222</v>
      </c>
      <c r="K162" s="141" t="s">
        <v>222</v>
      </c>
      <c r="L162" s="141" t="s">
        <v>222</v>
      </c>
      <c r="M162" s="141" t="s">
        <v>222</v>
      </c>
      <c r="N162" s="141" t="s">
        <v>222</v>
      </c>
      <c r="O162" s="141" t="s">
        <v>222</v>
      </c>
      <c r="P162" s="141" t="s">
        <v>222</v>
      </c>
      <c r="Q162" s="141" t="s">
        <v>222</v>
      </c>
      <c r="R162" s="141" t="s">
        <v>222</v>
      </c>
      <c r="S162" s="141" t="s">
        <v>222</v>
      </c>
      <c r="T162" s="141" t="s">
        <v>222</v>
      </c>
      <c r="U162" s="141" t="s">
        <v>222</v>
      </c>
      <c r="V162" s="141" t="s">
        <v>222</v>
      </c>
      <c r="W162" s="141"/>
      <c r="X162" s="141"/>
      <c r="Y162" s="141"/>
      <c r="Z162" s="141"/>
    </row>
    <row r="163">
      <c r="A163" s="141"/>
      <c r="B163" s="141" t="s">
        <v>222</v>
      </c>
      <c r="C163" s="141" t="s">
        <v>222</v>
      </c>
      <c r="D163" s="141" t="s">
        <v>222</v>
      </c>
      <c r="E163" s="141" t="s">
        <v>222</v>
      </c>
      <c r="F163" s="141" t="s">
        <v>222</v>
      </c>
      <c r="G163" s="141" t="s">
        <v>222</v>
      </c>
      <c r="H163" s="141" t="s">
        <v>222</v>
      </c>
      <c r="I163" s="141" t="s">
        <v>222</v>
      </c>
      <c r="J163" s="141" t="s">
        <v>222</v>
      </c>
      <c r="K163" s="141" t="s">
        <v>222</v>
      </c>
      <c r="L163" s="141" t="s">
        <v>222</v>
      </c>
      <c r="M163" s="141" t="s">
        <v>222</v>
      </c>
      <c r="N163" s="141" t="s">
        <v>222</v>
      </c>
      <c r="O163" s="141" t="s">
        <v>222</v>
      </c>
      <c r="P163" s="141" t="s">
        <v>222</v>
      </c>
      <c r="Q163" s="141" t="s">
        <v>222</v>
      </c>
      <c r="R163" s="141" t="s">
        <v>222</v>
      </c>
      <c r="S163" s="141" t="s">
        <v>222</v>
      </c>
      <c r="T163" s="141" t="s">
        <v>222</v>
      </c>
      <c r="U163" s="141" t="s">
        <v>222</v>
      </c>
      <c r="V163" s="141" t="s">
        <v>222</v>
      </c>
      <c r="W163" s="141"/>
      <c r="X163" s="141"/>
      <c r="Y163" s="141"/>
      <c r="Z163" s="141"/>
    </row>
    <row r="164">
      <c r="A164" s="141"/>
      <c r="B164" s="141" t="s">
        <v>222</v>
      </c>
      <c r="C164" s="141" t="s">
        <v>222</v>
      </c>
      <c r="D164" s="141" t="s">
        <v>222</v>
      </c>
      <c r="E164" s="141" t="s">
        <v>222</v>
      </c>
      <c r="F164" s="141" t="s">
        <v>222</v>
      </c>
      <c r="G164" s="141" t="s">
        <v>222</v>
      </c>
      <c r="H164" s="141" t="s">
        <v>222</v>
      </c>
      <c r="I164" s="141" t="s">
        <v>222</v>
      </c>
      <c r="J164" s="141" t="s">
        <v>222</v>
      </c>
      <c r="K164" s="141" t="s">
        <v>222</v>
      </c>
      <c r="L164" s="141" t="s">
        <v>222</v>
      </c>
      <c r="M164" s="141" t="s">
        <v>222</v>
      </c>
      <c r="N164" s="141" t="s">
        <v>222</v>
      </c>
      <c r="O164" s="141" t="s">
        <v>222</v>
      </c>
      <c r="P164" s="141" t="s">
        <v>222</v>
      </c>
      <c r="Q164" s="141" t="s">
        <v>222</v>
      </c>
      <c r="R164" s="141" t="s">
        <v>222</v>
      </c>
      <c r="S164" s="141" t="s">
        <v>222</v>
      </c>
      <c r="T164" s="141" t="s">
        <v>222</v>
      </c>
      <c r="U164" s="141" t="s">
        <v>222</v>
      </c>
      <c r="V164" s="141" t="s">
        <v>222</v>
      </c>
      <c r="W164" s="141"/>
      <c r="X164" s="141"/>
      <c r="Y164" s="141"/>
      <c r="Z164" s="141"/>
    </row>
    <row r="165">
      <c r="A165" s="141"/>
      <c r="B165" s="141" t="s">
        <v>222</v>
      </c>
      <c r="C165" s="141" t="s">
        <v>222</v>
      </c>
      <c r="D165" s="141" t="s">
        <v>222</v>
      </c>
      <c r="E165" s="141" t="s">
        <v>222</v>
      </c>
      <c r="F165" s="141" t="s">
        <v>222</v>
      </c>
      <c r="G165" s="141" t="s">
        <v>222</v>
      </c>
      <c r="H165" s="141" t="s">
        <v>222</v>
      </c>
      <c r="I165" s="141" t="s">
        <v>222</v>
      </c>
      <c r="J165" s="141" t="s">
        <v>222</v>
      </c>
      <c r="K165" s="141" t="s">
        <v>222</v>
      </c>
      <c r="L165" s="141" t="s">
        <v>222</v>
      </c>
      <c r="M165" s="141" t="s">
        <v>222</v>
      </c>
      <c r="N165" s="141" t="s">
        <v>222</v>
      </c>
      <c r="O165" s="141" t="s">
        <v>222</v>
      </c>
      <c r="P165" s="141" t="s">
        <v>222</v>
      </c>
      <c r="Q165" s="141" t="s">
        <v>222</v>
      </c>
      <c r="R165" s="141" t="s">
        <v>222</v>
      </c>
      <c r="S165" s="141" t="s">
        <v>222</v>
      </c>
      <c r="T165" s="141" t="s">
        <v>222</v>
      </c>
      <c r="U165" s="141" t="s">
        <v>222</v>
      </c>
      <c r="V165" s="141" t="s">
        <v>222</v>
      </c>
      <c r="W165" s="141"/>
      <c r="X165" s="141"/>
      <c r="Y165" s="141"/>
      <c r="Z165" s="141"/>
    </row>
    <row r="166">
      <c r="A166" s="141"/>
      <c r="B166" s="141" t="s">
        <v>222</v>
      </c>
      <c r="C166" s="141" t="s">
        <v>222</v>
      </c>
      <c r="D166" s="141" t="s">
        <v>222</v>
      </c>
      <c r="E166" s="141" t="s">
        <v>222</v>
      </c>
      <c r="F166" s="141" t="s">
        <v>222</v>
      </c>
      <c r="G166" s="141" t="s">
        <v>222</v>
      </c>
      <c r="H166" s="141" t="s">
        <v>222</v>
      </c>
      <c r="I166" s="141" t="s">
        <v>222</v>
      </c>
      <c r="J166" s="141" t="s">
        <v>222</v>
      </c>
      <c r="K166" s="141" t="s">
        <v>222</v>
      </c>
      <c r="L166" s="141" t="s">
        <v>222</v>
      </c>
      <c r="M166" s="141" t="s">
        <v>222</v>
      </c>
      <c r="N166" s="141" t="s">
        <v>222</v>
      </c>
      <c r="O166" s="141" t="s">
        <v>222</v>
      </c>
      <c r="P166" s="141" t="s">
        <v>222</v>
      </c>
      <c r="Q166" s="141" t="s">
        <v>222</v>
      </c>
      <c r="R166" s="141" t="s">
        <v>222</v>
      </c>
      <c r="S166" s="141" t="s">
        <v>222</v>
      </c>
      <c r="T166" s="141" t="s">
        <v>222</v>
      </c>
      <c r="U166" s="141" t="s">
        <v>222</v>
      </c>
      <c r="V166" s="141" t="s">
        <v>222</v>
      </c>
      <c r="W166" s="141"/>
      <c r="X166" s="141"/>
      <c r="Y166" s="141"/>
      <c r="Z166" s="141"/>
    </row>
    <row r="167">
      <c r="A167" s="141"/>
      <c r="B167" s="141" t="s">
        <v>222</v>
      </c>
      <c r="C167" s="141" t="s">
        <v>222</v>
      </c>
      <c r="D167" s="141" t="s">
        <v>222</v>
      </c>
      <c r="E167" s="141" t="s">
        <v>222</v>
      </c>
      <c r="F167" s="141" t="s">
        <v>222</v>
      </c>
      <c r="G167" s="141" t="s">
        <v>222</v>
      </c>
      <c r="H167" s="141" t="s">
        <v>222</v>
      </c>
      <c r="I167" s="141" t="s">
        <v>222</v>
      </c>
      <c r="J167" s="141" t="s">
        <v>222</v>
      </c>
      <c r="K167" s="141" t="s">
        <v>222</v>
      </c>
      <c r="L167" s="141" t="s">
        <v>222</v>
      </c>
      <c r="M167" s="141" t="s">
        <v>222</v>
      </c>
      <c r="N167" s="141" t="s">
        <v>222</v>
      </c>
      <c r="O167" s="141" t="s">
        <v>222</v>
      </c>
      <c r="P167" s="141" t="s">
        <v>222</v>
      </c>
      <c r="Q167" s="141" t="s">
        <v>222</v>
      </c>
      <c r="R167" s="141" t="s">
        <v>222</v>
      </c>
      <c r="S167" s="141" t="s">
        <v>222</v>
      </c>
      <c r="T167" s="141" t="s">
        <v>222</v>
      </c>
      <c r="U167" s="141" t="s">
        <v>222</v>
      </c>
      <c r="V167" s="141" t="s">
        <v>222</v>
      </c>
      <c r="W167" s="141"/>
      <c r="X167" s="141"/>
      <c r="Y167" s="141"/>
      <c r="Z167" s="141"/>
    </row>
    <row r="168">
      <c r="A168" s="141"/>
      <c r="B168" s="141" t="s">
        <v>222</v>
      </c>
      <c r="C168" s="141" t="s">
        <v>222</v>
      </c>
      <c r="D168" s="141" t="s">
        <v>222</v>
      </c>
      <c r="E168" s="141" t="s">
        <v>222</v>
      </c>
      <c r="F168" s="141" t="s">
        <v>222</v>
      </c>
      <c r="G168" s="141" t="s">
        <v>222</v>
      </c>
      <c r="H168" s="141" t="s">
        <v>222</v>
      </c>
      <c r="I168" s="141" t="s">
        <v>222</v>
      </c>
      <c r="J168" s="141" t="s">
        <v>222</v>
      </c>
      <c r="K168" s="141" t="s">
        <v>222</v>
      </c>
      <c r="L168" s="141" t="s">
        <v>222</v>
      </c>
      <c r="M168" s="141" t="s">
        <v>222</v>
      </c>
      <c r="N168" s="141" t="s">
        <v>222</v>
      </c>
      <c r="O168" s="141" t="s">
        <v>222</v>
      </c>
      <c r="P168" s="141" t="s">
        <v>222</v>
      </c>
      <c r="Q168" s="141" t="s">
        <v>222</v>
      </c>
      <c r="R168" s="141" t="s">
        <v>222</v>
      </c>
      <c r="S168" s="141" t="s">
        <v>222</v>
      </c>
      <c r="T168" s="141" t="s">
        <v>222</v>
      </c>
      <c r="U168" s="141" t="s">
        <v>222</v>
      </c>
      <c r="V168" s="141" t="s">
        <v>222</v>
      </c>
      <c r="W168" s="141"/>
      <c r="X168" s="141"/>
      <c r="Y168" s="141"/>
      <c r="Z168" s="141"/>
    </row>
    <row r="169">
      <c r="A169" s="141"/>
      <c r="B169" s="141" t="s">
        <v>222</v>
      </c>
      <c r="C169" s="141" t="s">
        <v>222</v>
      </c>
      <c r="D169" s="141" t="s">
        <v>222</v>
      </c>
      <c r="E169" s="141" t="s">
        <v>222</v>
      </c>
      <c r="F169" s="141" t="s">
        <v>222</v>
      </c>
      <c r="G169" s="141" t="s">
        <v>222</v>
      </c>
      <c r="H169" s="141" t="s">
        <v>222</v>
      </c>
      <c r="I169" s="141" t="s">
        <v>222</v>
      </c>
      <c r="J169" s="141" t="s">
        <v>222</v>
      </c>
      <c r="K169" s="141" t="s">
        <v>222</v>
      </c>
      <c r="L169" s="141" t="s">
        <v>222</v>
      </c>
      <c r="M169" s="141" t="s">
        <v>222</v>
      </c>
      <c r="N169" s="141" t="s">
        <v>222</v>
      </c>
      <c r="O169" s="141" t="s">
        <v>222</v>
      </c>
      <c r="P169" s="141" t="s">
        <v>222</v>
      </c>
      <c r="Q169" s="141" t="s">
        <v>222</v>
      </c>
      <c r="R169" s="141" t="s">
        <v>222</v>
      </c>
      <c r="S169" s="141" t="s">
        <v>222</v>
      </c>
      <c r="T169" s="141" t="s">
        <v>222</v>
      </c>
      <c r="U169" s="141" t="s">
        <v>222</v>
      </c>
      <c r="V169" s="141" t="s">
        <v>222</v>
      </c>
      <c r="W169" s="141"/>
      <c r="X169" s="141"/>
      <c r="Y169" s="141"/>
      <c r="Z169" s="141"/>
    </row>
    <row r="170">
      <c r="A170" s="141"/>
      <c r="B170" s="141" t="s">
        <v>222</v>
      </c>
      <c r="C170" s="141" t="s">
        <v>222</v>
      </c>
      <c r="D170" s="141" t="s">
        <v>222</v>
      </c>
      <c r="E170" s="141" t="s">
        <v>222</v>
      </c>
      <c r="F170" s="141" t="s">
        <v>222</v>
      </c>
      <c r="G170" s="141" t="s">
        <v>222</v>
      </c>
      <c r="H170" s="141" t="s">
        <v>222</v>
      </c>
      <c r="I170" s="141" t="s">
        <v>222</v>
      </c>
      <c r="J170" s="141" t="s">
        <v>222</v>
      </c>
      <c r="K170" s="141" t="s">
        <v>222</v>
      </c>
      <c r="L170" s="141" t="s">
        <v>222</v>
      </c>
      <c r="M170" s="141" t="s">
        <v>222</v>
      </c>
      <c r="N170" s="141" t="s">
        <v>222</v>
      </c>
      <c r="O170" s="141" t="s">
        <v>222</v>
      </c>
      <c r="P170" s="141" t="s">
        <v>222</v>
      </c>
      <c r="Q170" s="141" t="s">
        <v>222</v>
      </c>
      <c r="R170" s="141" t="s">
        <v>222</v>
      </c>
      <c r="S170" s="141" t="s">
        <v>222</v>
      </c>
      <c r="T170" s="141" t="s">
        <v>222</v>
      </c>
      <c r="U170" s="141" t="s">
        <v>222</v>
      </c>
      <c r="V170" s="141" t="s">
        <v>222</v>
      </c>
      <c r="W170" s="141"/>
      <c r="X170" s="141"/>
      <c r="Y170" s="141"/>
      <c r="Z170" s="141"/>
    </row>
    <row r="171">
      <c r="A171" s="141"/>
      <c r="B171" s="141" t="s">
        <v>222</v>
      </c>
      <c r="C171" s="141" t="s">
        <v>222</v>
      </c>
      <c r="D171" s="141" t="s">
        <v>222</v>
      </c>
      <c r="E171" s="141" t="s">
        <v>222</v>
      </c>
      <c r="F171" s="141" t="s">
        <v>222</v>
      </c>
      <c r="G171" s="141" t="s">
        <v>222</v>
      </c>
      <c r="H171" s="141" t="s">
        <v>222</v>
      </c>
      <c r="I171" s="141" t="s">
        <v>222</v>
      </c>
      <c r="J171" s="141" t="s">
        <v>222</v>
      </c>
      <c r="K171" s="141" t="s">
        <v>222</v>
      </c>
      <c r="L171" s="141" t="s">
        <v>222</v>
      </c>
      <c r="M171" s="141" t="s">
        <v>222</v>
      </c>
      <c r="N171" s="141" t="s">
        <v>222</v>
      </c>
      <c r="O171" s="141" t="s">
        <v>222</v>
      </c>
      <c r="P171" s="141" t="s">
        <v>222</v>
      </c>
      <c r="Q171" s="141" t="s">
        <v>222</v>
      </c>
      <c r="R171" s="141" t="s">
        <v>222</v>
      </c>
      <c r="S171" s="141" t="s">
        <v>222</v>
      </c>
      <c r="T171" s="141" t="s">
        <v>222</v>
      </c>
      <c r="U171" s="141" t="s">
        <v>222</v>
      </c>
      <c r="V171" s="141" t="s">
        <v>222</v>
      </c>
      <c r="W171" s="141"/>
      <c r="X171" s="141"/>
      <c r="Y171" s="141"/>
      <c r="Z171" s="141"/>
    </row>
    <row r="172">
      <c r="A172" s="141"/>
      <c r="B172" s="141" t="s">
        <v>222</v>
      </c>
      <c r="C172" s="141" t="s">
        <v>222</v>
      </c>
      <c r="D172" s="141" t="s">
        <v>222</v>
      </c>
      <c r="E172" s="141" t="s">
        <v>222</v>
      </c>
      <c r="F172" s="141" t="s">
        <v>222</v>
      </c>
      <c r="G172" s="141" t="s">
        <v>222</v>
      </c>
      <c r="H172" s="141" t="s">
        <v>222</v>
      </c>
      <c r="I172" s="141" t="s">
        <v>222</v>
      </c>
      <c r="J172" s="141" t="s">
        <v>222</v>
      </c>
      <c r="K172" s="141" t="s">
        <v>222</v>
      </c>
      <c r="L172" s="141" t="s">
        <v>222</v>
      </c>
      <c r="M172" s="141" t="s">
        <v>222</v>
      </c>
      <c r="N172" s="141" t="s">
        <v>222</v>
      </c>
      <c r="O172" s="141" t="s">
        <v>222</v>
      </c>
      <c r="P172" s="141" t="s">
        <v>222</v>
      </c>
      <c r="Q172" s="141" t="s">
        <v>222</v>
      </c>
      <c r="R172" s="141" t="s">
        <v>222</v>
      </c>
      <c r="S172" s="141" t="s">
        <v>222</v>
      </c>
      <c r="T172" s="141" t="s">
        <v>222</v>
      </c>
      <c r="U172" s="141" t="s">
        <v>222</v>
      </c>
      <c r="V172" s="141" t="s">
        <v>222</v>
      </c>
      <c r="W172" s="141"/>
      <c r="X172" s="141"/>
      <c r="Y172" s="141"/>
      <c r="Z172" s="141"/>
    </row>
    <row r="173">
      <c r="A173" s="141"/>
      <c r="B173" s="141" t="s">
        <v>222</v>
      </c>
      <c r="C173" s="141" t="s">
        <v>222</v>
      </c>
      <c r="D173" s="141" t="s">
        <v>222</v>
      </c>
      <c r="E173" s="141" t="s">
        <v>222</v>
      </c>
      <c r="F173" s="141" t="s">
        <v>222</v>
      </c>
      <c r="G173" s="141" t="s">
        <v>222</v>
      </c>
      <c r="H173" s="141" t="s">
        <v>222</v>
      </c>
      <c r="I173" s="141" t="s">
        <v>222</v>
      </c>
      <c r="J173" s="141" t="s">
        <v>222</v>
      </c>
      <c r="K173" s="141" t="s">
        <v>222</v>
      </c>
      <c r="L173" s="141" t="s">
        <v>222</v>
      </c>
      <c r="M173" s="141" t="s">
        <v>222</v>
      </c>
      <c r="N173" s="141" t="s">
        <v>222</v>
      </c>
      <c r="O173" s="141" t="s">
        <v>222</v>
      </c>
      <c r="P173" s="141" t="s">
        <v>222</v>
      </c>
      <c r="Q173" s="141" t="s">
        <v>222</v>
      </c>
      <c r="R173" s="141" t="s">
        <v>222</v>
      </c>
      <c r="S173" s="141" t="s">
        <v>222</v>
      </c>
      <c r="T173" s="141" t="s">
        <v>222</v>
      </c>
      <c r="U173" s="141" t="s">
        <v>222</v>
      </c>
      <c r="V173" s="141" t="s">
        <v>222</v>
      </c>
      <c r="W173" s="141"/>
      <c r="X173" s="141"/>
      <c r="Y173" s="141"/>
      <c r="Z173" s="141"/>
    </row>
    <row r="174">
      <c r="A174" s="141"/>
      <c r="B174" s="141" t="s">
        <v>222</v>
      </c>
      <c r="C174" s="141" t="s">
        <v>222</v>
      </c>
      <c r="D174" s="141" t="s">
        <v>222</v>
      </c>
      <c r="E174" s="141" t="s">
        <v>222</v>
      </c>
      <c r="F174" s="141" t="s">
        <v>222</v>
      </c>
      <c r="G174" s="141" t="s">
        <v>222</v>
      </c>
      <c r="H174" s="141" t="s">
        <v>222</v>
      </c>
      <c r="I174" s="141" t="s">
        <v>222</v>
      </c>
      <c r="J174" s="141" t="s">
        <v>222</v>
      </c>
      <c r="K174" s="141" t="s">
        <v>222</v>
      </c>
      <c r="L174" s="141" t="s">
        <v>222</v>
      </c>
      <c r="M174" s="141" t="s">
        <v>222</v>
      </c>
      <c r="N174" s="141" t="s">
        <v>222</v>
      </c>
      <c r="O174" s="141" t="s">
        <v>222</v>
      </c>
      <c r="P174" s="141" t="s">
        <v>222</v>
      </c>
      <c r="Q174" s="141" t="s">
        <v>222</v>
      </c>
      <c r="R174" s="141" t="s">
        <v>222</v>
      </c>
      <c r="S174" s="141" t="s">
        <v>222</v>
      </c>
      <c r="T174" s="141" t="s">
        <v>222</v>
      </c>
      <c r="U174" s="141" t="s">
        <v>222</v>
      </c>
      <c r="V174" s="141" t="s">
        <v>222</v>
      </c>
      <c r="W174" s="141"/>
      <c r="X174" s="141"/>
      <c r="Y174" s="141"/>
      <c r="Z174" s="141"/>
    </row>
    <row r="175">
      <c r="A175" s="141"/>
      <c r="B175" s="141" t="s">
        <v>222</v>
      </c>
      <c r="C175" s="141" t="s">
        <v>222</v>
      </c>
      <c r="D175" s="141" t="s">
        <v>222</v>
      </c>
      <c r="E175" s="141" t="s">
        <v>222</v>
      </c>
      <c r="F175" s="141" t="s">
        <v>222</v>
      </c>
      <c r="G175" s="141" t="s">
        <v>222</v>
      </c>
      <c r="H175" s="141" t="s">
        <v>222</v>
      </c>
      <c r="I175" s="141" t="s">
        <v>222</v>
      </c>
      <c r="J175" s="141" t="s">
        <v>222</v>
      </c>
      <c r="K175" s="141" t="s">
        <v>222</v>
      </c>
      <c r="L175" s="141" t="s">
        <v>222</v>
      </c>
      <c r="M175" s="141" t="s">
        <v>222</v>
      </c>
      <c r="N175" s="141" t="s">
        <v>222</v>
      </c>
      <c r="O175" s="141" t="s">
        <v>222</v>
      </c>
      <c r="P175" s="141" t="s">
        <v>222</v>
      </c>
      <c r="Q175" s="141" t="s">
        <v>222</v>
      </c>
      <c r="R175" s="141" t="s">
        <v>222</v>
      </c>
      <c r="S175" s="141" t="s">
        <v>222</v>
      </c>
      <c r="T175" s="141" t="s">
        <v>222</v>
      </c>
      <c r="U175" s="141" t="s">
        <v>222</v>
      </c>
      <c r="V175" s="141" t="s">
        <v>222</v>
      </c>
      <c r="W175" s="141"/>
      <c r="X175" s="141"/>
      <c r="Y175" s="141"/>
      <c r="Z175" s="141"/>
    </row>
    <row r="176">
      <c r="A176" s="141"/>
      <c r="B176" s="141" t="s">
        <v>222</v>
      </c>
      <c r="C176" s="141" t="s">
        <v>222</v>
      </c>
      <c r="D176" s="141" t="s">
        <v>222</v>
      </c>
      <c r="E176" s="141" t="s">
        <v>222</v>
      </c>
      <c r="F176" s="141" t="s">
        <v>222</v>
      </c>
      <c r="G176" s="141" t="s">
        <v>222</v>
      </c>
      <c r="H176" s="141" t="s">
        <v>222</v>
      </c>
      <c r="I176" s="141" t="s">
        <v>222</v>
      </c>
      <c r="J176" s="141" t="s">
        <v>222</v>
      </c>
      <c r="K176" s="141" t="s">
        <v>222</v>
      </c>
      <c r="L176" s="141" t="s">
        <v>222</v>
      </c>
      <c r="M176" s="141" t="s">
        <v>222</v>
      </c>
      <c r="N176" s="141" t="s">
        <v>222</v>
      </c>
      <c r="O176" s="141" t="s">
        <v>222</v>
      </c>
      <c r="P176" s="141" t="s">
        <v>222</v>
      </c>
      <c r="Q176" s="141" t="s">
        <v>222</v>
      </c>
      <c r="R176" s="141" t="s">
        <v>222</v>
      </c>
      <c r="S176" s="141" t="s">
        <v>222</v>
      </c>
      <c r="T176" s="141" t="s">
        <v>222</v>
      </c>
      <c r="U176" s="141" t="s">
        <v>222</v>
      </c>
      <c r="V176" s="141" t="s">
        <v>222</v>
      </c>
      <c r="W176" s="141"/>
      <c r="X176" s="141"/>
      <c r="Y176" s="141"/>
      <c r="Z176" s="141"/>
    </row>
    <row r="177">
      <c r="A177" s="141"/>
      <c r="B177" s="141" t="s">
        <v>222</v>
      </c>
      <c r="C177" s="141" t="s">
        <v>222</v>
      </c>
      <c r="D177" s="141" t="s">
        <v>222</v>
      </c>
      <c r="E177" s="141" t="s">
        <v>222</v>
      </c>
      <c r="F177" s="141" t="s">
        <v>222</v>
      </c>
      <c r="G177" s="141" t="s">
        <v>222</v>
      </c>
      <c r="H177" s="141" t="s">
        <v>222</v>
      </c>
      <c r="I177" s="141" t="s">
        <v>222</v>
      </c>
      <c r="J177" s="141" t="s">
        <v>222</v>
      </c>
      <c r="K177" s="141" t="s">
        <v>222</v>
      </c>
      <c r="L177" s="141" t="s">
        <v>222</v>
      </c>
      <c r="M177" s="141" t="s">
        <v>222</v>
      </c>
      <c r="N177" s="141" t="s">
        <v>222</v>
      </c>
      <c r="O177" s="141" t="s">
        <v>222</v>
      </c>
      <c r="P177" s="141" t="s">
        <v>222</v>
      </c>
      <c r="Q177" s="141" t="s">
        <v>222</v>
      </c>
      <c r="R177" s="141" t="s">
        <v>222</v>
      </c>
      <c r="S177" s="141" t="s">
        <v>222</v>
      </c>
      <c r="T177" s="141" t="s">
        <v>222</v>
      </c>
      <c r="U177" s="141" t="s">
        <v>222</v>
      </c>
      <c r="V177" s="141" t="s">
        <v>222</v>
      </c>
      <c r="W177" s="141"/>
      <c r="X177" s="141"/>
      <c r="Y177" s="141"/>
      <c r="Z177" s="141"/>
    </row>
    <row r="178">
      <c r="A178" s="141"/>
      <c r="B178" s="141" t="s">
        <v>222</v>
      </c>
      <c r="C178" s="141" t="s">
        <v>222</v>
      </c>
      <c r="D178" s="141" t="s">
        <v>222</v>
      </c>
      <c r="E178" s="141" t="s">
        <v>222</v>
      </c>
      <c r="F178" s="141" t="s">
        <v>222</v>
      </c>
      <c r="G178" s="141" t="s">
        <v>222</v>
      </c>
      <c r="H178" s="141" t="s">
        <v>222</v>
      </c>
      <c r="I178" s="141" t="s">
        <v>222</v>
      </c>
      <c r="J178" s="141" t="s">
        <v>222</v>
      </c>
      <c r="K178" s="141" t="s">
        <v>222</v>
      </c>
      <c r="L178" s="141" t="s">
        <v>222</v>
      </c>
      <c r="M178" s="141" t="s">
        <v>222</v>
      </c>
      <c r="N178" s="141" t="s">
        <v>222</v>
      </c>
      <c r="O178" s="141" t="s">
        <v>222</v>
      </c>
      <c r="P178" s="141" t="s">
        <v>222</v>
      </c>
      <c r="Q178" s="141" t="s">
        <v>222</v>
      </c>
      <c r="R178" s="141" t="s">
        <v>222</v>
      </c>
      <c r="S178" s="141" t="s">
        <v>222</v>
      </c>
      <c r="T178" s="141" t="s">
        <v>222</v>
      </c>
      <c r="U178" s="141" t="s">
        <v>222</v>
      </c>
      <c r="V178" s="141" t="s">
        <v>222</v>
      </c>
      <c r="W178" s="141"/>
      <c r="X178" s="141"/>
      <c r="Y178" s="141"/>
      <c r="Z178" s="141"/>
    </row>
    <row r="179">
      <c r="A179" s="141"/>
      <c r="B179" s="141" t="s">
        <v>222</v>
      </c>
      <c r="C179" s="141" t="s">
        <v>222</v>
      </c>
      <c r="D179" s="141" t="s">
        <v>222</v>
      </c>
      <c r="E179" s="141" t="s">
        <v>222</v>
      </c>
      <c r="F179" s="141" t="s">
        <v>222</v>
      </c>
      <c r="G179" s="141" t="s">
        <v>222</v>
      </c>
      <c r="H179" s="141" t="s">
        <v>222</v>
      </c>
      <c r="I179" s="141" t="s">
        <v>222</v>
      </c>
      <c r="J179" s="141" t="s">
        <v>222</v>
      </c>
      <c r="K179" s="141" t="s">
        <v>222</v>
      </c>
      <c r="L179" s="141" t="s">
        <v>222</v>
      </c>
      <c r="M179" s="141" t="s">
        <v>222</v>
      </c>
      <c r="N179" s="141" t="s">
        <v>222</v>
      </c>
      <c r="O179" s="141" t="s">
        <v>222</v>
      </c>
      <c r="P179" s="141" t="s">
        <v>222</v>
      </c>
      <c r="Q179" s="141" t="s">
        <v>222</v>
      </c>
      <c r="R179" s="141" t="s">
        <v>222</v>
      </c>
      <c r="S179" s="141" t="s">
        <v>222</v>
      </c>
      <c r="T179" s="141" t="s">
        <v>222</v>
      </c>
      <c r="U179" s="141" t="s">
        <v>222</v>
      </c>
      <c r="V179" s="141" t="s">
        <v>222</v>
      </c>
      <c r="W179" s="141"/>
      <c r="X179" s="141"/>
      <c r="Y179" s="141"/>
      <c r="Z179" s="141"/>
    </row>
    <row r="180">
      <c r="A180" s="141"/>
      <c r="B180" s="141" t="s">
        <v>222</v>
      </c>
      <c r="C180" s="141" t="s">
        <v>222</v>
      </c>
      <c r="D180" s="141" t="s">
        <v>222</v>
      </c>
      <c r="E180" s="141" t="s">
        <v>222</v>
      </c>
      <c r="F180" s="141" t="s">
        <v>222</v>
      </c>
      <c r="G180" s="141" t="s">
        <v>222</v>
      </c>
      <c r="H180" s="141" t="s">
        <v>222</v>
      </c>
      <c r="I180" s="141" t="s">
        <v>222</v>
      </c>
      <c r="J180" s="141" t="s">
        <v>222</v>
      </c>
      <c r="K180" s="141" t="s">
        <v>222</v>
      </c>
      <c r="L180" s="141" t="s">
        <v>222</v>
      </c>
      <c r="M180" s="141" t="s">
        <v>222</v>
      </c>
      <c r="N180" s="141" t="s">
        <v>222</v>
      </c>
      <c r="O180" s="141" t="s">
        <v>222</v>
      </c>
      <c r="P180" s="141" t="s">
        <v>222</v>
      </c>
      <c r="Q180" s="141" t="s">
        <v>222</v>
      </c>
      <c r="R180" s="141" t="s">
        <v>222</v>
      </c>
      <c r="S180" s="141" t="s">
        <v>222</v>
      </c>
      <c r="T180" s="141" t="s">
        <v>222</v>
      </c>
      <c r="U180" s="141" t="s">
        <v>222</v>
      </c>
      <c r="V180" s="141" t="s">
        <v>222</v>
      </c>
      <c r="W180" s="141"/>
      <c r="X180" s="141"/>
      <c r="Y180" s="141"/>
      <c r="Z180" s="141"/>
    </row>
    <row r="181">
      <c r="A181" s="141"/>
      <c r="B181" s="141" t="s">
        <v>222</v>
      </c>
      <c r="C181" s="141" t="s">
        <v>222</v>
      </c>
      <c r="D181" s="141" t="s">
        <v>222</v>
      </c>
      <c r="E181" s="141" t="s">
        <v>222</v>
      </c>
      <c r="F181" s="141" t="s">
        <v>222</v>
      </c>
      <c r="G181" s="141" t="s">
        <v>222</v>
      </c>
      <c r="H181" s="141" t="s">
        <v>222</v>
      </c>
      <c r="I181" s="141" t="s">
        <v>222</v>
      </c>
      <c r="J181" s="141" t="s">
        <v>222</v>
      </c>
      <c r="K181" s="141" t="s">
        <v>222</v>
      </c>
      <c r="L181" s="141" t="s">
        <v>222</v>
      </c>
      <c r="M181" s="141" t="s">
        <v>222</v>
      </c>
      <c r="N181" s="141" t="s">
        <v>222</v>
      </c>
      <c r="O181" s="141" t="s">
        <v>222</v>
      </c>
      <c r="P181" s="141" t="s">
        <v>222</v>
      </c>
      <c r="Q181" s="141" t="s">
        <v>222</v>
      </c>
      <c r="R181" s="141" t="s">
        <v>222</v>
      </c>
      <c r="S181" s="141" t="s">
        <v>222</v>
      </c>
      <c r="T181" s="141" t="s">
        <v>222</v>
      </c>
      <c r="U181" s="141" t="s">
        <v>222</v>
      </c>
      <c r="V181" s="141" t="s">
        <v>222</v>
      </c>
      <c r="W181" s="141"/>
      <c r="X181" s="141"/>
      <c r="Y181" s="141"/>
      <c r="Z181" s="141"/>
    </row>
    <row r="182">
      <c r="A182" s="141"/>
      <c r="B182" s="141" t="s">
        <v>222</v>
      </c>
      <c r="C182" s="141" t="s">
        <v>222</v>
      </c>
      <c r="D182" s="141" t="s">
        <v>222</v>
      </c>
      <c r="E182" s="141" t="s">
        <v>222</v>
      </c>
      <c r="F182" s="141" t="s">
        <v>222</v>
      </c>
      <c r="G182" s="141" t="s">
        <v>222</v>
      </c>
      <c r="H182" s="141" t="s">
        <v>222</v>
      </c>
      <c r="I182" s="141" t="s">
        <v>222</v>
      </c>
      <c r="J182" s="141" t="s">
        <v>222</v>
      </c>
      <c r="K182" s="141" t="s">
        <v>222</v>
      </c>
      <c r="L182" s="141" t="s">
        <v>222</v>
      </c>
      <c r="M182" s="141" t="s">
        <v>222</v>
      </c>
      <c r="N182" s="141" t="s">
        <v>222</v>
      </c>
      <c r="O182" s="141" t="s">
        <v>222</v>
      </c>
      <c r="P182" s="141" t="s">
        <v>222</v>
      </c>
      <c r="Q182" s="141" t="s">
        <v>222</v>
      </c>
      <c r="R182" s="141" t="s">
        <v>222</v>
      </c>
      <c r="S182" s="141" t="s">
        <v>222</v>
      </c>
      <c r="T182" s="141" t="s">
        <v>222</v>
      </c>
      <c r="U182" s="141" t="s">
        <v>222</v>
      </c>
      <c r="V182" s="141" t="s">
        <v>222</v>
      </c>
      <c r="W182" s="141"/>
      <c r="X182" s="141"/>
      <c r="Y182" s="141"/>
      <c r="Z182" s="141"/>
    </row>
    <row r="183">
      <c r="A183" s="141"/>
      <c r="B183" s="141" t="s">
        <v>222</v>
      </c>
      <c r="C183" s="141" t="s">
        <v>222</v>
      </c>
      <c r="D183" s="141" t="s">
        <v>222</v>
      </c>
      <c r="E183" s="141" t="s">
        <v>222</v>
      </c>
      <c r="F183" s="141" t="s">
        <v>222</v>
      </c>
      <c r="G183" s="141" t="s">
        <v>222</v>
      </c>
      <c r="H183" s="141" t="s">
        <v>222</v>
      </c>
      <c r="I183" s="141" t="s">
        <v>222</v>
      </c>
      <c r="J183" s="141" t="s">
        <v>222</v>
      </c>
      <c r="K183" s="141" t="s">
        <v>222</v>
      </c>
      <c r="L183" s="141" t="s">
        <v>222</v>
      </c>
      <c r="M183" s="141" t="s">
        <v>222</v>
      </c>
      <c r="N183" s="141" t="s">
        <v>222</v>
      </c>
      <c r="O183" s="141" t="s">
        <v>222</v>
      </c>
      <c r="P183" s="141" t="s">
        <v>222</v>
      </c>
      <c r="Q183" s="141" t="s">
        <v>222</v>
      </c>
      <c r="R183" s="141" t="s">
        <v>222</v>
      </c>
      <c r="S183" s="141" t="s">
        <v>222</v>
      </c>
      <c r="T183" s="141" t="s">
        <v>222</v>
      </c>
      <c r="U183" s="141" t="s">
        <v>222</v>
      </c>
      <c r="V183" s="141" t="s">
        <v>222</v>
      </c>
      <c r="W183" s="141"/>
      <c r="X183" s="141"/>
      <c r="Y183" s="141"/>
      <c r="Z183" s="141"/>
    </row>
    <row r="184">
      <c r="A184" s="141"/>
      <c r="B184" s="141" t="s">
        <v>222</v>
      </c>
      <c r="C184" s="141" t="s">
        <v>222</v>
      </c>
      <c r="D184" s="141" t="s">
        <v>222</v>
      </c>
      <c r="E184" s="141" t="s">
        <v>222</v>
      </c>
      <c r="F184" s="141" t="s">
        <v>222</v>
      </c>
      <c r="G184" s="141" t="s">
        <v>222</v>
      </c>
      <c r="H184" s="141" t="s">
        <v>222</v>
      </c>
      <c r="I184" s="141" t="s">
        <v>222</v>
      </c>
      <c r="J184" s="141" t="s">
        <v>222</v>
      </c>
      <c r="K184" s="141" t="s">
        <v>222</v>
      </c>
      <c r="L184" s="141" t="s">
        <v>222</v>
      </c>
      <c r="M184" s="141" t="s">
        <v>222</v>
      </c>
      <c r="N184" s="141" t="s">
        <v>222</v>
      </c>
      <c r="O184" s="141" t="s">
        <v>222</v>
      </c>
      <c r="P184" s="141" t="s">
        <v>222</v>
      </c>
      <c r="Q184" s="141" t="s">
        <v>222</v>
      </c>
      <c r="R184" s="141" t="s">
        <v>222</v>
      </c>
      <c r="S184" s="141" t="s">
        <v>222</v>
      </c>
      <c r="T184" s="141" t="s">
        <v>222</v>
      </c>
      <c r="U184" s="141" t="s">
        <v>222</v>
      </c>
      <c r="V184" s="141" t="s">
        <v>222</v>
      </c>
      <c r="W184" s="141"/>
      <c r="X184" s="141"/>
      <c r="Y184" s="141"/>
      <c r="Z184" s="141"/>
    </row>
    <row r="185">
      <c r="A185" s="141"/>
      <c r="B185" s="141" t="s">
        <v>222</v>
      </c>
      <c r="C185" s="141" t="s">
        <v>222</v>
      </c>
      <c r="D185" s="141" t="s">
        <v>222</v>
      </c>
      <c r="E185" s="141" t="s">
        <v>222</v>
      </c>
      <c r="F185" s="141" t="s">
        <v>222</v>
      </c>
      <c r="G185" s="141" t="s">
        <v>222</v>
      </c>
      <c r="H185" s="141" t="s">
        <v>222</v>
      </c>
      <c r="I185" s="141" t="s">
        <v>222</v>
      </c>
      <c r="J185" s="141" t="s">
        <v>222</v>
      </c>
      <c r="K185" s="141" t="s">
        <v>222</v>
      </c>
      <c r="L185" s="141" t="s">
        <v>222</v>
      </c>
      <c r="M185" s="141" t="s">
        <v>222</v>
      </c>
      <c r="N185" s="141" t="s">
        <v>222</v>
      </c>
      <c r="O185" s="141" t="s">
        <v>222</v>
      </c>
      <c r="P185" s="141" t="s">
        <v>222</v>
      </c>
      <c r="Q185" s="141" t="s">
        <v>222</v>
      </c>
      <c r="R185" s="141" t="s">
        <v>222</v>
      </c>
      <c r="S185" s="141" t="s">
        <v>222</v>
      </c>
      <c r="T185" s="141" t="s">
        <v>222</v>
      </c>
      <c r="U185" s="141" t="s">
        <v>222</v>
      </c>
      <c r="V185" s="141" t="s">
        <v>222</v>
      </c>
      <c r="W185" s="141"/>
      <c r="X185" s="141"/>
      <c r="Y185" s="141"/>
      <c r="Z185" s="141"/>
    </row>
    <row r="186">
      <c r="A186" s="141"/>
      <c r="B186" s="141" t="s">
        <v>222</v>
      </c>
      <c r="C186" s="141" t="s">
        <v>222</v>
      </c>
      <c r="D186" s="141" t="s">
        <v>222</v>
      </c>
      <c r="E186" s="141" t="s">
        <v>222</v>
      </c>
      <c r="F186" s="141" t="s">
        <v>222</v>
      </c>
      <c r="G186" s="141" t="s">
        <v>222</v>
      </c>
      <c r="H186" s="141" t="s">
        <v>222</v>
      </c>
      <c r="I186" s="141" t="s">
        <v>222</v>
      </c>
      <c r="J186" s="141" t="s">
        <v>222</v>
      </c>
      <c r="K186" s="141" t="s">
        <v>222</v>
      </c>
      <c r="L186" s="141" t="s">
        <v>222</v>
      </c>
      <c r="M186" s="141" t="s">
        <v>222</v>
      </c>
      <c r="N186" s="141" t="s">
        <v>222</v>
      </c>
      <c r="O186" s="141" t="s">
        <v>222</v>
      </c>
      <c r="P186" s="141" t="s">
        <v>222</v>
      </c>
      <c r="Q186" s="141" t="s">
        <v>222</v>
      </c>
      <c r="R186" s="141" t="s">
        <v>222</v>
      </c>
      <c r="S186" s="141" t="s">
        <v>222</v>
      </c>
      <c r="T186" s="141" t="s">
        <v>222</v>
      </c>
      <c r="U186" s="141" t="s">
        <v>222</v>
      </c>
      <c r="V186" s="141" t="s">
        <v>222</v>
      </c>
      <c r="W186" s="141"/>
      <c r="X186" s="141"/>
      <c r="Y186" s="141"/>
      <c r="Z186" s="141"/>
    </row>
    <row r="187">
      <c r="A187" s="141"/>
      <c r="B187" s="141" t="s">
        <v>222</v>
      </c>
      <c r="C187" s="141" t="s">
        <v>222</v>
      </c>
      <c r="D187" s="141" t="s">
        <v>222</v>
      </c>
      <c r="E187" s="141" t="s">
        <v>222</v>
      </c>
      <c r="F187" s="141" t="s">
        <v>222</v>
      </c>
      <c r="G187" s="141" t="s">
        <v>222</v>
      </c>
      <c r="H187" s="141" t="s">
        <v>222</v>
      </c>
      <c r="I187" s="141" t="s">
        <v>222</v>
      </c>
      <c r="J187" s="141" t="s">
        <v>222</v>
      </c>
      <c r="K187" s="141" t="s">
        <v>222</v>
      </c>
      <c r="L187" s="141" t="s">
        <v>222</v>
      </c>
      <c r="M187" s="141" t="s">
        <v>222</v>
      </c>
      <c r="N187" s="141" t="s">
        <v>222</v>
      </c>
      <c r="O187" s="141" t="s">
        <v>222</v>
      </c>
      <c r="P187" s="141" t="s">
        <v>222</v>
      </c>
      <c r="Q187" s="141" t="s">
        <v>222</v>
      </c>
      <c r="R187" s="141" t="s">
        <v>222</v>
      </c>
      <c r="S187" s="141" t="s">
        <v>222</v>
      </c>
      <c r="T187" s="141" t="s">
        <v>222</v>
      </c>
      <c r="U187" s="141" t="s">
        <v>222</v>
      </c>
      <c r="V187" s="141" t="s">
        <v>222</v>
      </c>
      <c r="W187" s="141"/>
      <c r="X187" s="141"/>
      <c r="Y187" s="141"/>
      <c r="Z187" s="141"/>
    </row>
    <row r="188">
      <c r="A188" s="141"/>
      <c r="B188" s="141" t="s">
        <v>222</v>
      </c>
      <c r="C188" s="141" t="s">
        <v>222</v>
      </c>
      <c r="D188" s="141" t="s">
        <v>222</v>
      </c>
      <c r="E188" s="141" t="s">
        <v>222</v>
      </c>
      <c r="F188" s="141" t="s">
        <v>222</v>
      </c>
      <c r="G188" s="141" t="s">
        <v>222</v>
      </c>
      <c r="H188" s="141" t="s">
        <v>222</v>
      </c>
      <c r="I188" s="141" t="s">
        <v>222</v>
      </c>
      <c r="J188" s="141" t="s">
        <v>222</v>
      </c>
      <c r="K188" s="141" t="s">
        <v>222</v>
      </c>
      <c r="L188" s="141" t="s">
        <v>222</v>
      </c>
      <c r="M188" s="141" t="s">
        <v>222</v>
      </c>
      <c r="N188" s="141" t="s">
        <v>222</v>
      </c>
      <c r="O188" s="141" t="s">
        <v>222</v>
      </c>
      <c r="P188" s="141" t="s">
        <v>222</v>
      </c>
      <c r="Q188" s="141" t="s">
        <v>222</v>
      </c>
      <c r="R188" s="141" t="s">
        <v>222</v>
      </c>
      <c r="S188" s="141" t="s">
        <v>222</v>
      </c>
      <c r="T188" s="141" t="s">
        <v>222</v>
      </c>
      <c r="U188" s="141" t="s">
        <v>222</v>
      </c>
      <c r="V188" s="141" t="s">
        <v>222</v>
      </c>
      <c r="W188" s="141"/>
      <c r="X188" s="141"/>
      <c r="Y188" s="141"/>
      <c r="Z188" s="141"/>
    </row>
    <row r="189">
      <c r="A189" s="141"/>
      <c r="B189" s="141" t="s">
        <v>222</v>
      </c>
      <c r="C189" s="141" t="s">
        <v>222</v>
      </c>
      <c r="D189" s="141" t="s">
        <v>222</v>
      </c>
      <c r="E189" s="141" t="s">
        <v>222</v>
      </c>
      <c r="F189" s="141" t="s">
        <v>222</v>
      </c>
      <c r="G189" s="141" t="s">
        <v>222</v>
      </c>
      <c r="H189" s="141" t="s">
        <v>222</v>
      </c>
      <c r="I189" s="141" t="s">
        <v>222</v>
      </c>
      <c r="J189" s="141" t="s">
        <v>222</v>
      </c>
      <c r="K189" s="141" t="s">
        <v>222</v>
      </c>
      <c r="L189" s="141" t="s">
        <v>222</v>
      </c>
      <c r="M189" s="141" t="s">
        <v>222</v>
      </c>
      <c r="N189" s="141" t="s">
        <v>222</v>
      </c>
      <c r="O189" s="141" t="s">
        <v>222</v>
      </c>
      <c r="P189" s="141" t="s">
        <v>222</v>
      </c>
      <c r="Q189" s="141" t="s">
        <v>222</v>
      </c>
      <c r="R189" s="141" t="s">
        <v>222</v>
      </c>
      <c r="S189" s="141" t="s">
        <v>222</v>
      </c>
      <c r="T189" s="141" t="s">
        <v>222</v>
      </c>
      <c r="U189" s="141" t="s">
        <v>222</v>
      </c>
      <c r="V189" s="141" t="s">
        <v>222</v>
      </c>
      <c r="W189" s="141"/>
      <c r="X189" s="141"/>
      <c r="Y189" s="141"/>
      <c r="Z189" s="141"/>
    </row>
    <row r="190">
      <c r="A190" s="141"/>
      <c r="B190" s="141" t="s">
        <v>222</v>
      </c>
      <c r="C190" s="141" t="s">
        <v>222</v>
      </c>
      <c r="D190" s="141" t="s">
        <v>222</v>
      </c>
      <c r="E190" s="141" t="s">
        <v>222</v>
      </c>
      <c r="F190" s="141" t="s">
        <v>222</v>
      </c>
      <c r="G190" s="141" t="s">
        <v>222</v>
      </c>
      <c r="H190" s="141" t="s">
        <v>222</v>
      </c>
      <c r="I190" s="141" t="s">
        <v>222</v>
      </c>
      <c r="J190" s="141" t="s">
        <v>222</v>
      </c>
      <c r="K190" s="141" t="s">
        <v>222</v>
      </c>
      <c r="L190" s="141" t="s">
        <v>222</v>
      </c>
      <c r="M190" s="141" t="s">
        <v>222</v>
      </c>
      <c r="N190" s="141" t="s">
        <v>222</v>
      </c>
      <c r="O190" s="141" t="s">
        <v>222</v>
      </c>
      <c r="P190" s="141" t="s">
        <v>222</v>
      </c>
      <c r="Q190" s="141" t="s">
        <v>222</v>
      </c>
      <c r="R190" s="141" t="s">
        <v>222</v>
      </c>
      <c r="S190" s="141" t="s">
        <v>222</v>
      </c>
      <c r="T190" s="141" t="s">
        <v>222</v>
      </c>
      <c r="U190" s="141" t="s">
        <v>222</v>
      </c>
      <c r="V190" s="141" t="s">
        <v>222</v>
      </c>
      <c r="W190" s="141"/>
      <c r="X190" s="141"/>
      <c r="Y190" s="141"/>
      <c r="Z190" s="141"/>
    </row>
    <row r="191">
      <c r="A191" s="141"/>
      <c r="B191" s="141" t="s">
        <v>222</v>
      </c>
      <c r="C191" s="141" t="s">
        <v>222</v>
      </c>
      <c r="D191" s="141" t="s">
        <v>222</v>
      </c>
      <c r="E191" s="141" t="s">
        <v>222</v>
      </c>
      <c r="F191" s="141" t="s">
        <v>222</v>
      </c>
      <c r="G191" s="141" t="s">
        <v>222</v>
      </c>
      <c r="H191" s="141" t="s">
        <v>222</v>
      </c>
      <c r="I191" s="141" t="s">
        <v>222</v>
      </c>
      <c r="J191" s="141" t="s">
        <v>222</v>
      </c>
      <c r="K191" s="141" t="s">
        <v>222</v>
      </c>
      <c r="L191" s="141" t="s">
        <v>222</v>
      </c>
      <c r="M191" s="141" t="s">
        <v>222</v>
      </c>
      <c r="N191" s="141" t="s">
        <v>222</v>
      </c>
      <c r="O191" s="141" t="s">
        <v>222</v>
      </c>
      <c r="P191" s="141" t="s">
        <v>222</v>
      </c>
      <c r="Q191" s="141" t="s">
        <v>222</v>
      </c>
      <c r="R191" s="141" t="s">
        <v>222</v>
      </c>
      <c r="S191" s="141" t="s">
        <v>222</v>
      </c>
      <c r="T191" s="141" t="s">
        <v>222</v>
      </c>
      <c r="U191" s="141" t="s">
        <v>222</v>
      </c>
      <c r="V191" s="141" t="s">
        <v>222</v>
      </c>
      <c r="W191" s="141"/>
      <c r="X191" s="141"/>
      <c r="Y191" s="141"/>
      <c r="Z191" s="141"/>
    </row>
    <row r="192">
      <c r="A192" s="141"/>
      <c r="B192" s="141" t="s">
        <v>222</v>
      </c>
      <c r="C192" s="141" t="s">
        <v>222</v>
      </c>
      <c r="D192" s="141" t="s">
        <v>222</v>
      </c>
      <c r="E192" s="141" t="s">
        <v>222</v>
      </c>
      <c r="F192" s="141" t="s">
        <v>222</v>
      </c>
      <c r="G192" s="141" t="s">
        <v>222</v>
      </c>
      <c r="H192" s="141" t="s">
        <v>222</v>
      </c>
      <c r="I192" s="141" t="s">
        <v>222</v>
      </c>
      <c r="J192" s="141" t="s">
        <v>222</v>
      </c>
      <c r="K192" s="141" t="s">
        <v>222</v>
      </c>
      <c r="L192" s="141" t="s">
        <v>222</v>
      </c>
      <c r="M192" s="141" t="s">
        <v>222</v>
      </c>
      <c r="N192" s="141" t="s">
        <v>222</v>
      </c>
      <c r="O192" s="141" t="s">
        <v>222</v>
      </c>
      <c r="P192" s="141" t="s">
        <v>222</v>
      </c>
      <c r="Q192" s="141" t="s">
        <v>222</v>
      </c>
      <c r="R192" s="141" t="s">
        <v>222</v>
      </c>
      <c r="S192" s="141" t="s">
        <v>222</v>
      </c>
      <c r="T192" s="141" t="s">
        <v>222</v>
      </c>
      <c r="U192" s="141" t="s">
        <v>222</v>
      </c>
      <c r="V192" s="141" t="s">
        <v>222</v>
      </c>
      <c r="W192" s="141"/>
      <c r="X192" s="141"/>
      <c r="Y192" s="141"/>
      <c r="Z192" s="141"/>
    </row>
    <row r="193">
      <c r="A193" s="141"/>
      <c r="B193" s="141" t="s">
        <v>222</v>
      </c>
      <c r="C193" s="141" t="s">
        <v>222</v>
      </c>
      <c r="D193" s="141" t="s">
        <v>222</v>
      </c>
      <c r="E193" s="141" t="s">
        <v>222</v>
      </c>
      <c r="F193" s="141" t="s">
        <v>222</v>
      </c>
      <c r="G193" s="141" t="s">
        <v>222</v>
      </c>
      <c r="H193" s="141" t="s">
        <v>222</v>
      </c>
      <c r="I193" s="141" t="s">
        <v>222</v>
      </c>
      <c r="J193" s="141" t="s">
        <v>222</v>
      </c>
      <c r="K193" s="141" t="s">
        <v>222</v>
      </c>
      <c r="L193" s="141" t="s">
        <v>222</v>
      </c>
      <c r="M193" s="141" t="s">
        <v>222</v>
      </c>
      <c r="N193" s="141" t="s">
        <v>222</v>
      </c>
      <c r="O193" s="141" t="s">
        <v>222</v>
      </c>
      <c r="P193" s="141" t="s">
        <v>222</v>
      </c>
      <c r="Q193" s="141" t="s">
        <v>222</v>
      </c>
      <c r="R193" s="141" t="s">
        <v>222</v>
      </c>
      <c r="S193" s="141" t="s">
        <v>222</v>
      </c>
      <c r="T193" s="141" t="s">
        <v>222</v>
      </c>
      <c r="U193" s="141" t="s">
        <v>222</v>
      </c>
      <c r="V193" s="141" t="s">
        <v>222</v>
      </c>
      <c r="W193" s="141"/>
      <c r="X193" s="141"/>
      <c r="Y193" s="141"/>
      <c r="Z193" s="141"/>
    </row>
    <row r="194">
      <c r="A194" s="141"/>
      <c r="B194" s="141" t="s">
        <v>222</v>
      </c>
      <c r="C194" s="141" t="s">
        <v>222</v>
      </c>
      <c r="D194" s="141" t="s">
        <v>222</v>
      </c>
      <c r="E194" s="141" t="s">
        <v>222</v>
      </c>
      <c r="F194" s="141" t="s">
        <v>222</v>
      </c>
      <c r="G194" s="141" t="s">
        <v>222</v>
      </c>
      <c r="H194" s="141" t="s">
        <v>222</v>
      </c>
      <c r="I194" s="141" t="s">
        <v>222</v>
      </c>
      <c r="J194" s="141" t="s">
        <v>222</v>
      </c>
      <c r="K194" s="141" t="s">
        <v>222</v>
      </c>
      <c r="L194" s="141" t="s">
        <v>222</v>
      </c>
      <c r="M194" s="141" t="s">
        <v>222</v>
      </c>
      <c r="N194" s="141" t="s">
        <v>222</v>
      </c>
      <c r="O194" s="141" t="s">
        <v>222</v>
      </c>
      <c r="P194" s="141" t="s">
        <v>222</v>
      </c>
      <c r="Q194" s="141" t="s">
        <v>222</v>
      </c>
      <c r="R194" s="141" t="s">
        <v>222</v>
      </c>
      <c r="S194" s="141" t="s">
        <v>222</v>
      </c>
      <c r="T194" s="141" t="s">
        <v>222</v>
      </c>
      <c r="U194" s="141" t="s">
        <v>222</v>
      </c>
      <c r="V194" s="141" t="s">
        <v>222</v>
      </c>
      <c r="W194" s="141"/>
      <c r="X194" s="141"/>
      <c r="Y194" s="141"/>
      <c r="Z194" s="141"/>
    </row>
    <row r="195">
      <c r="A195" s="141"/>
      <c r="B195" s="141" t="s">
        <v>222</v>
      </c>
      <c r="C195" s="141" t="s">
        <v>222</v>
      </c>
      <c r="D195" s="141" t="s">
        <v>222</v>
      </c>
      <c r="E195" s="141" t="s">
        <v>222</v>
      </c>
      <c r="F195" s="141" t="s">
        <v>222</v>
      </c>
      <c r="G195" s="141" t="s">
        <v>222</v>
      </c>
      <c r="H195" s="141" t="s">
        <v>222</v>
      </c>
      <c r="I195" s="141" t="s">
        <v>222</v>
      </c>
      <c r="J195" s="141" t="s">
        <v>222</v>
      </c>
      <c r="K195" s="141" t="s">
        <v>222</v>
      </c>
      <c r="L195" s="141" t="s">
        <v>222</v>
      </c>
      <c r="M195" s="141" t="s">
        <v>222</v>
      </c>
      <c r="N195" s="141" t="s">
        <v>222</v>
      </c>
      <c r="O195" s="141" t="s">
        <v>222</v>
      </c>
      <c r="P195" s="141" t="s">
        <v>222</v>
      </c>
      <c r="Q195" s="141" t="s">
        <v>222</v>
      </c>
      <c r="R195" s="141" t="s">
        <v>222</v>
      </c>
      <c r="S195" s="141" t="s">
        <v>222</v>
      </c>
      <c r="T195" s="141" t="s">
        <v>222</v>
      </c>
      <c r="U195" s="141" t="s">
        <v>222</v>
      </c>
      <c r="V195" s="141" t="s">
        <v>222</v>
      </c>
      <c r="W195" s="141"/>
      <c r="X195" s="141"/>
      <c r="Y195" s="141"/>
      <c r="Z195" s="141"/>
    </row>
    <row r="196">
      <c r="A196" s="141"/>
      <c r="B196" s="141" t="s">
        <v>222</v>
      </c>
      <c r="C196" s="141" t="s">
        <v>222</v>
      </c>
      <c r="D196" s="141" t="s">
        <v>222</v>
      </c>
      <c r="E196" s="141" t="s">
        <v>222</v>
      </c>
      <c r="F196" s="141" t="s">
        <v>222</v>
      </c>
      <c r="G196" s="141" t="s">
        <v>222</v>
      </c>
      <c r="H196" s="141" t="s">
        <v>222</v>
      </c>
      <c r="I196" s="141" t="s">
        <v>222</v>
      </c>
      <c r="J196" s="141" t="s">
        <v>222</v>
      </c>
      <c r="K196" s="141" t="s">
        <v>222</v>
      </c>
      <c r="L196" s="141" t="s">
        <v>222</v>
      </c>
      <c r="M196" s="141" t="s">
        <v>222</v>
      </c>
      <c r="N196" s="141" t="s">
        <v>222</v>
      </c>
      <c r="O196" s="141" t="s">
        <v>222</v>
      </c>
      <c r="P196" s="141" t="s">
        <v>222</v>
      </c>
      <c r="Q196" s="141" t="s">
        <v>222</v>
      </c>
      <c r="R196" s="141" t="s">
        <v>222</v>
      </c>
      <c r="S196" s="141" t="s">
        <v>222</v>
      </c>
      <c r="T196" s="141" t="s">
        <v>222</v>
      </c>
      <c r="U196" s="141" t="s">
        <v>222</v>
      </c>
      <c r="V196" s="141" t="s">
        <v>222</v>
      </c>
      <c r="W196" s="141"/>
      <c r="X196" s="141"/>
      <c r="Y196" s="141"/>
      <c r="Z196" s="141"/>
    </row>
    <row r="197">
      <c r="A197" s="141"/>
      <c r="B197" s="141" t="s">
        <v>222</v>
      </c>
      <c r="C197" s="141" t="s">
        <v>222</v>
      </c>
      <c r="D197" s="141" t="s">
        <v>222</v>
      </c>
      <c r="E197" s="141" t="s">
        <v>222</v>
      </c>
      <c r="F197" s="141" t="s">
        <v>222</v>
      </c>
      <c r="G197" s="141" t="s">
        <v>222</v>
      </c>
      <c r="H197" s="141" t="s">
        <v>222</v>
      </c>
      <c r="I197" s="141" t="s">
        <v>222</v>
      </c>
      <c r="J197" s="141" t="s">
        <v>222</v>
      </c>
      <c r="K197" s="141" t="s">
        <v>222</v>
      </c>
      <c r="L197" s="141" t="s">
        <v>222</v>
      </c>
      <c r="M197" s="141" t="s">
        <v>222</v>
      </c>
      <c r="N197" s="141" t="s">
        <v>222</v>
      </c>
      <c r="O197" s="141" t="s">
        <v>222</v>
      </c>
      <c r="P197" s="141" t="s">
        <v>222</v>
      </c>
      <c r="Q197" s="141" t="s">
        <v>222</v>
      </c>
      <c r="R197" s="141" t="s">
        <v>222</v>
      </c>
      <c r="S197" s="141" t="s">
        <v>222</v>
      </c>
      <c r="T197" s="141" t="s">
        <v>222</v>
      </c>
      <c r="U197" s="141" t="s">
        <v>222</v>
      </c>
      <c r="V197" s="141" t="s">
        <v>222</v>
      </c>
      <c r="W197" s="141"/>
      <c r="X197" s="141"/>
      <c r="Y197" s="141"/>
      <c r="Z197" s="141"/>
    </row>
    <row r="198">
      <c r="A198" s="141"/>
      <c r="B198" s="141" t="s">
        <v>222</v>
      </c>
      <c r="C198" s="141" t="s">
        <v>222</v>
      </c>
      <c r="D198" s="141" t="s">
        <v>222</v>
      </c>
      <c r="E198" s="141" t="s">
        <v>222</v>
      </c>
      <c r="F198" s="141" t="s">
        <v>222</v>
      </c>
      <c r="G198" s="141" t="s">
        <v>222</v>
      </c>
      <c r="H198" s="141" t="s">
        <v>222</v>
      </c>
      <c r="I198" s="141" t="s">
        <v>222</v>
      </c>
      <c r="J198" s="141" t="s">
        <v>222</v>
      </c>
      <c r="K198" s="141" t="s">
        <v>222</v>
      </c>
      <c r="L198" s="141" t="s">
        <v>222</v>
      </c>
      <c r="M198" s="141" t="s">
        <v>222</v>
      </c>
      <c r="N198" s="141" t="s">
        <v>222</v>
      </c>
      <c r="O198" s="141" t="s">
        <v>222</v>
      </c>
      <c r="P198" s="141" t="s">
        <v>222</v>
      </c>
      <c r="Q198" s="141" t="s">
        <v>222</v>
      </c>
      <c r="R198" s="141" t="s">
        <v>222</v>
      </c>
      <c r="S198" s="141" t="s">
        <v>222</v>
      </c>
      <c r="T198" s="141" t="s">
        <v>222</v>
      </c>
      <c r="U198" s="141" t="s">
        <v>222</v>
      </c>
      <c r="V198" s="141" t="s">
        <v>222</v>
      </c>
      <c r="W198" s="141"/>
      <c r="X198" s="141"/>
      <c r="Y198" s="141"/>
      <c r="Z198" s="141"/>
    </row>
    <row r="199">
      <c r="A199" s="141"/>
      <c r="B199" s="141" t="s">
        <v>222</v>
      </c>
      <c r="C199" s="141" t="s">
        <v>222</v>
      </c>
      <c r="D199" s="141" t="s">
        <v>222</v>
      </c>
      <c r="E199" s="141" t="s">
        <v>222</v>
      </c>
      <c r="F199" s="141" t="s">
        <v>222</v>
      </c>
      <c r="G199" s="141" t="s">
        <v>222</v>
      </c>
      <c r="H199" s="141" t="s">
        <v>222</v>
      </c>
      <c r="I199" s="141" t="s">
        <v>222</v>
      </c>
      <c r="J199" s="141" t="s">
        <v>222</v>
      </c>
      <c r="K199" s="141" t="s">
        <v>222</v>
      </c>
      <c r="L199" s="141" t="s">
        <v>222</v>
      </c>
      <c r="M199" s="141" t="s">
        <v>222</v>
      </c>
      <c r="N199" s="141" t="s">
        <v>222</v>
      </c>
      <c r="O199" s="141" t="s">
        <v>222</v>
      </c>
      <c r="P199" s="141" t="s">
        <v>222</v>
      </c>
      <c r="Q199" s="141" t="s">
        <v>222</v>
      </c>
      <c r="R199" s="141" t="s">
        <v>222</v>
      </c>
      <c r="S199" s="141" t="s">
        <v>222</v>
      </c>
      <c r="T199" s="141" t="s">
        <v>222</v>
      </c>
      <c r="U199" s="141" t="s">
        <v>222</v>
      </c>
      <c r="V199" s="141" t="s">
        <v>222</v>
      </c>
      <c r="W199" s="141"/>
      <c r="X199" s="141"/>
      <c r="Y199" s="141"/>
      <c r="Z199" s="141"/>
    </row>
    <row r="200">
      <c r="A200" s="141"/>
      <c r="B200" s="141" t="s">
        <v>222</v>
      </c>
      <c r="C200" s="141" t="s">
        <v>222</v>
      </c>
      <c r="D200" s="141" t="s">
        <v>222</v>
      </c>
      <c r="E200" s="141" t="s">
        <v>222</v>
      </c>
      <c r="F200" s="141" t="s">
        <v>222</v>
      </c>
      <c r="G200" s="141" t="s">
        <v>222</v>
      </c>
      <c r="H200" s="141" t="s">
        <v>222</v>
      </c>
      <c r="I200" s="141" t="s">
        <v>222</v>
      </c>
      <c r="J200" s="141" t="s">
        <v>222</v>
      </c>
      <c r="K200" s="141" t="s">
        <v>222</v>
      </c>
      <c r="L200" s="141" t="s">
        <v>222</v>
      </c>
      <c r="M200" s="141" t="s">
        <v>222</v>
      </c>
      <c r="N200" s="141" t="s">
        <v>222</v>
      </c>
      <c r="O200" s="141" t="s">
        <v>222</v>
      </c>
      <c r="P200" s="141" t="s">
        <v>222</v>
      </c>
      <c r="Q200" s="141" t="s">
        <v>222</v>
      </c>
      <c r="R200" s="141" t="s">
        <v>222</v>
      </c>
      <c r="S200" s="141" t="s">
        <v>222</v>
      </c>
      <c r="T200" s="141" t="s">
        <v>222</v>
      </c>
      <c r="U200" s="141" t="s">
        <v>222</v>
      </c>
      <c r="V200" s="141" t="s">
        <v>222</v>
      </c>
      <c r="W200" s="141"/>
      <c r="X200" s="141"/>
      <c r="Y200" s="141"/>
      <c r="Z200" s="141"/>
    </row>
    <row r="201">
      <c r="A201" s="141"/>
      <c r="B201" s="141" t="s">
        <v>222</v>
      </c>
      <c r="C201" s="141" t="s">
        <v>222</v>
      </c>
      <c r="D201" s="141" t="s">
        <v>222</v>
      </c>
      <c r="E201" s="141" t="s">
        <v>222</v>
      </c>
      <c r="F201" s="141" t="s">
        <v>222</v>
      </c>
      <c r="G201" s="141" t="s">
        <v>222</v>
      </c>
      <c r="H201" s="141" t="s">
        <v>222</v>
      </c>
      <c r="I201" s="141" t="s">
        <v>222</v>
      </c>
      <c r="J201" s="141" t="s">
        <v>222</v>
      </c>
      <c r="K201" s="141" t="s">
        <v>222</v>
      </c>
      <c r="L201" s="141" t="s">
        <v>222</v>
      </c>
      <c r="M201" s="141" t="s">
        <v>222</v>
      </c>
      <c r="N201" s="141" t="s">
        <v>222</v>
      </c>
      <c r="O201" s="141" t="s">
        <v>222</v>
      </c>
      <c r="P201" s="141" t="s">
        <v>222</v>
      </c>
      <c r="Q201" s="141" t="s">
        <v>222</v>
      </c>
      <c r="R201" s="141" t="s">
        <v>222</v>
      </c>
      <c r="S201" s="141" t="s">
        <v>222</v>
      </c>
      <c r="T201" s="141" t="s">
        <v>222</v>
      </c>
      <c r="U201" s="141" t="s">
        <v>222</v>
      </c>
      <c r="V201" s="141" t="s">
        <v>222</v>
      </c>
      <c r="W201" s="141"/>
      <c r="X201" s="141"/>
      <c r="Y201" s="141"/>
      <c r="Z201" s="141"/>
    </row>
    <row r="202">
      <c r="A202" s="141"/>
      <c r="B202" s="141" t="s">
        <v>222</v>
      </c>
      <c r="C202" s="141" t="s">
        <v>222</v>
      </c>
      <c r="D202" s="141" t="s">
        <v>222</v>
      </c>
      <c r="E202" s="141" t="s">
        <v>222</v>
      </c>
      <c r="F202" s="141" t="s">
        <v>222</v>
      </c>
      <c r="G202" s="141" t="s">
        <v>222</v>
      </c>
      <c r="H202" s="141" t="s">
        <v>222</v>
      </c>
      <c r="I202" s="141" t="s">
        <v>222</v>
      </c>
      <c r="J202" s="141" t="s">
        <v>222</v>
      </c>
      <c r="K202" s="141" t="s">
        <v>222</v>
      </c>
      <c r="L202" s="141" t="s">
        <v>222</v>
      </c>
      <c r="M202" s="141" t="s">
        <v>222</v>
      </c>
      <c r="N202" s="141" t="s">
        <v>222</v>
      </c>
      <c r="O202" s="141" t="s">
        <v>222</v>
      </c>
      <c r="P202" s="141" t="s">
        <v>222</v>
      </c>
      <c r="Q202" s="141" t="s">
        <v>222</v>
      </c>
      <c r="R202" s="141" t="s">
        <v>222</v>
      </c>
      <c r="S202" s="141" t="s">
        <v>222</v>
      </c>
      <c r="T202" s="141" t="s">
        <v>222</v>
      </c>
      <c r="U202" s="141" t="s">
        <v>222</v>
      </c>
      <c r="V202" s="141" t="s">
        <v>222</v>
      </c>
      <c r="W202" s="141"/>
      <c r="X202" s="141"/>
      <c r="Y202" s="141"/>
      <c r="Z202" s="141"/>
    </row>
    <row r="203">
      <c r="A203" s="141"/>
      <c r="B203" s="141" t="s">
        <v>222</v>
      </c>
      <c r="C203" s="141" t="s">
        <v>222</v>
      </c>
      <c r="D203" s="141" t="s">
        <v>222</v>
      </c>
      <c r="E203" s="141" t="s">
        <v>222</v>
      </c>
      <c r="F203" s="141" t="s">
        <v>222</v>
      </c>
      <c r="G203" s="141" t="s">
        <v>222</v>
      </c>
      <c r="H203" s="141" t="s">
        <v>222</v>
      </c>
      <c r="I203" s="141" t="s">
        <v>222</v>
      </c>
      <c r="J203" s="141" t="s">
        <v>222</v>
      </c>
      <c r="K203" s="141" t="s">
        <v>222</v>
      </c>
      <c r="L203" s="141" t="s">
        <v>222</v>
      </c>
      <c r="M203" s="141" t="s">
        <v>222</v>
      </c>
      <c r="N203" s="141" t="s">
        <v>222</v>
      </c>
      <c r="O203" s="141" t="s">
        <v>222</v>
      </c>
      <c r="P203" s="141" t="s">
        <v>222</v>
      </c>
      <c r="Q203" s="141" t="s">
        <v>222</v>
      </c>
      <c r="R203" s="141" t="s">
        <v>222</v>
      </c>
      <c r="S203" s="141" t="s">
        <v>222</v>
      </c>
      <c r="T203" s="141" t="s">
        <v>222</v>
      </c>
      <c r="U203" s="141" t="s">
        <v>222</v>
      </c>
      <c r="V203" s="141" t="s">
        <v>222</v>
      </c>
      <c r="W203" s="141"/>
      <c r="X203" s="141"/>
      <c r="Y203" s="141"/>
      <c r="Z203" s="141"/>
    </row>
    <row r="204">
      <c r="A204" s="141"/>
      <c r="B204" s="141" t="s">
        <v>222</v>
      </c>
      <c r="C204" s="141" t="s">
        <v>222</v>
      </c>
      <c r="D204" s="141" t="s">
        <v>222</v>
      </c>
      <c r="E204" s="141" t="s">
        <v>222</v>
      </c>
      <c r="F204" s="141" t="s">
        <v>222</v>
      </c>
      <c r="G204" s="141" t="s">
        <v>222</v>
      </c>
      <c r="H204" s="141" t="s">
        <v>222</v>
      </c>
      <c r="I204" s="141" t="s">
        <v>222</v>
      </c>
      <c r="J204" s="141" t="s">
        <v>222</v>
      </c>
      <c r="K204" s="141" t="s">
        <v>222</v>
      </c>
      <c r="L204" s="141" t="s">
        <v>222</v>
      </c>
      <c r="M204" s="141" t="s">
        <v>222</v>
      </c>
      <c r="N204" s="141" t="s">
        <v>222</v>
      </c>
      <c r="O204" s="141" t="s">
        <v>222</v>
      </c>
      <c r="P204" s="141" t="s">
        <v>222</v>
      </c>
      <c r="Q204" s="141" t="s">
        <v>222</v>
      </c>
      <c r="R204" s="141" t="s">
        <v>222</v>
      </c>
      <c r="S204" s="141" t="s">
        <v>222</v>
      </c>
      <c r="T204" s="141" t="s">
        <v>222</v>
      </c>
      <c r="U204" s="141" t="s">
        <v>222</v>
      </c>
      <c r="V204" s="141" t="s">
        <v>222</v>
      </c>
      <c r="W204" s="141"/>
      <c r="X204" s="141"/>
      <c r="Y204" s="141"/>
      <c r="Z204" s="141"/>
    </row>
    <row r="205">
      <c r="A205" s="141"/>
      <c r="B205" s="141" t="s">
        <v>222</v>
      </c>
      <c r="C205" s="141" t="s">
        <v>222</v>
      </c>
      <c r="D205" s="141" t="s">
        <v>222</v>
      </c>
      <c r="E205" s="141" t="s">
        <v>222</v>
      </c>
      <c r="F205" s="141" t="s">
        <v>222</v>
      </c>
      <c r="G205" s="141" t="s">
        <v>222</v>
      </c>
      <c r="H205" s="141" t="s">
        <v>222</v>
      </c>
      <c r="I205" s="141" t="s">
        <v>222</v>
      </c>
      <c r="J205" s="141" t="s">
        <v>222</v>
      </c>
      <c r="K205" s="141" t="s">
        <v>222</v>
      </c>
      <c r="L205" s="141" t="s">
        <v>222</v>
      </c>
      <c r="M205" s="141" t="s">
        <v>222</v>
      </c>
      <c r="N205" s="141" t="s">
        <v>222</v>
      </c>
      <c r="O205" s="141" t="s">
        <v>222</v>
      </c>
      <c r="P205" s="141" t="s">
        <v>222</v>
      </c>
      <c r="Q205" s="141" t="s">
        <v>222</v>
      </c>
      <c r="R205" s="141" t="s">
        <v>222</v>
      </c>
      <c r="S205" s="141" t="s">
        <v>222</v>
      </c>
      <c r="T205" s="141" t="s">
        <v>222</v>
      </c>
      <c r="U205" s="141" t="s">
        <v>222</v>
      </c>
      <c r="V205" s="141" t="s">
        <v>222</v>
      </c>
      <c r="W205" s="141"/>
      <c r="X205" s="141"/>
      <c r="Y205" s="141"/>
      <c r="Z205" s="141"/>
    </row>
    <row r="206">
      <c r="A206" s="141"/>
      <c r="B206" s="141" t="s">
        <v>222</v>
      </c>
      <c r="C206" s="141" t="s">
        <v>222</v>
      </c>
      <c r="D206" s="141" t="s">
        <v>222</v>
      </c>
      <c r="E206" s="141" t="s">
        <v>222</v>
      </c>
      <c r="F206" s="141" t="s">
        <v>222</v>
      </c>
      <c r="G206" s="141" t="s">
        <v>222</v>
      </c>
      <c r="H206" s="141" t="s">
        <v>222</v>
      </c>
      <c r="I206" s="141" t="s">
        <v>222</v>
      </c>
      <c r="J206" s="141" t="s">
        <v>222</v>
      </c>
      <c r="K206" s="141" t="s">
        <v>222</v>
      </c>
      <c r="L206" s="141" t="s">
        <v>222</v>
      </c>
      <c r="M206" s="141" t="s">
        <v>222</v>
      </c>
      <c r="N206" s="141" t="s">
        <v>222</v>
      </c>
      <c r="O206" s="141" t="s">
        <v>222</v>
      </c>
      <c r="P206" s="141" t="s">
        <v>222</v>
      </c>
      <c r="Q206" s="141" t="s">
        <v>222</v>
      </c>
      <c r="R206" s="141" t="s">
        <v>222</v>
      </c>
      <c r="S206" s="141" t="s">
        <v>222</v>
      </c>
      <c r="T206" s="141" t="s">
        <v>222</v>
      </c>
      <c r="U206" s="141" t="s">
        <v>222</v>
      </c>
      <c r="V206" s="141" t="s">
        <v>222</v>
      </c>
      <c r="W206" s="141"/>
      <c r="X206" s="141"/>
      <c r="Y206" s="141"/>
      <c r="Z206" s="141"/>
    </row>
    <row r="207">
      <c r="A207" s="141"/>
      <c r="B207" s="141" t="s">
        <v>222</v>
      </c>
      <c r="C207" s="141" t="s">
        <v>222</v>
      </c>
      <c r="D207" s="141" t="s">
        <v>222</v>
      </c>
      <c r="E207" s="141" t="s">
        <v>222</v>
      </c>
      <c r="F207" s="141" t="s">
        <v>222</v>
      </c>
      <c r="G207" s="141" t="s">
        <v>222</v>
      </c>
      <c r="H207" s="141" t="s">
        <v>222</v>
      </c>
      <c r="I207" s="141" t="s">
        <v>222</v>
      </c>
      <c r="J207" s="141" t="s">
        <v>222</v>
      </c>
      <c r="K207" s="141" t="s">
        <v>222</v>
      </c>
      <c r="L207" s="141" t="s">
        <v>222</v>
      </c>
      <c r="M207" s="141" t="s">
        <v>222</v>
      </c>
      <c r="N207" s="141" t="s">
        <v>222</v>
      </c>
      <c r="O207" s="141" t="s">
        <v>222</v>
      </c>
      <c r="P207" s="141" t="s">
        <v>222</v>
      </c>
      <c r="Q207" s="141" t="s">
        <v>222</v>
      </c>
      <c r="R207" s="141" t="s">
        <v>222</v>
      </c>
      <c r="S207" s="141" t="s">
        <v>222</v>
      </c>
      <c r="T207" s="141" t="s">
        <v>222</v>
      </c>
      <c r="U207" s="141" t="s">
        <v>222</v>
      </c>
      <c r="V207" s="141" t="s">
        <v>222</v>
      </c>
      <c r="W207" s="141"/>
      <c r="X207" s="141"/>
      <c r="Y207" s="141"/>
      <c r="Z207" s="141"/>
    </row>
    <row r="208">
      <c r="A208" s="141"/>
      <c r="B208" s="141" t="s">
        <v>222</v>
      </c>
      <c r="C208" s="141" t="s">
        <v>222</v>
      </c>
      <c r="D208" s="141" t="s">
        <v>222</v>
      </c>
      <c r="E208" s="141" t="s">
        <v>222</v>
      </c>
      <c r="F208" s="141" t="s">
        <v>222</v>
      </c>
      <c r="G208" s="141" t="s">
        <v>222</v>
      </c>
      <c r="H208" s="141" t="s">
        <v>222</v>
      </c>
      <c r="I208" s="141" t="s">
        <v>222</v>
      </c>
      <c r="J208" s="141" t="s">
        <v>222</v>
      </c>
      <c r="K208" s="141" t="s">
        <v>222</v>
      </c>
      <c r="L208" s="141" t="s">
        <v>222</v>
      </c>
      <c r="M208" s="141" t="s">
        <v>222</v>
      </c>
      <c r="N208" s="141" t="s">
        <v>222</v>
      </c>
      <c r="O208" s="141" t="s">
        <v>222</v>
      </c>
      <c r="P208" s="141" t="s">
        <v>222</v>
      </c>
      <c r="Q208" s="141" t="s">
        <v>222</v>
      </c>
      <c r="R208" s="141" t="s">
        <v>222</v>
      </c>
      <c r="S208" s="141" t="s">
        <v>222</v>
      </c>
      <c r="T208" s="141" t="s">
        <v>222</v>
      </c>
      <c r="U208" s="141" t="s">
        <v>222</v>
      </c>
      <c r="V208" s="141" t="s">
        <v>222</v>
      </c>
      <c r="W208" s="141"/>
      <c r="X208" s="141"/>
      <c r="Y208" s="141"/>
      <c r="Z208" s="141"/>
    </row>
    <row r="209">
      <c r="A209" s="141"/>
      <c r="B209" s="141" t="s">
        <v>222</v>
      </c>
      <c r="C209" s="141" t="s">
        <v>222</v>
      </c>
      <c r="D209" s="141" t="s">
        <v>222</v>
      </c>
      <c r="E209" s="141" t="s">
        <v>222</v>
      </c>
      <c r="F209" s="141" t="s">
        <v>222</v>
      </c>
      <c r="G209" s="141" t="s">
        <v>222</v>
      </c>
      <c r="H209" s="141" t="s">
        <v>222</v>
      </c>
      <c r="I209" s="141" t="s">
        <v>222</v>
      </c>
      <c r="J209" s="141" t="s">
        <v>222</v>
      </c>
      <c r="K209" s="141" t="s">
        <v>222</v>
      </c>
      <c r="L209" s="141" t="s">
        <v>222</v>
      </c>
      <c r="M209" s="141" t="s">
        <v>222</v>
      </c>
      <c r="N209" s="141" t="s">
        <v>222</v>
      </c>
      <c r="O209" s="141" t="s">
        <v>222</v>
      </c>
      <c r="P209" s="141" t="s">
        <v>222</v>
      </c>
      <c r="Q209" s="141" t="s">
        <v>222</v>
      </c>
      <c r="R209" s="141" t="s">
        <v>222</v>
      </c>
      <c r="S209" s="141" t="s">
        <v>222</v>
      </c>
      <c r="T209" s="141" t="s">
        <v>222</v>
      </c>
      <c r="U209" s="141" t="s">
        <v>222</v>
      </c>
      <c r="V209" s="141" t="s">
        <v>222</v>
      </c>
      <c r="W209" s="141"/>
      <c r="X209" s="141"/>
      <c r="Y209" s="141"/>
      <c r="Z209" s="141"/>
    </row>
    <row r="210">
      <c r="A210" s="141"/>
      <c r="B210" s="141" t="s">
        <v>222</v>
      </c>
      <c r="C210" s="141" t="s">
        <v>222</v>
      </c>
      <c r="D210" s="141" t="s">
        <v>222</v>
      </c>
      <c r="E210" s="141" t="s">
        <v>222</v>
      </c>
      <c r="F210" s="141" t="s">
        <v>222</v>
      </c>
      <c r="G210" s="141" t="s">
        <v>222</v>
      </c>
      <c r="H210" s="141" t="s">
        <v>222</v>
      </c>
      <c r="I210" s="141" t="s">
        <v>222</v>
      </c>
      <c r="J210" s="141" t="s">
        <v>222</v>
      </c>
      <c r="K210" s="141" t="s">
        <v>222</v>
      </c>
      <c r="L210" s="141" t="s">
        <v>222</v>
      </c>
      <c r="M210" s="141" t="s">
        <v>222</v>
      </c>
      <c r="N210" s="141" t="s">
        <v>222</v>
      </c>
      <c r="O210" s="141" t="s">
        <v>222</v>
      </c>
      <c r="P210" s="141" t="s">
        <v>222</v>
      </c>
      <c r="Q210" s="141" t="s">
        <v>222</v>
      </c>
      <c r="R210" s="141" t="s">
        <v>222</v>
      </c>
      <c r="S210" s="141" t="s">
        <v>222</v>
      </c>
      <c r="T210" s="141" t="s">
        <v>222</v>
      </c>
      <c r="U210" s="141" t="s">
        <v>222</v>
      </c>
      <c r="V210" s="141" t="s">
        <v>222</v>
      </c>
      <c r="W210" s="141"/>
      <c r="X210" s="141"/>
      <c r="Y210" s="141"/>
      <c r="Z210" s="141"/>
    </row>
    <row r="211">
      <c r="A211" s="141"/>
      <c r="B211" s="141" t="s">
        <v>222</v>
      </c>
      <c r="C211" s="141" t="s">
        <v>222</v>
      </c>
      <c r="D211" s="141" t="s">
        <v>222</v>
      </c>
      <c r="E211" s="141" t="s">
        <v>222</v>
      </c>
      <c r="F211" s="141" t="s">
        <v>222</v>
      </c>
      <c r="G211" s="141" t="s">
        <v>222</v>
      </c>
      <c r="H211" s="141" t="s">
        <v>222</v>
      </c>
      <c r="I211" s="141" t="s">
        <v>222</v>
      </c>
      <c r="J211" s="141" t="s">
        <v>222</v>
      </c>
      <c r="K211" s="141" t="s">
        <v>222</v>
      </c>
      <c r="L211" s="141" t="s">
        <v>222</v>
      </c>
      <c r="M211" s="141" t="s">
        <v>222</v>
      </c>
      <c r="N211" s="141" t="s">
        <v>222</v>
      </c>
      <c r="O211" s="141" t="s">
        <v>222</v>
      </c>
      <c r="P211" s="141" t="s">
        <v>222</v>
      </c>
      <c r="Q211" s="141" t="s">
        <v>222</v>
      </c>
      <c r="R211" s="141" t="s">
        <v>222</v>
      </c>
      <c r="S211" s="141" t="s">
        <v>222</v>
      </c>
      <c r="T211" s="141" t="s">
        <v>222</v>
      </c>
      <c r="U211" s="141" t="s">
        <v>222</v>
      </c>
      <c r="V211" s="141" t="s">
        <v>222</v>
      </c>
      <c r="W211" s="141"/>
      <c r="X211" s="141"/>
      <c r="Y211" s="141"/>
      <c r="Z211" s="141"/>
    </row>
    <row r="212">
      <c r="A212" s="141"/>
      <c r="B212" s="141" t="s">
        <v>222</v>
      </c>
      <c r="C212" s="141" t="s">
        <v>222</v>
      </c>
      <c r="D212" s="141" t="s">
        <v>222</v>
      </c>
      <c r="E212" s="141" t="s">
        <v>222</v>
      </c>
      <c r="F212" s="141" t="s">
        <v>222</v>
      </c>
      <c r="G212" s="141" t="s">
        <v>222</v>
      </c>
      <c r="H212" s="141" t="s">
        <v>222</v>
      </c>
      <c r="I212" s="141" t="s">
        <v>222</v>
      </c>
      <c r="J212" s="141" t="s">
        <v>222</v>
      </c>
      <c r="K212" s="141" t="s">
        <v>222</v>
      </c>
      <c r="L212" s="141" t="s">
        <v>222</v>
      </c>
      <c r="M212" s="141" t="s">
        <v>222</v>
      </c>
      <c r="N212" s="141" t="s">
        <v>222</v>
      </c>
      <c r="O212" s="141" t="s">
        <v>222</v>
      </c>
      <c r="P212" s="141" t="s">
        <v>222</v>
      </c>
      <c r="Q212" s="141" t="s">
        <v>222</v>
      </c>
      <c r="R212" s="141" t="s">
        <v>222</v>
      </c>
      <c r="S212" s="141" t="s">
        <v>222</v>
      </c>
      <c r="T212" s="141" t="s">
        <v>222</v>
      </c>
      <c r="U212" s="141" t="s">
        <v>222</v>
      </c>
      <c r="V212" s="141" t="s">
        <v>222</v>
      </c>
      <c r="W212" s="141"/>
      <c r="X212" s="141"/>
      <c r="Y212" s="141"/>
      <c r="Z212" s="141"/>
    </row>
    <row r="213">
      <c r="A213" s="141"/>
      <c r="B213" s="141" t="s">
        <v>222</v>
      </c>
      <c r="C213" s="141" t="s">
        <v>222</v>
      </c>
      <c r="D213" s="141" t="s">
        <v>222</v>
      </c>
      <c r="E213" s="141" t="s">
        <v>222</v>
      </c>
      <c r="F213" s="141" t="s">
        <v>222</v>
      </c>
      <c r="G213" s="141" t="s">
        <v>222</v>
      </c>
      <c r="H213" s="141" t="s">
        <v>222</v>
      </c>
      <c r="I213" s="141" t="s">
        <v>222</v>
      </c>
      <c r="J213" s="141" t="s">
        <v>222</v>
      </c>
      <c r="K213" s="141" t="s">
        <v>222</v>
      </c>
      <c r="L213" s="141" t="s">
        <v>222</v>
      </c>
      <c r="M213" s="141" t="s">
        <v>222</v>
      </c>
      <c r="N213" s="141" t="s">
        <v>222</v>
      </c>
      <c r="O213" s="141" t="s">
        <v>222</v>
      </c>
      <c r="P213" s="141" t="s">
        <v>222</v>
      </c>
      <c r="Q213" s="141" t="s">
        <v>222</v>
      </c>
      <c r="R213" s="141" t="s">
        <v>222</v>
      </c>
      <c r="S213" s="141" t="s">
        <v>222</v>
      </c>
      <c r="T213" s="141" t="s">
        <v>222</v>
      </c>
      <c r="U213" s="141" t="s">
        <v>222</v>
      </c>
      <c r="V213" s="141" t="s">
        <v>222</v>
      </c>
      <c r="W213" s="141"/>
      <c r="X213" s="141"/>
      <c r="Y213" s="141"/>
      <c r="Z213" s="141"/>
    </row>
    <row r="214">
      <c r="A214" s="141"/>
      <c r="B214" s="141" t="s">
        <v>222</v>
      </c>
      <c r="C214" s="141" t="s">
        <v>222</v>
      </c>
      <c r="D214" s="141" t="s">
        <v>222</v>
      </c>
      <c r="E214" s="141" t="s">
        <v>222</v>
      </c>
      <c r="F214" s="141" t="s">
        <v>222</v>
      </c>
      <c r="G214" s="141" t="s">
        <v>222</v>
      </c>
      <c r="H214" s="141" t="s">
        <v>222</v>
      </c>
      <c r="I214" s="141" t="s">
        <v>222</v>
      </c>
      <c r="J214" s="141" t="s">
        <v>222</v>
      </c>
      <c r="K214" s="141" t="s">
        <v>222</v>
      </c>
      <c r="L214" s="141" t="s">
        <v>222</v>
      </c>
      <c r="M214" s="141" t="s">
        <v>222</v>
      </c>
      <c r="N214" s="141" t="s">
        <v>222</v>
      </c>
      <c r="O214" s="141" t="s">
        <v>222</v>
      </c>
      <c r="P214" s="141" t="s">
        <v>222</v>
      </c>
      <c r="Q214" s="141" t="s">
        <v>222</v>
      </c>
      <c r="R214" s="141" t="s">
        <v>222</v>
      </c>
      <c r="S214" s="141" t="s">
        <v>222</v>
      </c>
      <c r="T214" s="141" t="s">
        <v>222</v>
      </c>
      <c r="U214" s="141" t="s">
        <v>222</v>
      </c>
      <c r="V214" s="141" t="s">
        <v>222</v>
      </c>
      <c r="W214" s="141"/>
      <c r="X214" s="141"/>
      <c r="Y214" s="141"/>
      <c r="Z214" s="141"/>
    </row>
    <row r="215">
      <c r="A215" s="141"/>
      <c r="B215" s="141" t="s">
        <v>222</v>
      </c>
      <c r="C215" s="141" t="s">
        <v>222</v>
      </c>
      <c r="D215" s="141" t="s">
        <v>222</v>
      </c>
      <c r="E215" s="141" t="s">
        <v>222</v>
      </c>
      <c r="F215" s="141" t="s">
        <v>222</v>
      </c>
      <c r="G215" s="141" t="s">
        <v>222</v>
      </c>
      <c r="H215" s="141" t="s">
        <v>222</v>
      </c>
      <c r="I215" s="141" t="s">
        <v>222</v>
      </c>
      <c r="J215" s="141" t="s">
        <v>222</v>
      </c>
      <c r="K215" s="141" t="s">
        <v>222</v>
      </c>
      <c r="L215" s="141" t="s">
        <v>222</v>
      </c>
      <c r="M215" s="141" t="s">
        <v>222</v>
      </c>
      <c r="N215" s="141" t="s">
        <v>222</v>
      </c>
      <c r="O215" s="141" t="s">
        <v>222</v>
      </c>
      <c r="P215" s="141" t="s">
        <v>222</v>
      </c>
      <c r="Q215" s="141" t="s">
        <v>222</v>
      </c>
      <c r="R215" s="141" t="s">
        <v>222</v>
      </c>
      <c r="S215" s="141" t="s">
        <v>222</v>
      </c>
      <c r="T215" s="141" t="s">
        <v>222</v>
      </c>
      <c r="U215" s="141" t="s">
        <v>222</v>
      </c>
      <c r="V215" s="141" t="s">
        <v>222</v>
      </c>
      <c r="W215" s="141"/>
      <c r="X215" s="141"/>
      <c r="Y215" s="141"/>
      <c r="Z215" s="141"/>
    </row>
    <row r="216">
      <c r="A216" s="141"/>
      <c r="B216" s="141" t="s">
        <v>222</v>
      </c>
      <c r="C216" s="141" t="s">
        <v>222</v>
      </c>
      <c r="D216" s="141" t="s">
        <v>222</v>
      </c>
      <c r="E216" s="141" t="s">
        <v>222</v>
      </c>
      <c r="F216" s="141" t="s">
        <v>222</v>
      </c>
      <c r="G216" s="141" t="s">
        <v>222</v>
      </c>
      <c r="H216" s="141" t="s">
        <v>222</v>
      </c>
      <c r="I216" s="141" t="s">
        <v>222</v>
      </c>
      <c r="J216" s="141" t="s">
        <v>222</v>
      </c>
      <c r="K216" s="141" t="s">
        <v>222</v>
      </c>
      <c r="L216" s="141" t="s">
        <v>222</v>
      </c>
      <c r="M216" s="141" t="s">
        <v>222</v>
      </c>
      <c r="N216" s="141" t="s">
        <v>222</v>
      </c>
      <c r="O216" s="141" t="s">
        <v>222</v>
      </c>
      <c r="P216" s="141" t="s">
        <v>222</v>
      </c>
      <c r="Q216" s="141" t="s">
        <v>222</v>
      </c>
      <c r="R216" s="141" t="s">
        <v>222</v>
      </c>
      <c r="S216" s="141" t="s">
        <v>222</v>
      </c>
      <c r="T216" s="141" t="s">
        <v>222</v>
      </c>
      <c r="U216" s="141" t="s">
        <v>222</v>
      </c>
      <c r="V216" s="141" t="s">
        <v>222</v>
      </c>
      <c r="W216" s="141"/>
      <c r="X216" s="141"/>
      <c r="Y216" s="141"/>
      <c r="Z216" s="141"/>
    </row>
    <row r="217">
      <c r="A217" s="141"/>
      <c r="B217" s="141" t="s">
        <v>222</v>
      </c>
      <c r="C217" s="141" t="s">
        <v>222</v>
      </c>
      <c r="D217" s="141" t="s">
        <v>222</v>
      </c>
      <c r="E217" s="141" t="s">
        <v>222</v>
      </c>
      <c r="F217" s="141" t="s">
        <v>222</v>
      </c>
      <c r="G217" s="141" t="s">
        <v>222</v>
      </c>
      <c r="H217" s="141" t="s">
        <v>222</v>
      </c>
      <c r="I217" s="141" t="s">
        <v>222</v>
      </c>
      <c r="J217" s="141" t="s">
        <v>222</v>
      </c>
      <c r="K217" s="141" t="s">
        <v>222</v>
      </c>
      <c r="L217" s="141" t="s">
        <v>222</v>
      </c>
      <c r="M217" s="141" t="s">
        <v>222</v>
      </c>
      <c r="N217" s="141" t="s">
        <v>222</v>
      </c>
      <c r="O217" s="141" t="s">
        <v>222</v>
      </c>
      <c r="P217" s="141" t="s">
        <v>222</v>
      </c>
      <c r="Q217" s="141" t="s">
        <v>222</v>
      </c>
      <c r="R217" s="141" t="s">
        <v>222</v>
      </c>
      <c r="S217" s="141" t="s">
        <v>222</v>
      </c>
      <c r="T217" s="141" t="s">
        <v>222</v>
      </c>
      <c r="U217" s="141" t="s">
        <v>222</v>
      </c>
      <c r="V217" s="141" t="s">
        <v>222</v>
      </c>
      <c r="W217" s="141"/>
      <c r="X217" s="141"/>
      <c r="Y217" s="141"/>
      <c r="Z217" s="141"/>
    </row>
    <row r="218">
      <c r="A218" s="141"/>
      <c r="B218" s="141" t="s">
        <v>222</v>
      </c>
      <c r="C218" s="141" t="s">
        <v>222</v>
      </c>
      <c r="D218" s="141" t="s">
        <v>222</v>
      </c>
      <c r="E218" s="141" t="s">
        <v>222</v>
      </c>
      <c r="F218" s="141" t="s">
        <v>222</v>
      </c>
      <c r="G218" s="141" t="s">
        <v>222</v>
      </c>
      <c r="H218" s="141" t="s">
        <v>222</v>
      </c>
      <c r="I218" s="141" t="s">
        <v>222</v>
      </c>
      <c r="J218" s="141" t="s">
        <v>222</v>
      </c>
      <c r="K218" s="141" t="s">
        <v>222</v>
      </c>
      <c r="L218" s="141" t="s">
        <v>222</v>
      </c>
      <c r="M218" s="141" t="s">
        <v>222</v>
      </c>
      <c r="N218" s="141" t="s">
        <v>222</v>
      </c>
      <c r="O218" s="141" t="s">
        <v>222</v>
      </c>
      <c r="P218" s="141" t="s">
        <v>222</v>
      </c>
      <c r="Q218" s="141" t="s">
        <v>222</v>
      </c>
      <c r="R218" s="141" t="s">
        <v>222</v>
      </c>
      <c r="S218" s="141" t="s">
        <v>222</v>
      </c>
      <c r="T218" s="141" t="s">
        <v>222</v>
      </c>
      <c r="U218" s="141" t="s">
        <v>222</v>
      </c>
      <c r="V218" s="141" t="s">
        <v>222</v>
      </c>
      <c r="W218" s="141"/>
      <c r="X218" s="141"/>
      <c r="Y218" s="141"/>
      <c r="Z218" s="141"/>
    </row>
    <row r="219">
      <c r="A219" s="141"/>
      <c r="B219" s="141" t="s">
        <v>222</v>
      </c>
      <c r="C219" s="141" t="s">
        <v>222</v>
      </c>
      <c r="D219" s="141" t="s">
        <v>222</v>
      </c>
      <c r="E219" s="141" t="s">
        <v>222</v>
      </c>
      <c r="F219" s="141" t="s">
        <v>222</v>
      </c>
      <c r="G219" s="141" t="s">
        <v>222</v>
      </c>
      <c r="H219" s="141" t="s">
        <v>222</v>
      </c>
      <c r="I219" s="141" t="s">
        <v>222</v>
      </c>
      <c r="J219" s="141" t="s">
        <v>222</v>
      </c>
      <c r="K219" s="141" t="s">
        <v>222</v>
      </c>
      <c r="L219" s="141" t="s">
        <v>222</v>
      </c>
      <c r="M219" s="141" t="s">
        <v>222</v>
      </c>
      <c r="N219" s="141" t="s">
        <v>222</v>
      </c>
      <c r="O219" s="141" t="s">
        <v>222</v>
      </c>
      <c r="P219" s="141" t="s">
        <v>222</v>
      </c>
      <c r="Q219" s="141" t="s">
        <v>222</v>
      </c>
      <c r="R219" s="141" t="s">
        <v>222</v>
      </c>
      <c r="S219" s="141" t="s">
        <v>222</v>
      </c>
      <c r="T219" s="141" t="s">
        <v>222</v>
      </c>
      <c r="U219" s="141" t="s">
        <v>222</v>
      </c>
      <c r="V219" s="141" t="s">
        <v>222</v>
      </c>
      <c r="W219" s="141"/>
      <c r="X219" s="141"/>
      <c r="Y219" s="141"/>
      <c r="Z219" s="141"/>
    </row>
    <row r="220">
      <c r="A220" s="141"/>
      <c r="B220" s="141" t="s">
        <v>222</v>
      </c>
      <c r="C220" s="141" t="s">
        <v>222</v>
      </c>
      <c r="D220" s="141" t="s">
        <v>222</v>
      </c>
      <c r="E220" s="141" t="s">
        <v>222</v>
      </c>
      <c r="F220" s="141" t="s">
        <v>222</v>
      </c>
      <c r="G220" s="141" t="s">
        <v>222</v>
      </c>
      <c r="H220" s="141" t="s">
        <v>222</v>
      </c>
      <c r="I220" s="141" t="s">
        <v>222</v>
      </c>
      <c r="J220" s="141" t="s">
        <v>222</v>
      </c>
      <c r="K220" s="141" t="s">
        <v>222</v>
      </c>
      <c r="L220" s="141" t="s">
        <v>222</v>
      </c>
      <c r="M220" s="141" t="s">
        <v>222</v>
      </c>
      <c r="N220" s="141" t="s">
        <v>222</v>
      </c>
      <c r="O220" s="141" t="s">
        <v>222</v>
      </c>
      <c r="P220" s="141" t="s">
        <v>222</v>
      </c>
      <c r="Q220" s="141" t="s">
        <v>222</v>
      </c>
      <c r="R220" s="141" t="s">
        <v>222</v>
      </c>
      <c r="S220" s="141" t="s">
        <v>222</v>
      </c>
      <c r="T220" s="141" t="s">
        <v>222</v>
      </c>
      <c r="U220" s="141" t="s">
        <v>222</v>
      </c>
      <c r="V220" s="141" t="s">
        <v>222</v>
      </c>
      <c r="W220" s="141"/>
      <c r="X220" s="141"/>
      <c r="Y220" s="141"/>
      <c r="Z220" s="141"/>
    </row>
    <row r="221">
      <c r="A221" s="141"/>
      <c r="B221" s="141" t="s">
        <v>222</v>
      </c>
      <c r="C221" s="141" t="s">
        <v>222</v>
      </c>
      <c r="D221" s="141" t="s">
        <v>222</v>
      </c>
      <c r="E221" s="141" t="s">
        <v>222</v>
      </c>
      <c r="F221" s="141" t="s">
        <v>222</v>
      </c>
      <c r="G221" s="141" t="s">
        <v>222</v>
      </c>
      <c r="H221" s="141" t="s">
        <v>222</v>
      </c>
      <c r="I221" s="141" t="s">
        <v>222</v>
      </c>
      <c r="J221" s="141" t="s">
        <v>222</v>
      </c>
      <c r="K221" s="141" t="s">
        <v>222</v>
      </c>
      <c r="L221" s="141" t="s">
        <v>222</v>
      </c>
      <c r="M221" s="141" t="s">
        <v>222</v>
      </c>
      <c r="N221" s="141" t="s">
        <v>222</v>
      </c>
      <c r="O221" s="141" t="s">
        <v>222</v>
      </c>
      <c r="P221" s="141" t="s">
        <v>222</v>
      </c>
      <c r="Q221" s="141" t="s">
        <v>222</v>
      </c>
      <c r="R221" s="141" t="s">
        <v>222</v>
      </c>
      <c r="S221" s="141" t="s">
        <v>222</v>
      </c>
      <c r="T221" s="141" t="s">
        <v>222</v>
      </c>
      <c r="U221" s="141" t="s">
        <v>222</v>
      </c>
      <c r="V221" s="141" t="s">
        <v>222</v>
      </c>
      <c r="W221" s="141"/>
      <c r="X221" s="141"/>
      <c r="Y221" s="141"/>
      <c r="Z221" s="141"/>
    </row>
    <row r="222">
      <c r="A222" s="141"/>
      <c r="B222" s="141" t="s">
        <v>222</v>
      </c>
      <c r="C222" s="141" t="s">
        <v>222</v>
      </c>
      <c r="D222" s="141" t="s">
        <v>222</v>
      </c>
      <c r="E222" s="141" t="s">
        <v>222</v>
      </c>
      <c r="F222" s="141" t="s">
        <v>222</v>
      </c>
      <c r="G222" s="141" t="s">
        <v>222</v>
      </c>
      <c r="H222" s="141" t="s">
        <v>222</v>
      </c>
      <c r="I222" s="141" t="s">
        <v>222</v>
      </c>
      <c r="J222" s="141" t="s">
        <v>222</v>
      </c>
      <c r="K222" s="141" t="s">
        <v>222</v>
      </c>
      <c r="L222" s="141" t="s">
        <v>222</v>
      </c>
      <c r="M222" s="141" t="s">
        <v>222</v>
      </c>
      <c r="N222" s="141" t="s">
        <v>222</v>
      </c>
      <c r="O222" s="141" t="s">
        <v>222</v>
      </c>
      <c r="P222" s="141" t="s">
        <v>222</v>
      </c>
      <c r="Q222" s="141" t="s">
        <v>222</v>
      </c>
      <c r="R222" s="141" t="s">
        <v>222</v>
      </c>
      <c r="S222" s="141" t="s">
        <v>222</v>
      </c>
      <c r="T222" s="141" t="s">
        <v>222</v>
      </c>
      <c r="U222" s="141" t="s">
        <v>222</v>
      </c>
      <c r="V222" s="141" t="s">
        <v>222</v>
      </c>
      <c r="W222" s="141"/>
      <c r="X222" s="141"/>
      <c r="Y222" s="141"/>
      <c r="Z222" s="141"/>
    </row>
    <row r="223">
      <c r="A223" s="141"/>
      <c r="B223" s="141" t="s">
        <v>222</v>
      </c>
      <c r="C223" s="141" t="s">
        <v>222</v>
      </c>
      <c r="D223" s="141" t="s">
        <v>222</v>
      </c>
      <c r="E223" s="141" t="s">
        <v>222</v>
      </c>
      <c r="F223" s="141" t="s">
        <v>222</v>
      </c>
      <c r="G223" s="141" t="s">
        <v>222</v>
      </c>
      <c r="H223" s="141" t="s">
        <v>222</v>
      </c>
      <c r="I223" s="141" t="s">
        <v>222</v>
      </c>
      <c r="J223" s="141" t="s">
        <v>222</v>
      </c>
      <c r="K223" s="141" t="s">
        <v>222</v>
      </c>
      <c r="L223" s="141" t="s">
        <v>222</v>
      </c>
      <c r="M223" s="141" t="s">
        <v>222</v>
      </c>
      <c r="N223" s="141" t="s">
        <v>222</v>
      </c>
      <c r="O223" s="141" t="s">
        <v>222</v>
      </c>
      <c r="P223" s="141" t="s">
        <v>222</v>
      </c>
      <c r="Q223" s="141" t="s">
        <v>222</v>
      </c>
      <c r="R223" s="141" t="s">
        <v>222</v>
      </c>
      <c r="S223" s="141" t="s">
        <v>222</v>
      </c>
      <c r="T223" s="141" t="s">
        <v>222</v>
      </c>
      <c r="U223" s="141" t="s">
        <v>222</v>
      </c>
      <c r="V223" s="141" t="s">
        <v>222</v>
      </c>
      <c r="W223" s="141"/>
      <c r="X223" s="141"/>
      <c r="Y223" s="141"/>
      <c r="Z223" s="141"/>
    </row>
    <row r="224">
      <c r="A224" s="141"/>
      <c r="B224" s="141" t="s">
        <v>222</v>
      </c>
      <c r="C224" s="141" t="s">
        <v>222</v>
      </c>
      <c r="D224" s="141" t="s">
        <v>222</v>
      </c>
      <c r="E224" s="141" t="s">
        <v>222</v>
      </c>
      <c r="F224" s="141" t="s">
        <v>222</v>
      </c>
      <c r="G224" s="141" t="s">
        <v>222</v>
      </c>
      <c r="H224" s="141" t="s">
        <v>222</v>
      </c>
      <c r="I224" s="141" t="s">
        <v>222</v>
      </c>
      <c r="J224" s="141" t="s">
        <v>222</v>
      </c>
      <c r="K224" s="141" t="s">
        <v>222</v>
      </c>
      <c r="L224" s="141" t="s">
        <v>222</v>
      </c>
      <c r="M224" s="141" t="s">
        <v>222</v>
      </c>
      <c r="N224" s="141" t="s">
        <v>222</v>
      </c>
      <c r="O224" s="141" t="s">
        <v>222</v>
      </c>
      <c r="P224" s="141" t="s">
        <v>222</v>
      </c>
      <c r="Q224" s="141" t="s">
        <v>222</v>
      </c>
      <c r="R224" s="141" t="s">
        <v>222</v>
      </c>
      <c r="S224" s="141" t="s">
        <v>222</v>
      </c>
      <c r="T224" s="141" t="s">
        <v>222</v>
      </c>
      <c r="U224" s="141" t="s">
        <v>222</v>
      </c>
      <c r="V224" s="141" t="s">
        <v>222</v>
      </c>
      <c r="W224" s="141"/>
      <c r="X224" s="141"/>
      <c r="Y224" s="141"/>
      <c r="Z224" s="141"/>
    </row>
    <row r="225">
      <c r="A225" s="141"/>
      <c r="B225" s="141" t="s">
        <v>222</v>
      </c>
      <c r="C225" s="141" t="s">
        <v>222</v>
      </c>
      <c r="D225" s="141" t="s">
        <v>222</v>
      </c>
      <c r="E225" s="141" t="s">
        <v>222</v>
      </c>
      <c r="F225" s="141" t="s">
        <v>222</v>
      </c>
      <c r="G225" s="141" t="s">
        <v>222</v>
      </c>
      <c r="H225" s="141" t="s">
        <v>222</v>
      </c>
      <c r="I225" s="141" t="s">
        <v>222</v>
      </c>
      <c r="J225" s="141" t="s">
        <v>222</v>
      </c>
      <c r="K225" s="141" t="s">
        <v>222</v>
      </c>
      <c r="L225" s="141" t="s">
        <v>222</v>
      </c>
      <c r="M225" s="141" t="s">
        <v>222</v>
      </c>
      <c r="N225" s="141" t="s">
        <v>222</v>
      </c>
      <c r="O225" s="141" t="s">
        <v>222</v>
      </c>
      <c r="P225" s="141" t="s">
        <v>222</v>
      </c>
      <c r="Q225" s="141" t="s">
        <v>222</v>
      </c>
      <c r="R225" s="141" t="s">
        <v>222</v>
      </c>
      <c r="S225" s="141" t="s">
        <v>222</v>
      </c>
      <c r="T225" s="141" t="s">
        <v>222</v>
      </c>
      <c r="U225" s="141" t="s">
        <v>222</v>
      </c>
      <c r="V225" s="141" t="s">
        <v>222</v>
      </c>
      <c r="W225" s="141"/>
      <c r="X225" s="141"/>
      <c r="Y225" s="141"/>
      <c r="Z225" s="141"/>
    </row>
    <row r="226">
      <c r="A226" s="141"/>
      <c r="B226" s="141" t="s">
        <v>222</v>
      </c>
      <c r="C226" s="141" t="s">
        <v>222</v>
      </c>
      <c r="D226" s="141" t="s">
        <v>222</v>
      </c>
      <c r="E226" s="141" t="s">
        <v>222</v>
      </c>
      <c r="F226" s="141" t="s">
        <v>222</v>
      </c>
      <c r="G226" s="141" t="s">
        <v>222</v>
      </c>
      <c r="H226" s="141" t="s">
        <v>222</v>
      </c>
      <c r="I226" s="141" t="s">
        <v>222</v>
      </c>
      <c r="J226" s="141" t="s">
        <v>222</v>
      </c>
      <c r="K226" s="141" t="s">
        <v>222</v>
      </c>
      <c r="L226" s="141" t="s">
        <v>222</v>
      </c>
      <c r="M226" s="141" t="s">
        <v>222</v>
      </c>
      <c r="N226" s="141" t="s">
        <v>222</v>
      </c>
      <c r="O226" s="141" t="s">
        <v>222</v>
      </c>
      <c r="P226" s="141" t="s">
        <v>222</v>
      </c>
      <c r="Q226" s="141" t="s">
        <v>222</v>
      </c>
      <c r="R226" s="141" t="s">
        <v>222</v>
      </c>
      <c r="S226" s="141" t="s">
        <v>222</v>
      </c>
      <c r="T226" s="141" t="s">
        <v>222</v>
      </c>
      <c r="U226" s="141" t="s">
        <v>222</v>
      </c>
      <c r="V226" s="141" t="s">
        <v>222</v>
      </c>
      <c r="W226" s="141"/>
      <c r="X226" s="141"/>
      <c r="Y226" s="141"/>
      <c r="Z226" s="141"/>
    </row>
    <row r="227">
      <c r="A227" s="141"/>
      <c r="B227" s="141" t="s">
        <v>222</v>
      </c>
      <c r="C227" s="141" t="s">
        <v>222</v>
      </c>
      <c r="D227" s="141" t="s">
        <v>222</v>
      </c>
      <c r="E227" s="141" t="s">
        <v>222</v>
      </c>
      <c r="F227" s="141" t="s">
        <v>222</v>
      </c>
      <c r="G227" s="141" t="s">
        <v>222</v>
      </c>
      <c r="H227" s="141" t="s">
        <v>222</v>
      </c>
      <c r="I227" s="141" t="s">
        <v>222</v>
      </c>
      <c r="J227" s="141" t="s">
        <v>222</v>
      </c>
      <c r="K227" s="141" t="s">
        <v>222</v>
      </c>
      <c r="L227" s="141" t="s">
        <v>222</v>
      </c>
      <c r="M227" s="141" t="s">
        <v>222</v>
      </c>
      <c r="N227" s="141" t="s">
        <v>222</v>
      </c>
      <c r="O227" s="141" t="s">
        <v>222</v>
      </c>
      <c r="P227" s="141" t="s">
        <v>222</v>
      </c>
      <c r="Q227" s="141" t="s">
        <v>222</v>
      </c>
      <c r="R227" s="141" t="s">
        <v>222</v>
      </c>
      <c r="S227" s="141" t="s">
        <v>222</v>
      </c>
      <c r="T227" s="141" t="s">
        <v>222</v>
      </c>
      <c r="U227" s="141" t="s">
        <v>222</v>
      </c>
      <c r="V227" s="141" t="s">
        <v>222</v>
      </c>
      <c r="W227" s="141"/>
      <c r="X227" s="141"/>
      <c r="Y227" s="141"/>
      <c r="Z227" s="141"/>
    </row>
    <row r="228">
      <c r="A228" s="141"/>
      <c r="B228" s="141" t="s">
        <v>222</v>
      </c>
      <c r="C228" s="141" t="s">
        <v>222</v>
      </c>
      <c r="D228" s="141" t="s">
        <v>222</v>
      </c>
      <c r="E228" s="141" t="s">
        <v>222</v>
      </c>
      <c r="F228" s="141" t="s">
        <v>222</v>
      </c>
      <c r="G228" s="141" t="s">
        <v>222</v>
      </c>
      <c r="H228" s="141" t="s">
        <v>222</v>
      </c>
      <c r="I228" s="141" t="s">
        <v>222</v>
      </c>
      <c r="J228" s="141" t="s">
        <v>222</v>
      </c>
      <c r="K228" s="141" t="s">
        <v>222</v>
      </c>
      <c r="L228" s="141" t="s">
        <v>222</v>
      </c>
      <c r="M228" s="141" t="s">
        <v>222</v>
      </c>
      <c r="N228" s="141" t="s">
        <v>222</v>
      </c>
      <c r="O228" s="141" t="s">
        <v>222</v>
      </c>
      <c r="P228" s="141" t="s">
        <v>222</v>
      </c>
      <c r="Q228" s="141" t="s">
        <v>222</v>
      </c>
      <c r="R228" s="141" t="s">
        <v>222</v>
      </c>
      <c r="S228" s="141" t="s">
        <v>222</v>
      </c>
      <c r="T228" s="141" t="s">
        <v>222</v>
      </c>
      <c r="U228" s="141" t="s">
        <v>222</v>
      </c>
      <c r="V228" s="141" t="s">
        <v>222</v>
      </c>
      <c r="W228" s="141"/>
      <c r="X228" s="141"/>
      <c r="Y228" s="141"/>
      <c r="Z228" s="141"/>
    </row>
    <row r="229">
      <c r="A229" s="141"/>
      <c r="B229" s="141" t="s">
        <v>222</v>
      </c>
      <c r="C229" s="141" t="s">
        <v>222</v>
      </c>
      <c r="D229" s="141" t="s">
        <v>222</v>
      </c>
      <c r="E229" s="141" t="s">
        <v>222</v>
      </c>
      <c r="F229" s="141" t="s">
        <v>222</v>
      </c>
      <c r="G229" s="141" t="s">
        <v>222</v>
      </c>
      <c r="H229" s="141" t="s">
        <v>222</v>
      </c>
      <c r="I229" s="141" t="s">
        <v>222</v>
      </c>
      <c r="J229" s="141" t="s">
        <v>222</v>
      </c>
      <c r="K229" s="141" t="s">
        <v>222</v>
      </c>
      <c r="L229" s="141" t="s">
        <v>222</v>
      </c>
      <c r="M229" s="141" t="s">
        <v>222</v>
      </c>
      <c r="N229" s="141" t="s">
        <v>222</v>
      </c>
      <c r="O229" s="141" t="s">
        <v>222</v>
      </c>
      <c r="P229" s="141" t="s">
        <v>222</v>
      </c>
      <c r="Q229" s="141" t="s">
        <v>222</v>
      </c>
      <c r="R229" s="141" t="s">
        <v>222</v>
      </c>
      <c r="S229" s="141" t="s">
        <v>222</v>
      </c>
      <c r="T229" s="141" t="s">
        <v>222</v>
      </c>
      <c r="U229" s="141" t="s">
        <v>222</v>
      </c>
      <c r="V229" s="141" t="s">
        <v>222</v>
      </c>
      <c r="W229" s="141"/>
      <c r="X229" s="141"/>
      <c r="Y229" s="141"/>
      <c r="Z229" s="141"/>
    </row>
    <row r="230">
      <c r="A230" s="141"/>
      <c r="B230" s="141" t="s">
        <v>222</v>
      </c>
      <c r="C230" s="141" t="s">
        <v>222</v>
      </c>
      <c r="D230" s="141" t="s">
        <v>222</v>
      </c>
      <c r="E230" s="141" t="s">
        <v>222</v>
      </c>
      <c r="F230" s="141" t="s">
        <v>222</v>
      </c>
      <c r="G230" s="141" t="s">
        <v>222</v>
      </c>
      <c r="H230" s="141" t="s">
        <v>222</v>
      </c>
      <c r="I230" s="141" t="s">
        <v>222</v>
      </c>
      <c r="J230" s="141" t="s">
        <v>222</v>
      </c>
      <c r="K230" s="141" t="s">
        <v>222</v>
      </c>
      <c r="L230" s="141" t="s">
        <v>222</v>
      </c>
      <c r="M230" s="141" t="s">
        <v>222</v>
      </c>
      <c r="N230" s="141" t="s">
        <v>222</v>
      </c>
      <c r="O230" s="141" t="s">
        <v>222</v>
      </c>
      <c r="P230" s="141" t="s">
        <v>222</v>
      </c>
      <c r="Q230" s="141" t="s">
        <v>222</v>
      </c>
      <c r="R230" s="141" t="s">
        <v>222</v>
      </c>
      <c r="S230" s="141" t="s">
        <v>222</v>
      </c>
      <c r="T230" s="141" t="s">
        <v>222</v>
      </c>
      <c r="U230" s="141" t="s">
        <v>222</v>
      </c>
      <c r="V230" s="141" t="s">
        <v>222</v>
      </c>
      <c r="W230" s="141"/>
      <c r="X230" s="141"/>
      <c r="Y230" s="141"/>
      <c r="Z230" s="141"/>
    </row>
    <row r="231">
      <c r="A231" s="141"/>
      <c r="B231" s="141" t="s">
        <v>222</v>
      </c>
      <c r="C231" s="141" t="s">
        <v>222</v>
      </c>
      <c r="D231" s="141" t="s">
        <v>222</v>
      </c>
      <c r="E231" s="141" t="s">
        <v>222</v>
      </c>
      <c r="F231" s="141" t="s">
        <v>222</v>
      </c>
      <c r="G231" s="141" t="s">
        <v>222</v>
      </c>
      <c r="H231" s="141" t="s">
        <v>222</v>
      </c>
      <c r="I231" s="141" t="s">
        <v>222</v>
      </c>
      <c r="J231" s="141" t="s">
        <v>222</v>
      </c>
      <c r="K231" s="141" t="s">
        <v>222</v>
      </c>
      <c r="L231" s="141" t="s">
        <v>222</v>
      </c>
      <c r="M231" s="141" t="s">
        <v>222</v>
      </c>
      <c r="N231" s="141" t="s">
        <v>222</v>
      </c>
      <c r="O231" s="141" t="s">
        <v>222</v>
      </c>
      <c r="P231" s="141" t="s">
        <v>222</v>
      </c>
      <c r="Q231" s="141" t="s">
        <v>222</v>
      </c>
      <c r="R231" s="141" t="s">
        <v>222</v>
      </c>
      <c r="S231" s="141" t="s">
        <v>222</v>
      </c>
      <c r="T231" s="141" t="s">
        <v>222</v>
      </c>
      <c r="U231" s="141" t="s">
        <v>222</v>
      </c>
      <c r="V231" s="141" t="s">
        <v>222</v>
      </c>
      <c r="W231" s="141"/>
      <c r="X231" s="141"/>
      <c r="Y231" s="141"/>
      <c r="Z231" s="141"/>
    </row>
    <row r="232">
      <c r="A232" s="141"/>
      <c r="B232" s="141" t="s">
        <v>222</v>
      </c>
      <c r="C232" s="141" t="s">
        <v>222</v>
      </c>
      <c r="D232" s="141" t="s">
        <v>222</v>
      </c>
      <c r="E232" s="141" t="s">
        <v>222</v>
      </c>
      <c r="F232" s="141" t="s">
        <v>222</v>
      </c>
      <c r="G232" s="141" t="s">
        <v>222</v>
      </c>
      <c r="H232" s="141" t="s">
        <v>222</v>
      </c>
      <c r="I232" s="141" t="s">
        <v>222</v>
      </c>
      <c r="J232" s="141" t="s">
        <v>222</v>
      </c>
      <c r="K232" s="141" t="s">
        <v>222</v>
      </c>
      <c r="L232" s="141" t="s">
        <v>222</v>
      </c>
      <c r="M232" s="141" t="s">
        <v>222</v>
      </c>
      <c r="N232" s="141" t="s">
        <v>222</v>
      </c>
      <c r="O232" s="141" t="s">
        <v>222</v>
      </c>
      <c r="P232" s="141" t="s">
        <v>222</v>
      </c>
      <c r="Q232" s="141" t="s">
        <v>222</v>
      </c>
      <c r="R232" s="141" t="s">
        <v>222</v>
      </c>
      <c r="S232" s="141" t="s">
        <v>222</v>
      </c>
      <c r="T232" s="141" t="s">
        <v>222</v>
      </c>
      <c r="U232" s="141" t="s">
        <v>222</v>
      </c>
      <c r="V232" s="141" t="s">
        <v>222</v>
      </c>
      <c r="W232" s="141"/>
      <c r="X232" s="141"/>
      <c r="Y232" s="141"/>
      <c r="Z232" s="141"/>
    </row>
    <row r="233">
      <c r="A233" s="141"/>
      <c r="B233" s="141" t="s">
        <v>222</v>
      </c>
      <c r="C233" s="141" t="s">
        <v>222</v>
      </c>
      <c r="D233" s="141" t="s">
        <v>222</v>
      </c>
      <c r="E233" s="141" t="s">
        <v>222</v>
      </c>
      <c r="F233" s="141" t="s">
        <v>222</v>
      </c>
      <c r="G233" s="141" t="s">
        <v>222</v>
      </c>
      <c r="H233" s="141" t="s">
        <v>222</v>
      </c>
      <c r="I233" s="141" t="s">
        <v>222</v>
      </c>
      <c r="J233" s="141" t="s">
        <v>222</v>
      </c>
      <c r="K233" s="141" t="s">
        <v>222</v>
      </c>
      <c r="L233" s="141" t="s">
        <v>222</v>
      </c>
      <c r="M233" s="141" t="s">
        <v>222</v>
      </c>
      <c r="N233" s="141" t="s">
        <v>222</v>
      </c>
      <c r="O233" s="141" t="s">
        <v>222</v>
      </c>
      <c r="P233" s="141" t="s">
        <v>222</v>
      </c>
      <c r="Q233" s="141" t="s">
        <v>222</v>
      </c>
      <c r="R233" s="141" t="s">
        <v>222</v>
      </c>
      <c r="S233" s="141" t="s">
        <v>222</v>
      </c>
      <c r="T233" s="141" t="s">
        <v>222</v>
      </c>
      <c r="U233" s="141" t="s">
        <v>222</v>
      </c>
      <c r="V233" s="141" t="s">
        <v>222</v>
      </c>
      <c r="W233" s="141"/>
      <c r="X233" s="141"/>
      <c r="Y233" s="141"/>
      <c r="Z233" s="141"/>
    </row>
    <row r="234">
      <c r="A234" s="141"/>
      <c r="B234" s="141" t="s">
        <v>222</v>
      </c>
      <c r="C234" s="141" t="s">
        <v>222</v>
      </c>
      <c r="D234" s="141" t="s">
        <v>222</v>
      </c>
      <c r="E234" s="141" t="s">
        <v>222</v>
      </c>
      <c r="F234" s="141" t="s">
        <v>222</v>
      </c>
      <c r="G234" s="141" t="s">
        <v>222</v>
      </c>
      <c r="H234" s="141" t="s">
        <v>222</v>
      </c>
      <c r="I234" s="141" t="s">
        <v>222</v>
      </c>
      <c r="J234" s="141" t="s">
        <v>222</v>
      </c>
      <c r="K234" s="141" t="s">
        <v>222</v>
      </c>
      <c r="L234" s="141" t="s">
        <v>222</v>
      </c>
      <c r="M234" s="141" t="s">
        <v>222</v>
      </c>
      <c r="N234" s="141" t="s">
        <v>222</v>
      </c>
      <c r="O234" s="141" t="s">
        <v>222</v>
      </c>
      <c r="P234" s="141" t="s">
        <v>222</v>
      </c>
      <c r="Q234" s="141" t="s">
        <v>222</v>
      </c>
      <c r="R234" s="141" t="s">
        <v>222</v>
      </c>
      <c r="S234" s="141" t="s">
        <v>222</v>
      </c>
      <c r="T234" s="141" t="s">
        <v>222</v>
      </c>
      <c r="U234" s="141" t="s">
        <v>222</v>
      </c>
      <c r="V234" s="141" t="s">
        <v>222</v>
      </c>
      <c r="W234" s="141"/>
      <c r="X234" s="141"/>
      <c r="Y234" s="141"/>
      <c r="Z234" s="141"/>
    </row>
    <row r="235">
      <c r="A235" s="141"/>
      <c r="B235" s="141" t="s">
        <v>222</v>
      </c>
      <c r="C235" s="141" t="s">
        <v>222</v>
      </c>
      <c r="D235" s="141" t="s">
        <v>222</v>
      </c>
      <c r="E235" s="141" t="s">
        <v>222</v>
      </c>
      <c r="F235" s="141" t="s">
        <v>222</v>
      </c>
      <c r="G235" s="141" t="s">
        <v>222</v>
      </c>
      <c r="H235" s="141" t="s">
        <v>222</v>
      </c>
      <c r="I235" s="141" t="s">
        <v>222</v>
      </c>
      <c r="J235" s="141" t="s">
        <v>222</v>
      </c>
      <c r="K235" s="141" t="s">
        <v>222</v>
      </c>
      <c r="L235" s="141" t="s">
        <v>222</v>
      </c>
      <c r="M235" s="141" t="s">
        <v>222</v>
      </c>
      <c r="N235" s="141" t="s">
        <v>222</v>
      </c>
      <c r="O235" s="141" t="s">
        <v>222</v>
      </c>
      <c r="P235" s="141" t="s">
        <v>222</v>
      </c>
      <c r="Q235" s="141" t="s">
        <v>222</v>
      </c>
      <c r="R235" s="141" t="s">
        <v>222</v>
      </c>
      <c r="S235" s="141" t="s">
        <v>222</v>
      </c>
      <c r="T235" s="141" t="s">
        <v>222</v>
      </c>
      <c r="U235" s="141" t="s">
        <v>222</v>
      </c>
      <c r="V235" s="141" t="s">
        <v>222</v>
      </c>
      <c r="W235" s="141"/>
      <c r="X235" s="141"/>
      <c r="Y235" s="141"/>
      <c r="Z235" s="141"/>
    </row>
    <row r="236">
      <c r="A236" s="141"/>
      <c r="B236" s="141" t="s">
        <v>222</v>
      </c>
      <c r="C236" s="141" t="s">
        <v>222</v>
      </c>
      <c r="D236" s="141" t="s">
        <v>222</v>
      </c>
      <c r="E236" s="141" t="s">
        <v>222</v>
      </c>
      <c r="F236" s="141" t="s">
        <v>222</v>
      </c>
      <c r="G236" s="141" t="s">
        <v>222</v>
      </c>
      <c r="H236" s="141" t="s">
        <v>222</v>
      </c>
      <c r="I236" s="141" t="s">
        <v>222</v>
      </c>
      <c r="J236" s="141" t="s">
        <v>222</v>
      </c>
      <c r="K236" s="141" t="s">
        <v>222</v>
      </c>
      <c r="L236" s="141" t="s">
        <v>222</v>
      </c>
      <c r="M236" s="141" t="s">
        <v>222</v>
      </c>
      <c r="N236" s="141" t="s">
        <v>222</v>
      </c>
      <c r="O236" s="141" t="s">
        <v>222</v>
      </c>
      <c r="P236" s="141" t="s">
        <v>222</v>
      </c>
      <c r="Q236" s="141" t="s">
        <v>222</v>
      </c>
      <c r="R236" s="141" t="s">
        <v>222</v>
      </c>
      <c r="S236" s="141" t="s">
        <v>222</v>
      </c>
      <c r="T236" s="141" t="s">
        <v>222</v>
      </c>
      <c r="U236" s="141" t="s">
        <v>222</v>
      </c>
      <c r="V236" s="141" t="s">
        <v>222</v>
      </c>
      <c r="W236" s="141"/>
      <c r="X236" s="141"/>
      <c r="Y236" s="141"/>
      <c r="Z236" s="141"/>
    </row>
    <row r="237">
      <c r="A237" s="141"/>
      <c r="B237" s="141" t="s">
        <v>222</v>
      </c>
      <c r="C237" s="141" t="s">
        <v>222</v>
      </c>
      <c r="D237" s="141" t="s">
        <v>222</v>
      </c>
      <c r="E237" s="141" t="s">
        <v>222</v>
      </c>
      <c r="F237" s="141" t="s">
        <v>222</v>
      </c>
      <c r="G237" s="141" t="s">
        <v>222</v>
      </c>
      <c r="H237" s="141" t="s">
        <v>222</v>
      </c>
      <c r="I237" s="141" t="s">
        <v>222</v>
      </c>
      <c r="J237" s="141" t="s">
        <v>222</v>
      </c>
      <c r="K237" s="141" t="s">
        <v>222</v>
      </c>
      <c r="L237" s="141" t="s">
        <v>222</v>
      </c>
      <c r="M237" s="141" t="s">
        <v>222</v>
      </c>
      <c r="N237" s="141" t="s">
        <v>222</v>
      </c>
      <c r="O237" s="141" t="s">
        <v>222</v>
      </c>
      <c r="P237" s="141" t="s">
        <v>222</v>
      </c>
      <c r="Q237" s="141" t="s">
        <v>222</v>
      </c>
      <c r="R237" s="141" t="s">
        <v>222</v>
      </c>
      <c r="S237" s="141" t="s">
        <v>222</v>
      </c>
      <c r="T237" s="141" t="s">
        <v>222</v>
      </c>
      <c r="U237" s="141" t="s">
        <v>222</v>
      </c>
      <c r="V237" s="141" t="s">
        <v>222</v>
      </c>
      <c r="W237" s="141"/>
      <c r="X237" s="141"/>
      <c r="Y237" s="141"/>
      <c r="Z237" s="141"/>
    </row>
    <row r="238">
      <c r="A238" s="141"/>
      <c r="B238" s="141" t="s">
        <v>222</v>
      </c>
      <c r="C238" s="141" t="s">
        <v>222</v>
      </c>
      <c r="D238" s="141" t="s">
        <v>222</v>
      </c>
      <c r="E238" s="141" t="s">
        <v>222</v>
      </c>
      <c r="F238" s="141" t="s">
        <v>222</v>
      </c>
      <c r="G238" s="141" t="s">
        <v>222</v>
      </c>
      <c r="H238" s="141" t="s">
        <v>222</v>
      </c>
      <c r="I238" s="141" t="s">
        <v>222</v>
      </c>
      <c r="J238" s="141" t="s">
        <v>222</v>
      </c>
      <c r="K238" s="141" t="s">
        <v>222</v>
      </c>
      <c r="L238" s="141" t="s">
        <v>222</v>
      </c>
      <c r="M238" s="141" t="s">
        <v>222</v>
      </c>
      <c r="N238" s="141" t="s">
        <v>222</v>
      </c>
      <c r="O238" s="141" t="s">
        <v>222</v>
      </c>
      <c r="P238" s="141" t="s">
        <v>222</v>
      </c>
      <c r="Q238" s="141" t="s">
        <v>222</v>
      </c>
      <c r="R238" s="141" t="s">
        <v>222</v>
      </c>
      <c r="S238" s="141" t="s">
        <v>222</v>
      </c>
      <c r="T238" s="141" t="s">
        <v>222</v>
      </c>
      <c r="U238" s="141" t="s">
        <v>222</v>
      </c>
      <c r="V238" s="141" t="s">
        <v>222</v>
      </c>
      <c r="W238" s="141"/>
      <c r="X238" s="141"/>
      <c r="Y238" s="141"/>
      <c r="Z238" s="141"/>
    </row>
    <row r="239">
      <c r="A239" s="141"/>
      <c r="B239" s="141" t="s">
        <v>222</v>
      </c>
      <c r="C239" s="141" t="s">
        <v>222</v>
      </c>
      <c r="D239" s="141" t="s">
        <v>222</v>
      </c>
      <c r="E239" s="141" t="s">
        <v>222</v>
      </c>
      <c r="F239" s="141" t="s">
        <v>222</v>
      </c>
      <c r="G239" s="141" t="s">
        <v>222</v>
      </c>
      <c r="H239" s="141" t="s">
        <v>222</v>
      </c>
      <c r="I239" s="141" t="s">
        <v>222</v>
      </c>
      <c r="J239" s="141" t="s">
        <v>222</v>
      </c>
      <c r="K239" s="141" t="s">
        <v>222</v>
      </c>
      <c r="L239" s="141" t="s">
        <v>222</v>
      </c>
      <c r="M239" s="141" t="s">
        <v>222</v>
      </c>
      <c r="N239" s="141" t="s">
        <v>222</v>
      </c>
      <c r="O239" s="141" t="s">
        <v>222</v>
      </c>
      <c r="P239" s="141" t="s">
        <v>222</v>
      </c>
      <c r="Q239" s="141" t="s">
        <v>222</v>
      </c>
      <c r="R239" s="141" t="s">
        <v>222</v>
      </c>
      <c r="S239" s="141" t="s">
        <v>222</v>
      </c>
      <c r="T239" s="141" t="s">
        <v>222</v>
      </c>
      <c r="U239" s="141" t="s">
        <v>222</v>
      </c>
      <c r="V239" s="141" t="s">
        <v>222</v>
      </c>
      <c r="W239" s="141"/>
      <c r="X239" s="141"/>
      <c r="Y239" s="141"/>
      <c r="Z239" s="141"/>
    </row>
    <row r="240">
      <c r="A240" s="141"/>
      <c r="B240" s="141" t="s">
        <v>222</v>
      </c>
      <c r="C240" s="141" t="s">
        <v>222</v>
      </c>
      <c r="D240" s="141" t="s">
        <v>222</v>
      </c>
      <c r="E240" s="141" t="s">
        <v>222</v>
      </c>
      <c r="F240" s="141" t="s">
        <v>222</v>
      </c>
      <c r="G240" s="141" t="s">
        <v>222</v>
      </c>
      <c r="H240" s="141" t="s">
        <v>222</v>
      </c>
      <c r="I240" s="141" t="s">
        <v>222</v>
      </c>
      <c r="J240" s="141" t="s">
        <v>222</v>
      </c>
      <c r="K240" s="141" t="s">
        <v>222</v>
      </c>
      <c r="L240" s="141" t="s">
        <v>222</v>
      </c>
      <c r="M240" s="141" t="s">
        <v>222</v>
      </c>
      <c r="N240" s="141" t="s">
        <v>222</v>
      </c>
      <c r="O240" s="141" t="s">
        <v>222</v>
      </c>
      <c r="P240" s="141" t="s">
        <v>222</v>
      </c>
      <c r="Q240" s="141" t="s">
        <v>222</v>
      </c>
      <c r="R240" s="141" t="s">
        <v>222</v>
      </c>
      <c r="S240" s="141" t="s">
        <v>222</v>
      </c>
      <c r="T240" s="141" t="s">
        <v>222</v>
      </c>
      <c r="U240" s="141" t="s">
        <v>222</v>
      </c>
      <c r="V240" s="141" t="s">
        <v>222</v>
      </c>
      <c r="W240" s="141"/>
      <c r="X240" s="141"/>
      <c r="Y240" s="141"/>
      <c r="Z240" s="141"/>
    </row>
    <row r="241">
      <c r="A241" s="141"/>
      <c r="B241" s="141" t="s">
        <v>222</v>
      </c>
      <c r="C241" s="141" t="s">
        <v>222</v>
      </c>
      <c r="D241" s="141" t="s">
        <v>222</v>
      </c>
      <c r="E241" s="141" t="s">
        <v>222</v>
      </c>
      <c r="F241" s="141" t="s">
        <v>222</v>
      </c>
      <c r="G241" s="141" t="s">
        <v>222</v>
      </c>
      <c r="H241" s="141" t="s">
        <v>222</v>
      </c>
      <c r="I241" s="141" t="s">
        <v>222</v>
      </c>
      <c r="J241" s="141" t="s">
        <v>222</v>
      </c>
      <c r="K241" s="141" t="s">
        <v>222</v>
      </c>
      <c r="L241" s="141" t="s">
        <v>222</v>
      </c>
      <c r="M241" s="141" t="s">
        <v>222</v>
      </c>
      <c r="N241" s="141" t="s">
        <v>222</v>
      </c>
      <c r="O241" s="141" t="s">
        <v>222</v>
      </c>
      <c r="P241" s="141" t="s">
        <v>222</v>
      </c>
      <c r="Q241" s="141" t="s">
        <v>222</v>
      </c>
      <c r="R241" s="141" t="s">
        <v>222</v>
      </c>
      <c r="S241" s="141" t="s">
        <v>222</v>
      </c>
      <c r="T241" s="141" t="s">
        <v>222</v>
      </c>
      <c r="U241" s="141" t="s">
        <v>222</v>
      </c>
      <c r="V241" s="141" t="s">
        <v>222</v>
      </c>
      <c r="W241" s="141"/>
      <c r="X241" s="141"/>
      <c r="Y241" s="141"/>
      <c r="Z241" s="141"/>
    </row>
    <row r="242">
      <c r="A242" s="141"/>
      <c r="B242" s="141" t="s">
        <v>222</v>
      </c>
      <c r="C242" s="141" t="s">
        <v>222</v>
      </c>
      <c r="D242" s="141" t="s">
        <v>222</v>
      </c>
      <c r="E242" s="141" t="s">
        <v>222</v>
      </c>
      <c r="F242" s="141" t="s">
        <v>222</v>
      </c>
      <c r="G242" s="141" t="s">
        <v>222</v>
      </c>
      <c r="H242" s="141" t="s">
        <v>222</v>
      </c>
      <c r="I242" s="141" t="s">
        <v>222</v>
      </c>
      <c r="J242" s="141" t="s">
        <v>222</v>
      </c>
      <c r="K242" s="141" t="s">
        <v>222</v>
      </c>
      <c r="L242" s="141" t="s">
        <v>222</v>
      </c>
      <c r="M242" s="141" t="s">
        <v>222</v>
      </c>
      <c r="N242" s="141" t="s">
        <v>222</v>
      </c>
      <c r="O242" s="141" t="s">
        <v>222</v>
      </c>
      <c r="P242" s="141" t="s">
        <v>222</v>
      </c>
      <c r="Q242" s="141" t="s">
        <v>222</v>
      </c>
      <c r="R242" s="141" t="s">
        <v>222</v>
      </c>
      <c r="S242" s="141" t="s">
        <v>222</v>
      </c>
      <c r="T242" s="141" t="s">
        <v>222</v>
      </c>
      <c r="U242" s="141" t="s">
        <v>222</v>
      </c>
      <c r="V242" s="141" t="s">
        <v>222</v>
      </c>
      <c r="W242" s="141"/>
      <c r="X242" s="141"/>
      <c r="Y242" s="141"/>
      <c r="Z242" s="141"/>
    </row>
    <row r="243">
      <c r="A243" s="141"/>
      <c r="B243" s="141" t="s">
        <v>222</v>
      </c>
      <c r="C243" s="141" t="s">
        <v>222</v>
      </c>
      <c r="D243" s="141" t="s">
        <v>222</v>
      </c>
      <c r="E243" s="141" t="s">
        <v>222</v>
      </c>
      <c r="F243" s="141" t="s">
        <v>222</v>
      </c>
      <c r="G243" s="141" t="s">
        <v>222</v>
      </c>
      <c r="H243" s="141" t="s">
        <v>222</v>
      </c>
      <c r="I243" s="141" t="s">
        <v>222</v>
      </c>
      <c r="J243" s="141" t="s">
        <v>222</v>
      </c>
      <c r="K243" s="141" t="s">
        <v>222</v>
      </c>
      <c r="L243" s="141" t="s">
        <v>222</v>
      </c>
      <c r="M243" s="141" t="s">
        <v>222</v>
      </c>
      <c r="N243" s="141" t="s">
        <v>222</v>
      </c>
      <c r="O243" s="141" t="s">
        <v>222</v>
      </c>
      <c r="P243" s="141" t="s">
        <v>222</v>
      </c>
      <c r="Q243" s="141" t="s">
        <v>222</v>
      </c>
      <c r="R243" s="141" t="s">
        <v>222</v>
      </c>
      <c r="S243" s="141" t="s">
        <v>222</v>
      </c>
      <c r="T243" s="141" t="s">
        <v>222</v>
      </c>
      <c r="U243" s="141" t="s">
        <v>222</v>
      </c>
      <c r="V243" s="141" t="s">
        <v>222</v>
      </c>
      <c r="W243" s="141"/>
      <c r="X243" s="141"/>
      <c r="Y243" s="141"/>
      <c r="Z243" s="141"/>
    </row>
    <row r="244">
      <c r="A244" s="141"/>
      <c r="B244" s="141" t="s">
        <v>222</v>
      </c>
      <c r="C244" s="141" t="s">
        <v>222</v>
      </c>
      <c r="D244" s="141" t="s">
        <v>222</v>
      </c>
      <c r="E244" s="141" t="s">
        <v>222</v>
      </c>
      <c r="F244" s="141" t="s">
        <v>222</v>
      </c>
      <c r="G244" s="141" t="s">
        <v>222</v>
      </c>
      <c r="H244" s="141" t="s">
        <v>222</v>
      </c>
      <c r="I244" s="141" t="s">
        <v>222</v>
      </c>
      <c r="J244" s="141" t="s">
        <v>222</v>
      </c>
      <c r="K244" s="141" t="s">
        <v>222</v>
      </c>
      <c r="L244" s="141" t="s">
        <v>222</v>
      </c>
      <c r="M244" s="141" t="s">
        <v>222</v>
      </c>
      <c r="N244" s="141" t="s">
        <v>222</v>
      </c>
      <c r="O244" s="141" t="s">
        <v>222</v>
      </c>
      <c r="P244" s="141" t="s">
        <v>222</v>
      </c>
      <c r="Q244" s="141" t="s">
        <v>222</v>
      </c>
      <c r="R244" s="141" t="s">
        <v>222</v>
      </c>
      <c r="S244" s="141" t="s">
        <v>222</v>
      </c>
      <c r="T244" s="141" t="s">
        <v>222</v>
      </c>
      <c r="U244" s="141" t="s">
        <v>222</v>
      </c>
      <c r="V244" s="141" t="s">
        <v>222</v>
      </c>
      <c r="W244" s="141"/>
      <c r="X244" s="141"/>
      <c r="Y244" s="141"/>
      <c r="Z244" s="141"/>
    </row>
    <row r="245">
      <c r="A245" s="141"/>
      <c r="B245" s="141" t="s">
        <v>222</v>
      </c>
      <c r="C245" s="141" t="s">
        <v>222</v>
      </c>
      <c r="D245" s="141" t="s">
        <v>222</v>
      </c>
      <c r="E245" s="141" t="s">
        <v>222</v>
      </c>
      <c r="F245" s="141" t="s">
        <v>222</v>
      </c>
      <c r="G245" s="141" t="s">
        <v>222</v>
      </c>
      <c r="H245" s="141" t="s">
        <v>222</v>
      </c>
      <c r="I245" s="141" t="s">
        <v>222</v>
      </c>
      <c r="J245" s="141" t="s">
        <v>222</v>
      </c>
      <c r="K245" s="141" t="s">
        <v>222</v>
      </c>
      <c r="L245" s="141" t="s">
        <v>222</v>
      </c>
      <c r="M245" s="141" t="s">
        <v>222</v>
      </c>
      <c r="N245" s="141" t="s">
        <v>222</v>
      </c>
      <c r="O245" s="141" t="s">
        <v>222</v>
      </c>
      <c r="P245" s="141" t="s">
        <v>222</v>
      </c>
      <c r="Q245" s="141" t="s">
        <v>222</v>
      </c>
      <c r="R245" s="141" t="s">
        <v>222</v>
      </c>
      <c r="S245" s="141" t="s">
        <v>222</v>
      </c>
      <c r="T245" s="141" t="s">
        <v>222</v>
      </c>
      <c r="U245" s="141" t="s">
        <v>222</v>
      </c>
      <c r="V245" s="141" t="s">
        <v>222</v>
      </c>
      <c r="W245" s="141"/>
      <c r="X245" s="141"/>
      <c r="Y245" s="141"/>
      <c r="Z245" s="141"/>
    </row>
    <row r="246">
      <c r="A246" s="141"/>
      <c r="B246" s="141" t="s">
        <v>222</v>
      </c>
      <c r="C246" s="141" t="s">
        <v>222</v>
      </c>
      <c r="D246" s="141" t="s">
        <v>222</v>
      </c>
      <c r="E246" s="141" t="s">
        <v>222</v>
      </c>
      <c r="F246" s="141" t="s">
        <v>222</v>
      </c>
      <c r="G246" s="141" t="s">
        <v>222</v>
      </c>
      <c r="H246" s="141" t="s">
        <v>222</v>
      </c>
      <c r="I246" s="141" t="s">
        <v>222</v>
      </c>
      <c r="J246" s="141" t="s">
        <v>222</v>
      </c>
      <c r="K246" s="141" t="s">
        <v>222</v>
      </c>
      <c r="L246" s="141" t="s">
        <v>222</v>
      </c>
      <c r="M246" s="141" t="s">
        <v>222</v>
      </c>
      <c r="N246" s="141" t="s">
        <v>222</v>
      </c>
      <c r="O246" s="141" t="s">
        <v>222</v>
      </c>
      <c r="P246" s="141" t="s">
        <v>222</v>
      </c>
      <c r="Q246" s="141" t="s">
        <v>222</v>
      </c>
      <c r="R246" s="141" t="s">
        <v>222</v>
      </c>
      <c r="S246" s="141" t="s">
        <v>222</v>
      </c>
      <c r="T246" s="141" t="s">
        <v>222</v>
      </c>
      <c r="U246" s="141" t="s">
        <v>222</v>
      </c>
      <c r="V246" s="141" t="s">
        <v>222</v>
      </c>
      <c r="W246" s="141"/>
      <c r="X246" s="141"/>
      <c r="Y246" s="141"/>
      <c r="Z246" s="141"/>
    </row>
    <row r="247">
      <c r="A247" s="141"/>
      <c r="B247" s="141" t="s">
        <v>222</v>
      </c>
      <c r="C247" s="141" t="s">
        <v>222</v>
      </c>
      <c r="D247" s="141" t="s">
        <v>222</v>
      </c>
      <c r="E247" s="141" t="s">
        <v>222</v>
      </c>
      <c r="F247" s="141" t="s">
        <v>222</v>
      </c>
      <c r="G247" s="141" t="s">
        <v>222</v>
      </c>
      <c r="H247" s="141" t="s">
        <v>222</v>
      </c>
      <c r="I247" s="141" t="s">
        <v>222</v>
      </c>
      <c r="J247" s="141" t="s">
        <v>222</v>
      </c>
      <c r="K247" s="141" t="s">
        <v>222</v>
      </c>
      <c r="L247" s="141" t="s">
        <v>222</v>
      </c>
      <c r="M247" s="141" t="s">
        <v>222</v>
      </c>
      <c r="N247" s="141" t="s">
        <v>222</v>
      </c>
      <c r="O247" s="141" t="s">
        <v>222</v>
      </c>
      <c r="P247" s="141" t="s">
        <v>222</v>
      </c>
      <c r="Q247" s="141" t="s">
        <v>222</v>
      </c>
      <c r="R247" s="141" t="s">
        <v>222</v>
      </c>
      <c r="S247" s="141" t="s">
        <v>222</v>
      </c>
      <c r="T247" s="141" t="s">
        <v>222</v>
      </c>
      <c r="U247" s="141" t="s">
        <v>222</v>
      </c>
      <c r="V247" s="141" t="s">
        <v>222</v>
      </c>
      <c r="W247" s="141"/>
      <c r="X247" s="141"/>
      <c r="Y247" s="141"/>
      <c r="Z247" s="141"/>
    </row>
    <row r="248">
      <c r="A248" s="141"/>
      <c r="B248" s="141" t="s">
        <v>222</v>
      </c>
      <c r="C248" s="141" t="s">
        <v>222</v>
      </c>
      <c r="D248" s="141" t="s">
        <v>222</v>
      </c>
      <c r="E248" s="141" t="s">
        <v>222</v>
      </c>
      <c r="F248" s="141" t="s">
        <v>222</v>
      </c>
      <c r="G248" s="141" t="s">
        <v>222</v>
      </c>
      <c r="H248" s="141" t="s">
        <v>222</v>
      </c>
      <c r="I248" s="141" t="s">
        <v>222</v>
      </c>
      <c r="J248" s="141" t="s">
        <v>222</v>
      </c>
      <c r="K248" s="141" t="s">
        <v>222</v>
      </c>
      <c r="L248" s="141" t="s">
        <v>222</v>
      </c>
      <c r="M248" s="141" t="s">
        <v>222</v>
      </c>
      <c r="N248" s="141" t="s">
        <v>222</v>
      </c>
      <c r="O248" s="141" t="s">
        <v>222</v>
      </c>
      <c r="P248" s="141" t="s">
        <v>222</v>
      </c>
      <c r="Q248" s="141" t="s">
        <v>222</v>
      </c>
      <c r="R248" s="141" t="s">
        <v>222</v>
      </c>
      <c r="S248" s="141" t="s">
        <v>222</v>
      </c>
      <c r="T248" s="141" t="s">
        <v>222</v>
      </c>
      <c r="U248" s="141" t="s">
        <v>222</v>
      </c>
      <c r="V248" s="141" t="s">
        <v>222</v>
      </c>
      <c r="W248" s="141"/>
      <c r="X248" s="141"/>
      <c r="Y248" s="141"/>
      <c r="Z248" s="141"/>
    </row>
    <row r="249">
      <c r="A249" s="141"/>
      <c r="B249" s="141" t="s">
        <v>222</v>
      </c>
      <c r="C249" s="141" t="s">
        <v>222</v>
      </c>
      <c r="D249" s="141" t="s">
        <v>222</v>
      </c>
      <c r="E249" s="141" t="s">
        <v>222</v>
      </c>
      <c r="F249" s="141" t="s">
        <v>222</v>
      </c>
      <c r="G249" s="141" t="s">
        <v>222</v>
      </c>
      <c r="H249" s="141" t="s">
        <v>222</v>
      </c>
      <c r="I249" s="141" t="s">
        <v>222</v>
      </c>
      <c r="J249" s="141" t="s">
        <v>222</v>
      </c>
      <c r="K249" s="141" t="s">
        <v>222</v>
      </c>
      <c r="L249" s="141" t="s">
        <v>222</v>
      </c>
      <c r="M249" s="141" t="s">
        <v>222</v>
      </c>
      <c r="N249" s="141" t="s">
        <v>222</v>
      </c>
      <c r="O249" s="141" t="s">
        <v>222</v>
      </c>
      <c r="P249" s="141" t="s">
        <v>222</v>
      </c>
      <c r="Q249" s="141" t="s">
        <v>222</v>
      </c>
      <c r="R249" s="141" t="s">
        <v>222</v>
      </c>
      <c r="S249" s="141" t="s">
        <v>222</v>
      </c>
      <c r="T249" s="141" t="s">
        <v>222</v>
      </c>
      <c r="U249" s="141" t="s">
        <v>222</v>
      </c>
      <c r="V249" s="141" t="s">
        <v>222</v>
      </c>
      <c r="W249" s="141"/>
      <c r="X249" s="141"/>
      <c r="Y249" s="141"/>
      <c r="Z249" s="141"/>
    </row>
    <row r="250">
      <c r="A250" s="141"/>
      <c r="B250" s="141" t="s">
        <v>222</v>
      </c>
      <c r="C250" s="141" t="s">
        <v>222</v>
      </c>
      <c r="D250" s="141" t="s">
        <v>222</v>
      </c>
      <c r="E250" s="141" t="s">
        <v>222</v>
      </c>
      <c r="F250" s="141" t="s">
        <v>222</v>
      </c>
      <c r="G250" s="141" t="s">
        <v>222</v>
      </c>
      <c r="H250" s="141" t="s">
        <v>222</v>
      </c>
      <c r="I250" s="141" t="s">
        <v>222</v>
      </c>
      <c r="J250" s="141" t="s">
        <v>222</v>
      </c>
      <c r="K250" s="141" t="s">
        <v>222</v>
      </c>
      <c r="L250" s="141" t="s">
        <v>222</v>
      </c>
      <c r="M250" s="141" t="s">
        <v>222</v>
      </c>
      <c r="N250" s="141" t="s">
        <v>222</v>
      </c>
      <c r="O250" s="141" t="s">
        <v>222</v>
      </c>
      <c r="P250" s="141" t="s">
        <v>222</v>
      </c>
      <c r="Q250" s="141" t="s">
        <v>222</v>
      </c>
      <c r="R250" s="141" t="s">
        <v>222</v>
      </c>
      <c r="S250" s="141" t="s">
        <v>222</v>
      </c>
      <c r="T250" s="141" t="s">
        <v>222</v>
      </c>
      <c r="U250" s="141" t="s">
        <v>222</v>
      </c>
      <c r="V250" s="141" t="s">
        <v>222</v>
      </c>
      <c r="W250" s="141"/>
      <c r="X250" s="141"/>
      <c r="Y250" s="141"/>
      <c r="Z250" s="141"/>
    </row>
    <row r="251">
      <c r="A251" s="141"/>
      <c r="B251" s="141" t="s">
        <v>222</v>
      </c>
      <c r="C251" s="141" t="s">
        <v>222</v>
      </c>
      <c r="D251" s="141" t="s">
        <v>222</v>
      </c>
      <c r="E251" s="141" t="s">
        <v>222</v>
      </c>
      <c r="F251" s="141" t="s">
        <v>222</v>
      </c>
      <c r="G251" s="141" t="s">
        <v>222</v>
      </c>
      <c r="H251" s="141" t="s">
        <v>222</v>
      </c>
      <c r="I251" s="141" t="s">
        <v>222</v>
      </c>
      <c r="J251" s="141" t="s">
        <v>222</v>
      </c>
      <c r="K251" s="141" t="s">
        <v>222</v>
      </c>
      <c r="L251" s="141" t="s">
        <v>222</v>
      </c>
      <c r="M251" s="141" t="s">
        <v>222</v>
      </c>
      <c r="N251" s="141" t="s">
        <v>222</v>
      </c>
      <c r="O251" s="141" t="s">
        <v>222</v>
      </c>
      <c r="P251" s="141" t="s">
        <v>222</v>
      </c>
      <c r="Q251" s="141" t="s">
        <v>222</v>
      </c>
      <c r="R251" s="141" t="s">
        <v>222</v>
      </c>
      <c r="S251" s="141" t="s">
        <v>222</v>
      </c>
      <c r="T251" s="141" t="s">
        <v>222</v>
      </c>
      <c r="U251" s="141" t="s">
        <v>222</v>
      </c>
      <c r="V251" s="141" t="s">
        <v>222</v>
      </c>
      <c r="W251" s="141"/>
      <c r="X251" s="141"/>
      <c r="Y251" s="141"/>
      <c r="Z251" s="141"/>
    </row>
    <row r="252">
      <c r="A252" s="141"/>
      <c r="B252" s="141" t="s">
        <v>222</v>
      </c>
      <c r="C252" s="141" t="s">
        <v>222</v>
      </c>
      <c r="D252" s="141" t="s">
        <v>222</v>
      </c>
      <c r="E252" s="141" t="s">
        <v>222</v>
      </c>
      <c r="F252" s="141" t="s">
        <v>222</v>
      </c>
      <c r="G252" s="141" t="s">
        <v>222</v>
      </c>
      <c r="H252" s="141" t="s">
        <v>222</v>
      </c>
      <c r="I252" s="141" t="s">
        <v>222</v>
      </c>
      <c r="J252" s="141" t="s">
        <v>222</v>
      </c>
      <c r="K252" s="141" t="s">
        <v>222</v>
      </c>
      <c r="L252" s="141" t="s">
        <v>222</v>
      </c>
      <c r="M252" s="141" t="s">
        <v>222</v>
      </c>
      <c r="N252" s="141" t="s">
        <v>222</v>
      </c>
      <c r="O252" s="141" t="s">
        <v>222</v>
      </c>
      <c r="P252" s="141" t="s">
        <v>222</v>
      </c>
      <c r="Q252" s="141" t="s">
        <v>222</v>
      </c>
      <c r="R252" s="141" t="s">
        <v>222</v>
      </c>
      <c r="S252" s="141" t="s">
        <v>222</v>
      </c>
      <c r="T252" s="141" t="s">
        <v>222</v>
      </c>
      <c r="U252" s="141" t="s">
        <v>222</v>
      </c>
      <c r="V252" s="141" t="s">
        <v>222</v>
      </c>
      <c r="W252" s="141"/>
      <c r="X252" s="141"/>
      <c r="Y252" s="141"/>
      <c r="Z252" s="141"/>
    </row>
    <row r="253">
      <c r="A253" s="141"/>
      <c r="B253" s="141" t="s">
        <v>222</v>
      </c>
      <c r="C253" s="141" t="s">
        <v>222</v>
      </c>
      <c r="D253" s="141" t="s">
        <v>222</v>
      </c>
      <c r="E253" s="141" t="s">
        <v>222</v>
      </c>
      <c r="F253" s="141" t="s">
        <v>222</v>
      </c>
      <c r="G253" s="141" t="s">
        <v>222</v>
      </c>
      <c r="H253" s="141" t="s">
        <v>222</v>
      </c>
      <c r="I253" s="141" t="s">
        <v>222</v>
      </c>
      <c r="J253" s="141" t="s">
        <v>222</v>
      </c>
      <c r="K253" s="141" t="s">
        <v>222</v>
      </c>
      <c r="L253" s="141" t="s">
        <v>222</v>
      </c>
      <c r="M253" s="141" t="s">
        <v>222</v>
      </c>
      <c r="N253" s="141" t="s">
        <v>222</v>
      </c>
      <c r="O253" s="141" t="s">
        <v>222</v>
      </c>
      <c r="P253" s="141" t="s">
        <v>222</v>
      </c>
      <c r="Q253" s="141" t="s">
        <v>222</v>
      </c>
      <c r="R253" s="141" t="s">
        <v>222</v>
      </c>
      <c r="S253" s="141" t="s">
        <v>222</v>
      </c>
      <c r="T253" s="141" t="s">
        <v>222</v>
      </c>
      <c r="U253" s="141" t="s">
        <v>222</v>
      </c>
      <c r="V253" s="141" t="s">
        <v>222</v>
      </c>
      <c r="W253" s="141"/>
      <c r="X253" s="141"/>
      <c r="Y253" s="141"/>
      <c r="Z253" s="141"/>
    </row>
    <row r="254">
      <c r="A254" s="141"/>
      <c r="B254" s="141" t="s">
        <v>222</v>
      </c>
      <c r="C254" s="141" t="s">
        <v>222</v>
      </c>
      <c r="D254" s="141" t="s">
        <v>222</v>
      </c>
      <c r="E254" s="141" t="s">
        <v>222</v>
      </c>
      <c r="F254" s="141" t="s">
        <v>222</v>
      </c>
      <c r="G254" s="141" t="s">
        <v>222</v>
      </c>
      <c r="H254" s="141" t="s">
        <v>222</v>
      </c>
      <c r="I254" s="141" t="s">
        <v>222</v>
      </c>
      <c r="J254" s="141" t="s">
        <v>222</v>
      </c>
      <c r="K254" s="141" t="s">
        <v>222</v>
      </c>
      <c r="L254" s="141" t="s">
        <v>222</v>
      </c>
      <c r="M254" s="141" t="s">
        <v>222</v>
      </c>
      <c r="N254" s="141" t="s">
        <v>222</v>
      </c>
      <c r="O254" s="141" t="s">
        <v>222</v>
      </c>
      <c r="P254" s="141" t="s">
        <v>222</v>
      </c>
      <c r="Q254" s="141" t="s">
        <v>222</v>
      </c>
      <c r="R254" s="141" t="s">
        <v>222</v>
      </c>
      <c r="S254" s="141" t="s">
        <v>222</v>
      </c>
      <c r="T254" s="141" t="s">
        <v>222</v>
      </c>
      <c r="U254" s="141" t="s">
        <v>222</v>
      </c>
      <c r="V254" s="141" t="s">
        <v>222</v>
      </c>
      <c r="W254" s="141"/>
      <c r="X254" s="141"/>
      <c r="Y254" s="141"/>
      <c r="Z254" s="141"/>
    </row>
    <row r="255">
      <c r="A255" s="141"/>
      <c r="B255" s="141" t="s">
        <v>222</v>
      </c>
      <c r="C255" s="141" t="s">
        <v>222</v>
      </c>
      <c r="D255" s="141" t="s">
        <v>222</v>
      </c>
      <c r="E255" s="141" t="s">
        <v>222</v>
      </c>
      <c r="F255" s="141" t="s">
        <v>222</v>
      </c>
      <c r="G255" s="141" t="s">
        <v>222</v>
      </c>
      <c r="H255" s="141" t="s">
        <v>222</v>
      </c>
      <c r="I255" s="141" t="s">
        <v>222</v>
      </c>
      <c r="J255" s="141" t="s">
        <v>222</v>
      </c>
      <c r="K255" s="141" t="s">
        <v>222</v>
      </c>
      <c r="L255" s="141" t="s">
        <v>222</v>
      </c>
      <c r="M255" s="141" t="s">
        <v>222</v>
      </c>
      <c r="N255" s="141" t="s">
        <v>222</v>
      </c>
      <c r="O255" s="141" t="s">
        <v>222</v>
      </c>
      <c r="P255" s="141" t="s">
        <v>222</v>
      </c>
      <c r="Q255" s="141" t="s">
        <v>222</v>
      </c>
      <c r="R255" s="141" t="s">
        <v>222</v>
      </c>
      <c r="S255" s="141" t="s">
        <v>222</v>
      </c>
      <c r="T255" s="141" t="s">
        <v>222</v>
      </c>
      <c r="U255" s="141" t="s">
        <v>222</v>
      </c>
      <c r="V255" s="141" t="s">
        <v>222</v>
      </c>
      <c r="W255" s="141"/>
      <c r="X255" s="141"/>
      <c r="Y255" s="141"/>
      <c r="Z255" s="141"/>
    </row>
    <row r="256">
      <c r="A256" s="141"/>
      <c r="B256" s="141" t="s">
        <v>222</v>
      </c>
      <c r="C256" s="141" t="s">
        <v>222</v>
      </c>
      <c r="D256" s="141" t="s">
        <v>222</v>
      </c>
      <c r="E256" s="141" t="s">
        <v>222</v>
      </c>
      <c r="F256" s="141" t="s">
        <v>222</v>
      </c>
      <c r="G256" s="141" t="s">
        <v>222</v>
      </c>
      <c r="H256" s="141" t="s">
        <v>222</v>
      </c>
      <c r="I256" s="141" t="s">
        <v>222</v>
      </c>
      <c r="J256" s="141" t="s">
        <v>222</v>
      </c>
      <c r="K256" s="141" t="s">
        <v>222</v>
      </c>
      <c r="L256" s="141" t="s">
        <v>222</v>
      </c>
      <c r="M256" s="141" t="s">
        <v>222</v>
      </c>
      <c r="N256" s="141" t="s">
        <v>222</v>
      </c>
      <c r="O256" s="141" t="s">
        <v>222</v>
      </c>
      <c r="P256" s="141" t="s">
        <v>222</v>
      </c>
      <c r="Q256" s="141" t="s">
        <v>222</v>
      </c>
      <c r="R256" s="141" t="s">
        <v>222</v>
      </c>
      <c r="S256" s="141" t="s">
        <v>222</v>
      </c>
      <c r="T256" s="141" t="s">
        <v>222</v>
      </c>
      <c r="U256" s="141" t="s">
        <v>222</v>
      </c>
      <c r="V256" s="141" t="s">
        <v>222</v>
      </c>
      <c r="W256" s="141"/>
      <c r="X256" s="141"/>
      <c r="Y256" s="141"/>
      <c r="Z256" s="141"/>
    </row>
    <row r="257">
      <c r="A257" s="141"/>
      <c r="B257" s="141" t="s">
        <v>222</v>
      </c>
      <c r="C257" s="141" t="s">
        <v>222</v>
      </c>
      <c r="D257" s="141" t="s">
        <v>222</v>
      </c>
      <c r="E257" s="141" t="s">
        <v>222</v>
      </c>
      <c r="F257" s="141" t="s">
        <v>222</v>
      </c>
      <c r="G257" s="141" t="s">
        <v>222</v>
      </c>
      <c r="H257" s="141" t="s">
        <v>222</v>
      </c>
      <c r="I257" s="141" t="s">
        <v>222</v>
      </c>
      <c r="J257" s="141" t="s">
        <v>222</v>
      </c>
      <c r="K257" s="141" t="s">
        <v>222</v>
      </c>
      <c r="L257" s="141" t="s">
        <v>222</v>
      </c>
      <c r="M257" s="141" t="s">
        <v>222</v>
      </c>
      <c r="N257" s="141" t="s">
        <v>222</v>
      </c>
      <c r="O257" s="141" t="s">
        <v>222</v>
      </c>
      <c r="P257" s="141" t="s">
        <v>222</v>
      </c>
      <c r="Q257" s="141" t="s">
        <v>222</v>
      </c>
      <c r="R257" s="141" t="s">
        <v>222</v>
      </c>
      <c r="S257" s="141" t="s">
        <v>222</v>
      </c>
      <c r="T257" s="141" t="s">
        <v>222</v>
      </c>
      <c r="U257" s="141" t="s">
        <v>222</v>
      </c>
      <c r="V257" s="141" t="s">
        <v>222</v>
      </c>
      <c r="W257" s="141"/>
      <c r="X257" s="141"/>
      <c r="Y257" s="141"/>
      <c r="Z257" s="141"/>
    </row>
    <row r="258">
      <c r="A258" s="141"/>
      <c r="B258" s="141" t="s">
        <v>222</v>
      </c>
      <c r="C258" s="141" t="s">
        <v>222</v>
      </c>
      <c r="D258" s="141" t="s">
        <v>222</v>
      </c>
      <c r="E258" s="141" t="s">
        <v>222</v>
      </c>
      <c r="F258" s="141" t="s">
        <v>222</v>
      </c>
      <c r="G258" s="141" t="s">
        <v>222</v>
      </c>
      <c r="H258" s="141" t="s">
        <v>222</v>
      </c>
      <c r="I258" s="141" t="s">
        <v>222</v>
      </c>
      <c r="J258" s="141" t="s">
        <v>222</v>
      </c>
      <c r="K258" s="141" t="s">
        <v>222</v>
      </c>
      <c r="L258" s="141" t="s">
        <v>222</v>
      </c>
      <c r="M258" s="141" t="s">
        <v>222</v>
      </c>
      <c r="N258" s="141" t="s">
        <v>222</v>
      </c>
      <c r="O258" s="141" t="s">
        <v>222</v>
      </c>
      <c r="P258" s="141" t="s">
        <v>222</v>
      </c>
      <c r="Q258" s="141" t="s">
        <v>222</v>
      </c>
      <c r="R258" s="141" t="s">
        <v>222</v>
      </c>
      <c r="S258" s="141" t="s">
        <v>222</v>
      </c>
      <c r="T258" s="141" t="s">
        <v>222</v>
      </c>
      <c r="U258" s="141" t="s">
        <v>222</v>
      </c>
      <c r="V258" s="141" t="s">
        <v>222</v>
      </c>
      <c r="W258" s="141"/>
      <c r="X258" s="141"/>
      <c r="Y258" s="141"/>
      <c r="Z258" s="141"/>
    </row>
    <row r="259">
      <c r="A259" s="141"/>
      <c r="B259" s="141" t="s">
        <v>222</v>
      </c>
      <c r="C259" s="141" t="s">
        <v>222</v>
      </c>
      <c r="D259" s="141" t="s">
        <v>222</v>
      </c>
      <c r="E259" s="141" t="s">
        <v>222</v>
      </c>
      <c r="F259" s="141" t="s">
        <v>222</v>
      </c>
      <c r="G259" s="141" t="s">
        <v>222</v>
      </c>
      <c r="H259" s="141" t="s">
        <v>222</v>
      </c>
      <c r="I259" s="141" t="s">
        <v>222</v>
      </c>
      <c r="J259" s="141" t="s">
        <v>222</v>
      </c>
      <c r="K259" s="141" t="s">
        <v>222</v>
      </c>
      <c r="L259" s="141" t="s">
        <v>222</v>
      </c>
      <c r="M259" s="141" t="s">
        <v>222</v>
      </c>
      <c r="N259" s="141" t="s">
        <v>222</v>
      </c>
      <c r="O259" s="141" t="s">
        <v>222</v>
      </c>
      <c r="P259" s="141" t="s">
        <v>222</v>
      </c>
      <c r="Q259" s="141" t="s">
        <v>222</v>
      </c>
      <c r="R259" s="141" t="s">
        <v>222</v>
      </c>
      <c r="S259" s="141" t="s">
        <v>222</v>
      </c>
      <c r="T259" s="141" t="s">
        <v>222</v>
      </c>
      <c r="U259" s="141" t="s">
        <v>222</v>
      </c>
      <c r="V259" s="141" t="s">
        <v>222</v>
      </c>
      <c r="W259" s="141"/>
      <c r="X259" s="141"/>
      <c r="Y259" s="141"/>
      <c r="Z259" s="141"/>
    </row>
    <row r="260">
      <c r="A260" s="141"/>
      <c r="B260" s="141" t="s">
        <v>222</v>
      </c>
      <c r="C260" s="141" t="s">
        <v>222</v>
      </c>
      <c r="D260" s="141" t="s">
        <v>222</v>
      </c>
      <c r="E260" s="141" t="s">
        <v>222</v>
      </c>
      <c r="F260" s="141" t="s">
        <v>222</v>
      </c>
      <c r="G260" s="141" t="s">
        <v>222</v>
      </c>
      <c r="H260" s="141" t="s">
        <v>222</v>
      </c>
      <c r="I260" s="141" t="s">
        <v>222</v>
      </c>
      <c r="J260" s="141" t="s">
        <v>222</v>
      </c>
      <c r="K260" s="141" t="s">
        <v>222</v>
      </c>
      <c r="L260" s="141" t="s">
        <v>222</v>
      </c>
      <c r="M260" s="141" t="s">
        <v>222</v>
      </c>
      <c r="N260" s="141" t="s">
        <v>222</v>
      </c>
      <c r="O260" s="141" t="s">
        <v>222</v>
      </c>
      <c r="P260" s="141" t="s">
        <v>222</v>
      </c>
      <c r="Q260" s="141" t="s">
        <v>222</v>
      </c>
      <c r="R260" s="141" t="s">
        <v>222</v>
      </c>
      <c r="S260" s="141" t="s">
        <v>222</v>
      </c>
      <c r="T260" s="141" t="s">
        <v>222</v>
      </c>
      <c r="U260" s="141" t="s">
        <v>222</v>
      </c>
      <c r="V260" s="141" t="s">
        <v>222</v>
      </c>
      <c r="W260" s="141"/>
      <c r="X260" s="141"/>
      <c r="Y260" s="141"/>
      <c r="Z260" s="141"/>
    </row>
    <row r="261">
      <c r="A261" s="141"/>
      <c r="B261" s="141" t="s">
        <v>222</v>
      </c>
      <c r="C261" s="141" t="s">
        <v>222</v>
      </c>
      <c r="D261" s="141" t="s">
        <v>222</v>
      </c>
      <c r="E261" s="141" t="s">
        <v>222</v>
      </c>
      <c r="F261" s="141" t="s">
        <v>222</v>
      </c>
      <c r="G261" s="141" t="s">
        <v>222</v>
      </c>
      <c r="H261" s="141" t="s">
        <v>222</v>
      </c>
      <c r="I261" s="141" t="s">
        <v>222</v>
      </c>
      <c r="J261" s="141" t="s">
        <v>222</v>
      </c>
      <c r="K261" s="141" t="s">
        <v>222</v>
      </c>
      <c r="L261" s="141" t="s">
        <v>222</v>
      </c>
      <c r="M261" s="141" t="s">
        <v>222</v>
      </c>
      <c r="N261" s="141" t="s">
        <v>222</v>
      </c>
      <c r="O261" s="141" t="s">
        <v>222</v>
      </c>
      <c r="P261" s="141" t="s">
        <v>222</v>
      </c>
      <c r="Q261" s="141" t="s">
        <v>222</v>
      </c>
      <c r="R261" s="141" t="s">
        <v>222</v>
      </c>
      <c r="S261" s="141" t="s">
        <v>222</v>
      </c>
      <c r="T261" s="141" t="s">
        <v>222</v>
      </c>
      <c r="U261" s="141" t="s">
        <v>222</v>
      </c>
      <c r="V261" s="141" t="s">
        <v>222</v>
      </c>
      <c r="W261" s="141"/>
      <c r="X261" s="141"/>
      <c r="Y261" s="141"/>
      <c r="Z261" s="141"/>
    </row>
    <row r="262">
      <c r="A262" s="141"/>
      <c r="B262" s="141" t="s">
        <v>222</v>
      </c>
      <c r="C262" s="141" t="s">
        <v>222</v>
      </c>
      <c r="D262" s="141" t="s">
        <v>222</v>
      </c>
      <c r="E262" s="141" t="s">
        <v>222</v>
      </c>
      <c r="F262" s="141" t="s">
        <v>222</v>
      </c>
      <c r="G262" s="141" t="s">
        <v>222</v>
      </c>
      <c r="H262" s="141" t="s">
        <v>222</v>
      </c>
      <c r="I262" s="141" t="s">
        <v>222</v>
      </c>
      <c r="J262" s="141" t="s">
        <v>222</v>
      </c>
      <c r="K262" s="141" t="s">
        <v>222</v>
      </c>
      <c r="L262" s="141" t="s">
        <v>222</v>
      </c>
      <c r="M262" s="141" t="s">
        <v>222</v>
      </c>
      <c r="N262" s="141" t="s">
        <v>222</v>
      </c>
      <c r="O262" s="141" t="s">
        <v>222</v>
      </c>
      <c r="P262" s="141" t="s">
        <v>222</v>
      </c>
      <c r="Q262" s="141" t="s">
        <v>222</v>
      </c>
      <c r="R262" s="141" t="s">
        <v>222</v>
      </c>
      <c r="S262" s="141" t="s">
        <v>222</v>
      </c>
      <c r="T262" s="141" t="s">
        <v>222</v>
      </c>
      <c r="U262" s="141" t="s">
        <v>222</v>
      </c>
      <c r="V262" s="141" t="s">
        <v>222</v>
      </c>
      <c r="W262" s="141"/>
      <c r="X262" s="141"/>
      <c r="Y262" s="141"/>
      <c r="Z262" s="141"/>
    </row>
    <row r="263">
      <c r="A263" s="141"/>
      <c r="B263" s="141" t="s">
        <v>222</v>
      </c>
      <c r="C263" s="141" t="s">
        <v>222</v>
      </c>
      <c r="D263" s="141" t="s">
        <v>222</v>
      </c>
      <c r="E263" s="141" t="s">
        <v>222</v>
      </c>
      <c r="F263" s="141" t="s">
        <v>222</v>
      </c>
      <c r="G263" s="141" t="s">
        <v>222</v>
      </c>
      <c r="H263" s="141" t="s">
        <v>222</v>
      </c>
      <c r="I263" s="141" t="s">
        <v>222</v>
      </c>
      <c r="J263" s="141" t="s">
        <v>222</v>
      </c>
      <c r="K263" s="141" t="s">
        <v>222</v>
      </c>
      <c r="L263" s="141" t="s">
        <v>222</v>
      </c>
      <c r="M263" s="141" t="s">
        <v>222</v>
      </c>
      <c r="N263" s="141" t="s">
        <v>222</v>
      </c>
      <c r="O263" s="141" t="s">
        <v>222</v>
      </c>
      <c r="P263" s="141" t="s">
        <v>222</v>
      </c>
      <c r="Q263" s="141" t="s">
        <v>222</v>
      </c>
      <c r="R263" s="141" t="s">
        <v>222</v>
      </c>
      <c r="S263" s="141" t="s">
        <v>222</v>
      </c>
      <c r="T263" s="141" t="s">
        <v>222</v>
      </c>
      <c r="U263" s="141" t="s">
        <v>222</v>
      </c>
      <c r="V263" s="141" t="s">
        <v>222</v>
      </c>
      <c r="W263" s="141"/>
      <c r="X263" s="141"/>
      <c r="Y263" s="141"/>
      <c r="Z263" s="141"/>
    </row>
    <row r="264">
      <c r="A264" s="141"/>
      <c r="B264" s="141" t="s">
        <v>222</v>
      </c>
      <c r="C264" s="141" t="s">
        <v>222</v>
      </c>
      <c r="D264" s="141" t="s">
        <v>222</v>
      </c>
      <c r="E264" s="141" t="s">
        <v>222</v>
      </c>
      <c r="F264" s="141" t="s">
        <v>222</v>
      </c>
      <c r="G264" s="141" t="s">
        <v>222</v>
      </c>
      <c r="H264" s="141" t="s">
        <v>222</v>
      </c>
      <c r="I264" s="141" t="s">
        <v>222</v>
      </c>
      <c r="J264" s="141" t="s">
        <v>222</v>
      </c>
      <c r="K264" s="141" t="s">
        <v>222</v>
      </c>
      <c r="L264" s="141" t="s">
        <v>222</v>
      </c>
      <c r="M264" s="141" t="s">
        <v>222</v>
      </c>
      <c r="N264" s="141" t="s">
        <v>222</v>
      </c>
      <c r="O264" s="141" t="s">
        <v>222</v>
      </c>
      <c r="P264" s="141" t="s">
        <v>222</v>
      </c>
      <c r="Q264" s="141" t="s">
        <v>222</v>
      </c>
      <c r="R264" s="141" t="s">
        <v>222</v>
      </c>
      <c r="S264" s="141" t="s">
        <v>222</v>
      </c>
      <c r="T264" s="141" t="s">
        <v>222</v>
      </c>
      <c r="U264" s="141" t="s">
        <v>222</v>
      </c>
      <c r="V264" s="141" t="s">
        <v>222</v>
      </c>
      <c r="W264" s="141"/>
      <c r="X264" s="141"/>
      <c r="Y264" s="141"/>
      <c r="Z264" s="141"/>
    </row>
    <row r="265">
      <c r="A265" s="141"/>
      <c r="B265" s="141" t="s">
        <v>222</v>
      </c>
      <c r="C265" s="141" t="s">
        <v>222</v>
      </c>
      <c r="D265" s="141" t="s">
        <v>222</v>
      </c>
      <c r="E265" s="141" t="s">
        <v>222</v>
      </c>
      <c r="F265" s="141" t="s">
        <v>222</v>
      </c>
      <c r="G265" s="141" t="s">
        <v>222</v>
      </c>
      <c r="H265" s="141" t="s">
        <v>222</v>
      </c>
      <c r="I265" s="141" t="s">
        <v>222</v>
      </c>
      <c r="J265" s="141" t="s">
        <v>222</v>
      </c>
      <c r="K265" s="141" t="s">
        <v>222</v>
      </c>
      <c r="L265" s="141" t="s">
        <v>222</v>
      </c>
      <c r="M265" s="141" t="s">
        <v>222</v>
      </c>
      <c r="N265" s="141" t="s">
        <v>222</v>
      </c>
      <c r="O265" s="141" t="s">
        <v>222</v>
      </c>
      <c r="P265" s="141" t="s">
        <v>222</v>
      </c>
      <c r="Q265" s="141" t="s">
        <v>222</v>
      </c>
      <c r="R265" s="141" t="s">
        <v>222</v>
      </c>
      <c r="S265" s="141" t="s">
        <v>222</v>
      </c>
      <c r="T265" s="141" t="s">
        <v>222</v>
      </c>
      <c r="U265" s="141" t="s">
        <v>222</v>
      </c>
      <c r="V265" s="141" t="s">
        <v>222</v>
      </c>
      <c r="W265" s="141"/>
      <c r="X265" s="141"/>
      <c r="Y265" s="141"/>
      <c r="Z265" s="141"/>
    </row>
    <row r="266">
      <c r="A266" s="141"/>
      <c r="B266" s="141" t="s">
        <v>222</v>
      </c>
      <c r="C266" s="141" t="s">
        <v>222</v>
      </c>
      <c r="D266" s="141" t="s">
        <v>222</v>
      </c>
      <c r="E266" s="141" t="s">
        <v>222</v>
      </c>
      <c r="F266" s="141" t="s">
        <v>222</v>
      </c>
      <c r="G266" s="141" t="s">
        <v>222</v>
      </c>
      <c r="H266" s="141" t="s">
        <v>222</v>
      </c>
      <c r="I266" s="141" t="s">
        <v>222</v>
      </c>
      <c r="J266" s="141" t="s">
        <v>222</v>
      </c>
      <c r="K266" s="141" t="s">
        <v>222</v>
      </c>
      <c r="L266" s="141" t="s">
        <v>222</v>
      </c>
      <c r="M266" s="141" t="s">
        <v>222</v>
      </c>
      <c r="N266" s="141" t="s">
        <v>222</v>
      </c>
      <c r="O266" s="141" t="s">
        <v>222</v>
      </c>
      <c r="P266" s="141" t="s">
        <v>222</v>
      </c>
      <c r="Q266" s="141" t="s">
        <v>222</v>
      </c>
      <c r="R266" s="141" t="s">
        <v>222</v>
      </c>
      <c r="S266" s="141" t="s">
        <v>222</v>
      </c>
      <c r="T266" s="141" t="s">
        <v>222</v>
      </c>
      <c r="U266" s="141" t="s">
        <v>222</v>
      </c>
      <c r="V266" s="141" t="s">
        <v>222</v>
      </c>
      <c r="W266" s="141"/>
      <c r="X266" s="141"/>
      <c r="Y266" s="141"/>
      <c r="Z266" s="141"/>
    </row>
    <row r="267">
      <c r="A267" s="141"/>
      <c r="B267" s="141" t="s">
        <v>222</v>
      </c>
      <c r="C267" s="141" t="s">
        <v>222</v>
      </c>
      <c r="D267" s="141" t="s">
        <v>222</v>
      </c>
      <c r="E267" s="141" t="s">
        <v>222</v>
      </c>
      <c r="F267" s="141" t="s">
        <v>222</v>
      </c>
      <c r="G267" s="141" t="s">
        <v>222</v>
      </c>
      <c r="H267" s="141" t="s">
        <v>222</v>
      </c>
      <c r="I267" s="141" t="s">
        <v>222</v>
      </c>
      <c r="J267" s="141" t="s">
        <v>222</v>
      </c>
      <c r="K267" s="141" t="s">
        <v>222</v>
      </c>
      <c r="L267" s="141" t="s">
        <v>222</v>
      </c>
      <c r="M267" s="141" t="s">
        <v>222</v>
      </c>
      <c r="N267" s="141" t="s">
        <v>222</v>
      </c>
      <c r="O267" s="141" t="s">
        <v>222</v>
      </c>
      <c r="P267" s="141" t="s">
        <v>222</v>
      </c>
      <c r="Q267" s="141" t="s">
        <v>222</v>
      </c>
      <c r="R267" s="141" t="s">
        <v>222</v>
      </c>
      <c r="S267" s="141" t="s">
        <v>222</v>
      </c>
      <c r="T267" s="141" t="s">
        <v>222</v>
      </c>
      <c r="U267" s="141" t="s">
        <v>222</v>
      </c>
      <c r="V267" s="141" t="s">
        <v>222</v>
      </c>
      <c r="W267" s="141"/>
      <c r="X267" s="141"/>
      <c r="Y267" s="141"/>
      <c r="Z267" s="141"/>
    </row>
    <row r="268">
      <c r="A268" s="141"/>
      <c r="B268" s="141" t="s">
        <v>222</v>
      </c>
      <c r="C268" s="141" t="s">
        <v>222</v>
      </c>
      <c r="D268" s="141" t="s">
        <v>222</v>
      </c>
      <c r="E268" s="141" t="s">
        <v>222</v>
      </c>
      <c r="F268" s="141" t="s">
        <v>222</v>
      </c>
      <c r="G268" s="141" t="s">
        <v>222</v>
      </c>
      <c r="H268" s="141" t="s">
        <v>222</v>
      </c>
      <c r="I268" s="141" t="s">
        <v>222</v>
      </c>
      <c r="J268" s="141" t="s">
        <v>222</v>
      </c>
      <c r="K268" s="141" t="s">
        <v>222</v>
      </c>
      <c r="L268" s="141" t="s">
        <v>222</v>
      </c>
      <c r="M268" s="141" t="s">
        <v>222</v>
      </c>
      <c r="N268" s="141" t="s">
        <v>222</v>
      </c>
      <c r="O268" s="141" t="s">
        <v>222</v>
      </c>
      <c r="P268" s="141" t="s">
        <v>222</v>
      </c>
      <c r="Q268" s="141" t="s">
        <v>222</v>
      </c>
      <c r="R268" s="141" t="s">
        <v>222</v>
      </c>
      <c r="S268" s="141" t="s">
        <v>222</v>
      </c>
      <c r="T268" s="141" t="s">
        <v>222</v>
      </c>
      <c r="U268" s="141" t="s">
        <v>222</v>
      </c>
      <c r="V268" s="141" t="s">
        <v>222</v>
      </c>
      <c r="W268" s="141"/>
      <c r="X268" s="141"/>
      <c r="Y268" s="141"/>
      <c r="Z268" s="141"/>
    </row>
    <row r="269">
      <c r="A269" s="141"/>
      <c r="B269" s="141" t="s">
        <v>222</v>
      </c>
      <c r="C269" s="141" t="s">
        <v>222</v>
      </c>
      <c r="D269" s="141" t="s">
        <v>222</v>
      </c>
      <c r="E269" s="141" t="s">
        <v>222</v>
      </c>
      <c r="F269" s="141" t="s">
        <v>222</v>
      </c>
      <c r="G269" s="141" t="s">
        <v>222</v>
      </c>
      <c r="H269" s="141" t="s">
        <v>222</v>
      </c>
      <c r="I269" s="141" t="s">
        <v>222</v>
      </c>
      <c r="J269" s="141" t="s">
        <v>222</v>
      </c>
      <c r="K269" s="141" t="s">
        <v>222</v>
      </c>
      <c r="L269" s="141" t="s">
        <v>222</v>
      </c>
      <c r="M269" s="141" t="s">
        <v>222</v>
      </c>
      <c r="N269" s="141" t="s">
        <v>222</v>
      </c>
      <c r="O269" s="141" t="s">
        <v>222</v>
      </c>
      <c r="P269" s="141" t="s">
        <v>222</v>
      </c>
      <c r="Q269" s="141" t="s">
        <v>222</v>
      </c>
      <c r="R269" s="141" t="s">
        <v>222</v>
      </c>
      <c r="S269" s="141" t="s">
        <v>222</v>
      </c>
      <c r="T269" s="141" t="s">
        <v>222</v>
      </c>
      <c r="U269" s="141" t="s">
        <v>222</v>
      </c>
      <c r="V269" s="141" t="s">
        <v>222</v>
      </c>
      <c r="W269" s="141"/>
      <c r="X269" s="141"/>
      <c r="Y269" s="141"/>
      <c r="Z269" s="141"/>
    </row>
    <row r="270">
      <c r="A270" s="141"/>
      <c r="B270" s="141" t="s">
        <v>222</v>
      </c>
      <c r="C270" s="141" t="s">
        <v>222</v>
      </c>
      <c r="D270" s="141" t="s">
        <v>222</v>
      </c>
      <c r="E270" s="141" t="s">
        <v>222</v>
      </c>
      <c r="F270" s="141" t="s">
        <v>222</v>
      </c>
      <c r="G270" s="141" t="s">
        <v>222</v>
      </c>
      <c r="H270" s="141" t="s">
        <v>222</v>
      </c>
      <c r="I270" s="141" t="s">
        <v>222</v>
      </c>
      <c r="J270" s="141" t="s">
        <v>222</v>
      </c>
      <c r="K270" s="141" t="s">
        <v>222</v>
      </c>
      <c r="L270" s="141" t="s">
        <v>222</v>
      </c>
      <c r="M270" s="141" t="s">
        <v>222</v>
      </c>
      <c r="N270" s="141" t="s">
        <v>222</v>
      </c>
      <c r="O270" s="141" t="s">
        <v>222</v>
      </c>
      <c r="P270" s="141" t="s">
        <v>222</v>
      </c>
      <c r="Q270" s="141" t="s">
        <v>222</v>
      </c>
      <c r="R270" s="141" t="s">
        <v>222</v>
      </c>
      <c r="S270" s="141" t="s">
        <v>222</v>
      </c>
      <c r="T270" s="141" t="s">
        <v>222</v>
      </c>
      <c r="U270" s="141" t="s">
        <v>222</v>
      </c>
      <c r="V270" s="141" t="s">
        <v>222</v>
      </c>
      <c r="W270" s="141"/>
      <c r="X270" s="141"/>
      <c r="Y270" s="141"/>
      <c r="Z270" s="141"/>
    </row>
    <row r="271">
      <c r="A271" s="141"/>
      <c r="B271" s="141" t="s">
        <v>222</v>
      </c>
      <c r="C271" s="141" t="s">
        <v>222</v>
      </c>
      <c r="D271" s="141" t="s">
        <v>222</v>
      </c>
      <c r="E271" s="141" t="s">
        <v>222</v>
      </c>
      <c r="F271" s="141" t="s">
        <v>222</v>
      </c>
      <c r="G271" s="141" t="s">
        <v>222</v>
      </c>
      <c r="H271" s="141" t="s">
        <v>222</v>
      </c>
      <c r="I271" s="141" t="s">
        <v>222</v>
      </c>
      <c r="J271" s="141" t="s">
        <v>222</v>
      </c>
      <c r="K271" s="141" t="s">
        <v>222</v>
      </c>
      <c r="L271" s="141" t="s">
        <v>222</v>
      </c>
      <c r="M271" s="141" t="s">
        <v>222</v>
      </c>
      <c r="N271" s="141" t="s">
        <v>222</v>
      </c>
      <c r="O271" s="141" t="s">
        <v>222</v>
      </c>
      <c r="P271" s="141" t="s">
        <v>222</v>
      </c>
      <c r="Q271" s="141" t="s">
        <v>222</v>
      </c>
      <c r="R271" s="141" t="s">
        <v>222</v>
      </c>
      <c r="S271" s="141" t="s">
        <v>222</v>
      </c>
      <c r="T271" s="141" t="s">
        <v>222</v>
      </c>
      <c r="U271" s="141" t="s">
        <v>222</v>
      </c>
      <c r="V271" s="141" t="s">
        <v>222</v>
      </c>
      <c r="W271" s="141"/>
      <c r="X271" s="141"/>
      <c r="Y271" s="141"/>
      <c r="Z271" s="141"/>
    </row>
    <row r="272">
      <c r="A272" s="141"/>
      <c r="B272" s="141" t="s">
        <v>222</v>
      </c>
      <c r="C272" s="141" t="s">
        <v>222</v>
      </c>
      <c r="D272" s="141" t="s">
        <v>222</v>
      </c>
      <c r="E272" s="141" t="s">
        <v>222</v>
      </c>
      <c r="F272" s="141" t="s">
        <v>222</v>
      </c>
      <c r="G272" s="141" t="s">
        <v>222</v>
      </c>
      <c r="H272" s="141" t="s">
        <v>222</v>
      </c>
      <c r="I272" s="141" t="s">
        <v>222</v>
      </c>
      <c r="J272" s="141" t="s">
        <v>222</v>
      </c>
      <c r="K272" s="141" t="s">
        <v>222</v>
      </c>
      <c r="L272" s="141" t="s">
        <v>222</v>
      </c>
      <c r="M272" s="141" t="s">
        <v>222</v>
      </c>
      <c r="N272" s="141" t="s">
        <v>222</v>
      </c>
      <c r="O272" s="141" t="s">
        <v>222</v>
      </c>
      <c r="P272" s="141" t="s">
        <v>222</v>
      </c>
      <c r="Q272" s="141" t="s">
        <v>222</v>
      </c>
      <c r="R272" s="141" t="s">
        <v>222</v>
      </c>
      <c r="S272" s="141" t="s">
        <v>222</v>
      </c>
      <c r="T272" s="141" t="s">
        <v>222</v>
      </c>
      <c r="U272" s="141" t="s">
        <v>222</v>
      </c>
      <c r="V272" s="141" t="s">
        <v>222</v>
      </c>
      <c r="W272" s="141"/>
      <c r="X272" s="141"/>
      <c r="Y272" s="141"/>
      <c r="Z272" s="141"/>
    </row>
    <row r="273">
      <c r="A273" s="141"/>
      <c r="B273" s="141" t="s">
        <v>222</v>
      </c>
      <c r="C273" s="141" t="s">
        <v>222</v>
      </c>
      <c r="D273" s="141" t="s">
        <v>222</v>
      </c>
      <c r="E273" s="141" t="s">
        <v>222</v>
      </c>
      <c r="F273" s="141" t="s">
        <v>222</v>
      </c>
      <c r="G273" s="141" t="s">
        <v>222</v>
      </c>
      <c r="H273" s="141" t="s">
        <v>222</v>
      </c>
      <c r="I273" s="141" t="s">
        <v>222</v>
      </c>
      <c r="J273" s="141" t="s">
        <v>222</v>
      </c>
      <c r="K273" s="141" t="s">
        <v>222</v>
      </c>
      <c r="L273" s="141" t="s">
        <v>222</v>
      </c>
      <c r="M273" s="141" t="s">
        <v>222</v>
      </c>
      <c r="N273" s="141" t="s">
        <v>222</v>
      </c>
      <c r="O273" s="141" t="s">
        <v>222</v>
      </c>
      <c r="P273" s="141" t="s">
        <v>222</v>
      </c>
      <c r="Q273" s="141" t="s">
        <v>222</v>
      </c>
      <c r="R273" s="141" t="s">
        <v>222</v>
      </c>
      <c r="S273" s="141" t="s">
        <v>222</v>
      </c>
      <c r="T273" s="141" t="s">
        <v>222</v>
      </c>
      <c r="U273" s="141" t="s">
        <v>222</v>
      </c>
      <c r="V273" s="141" t="s">
        <v>222</v>
      </c>
      <c r="W273" s="141"/>
      <c r="X273" s="141"/>
      <c r="Y273" s="141"/>
      <c r="Z273" s="141"/>
    </row>
    <row r="274">
      <c r="A274" s="141"/>
      <c r="B274" s="141" t="s">
        <v>222</v>
      </c>
      <c r="C274" s="141" t="s">
        <v>222</v>
      </c>
      <c r="D274" s="141" t="s">
        <v>222</v>
      </c>
      <c r="E274" s="141" t="s">
        <v>222</v>
      </c>
      <c r="F274" s="141" t="s">
        <v>222</v>
      </c>
      <c r="G274" s="141" t="s">
        <v>222</v>
      </c>
      <c r="H274" s="141" t="s">
        <v>222</v>
      </c>
      <c r="I274" s="141" t="s">
        <v>222</v>
      </c>
      <c r="J274" s="141" t="s">
        <v>222</v>
      </c>
      <c r="K274" s="141" t="s">
        <v>222</v>
      </c>
      <c r="L274" s="141" t="s">
        <v>222</v>
      </c>
      <c r="M274" s="141" t="s">
        <v>222</v>
      </c>
      <c r="N274" s="141" t="s">
        <v>222</v>
      </c>
      <c r="O274" s="141" t="s">
        <v>222</v>
      </c>
      <c r="P274" s="141" t="s">
        <v>222</v>
      </c>
      <c r="Q274" s="141" t="s">
        <v>222</v>
      </c>
      <c r="R274" s="141" t="s">
        <v>222</v>
      </c>
      <c r="S274" s="141" t="s">
        <v>222</v>
      </c>
      <c r="T274" s="141" t="s">
        <v>222</v>
      </c>
      <c r="U274" s="141" t="s">
        <v>222</v>
      </c>
      <c r="V274" s="141" t="s">
        <v>222</v>
      </c>
      <c r="W274" s="141"/>
      <c r="X274" s="141"/>
      <c r="Y274" s="141"/>
      <c r="Z274" s="141"/>
    </row>
    <row r="275">
      <c r="A275" s="141"/>
      <c r="B275" s="141" t="s">
        <v>222</v>
      </c>
      <c r="C275" s="141" t="s">
        <v>222</v>
      </c>
      <c r="D275" s="141" t="s">
        <v>222</v>
      </c>
      <c r="E275" s="141" t="s">
        <v>222</v>
      </c>
      <c r="F275" s="141" t="s">
        <v>222</v>
      </c>
      <c r="G275" s="141" t="s">
        <v>222</v>
      </c>
      <c r="H275" s="141" t="s">
        <v>222</v>
      </c>
      <c r="I275" s="141" t="s">
        <v>222</v>
      </c>
      <c r="J275" s="141" t="s">
        <v>222</v>
      </c>
      <c r="K275" s="141" t="s">
        <v>222</v>
      </c>
      <c r="L275" s="141" t="s">
        <v>222</v>
      </c>
      <c r="M275" s="141" t="s">
        <v>222</v>
      </c>
      <c r="N275" s="141" t="s">
        <v>222</v>
      </c>
      <c r="O275" s="141" t="s">
        <v>222</v>
      </c>
      <c r="P275" s="141" t="s">
        <v>222</v>
      </c>
      <c r="Q275" s="141" t="s">
        <v>222</v>
      </c>
      <c r="R275" s="141" t="s">
        <v>222</v>
      </c>
      <c r="S275" s="141" t="s">
        <v>222</v>
      </c>
      <c r="T275" s="141" t="s">
        <v>222</v>
      </c>
      <c r="U275" s="141" t="s">
        <v>222</v>
      </c>
      <c r="V275" s="141" t="s">
        <v>222</v>
      </c>
      <c r="W275" s="141"/>
      <c r="X275" s="141"/>
      <c r="Y275" s="141"/>
      <c r="Z275" s="141"/>
    </row>
    <row r="276">
      <c r="A276" s="141"/>
      <c r="B276" s="141" t="s">
        <v>222</v>
      </c>
      <c r="C276" s="141" t="s">
        <v>222</v>
      </c>
      <c r="D276" s="141" t="s">
        <v>222</v>
      </c>
      <c r="E276" s="141" t="s">
        <v>222</v>
      </c>
      <c r="F276" s="141" t="s">
        <v>222</v>
      </c>
      <c r="G276" s="141" t="s">
        <v>222</v>
      </c>
      <c r="H276" s="141" t="s">
        <v>222</v>
      </c>
      <c r="I276" s="141" t="s">
        <v>222</v>
      </c>
      <c r="J276" s="141" t="s">
        <v>222</v>
      </c>
      <c r="K276" s="141" t="s">
        <v>222</v>
      </c>
      <c r="L276" s="141" t="s">
        <v>222</v>
      </c>
      <c r="M276" s="141" t="s">
        <v>222</v>
      </c>
      <c r="N276" s="141" t="s">
        <v>222</v>
      </c>
      <c r="O276" s="141" t="s">
        <v>222</v>
      </c>
      <c r="P276" s="141" t="s">
        <v>222</v>
      </c>
      <c r="Q276" s="141" t="s">
        <v>222</v>
      </c>
      <c r="R276" s="141" t="s">
        <v>222</v>
      </c>
      <c r="S276" s="141" t="s">
        <v>222</v>
      </c>
      <c r="T276" s="141" t="s">
        <v>222</v>
      </c>
      <c r="U276" s="141" t="s">
        <v>222</v>
      </c>
      <c r="V276" s="141" t="s">
        <v>222</v>
      </c>
      <c r="W276" s="141"/>
      <c r="X276" s="141"/>
      <c r="Y276" s="141"/>
      <c r="Z276" s="141"/>
    </row>
    <row r="277">
      <c r="A277" s="141"/>
      <c r="B277" s="141" t="s">
        <v>222</v>
      </c>
      <c r="C277" s="141" t="s">
        <v>222</v>
      </c>
      <c r="D277" s="141" t="s">
        <v>222</v>
      </c>
      <c r="E277" s="141" t="s">
        <v>222</v>
      </c>
      <c r="F277" s="141" t="s">
        <v>222</v>
      </c>
      <c r="G277" s="141" t="s">
        <v>222</v>
      </c>
      <c r="H277" s="141" t="s">
        <v>222</v>
      </c>
      <c r="I277" s="141" t="s">
        <v>222</v>
      </c>
      <c r="J277" s="141" t="s">
        <v>222</v>
      </c>
      <c r="K277" s="141" t="s">
        <v>222</v>
      </c>
      <c r="L277" s="141" t="s">
        <v>222</v>
      </c>
      <c r="M277" s="141" t="s">
        <v>222</v>
      </c>
      <c r="N277" s="141" t="s">
        <v>222</v>
      </c>
      <c r="O277" s="141" t="s">
        <v>222</v>
      </c>
      <c r="P277" s="141" t="s">
        <v>222</v>
      </c>
      <c r="Q277" s="141" t="s">
        <v>222</v>
      </c>
      <c r="R277" s="141" t="s">
        <v>222</v>
      </c>
      <c r="S277" s="141" t="s">
        <v>222</v>
      </c>
      <c r="T277" s="141" t="s">
        <v>222</v>
      </c>
      <c r="U277" s="141" t="s">
        <v>222</v>
      </c>
      <c r="V277" s="141" t="s">
        <v>222</v>
      </c>
      <c r="W277" s="141"/>
      <c r="X277" s="141"/>
      <c r="Y277" s="141"/>
      <c r="Z277" s="141"/>
    </row>
    <row r="278">
      <c r="A278" s="141"/>
      <c r="B278" s="141" t="s">
        <v>222</v>
      </c>
      <c r="C278" s="141" t="s">
        <v>222</v>
      </c>
      <c r="D278" s="141" t="s">
        <v>222</v>
      </c>
      <c r="E278" s="141" t="s">
        <v>222</v>
      </c>
      <c r="F278" s="141" t="s">
        <v>222</v>
      </c>
      <c r="G278" s="141" t="s">
        <v>222</v>
      </c>
      <c r="H278" s="141" t="s">
        <v>222</v>
      </c>
      <c r="I278" s="141" t="s">
        <v>222</v>
      </c>
      <c r="J278" s="141" t="s">
        <v>222</v>
      </c>
      <c r="K278" s="141" t="s">
        <v>222</v>
      </c>
      <c r="L278" s="141" t="s">
        <v>222</v>
      </c>
      <c r="M278" s="141" t="s">
        <v>222</v>
      </c>
      <c r="N278" s="141" t="s">
        <v>222</v>
      </c>
      <c r="O278" s="141" t="s">
        <v>222</v>
      </c>
      <c r="P278" s="141" t="s">
        <v>222</v>
      </c>
      <c r="Q278" s="141" t="s">
        <v>222</v>
      </c>
      <c r="R278" s="141" t="s">
        <v>222</v>
      </c>
      <c r="S278" s="141" t="s">
        <v>222</v>
      </c>
      <c r="T278" s="141" t="s">
        <v>222</v>
      </c>
      <c r="U278" s="141" t="s">
        <v>222</v>
      </c>
      <c r="V278" s="141" t="s">
        <v>222</v>
      </c>
      <c r="W278" s="141"/>
      <c r="X278" s="141"/>
      <c r="Y278" s="141"/>
      <c r="Z278" s="141"/>
    </row>
    <row r="279">
      <c r="A279" s="141"/>
      <c r="B279" s="141" t="s">
        <v>222</v>
      </c>
      <c r="C279" s="141" t="s">
        <v>222</v>
      </c>
      <c r="D279" s="141" t="s">
        <v>222</v>
      </c>
      <c r="E279" s="141" t="s">
        <v>222</v>
      </c>
      <c r="F279" s="141" t="s">
        <v>222</v>
      </c>
      <c r="G279" s="141" t="s">
        <v>222</v>
      </c>
      <c r="H279" s="141" t="s">
        <v>222</v>
      </c>
      <c r="I279" s="141" t="s">
        <v>222</v>
      </c>
      <c r="J279" s="141" t="s">
        <v>222</v>
      </c>
      <c r="K279" s="141" t="s">
        <v>222</v>
      </c>
      <c r="L279" s="141" t="s">
        <v>222</v>
      </c>
      <c r="M279" s="141" t="s">
        <v>222</v>
      </c>
      <c r="N279" s="141" t="s">
        <v>222</v>
      </c>
      <c r="O279" s="141" t="s">
        <v>222</v>
      </c>
      <c r="P279" s="141" t="s">
        <v>222</v>
      </c>
      <c r="Q279" s="141" t="s">
        <v>222</v>
      </c>
      <c r="R279" s="141" t="s">
        <v>222</v>
      </c>
      <c r="S279" s="141" t="s">
        <v>222</v>
      </c>
      <c r="T279" s="141" t="s">
        <v>222</v>
      </c>
      <c r="U279" s="141" t="s">
        <v>222</v>
      </c>
      <c r="V279" s="141" t="s">
        <v>222</v>
      </c>
      <c r="W279" s="141"/>
      <c r="X279" s="141"/>
      <c r="Y279" s="141"/>
      <c r="Z279" s="141"/>
    </row>
    <row r="280">
      <c r="A280" s="141"/>
      <c r="B280" s="141" t="s">
        <v>222</v>
      </c>
      <c r="C280" s="141" t="s">
        <v>222</v>
      </c>
      <c r="D280" s="141" t="s">
        <v>222</v>
      </c>
      <c r="E280" s="141" t="s">
        <v>222</v>
      </c>
      <c r="F280" s="141" t="s">
        <v>222</v>
      </c>
      <c r="G280" s="141" t="s">
        <v>222</v>
      </c>
      <c r="H280" s="141" t="s">
        <v>222</v>
      </c>
      <c r="I280" s="141" t="s">
        <v>222</v>
      </c>
      <c r="J280" s="141" t="s">
        <v>222</v>
      </c>
      <c r="K280" s="141" t="s">
        <v>222</v>
      </c>
      <c r="L280" s="141" t="s">
        <v>222</v>
      </c>
      <c r="M280" s="141" t="s">
        <v>222</v>
      </c>
      <c r="N280" s="141" t="s">
        <v>222</v>
      </c>
      <c r="O280" s="141" t="s">
        <v>222</v>
      </c>
      <c r="P280" s="141" t="s">
        <v>222</v>
      </c>
      <c r="Q280" s="141" t="s">
        <v>222</v>
      </c>
      <c r="R280" s="141" t="s">
        <v>222</v>
      </c>
      <c r="S280" s="141" t="s">
        <v>222</v>
      </c>
      <c r="T280" s="141" t="s">
        <v>222</v>
      </c>
      <c r="U280" s="141" t="s">
        <v>222</v>
      </c>
      <c r="V280" s="141" t="s">
        <v>222</v>
      </c>
      <c r="W280" s="141"/>
      <c r="X280" s="141"/>
      <c r="Y280" s="141"/>
      <c r="Z280" s="141"/>
    </row>
    <row r="281">
      <c r="A281" s="141"/>
      <c r="B281" s="141" t="s">
        <v>222</v>
      </c>
      <c r="C281" s="141" t="s">
        <v>222</v>
      </c>
      <c r="D281" s="141" t="s">
        <v>222</v>
      </c>
      <c r="E281" s="141" t="s">
        <v>222</v>
      </c>
      <c r="F281" s="141" t="s">
        <v>222</v>
      </c>
      <c r="G281" s="141" t="s">
        <v>222</v>
      </c>
      <c r="H281" s="141" t="s">
        <v>222</v>
      </c>
      <c r="I281" s="141" t="s">
        <v>222</v>
      </c>
      <c r="J281" s="141" t="s">
        <v>222</v>
      </c>
      <c r="K281" s="141" t="s">
        <v>222</v>
      </c>
      <c r="L281" s="141" t="s">
        <v>222</v>
      </c>
      <c r="M281" s="141" t="s">
        <v>222</v>
      </c>
      <c r="N281" s="141" t="s">
        <v>222</v>
      </c>
      <c r="O281" s="141" t="s">
        <v>222</v>
      </c>
      <c r="P281" s="141" t="s">
        <v>222</v>
      </c>
      <c r="Q281" s="141" t="s">
        <v>222</v>
      </c>
      <c r="R281" s="141" t="s">
        <v>222</v>
      </c>
      <c r="S281" s="141" t="s">
        <v>222</v>
      </c>
      <c r="T281" s="141" t="s">
        <v>222</v>
      </c>
      <c r="U281" s="141" t="s">
        <v>222</v>
      </c>
      <c r="V281" s="141" t="s">
        <v>222</v>
      </c>
      <c r="W281" s="141"/>
      <c r="X281" s="141"/>
      <c r="Y281" s="141"/>
      <c r="Z281" s="141"/>
    </row>
    <row r="282">
      <c r="A282" s="141"/>
      <c r="B282" s="141" t="s">
        <v>222</v>
      </c>
      <c r="C282" s="141" t="s">
        <v>222</v>
      </c>
      <c r="D282" s="141" t="s">
        <v>222</v>
      </c>
      <c r="E282" s="141" t="s">
        <v>222</v>
      </c>
      <c r="F282" s="141" t="s">
        <v>222</v>
      </c>
      <c r="G282" s="141" t="s">
        <v>222</v>
      </c>
      <c r="H282" s="141" t="s">
        <v>222</v>
      </c>
      <c r="I282" s="141" t="s">
        <v>222</v>
      </c>
      <c r="J282" s="141" t="s">
        <v>222</v>
      </c>
      <c r="K282" s="141" t="s">
        <v>222</v>
      </c>
      <c r="L282" s="141" t="s">
        <v>222</v>
      </c>
      <c r="M282" s="141" t="s">
        <v>222</v>
      </c>
      <c r="N282" s="141" t="s">
        <v>222</v>
      </c>
      <c r="O282" s="141" t="s">
        <v>222</v>
      </c>
      <c r="P282" s="141" t="s">
        <v>222</v>
      </c>
      <c r="Q282" s="141" t="s">
        <v>222</v>
      </c>
      <c r="R282" s="141" t="s">
        <v>222</v>
      </c>
      <c r="S282" s="141" t="s">
        <v>222</v>
      </c>
      <c r="T282" s="141" t="s">
        <v>222</v>
      </c>
      <c r="U282" s="141" t="s">
        <v>222</v>
      </c>
      <c r="V282" s="141" t="s">
        <v>222</v>
      </c>
      <c r="W282" s="141"/>
      <c r="X282" s="141"/>
      <c r="Y282" s="141"/>
      <c r="Z282" s="141"/>
    </row>
    <row r="283">
      <c r="A283" s="141"/>
      <c r="B283" s="141" t="s">
        <v>222</v>
      </c>
      <c r="C283" s="141" t="s">
        <v>222</v>
      </c>
      <c r="D283" s="141" t="s">
        <v>222</v>
      </c>
      <c r="E283" s="141" t="s">
        <v>222</v>
      </c>
      <c r="F283" s="141" t="s">
        <v>222</v>
      </c>
      <c r="G283" s="141" t="s">
        <v>222</v>
      </c>
      <c r="H283" s="141" t="s">
        <v>222</v>
      </c>
      <c r="I283" s="141" t="s">
        <v>222</v>
      </c>
      <c r="J283" s="141" t="s">
        <v>222</v>
      </c>
      <c r="K283" s="141" t="s">
        <v>222</v>
      </c>
      <c r="L283" s="141" t="s">
        <v>222</v>
      </c>
      <c r="M283" s="141" t="s">
        <v>222</v>
      </c>
      <c r="N283" s="141" t="s">
        <v>222</v>
      </c>
      <c r="O283" s="141" t="s">
        <v>222</v>
      </c>
      <c r="P283" s="141" t="s">
        <v>222</v>
      </c>
      <c r="Q283" s="141" t="s">
        <v>222</v>
      </c>
      <c r="R283" s="141" t="s">
        <v>222</v>
      </c>
      <c r="S283" s="141" t="s">
        <v>222</v>
      </c>
      <c r="T283" s="141" t="s">
        <v>222</v>
      </c>
      <c r="U283" s="141" t="s">
        <v>222</v>
      </c>
      <c r="V283" s="141" t="s">
        <v>222</v>
      </c>
      <c r="W283" s="141"/>
      <c r="X283" s="141"/>
      <c r="Y283" s="141"/>
      <c r="Z283" s="141"/>
    </row>
    <row r="284">
      <c r="A284" s="141"/>
      <c r="B284" s="141" t="s">
        <v>222</v>
      </c>
      <c r="C284" s="141" t="s">
        <v>222</v>
      </c>
      <c r="D284" s="141" t="s">
        <v>222</v>
      </c>
      <c r="E284" s="141" t="s">
        <v>222</v>
      </c>
      <c r="F284" s="141" t="s">
        <v>222</v>
      </c>
      <c r="G284" s="141" t="s">
        <v>222</v>
      </c>
      <c r="H284" s="141" t="s">
        <v>222</v>
      </c>
      <c r="I284" s="141" t="s">
        <v>222</v>
      </c>
      <c r="J284" s="141" t="s">
        <v>222</v>
      </c>
      <c r="K284" s="141" t="s">
        <v>222</v>
      </c>
      <c r="L284" s="141" t="s">
        <v>222</v>
      </c>
      <c r="M284" s="141" t="s">
        <v>222</v>
      </c>
      <c r="N284" s="141" t="s">
        <v>222</v>
      </c>
      <c r="O284" s="141" t="s">
        <v>222</v>
      </c>
      <c r="P284" s="141" t="s">
        <v>222</v>
      </c>
      <c r="Q284" s="141" t="s">
        <v>222</v>
      </c>
      <c r="R284" s="141" t="s">
        <v>222</v>
      </c>
      <c r="S284" s="141" t="s">
        <v>222</v>
      </c>
      <c r="T284" s="141" t="s">
        <v>222</v>
      </c>
      <c r="U284" s="141" t="s">
        <v>222</v>
      </c>
      <c r="V284" s="141" t="s">
        <v>222</v>
      </c>
      <c r="W284" s="141"/>
      <c r="X284" s="141"/>
      <c r="Y284" s="141"/>
      <c r="Z284" s="141"/>
    </row>
    <row r="285">
      <c r="A285" s="141"/>
      <c r="B285" s="141" t="s">
        <v>222</v>
      </c>
      <c r="C285" s="141" t="s">
        <v>222</v>
      </c>
      <c r="D285" s="141" t="s">
        <v>222</v>
      </c>
      <c r="E285" s="141" t="s">
        <v>222</v>
      </c>
      <c r="F285" s="141" t="s">
        <v>222</v>
      </c>
      <c r="G285" s="141" t="s">
        <v>222</v>
      </c>
      <c r="H285" s="141" t="s">
        <v>222</v>
      </c>
      <c r="I285" s="141" t="s">
        <v>222</v>
      </c>
      <c r="J285" s="141" t="s">
        <v>222</v>
      </c>
      <c r="K285" s="141" t="s">
        <v>222</v>
      </c>
      <c r="L285" s="141" t="s">
        <v>222</v>
      </c>
      <c r="M285" s="141" t="s">
        <v>222</v>
      </c>
      <c r="N285" s="141" t="s">
        <v>222</v>
      </c>
      <c r="O285" s="141" t="s">
        <v>222</v>
      </c>
      <c r="P285" s="141" t="s">
        <v>222</v>
      </c>
      <c r="Q285" s="141" t="s">
        <v>222</v>
      </c>
      <c r="R285" s="141" t="s">
        <v>222</v>
      </c>
      <c r="S285" s="141" t="s">
        <v>222</v>
      </c>
      <c r="T285" s="141" t="s">
        <v>222</v>
      </c>
      <c r="U285" s="141" t="s">
        <v>222</v>
      </c>
      <c r="V285" s="141" t="s">
        <v>222</v>
      </c>
      <c r="W285" s="141"/>
      <c r="X285" s="141"/>
      <c r="Y285" s="141"/>
      <c r="Z285" s="141"/>
    </row>
    <row r="286">
      <c r="A286" s="141"/>
      <c r="B286" s="141" t="s">
        <v>222</v>
      </c>
      <c r="C286" s="141" t="s">
        <v>222</v>
      </c>
      <c r="D286" s="141" t="s">
        <v>222</v>
      </c>
      <c r="E286" s="141" t="s">
        <v>222</v>
      </c>
      <c r="F286" s="141" t="s">
        <v>222</v>
      </c>
      <c r="G286" s="141" t="s">
        <v>222</v>
      </c>
      <c r="H286" s="141" t="s">
        <v>222</v>
      </c>
      <c r="I286" s="141" t="s">
        <v>222</v>
      </c>
      <c r="J286" s="141" t="s">
        <v>222</v>
      </c>
      <c r="K286" s="141" t="s">
        <v>222</v>
      </c>
      <c r="L286" s="141" t="s">
        <v>222</v>
      </c>
      <c r="M286" s="141" t="s">
        <v>222</v>
      </c>
      <c r="N286" s="141" t="s">
        <v>222</v>
      </c>
      <c r="O286" s="141" t="s">
        <v>222</v>
      </c>
      <c r="P286" s="141" t="s">
        <v>222</v>
      </c>
      <c r="Q286" s="141" t="s">
        <v>222</v>
      </c>
      <c r="R286" s="141" t="s">
        <v>222</v>
      </c>
      <c r="S286" s="141" t="s">
        <v>222</v>
      </c>
      <c r="T286" s="141" t="s">
        <v>222</v>
      </c>
      <c r="U286" s="141" t="s">
        <v>222</v>
      </c>
      <c r="V286" s="141" t="s">
        <v>222</v>
      </c>
      <c r="W286" s="141"/>
      <c r="X286" s="141"/>
      <c r="Y286" s="141"/>
      <c r="Z286" s="141"/>
    </row>
    <row r="287">
      <c r="A287" s="141"/>
      <c r="B287" s="141" t="s">
        <v>222</v>
      </c>
      <c r="C287" s="141" t="s">
        <v>222</v>
      </c>
      <c r="D287" s="141" t="s">
        <v>222</v>
      </c>
      <c r="E287" s="141" t="s">
        <v>222</v>
      </c>
      <c r="F287" s="141" t="s">
        <v>222</v>
      </c>
      <c r="G287" s="141" t="s">
        <v>222</v>
      </c>
      <c r="H287" s="141" t="s">
        <v>222</v>
      </c>
      <c r="I287" s="141" t="s">
        <v>222</v>
      </c>
      <c r="J287" s="141" t="s">
        <v>222</v>
      </c>
      <c r="K287" s="141" t="s">
        <v>222</v>
      </c>
      <c r="L287" s="141" t="s">
        <v>222</v>
      </c>
      <c r="M287" s="141" t="s">
        <v>222</v>
      </c>
      <c r="N287" s="141" t="s">
        <v>222</v>
      </c>
      <c r="O287" s="141" t="s">
        <v>222</v>
      </c>
      <c r="P287" s="141" t="s">
        <v>222</v>
      </c>
      <c r="Q287" s="141" t="s">
        <v>222</v>
      </c>
      <c r="R287" s="141" t="s">
        <v>222</v>
      </c>
      <c r="S287" s="141" t="s">
        <v>222</v>
      </c>
      <c r="T287" s="141" t="s">
        <v>222</v>
      </c>
      <c r="U287" s="141" t="s">
        <v>222</v>
      </c>
      <c r="V287" s="141" t="s">
        <v>222</v>
      </c>
      <c r="W287" s="141"/>
      <c r="X287" s="141"/>
      <c r="Y287" s="141"/>
      <c r="Z287" s="141"/>
    </row>
    <row r="288">
      <c r="A288" s="141"/>
      <c r="B288" s="141" t="s">
        <v>222</v>
      </c>
      <c r="C288" s="141" t="s">
        <v>222</v>
      </c>
      <c r="D288" s="141" t="s">
        <v>222</v>
      </c>
      <c r="E288" s="141" t="s">
        <v>222</v>
      </c>
      <c r="F288" s="141" t="s">
        <v>222</v>
      </c>
      <c r="G288" s="141" t="s">
        <v>222</v>
      </c>
      <c r="H288" s="141" t="s">
        <v>222</v>
      </c>
      <c r="I288" s="141" t="s">
        <v>222</v>
      </c>
      <c r="J288" s="141" t="s">
        <v>222</v>
      </c>
      <c r="K288" s="141" t="s">
        <v>222</v>
      </c>
      <c r="L288" s="141" t="s">
        <v>222</v>
      </c>
      <c r="M288" s="141" t="s">
        <v>222</v>
      </c>
      <c r="N288" s="141" t="s">
        <v>222</v>
      </c>
      <c r="O288" s="141" t="s">
        <v>222</v>
      </c>
      <c r="P288" s="141" t="s">
        <v>222</v>
      </c>
      <c r="Q288" s="141" t="s">
        <v>222</v>
      </c>
      <c r="R288" s="141" t="s">
        <v>222</v>
      </c>
      <c r="S288" s="141" t="s">
        <v>222</v>
      </c>
      <c r="T288" s="141" t="s">
        <v>222</v>
      </c>
      <c r="U288" s="141" t="s">
        <v>222</v>
      </c>
      <c r="V288" s="141" t="s">
        <v>222</v>
      </c>
      <c r="W288" s="141"/>
      <c r="X288" s="141"/>
      <c r="Y288" s="141"/>
      <c r="Z288" s="141"/>
    </row>
    <row r="289">
      <c r="A289" s="141"/>
      <c r="B289" s="141" t="s">
        <v>222</v>
      </c>
      <c r="C289" s="141" t="s">
        <v>222</v>
      </c>
      <c r="D289" s="141" t="s">
        <v>222</v>
      </c>
      <c r="E289" s="141" t="s">
        <v>222</v>
      </c>
      <c r="F289" s="141" t="s">
        <v>222</v>
      </c>
      <c r="G289" s="141" t="s">
        <v>222</v>
      </c>
      <c r="H289" s="141" t="s">
        <v>222</v>
      </c>
      <c r="I289" s="141" t="s">
        <v>222</v>
      </c>
      <c r="J289" s="141" t="s">
        <v>222</v>
      </c>
      <c r="K289" s="141" t="s">
        <v>222</v>
      </c>
      <c r="L289" s="141" t="s">
        <v>222</v>
      </c>
      <c r="M289" s="141" t="s">
        <v>222</v>
      </c>
      <c r="N289" s="141" t="s">
        <v>222</v>
      </c>
      <c r="O289" s="141" t="s">
        <v>222</v>
      </c>
      <c r="P289" s="141" t="s">
        <v>222</v>
      </c>
      <c r="Q289" s="141" t="s">
        <v>222</v>
      </c>
      <c r="R289" s="141" t="s">
        <v>222</v>
      </c>
      <c r="S289" s="141" t="s">
        <v>222</v>
      </c>
      <c r="T289" s="141" t="s">
        <v>222</v>
      </c>
      <c r="U289" s="141" t="s">
        <v>222</v>
      </c>
      <c r="V289" s="141" t="s">
        <v>222</v>
      </c>
      <c r="W289" s="141"/>
      <c r="X289" s="141"/>
      <c r="Y289" s="141"/>
      <c r="Z289" s="141"/>
    </row>
    <row r="290">
      <c r="A290" s="141"/>
      <c r="B290" s="141" t="s">
        <v>222</v>
      </c>
      <c r="C290" s="141" t="s">
        <v>222</v>
      </c>
      <c r="D290" s="141" t="s">
        <v>222</v>
      </c>
      <c r="E290" s="141" t="s">
        <v>222</v>
      </c>
      <c r="F290" s="141" t="s">
        <v>222</v>
      </c>
      <c r="G290" s="141" t="s">
        <v>222</v>
      </c>
      <c r="H290" s="141" t="s">
        <v>222</v>
      </c>
      <c r="I290" s="141" t="s">
        <v>222</v>
      </c>
      <c r="J290" s="141" t="s">
        <v>222</v>
      </c>
      <c r="K290" s="141" t="s">
        <v>222</v>
      </c>
      <c r="L290" s="141" t="s">
        <v>222</v>
      </c>
      <c r="M290" s="141" t="s">
        <v>222</v>
      </c>
      <c r="N290" s="141" t="s">
        <v>222</v>
      </c>
      <c r="O290" s="141" t="s">
        <v>222</v>
      </c>
      <c r="P290" s="141" t="s">
        <v>222</v>
      </c>
      <c r="Q290" s="141" t="s">
        <v>222</v>
      </c>
      <c r="R290" s="141" t="s">
        <v>222</v>
      </c>
      <c r="S290" s="141" t="s">
        <v>222</v>
      </c>
      <c r="T290" s="141" t="s">
        <v>222</v>
      </c>
      <c r="U290" s="141" t="s">
        <v>222</v>
      </c>
      <c r="V290" s="141" t="s">
        <v>222</v>
      </c>
      <c r="W290" s="141"/>
      <c r="X290" s="141"/>
      <c r="Y290" s="141"/>
      <c r="Z290" s="141"/>
    </row>
    <row r="291">
      <c r="A291" s="141"/>
      <c r="B291" s="141" t="s">
        <v>222</v>
      </c>
      <c r="C291" s="141" t="s">
        <v>222</v>
      </c>
      <c r="D291" s="141" t="s">
        <v>222</v>
      </c>
      <c r="E291" s="141" t="s">
        <v>222</v>
      </c>
      <c r="F291" s="141" t="s">
        <v>222</v>
      </c>
      <c r="G291" s="141" t="s">
        <v>222</v>
      </c>
      <c r="H291" s="141" t="s">
        <v>222</v>
      </c>
      <c r="I291" s="141" t="s">
        <v>222</v>
      </c>
      <c r="J291" s="141" t="s">
        <v>222</v>
      </c>
      <c r="K291" s="141" t="s">
        <v>222</v>
      </c>
      <c r="L291" s="141" t="s">
        <v>222</v>
      </c>
      <c r="M291" s="141" t="s">
        <v>222</v>
      </c>
      <c r="N291" s="141" t="s">
        <v>222</v>
      </c>
      <c r="O291" s="141" t="s">
        <v>222</v>
      </c>
      <c r="P291" s="141" t="s">
        <v>222</v>
      </c>
      <c r="Q291" s="141" t="s">
        <v>222</v>
      </c>
      <c r="R291" s="141" t="s">
        <v>222</v>
      </c>
      <c r="S291" s="141" t="s">
        <v>222</v>
      </c>
      <c r="T291" s="141" t="s">
        <v>222</v>
      </c>
      <c r="U291" s="141" t="s">
        <v>222</v>
      </c>
      <c r="V291" s="141" t="s">
        <v>222</v>
      </c>
      <c r="W291" s="141"/>
      <c r="X291" s="141"/>
      <c r="Y291" s="141"/>
      <c r="Z291" s="141"/>
    </row>
    <row r="292">
      <c r="A292" s="141"/>
      <c r="B292" s="141" t="s">
        <v>222</v>
      </c>
      <c r="C292" s="141" t="s">
        <v>222</v>
      </c>
      <c r="D292" s="141" t="s">
        <v>222</v>
      </c>
      <c r="E292" s="141" t="s">
        <v>222</v>
      </c>
      <c r="F292" s="141" t="s">
        <v>222</v>
      </c>
      <c r="G292" s="141" t="s">
        <v>222</v>
      </c>
      <c r="H292" s="141" t="s">
        <v>222</v>
      </c>
      <c r="I292" s="141" t="s">
        <v>222</v>
      </c>
      <c r="J292" s="141" t="s">
        <v>222</v>
      </c>
      <c r="K292" s="141" t="s">
        <v>222</v>
      </c>
      <c r="L292" s="141" t="s">
        <v>222</v>
      </c>
      <c r="M292" s="141" t="s">
        <v>222</v>
      </c>
      <c r="N292" s="141" t="s">
        <v>222</v>
      </c>
      <c r="O292" s="141" t="s">
        <v>222</v>
      </c>
      <c r="P292" s="141" t="s">
        <v>222</v>
      </c>
      <c r="Q292" s="141" t="s">
        <v>222</v>
      </c>
      <c r="R292" s="141" t="s">
        <v>222</v>
      </c>
      <c r="S292" s="141" t="s">
        <v>222</v>
      </c>
      <c r="T292" s="141" t="s">
        <v>222</v>
      </c>
      <c r="U292" s="141" t="s">
        <v>222</v>
      </c>
      <c r="V292" s="141" t="s">
        <v>222</v>
      </c>
      <c r="W292" s="141"/>
      <c r="X292" s="141"/>
      <c r="Y292" s="141"/>
      <c r="Z292" s="141"/>
    </row>
    <row r="293">
      <c r="A293" s="141"/>
      <c r="B293" s="141" t="s">
        <v>222</v>
      </c>
      <c r="C293" s="141" t="s">
        <v>222</v>
      </c>
      <c r="D293" s="141" t="s">
        <v>222</v>
      </c>
      <c r="E293" s="141" t="s">
        <v>222</v>
      </c>
      <c r="F293" s="141" t="s">
        <v>222</v>
      </c>
      <c r="G293" s="141" t="s">
        <v>222</v>
      </c>
      <c r="H293" s="141" t="s">
        <v>222</v>
      </c>
      <c r="I293" s="141" t="s">
        <v>222</v>
      </c>
      <c r="J293" s="141" t="s">
        <v>222</v>
      </c>
      <c r="K293" s="141" t="s">
        <v>222</v>
      </c>
      <c r="L293" s="141" t="s">
        <v>222</v>
      </c>
      <c r="M293" s="141" t="s">
        <v>222</v>
      </c>
      <c r="N293" s="141" t="s">
        <v>222</v>
      </c>
      <c r="O293" s="141" t="s">
        <v>222</v>
      </c>
      <c r="P293" s="141" t="s">
        <v>222</v>
      </c>
      <c r="Q293" s="141" t="s">
        <v>222</v>
      </c>
      <c r="R293" s="141" t="s">
        <v>222</v>
      </c>
      <c r="S293" s="141" t="s">
        <v>222</v>
      </c>
      <c r="T293" s="141" t="s">
        <v>222</v>
      </c>
      <c r="U293" s="141" t="s">
        <v>222</v>
      </c>
      <c r="V293" s="141" t="s">
        <v>222</v>
      </c>
      <c r="W293" s="141"/>
      <c r="X293" s="141"/>
      <c r="Y293" s="141"/>
      <c r="Z293" s="141"/>
    </row>
    <row r="294">
      <c r="A294" s="141"/>
      <c r="B294" s="141" t="s">
        <v>222</v>
      </c>
      <c r="C294" s="141" t="s">
        <v>222</v>
      </c>
      <c r="D294" s="141" t="s">
        <v>222</v>
      </c>
      <c r="E294" s="141" t="s">
        <v>222</v>
      </c>
      <c r="F294" s="141" t="s">
        <v>222</v>
      </c>
      <c r="G294" s="141" t="s">
        <v>222</v>
      </c>
      <c r="H294" s="141" t="s">
        <v>222</v>
      </c>
      <c r="I294" s="141" t="s">
        <v>222</v>
      </c>
      <c r="J294" s="141" t="s">
        <v>222</v>
      </c>
      <c r="K294" s="141" t="s">
        <v>222</v>
      </c>
      <c r="L294" s="141" t="s">
        <v>222</v>
      </c>
      <c r="M294" s="141" t="s">
        <v>222</v>
      </c>
      <c r="N294" s="141" t="s">
        <v>222</v>
      </c>
      <c r="O294" s="141" t="s">
        <v>222</v>
      </c>
      <c r="P294" s="141" t="s">
        <v>222</v>
      </c>
      <c r="Q294" s="141" t="s">
        <v>222</v>
      </c>
      <c r="R294" s="141" t="s">
        <v>222</v>
      </c>
      <c r="S294" s="141" t="s">
        <v>222</v>
      </c>
      <c r="T294" s="141" t="s">
        <v>222</v>
      </c>
      <c r="U294" s="141" t="s">
        <v>222</v>
      </c>
      <c r="V294" s="141" t="s">
        <v>222</v>
      </c>
      <c r="W294" s="141"/>
      <c r="X294" s="141"/>
      <c r="Y294" s="141"/>
      <c r="Z294" s="141"/>
    </row>
    <row r="295">
      <c r="A295" s="141"/>
      <c r="B295" s="141" t="s">
        <v>222</v>
      </c>
      <c r="C295" s="141" t="s">
        <v>222</v>
      </c>
      <c r="D295" s="141" t="s">
        <v>222</v>
      </c>
      <c r="E295" s="141" t="s">
        <v>222</v>
      </c>
      <c r="F295" s="141" t="s">
        <v>222</v>
      </c>
      <c r="G295" s="141" t="s">
        <v>222</v>
      </c>
      <c r="H295" s="141" t="s">
        <v>222</v>
      </c>
      <c r="I295" s="141" t="s">
        <v>222</v>
      </c>
      <c r="J295" s="141" t="s">
        <v>222</v>
      </c>
      <c r="K295" s="141" t="s">
        <v>222</v>
      </c>
      <c r="L295" s="141" t="s">
        <v>222</v>
      </c>
      <c r="M295" s="141" t="s">
        <v>222</v>
      </c>
      <c r="N295" s="141" t="s">
        <v>222</v>
      </c>
      <c r="O295" s="141" t="s">
        <v>222</v>
      </c>
      <c r="P295" s="141" t="s">
        <v>222</v>
      </c>
      <c r="Q295" s="141" t="s">
        <v>222</v>
      </c>
      <c r="R295" s="141" t="s">
        <v>222</v>
      </c>
      <c r="S295" s="141" t="s">
        <v>222</v>
      </c>
      <c r="T295" s="141" t="s">
        <v>222</v>
      </c>
      <c r="U295" s="141" t="s">
        <v>222</v>
      </c>
      <c r="V295" s="141" t="s">
        <v>222</v>
      </c>
      <c r="W295" s="141"/>
      <c r="X295" s="141"/>
      <c r="Y295" s="141"/>
      <c r="Z295" s="141"/>
    </row>
    <row r="296">
      <c r="A296" s="141"/>
      <c r="B296" s="141" t="s">
        <v>222</v>
      </c>
      <c r="C296" s="141" t="s">
        <v>222</v>
      </c>
      <c r="D296" s="141" t="s">
        <v>222</v>
      </c>
      <c r="E296" s="141" t="s">
        <v>222</v>
      </c>
      <c r="F296" s="141" t="s">
        <v>222</v>
      </c>
      <c r="G296" s="141" t="s">
        <v>222</v>
      </c>
      <c r="H296" s="141" t="s">
        <v>222</v>
      </c>
      <c r="I296" s="141" t="s">
        <v>222</v>
      </c>
      <c r="J296" s="141" t="s">
        <v>222</v>
      </c>
      <c r="K296" s="141" t="s">
        <v>222</v>
      </c>
      <c r="L296" s="141" t="s">
        <v>222</v>
      </c>
      <c r="M296" s="141" t="s">
        <v>222</v>
      </c>
      <c r="N296" s="141" t="s">
        <v>222</v>
      </c>
      <c r="O296" s="141" t="s">
        <v>222</v>
      </c>
      <c r="P296" s="141" t="s">
        <v>222</v>
      </c>
      <c r="Q296" s="141" t="s">
        <v>222</v>
      </c>
      <c r="R296" s="141" t="s">
        <v>222</v>
      </c>
      <c r="S296" s="141" t="s">
        <v>222</v>
      </c>
      <c r="T296" s="141" t="s">
        <v>222</v>
      </c>
      <c r="U296" s="141" t="s">
        <v>222</v>
      </c>
      <c r="V296" s="141" t="s">
        <v>222</v>
      </c>
      <c r="W296" s="141"/>
      <c r="X296" s="141"/>
      <c r="Y296" s="141"/>
      <c r="Z296" s="141"/>
    </row>
    <row r="297">
      <c r="A297" s="141"/>
      <c r="B297" s="141" t="s">
        <v>222</v>
      </c>
      <c r="C297" s="141" t="s">
        <v>222</v>
      </c>
      <c r="D297" s="141" t="s">
        <v>222</v>
      </c>
      <c r="E297" s="141" t="s">
        <v>222</v>
      </c>
      <c r="F297" s="141" t="s">
        <v>222</v>
      </c>
      <c r="G297" s="141" t="s">
        <v>222</v>
      </c>
      <c r="H297" s="141" t="s">
        <v>222</v>
      </c>
      <c r="I297" s="141" t="s">
        <v>222</v>
      </c>
      <c r="J297" s="141" t="s">
        <v>222</v>
      </c>
      <c r="K297" s="141" t="s">
        <v>222</v>
      </c>
      <c r="L297" s="141" t="s">
        <v>222</v>
      </c>
      <c r="M297" s="141" t="s">
        <v>222</v>
      </c>
      <c r="N297" s="141" t="s">
        <v>222</v>
      </c>
      <c r="O297" s="141" t="s">
        <v>222</v>
      </c>
      <c r="P297" s="141" t="s">
        <v>222</v>
      </c>
      <c r="Q297" s="141" t="s">
        <v>222</v>
      </c>
      <c r="R297" s="141" t="s">
        <v>222</v>
      </c>
      <c r="S297" s="141" t="s">
        <v>222</v>
      </c>
      <c r="T297" s="141" t="s">
        <v>222</v>
      </c>
      <c r="U297" s="141" t="s">
        <v>222</v>
      </c>
      <c r="V297" s="141" t="s">
        <v>222</v>
      </c>
      <c r="W297" s="141"/>
      <c r="X297" s="141"/>
      <c r="Y297" s="141"/>
      <c r="Z297" s="141"/>
    </row>
    <row r="298">
      <c r="A298" s="141"/>
      <c r="B298" s="141" t="s">
        <v>222</v>
      </c>
      <c r="C298" s="141" t="s">
        <v>222</v>
      </c>
      <c r="D298" s="141" t="s">
        <v>222</v>
      </c>
      <c r="E298" s="141" t="s">
        <v>222</v>
      </c>
      <c r="F298" s="141" t="s">
        <v>222</v>
      </c>
      <c r="G298" s="141" t="s">
        <v>222</v>
      </c>
      <c r="H298" s="141" t="s">
        <v>222</v>
      </c>
      <c r="I298" s="141" t="s">
        <v>222</v>
      </c>
      <c r="J298" s="141" t="s">
        <v>222</v>
      </c>
      <c r="K298" s="141" t="s">
        <v>222</v>
      </c>
      <c r="L298" s="141" t="s">
        <v>222</v>
      </c>
      <c r="M298" s="141" t="s">
        <v>222</v>
      </c>
      <c r="N298" s="141" t="s">
        <v>222</v>
      </c>
      <c r="O298" s="141" t="s">
        <v>222</v>
      </c>
      <c r="P298" s="141" t="s">
        <v>222</v>
      </c>
      <c r="Q298" s="141" t="s">
        <v>222</v>
      </c>
      <c r="R298" s="141" t="s">
        <v>222</v>
      </c>
      <c r="S298" s="141" t="s">
        <v>222</v>
      </c>
      <c r="T298" s="141" t="s">
        <v>222</v>
      </c>
      <c r="U298" s="141" t="s">
        <v>222</v>
      </c>
      <c r="V298" s="141" t="s">
        <v>222</v>
      </c>
      <c r="W298" s="141"/>
      <c r="X298" s="141"/>
      <c r="Y298" s="141"/>
      <c r="Z298" s="141"/>
    </row>
    <row r="299">
      <c r="A299" s="141"/>
      <c r="B299" s="141" t="s">
        <v>222</v>
      </c>
      <c r="C299" s="141" t="s">
        <v>222</v>
      </c>
      <c r="D299" s="141" t="s">
        <v>222</v>
      </c>
      <c r="E299" s="141" t="s">
        <v>222</v>
      </c>
      <c r="F299" s="141" t="s">
        <v>222</v>
      </c>
      <c r="G299" s="141" t="s">
        <v>222</v>
      </c>
      <c r="H299" s="141" t="s">
        <v>222</v>
      </c>
      <c r="I299" s="141" t="s">
        <v>222</v>
      </c>
      <c r="J299" s="141" t="s">
        <v>222</v>
      </c>
      <c r="K299" s="141" t="s">
        <v>222</v>
      </c>
      <c r="L299" s="141" t="s">
        <v>222</v>
      </c>
      <c r="M299" s="141" t="s">
        <v>222</v>
      </c>
      <c r="N299" s="141" t="s">
        <v>222</v>
      </c>
      <c r="O299" s="141" t="s">
        <v>222</v>
      </c>
      <c r="P299" s="141" t="s">
        <v>222</v>
      </c>
      <c r="Q299" s="141" t="s">
        <v>222</v>
      </c>
      <c r="R299" s="141" t="s">
        <v>222</v>
      </c>
      <c r="S299" s="141" t="s">
        <v>222</v>
      </c>
      <c r="T299" s="141" t="s">
        <v>222</v>
      </c>
      <c r="U299" s="141" t="s">
        <v>222</v>
      </c>
      <c r="V299" s="141" t="s">
        <v>222</v>
      </c>
      <c r="W299" s="141"/>
      <c r="X299" s="141"/>
      <c r="Y299" s="141"/>
      <c r="Z299" s="141"/>
    </row>
    <row r="300">
      <c r="A300" s="141"/>
      <c r="B300" s="141" t="s">
        <v>222</v>
      </c>
      <c r="C300" s="141" t="s">
        <v>222</v>
      </c>
      <c r="D300" s="141" t="s">
        <v>222</v>
      </c>
      <c r="E300" s="141" t="s">
        <v>222</v>
      </c>
      <c r="F300" s="141" t="s">
        <v>222</v>
      </c>
      <c r="G300" s="141" t="s">
        <v>222</v>
      </c>
      <c r="H300" s="141" t="s">
        <v>222</v>
      </c>
      <c r="I300" s="141" t="s">
        <v>222</v>
      </c>
      <c r="J300" s="141" t="s">
        <v>222</v>
      </c>
      <c r="K300" s="141" t="s">
        <v>222</v>
      </c>
      <c r="L300" s="141" t="s">
        <v>222</v>
      </c>
      <c r="M300" s="141" t="s">
        <v>222</v>
      </c>
      <c r="N300" s="141" t="s">
        <v>222</v>
      </c>
      <c r="O300" s="141" t="s">
        <v>222</v>
      </c>
      <c r="P300" s="141" t="s">
        <v>222</v>
      </c>
      <c r="Q300" s="141" t="s">
        <v>222</v>
      </c>
      <c r="R300" s="141" t="s">
        <v>222</v>
      </c>
      <c r="S300" s="141" t="s">
        <v>222</v>
      </c>
      <c r="T300" s="141" t="s">
        <v>222</v>
      </c>
      <c r="U300" s="141" t="s">
        <v>222</v>
      </c>
      <c r="V300" s="141" t="s">
        <v>222</v>
      </c>
      <c r="W300" s="141"/>
      <c r="X300" s="141"/>
      <c r="Y300" s="141"/>
      <c r="Z300" s="141"/>
    </row>
    <row r="301">
      <c r="A301" s="141"/>
      <c r="B301" s="141" t="s">
        <v>222</v>
      </c>
      <c r="C301" s="141" t="s">
        <v>222</v>
      </c>
      <c r="D301" s="141" t="s">
        <v>222</v>
      </c>
      <c r="E301" s="141" t="s">
        <v>222</v>
      </c>
      <c r="F301" s="141" t="s">
        <v>222</v>
      </c>
      <c r="G301" s="141" t="s">
        <v>222</v>
      </c>
      <c r="H301" s="141" t="s">
        <v>222</v>
      </c>
      <c r="I301" s="141" t="s">
        <v>222</v>
      </c>
      <c r="J301" s="141" t="s">
        <v>222</v>
      </c>
      <c r="K301" s="141" t="s">
        <v>222</v>
      </c>
      <c r="L301" s="141" t="s">
        <v>222</v>
      </c>
      <c r="M301" s="141" t="s">
        <v>222</v>
      </c>
      <c r="N301" s="141" t="s">
        <v>222</v>
      </c>
      <c r="O301" s="141" t="s">
        <v>222</v>
      </c>
      <c r="P301" s="141" t="s">
        <v>222</v>
      </c>
      <c r="Q301" s="141" t="s">
        <v>222</v>
      </c>
      <c r="R301" s="141" t="s">
        <v>222</v>
      </c>
      <c r="S301" s="141" t="s">
        <v>222</v>
      </c>
      <c r="T301" s="141" t="s">
        <v>222</v>
      </c>
      <c r="U301" s="141" t="s">
        <v>222</v>
      </c>
      <c r="V301" s="141" t="s">
        <v>222</v>
      </c>
      <c r="W301" s="141"/>
      <c r="X301" s="141"/>
      <c r="Y301" s="141"/>
      <c r="Z301" s="141"/>
    </row>
    <row r="302">
      <c r="A302" s="141"/>
      <c r="B302" s="141" t="s">
        <v>222</v>
      </c>
      <c r="C302" s="141" t="s">
        <v>222</v>
      </c>
      <c r="D302" s="141" t="s">
        <v>222</v>
      </c>
      <c r="E302" s="141" t="s">
        <v>222</v>
      </c>
      <c r="F302" s="141" t="s">
        <v>222</v>
      </c>
      <c r="G302" s="141" t="s">
        <v>222</v>
      </c>
      <c r="H302" s="141" t="s">
        <v>222</v>
      </c>
      <c r="I302" s="141" t="s">
        <v>222</v>
      </c>
      <c r="J302" s="141" t="s">
        <v>222</v>
      </c>
      <c r="K302" s="141" t="s">
        <v>222</v>
      </c>
      <c r="L302" s="141" t="s">
        <v>222</v>
      </c>
      <c r="M302" s="141" t="s">
        <v>222</v>
      </c>
      <c r="N302" s="141" t="s">
        <v>222</v>
      </c>
      <c r="O302" s="141" t="s">
        <v>222</v>
      </c>
      <c r="P302" s="141" t="s">
        <v>222</v>
      </c>
      <c r="Q302" s="141" t="s">
        <v>222</v>
      </c>
      <c r="R302" s="141" t="s">
        <v>222</v>
      </c>
      <c r="S302" s="141" t="s">
        <v>222</v>
      </c>
      <c r="T302" s="141" t="s">
        <v>222</v>
      </c>
      <c r="U302" s="141" t="s">
        <v>222</v>
      </c>
      <c r="V302" s="141" t="s">
        <v>222</v>
      </c>
      <c r="W302" s="141"/>
      <c r="X302" s="141"/>
      <c r="Y302" s="141"/>
      <c r="Z302" s="141"/>
    </row>
    <row r="303">
      <c r="A303" s="141"/>
      <c r="B303" s="141" t="s">
        <v>222</v>
      </c>
      <c r="C303" s="141" t="s">
        <v>222</v>
      </c>
      <c r="D303" s="141" t="s">
        <v>222</v>
      </c>
      <c r="E303" s="141" t="s">
        <v>222</v>
      </c>
      <c r="F303" s="141" t="s">
        <v>222</v>
      </c>
      <c r="G303" s="141" t="s">
        <v>222</v>
      </c>
      <c r="H303" s="141" t="s">
        <v>222</v>
      </c>
      <c r="I303" s="141" t="s">
        <v>222</v>
      </c>
      <c r="J303" s="141" t="s">
        <v>222</v>
      </c>
      <c r="K303" s="141" t="s">
        <v>222</v>
      </c>
      <c r="L303" s="141" t="s">
        <v>222</v>
      </c>
      <c r="M303" s="141" t="s">
        <v>222</v>
      </c>
      <c r="N303" s="141" t="s">
        <v>222</v>
      </c>
      <c r="O303" s="141" t="s">
        <v>222</v>
      </c>
      <c r="P303" s="141" t="s">
        <v>222</v>
      </c>
      <c r="Q303" s="141" t="s">
        <v>222</v>
      </c>
      <c r="R303" s="141" t="s">
        <v>222</v>
      </c>
      <c r="S303" s="141" t="s">
        <v>222</v>
      </c>
      <c r="T303" s="141" t="s">
        <v>222</v>
      </c>
      <c r="U303" s="141" t="s">
        <v>222</v>
      </c>
      <c r="V303" s="141" t="s">
        <v>222</v>
      </c>
      <c r="W303" s="141"/>
      <c r="X303" s="141"/>
      <c r="Y303" s="141"/>
      <c r="Z303" s="141"/>
    </row>
    <row r="304">
      <c r="A304" s="141"/>
      <c r="B304" s="141" t="s">
        <v>222</v>
      </c>
      <c r="C304" s="141" t="s">
        <v>222</v>
      </c>
      <c r="D304" s="141" t="s">
        <v>222</v>
      </c>
      <c r="E304" s="141" t="s">
        <v>222</v>
      </c>
      <c r="F304" s="141" t="s">
        <v>222</v>
      </c>
      <c r="G304" s="141" t="s">
        <v>222</v>
      </c>
      <c r="H304" s="141" t="s">
        <v>222</v>
      </c>
      <c r="I304" s="141" t="s">
        <v>222</v>
      </c>
      <c r="J304" s="141" t="s">
        <v>222</v>
      </c>
      <c r="K304" s="141" t="s">
        <v>222</v>
      </c>
      <c r="L304" s="141" t="s">
        <v>222</v>
      </c>
      <c r="M304" s="141" t="s">
        <v>222</v>
      </c>
      <c r="N304" s="141" t="s">
        <v>222</v>
      </c>
      <c r="O304" s="141" t="s">
        <v>222</v>
      </c>
      <c r="P304" s="141" t="s">
        <v>222</v>
      </c>
      <c r="Q304" s="141" t="s">
        <v>222</v>
      </c>
      <c r="R304" s="141" t="s">
        <v>222</v>
      </c>
      <c r="S304" s="141" t="s">
        <v>222</v>
      </c>
      <c r="T304" s="141" t="s">
        <v>222</v>
      </c>
      <c r="U304" s="141" t="s">
        <v>222</v>
      </c>
      <c r="V304" s="141" t="s">
        <v>222</v>
      </c>
      <c r="W304" s="141"/>
      <c r="X304" s="141"/>
      <c r="Y304" s="141"/>
      <c r="Z304" s="141"/>
    </row>
    <row r="305">
      <c r="A305" s="141"/>
      <c r="B305" s="141" t="s">
        <v>222</v>
      </c>
      <c r="C305" s="141" t="s">
        <v>222</v>
      </c>
      <c r="D305" s="141" t="s">
        <v>222</v>
      </c>
      <c r="E305" s="141" t="s">
        <v>222</v>
      </c>
      <c r="F305" s="141" t="s">
        <v>222</v>
      </c>
      <c r="G305" s="141" t="s">
        <v>222</v>
      </c>
      <c r="H305" s="141" t="s">
        <v>222</v>
      </c>
      <c r="I305" s="141" t="s">
        <v>222</v>
      </c>
      <c r="J305" s="141" t="s">
        <v>222</v>
      </c>
      <c r="K305" s="141" t="s">
        <v>222</v>
      </c>
      <c r="L305" s="141" t="s">
        <v>222</v>
      </c>
      <c r="M305" s="141" t="s">
        <v>222</v>
      </c>
      <c r="N305" s="141" t="s">
        <v>222</v>
      </c>
      <c r="O305" s="141" t="s">
        <v>222</v>
      </c>
      <c r="P305" s="141" t="s">
        <v>222</v>
      </c>
      <c r="Q305" s="141" t="s">
        <v>222</v>
      </c>
      <c r="R305" s="141" t="s">
        <v>222</v>
      </c>
      <c r="S305" s="141" t="s">
        <v>222</v>
      </c>
      <c r="T305" s="141" t="s">
        <v>222</v>
      </c>
      <c r="U305" s="141" t="s">
        <v>222</v>
      </c>
      <c r="V305" s="141" t="s">
        <v>222</v>
      </c>
      <c r="W305" s="141"/>
      <c r="X305" s="141"/>
      <c r="Y305" s="141"/>
      <c r="Z305" s="141"/>
    </row>
    <row r="306">
      <c r="A306" s="141"/>
      <c r="B306" s="141" t="s">
        <v>222</v>
      </c>
      <c r="C306" s="141" t="s">
        <v>222</v>
      </c>
      <c r="D306" s="141" t="s">
        <v>222</v>
      </c>
      <c r="E306" s="141" t="s">
        <v>222</v>
      </c>
      <c r="F306" s="141" t="s">
        <v>222</v>
      </c>
      <c r="G306" s="141" t="s">
        <v>222</v>
      </c>
      <c r="H306" s="141" t="s">
        <v>222</v>
      </c>
      <c r="I306" s="141" t="s">
        <v>222</v>
      </c>
      <c r="J306" s="141" t="s">
        <v>222</v>
      </c>
      <c r="K306" s="141" t="s">
        <v>222</v>
      </c>
      <c r="L306" s="141" t="s">
        <v>222</v>
      </c>
      <c r="M306" s="141" t="s">
        <v>222</v>
      </c>
      <c r="N306" s="141" t="s">
        <v>222</v>
      </c>
      <c r="O306" s="141" t="s">
        <v>222</v>
      </c>
      <c r="P306" s="141" t="s">
        <v>222</v>
      </c>
      <c r="Q306" s="141" t="s">
        <v>222</v>
      </c>
      <c r="R306" s="141" t="s">
        <v>222</v>
      </c>
      <c r="S306" s="141" t="s">
        <v>222</v>
      </c>
      <c r="T306" s="141" t="s">
        <v>222</v>
      </c>
      <c r="U306" s="141" t="s">
        <v>222</v>
      </c>
      <c r="V306" s="141" t="s">
        <v>222</v>
      </c>
      <c r="W306" s="141"/>
      <c r="X306" s="141"/>
      <c r="Y306" s="141"/>
      <c r="Z306" s="141"/>
    </row>
    <row r="307">
      <c r="A307" s="141"/>
      <c r="B307" s="141" t="s">
        <v>222</v>
      </c>
      <c r="C307" s="141" t="s">
        <v>222</v>
      </c>
      <c r="D307" s="141" t="s">
        <v>222</v>
      </c>
      <c r="E307" s="141" t="s">
        <v>222</v>
      </c>
      <c r="F307" s="141" t="s">
        <v>222</v>
      </c>
      <c r="G307" s="141" t="s">
        <v>222</v>
      </c>
      <c r="H307" s="141" t="s">
        <v>222</v>
      </c>
      <c r="I307" s="141" t="s">
        <v>222</v>
      </c>
      <c r="J307" s="141" t="s">
        <v>222</v>
      </c>
      <c r="K307" s="141" t="s">
        <v>222</v>
      </c>
      <c r="L307" s="141" t="s">
        <v>222</v>
      </c>
      <c r="M307" s="141" t="s">
        <v>222</v>
      </c>
      <c r="N307" s="141" t="s">
        <v>222</v>
      </c>
      <c r="O307" s="141" t="s">
        <v>222</v>
      </c>
      <c r="P307" s="141" t="s">
        <v>222</v>
      </c>
      <c r="Q307" s="141" t="s">
        <v>222</v>
      </c>
      <c r="R307" s="141" t="s">
        <v>222</v>
      </c>
      <c r="S307" s="141" t="s">
        <v>222</v>
      </c>
      <c r="T307" s="141" t="s">
        <v>222</v>
      </c>
      <c r="U307" s="141" t="s">
        <v>222</v>
      </c>
      <c r="V307" s="141" t="s">
        <v>222</v>
      </c>
      <c r="W307" s="141"/>
      <c r="X307" s="141"/>
      <c r="Y307" s="141"/>
      <c r="Z307" s="141"/>
    </row>
    <row r="308">
      <c r="A308" s="141"/>
      <c r="B308" s="141" t="s">
        <v>222</v>
      </c>
      <c r="C308" s="141" t="s">
        <v>222</v>
      </c>
      <c r="D308" s="141" t="s">
        <v>222</v>
      </c>
      <c r="E308" s="141" t="s">
        <v>222</v>
      </c>
      <c r="F308" s="141" t="s">
        <v>222</v>
      </c>
      <c r="G308" s="141" t="s">
        <v>222</v>
      </c>
      <c r="H308" s="141" t="s">
        <v>222</v>
      </c>
      <c r="I308" s="141" t="s">
        <v>222</v>
      </c>
      <c r="J308" s="141" t="s">
        <v>222</v>
      </c>
      <c r="K308" s="141" t="s">
        <v>222</v>
      </c>
      <c r="L308" s="141" t="s">
        <v>222</v>
      </c>
      <c r="M308" s="141" t="s">
        <v>222</v>
      </c>
      <c r="N308" s="141" t="s">
        <v>222</v>
      </c>
      <c r="O308" s="141" t="s">
        <v>222</v>
      </c>
      <c r="P308" s="141" t="s">
        <v>222</v>
      </c>
      <c r="Q308" s="141" t="s">
        <v>222</v>
      </c>
      <c r="R308" s="141" t="s">
        <v>222</v>
      </c>
      <c r="S308" s="141" t="s">
        <v>222</v>
      </c>
      <c r="T308" s="141" t="s">
        <v>222</v>
      </c>
      <c r="U308" s="141" t="s">
        <v>222</v>
      </c>
      <c r="V308" s="141" t="s">
        <v>222</v>
      </c>
      <c r="W308" s="141"/>
      <c r="X308" s="141"/>
      <c r="Y308" s="141"/>
      <c r="Z308" s="141"/>
    </row>
    <row r="309">
      <c r="A309" s="141"/>
      <c r="B309" s="141" t="s">
        <v>222</v>
      </c>
      <c r="C309" s="141" t="s">
        <v>222</v>
      </c>
      <c r="D309" s="141" t="s">
        <v>222</v>
      </c>
      <c r="E309" s="141" t="s">
        <v>222</v>
      </c>
      <c r="F309" s="141" t="s">
        <v>222</v>
      </c>
      <c r="G309" s="141" t="s">
        <v>222</v>
      </c>
      <c r="H309" s="141" t="s">
        <v>222</v>
      </c>
      <c r="I309" s="141" t="s">
        <v>222</v>
      </c>
      <c r="J309" s="141" t="s">
        <v>222</v>
      </c>
      <c r="K309" s="141" t="s">
        <v>222</v>
      </c>
      <c r="L309" s="141" t="s">
        <v>222</v>
      </c>
      <c r="M309" s="141" t="s">
        <v>222</v>
      </c>
      <c r="N309" s="141" t="s">
        <v>222</v>
      </c>
      <c r="O309" s="141" t="s">
        <v>222</v>
      </c>
      <c r="P309" s="141" t="s">
        <v>222</v>
      </c>
      <c r="Q309" s="141" t="s">
        <v>222</v>
      </c>
      <c r="R309" s="141" t="s">
        <v>222</v>
      </c>
      <c r="S309" s="141" t="s">
        <v>222</v>
      </c>
      <c r="T309" s="141" t="s">
        <v>222</v>
      </c>
      <c r="U309" s="141" t="s">
        <v>222</v>
      </c>
      <c r="V309" s="141" t="s">
        <v>222</v>
      </c>
      <c r="W309" s="141"/>
      <c r="X309" s="141"/>
      <c r="Y309" s="141"/>
      <c r="Z309" s="141"/>
    </row>
    <row r="310">
      <c r="A310" s="141"/>
      <c r="B310" s="141" t="s">
        <v>222</v>
      </c>
      <c r="C310" s="141" t="s">
        <v>222</v>
      </c>
      <c r="D310" s="141" t="s">
        <v>222</v>
      </c>
      <c r="E310" s="141" t="s">
        <v>222</v>
      </c>
      <c r="F310" s="141" t="s">
        <v>222</v>
      </c>
      <c r="G310" s="141" t="s">
        <v>222</v>
      </c>
      <c r="H310" s="141" t="s">
        <v>222</v>
      </c>
      <c r="I310" s="141" t="s">
        <v>222</v>
      </c>
      <c r="J310" s="141" t="s">
        <v>222</v>
      </c>
      <c r="K310" s="141" t="s">
        <v>222</v>
      </c>
      <c r="L310" s="141" t="s">
        <v>222</v>
      </c>
      <c r="M310" s="141" t="s">
        <v>222</v>
      </c>
      <c r="N310" s="141" t="s">
        <v>222</v>
      </c>
      <c r="O310" s="141" t="s">
        <v>222</v>
      </c>
      <c r="P310" s="141" t="s">
        <v>222</v>
      </c>
      <c r="Q310" s="141" t="s">
        <v>222</v>
      </c>
      <c r="R310" s="141" t="s">
        <v>222</v>
      </c>
      <c r="S310" s="141" t="s">
        <v>222</v>
      </c>
      <c r="T310" s="141" t="s">
        <v>222</v>
      </c>
      <c r="U310" s="141" t="s">
        <v>222</v>
      </c>
      <c r="V310" s="141" t="s">
        <v>222</v>
      </c>
      <c r="W310" s="141"/>
      <c r="X310" s="141"/>
      <c r="Y310" s="141"/>
      <c r="Z310" s="141"/>
    </row>
    <row r="311">
      <c r="A311" s="141"/>
      <c r="B311" s="141" t="s">
        <v>222</v>
      </c>
      <c r="C311" s="141" t="s">
        <v>222</v>
      </c>
      <c r="D311" s="141" t="s">
        <v>222</v>
      </c>
      <c r="E311" s="141" t="s">
        <v>222</v>
      </c>
      <c r="F311" s="141" t="s">
        <v>222</v>
      </c>
      <c r="G311" s="141" t="s">
        <v>222</v>
      </c>
      <c r="H311" s="141" t="s">
        <v>222</v>
      </c>
      <c r="I311" s="141" t="s">
        <v>222</v>
      </c>
      <c r="J311" s="141" t="s">
        <v>222</v>
      </c>
      <c r="K311" s="141" t="s">
        <v>222</v>
      </c>
      <c r="L311" s="141" t="s">
        <v>222</v>
      </c>
      <c r="M311" s="141" t="s">
        <v>222</v>
      </c>
      <c r="N311" s="141" t="s">
        <v>222</v>
      </c>
      <c r="O311" s="141" t="s">
        <v>222</v>
      </c>
      <c r="P311" s="141" t="s">
        <v>222</v>
      </c>
      <c r="Q311" s="141" t="s">
        <v>222</v>
      </c>
      <c r="R311" s="141" t="s">
        <v>222</v>
      </c>
      <c r="S311" s="141" t="s">
        <v>222</v>
      </c>
      <c r="T311" s="141" t="s">
        <v>222</v>
      </c>
      <c r="U311" s="141" t="s">
        <v>222</v>
      </c>
      <c r="V311" s="141" t="s">
        <v>222</v>
      </c>
      <c r="W311" s="141"/>
      <c r="X311" s="141"/>
      <c r="Y311" s="141"/>
      <c r="Z311" s="141"/>
    </row>
    <row r="312">
      <c r="A312" s="141"/>
      <c r="B312" s="141" t="s">
        <v>222</v>
      </c>
      <c r="C312" s="141" t="s">
        <v>222</v>
      </c>
      <c r="D312" s="141" t="s">
        <v>222</v>
      </c>
      <c r="E312" s="141" t="s">
        <v>222</v>
      </c>
      <c r="F312" s="141" t="s">
        <v>222</v>
      </c>
      <c r="G312" s="141" t="s">
        <v>222</v>
      </c>
      <c r="H312" s="141" t="s">
        <v>222</v>
      </c>
      <c r="I312" s="141" t="s">
        <v>222</v>
      </c>
      <c r="J312" s="141" t="s">
        <v>222</v>
      </c>
      <c r="K312" s="141" t="s">
        <v>222</v>
      </c>
      <c r="L312" s="141" t="s">
        <v>222</v>
      </c>
      <c r="M312" s="141" t="s">
        <v>222</v>
      </c>
      <c r="N312" s="141" t="s">
        <v>222</v>
      </c>
      <c r="O312" s="141" t="s">
        <v>222</v>
      </c>
      <c r="P312" s="141" t="s">
        <v>222</v>
      </c>
      <c r="Q312" s="141" t="s">
        <v>222</v>
      </c>
      <c r="R312" s="141" t="s">
        <v>222</v>
      </c>
      <c r="S312" s="141" t="s">
        <v>222</v>
      </c>
      <c r="T312" s="141" t="s">
        <v>222</v>
      </c>
      <c r="U312" s="141" t="s">
        <v>222</v>
      </c>
      <c r="V312" s="141" t="s">
        <v>222</v>
      </c>
      <c r="W312" s="141"/>
      <c r="X312" s="141"/>
      <c r="Y312" s="141"/>
      <c r="Z312" s="141"/>
    </row>
    <row r="313">
      <c r="A313" s="141"/>
      <c r="B313" s="141" t="s">
        <v>222</v>
      </c>
      <c r="C313" s="141" t="s">
        <v>222</v>
      </c>
      <c r="D313" s="141" t="s">
        <v>222</v>
      </c>
      <c r="E313" s="141" t="s">
        <v>222</v>
      </c>
      <c r="F313" s="141" t="s">
        <v>222</v>
      </c>
      <c r="G313" s="141" t="s">
        <v>222</v>
      </c>
      <c r="H313" s="141" t="s">
        <v>222</v>
      </c>
      <c r="I313" s="141" t="s">
        <v>222</v>
      </c>
      <c r="J313" s="141" t="s">
        <v>222</v>
      </c>
      <c r="K313" s="141" t="s">
        <v>222</v>
      </c>
      <c r="L313" s="141" t="s">
        <v>222</v>
      </c>
      <c r="M313" s="141" t="s">
        <v>222</v>
      </c>
      <c r="N313" s="141" t="s">
        <v>222</v>
      </c>
      <c r="O313" s="141" t="s">
        <v>222</v>
      </c>
      <c r="P313" s="141" t="s">
        <v>222</v>
      </c>
      <c r="Q313" s="141" t="s">
        <v>222</v>
      </c>
      <c r="R313" s="141" t="s">
        <v>222</v>
      </c>
      <c r="S313" s="141" t="s">
        <v>222</v>
      </c>
      <c r="T313" s="141" t="s">
        <v>222</v>
      </c>
      <c r="U313" s="141" t="s">
        <v>222</v>
      </c>
      <c r="V313" s="141" t="s">
        <v>222</v>
      </c>
      <c r="W313" s="141"/>
      <c r="X313" s="141"/>
      <c r="Y313" s="141"/>
      <c r="Z313" s="141"/>
    </row>
    <row r="314">
      <c r="A314" s="141"/>
      <c r="B314" s="141" t="s">
        <v>222</v>
      </c>
      <c r="C314" s="141" t="s">
        <v>222</v>
      </c>
      <c r="D314" s="141" t="s">
        <v>222</v>
      </c>
      <c r="E314" s="141" t="s">
        <v>222</v>
      </c>
      <c r="F314" s="141" t="s">
        <v>222</v>
      </c>
      <c r="G314" s="141" t="s">
        <v>222</v>
      </c>
      <c r="H314" s="141" t="s">
        <v>222</v>
      </c>
      <c r="I314" s="141" t="s">
        <v>222</v>
      </c>
      <c r="J314" s="141" t="s">
        <v>222</v>
      </c>
      <c r="K314" s="141" t="s">
        <v>222</v>
      </c>
      <c r="L314" s="141" t="s">
        <v>222</v>
      </c>
      <c r="M314" s="141" t="s">
        <v>222</v>
      </c>
      <c r="N314" s="141" t="s">
        <v>222</v>
      </c>
      <c r="O314" s="141" t="s">
        <v>222</v>
      </c>
      <c r="P314" s="141" t="s">
        <v>222</v>
      </c>
      <c r="Q314" s="141" t="s">
        <v>222</v>
      </c>
      <c r="R314" s="141" t="s">
        <v>222</v>
      </c>
      <c r="S314" s="141" t="s">
        <v>222</v>
      </c>
      <c r="T314" s="141" t="s">
        <v>222</v>
      </c>
      <c r="U314" s="141" t="s">
        <v>222</v>
      </c>
      <c r="V314" s="141" t="s">
        <v>222</v>
      </c>
      <c r="W314" s="141"/>
      <c r="X314" s="141"/>
      <c r="Y314" s="141"/>
      <c r="Z314" s="141"/>
    </row>
    <row r="315">
      <c r="A315" s="141"/>
      <c r="B315" s="141" t="s">
        <v>222</v>
      </c>
      <c r="C315" s="141" t="s">
        <v>222</v>
      </c>
      <c r="D315" s="141" t="s">
        <v>222</v>
      </c>
      <c r="E315" s="141" t="s">
        <v>222</v>
      </c>
      <c r="F315" s="141" t="s">
        <v>222</v>
      </c>
      <c r="G315" s="141" t="s">
        <v>222</v>
      </c>
      <c r="H315" s="141" t="s">
        <v>222</v>
      </c>
      <c r="I315" s="141" t="s">
        <v>222</v>
      </c>
      <c r="J315" s="141" t="s">
        <v>222</v>
      </c>
      <c r="K315" s="141" t="s">
        <v>222</v>
      </c>
      <c r="L315" s="141" t="s">
        <v>222</v>
      </c>
      <c r="M315" s="141" t="s">
        <v>222</v>
      </c>
      <c r="N315" s="141" t="s">
        <v>222</v>
      </c>
      <c r="O315" s="141" t="s">
        <v>222</v>
      </c>
      <c r="P315" s="141" t="s">
        <v>222</v>
      </c>
      <c r="Q315" s="141" t="s">
        <v>222</v>
      </c>
      <c r="R315" s="141" t="s">
        <v>222</v>
      </c>
      <c r="S315" s="141" t="s">
        <v>222</v>
      </c>
      <c r="T315" s="141" t="s">
        <v>222</v>
      </c>
      <c r="U315" s="141" t="s">
        <v>222</v>
      </c>
      <c r="V315" s="141" t="s">
        <v>222</v>
      </c>
      <c r="W315" s="141"/>
      <c r="X315" s="141"/>
      <c r="Y315" s="141"/>
      <c r="Z315" s="141"/>
    </row>
    <row r="316">
      <c r="A316" s="141"/>
      <c r="B316" s="141" t="s">
        <v>222</v>
      </c>
      <c r="C316" s="141" t="s">
        <v>222</v>
      </c>
      <c r="D316" s="141" t="s">
        <v>222</v>
      </c>
      <c r="E316" s="141" t="s">
        <v>222</v>
      </c>
      <c r="F316" s="141" t="s">
        <v>222</v>
      </c>
      <c r="G316" s="141" t="s">
        <v>222</v>
      </c>
      <c r="H316" s="141" t="s">
        <v>222</v>
      </c>
      <c r="I316" s="141" t="s">
        <v>222</v>
      </c>
      <c r="J316" s="141" t="s">
        <v>222</v>
      </c>
      <c r="K316" s="141" t="s">
        <v>222</v>
      </c>
      <c r="L316" s="141" t="s">
        <v>222</v>
      </c>
      <c r="M316" s="141" t="s">
        <v>222</v>
      </c>
      <c r="N316" s="141" t="s">
        <v>222</v>
      </c>
      <c r="O316" s="141" t="s">
        <v>222</v>
      </c>
      <c r="P316" s="141" t="s">
        <v>222</v>
      </c>
      <c r="Q316" s="141" t="s">
        <v>222</v>
      </c>
      <c r="R316" s="141" t="s">
        <v>222</v>
      </c>
      <c r="S316" s="141" t="s">
        <v>222</v>
      </c>
      <c r="T316" s="141" t="s">
        <v>222</v>
      </c>
      <c r="U316" s="141" t="s">
        <v>222</v>
      </c>
      <c r="V316" s="141" t="s">
        <v>222</v>
      </c>
      <c r="W316" s="141"/>
      <c r="X316" s="141"/>
      <c r="Y316" s="141"/>
      <c r="Z316" s="141"/>
    </row>
    <row r="317">
      <c r="A317" s="141"/>
      <c r="B317" s="141" t="s">
        <v>222</v>
      </c>
      <c r="C317" s="141" t="s">
        <v>222</v>
      </c>
      <c r="D317" s="141" t="s">
        <v>222</v>
      </c>
      <c r="E317" s="141" t="s">
        <v>222</v>
      </c>
      <c r="F317" s="141" t="s">
        <v>222</v>
      </c>
      <c r="G317" s="141" t="s">
        <v>222</v>
      </c>
      <c r="H317" s="141" t="s">
        <v>222</v>
      </c>
      <c r="I317" s="141" t="s">
        <v>222</v>
      </c>
      <c r="J317" s="141" t="s">
        <v>222</v>
      </c>
      <c r="K317" s="141" t="s">
        <v>222</v>
      </c>
      <c r="L317" s="141" t="s">
        <v>222</v>
      </c>
      <c r="M317" s="141" t="s">
        <v>222</v>
      </c>
      <c r="N317" s="141" t="s">
        <v>222</v>
      </c>
      <c r="O317" s="141" t="s">
        <v>222</v>
      </c>
      <c r="P317" s="141" t="s">
        <v>222</v>
      </c>
      <c r="Q317" s="141" t="s">
        <v>222</v>
      </c>
      <c r="R317" s="141" t="s">
        <v>222</v>
      </c>
      <c r="S317" s="141" t="s">
        <v>222</v>
      </c>
      <c r="T317" s="141" t="s">
        <v>222</v>
      </c>
      <c r="U317" s="141" t="s">
        <v>222</v>
      </c>
      <c r="V317" s="141" t="s">
        <v>222</v>
      </c>
      <c r="W317" s="141"/>
      <c r="X317" s="141"/>
      <c r="Y317" s="141"/>
      <c r="Z317" s="141"/>
    </row>
    <row r="318">
      <c r="A318" s="141"/>
      <c r="B318" s="141" t="s">
        <v>222</v>
      </c>
      <c r="C318" s="141" t="s">
        <v>222</v>
      </c>
      <c r="D318" s="141" t="s">
        <v>222</v>
      </c>
      <c r="E318" s="141" t="s">
        <v>222</v>
      </c>
      <c r="F318" s="141" t="s">
        <v>222</v>
      </c>
      <c r="G318" s="141" t="s">
        <v>222</v>
      </c>
      <c r="H318" s="141" t="s">
        <v>222</v>
      </c>
      <c r="I318" s="141" t="s">
        <v>222</v>
      </c>
      <c r="J318" s="141" t="s">
        <v>222</v>
      </c>
      <c r="K318" s="141" t="s">
        <v>222</v>
      </c>
      <c r="L318" s="141" t="s">
        <v>222</v>
      </c>
      <c r="M318" s="141" t="s">
        <v>222</v>
      </c>
      <c r="N318" s="141" t="s">
        <v>222</v>
      </c>
      <c r="O318" s="141" t="s">
        <v>222</v>
      </c>
      <c r="P318" s="141" t="s">
        <v>222</v>
      </c>
      <c r="Q318" s="141" t="s">
        <v>222</v>
      </c>
      <c r="R318" s="141" t="s">
        <v>222</v>
      </c>
      <c r="S318" s="141" t="s">
        <v>222</v>
      </c>
      <c r="T318" s="141" t="s">
        <v>222</v>
      </c>
      <c r="U318" s="141" t="s">
        <v>222</v>
      </c>
      <c r="V318" s="141" t="s">
        <v>222</v>
      </c>
      <c r="W318" s="141"/>
      <c r="X318" s="141"/>
      <c r="Y318" s="141"/>
      <c r="Z318" s="141"/>
    </row>
    <row r="319">
      <c r="A319" s="141"/>
      <c r="B319" s="141" t="s">
        <v>222</v>
      </c>
      <c r="C319" s="141" t="s">
        <v>222</v>
      </c>
      <c r="D319" s="141" t="s">
        <v>222</v>
      </c>
      <c r="E319" s="141" t="s">
        <v>222</v>
      </c>
      <c r="F319" s="141" t="s">
        <v>222</v>
      </c>
      <c r="G319" s="141" t="s">
        <v>222</v>
      </c>
      <c r="H319" s="141" t="s">
        <v>222</v>
      </c>
      <c r="I319" s="141" t="s">
        <v>222</v>
      </c>
      <c r="J319" s="141" t="s">
        <v>222</v>
      </c>
      <c r="K319" s="141" t="s">
        <v>222</v>
      </c>
      <c r="L319" s="141" t="s">
        <v>222</v>
      </c>
      <c r="M319" s="141" t="s">
        <v>222</v>
      </c>
      <c r="N319" s="141" t="s">
        <v>222</v>
      </c>
      <c r="O319" s="141" t="s">
        <v>222</v>
      </c>
      <c r="P319" s="141" t="s">
        <v>222</v>
      </c>
      <c r="Q319" s="141" t="s">
        <v>222</v>
      </c>
      <c r="R319" s="141" t="s">
        <v>222</v>
      </c>
      <c r="S319" s="141" t="s">
        <v>222</v>
      </c>
      <c r="T319" s="141" t="s">
        <v>222</v>
      </c>
      <c r="U319" s="141" t="s">
        <v>222</v>
      </c>
      <c r="V319" s="141" t="s">
        <v>222</v>
      </c>
      <c r="W319" s="141"/>
      <c r="X319" s="141"/>
      <c r="Y319" s="141"/>
      <c r="Z319" s="141"/>
    </row>
    <row r="320">
      <c r="A320" s="141"/>
      <c r="B320" s="141" t="s">
        <v>222</v>
      </c>
      <c r="C320" s="141" t="s">
        <v>222</v>
      </c>
      <c r="D320" s="141" t="s">
        <v>222</v>
      </c>
      <c r="E320" s="141" t="s">
        <v>222</v>
      </c>
      <c r="F320" s="141" t="s">
        <v>222</v>
      </c>
      <c r="G320" s="141" t="s">
        <v>222</v>
      </c>
      <c r="H320" s="141" t="s">
        <v>222</v>
      </c>
      <c r="I320" s="141" t="s">
        <v>222</v>
      </c>
      <c r="J320" s="141" t="s">
        <v>222</v>
      </c>
      <c r="K320" s="141" t="s">
        <v>222</v>
      </c>
      <c r="L320" s="141" t="s">
        <v>222</v>
      </c>
      <c r="M320" s="141" t="s">
        <v>222</v>
      </c>
      <c r="N320" s="141" t="s">
        <v>222</v>
      </c>
      <c r="O320" s="141" t="s">
        <v>222</v>
      </c>
      <c r="P320" s="141" t="s">
        <v>222</v>
      </c>
      <c r="Q320" s="141" t="s">
        <v>222</v>
      </c>
      <c r="R320" s="141" t="s">
        <v>222</v>
      </c>
      <c r="S320" s="141" t="s">
        <v>222</v>
      </c>
      <c r="T320" s="141" t="s">
        <v>222</v>
      </c>
      <c r="U320" s="141" t="s">
        <v>222</v>
      </c>
      <c r="V320" s="141" t="s">
        <v>222</v>
      </c>
      <c r="W320" s="141"/>
      <c r="X320" s="141"/>
      <c r="Y320" s="141"/>
      <c r="Z320" s="141"/>
    </row>
    <row r="321">
      <c r="A321" s="141"/>
      <c r="B321" s="141" t="s">
        <v>222</v>
      </c>
      <c r="C321" s="141" t="s">
        <v>222</v>
      </c>
      <c r="D321" s="141" t="s">
        <v>222</v>
      </c>
      <c r="E321" s="141" t="s">
        <v>222</v>
      </c>
      <c r="F321" s="141" t="s">
        <v>222</v>
      </c>
      <c r="G321" s="141" t="s">
        <v>222</v>
      </c>
      <c r="H321" s="141" t="s">
        <v>222</v>
      </c>
      <c r="I321" s="141" t="s">
        <v>222</v>
      </c>
      <c r="J321" s="141" t="s">
        <v>222</v>
      </c>
      <c r="K321" s="141" t="s">
        <v>222</v>
      </c>
      <c r="L321" s="141" t="s">
        <v>222</v>
      </c>
      <c r="M321" s="141" t="s">
        <v>222</v>
      </c>
      <c r="N321" s="141" t="s">
        <v>222</v>
      </c>
      <c r="O321" s="141" t="s">
        <v>222</v>
      </c>
      <c r="P321" s="141" t="s">
        <v>222</v>
      </c>
      <c r="Q321" s="141" t="s">
        <v>222</v>
      </c>
      <c r="R321" s="141" t="s">
        <v>222</v>
      </c>
      <c r="S321" s="141" t="s">
        <v>222</v>
      </c>
      <c r="T321" s="141" t="s">
        <v>222</v>
      </c>
      <c r="U321" s="141" t="s">
        <v>222</v>
      </c>
      <c r="V321" s="141" t="s">
        <v>222</v>
      </c>
      <c r="W321" s="141"/>
      <c r="X321" s="141"/>
      <c r="Y321" s="141"/>
      <c r="Z321" s="141"/>
    </row>
    <row r="322">
      <c r="A322" s="141"/>
      <c r="B322" s="141" t="s">
        <v>222</v>
      </c>
      <c r="C322" s="141" t="s">
        <v>222</v>
      </c>
      <c r="D322" s="141" t="s">
        <v>222</v>
      </c>
      <c r="E322" s="141" t="s">
        <v>222</v>
      </c>
      <c r="F322" s="141" t="s">
        <v>222</v>
      </c>
      <c r="G322" s="141" t="s">
        <v>222</v>
      </c>
      <c r="H322" s="141" t="s">
        <v>222</v>
      </c>
      <c r="I322" s="141" t="s">
        <v>222</v>
      </c>
      <c r="J322" s="141" t="s">
        <v>222</v>
      </c>
      <c r="K322" s="141" t="s">
        <v>222</v>
      </c>
      <c r="L322" s="141" t="s">
        <v>222</v>
      </c>
      <c r="M322" s="141" t="s">
        <v>222</v>
      </c>
      <c r="N322" s="141" t="s">
        <v>222</v>
      </c>
      <c r="O322" s="141" t="s">
        <v>222</v>
      </c>
      <c r="P322" s="141" t="s">
        <v>222</v>
      </c>
      <c r="Q322" s="141" t="s">
        <v>222</v>
      </c>
      <c r="R322" s="141" t="s">
        <v>222</v>
      </c>
      <c r="S322" s="141" t="s">
        <v>222</v>
      </c>
      <c r="T322" s="141" t="s">
        <v>222</v>
      </c>
      <c r="U322" s="141" t="s">
        <v>222</v>
      </c>
      <c r="V322" s="141" t="s">
        <v>222</v>
      </c>
      <c r="W322" s="141"/>
      <c r="X322" s="141"/>
      <c r="Y322" s="141"/>
      <c r="Z322" s="141"/>
    </row>
    <row r="323">
      <c r="A323" s="141"/>
      <c r="B323" s="141" t="s">
        <v>222</v>
      </c>
      <c r="C323" s="141" t="s">
        <v>222</v>
      </c>
      <c r="D323" s="141" t="s">
        <v>222</v>
      </c>
      <c r="E323" s="141" t="s">
        <v>222</v>
      </c>
      <c r="F323" s="141" t="s">
        <v>222</v>
      </c>
      <c r="G323" s="141" t="s">
        <v>222</v>
      </c>
      <c r="H323" s="141" t="s">
        <v>222</v>
      </c>
      <c r="I323" s="141" t="s">
        <v>222</v>
      </c>
      <c r="J323" s="141" t="s">
        <v>222</v>
      </c>
      <c r="K323" s="141" t="s">
        <v>222</v>
      </c>
      <c r="L323" s="141" t="s">
        <v>222</v>
      </c>
      <c r="M323" s="141" t="s">
        <v>222</v>
      </c>
      <c r="N323" s="141" t="s">
        <v>222</v>
      </c>
      <c r="O323" s="141" t="s">
        <v>222</v>
      </c>
      <c r="P323" s="141" t="s">
        <v>222</v>
      </c>
      <c r="Q323" s="141" t="s">
        <v>222</v>
      </c>
      <c r="R323" s="141" t="s">
        <v>222</v>
      </c>
      <c r="S323" s="141" t="s">
        <v>222</v>
      </c>
      <c r="T323" s="141" t="s">
        <v>222</v>
      </c>
      <c r="U323" s="141" t="s">
        <v>222</v>
      </c>
      <c r="V323" s="141" t="s">
        <v>222</v>
      </c>
      <c r="W323" s="141"/>
      <c r="X323" s="141"/>
      <c r="Y323" s="141"/>
      <c r="Z323" s="141"/>
    </row>
    <row r="324">
      <c r="A324" s="141"/>
      <c r="B324" s="141" t="s">
        <v>222</v>
      </c>
      <c r="C324" s="141" t="s">
        <v>222</v>
      </c>
      <c r="D324" s="141" t="s">
        <v>222</v>
      </c>
      <c r="E324" s="141" t="s">
        <v>222</v>
      </c>
      <c r="F324" s="141" t="s">
        <v>222</v>
      </c>
      <c r="G324" s="141" t="s">
        <v>222</v>
      </c>
      <c r="H324" s="141" t="s">
        <v>222</v>
      </c>
      <c r="I324" s="141" t="s">
        <v>222</v>
      </c>
      <c r="J324" s="141" t="s">
        <v>222</v>
      </c>
      <c r="K324" s="141" t="s">
        <v>222</v>
      </c>
      <c r="L324" s="141" t="s">
        <v>222</v>
      </c>
      <c r="M324" s="141" t="s">
        <v>222</v>
      </c>
      <c r="N324" s="141" t="s">
        <v>222</v>
      </c>
      <c r="O324" s="141" t="s">
        <v>222</v>
      </c>
      <c r="P324" s="141" t="s">
        <v>222</v>
      </c>
      <c r="Q324" s="141" t="s">
        <v>222</v>
      </c>
      <c r="R324" s="141" t="s">
        <v>222</v>
      </c>
      <c r="S324" s="141" t="s">
        <v>222</v>
      </c>
      <c r="T324" s="141" t="s">
        <v>222</v>
      </c>
      <c r="U324" s="141" t="s">
        <v>222</v>
      </c>
      <c r="V324" s="141" t="s">
        <v>222</v>
      </c>
      <c r="W324" s="141"/>
      <c r="X324" s="141"/>
      <c r="Y324" s="141"/>
      <c r="Z324" s="141"/>
    </row>
    <row r="325">
      <c r="A325" s="141"/>
      <c r="B325" s="141" t="s">
        <v>222</v>
      </c>
      <c r="C325" s="141" t="s">
        <v>222</v>
      </c>
      <c r="D325" s="141" t="s">
        <v>222</v>
      </c>
      <c r="E325" s="141" t="s">
        <v>222</v>
      </c>
      <c r="F325" s="141" t="s">
        <v>222</v>
      </c>
      <c r="G325" s="141" t="s">
        <v>222</v>
      </c>
      <c r="H325" s="141" t="s">
        <v>222</v>
      </c>
      <c r="I325" s="141" t="s">
        <v>222</v>
      </c>
      <c r="J325" s="141" t="s">
        <v>222</v>
      </c>
      <c r="K325" s="141" t="s">
        <v>222</v>
      </c>
      <c r="L325" s="141" t="s">
        <v>222</v>
      </c>
      <c r="M325" s="141" t="s">
        <v>222</v>
      </c>
      <c r="N325" s="141" t="s">
        <v>222</v>
      </c>
      <c r="O325" s="141" t="s">
        <v>222</v>
      </c>
      <c r="P325" s="141" t="s">
        <v>222</v>
      </c>
      <c r="Q325" s="141" t="s">
        <v>222</v>
      </c>
      <c r="R325" s="141" t="s">
        <v>222</v>
      </c>
      <c r="S325" s="141" t="s">
        <v>222</v>
      </c>
      <c r="T325" s="141" t="s">
        <v>222</v>
      </c>
      <c r="U325" s="141" t="s">
        <v>222</v>
      </c>
      <c r="V325" s="141" t="s">
        <v>222</v>
      </c>
      <c r="W325" s="141"/>
      <c r="X325" s="141"/>
      <c r="Y325" s="141"/>
      <c r="Z325" s="141"/>
    </row>
    <row r="326">
      <c r="A326" s="141"/>
      <c r="B326" s="141" t="s">
        <v>222</v>
      </c>
      <c r="C326" s="141" t="s">
        <v>222</v>
      </c>
      <c r="D326" s="141" t="s">
        <v>222</v>
      </c>
      <c r="E326" s="141" t="s">
        <v>222</v>
      </c>
      <c r="F326" s="141" t="s">
        <v>222</v>
      </c>
      <c r="G326" s="141" t="s">
        <v>222</v>
      </c>
      <c r="H326" s="141" t="s">
        <v>222</v>
      </c>
      <c r="I326" s="141" t="s">
        <v>222</v>
      </c>
      <c r="J326" s="141" t="s">
        <v>222</v>
      </c>
      <c r="K326" s="141" t="s">
        <v>222</v>
      </c>
      <c r="L326" s="141" t="s">
        <v>222</v>
      </c>
      <c r="M326" s="141" t="s">
        <v>222</v>
      </c>
      <c r="N326" s="141" t="s">
        <v>222</v>
      </c>
      <c r="O326" s="141" t="s">
        <v>222</v>
      </c>
      <c r="P326" s="141" t="s">
        <v>222</v>
      </c>
      <c r="Q326" s="141" t="s">
        <v>222</v>
      </c>
      <c r="R326" s="141" t="s">
        <v>222</v>
      </c>
      <c r="S326" s="141" t="s">
        <v>222</v>
      </c>
      <c r="T326" s="141" t="s">
        <v>222</v>
      </c>
      <c r="U326" s="141" t="s">
        <v>222</v>
      </c>
      <c r="V326" s="141" t="s">
        <v>222</v>
      </c>
      <c r="W326" s="141"/>
      <c r="X326" s="141"/>
      <c r="Y326" s="141"/>
      <c r="Z326" s="141"/>
    </row>
    <row r="327">
      <c r="A327" s="141"/>
      <c r="B327" s="141" t="s">
        <v>222</v>
      </c>
      <c r="C327" s="141" t="s">
        <v>222</v>
      </c>
      <c r="D327" s="141" t="s">
        <v>222</v>
      </c>
      <c r="E327" s="141" t="s">
        <v>222</v>
      </c>
      <c r="F327" s="141" t="s">
        <v>222</v>
      </c>
      <c r="G327" s="141" t="s">
        <v>222</v>
      </c>
      <c r="H327" s="141" t="s">
        <v>222</v>
      </c>
      <c r="I327" s="141" t="s">
        <v>222</v>
      </c>
      <c r="J327" s="141" t="s">
        <v>222</v>
      </c>
      <c r="K327" s="141" t="s">
        <v>222</v>
      </c>
      <c r="L327" s="141" t="s">
        <v>222</v>
      </c>
      <c r="M327" s="141" t="s">
        <v>222</v>
      </c>
      <c r="N327" s="141" t="s">
        <v>222</v>
      </c>
      <c r="O327" s="141" t="s">
        <v>222</v>
      </c>
      <c r="P327" s="141" t="s">
        <v>222</v>
      </c>
      <c r="Q327" s="141" t="s">
        <v>222</v>
      </c>
      <c r="R327" s="141" t="s">
        <v>222</v>
      </c>
      <c r="S327" s="141" t="s">
        <v>222</v>
      </c>
      <c r="T327" s="141" t="s">
        <v>222</v>
      </c>
      <c r="U327" s="141" t="s">
        <v>222</v>
      </c>
      <c r="V327" s="141" t="s">
        <v>222</v>
      </c>
      <c r="W327" s="141"/>
      <c r="X327" s="141"/>
      <c r="Y327" s="141"/>
      <c r="Z327" s="141"/>
    </row>
    <row r="328">
      <c r="A328" s="141"/>
      <c r="B328" s="141" t="s">
        <v>222</v>
      </c>
      <c r="C328" s="141" t="s">
        <v>222</v>
      </c>
      <c r="D328" s="141" t="s">
        <v>222</v>
      </c>
      <c r="E328" s="141" t="s">
        <v>222</v>
      </c>
      <c r="F328" s="141" t="s">
        <v>222</v>
      </c>
      <c r="G328" s="141" t="s">
        <v>222</v>
      </c>
      <c r="H328" s="141" t="s">
        <v>222</v>
      </c>
      <c r="I328" s="141" t="s">
        <v>222</v>
      </c>
      <c r="J328" s="141" t="s">
        <v>222</v>
      </c>
      <c r="K328" s="141" t="s">
        <v>222</v>
      </c>
      <c r="L328" s="141" t="s">
        <v>222</v>
      </c>
      <c r="M328" s="141" t="s">
        <v>222</v>
      </c>
      <c r="N328" s="141" t="s">
        <v>222</v>
      </c>
      <c r="O328" s="141" t="s">
        <v>222</v>
      </c>
      <c r="P328" s="141" t="s">
        <v>222</v>
      </c>
      <c r="Q328" s="141" t="s">
        <v>222</v>
      </c>
      <c r="R328" s="141" t="s">
        <v>222</v>
      </c>
      <c r="S328" s="141" t="s">
        <v>222</v>
      </c>
      <c r="T328" s="141" t="s">
        <v>222</v>
      </c>
      <c r="U328" s="141" t="s">
        <v>222</v>
      </c>
      <c r="V328" s="141" t="s">
        <v>222</v>
      </c>
      <c r="W328" s="141"/>
      <c r="X328" s="141"/>
      <c r="Y328" s="141"/>
      <c r="Z328" s="141"/>
    </row>
    <row r="329">
      <c r="A329" s="141"/>
      <c r="B329" s="141" t="s">
        <v>222</v>
      </c>
      <c r="C329" s="141" t="s">
        <v>222</v>
      </c>
      <c r="D329" s="141" t="s">
        <v>222</v>
      </c>
      <c r="E329" s="141" t="s">
        <v>222</v>
      </c>
      <c r="F329" s="141" t="s">
        <v>222</v>
      </c>
      <c r="G329" s="141" t="s">
        <v>222</v>
      </c>
      <c r="H329" s="141" t="s">
        <v>222</v>
      </c>
      <c r="I329" s="141" t="s">
        <v>222</v>
      </c>
      <c r="J329" s="141" t="s">
        <v>222</v>
      </c>
      <c r="K329" s="141" t="s">
        <v>222</v>
      </c>
      <c r="L329" s="141" t="s">
        <v>222</v>
      </c>
      <c r="M329" s="141" t="s">
        <v>222</v>
      </c>
      <c r="N329" s="141" t="s">
        <v>222</v>
      </c>
      <c r="O329" s="141" t="s">
        <v>222</v>
      </c>
      <c r="P329" s="141" t="s">
        <v>222</v>
      </c>
      <c r="Q329" s="141" t="s">
        <v>222</v>
      </c>
      <c r="R329" s="141" t="s">
        <v>222</v>
      </c>
      <c r="S329" s="141" t="s">
        <v>222</v>
      </c>
      <c r="T329" s="141" t="s">
        <v>222</v>
      </c>
      <c r="U329" s="141" t="s">
        <v>222</v>
      </c>
      <c r="V329" s="141" t="s">
        <v>222</v>
      </c>
      <c r="W329" s="141"/>
      <c r="X329" s="141"/>
      <c r="Y329" s="141"/>
      <c r="Z329" s="141"/>
    </row>
    <row r="330">
      <c r="A330" s="141"/>
      <c r="B330" s="141" t="s">
        <v>222</v>
      </c>
      <c r="C330" s="141" t="s">
        <v>222</v>
      </c>
      <c r="D330" s="141" t="s">
        <v>222</v>
      </c>
      <c r="E330" s="141" t="s">
        <v>222</v>
      </c>
      <c r="F330" s="141" t="s">
        <v>222</v>
      </c>
      <c r="G330" s="141" t="s">
        <v>222</v>
      </c>
      <c r="H330" s="141" t="s">
        <v>222</v>
      </c>
      <c r="I330" s="141" t="s">
        <v>222</v>
      </c>
      <c r="J330" s="141" t="s">
        <v>222</v>
      </c>
      <c r="K330" s="141" t="s">
        <v>222</v>
      </c>
      <c r="L330" s="141" t="s">
        <v>222</v>
      </c>
      <c r="M330" s="141" t="s">
        <v>222</v>
      </c>
      <c r="N330" s="141" t="s">
        <v>222</v>
      </c>
      <c r="O330" s="141" t="s">
        <v>222</v>
      </c>
      <c r="P330" s="141" t="s">
        <v>222</v>
      </c>
      <c r="Q330" s="141" t="s">
        <v>222</v>
      </c>
      <c r="R330" s="141" t="s">
        <v>222</v>
      </c>
      <c r="S330" s="141" t="s">
        <v>222</v>
      </c>
      <c r="T330" s="141" t="s">
        <v>222</v>
      </c>
      <c r="U330" s="141" t="s">
        <v>222</v>
      </c>
      <c r="V330" s="141" t="s">
        <v>222</v>
      </c>
      <c r="W330" s="141"/>
      <c r="X330" s="141"/>
      <c r="Y330" s="141"/>
      <c r="Z330" s="141"/>
    </row>
    <row r="331">
      <c r="A331" s="141"/>
      <c r="B331" s="141" t="s">
        <v>222</v>
      </c>
      <c r="C331" s="141" t="s">
        <v>222</v>
      </c>
      <c r="D331" s="141" t="s">
        <v>222</v>
      </c>
      <c r="E331" s="141" t="s">
        <v>222</v>
      </c>
      <c r="F331" s="141" t="s">
        <v>222</v>
      </c>
      <c r="G331" s="141" t="s">
        <v>222</v>
      </c>
      <c r="H331" s="141" t="s">
        <v>222</v>
      </c>
      <c r="I331" s="141" t="s">
        <v>222</v>
      </c>
      <c r="J331" s="141" t="s">
        <v>222</v>
      </c>
      <c r="K331" s="141" t="s">
        <v>222</v>
      </c>
      <c r="L331" s="141" t="s">
        <v>222</v>
      </c>
      <c r="M331" s="141" t="s">
        <v>222</v>
      </c>
      <c r="N331" s="141" t="s">
        <v>222</v>
      </c>
      <c r="O331" s="141" t="s">
        <v>222</v>
      </c>
      <c r="P331" s="141" t="s">
        <v>222</v>
      </c>
      <c r="Q331" s="141" t="s">
        <v>222</v>
      </c>
      <c r="R331" s="141" t="s">
        <v>222</v>
      </c>
      <c r="S331" s="141" t="s">
        <v>222</v>
      </c>
      <c r="T331" s="141" t="s">
        <v>222</v>
      </c>
      <c r="U331" s="141" t="s">
        <v>222</v>
      </c>
      <c r="V331" s="141" t="s">
        <v>222</v>
      </c>
      <c r="W331" s="141"/>
      <c r="X331" s="141"/>
      <c r="Y331" s="141"/>
      <c r="Z331" s="141"/>
    </row>
    <row r="332">
      <c r="A332" s="141"/>
      <c r="B332" s="141" t="s">
        <v>222</v>
      </c>
      <c r="C332" s="141" t="s">
        <v>222</v>
      </c>
      <c r="D332" s="141" t="s">
        <v>222</v>
      </c>
      <c r="E332" s="141" t="s">
        <v>222</v>
      </c>
      <c r="F332" s="141" t="s">
        <v>222</v>
      </c>
      <c r="G332" s="141" t="s">
        <v>222</v>
      </c>
      <c r="H332" s="141" t="s">
        <v>222</v>
      </c>
      <c r="I332" s="141" t="s">
        <v>222</v>
      </c>
      <c r="J332" s="141" t="s">
        <v>222</v>
      </c>
      <c r="K332" s="141" t="s">
        <v>222</v>
      </c>
      <c r="L332" s="141" t="s">
        <v>222</v>
      </c>
      <c r="M332" s="141" t="s">
        <v>222</v>
      </c>
      <c r="N332" s="141" t="s">
        <v>222</v>
      </c>
      <c r="O332" s="141" t="s">
        <v>222</v>
      </c>
      <c r="P332" s="141" t="s">
        <v>222</v>
      </c>
      <c r="Q332" s="141" t="s">
        <v>222</v>
      </c>
      <c r="R332" s="141" t="s">
        <v>222</v>
      </c>
      <c r="S332" s="141" t="s">
        <v>222</v>
      </c>
      <c r="T332" s="141" t="s">
        <v>222</v>
      </c>
      <c r="U332" s="141" t="s">
        <v>222</v>
      </c>
      <c r="V332" s="141" t="s">
        <v>222</v>
      </c>
      <c r="W332" s="141"/>
      <c r="X332" s="141"/>
      <c r="Y332" s="141"/>
      <c r="Z332" s="141"/>
    </row>
    <row r="333">
      <c r="A333" s="141"/>
      <c r="B333" s="141" t="s">
        <v>222</v>
      </c>
      <c r="C333" s="141" t="s">
        <v>222</v>
      </c>
      <c r="D333" s="141" t="s">
        <v>222</v>
      </c>
      <c r="E333" s="141" t="s">
        <v>222</v>
      </c>
      <c r="F333" s="141" t="s">
        <v>222</v>
      </c>
      <c r="G333" s="141" t="s">
        <v>222</v>
      </c>
      <c r="H333" s="141" t="s">
        <v>222</v>
      </c>
      <c r="I333" s="141" t="s">
        <v>222</v>
      </c>
      <c r="J333" s="141" t="s">
        <v>222</v>
      </c>
      <c r="K333" s="141" t="s">
        <v>222</v>
      </c>
      <c r="L333" s="141" t="s">
        <v>222</v>
      </c>
      <c r="M333" s="141" t="s">
        <v>222</v>
      </c>
      <c r="N333" s="141" t="s">
        <v>222</v>
      </c>
      <c r="O333" s="141" t="s">
        <v>222</v>
      </c>
      <c r="P333" s="141" t="s">
        <v>222</v>
      </c>
      <c r="Q333" s="141" t="s">
        <v>222</v>
      </c>
      <c r="R333" s="141" t="s">
        <v>222</v>
      </c>
      <c r="S333" s="141" t="s">
        <v>222</v>
      </c>
      <c r="T333" s="141" t="s">
        <v>222</v>
      </c>
      <c r="U333" s="141" t="s">
        <v>222</v>
      </c>
      <c r="V333" s="141" t="s">
        <v>222</v>
      </c>
      <c r="W333" s="141"/>
      <c r="X333" s="141"/>
      <c r="Y333" s="141"/>
      <c r="Z333" s="141"/>
    </row>
    <row r="334">
      <c r="A334" s="141"/>
      <c r="B334" s="141" t="s">
        <v>222</v>
      </c>
      <c r="C334" s="141" t="s">
        <v>222</v>
      </c>
      <c r="D334" s="141" t="s">
        <v>222</v>
      </c>
      <c r="E334" s="141" t="s">
        <v>222</v>
      </c>
      <c r="F334" s="141" t="s">
        <v>222</v>
      </c>
      <c r="G334" s="141" t="s">
        <v>222</v>
      </c>
      <c r="H334" s="141" t="s">
        <v>222</v>
      </c>
      <c r="I334" s="141" t="s">
        <v>222</v>
      </c>
      <c r="J334" s="141" t="s">
        <v>222</v>
      </c>
      <c r="K334" s="141" t="s">
        <v>222</v>
      </c>
      <c r="L334" s="141" t="s">
        <v>222</v>
      </c>
      <c r="M334" s="141" t="s">
        <v>222</v>
      </c>
      <c r="N334" s="141" t="s">
        <v>222</v>
      </c>
      <c r="O334" s="141" t="s">
        <v>222</v>
      </c>
      <c r="P334" s="141" t="s">
        <v>222</v>
      </c>
      <c r="Q334" s="141" t="s">
        <v>222</v>
      </c>
      <c r="R334" s="141" t="s">
        <v>222</v>
      </c>
      <c r="S334" s="141" t="s">
        <v>222</v>
      </c>
      <c r="T334" s="141" t="s">
        <v>222</v>
      </c>
      <c r="U334" s="141" t="s">
        <v>222</v>
      </c>
      <c r="V334" s="141" t="s">
        <v>222</v>
      </c>
      <c r="W334" s="141"/>
      <c r="X334" s="141"/>
      <c r="Y334" s="141"/>
      <c r="Z334" s="141"/>
    </row>
    <row r="335">
      <c r="A335" s="141"/>
      <c r="B335" s="141" t="s">
        <v>222</v>
      </c>
      <c r="C335" s="141" t="s">
        <v>222</v>
      </c>
      <c r="D335" s="141" t="s">
        <v>222</v>
      </c>
      <c r="E335" s="141" t="s">
        <v>222</v>
      </c>
      <c r="F335" s="141" t="s">
        <v>222</v>
      </c>
      <c r="G335" s="141" t="s">
        <v>222</v>
      </c>
      <c r="H335" s="141" t="s">
        <v>222</v>
      </c>
      <c r="I335" s="141" t="s">
        <v>222</v>
      </c>
      <c r="J335" s="141" t="s">
        <v>222</v>
      </c>
      <c r="K335" s="141" t="s">
        <v>222</v>
      </c>
      <c r="L335" s="141" t="s">
        <v>222</v>
      </c>
      <c r="M335" s="141" t="s">
        <v>222</v>
      </c>
      <c r="N335" s="141" t="s">
        <v>222</v>
      </c>
      <c r="O335" s="141" t="s">
        <v>222</v>
      </c>
      <c r="P335" s="141" t="s">
        <v>222</v>
      </c>
      <c r="Q335" s="141" t="s">
        <v>222</v>
      </c>
      <c r="R335" s="141" t="s">
        <v>222</v>
      </c>
      <c r="S335" s="141" t="s">
        <v>222</v>
      </c>
      <c r="T335" s="141" t="s">
        <v>222</v>
      </c>
      <c r="U335" s="141" t="s">
        <v>222</v>
      </c>
      <c r="V335" s="141" t="s">
        <v>222</v>
      </c>
      <c r="W335" s="141"/>
      <c r="X335" s="141"/>
      <c r="Y335" s="141"/>
      <c r="Z335" s="141"/>
    </row>
    <row r="336">
      <c r="A336" s="141"/>
      <c r="B336" s="141" t="s">
        <v>222</v>
      </c>
      <c r="C336" s="141" t="s">
        <v>222</v>
      </c>
      <c r="D336" s="141" t="s">
        <v>222</v>
      </c>
      <c r="E336" s="141" t="s">
        <v>222</v>
      </c>
      <c r="F336" s="141" t="s">
        <v>222</v>
      </c>
      <c r="G336" s="141" t="s">
        <v>222</v>
      </c>
      <c r="H336" s="141" t="s">
        <v>222</v>
      </c>
      <c r="I336" s="141" t="s">
        <v>222</v>
      </c>
      <c r="J336" s="141" t="s">
        <v>222</v>
      </c>
      <c r="K336" s="141" t="s">
        <v>222</v>
      </c>
      <c r="L336" s="141" t="s">
        <v>222</v>
      </c>
      <c r="M336" s="141" t="s">
        <v>222</v>
      </c>
      <c r="N336" s="141" t="s">
        <v>222</v>
      </c>
      <c r="O336" s="141" t="s">
        <v>222</v>
      </c>
      <c r="P336" s="141" t="s">
        <v>222</v>
      </c>
      <c r="Q336" s="141" t="s">
        <v>222</v>
      </c>
      <c r="R336" s="141" t="s">
        <v>222</v>
      </c>
      <c r="S336" s="141" t="s">
        <v>222</v>
      </c>
      <c r="T336" s="141" t="s">
        <v>222</v>
      </c>
      <c r="U336" s="141" t="s">
        <v>222</v>
      </c>
      <c r="V336" s="141" t="s">
        <v>222</v>
      </c>
      <c r="W336" s="141"/>
      <c r="X336" s="141"/>
      <c r="Y336" s="141"/>
      <c r="Z336" s="141"/>
    </row>
    <row r="337">
      <c r="A337" s="141"/>
      <c r="B337" s="141" t="s">
        <v>222</v>
      </c>
      <c r="C337" s="141" t="s">
        <v>222</v>
      </c>
      <c r="D337" s="141" t="s">
        <v>222</v>
      </c>
      <c r="E337" s="141" t="s">
        <v>222</v>
      </c>
      <c r="F337" s="141" t="s">
        <v>222</v>
      </c>
      <c r="G337" s="141" t="s">
        <v>222</v>
      </c>
      <c r="H337" s="141" t="s">
        <v>222</v>
      </c>
      <c r="I337" s="141" t="s">
        <v>222</v>
      </c>
      <c r="J337" s="141" t="s">
        <v>222</v>
      </c>
      <c r="K337" s="141" t="s">
        <v>222</v>
      </c>
      <c r="L337" s="141" t="s">
        <v>222</v>
      </c>
      <c r="M337" s="141" t="s">
        <v>222</v>
      </c>
      <c r="N337" s="141" t="s">
        <v>222</v>
      </c>
      <c r="O337" s="141" t="s">
        <v>222</v>
      </c>
      <c r="P337" s="141" t="s">
        <v>222</v>
      </c>
      <c r="Q337" s="141" t="s">
        <v>222</v>
      </c>
      <c r="R337" s="141" t="s">
        <v>222</v>
      </c>
      <c r="S337" s="141" t="s">
        <v>222</v>
      </c>
      <c r="T337" s="141" t="s">
        <v>222</v>
      </c>
      <c r="U337" s="141" t="s">
        <v>222</v>
      </c>
      <c r="V337" s="141" t="s">
        <v>222</v>
      </c>
      <c r="W337" s="141"/>
      <c r="X337" s="141"/>
      <c r="Y337" s="141"/>
      <c r="Z337" s="141"/>
    </row>
    <row r="338">
      <c r="A338" s="141"/>
      <c r="B338" s="141" t="s">
        <v>222</v>
      </c>
      <c r="C338" s="141" t="s">
        <v>222</v>
      </c>
      <c r="D338" s="141" t="s">
        <v>222</v>
      </c>
      <c r="E338" s="141" t="s">
        <v>222</v>
      </c>
      <c r="F338" s="141" t="s">
        <v>222</v>
      </c>
      <c r="G338" s="141" t="s">
        <v>222</v>
      </c>
      <c r="H338" s="141" t="s">
        <v>222</v>
      </c>
      <c r="I338" s="141" t="s">
        <v>222</v>
      </c>
      <c r="J338" s="141" t="s">
        <v>222</v>
      </c>
      <c r="K338" s="141" t="s">
        <v>222</v>
      </c>
      <c r="L338" s="141" t="s">
        <v>222</v>
      </c>
      <c r="M338" s="141" t="s">
        <v>222</v>
      </c>
      <c r="N338" s="141" t="s">
        <v>222</v>
      </c>
      <c r="O338" s="141" t="s">
        <v>222</v>
      </c>
      <c r="P338" s="141" t="s">
        <v>222</v>
      </c>
      <c r="Q338" s="141" t="s">
        <v>222</v>
      </c>
      <c r="R338" s="141" t="s">
        <v>222</v>
      </c>
      <c r="S338" s="141" t="s">
        <v>222</v>
      </c>
      <c r="T338" s="141" t="s">
        <v>222</v>
      </c>
      <c r="U338" s="141" t="s">
        <v>222</v>
      </c>
      <c r="V338" s="141" t="s">
        <v>222</v>
      </c>
      <c r="W338" s="141"/>
      <c r="X338" s="141"/>
      <c r="Y338" s="141"/>
      <c r="Z338" s="141"/>
    </row>
    <row r="339">
      <c r="A339" s="141"/>
      <c r="B339" s="141" t="s">
        <v>222</v>
      </c>
      <c r="C339" s="141" t="s">
        <v>222</v>
      </c>
      <c r="D339" s="141" t="s">
        <v>222</v>
      </c>
      <c r="E339" s="141" t="s">
        <v>222</v>
      </c>
      <c r="F339" s="141" t="s">
        <v>222</v>
      </c>
      <c r="G339" s="141" t="s">
        <v>222</v>
      </c>
      <c r="H339" s="141" t="s">
        <v>222</v>
      </c>
      <c r="I339" s="141" t="s">
        <v>222</v>
      </c>
      <c r="J339" s="141" t="s">
        <v>222</v>
      </c>
      <c r="K339" s="141" t="s">
        <v>222</v>
      </c>
      <c r="L339" s="141" t="s">
        <v>222</v>
      </c>
      <c r="M339" s="141" t="s">
        <v>222</v>
      </c>
      <c r="N339" s="141" t="s">
        <v>222</v>
      </c>
      <c r="O339" s="141" t="s">
        <v>222</v>
      </c>
      <c r="P339" s="141" t="s">
        <v>222</v>
      </c>
      <c r="Q339" s="141" t="s">
        <v>222</v>
      </c>
      <c r="R339" s="141" t="s">
        <v>222</v>
      </c>
      <c r="S339" s="141" t="s">
        <v>222</v>
      </c>
      <c r="T339" s="141" t="s">
        <v>222</v>
      </c>
      <c r="U339" s="141" t="s">
        <v>222</v>
      </c>
      <c r="V339" s="141" t="s">
        <v>222</v>
      </c>
      <c r="W339" s="141"/>
      <c r="X339" s="141"/>
      <c r="Y339" s="141"/>
      <c r="Z339" s="141"/>
    </row>
    <row r="340">
      <c r="A340" s="141"/>
      <c r="B340" s="141" t="s">
        <v>222</v>
      </c>
      <c r="C340" s="141" t="s">
        <v>222</v>
      </c>
      <c r="D340" s="141" t="s">
        <v>222</v>
      </c>
      <c r="E340" s="141" t="s">
        <v>222</v>
      </c>
      <c r="F340" s="141" t="s">
        <v>222</v>
      </c>
      <c r="G340" s="141" t="s">
        <v>222</v>
      </c>
      <c r="H340" s="141" t="s">
        <v>222</v>
      </c>
      <c r="I340" s="141" t="s">
        <v>222</v>
      </c>
      <c r="J340" s="141" t="s">
        <v>222</v>
      </c>
      <c r="K340" s="141" t="s">
        <v>222</v>
      </c>
      <c r="L340" s="141" t="s">
        <v>222</v>
      </c>
      <c r="M340" s="141" t="s">
        <v>222</v>
      </c>
      <c r="N340" s="141" t="s">
        <v>222</v>
      </c>
      <c r="O340" s="141" t="s">
        <v>222</v>
      </c>
      <c r="P340" s="141" t="s">
        <v>222</v>
      </c>
      <c r="Q340" s="141" t="s">
        <v>222</v>
      </c>
      <c r="R340" s="141" t="s">
        <v>222</v>
      </c>
      <c r="S340" s="141" t="s">
        <v>222</v>
      </c>
      <c r="T340" s="141" t="s">
        <v>222</v>
      </c>
      <c r="U340" s="141" t="s">
        <v>222</v>
      </c>
      <c r="V340" s="141" t="s">
        <v>222</v>
      </c>
      <c r="W340" s="141"/>
      <c r="X340" s="141"/>
      <c r="Y340" s="141"/>
      <c r="Z340" s="141"/>
    </row>
    <row r="341">
      <c r="A341" s="141"/>
      <c r="B341" s="141" t="s">
        <v>222</v>
      </c>
      <c r="C341" s="141" t="s">
        <v>222</v>
      </c>
      <c r="D341" s="141" t="s">
        <v>222</v>
      </c>
      <c r="E341" s="141" t="s">
        <v>222</v>
      </c>
      <c r="F341" s="141" t="s">
        <v>222</v>
      </c>
      <c r="G341" s="141" t="s">
        <v>222</v>
      </c>
      <c r="H341" s="141" t="s">
        <v>222</v>
      </c>
      <c r="I341" s="141" t="s">
        <v>222</v>
      </c>
      <c r="J341" s="141" t="s">
        <v>222</v>
      </c>
      <c r="K341" s="141" t="s">
        <v>222</v>
      </c>
      <c r="L341" s="141" t="s">
        <v>222</v>
      </c>
      <c r="M341" s="141" t="s">
        <v>222</v>
      </c>
      <c r="N341" s="141" t="s">
        <v>222</v>
      </c>
      <c r="O341" s="141" t="s">
        <v>222</v>
      </c>
      <c r="P341" s="141" t="s">
        <v>222</v>
      </c>
      <c r="Q341" s="141" t="s">
        <v>222</v>
      </c>
      <c r="R341" s="141" t="s">
        <v>222</v>
      </c>
      <c r="S341" s="141" t="s">
        <v>222</v>
      </c>
      <c r="T341" s="141" t="s">
        <v>222</v>
      </c>
      <c r="U341" s="141" t="s">
        <v>222</v>
      </c>
      <c r="V341" s="141" t="s">
        <v>222</v>
      </c>
      <c r="W341" s="141"/>
      <c r="X341" s="141"/>
      <c r="Y341" s="141"/>
      <c r="Z341" s="141"/>
    </row>
    <row r="342">
      <c r="A342" s="141"/>
      <c r="B342" s="141" t="s">
        <v>222</v>
      </c>
      <c r="C342" s="141" t="s">
        <v>222</v>
      </c>
      <c r="D342" s="141" t="s">
        <v>222</v>
      </c>
      <c r="E342" s="141" t="s">
        <v>222</v>
      </c>
      <c r="F342" s="141" t="s">
        <v>222</v>
      </c>
      <c r="G342" s="141" t="s">
        <v>222</v>
      </c>
      <c r="H342" s="141" t="s">
        <v>222</v>
      </c>
      <c r="I342" s="141" t="s">
        <v>222</v>
      </c>
      <c r="J342" s="141" t="s">
        <v>222</v>
      </c>
      <c r="K342" s="141" t="s">
        <v>222</v>
      </c>
      <c r="L342" s="141" t="s">
        <v>222</v>
      </c>
      <c r="M342" s="141" t="s">
        <v>222</v>
      </c>
      <c r="N342" s="141" t="s">
        <v>222</v>
      </c>
      <c r="O342" s="141" t="s">
        <v>222</v>
      </c>
      <c r="P342" s="141" t="s">
        <v>222</v>
      </c>
      <c r="Q342" s="141" t="s">
        <v>222</v>
      </c>
      <c r="R342" s="141" t="s">
        <v>222</v>
      </c>
      <c r="S342" s="141" t="s">
        <v>222</v>
      </c>
      <c r="T342" s="141" t="s">
        <v>222</v>
      </c>
      <c r="U342" s="141" t="s">
        <v>222</v>
      </c>
      <c r="V342" s="141" t="s">
        <v>222</v>
      </c>
      <c r="W342" s="141"/>
      <c r="X342" s="141"/>
      <c r="Y342" s="141"/>
      <c r="Z342" s="141"/>
    </row>
    <row r="343">
      <c r="A343" s="141"/>
      <c r="B343" s="141" t="s">
        <v>222</v>
      </c>
      <c r="C343" s="141" t="s">
        <v>222</v>
      </c>
      <c r="D343" s="141" t="s">
        <v>222</v>
      </c>
      <c r="E343" s="141" t="s">
        <v>222</v>
      </c>
      <c r="F343" s="141" t="s">
        <v>222</v>
      </c>
      <c r="G343" s="141" t="s">
        <v>222</v>
      </c>
      <c r="H343" s="141" t="s">
        <v>222</v>
      </c>
      <c r="I343" s="141" t="s">
        <v>222</v>
      </c>
      <c r="J343" s="141" t="s">
        <v>222</v>
      </c>
      <c r="K343" s="141" t="s">
        <v>222</v>
      </c>
      <c r="L343" s="141" t="s">
        <v>222</v>
      </c>
      <c r="M343" s="141" t="s">
        <v>222</v>
      </c>
      <c r="N343" s="141" t="s">
        <v>222</v>
      </c>
      <c r="O343" s="141" t="s">
        <v>222</v>
      </c>
      <c r="P343" s="141" t="s">
        <v>222</v>
      </c>
      <c r="Q343" s="141" t="s">
        <v>222</v>
      </c>
      <c r="R343" s="141" t="s">
        <v>222</v>
      </c>
      <c r="S343" s="141" t="s">
        <v>222</v>
      </c>
      <c r="T343" s="141" t="s">
        <v>222</v>
      </c>
      <c r="U343" s="141" t="s">
        <v>222</v>
      </c>
      <c r="V343" s="141" t="s">
        <v>222</v>
      </c>
      <c r="W343" s="141"/>
      <c r="X343" s="141"/>
      <c r="Y343" s="141"/>
      <c r="Z343" s="141"/>
    </row>
    <row r="344">
      <c r="A344" s="141"/>
      <c r="B344" s="141" t="s">
        <v>222</v>
      </c>
      <c r="C344" s="141" t="s">
        <v>222</v>
      </c>
      <c r="D344" s="141" t="s">
        <v>222</v>
      </c>
      <c r="E344" s="141" t="s">
        <v>222</v>
      </c>
      <c r="F344" s="141" t="s">
        <v>222</v>
      </c>
      <c r="G344" s="141" t="s">
        <v>222</v>
      </c>
      <c r="H344" s="141" t="s">
        <v>222</v>
      </c>
      <c r="I344" s="141" t="s">
        <v>222</v>
      </c>
      <c r="J344" s="141" t="s">
        <v>222</v>
      </c>
      <c r="K344" s="141" t="s">
        <v>222</v>
      </c>
      <c r="L344" s="141" t="s">
        <v>222</v>
      </c>
      <c r="M344" s="141" t="s">
        <v>222</v>
      </c>
      <c r="N344" s="141" t="s">
        <v>222</v>
      </c>
      <c r="O344" s="141" t="s">
        <v>222</v>
      </c>
      <c r="P344" s="141" t="s">
        <v>222</v>
      </c>
      <c r="Q344" s="141" t="s">
        <v>222</v>
      </c>
      <c r="R344" s="141" t="s">
        <v>222</v>
      </c>
      <c r="S344" s="141" t="s">
        <v>222</v>
      </c>
      <c r="T344" s="141" t="s">
        <v>222</v>
      </c>
      <c r="U344" s="141" t="s">
        <v>222</v>
      </c>
      <c r="V344" s="141" t="s">
        <v>222</v>
      </c>
      <c r="W344" s="141"/>
      <c r="X344" s="141"/>
      <c r="Y344" s="141"/>
      <c r="Z344" s="141"/>
    </row>
    <row r="345">
      <c r="A345" s="141"/>
      <c r="B345" s="141" t="s">
        <v>222</v>
      </c>
      <c r="C345" s="141" t="s">
        <v>222</v>
      </c>
      <c r="D345" s="141" t="s">
        <v>222</v>
      </c>
      <c r="E345" s="141" t="s">
        <v>222</v>
      </c>
      <c r="F345" s="141" t="s">
        <v>222</v>
      </c>
      <c r="G345" s="141" t="s">
        <v>222</v>
      </c>
      <c r="H345" s="141" t="s">
        <v>222</v>
      </c>
      <c r="I345" s="141" t="s">
        <v>222</v>
      </c>
      <c r="J345" s="141" t="s">
        <v>222</v>
      </c>
      <c r="K345" s="141" t="s">
        <v>222</v>
      </c>
      <c r="L345" s="141" t="s">
        <v>222</v>
      </c>
      <c r="M345" s="141" t="s">
        <v>222</v>
      </c>
      <c r="N345" s="141" t="s">
        <v>222</v>
      </c>
      <c r="O345" s="141" t="s">
        <v>222</v>
      </c>
      <c r="P345" s="141" t="s">
        <v>222</v>
      </c>
      <c r="Q345" s="141" t="s">
        <v>222</v>
      </c>
      <c r="R345" s="141" t="s">
        <v>222</v>
      </c>
      <c r="S345" s="141" t="s">
        <v>222</v>
      </c>
      <c r="T345" s="141" t="s">
        <v>222</v>
      </c>
      <c r="U345" s="141" t="s">
        <v>222</v>
      </c>
      <c r="V345" s="141" t="s">
        <v>222</v>
      </c>
      <c r="W345" s="141"/>
      <c r="X345" s="141"/>
      <c r="Y345" s="141"/>
      <c r="Z345" s="141"/>
    </row>
    <row r="346">
      <c r="A346" s="141"/>
      <c r="B346" s="141" t="s">
        <v>222</v>
      </c>
      <c r="C346" s="141" t="s">
        <v>222</v>
      </c>
      <c r="D346" s="141" t="s">
        <v>222</v>
      </c>
      <c r="E346" s="141" t="s">
        <v>222</v>
      </c>
      <c r="F346" s="141" t="s">
        <v>222</v>
      </c>
      <c r="G346" s="141" t="s">
        <v>222</v>
      </c>
      <c r="H346" s="141" t="s">
        <v>222</v>
      </c>
      <c r="I346" s="141" t="s">
        <v>222</v>
      </c>
      <c r="J346" s="141" t="s">
        <v>222</v>
      </c>
      <c r="K346" s="141" t="s">
        <v>222</v>
      </c>
      <c r="L346" s="141" t="s">
        <v>222</v>
      </c>
      <c r="M346" s="141" t="s">
        <v>222</v>
      </c>
      <c r="N346" s="141" t="s">
        <v>222</v>
      </c>
      <c r="O346" s="141" t="s">
        <v>222</v>
      </c>
      <c r="P346" s="141" t="s">
        <v>222</v>
      </c>
      <c r="Q346" s="141" t="s">
        <v>222</v>
      </c>
      <c r="R346" s="141" t="s">
        <v>222</v>
      </c>
      <c r="S346" s="141" t="s">
        <v>222</v>
      </c>
      <c r="T346" s="141" t="s">
        <v>222</v>
      </c>
      <c r="U346" s="141" t="s">
        <v>222</v>
      </c>
      <c r="V346" s="141" t="s">
        <v>222</v>
      </c>
      <c r="W346" s="141"/>
      <c r="X346" s="141"/>
      <c r="Y346" s="141"/>
      <c r="Z346" s="141"/>
    </row>
    <row r="347">
      <c r="A347" s="141"/>
      <c r="B347" s="141" t="s">
        <v>222</v>
      </c>
      <c r="C347" s="141" t="s">
        <v>222</v>
      </c>
      <c r="D347" s="141" t="s">
        <v>222</v>
      </c>
      <c r="E347" s="141" t="s">
        <v>222</v>
      </c>
      <c r="F347" s="141" t="s">
        <v>222</v>
      </c>
      <c r="G347" s="141" t="s">
        <v>222</v>
      </c>
      <c r="H347" s="141" t="s">
        <v>222</v>
      </c>
      <c r="I347" s="141" t="s">
        <v>222</v>
      </c>
      <c r="J347" s="141" t="s">
        <v>222</v>
      </c>
      <c r="K347" s="141" t="s">
        <v>222</v>
      </c>
      <c r="L347" s="141" t="s">
        <v>222</v>
      </c>
      <c r="M347" s="141" t="s">
        <v>222</v>
      </c>
      <c r="N347" s="141" t="s">
        <v>222</v>
      </c>
      <c r="O347" s="141" t="s">
        <v>222</v>
      </c>
      <c r="P347" s="141" t="s">
        <v>222</v>
      </c>
      <c r="Q347" s="141" t="s">
        <v>222</v>
      </c>
      <c r="R347" s="141" t="s">
        <v>222</v>
      </c>
      <c r="S347" s="141" t="s">
        <v>222</v>
      </c>
      <c r="T347" s="141" t="s">
        <v>222</v>
      </c>
      <c r="U347" s="141" t="s">
        <v>222</v>
      </c>
      <c r="V347" s="141" t="s">
        <v>222</v>
      </c>
      <c r="W347" s="141"/>
      <c r="X347" s="141"/>
      <c r="Y347" s="141"/>
      <c r="Z347" s="141"/>
    </row>
    <row r="348">
      <c r="A348" s="141"/>
      <c r="B348" s="141" t="s">
        <v>222</v>
      </c>
      <c r="C348" s="141" t="s">
        <v>222</v>
      </c>
      <c r="D348" s="141" t="s">
        <v>222</v>
      </c>
      <c r="E348" s="141" t="s">
        <v>222</v>
      </c>
      <c r="F348" s="141" t="s">
        <v>222</v>
      </c>
      <c r="G348" s="141" t="s">
        <v>222</v>
      </c>
      <c r="H348" s="141" t="s">
        <v>222</v>
      </c>
      <c r="I348" s="141" t="s">
        <v>222</v>
      </c>
      <c r="J348" s="141" t="s">
        <v>222</v>
      </c>
      <c r="K348" s="141" t="s">
        <v>222</v>
      </c>
      <c r="L348" s="141" t="s">
        <v>222</v>
      </c>
      <c r="M348" s="141" t="s">
        <v>222</v>
      </c>
      <c r="N348" s="141" t="s">
        <v>222</v>
      </c>
      <c r="O348" s="141" t="s">
        <v>222</v>
      </c>
      <c r="P348" s="141" t="s">
        <v>222</v>
      </c>
      <c r="Q348" s="141" t="s">
        <v>222</v>
      </c>
      <c r="R348" s="141" t="s">
        <v>222</v>
      </c>
      <c r="S348" s="141" t="s">
        <v>222</v>
      </c>
      <c r="T348" s="141" t="s">
        <v>222</v>
      </c>
      <c r="U348" s="141" t="s">
        <v>222</v>
      </c>
      <c r="V348" s="141" t="s">
        <v>222</v>
      </c>
      <c r="W348" s="141"/>
      <c r="X348" s="141"/>
      <c r="Y348" s="141"/>
      <c r="Z348" s="141"/>
    </row>
    <row r="349">
      <c r="A349" s="141"/>
      <c r="B349" s="141" t="s">
        <v>222</v>
      </c>
      <c r="C349" s="141" t="s">
        <v>222</v>
      </c>
      <c r="D349" s="141" t="s">
        <v>222</v>
      </c>
      <c r="E349" s="141" t="s">
        <v>222</v>
      </c>
      <c r="F349" s="141" t="s">
        <v>222</v>
      </c>
      <c r="G349" s="141" t="s">
        <v>222</v>
      </c>
      <c r="H349" s="141" t="s">
        <v>222</v>
      </c>
      <c r="I349" s="141" t="s">
        <v>222</v>
      </c>
      <c r="J349" s="141" t="s">
        <v>222</v>
      </c>
      <c r="K349" s="141" t="s">
        <v>222</v>
      </c>
      <c r="L349" s="141" t="s">
        <v>222</v>
      </c>
      <c r="M349" s="141" t="s">
        <v>222</v>
      </c>
      <c r="N349" s="141" t="s">
        <v>222</v>
      </c>
      <c r="O349" s="141" t="s">
        <v>222</v>
      </c>
      <c r="P349" s="141" t="s">
        <v>222</v>
      </c>
      <c r="Q349" s="141" t="s">
        <v>222</v>
      </c>
      <c r="R349" s="141" t="s">
        <v>222</v>
      </c>
      <c r="S349" s="141" t="s">
        <v>222</v>
      </c>
      <c r="T349" s="141" t="s">
        <v>222</v>
      </c>
      <c r="U349" s="141" t="s">
        <v>222</v>
      </c>
      <c r="V349" s="141" t="s">
        <v>222</v>
      </c>
      <c r="W349" s="141"/>
      <c r="X349" s="141"/>
      <c r="Y349" s="141"/>
      <c r="Z349" s="141"/>
    </row>
    <row r="350">
      <c r="A350" s="141"/>
      <c r="B350" s="141" t="s">
        <v>222</v>
      </c>
      <c r="C350" s="141" t="s">
        <v>222</v>
      </c>
      <c r="D350" s="141" t="s">
        <v>222</v>
      </c>
      <c r="E350" s="141" t="s">
        <v>222</v>
      </c>
      <c r="F350" s="141" t="s">
        <v>222</v>
      </c>
      <c r="G350" s="141" t="s">
        <v>222</v>
      </c>
      <c r="H350" s="141" t="s">
        <v>222</v>
      </c>
      <c r="I350" s="141" t="s">
        <v>222</v>
      </c>
      <c r="J350" s="141" t="s">
        <v>222</v>
      </c>
      <c r="K350" s="141" t="s">
        <v>222</v>
      </c>
      <c r="L350" s="141" t="s">
        <v>222</v>
      </c>
      <c r="M350" s="141" t="s">
        <v>222</v>
      </c>
      <c r="N350" s="141" t="s">
        <v>222</v>
      </c>
      <c r="O350" s="141" t="s">
        <v>222</v>
      </c>
      <c r="P350" s="141" t="s">
        <v>222</v>
      </c>
      <c r="Q350" s="141" t="s">
        <v>222</v>
      </c>
      <c r="R350" s="141" t="s">
        <v>222</v>
      </c>
      <c r="S350" s="141" t="s">
        <v>222</v>
      </c>
      <c r="T350" s="141" t="s">
        <v>222</v>
      </c>
      <c r="U350" s="141" t="s">
        <v>222</v>
      </c>
      <c r="V350" s="141" t="s">
        <v>222</v>
      </c>
      <c r="W350" s="141"/>
      <c r="X350" s="141"/>
      <c r="Y350" s="141"/>
      <c r="Z350" s="141"/>
    </row>
    <row r="351">
      <c r="A351" s="141"/>
      <c r="B351" s="141" t="s">
        <v>222</v>
      </c>
      <c r="C351" s="141" t="s">
        <v>222</v>
      </c>
      <c r="D351" s="141" t="s">
        <v>222</v>
      </c>
      <c r="E351" s="141" t="s">
        <v>222</v>
      </c>
      <c r="F351" s="141" t="s">
        <v>222</v>
      </c>
      <c r="G351" s="141" t="s">
        <v>222</v>
      </c>
      <c r="H351" s="141" t="s">
        <v>222</v>
      </c>
      <c r="I351" s="141" t="s">
        <v>222</v>
      </c>
      <c r="J351" s="141" t="s">
        <v>222</v>
      </c>
      <c r="K351" s="141" t="s">
        <v>222</v>
      </c>
      <c r="L351" s="141" t="s">
        <v>222</v>
      </c>
      <c r="M351" s="141" t="s">
        <v>222</v>
      </c>
      <c r="N351" s="141" t="s">
        <v>222</v>
      </c>
      <c r="O351" s="141" t="s">
        <v>222</v>
      </c>
      <c r="P351" s="141" t="s">
        <v>222</v>
      </c>
      <c r="Q351" s="141" t="s">
        <v>222</v>
      </c>
      <c r="R351" s="141" t="s">
        <v>222</v>
      </c>
      <c r="S351" s="141" t="s">
        <v>222</v>
      </c>
      <c r="T351" s="141" t="s">
        <v>222</v>
      </c>
      <c r="U351" s="141" t="s">
        <v>222</v>
      </c>
      <c r="V351" s="141" t="s">
        <v>222</v>
      </c>
      <c r="W351" s="141"/>
      <c r="X351" s="141"/>
      <c r="Y351" s="141"/>
      <c r="Z351" s="141"/>
    </row>
    <row r="352">
      <c r="A352" s="141"/>
      <c r="B352" s="141" t="s">
        <v>222</v>
      </c>
      <c r="C352" s="141" t="s">
        <v>222</v>
      </c>
      <c r="D352" s="141" t="s">
        <v>222</v>
      </c>
      <c r="E352" s="141" t="s">
        <v>222</v>
      </c>
      <c r="F352" s="141" t="s">
        <v>222</v>
      </c>
      <c r="G352" s="141" t="s">
        <v>222</v>
      </c>
      <c r="H352" s="141" t="s">
        <v>222</v>
      </c>
      <c r="I352" s="141" t="s">
        <v>222</v>
      </c>
      <c r="J352" s="141" t="s">
        <v>222</v>
      </c>
      <c r="K352" s="141" t="s">
        <v>222</v>
      </c>
      <c r="L352" s="141" t="s">
        <v>222</v>
      </c>
      <c r="M352" s="141" t="s">
        <v>222</v>
      </c>
      <c r="N352" s="141" t="s">
        <v>222</v>
      </c>
      <c r="O352" s="141" t="s">
        <v>222</v>
      </c>
      <c r="P352" s="141" t="s">
        <v>222</v>
      </c>
      <c r="Q352" s="141" t="s">
        <v>222</v>
      </c>
      <c r="R352" s="141" t="s">
        <v>222</v>
      </c>
      <c r="S352" s="141" t="s">
        <v>222</v>
      </c>
      <c r="T352" s="141" t="s">
        <v>222</v>
      </c>
      <c r="U352" s="141" t="s">
        <v>222</v>
      </c>
      <c r="V352" s="141" t="s">
        <v>222</v>
      </c>
      <c r="W352" s="141"/>
      <c r="X352" s="141"/>
      <c r="Y352" s="141"/>
      <c r="Z352" s="141"/>
    </row>
    <row r="353">
      <c r="A353" s="141"/>
      <c r="B353" s="141" t="s">
        <v>222</v>
      </c>
      <c r="C353" s="141" t="s">
        <v>222</v>
      </c>
      <c r="D353" s="141" t="s">
        <v>222</v>
      </c>
      <c r="E353" s="141" t="s">
        <v>222</v>
      </c>
      <c r="F353" s="141" t="s">
        <v>222</v>
      </c>
      <c r="G353" s="141" t="s">
        <v>222</v>
      </c>
      <c r="H353" s="141" t="s">
        <v>222</v>
      </c>
      <c r="I353" s="141" t="s">
        <v>222</v>
      </c>
      <c r="J353" s="141" t="s">
        <v>222</v>
      </c>
      <c r="K353" s="141" t="s">
        <v>222</v>
      </c>
      <c r="L353" s="141" t="s">
        <v>222</v>
      </c>
      <c r="M353" s="141" t="s">
        <v>222</v>
      </c>
      <c r="N353" s="141" t="s">
        <v>222</v>
      </c>
      <c r="O353" s="141" t="s">
        <v>222</v>
      </c>
      <c r="P353" s="141" t="s">
        <v>222</v>
      </c>
      <c r="Q353" s="141" t="s">
        <v>222</v>
      </c>
      <c r="R353" s="141" t="s">
        <v>222</v>
      </c>
      <c r="S353" s="141" t="s">
        <v>222</v>
      </c>
      <c r="T353" s="141" t="s">
        <v>222</v>
      </c>
      <c r="U353" s="141" t="s">
        <v>222</v>
      </c>
      <c r="V353" s="141" t="s">
        <v>222</v>
      </c>
      <c r="W353" s="141"/>
      <c r="X353" s="141"/>
      <c r="Y353" s="141"/>
      <c r="Z353" s="141"/>
    </row>
    <row r="354">
      <c r="A354" s="141"/>
      <c r="B354" s="141" t="s">
        <v>222</v>
      </c>
      <c r="C354" s="141" t="s">
        <v>222</v>
      </c>
      <c r="D354" s="141" t="s">
        <v>222</v>
      </c>
      <c r="E354" s="141" t="s">
        <v>222</v>
      </c>
      <c r="F354" s="141" t="s">
        <v>222</v>
      </c>
      <c r="G354" s="141" t="s">
        <v>222</v>
      </c>
      <c r="H354" s="141" t="s">
        <v>222</v>
      </c>
      <c r="I354" s="141" t="s">
        <v>222</v>
      </c>
      <c r="J354" s="141" t="s">
        <v>222</v>
      </c>
      <c r="K354" s="141" t="s">
        <v>222</v>
      </c>
      <c r="L354" s="141" t="s">
        <v>222</v>
      </c>
      <c r="M354" s="141" t="s">
        <v>222</v>
      </c>
      <c r="N354" s="141" t="s">
        <v>222</v>
      </c>
      <c r="O354" s="141" t="s">
        <v>222</v>
      </c>
      <c r="P354" s="141" t="s">
        <v>222</v>
      </c>
      <c r="Q354" s="141" t="s">
        <v>222</v>
      </c>
      <c r="R354" s="141" t="s">
        <v>222</v>
      </c>
      <c r="S354" s="141" t="s">
        <v>222</v>
      </c>
      <c r="T354" s="141" t="s">
        <v>222</v>
      </c>
      <c r="U354" s="141" t="s">
        <v>222</v>
      </c>
      <c r="V354" s="141" t="s">
        <v>222</v>
      </c>
      <c r="W354" s="141"/>
      <c r="X354" s="141"/>
      <c r="Y354" s="141"/>
      <c r="Z354" s="141"/>
    </row>
    <row r="355">
      <c r="A355" s="141"/>
      <c r="B355" s="141" t="s">
        <v>222</v>
      </c>
      <c r="C355" s="141" t="s">
        <v>222</v>
      </c>
      <c r="D355" s="141" t="s">
        <v>222</v>
      </c>
      <c r="E355" s="141" t="s">
        <v>222</v>
      </c>
      <c r="F355" s="141" t="s">
        <v>222</v>
      </c>
      <c r="G355" s="141" t="s">
        <v>222</v>
      </c>
      <c r="H355" s="141" t="s">
        <v>222</v>
      </c>
      <c r="I355" s="141" t="s">
        <v>222</v>
      </c>
      <c r="J355" s="141" t="s">
        <v>222</v>
      </c>
      <c r="K355" s="141" t="s">
        <v>222</v>
      </c>
      <c r="L355" s="141" t="s">
        <v>222</v>
      </c>
      <c r="M355" s="141" t="s">
        <v>222</v>
      </c>
      <c r="N355" s="141" t="s">
        <v>222</v>
      </c>
      <c r="O355" s="141" t="s">
        <v>222</v>
      </c>
      <c r="P355" s="141" t="s">
        <v>222</v>
      </c>
      <c r="Q355" s="141" t="s">
        <v>222</v>
      </c>
      <c r="R355" s="141" t="s">
        <v>222</v>
      </c>
      <c r="S355" s="141" t="s">
        <v>222</v>
      </c>
      <c r="T355" s="141" t="s">
        <v>222</v>
      </c>
      <c r="U355" s="141" t="s">
        <v>222</v>
      </c>
      <c r="V355" s="141" t="s">
        <v>222</v>
      </c>
      <c r="W355" s="141"/>
      <c r="X355" s="141"/>
      <c r="Y355" s="141"/>
      <c r="Z355" s="141"/>
    </row>
    <row r="356">
      <c r="A356" s="141"/>
      <c r="B356" s="141" t="s">
        <v>222</v>
      </c>
      <c r="C356" s="141" t="s">
        <v>222</v>
      </c>
      <c r="D356" s="141" t="s">
        <v>222</v>
      </c>
      <c r="E356" s="141" t="s">
        <v>222</v>
      </c>
      <c r="F356" s="141" t="s">
        <v>222</v>
      </c>
      <c r="G356" s="141" t="s">
        <v>222</v>
      </c>
      <c r="H356" s="141" t="s">
        <v>222</v>
      </c>
      <c r="I356" s="141" t="s">
        <v>222</v>
      </c>
      <c r="J356" s="141" t="s">
        <v>222</v>
      </c>
      <c r="K356" s="141" t="s">
        <v>222</v>
      </c>
      <c r="L356" s="141" t="s">
        <v>222</v>
      </c>
      <c r="M356" s="141" t="s">
        <v>222</v>
      </c>
      <c r="N356" s="141" t="s">
        <v>222</v>
      </c>
      <c r="O356" s="141" t="s">
        <v>222</v>
      </c>
      <c r="P356" s="141" t="s">
        <v>222</v>
      </c>
      <c r="Q356" s="141" t="s">
        <v>222</v>
      </c>
      <c r="R356" s="141" t="s">
        <v>222</v>
      </c>
      <c r="S356" s="141" t="s">
        <v>222</v>
      </c>
      <c r="T356" s="141" t="s">
        <v>222</v>
      </c>
      <c r="U356" s="141" t="s">
        <v>222</v>
      </c>
      <c r="V356" s="141" t="s">
        <v>222</v>
      </c>
      <c r="W356" s="141"/>
      <c r="X356" s="141"/>
      <c r="Y356" s="141"/>
      <c r="Z356" s="141"/>
    </row>
    <row r="357">
      <c r="A357" s="141"/>
      <c r="B357" s="141" t="s">
        <v>222</v>
      </c>
      <c r="C357" s="141" t="s">
        <v>222</v>
      </c>
      <c r="D357" s="141" t="s">
        <v>222</v>
      </c>
      <c r="E357" s="141" t="s">
        <v>222</v>
      </c>
      <c r="F357" s="141" t="s">
        <v>222</v>
      </c>
      <c r="G357" s="141" t="s">
        <v>222</v>
      </c>
      <c r="H357" s="141" t="s">
        <v>222</v>
      </c>
      <c r="I357" s="141" t="s">
        <v>222</v>
      </c>
      <c r="J357" s="141" t="s">
        <v>222</v>
      </c>
      <c r="K357" s="141" t="s">
        <v>222</v>
      </c>
      <c r="L357" s="141" t="s">
        <v>222</v>
      </c>
      <c r="M357" s="141" t="s">
        <v>222</v>
      </c>
      <c r="N357" s="141" t="s">
        <v>222</v>
      </c>
      <c r="O357" s="141" t="s">
        <v>222</v>
      </c>
      <c r="P357" s="141" t="s">
        <v>222</v>
      </c>
      <c r="Q357" s="141" t="s">
        <v>222</v>
      </c>
      <c r="R357" s="141" t="s">
        <v>222</v>
      </c>
      <c r="S357" s="141" t="s">
        <v>222</v>
      </c>
      <c r="T357" s="141" t="s">
        <v>222</v>
      </c>
      <c r="U357" s="141" t="s">
        <v>222</v>
      </c>
      <c r="V357" s="141" t="s">
        <v>222</v>
      </c>
      <c r="W357" s="141"/>
      <c r="X357" s="141"/>
      <c r="Y357" s="141"/>
      <c r="Z357" s="141"/>
    </row>
    <row r="358">
      <c r="A358" s="141"/>
      <c r="B358" s="141" t="s">
        <v>222</v>
      </c>
      <c r="C358" s="141" t="s">
        <v>222</v>
      </c>
      <c r="D358" s="141" t="s">
        <v>222</v>
      </c>
      <c r="E358" s="141" t="s">
        <v>222</v>
      </c>
      <c r="F358" s="141" t="s">
        <v>222</v>
      </c>
      <c r="G358" s="141" t="s">
        <v>222</v>
      </c>
      <c r="H358" s="141" t="s">
        <v>222</v>
      </c>
      <c r="I358" s="141" t="s">
        <v>222</v>
      </c>
      <c r="J358" s="141" t="s">
        <v>222</v>
      </c>
      <c r="K358" s="141" t="s">
        <v>222</v>
      </c>
      <c r="L358" s="141" t="s">
        <v>222</v>
      </c>
      <c r="M358" s="141" t="s">
        <v>222</v>
      </c>
      <c r="N358" s="141" t="s">
        <v>222</v>
      </c>
      <c r="O358" s="141" t="s">
        <v>222</v>
      </c>
      <c r="P358" s="141" t="s">
        <v>222</v>
      </c>
      <c r="Q358" s="141" t="s">
        <v>222</v>
      </c>
      <c r="R358" s="141" t="s">
        <v>222</v>
      </c>
      <c r="S358" s="141" t="s">
        <v>222</v>
      </c>
      <c r="T358" s="141" t="s">
        <v>222</v>
      </c>
      <c r="U358" s="141" t="s">
        <v>222</v>
      </c>
      <c r="V358" s="141" t="s">
        <v>222</v>
      </c>
      <c r="W358" s="141"/>
      <c r="X358" s="141"/>
      <c r="Y358" s="141"/>
      <c r="Z358" s="141"/>
    </row>
    <row r="359">
      <c r="A359" s="141"/>
      <c r="B359" s="141" t="s">
        <v>222</v>
      </c>
      <c r="C359" s="141" t="s">
        <v>222</v>
      </c>
      <c r="D359" s="141" t="s">
        <v>222</v>
      </c>
      <c r="E359" s="141" t="s">
        <v>222</v>
      </c>
      <c r="F359" s="141" t="s">
        <v>222</v>
      </c>
      <c r="G359" s="141" t="s">
        <v>222</v>
      </c>
      <c r="H359" s="141" t="s">
        <v>222</v>
      </c>
      <c r="I359" s="141" t="s">
        <v>222</v>
      </c>
      <c r="J359" s="141" t="s">
        <v>222</v>
      </c>
      <c r="K359" s="141" t="s">
        <v>222</v>
      </c>
      <c r="L359" s="141" t="s">
        <v>222</v>
      </c>
      <c r="M359" s="141" t="s">
        <v>222</v>
      </c>
      <c r="N359" s="141" t="s">
        <v>222</v>
      </c>
      <c r="O359" s="141" t="s">
        <v>222</v>
      </c>
      <c r="P359" s="141" t="s">
        <v>222</v>
      </c>
      <c r="Q359" s="141" t="s">
        <v>222</v>
      </c>
      <c r="R359" s="141" t="s">
        <v>222</v>
      </c>
      <c r="S359" s="141" t="s">
        <v>222</v>
      </c>
      <c r="T359" s="141" t="s">
        <v>222</v>
      </c>
      <c r="U359" s="141" t="s">
        <v>222</v>
      </c>
      <c r="V359" s="141" t="s">
        <v>222</v>
      </c>
      <c r="W359" s="141"/>
      <c r="X359" s="141"/>
      <c r="Y359" s="141"/>
      <c r="Z359" s="141"/>
    </row>
    <row r="360">
      <c r="A360" s="141"/>
      <c r="B360" s="141" t="s">
        <v>222</v>
      </c>
      <c r="C360" s="141" t="s">
        <v>222</v>
      </c>
      <c r="D360" s="141" t="s">
        <v>222</v>
      </c>
      <c r="E360" s="141" t="s">
        <v>222</v>
      </c>
      <c r="F360" s="141" t="s">
        <v>222</v>
      </c>
      <c r="G360" s="141" t="s">
        <v>222</v>
      </c>
      <c r="H360" s="141" t="s">
        <v>222</v>
      </c>
      <c r="I360" s="141" t="s">
        <v>222</v>
      </c>
      <c r="J360" s="141" t="s">
        <v>222</v>
      </c>
      <c r="K360" s="141" t="s">
        <v>222</v>
      </c>
      <c r="L360" s="141" t="s">
        <v>222</v>
      </c>
      <c r="M360" s="141" t="s">
        <v>222</v>
      </c>
      <c r="N360" s="141" t="s">
        <v>222</v>
      </c>
      <c r="O360" s="141" t="s">
        <v>222</v>
      </c>
      <c r="P360" s="141" t="s">
        <v>222</v>
      </c>
      <c r="Q360" s="141" t="s">
        <v>222</v>
      </c>
      <c r="R360" s="141" t="s">
        <v>222</v>
      </c>
      <c r="S360" s="141" t="s">
        <v>222</v>
      </c>
      <c r="T360" s="141" t="s">
        <v>222</v>
      </c>
      <c r="U360" s="141" t="s">
        <v>222</v>
      </c>
      <c r="V360" s="141" t="s">
        <v>222</v>
      </c>
      <c r="W360" s="141"/>
      <c r="X360" s="141"/>
      <c r="Y360" s="141"/>
      <c r="Z360" s="141"/>
    </row>
    <row r="361">
      <c r="A361" s="141"/>
      <c r="B361" s="141" t="s">
        <v>222</v>
      </c>
      <c r="C361" s="141" t="s">
        <v>222</v>
      </c>
      <c r="D361" s="141" t="s">
        <v>222</v>
      </c>
      <c r="E361" s="141" t="s">
        <v>222</v>
      </c>
      <c r="F361" s="141" t="s">
        <v>222</v>
      </c>
      <c r="G361" s="141" t="s">
        <v>222</v>
      </c>
      <c r="H361" s="141" t="s">
        <v>222</v>
      </c>
      <c r="I361" s="141" t="s">
        <v>222</v>
      </c>
      <c r="J361" s="141" t="s">
        <v>222</v>
      </c>
      <c r="K361" s="141" t="s">
        <v>222</v>
      </c>
      <c r="L361" s="141" t="s">
        <v>222</v>
      </c>
      <c r="M361" s="141" t="s">
        <v>222</v>
      </c>
      <c r="N361" s="141" t="s">
        <v>222</v>
      </c>
      <c r="O361" s="141" t="s">
        <v>222</v>
      </c>
      <c r="P361" s="141" t="s">
        <v>222</v>
      </c>
      <c r="Q361" s="141" t="s">
        <v>222</v>
      </c>
      <c r="R361" s="141" t="s">
        <v>222</v>
      </c>
      <c r="S361" s="141" t="s">
        <v>222</v>
      </c>
      <c r="T361" s="141" t="s">
        <v>222</v>
      </c>
      <c r="U361" s="141" t="s">
        <v>222</v>
      </c>
      <c r="V361" s="141" t="s">
        <v>222</v>
      </c>
      <c r="W361" s="141"/>
      <c r="X361" s="141"/>
      <c r="Y361" s="141"/>
      <c r="Z361" s="141"/>
    </row>
    <row r="362">
      <c r="A362" s="141"/>
      <c r="B362" s="141" t="s">
        <v>222</v>
      </c>
      <c r="C362" s="141" t="s">
        <v>222</v>
      </c>
      <c r="D362" s="141" t="s">
        <v>222</v>
      </c>
      <c r="E362" s="141" t="s">
        <v>222</v>
      </c>
      <c r="F362" s="141" t="s">
        <v>222</v>
      </c>
      <c r="G362" s="141" t="s">
        <v>222</v>
      </c>
      <c r="H362" s="141" t="s">
        <v>222</v>
      </c>
      <c r="I362" s="141" t="s">
        <v>222</v>
      </c>
      <c r="J362" s="141" t="s">
        <v>222</v>
      </c>
      <c r="K362" s="141" t="s">
        <v>222</v>
      </c>
      <c r="L362" s="141" t="s">
        <v>222</v>
      </c>
      <c r="M362" s="141" t="s">
        <v>222</v>
      </c>
      <c r="N362" s="141" t="s">
        <v>222</v>
      </c>
      <c r="O362" s="141" t="s">
        <v>222</v>
      </c>
      <c r="P362" s="141" t="s">
        <v>222</v>
      </c>
      <c r="Q362" s="141" t="s">
        <v>222</v>
      </c>
      <c r="R362" s="141" t="s">
        <v>222</v>
      </c>
      <c r="S362" s="141" t="s">
        <v>222</v>
      </c>
      <c r="T362" s="141" t="s">
        <v>222</v>
      </c>
      <c r="U362" s="141" t="s">
        <v>222</v>
      </c>
      <c r="V362" s="141" t="s">
        <v>222</v>
      </c>
      <c r="W362" s="141"/>
      <c r="X362" s="141"/>
      <c r="Y362" s="141"/>
      <c r="Z362" s="141"/>
    </row>
    <row r="363">
      <c r="A363" s="141"/>
      <c r="B363" s="141" t="s">
        <v>222</v>
      </c>
      <c r="C363" s="141" t="s">
        <v>222</v>
      </c>
      <c r="D363" s="141" t="s">
        <v>222</v>
      </c>
      <c r="E363" s="141" t="s">
        <v>222</v>
      </c>
      <c r="F363" s="141" t="s">
        <v>222</v>
      </c>
      <c r="G363" s="141" t="s">
        <v>222</v>
      </c>
      <c r="H363" s="141" t="s">
        <v>222</v>
      </c>
      <c r="I363" s="141" t="s">
        <v>222</v>
      </c>
      <c r="J363" s="141" t="s">
        <v>222</v>
      </c>
      <c r="K363" s="141" t="s">
        <v>222</v>
      </c>
      <c r="L363" s="141" t="s">
        <v>222</v>
      </c>
      <c r="M363" s="141" t="s">
        <v>222</v>
      </c>
      <c r="N363" s="141" t="s">
        <v>222</v>
      </c>
      <c r="O363" s="141" t="s">
        <v>222</v>
      </c>
      <c r="P363" s="141" t="s">
        <v>222</v>
      </c>
      <c r="Q363" s="141" t="s">
        <v>222</v>
      </c>
      <c r="R363" s="141" t="s">
        <v>222</v>
      </c>
      <c r="S363" s="141" t="s">
        <v>222</v>
      </c>
      <c r="T363" s="141" t="s">
        <v>222</v>
      </c>
      <c r="U363" s="141" t="s">
        <v>222</v>
      </c>
      <c r="V363" s="141" t="s">
        <v>222</v>
      </c>
      <c r="W363" s="141"/>
      <c r="X363" s="141"/>
      <c r="Y363" s="141"/>
      <c r="Z363" s="141"/>
    </row>
    <row r="364">
      <c r="A364" s="141"/>
      <c r="B364" s="141" t="s">
        <v>222</v>
      </c>
      <c r="C364" s="141" t="s">
        <v>222</v>
      </c>
      <c r="D364" s="141" t="s">
        <v>222</v>
      </c>
      <c r="E364" s="141" t="s">
        <v>222</v>
      </c>
      <c r="F364" s="141" t="s">
        <v>222</v>
      </c>
      <c r="G364" s="141" t="s">
        <v>222</v>
      </c>
      <c r="H364" s="141" t="s">
        <v>222</v>
      </c>
      <c r="I364" s="141" t="s">
        <v>222</v>
      </c>
      <c r="J364" s="141" t="s">
        <v>222</v>
      </c>
      <c r="K364" s="141" t="s">
        <v>222</v>
      </c>
      <c r="L364" s="141" t="s">
        <v>222</v>
      </c>
      <c r="M364" s="141" t="s">
        <v>222</v>
      </c>
      <c r="N364" s="141" t="s">
        <v>222</v>
      </c>
      <c r="O364" s="141" t="s">
        <v>222</v>
      </c>
      <c r="P364" s="141" t="s">
        <v>222</v>
      </c>
      <c r="Q364" s="141" t="s">
        <v>222</v>
      </c>
      <c r="R364" s="141" t="s">
        <v>222</v>
      </c>
      <c r="S364" s="141" t="s">
        <v>222</v>
      </c>
      <c r="T364" s="141" t="s">
        <v>222</v>
      </c>
      <c r="U364" s="141" t="s">
        <v>222</v>
      </c>
      <c r="V364" s="141" t="s">
        <v>222</v>
      </c>
      <c r="W364" s="141"/>
      <c r="X364" s="141"/>
      <c r="Y364" s="141"/>
      <c r="Z364" s="141"/>
    </row>
    <row r="365">
      <c r="A365" s="141"/>
      <c r="B365" s="141" t="s">
        <v>222</v>
      </c>
      <c r="C365" s="141" t="s">
        <v>222</v>
      </c>
      <c r="D365" s="141" t="s">
        <v>222</v>
      </c>
      <c r="E365" s="141" t="s">
        <v>222</v>
      </c>
      <c r="F365" s="141" t="s">
        <v>222</v>
      </c>
      <c r="G365" s="141" t="s">
        <v>222</v>
      </c>
      <c r="H365" s="141" t="s">
        <v>222</v>
      </c>
      <c r="I365" s="141" t="s">
        <v>222</v>
      </c>
      <c r="J365" s="141" t="s">
        <v>222</v>
      </c>
      <c r="K365" s="141" t="s">
        <v>222</v>
      </c>
      <c r="L365" s="141" t="s">
        <v>222</v>
      </c>
      <c r="M365" s="141" t="s">
        <v>222</v>
      </c>
      <c r="N365" s="141" t="s">
        <v>222</v>
      </c>
      <c r="O365" s="141" t="s">
        <v>222</v>
      </c>
      <c r="P365" s="141" t="s">
        <v>222</v>
      </c>
      <c r="Q365" s="141" t="s">
        <v>222</v>
      </c>
      <c r="R365" s="141" t="s">
        <v>222</v>
      </c>
      <c r="S365" s="141" t="s">
        <v>222</v>
      </c>
      <c r="T365" s="141" t="s">
        <v>222</v>
      </c>
      <c r="U365" s="141" t="s">
        <v>222</v>
      </c>
      <c r="V365" s="141" t="s">
        <v>222</v>
      </c>
      <c r="W365" s="141"/>
      <c r="X365" s="141"/>
      <c r="Y365" s="141"/>
      <c r="Z365" s="141"/>
    </row>
    <row r="366">
      <c r="A366" s="141"/>
      <c r="B366" s="141" t="s">
        <v>222</v>
      </c>
      <c r="C366" s="141" t="s">
        <v>222</v>
      </c>
      <c r="D366" s="141" t="s">
        <v>222</v>
      </c>
      <c r="E366" s="141" t="s">
        <v>222</v>
      </c>
      <c r="F366" s="141" t="s">
        <v>222</v>
      </c>
      <c r="G366" s="141" t="s">
        <v>222</v>
      </c>
      <c r="H366" s="141" t="s">
        <v>222</v>
      </c>
      <c r="I366" s="141" t="s">
        <v>222</v>
      </c>
      <c r="J366" s="141" t="s">
        <v>222</v>
      </c>
      <c r="K366" s="141" t="s">
        <v>222</v>
      </c>
      <c r="L366" s="141" t="s">
        <v>222</v>
      </c>
      <c r="M366" s="141" t="s">
        <v>222</v>
      </c>
      <c r="N366" s="141" t="s">
        <v>222</v>
      </c>
      <c r="O366" s="141" t="s">
        <v>222</v>
      </c>
      <c r="P366" s="141" t="s">
        <v>222</v>
      </c>
      <c r="Q366" s="141" t="s">
        <v>222</v>
      </c>
      <c r="R366" s="141" t="s">
        <v>222</v>
      </c>
      <c r="S366" s="141" t="s">
        <v>222</v>
      </c>
      <c r="T366" s="141" t="s">
        <v>222</v>
      </c>
      <c r="U366" s="141" t="s">
        <v>222</v>
      </c>
      <c r="V366" s="141" t="s">
        <v>222</v>
      </c>
      <c r="W366" s="141"/>
      <c r="X366" s="141"/>
      <c r="Y366" s="141"/>
      <c r="Z366" s="141"/>
    </row>
    <row r="367">
      <c r="A367" s="141"/>
      <c r="B367" s="141" t="s">
        <v>222</v>
      </c>
      <c r="C367" s="141" t="s">
        <v>222</v>
      </c>
      <c r="D367" s="141" t="s">
        <v>222</v>
      </c>
      <c r="E367" s="141" t="s">
        <v>222</v>
      </c>
      <c r="F367" s="141" t="s">
        <v>222</v>
      </c>
      <c r="G367" s="141" t="s">
        <v>222</v>
      </c>
      <c r="H367" s="141" t="s">
        <v>222</v>
      </c>
      <c r="I367" s="141" t="s">
        <v>222</v>
      </c>
      <c r="J367" s="141" t="s">
        <v>222</v>
      </c>
      <c r="K367" s="141" t="s">
        <v>222</v>
      </c>
      <c r="L367" s="141" t="s">
        <v>222</v>
      </c>
      <c r="M367" s="141" t="s">
        <v>222</v>
      </c>
      <c r="N367" s="141" t="s">
        <v>222</v>
      </c>
      <c r="O367" s="141" t="s">
        <v>222</v>
      </c>
      <c r="P367" s="141" t="s">
        <v>222</v>
      </c>
      <c r="Q367" s="141" t="s">
        <v>222</v>
      </c>
      <c r="R367" s="141" t="s">
        <v>222</v>
      </c>
      <c r="S367" s="141" t="s">
        <v>222</v>
      </c>
      <c r="T367" s="141" t="s">
        <v>222</v>
      </c>
      <c r="U367" s="141" t="s">
        <v>222</v>
      </c>
      <c r="V367" s="141" t="s">
        <v>222</v>
      </c>
      <c r="W367" s="141"/>
      <c r="X367" s="141"/>
      <c r="Y367" s="141"/>
      <c r="Z367" s="141"/>
    </row>
    <row r="368">
      <c r="A368" s="141"/>
      <c r="B368" s="141" t="s">
        <v>222</v>
      </c>
      <c r="C368" s="141" t="s">
        <v>222</v>
      </c>
      <c r="D368" s="141" t="s">
        <v>222</v>
      </c>
      <c r="E368" s="141" t="s">
        <v>222</v>
      </c>
      <c r="F368" s="141" t="s">
        <v>222</v>
      </c>
      <c r="G368" s="141" t="s">
        <v>222</v>
      </c>
      <c r="H368" s="141" t="s">
        <v>222</v>
      </c>
      <c r="I368" s="141" t="s">
        <v>222</v>
      </c>
      <c r="J368" s="141" t="s">
        <v>222</v>
      </c>
      <c r="K368" s="141" t="s">
        <v>222</v>
      </c>
      <c r="L368" s="141" t="s">
        <v>222</v>
      </c>
      <c r="M368" s="141" t="s">
        <v>222</v>
      </c>
      <c r="N368" s="141" t="s">
        <v>222</v>
      </c>
      <c r="O368" s="141" t="s">
        <v>222</v>
      </c>
      <c r="P368" s="141" t="s">
        <v>222</v>
      </c>
      <c r="Q368" s="141" t="s">
        <v>222</v>
      </c>
      <c r="R368" s="141" t="s">
        <v>222</v>
      </c>
      <c r="S368" s="141" t="s">
        <v>222</v>
      </c>
      <c r="T368" s="141" t="s">
        <v>222</v>
      </c>
      <c r="U368" s="141" t="s">
        <v>222</v>
      </c>
      <c r="V368" s="141" t="s">
        <v>222</v>
      </c>
      <c r="W368" s="141"/>
      <c r="X368" s="141"/>
      <c r="Y368" s="141"/>
      <c r="Z368" s="141"/>
    </row>
    <row r="369">
      <c r="A369" s="141"/>
      <c r="B369" s="141" t="s">
        <v>222</v>
      </c>
      <c r="C369" s="141" t="s">
        <v>222</v>
      </c>
      <c r="D369" s="141" t="s">
        <v>222</v>
      </c>
      <c r="E369" s="141" t="s">
        <v>222</v>
      </c>
      <c r="F369" s="141" t="s">
        <v>222</v>
      </c>
      <c r="G369" s="141" t="s">
        <v>222</v>
      </c>
      <c r="H369" s="141" t="s">
        <v>222</v>
      </c>
      <c r="I369" s="141" t="s">
        <v>222</v>
      </c>
      <c r="J369" s="141" t="s">
        <v>222</v>
      </c>
      <c r="K369" s="141" t="s">
        <v>222</v>
      </c>
      <c r="L369" s="141" t="s">
        <v>222</v>
      </c>
      <c r="M369" s="141" t="s">
        <v>222</v>
      </c>
      <c r="N369" s="141" t="s">
        <v>222</v>
      </c>
      <c r="O369" s="141" t="s">
        <v>222</v>
      </c>
      <c r="P369" s="141" t="s">
        <v>222</v>
      </c>
      <c r="Q369" s="141" t="s">
        <v>222</v>
      </c>
      <c r="R369" s="141" t="s">
        <v>222</v>
      </c>
      <c r="S369" s="141" t="s">
        <v>222</v>
      </c>
      <c r="T369" s="141" t="s">
        <v>222</v>
      </c>
      <c r="U369" s="141" t="s">
        <v>222</v>
      </c>
      <c r="V369" s="141" t="s">
        <v>222</v>
      </c>
      <c r="W369" s="141"/>
      <c r="X369" s="141"/>
      <c r="Y369" s="141"/>
      <c r="Z369" s="141"/>
    </row>
    <row r="370">
      <c r="A370" s="141"/>
      <c r="B370" s="141" t="s">
        <v>222</v>
      </c>
      <c r="C370" s="141" t="s">
        <v>222</v>
      </c>
      <c r="D370" s="141" t="s">
        <v>222</v>
      </c>
      <c r="E370" s="141" t="s">
        <v>222</v>
      </c>
      <c r="F370" s="141" t="s">
        <v>222</v>
      </c>
      <c r="G370" s="141" t="s">
        <v>222</v>
      </c>
      <c r="H370" s="141" t="s">
        <v>222</v>
      </c>
      <c r="I370" s="141" t="s">
        <v>222</v>
      </c>
      <c r="J370" s="141" t="s">
        <v>222</v>
      </c>
      <c r="K370" s="141" t="s">
        <v>222</v>
      </c>
      <c r="L370" s="141" t="s">
        <v>222</v>
      </c>
      <c r="M370" s="141" t="s">
        <v>222</v>
      </c>
      <c r="N370" s="141" t="s">
        <v>222</v>
      </c>
      <c r="O370" s="141" t="s">
        <v>222</v>
      </c>
      <c r="P370" s="141" t="s">
        <v>222</v>
      </c>
      <c r="Q370" s="141" t="s">
        <v>222</v>
      </c>
      <c r="R370" s="141" t="s">
        <v>222</v>
      </c>
      <c r="S370" s="141" t="s">
        <v>222</v>
      </c>
      <c r="T370" s="141" t="s">
        <v>222</v>
      </c>
      <c r="U370" s="141" t="s">
        <v>222</v>
      </c>
      <c r="V370" s="141" t="s">
        <v>222</v>
      </c>
      <c r="W370" s="141"/>
      <c r="X370" s="141"/>
      <c r="Y370" s="141"/>
      <c r="Z370" s="141"/>
    </row>
    <row r="371">
      <c r="A371" s="141"/>
      <c r="B371" s="141" t="s">
        <v>222</v>
      </c>
      <c r="C371" s="141" t="s">
        <v>222</v>
      </c>
      <c r="D371" s="141" t="s">
        <v>222</v>
      </c>
      <c r="E371" s="141" t="s">
        <v>222</v>
      </c>
      <c r="F371" s="141" t="s">
        <v>222</v>
      </c>
      <c r="G371" s="141" t="s">
        <v>222</v>
      </c>
      <c r="H371" s="141" t="s">
        <v>222</v>
      </c>
      <c r="I371" s="141" t="s">
        <v>222</v>
      </c>
      <c r="J371" s="141" t="s">
        <v>222</v>
      </c>
      <c r="K371" s="141" t="s">
        <v>222</v>
      </c>
      <c r="L371" s="141" t="s">
        <v>222</v>
      </c>
      <c r="M371" s="141" t="s">
        <v>222</v>
      </c>
      <c r="N371" s="141" t="s">
        <v>222</v>
      </c>
      <c r="O371" s="141" t="s">
        <v>222</v>
      </c>
      <c r="P371" s="141" t="s">
        <v>222</v>
      </c>
      <c r="Q371" s="141" t="s">
        <v>222</v>
      </c>
      <c r="R371" s="141" t="s">
        <v>222</v>
      </c>
      <c r="S371" s="141" t="s">
        <v>222</v>
      </c>
      <c r="T371" s="141" t="s">
        <v>222</v>
      </c>
      <c r="U371" s="141" t="s">
        <v>222</v>
      </c>
      <c r="V371" s="141" t="s">
        <v>222</v>
      </c>
      <c r="W371" s="141"/>
      <c r="X371" s="141"/>
      <c r="Y371" s="141"/>
      <c r="Z371" s="141"/>
    </row>
    <row r="372">
      <c r="A372" s="141"/>
      <c r="B372" s="141" t="s">
        <v>222</v>
      </c>
      <c r="C372" s="141" t="s">
        <v>222</v>
      </c>
      <c r="D372" s="141" t="s">
        <v>222</v>
      </c>
      <c r="E372" s="141" t="s">
        <v>222</v>
      </c>
      <c r="F372" s="141" t="s">
        <v>222</v>
      </c>
      <c r="G372" s="141" t="s">
        <v>222</v>
      </c>
      <c r="H372" s="141" t="s">
        <v>222</v>
      </c>
      <c r="I372" s="141" t="s">
        <v>222</v>
      </c>
      <c r="J372" s="141" t="s">
        <v>222</v>
      </c>
      <c r="K372" s="141" t="s">
        <v>222</v>
      </c>
      <c r="L372" s="141" t="s">
        <v>222</v>
      </c>
      <c r="M372" s="141" t="s">
        <v>222</v>
      </c>
      <c r="N372" s="141" t="s">
        <v>222</v>
      </c>
      <c r="O372" s="141" t="s">
        <v>222</v>
      </c>
      <c r="P372" s="141" t="s">
        <v>222</v>
      </c>
      <c r="Q372" s="141" t="s">
        <v>222</v>
      </c>
      <c r="R372" s="141" t="s">
        <v>222</v>
      </c>
      <c r="S372" s="141" t="s">
        <v>222</v>
      </c>
      <c r="T372" s="141" t="s">
        <v>222</v>
      </c>
      <c r="U372" s="141" t="s">
        <v>222</v>
      </c>
      <c r="V372" s="141" t="s">
        <v>222</v>
      </c>
      <c r="W372" s="141"/>
      <c r="X372" s="141"/>
      <c r="Y372" s="141"/>
      <c r="Z372" s="141"/>
    </row>
    <row r="373">
      <c r="A373" s="141"/>
      <c r="B373" s="141" t="s">
        <v>222</v>
      </c>
      <c r="C373" s="141" t="s">
        <v>222</v>
      </c>
      <c r="D373" s="141" t="s">
        <v>222</v>
      </c>
      <c r="E373" s="141" t="s">
        <v>222</v>
      </c>
      <c r="F373" s="141" t="s">
        <v>222</v>
      </c>
      <c r="G373" s="141" t="s">
        <v>222</v>
      </c>
      <c r="H373" s="141" t="s">
        <v>222</v>
      </c>
      <c r="I373" s="141" t="s">
        <v>222</v>
      </c>
      <c r="J373" s="141" t="s">
        <v>222</v>
      </c>
      <c r="K373" s="141" t="s">
        <v>222</v>
      </c>
      <c r="L373" s="141" t="s">
        <v>222</v>
      </c>
      <c r="M373" s="141" t="s">
        <v>222</v>
      </c>
      <c r="N373" s="141" t="s">
        <v>222</v>
      </c>
      <c r="O373" s="141" t="s">
        <v>222</v>
      </c>
      <c r="P373" s="141" t="s">
        <v>222</v>
      </c>
      <c r="Q373" s="141" t="s">
        <v>222</v>
      </c>
      <c r="R373" s="141" t="s">
        <v>222</v>
      </c>
      <c r="S373" s="141" t="s">
        <v>222</v>
      </c>
      <c r="T373" s="141" t="s">
        <v>222</v>
      </c>
      <c r="U373" s="141" t="s">
        <v>222</v>
      </c>
      <c r="V373" s="141" t="s">
        <v>222</v>
      </c>
      <c r="W373" s="141"/>
      <c r="X373" s="141"/>
      <c r="Y373" s="141"/>
      <c r="Z373" s="141"/>
    </row>
    <row r="374">
      <c r="A374" s="141"/>
      <c r="B374" s="141" t="s">
        <v>222</v>
      </c>
      <c r="C374" s="141" t="s">
        <v>222</v>
      </c>
      <c r="D374" s="141" t="s">
        <v>222</v>
      </c>
      <c r="E374" s="141" t="s">
        <v>222</v>
      </c>
      <c r="F374" s="141" t="s">
        <v>222</v>
      </c>
      <c r="G374" s="141" t="s">
        <v>222</v>
      </c>
      <c r="H374" s="141" t="s">
        <v>222</v>
      </c>
      <c r="I374" s="141" t="s">
        <v>222</v>
      </c>
      <c r="J374" s="141" t="s">
        <v>222</v>
      </c>
      <c r="K374" s="141" t="s">
        <v>222</v>
      </c>
      <c r="L374" s="141" t="s">
        <v>222</v>
      </c>
      <c r="M374" s="141" t="s">
        <v>222</v>
      </c>
      <c r="N374" s="141" t="s">
        <v>222</v>
      </c>
      <c r="O374" s="141" t="s">
        <v>222</v>
      </c>
      <c r="P374" s="141" t="s">
        <v>222</v>
      </c>
      <c r="Q374" s="141" t="s">
        <v>222</v>
      </c>
      <c r="R374" s="141" t="s">
        <v>222</v>
      </c>
      <c r="S374" s="141" t="s">
        <v>222</v>
      </c>
      <c r="T374" s="141" t="s">
        <v>222</v>
      </c>
      <c r="U374" s="141" t="s">
        <v>222</v>
      </c>
      <c r="V374" s="141" t="s">
        <v>222</v>
      </c>
      <c r="W374" s="141"/>
      <c r="X374" s="141"/>
      <c r="Y374" s="141"/>
      <c r="Z374" s="141"/>
    </row>
    <row r="375">
      <c r="A375" s="141"/>
      <c r="B375" s="141" t="s">
        <v>222</v>
      </c>
      <c r="C375" s="141" t="s">
        <v>222</v>
      </c>
      <c r="D375" s="141" t="s">
        <v>222</v>
      </c>
      <c r="E375" s="141" t="s">
        <v>222</v>
      </c>
      <c r="F375" s="141" t="s">
        <v>222</v>
      </c>
      <c r="G375" s="141" t="s">
        <v>222</v>
      </c>
      <c r="H375" s="141" t="s">
        <v>222</v>
      </c>
      <c r="I375" s="141" t="s">
        <v>222</v>
      </c>
      <c r="J375" s="141" t="s">
        <v>222</v>
      </c>
      <c r="K375" s="141" t="s">
        <v>222</v>
      </c>
      <c r="L375" s="141" t="s">
        <v>222</v>
      </c>
      <c r="M375" s="141" t="s">
        <v>222</v>
      </c>
      <c r="N375" s="141" t="s">
        <v>222</v>
      </c>
      <c r="O375" s="141" t="s">
        <v>222</v>
      </c>
      <c r="P375" s="141" t="s">
        <v>222</v>
      </c>
      <c r="Q375" s="141" t="s">
        <v>222</v>
      </c>
      <c r="R375" s="141" t="s">
        <v>222</v>
      </c>
      <c r="S375" s="141" t="s">
        <v>222</v>
      </c>
      <c r="T375" s="141" t="s">
        <v>222</v>
      </c>
      <c r="U375" s="141" t="s">
        <v>222</v>
      </c>
      <c r="V375" s="141" t="s">
        <v>222</v>
      </c>
      <c r="W375" s="141"/>
      <c r="X375" s="141"/>
      <c r="Y375" s="141"/>
      <c r="Z375" s="141"/>
    </row>
    <row r="376">
      <c r="A376" s="141"/>
      <c r="B376" s="141" t="s">
        <v>222</v>
      </c>
      <c r="C376" s="141" t="s">
        <v>222</v>
      </c>
      <c r="D376" s="141" t="s">
        <v>222</v>
      </c>
      <c r="E376" s="141" t="s">
        <v>222</v>
      </c>
      <c r="F376" s="141" t="s">
        <v>222</v>
      </c>
      <c r="G376" s="141" t="s">
        <v>222</v>
      </c>
      <c r="H376" s="141" t="s">
        <v>222</v>
      </c>
      <c r="I376" s="141" t="s">
        <v>222</v>
      </c>
      <c r="J376" s="141" t="s">
        <v>222</v>
      </c>
      <c r="K376" s="141" t="s">
        <v>222</v>
      </c>
      <c r="L376" s="141" t="s">
        <v>222</v>
      </c>
      <c r="M376" s="141" t="s">
        <v>222</v>
      </c>
      <c r="N376" s="141" t="s">
        <v>222</v>
      </c>
      <c r="O376" s="141" t="s">
        <v>222</v>
      </c>
      <c r="P376" s="141" t="s">
        <v>222</v>
      </c>
      <c r="Q376" s="141" t="s">
        <v>222</v>
      </c>
      <c r="R376" s="141" t="s">
        <v>222</v>
      </c>
      <c r="S376" s="141" t="s">
        <v>222</v>
      </c>
      <c r="T376" s="141" t="s">
        <v>222</v>
      </c>
      <c r="U376" s="141" t="s">
        <v>222</v>
      </c>
      <c r="V376" s="141" t="s">
        <v>222</v>
      </c>
      <c r="W376" s="141"/>
      <c r="X376" s="141"/>
      <c r="Y376" s="141"/>
      <c r="Z376" s="141"/>
    </row>
    <row r="377">
      <c r="A377" s="141"/>
      <c r="B377" s="141" t="s">
        <v>222</v>
      </c>
      <c r="C377" s="141" t="s">
        <v>222</v>
      </c>
      <c r="D377" s="141" t="s">
        <v>222</v>
      </c>
      <c r="E377" s="141" t="s">
        <v>222</v>
      </c>
      <c r="F377" s="141" t="s">
        <v>222</v>
      </c>
      <c r="G377" s="141" t="s">
        <v>222</v>
      </c>
      <c r="H377" s="141" t="s">
        <v>222</v>
      </c>
      <c r="I377" s="141" t="s">
        <v>222</v>
      </c>
      <c r="J377" s="141" t="s">
        <v>222</v>
      </c>
      <c r="K377" s="141" t="s">
        <v>222</v>
      </c>
      <c r="L377" s="141" t="s">
        <v>222</v>
      </c>
      <c r="M377" s="141" t="s">
        <v>222</v>
      </c>
      <c r="N377" s="141" t="s">
        <v>222</v>
      </c>
      <c r="O377" s="141" t="s">
        <v>222</v>
      </c>
      <c r="P377" s="141" t="s">
        <v>222</v>
      </c>
      <c r="Q377" s="141" t="s">
        <v>222</v>
      </c>
      <c r="R377" s="141" t="s">
        <v>222</v>
      </c>
      <c r="S377" s="141" t="s">
        <v>222</v>
      </c>
      <c r="T377" s="141" t="s">
        <v>222</v>
      </c>
      <c r="U377" s="141" t="s">
        <v>222</v>
      </c>
      <c r="V377" s="141" t="s">
        <v>222</v>
      </c>
      <c r="W377" s="141"/>
      <c r="X377" s="141"/>
      <c r="Y377" s="141"/>
      <c r="Z377" s="141"/>
    </row>
    <row r="378">
      <c r="A378" s="141"/>
      <c r="B378" s="141" t="s">
        <v>222</v>
      </c>
      <c r="C378" s="141" t="s">
        <v>222</v>
      </c>
      <c r="D378" s="141" t="s">
        <v>222</v>
      </c>
      <c r="E378" s="141" t="s">
        <v>222</v>
      </c>
      <c r="F378" s="141" t="s">
        <v>222</v>
      </c>
      <c r="G378" s="141" t="s">
        <v>222</v>
      </c>
      <c r="H378" s="141" t="s">
        <v>222</v>
      </c>
      <c r="I378" s="141" t="s">
        <v>222</v>
      </c>
      <c r="J378" s="141" t="s">
        <v>222</v>
      </c>
      <c r="K378" s="141" t="s">
        <v>222</v>
      </c>
      <c r="L378" s="141" t="s">
        <v>222</v>
      </c>
      <c r="M378" s="141" t="s">
        <v>222</v>
      </c>
      <c r="N378" s="141" t="s">
        <v>222</v>
      </c>
      <c r="O378" s="141" t="s">
        <v>222</v>
      </c>
      <c r="P378" s="141" t="s">
        <v>222</v>
      </c>
      <c r="Q378" s="141" t="s">
        <v>222</v>
      </c>
      <c r="R378" s="141" t="s">
        <v>222</v>
      </c>
      <c r="S378" s="141" t="s">
        <v>222</v>
      </c>
      <c r="T378" s="141" t="s">
        <v>222</v>
      </c>
      <c r="U378" s="141" t="s">
        <v>222</v>
      </c>
      <c r="V378" s="141" t="s">
        <v>222</v>
      </c>
      <c r="W378" s="141"/>
      <c r="X378" s="141"/>
      <c r="Y378" s="141"/>
      <c r="Z378" s="141"/>
    </row>
    <row r="379">
      <c r="A379" s="141"/>
      <c r="B379" s="141" t="s">
        <v>222</v>
      </c>
      <c r="C379" s="141" t="s">
        <v>222</v>
      </c>
      <c r="D379" s="141" t="s">
        <v>222</v>
      </c>
      <c r="E379" s="141" t="s">
        <v>222</v>
      </c>
      <c r="F379" s="141" t="s">
        <v>222</v>
      </c>
      <c r="G379" s="141" t="s">
        <v>222</v>
      </c>
      <c r="H379" s="141" t="s">
        <v>222</v>
      </c>
      <c r="I379" s="141" t="s">
        <v>222</v>
      </c>
      <c r="J379" s="141" t="s">
        <v>222</v>
      </c>
      <c r="K379" s="141" t="s">
        <v>222</v>
      </c>
      <c r="L379" s="141" t="s">
        <v>222</v>
      </c>
      <c r="M379" s="141" t="s">
        <v>222</v>
      </c>
      <c r="N379" s="141" t="s">
        <v>222</v>
      </c>
      <c r="O379" s="141" t="s">
        <v>222</v>
      </c>
      <c r="P379" s="141" t="s">
        <v>222</v>
      </c>
      <c r="Q379" s="141" t="s">
        <v>222</v>
      </c>
      <c r="R379" s="141" t="s">
        <v>222</v>
      </c>
      <c r="S379" s="141" t="s">
        <v>222</v>
      </c>
      <c r="T379" s="141" t="s">
        <v>222</v>
      </c>
      <c r="U379" s="141" t="s">
        <v>222</v>
      </c>
      <c r="V379" s="141" t="s">
        <v>222</v>
      </c>
      <c r="W379" s="141"/>
      <c r="X379" s="141"/>
      <c r="Y379" s="141"/>
      <c r="Z379" s="141"/>
    </row>
    <row r="380">
      <c r="A380" s="141"/>
      <c r="B380" s="141" t="s">
        <v>222</v>
      </c>
      <c r="C380" s="141" t="s">
        <v>222</v>
      </c>
      <c r="D380" s="141" t="s">
        <v>222</v>
      </c>
      <c r="E380" s="141" t="s">
        <v>222</v>
      </c>
      <c r="F380" s="141" t="s">
        <v>222</v>
      </c>
      <c r="G380" s="141" t="s">
        <v>222</v>
      </c>
      <c r="H380" s="141" t="s">
        <v>222</v>
      </c>
      <c r="I380" s="141" t="s">
        <v>222</v>
      </c>
      <c r="J380" s="141" t="s">
        <v>222</v>
      </c>
      <c r="K380" s="141" t="s">
        <v>222</v>
      </c>
      <c r="L380" s="141" t="s">
        <v>222</v>
      </c>
      <c r="M380" s="141" t="s">
        <v>222</v>
      </c>
      <c r="N380" s="141" t="s">
        <v>222</v>
      </c>
      <c r="O380" s="141" t="s">
        <v>222</v>
      </c>
      <c r="P380" s="141" t="s">
        <v>222</v>
      </c>
      <c r="Q380" s="141" t="s">
        <v>222</v>
      </c>
      <c r="R380" s="141" t="s">
        <v>222</v>
      </c>
      <c r="S380" s="141" t="s">
        <v>222</v>
      </c>
      <c r="T380" s="141" t="s">
        <v>222</v>
      </c>
      <c r="U380" s="141" t="s">
        <v>222</v>
      </c>
      <c r="V380" s="141" t="s">
        <v>222</v>
      </c>
      <c r="W380" s="141"/>
      <c r="X380" s="141"/>
      <c r="Y380" s="141"/>
      <c r="Z380" s="141"/>
    </row>
    <row r="381">
      <c r="A381" s="141"/>
      <c r="B381" s="141" t="s">
        <v>222</v>
      </c>
      <c r="C381" s="141" t="s">
        <v>222</v>
      </c>
      <c r="D381" s="141" t="s">
        <v>222</v>
      </c>
      <c r="E381" s="141" t="s">
        <v>222</v>
      </c>
      <c r="F381" s="141" t="s">
        <v>222</v>
      </c>
      <c r="G381" s="141" t="s">
        <v>222</v>
      </c>
      <c r="H381" s="141" t="s">
        <v>222</v>
      </c>
      <c r="I381" s="141" t="s">
        <v>222</v>
      </c>
      <c r="J381" s="141" t="s">
        <v>222</v>
      </c>
      <c r="K381" s="141" t="s">
        <v>222</v>
      </c>
      <c r="L381" s="141" t="s">
        <v>222</v>
      </c>
      <c r="M381" s="141" t="s">
        <v>222</v>
      </c>
      <c r="N381" s="141" t="s">
        <v>222</v>
      </c>
      <c r="O381" s="141" t="s">
        <v>222</v>
      </c>
      <c r="P381" s="141" t="s">
        <v>222</v>
      </c>
      <c r="Q381" s="141" t="s">
        <v>222</v>
      </c>
      <c r="R381" s="141" t="s">
        <v>222</v>
      </c>
      <c r="S381" s="141" t="s">
        <v>222</v>
      </c>
      <c r="T381" s="141" t="s">
        <v>222</v>
      </c>
      <c r="U381" s="141" t="s">
        <v>222</v>
      </c>
      <c r="V381" s="141" t="s">
        <v>222</v>
      </c>
      <c r="W381" s="141"/>
      <c r="X381" s="141"/>
      <c r="Y381" s="141"/>
      <c r="Z381" s="141"/>
    </row>
    <row r="382">
      <c r="A382" s="141"/>
      <c r="B382" s="141" t="s">
        <v>222</v>
      </c>
      <c r="C382" s="141" t="s">
        <v>222</v>
      </c>
      <c r="D382" s="141" t="s">
        <v>222</v>
      </c>
      <c r="E382" s="141" t="s">
        <v>222</v>
      </c>
      <c r="F382" s="141" t="s">
        <v>222</v>
      </c>
      <c r="G382" s="141" t="s">
        <v>222</v>
      </c>
      <c r="H382" s="141" t="s">
        <v>222</v>
      </c>
      <c r="I382" s="141" t="s">
        <v>222</v>
      </c>
      <c r="J382" s="141" t="s">
        <v>222</v>
      </c>
      <c r="K382" s="141" t="s">
        <v>222</v>
      </c>
      <c r="L382" s="141" t="s">
        <v>222</v>
      </c>
      <c r="M382" s="141" t="s">
        <v>222</v>
      </c>
      <c r="N382" s="141" t="s">
        <v>222</v>
      </c>
      <c r="O382" s="141" t="s">
        <v>222</v>
      </c>
      <c r="P382" s="141" t="s">
        <v>222</v>
      </c>
      <c r="Q382" s="141" t="s">
        <v>222</v>
      </c>
      <c r="R382" s="141" t="s">
        <v>222</v>
      </c>
      <c r="S382" s="141" t="s">
        <v>222</v>
      </c>
      <c r="T382" s="141" t="s">
        <v>222</v>
      </c>
      <c r="U382" s="141" t="s">
        <v>222</v>
      </c>
      <c r="V382" s="141" t="s">
        <v>222</v>
      </c>
      <c r="W382" s="141"/>
      <c r="X382" s="141"/>
      <c r="Y382" s="141"/>
      <c r="Z382" s="141"/>
    </row>
    <row r="383">
      <c r="A383" s="141"/>
      <c r="B383" s="141" t="s">
        <v>222</v>
      </c>
      <c r="C383" s="141" t="s">
        <v>222</v>
      </c>
      <c r="D383" s="141" t="s">
        <v>222</v>
      </c>
      <c r="E383" s="141" t="s">
        <v>222</v>
      </c>
      <c r="F383" s="141" t="s">
        <v>222</v>
      </c>
      <c r="G383" s="141" t="s">
        <v>222</v>
      </c>
      <c r="H383" s="141" t="s">
        <v>222</v>
      </c>
      <c r="I383" s="141" t="s">
        <v>222</v>
      </c>
      <c r="J383" s="141" t="s">
        <v>222</v>
      </c>
      <c r="K383" s="141" t="s">
        <v>222</v>
      </c>
      <c r="L383" s="141" t="s">
        <v>222</v>
      </c>
      <c r="M383" s="141" t="s">
        <v>222</v>
      </c>
      <c r="N383" s="141" t="s">
        <v>222</v>
      </c>
      <c r="O383" s="141" t="s">
        <v>222</v>
      </c>
      <c r="P383" s="141" t="s">
        <v>222</v>
      </c>
      <c r="Q383" s="141" t="s">
        <v>222</v>
      </c>
      <c r="R383" s="141" t="s">
        <v>222</v>
      </c>
      <c r="S383" s="141" t="s">
        <v>222</v>
      </c>
      <c r="T383" s="141" t="s">
        <v>222</v>
      </c>
      <c r="U383" s="141" t="s">
        <v>222</v>
      </c>
      <c r="V383" s="141" t="s">
        <v>222</v>
      </c>
      <c r="W383" s="141"/>
      <c r="X383" s="141"/>
      <c r="Y383" s="141"/>
      <c r="Z383" s="141"/>
    </row>
    <row r="384">
      <c r="A384" s="141"/>
      <c r="B384" s="141" t="s">
        <v>222</v>
      </c>
      <c r="C384" s="141" t="s">
        <v>222</v>
      </c>
      <c r="D384" s="141" t="s">
        <v>222</v>
      </c>
      <c r="E384" s="141" t="s">
        <v>222</v>
      </c>
      <c r="F384" s="141" t="s">
        <v>222</v>
      </c>
      <c r="G384" s="141" t="s">
        <v>222</v>
      </c>
      <c r="H384" s="141" t="s">
        <v>222</v>
      </c>
      <c r="I384" s="141" t="s">
        <v>222</v>
      </c>
      <c r="J384" s="141" t="s">
        <v>222</v>
      </c>
      <c r="K384" s="141" t="s">
        <v>222</v>
      </c>
      <c r="L384" s="141" t="s">
        <v>222</v>
      </c>
      <c r="M384" s="141" t="s">
        <v>222</v>
      </c>
      <c r="N384" s="141" t="s">
        <v>222</v>
      </c>
      <c r="O384" s="141" t="s">
        <v>222</v>
      </c>
      <c r="P384" s="141" t="s">
        <v>222</v>
      </c>
      <c r="Q384" s="141" t="s">
        <v>222</v>
      </c>
      <c r="R384" s="141" t="s">
        <v>222</v>
      </c>
      <c r="S384" s="141" t="s">
        <v>222</v>
      </c>
      <c r="T384" s="141" t="s">
        <v>222</v>
      </c>
      <c r="U384" s="141" t="s">
        <v>222</v>
      </c>
      <c r="V384" s="141" t="s">
        <v>222</v>
      </c>
      <c r="W384" s="141"/>
      <c r="X384" s="141"/>
      <c r="Y384" s="141"/>
      <c r="Z384" s="141"/>
    </row>
    <row r="385">
      <c r="A385" s="141"/>
      <c r="B385" s="141" t="s">
        <v>222</v>
      </c>
      <c r="C385" s="141" t="s">
        <v>222</v>
      </c>
      <c r="D385" s="141" t="s">
        <v>222</v>
      </c>
      <c r="E385" s="141" t="s">
        <v>222</v>
      </c>
      <c r="F385" s="141" t="s">
        <v>222</v>
      </c>
      <c r="G385" s="141" t="s">
        <v>222</v>
      </c>
      <c r="H385" s="141" t="s">
        <v>222</v>
      </c>
      <c r="I385" s="141" t="s">
        <v>222</v>
      </c>
      <c r="J385" s="141" t="s">
        <v>222</v>
      </c>
      <c r="K385" s="141" t="s">
        <v>222</v>
      </c>
      <c r="L385" s="141" t="s">
        <v>222</v>
      </c>
      <c r="M385" s="141" t="s">
        <v>222</v>
      </c>
      <c r="N385" s="141" t="s">
        <v>222</v>
      </c>
      <c r="O385" s="141" t="s">
        <v>222</v>
      </c>
      <c r="P385" s="141" t="s">
        <v>222</v>
      </c>
      <c r="Q385" s="141" t="s">
        <v>222</v>
      </c>
      <c r="R385" s="141" t="s">
        <v>222</v>
      </c>
      <c r="S385" s="141" t="s">
        <v>222</v>
      </c>
      <c r="T385" s="141" t="s">
        <v>222</v>
      </c>
      <c r="U385" s="141" t="s">
        <v>222</v>
      </c>
      <c r="V385" s="141" t="s">
        <v>222</v>
      </c>
      <c r="W385" s="141"/>
      <c r="X385" s="141"/>
      <c r="Y385" s="141"/>
      <c r="Z385" s="141"/>
    </row>
    <row r="386">
      <c r="A386" s="141"/>
      <c r="B386" s="141" t="s">
        <v>222</v>
      </c>
      <c r="C386" s="141" t="s">
        <v>222</v>
      </c>
      <c r="D386" s="141" t="s">
        <v>222</v>
      </c>
      <c r="E386" s="141" t="s">
        <v>222</v>
      </c>
      <c r="F386" s="141" t="s">
        <v>222</v>
      </c>
      <c r="G386" s="141" t="s">
        <v>222</v>
      </c>
      <c r="H386" s="141" t="s">
        <v>222</v>
      </c>
      <c r="I386" s="141" t="s">
        <v>222</v>
      </c>
      <c r="J386" s="141" t="s">
        <v>222</v>
      </c>
      <c r="K386" s="141" t="s">
        <v>222</v>
      </c>
      <c r="L386" s="141" t="s">
        <v>222</v>
      </c>
      <c r="M386" s="141" t="s">
        <v>222</v>
      </c>
      <c r="N386" s="141" t="s">
        <v>222</v>
      </c>
      <c r="O386" s="141" t="s">
        <v>222</v>
      </c>
      <c r="P386" s="141" t="s">
        <v>222</v>
      </c>
      <c r="Q386" s="141" t="s">
        <v>222</v>
      </c>
      <c r="R386" s="141" t="s">
        <v>222</v>
      </c>
      <c r="S386" s="141" t="s">
        <v>222</v>
      </c>
      <c r="T386" s="141" t="s">
        <v>222</v>
      </c>
      <c r="U386" s="141" t="s">
        <v>222</v>
      </c>
      <c r="V386" s="141" t="s">
        <v>222</v>
      </c>
      <c r="W386" s="141"/>
      <c r="X386" s="141"/>
      <c r="Y386" s="141"/>
      <c r="Z386" s="141"/>
    </row>
    <row r="387">
      <c r="A387" s="141"/>
      <c r="B387" s="141" t="s">
        <v>222</v>
      </c>
      <c r="C387" s="141" t="s">
        <v>222</v>
      </c>
      <c r="D387" s="141" t="s">
        <v>222</v>
      </c>
      <c r="E387" s="141" t="s">
        <v>222</v>
      </c>
      <c r="F387" s="141" t="s">
        <v>222</v>
      </c>
      <c r="G387" s="141" t="s">
        <v>222</v>
      </c>
      <c r="H387" s="141" t="s">
        <v>222</v>
      </c>
      <c r="I387" s="141" t="s">
        <v>222</v>
      </c>
      <c r="J387" s="141" t="s">
        <v>222</v>
      </c>
      <c r="K387" s="141" t="s">
        <v>222</v>
      </c>
      <c r="L387" s="141" t="s">
        <v>222</v>
      </c>
      <c r="M387" s="141" t="s">
        <v>222</v>
      </c>
      <c r="N387" s="141" t="s">
        <v>222</v>
      </c>
      <c r="O387" s="141" t="s">
        <v>222</v>
      </c>
      <c r="P387" s="141" t="s">
        <v>222</v>
      </c>
      <c r="Q387" s="141" t="s">
        <v>222</v>
      </c>
      <c r="R387" s="141" t="s">
        <v>222</v>
      </c>
      <c r="S387" s="141" t="s">
        <v>222</v>
      </c>
      <c r="T387" s="141" t="s">
        <v>222</v>
      </c>
      <c r="U387" s="141" t="s">
        <v>222</v>
      </c>
      <c r="V387" s="141" t="s">
        <v>222</v>
      </c>
      <c r="W387" s="141"/>
      <c r="X387" s="141"/>
      <c r="Y387" s="141"/>
      <c r="Z387" s="141"/>
    </row>
    <row r="388">
      <c r="A388" s="141"/>
      <c r="B388" s="141" t="s">
        <v>222</v>
      </c>
      <c r="C388" s="141" t="s">
        <v>222</v>
      </c>
      <c r="D388" s="141" t="s">
        <v>222</v>
      </c>
      <c r="E388" s="141" t="s">
        <v>222</v>
      </c>
      <c r="F388" s="141" t="s">
        <v>222</v>
      </c>
      <c r="G388" s="141" t="s">
        <v>222</v>
      </c>
      <c r="H388" s="141" t="s">
        <v>222</v>
      </c>
      <c r="I388" s="141" t="s">
        <v>222</v>
      </c>
      <c r="J388" s="141" t="s">
        <v>222</v>
      </c>
      <c r="K388" s="141" t="s">
        <v>222</v>
      </c>
      <c r="L388" s="141" t="s">
        <v>222</v>
      </c>
      <c r="M388" s="141" t="s">
        <v>222</v>
      </c>
      <c r="N388" s="141" t="s">
        <v>222</v>
      </c>
      <c r="O388" s="141" t="s">
        <v>222</v>
      </c>
      <c r="P388" s="141" t="s">
        <v>222</v>
      </c>
      <c r="Q388" s="141" t="s">
        <v>222</v>
      </c>
      <c r="R388" s="141" t="s">
        <v>222</v>
      </c>
      <c r="S388" s="141" t="s">
        <v>222</v>
      </c>
      <c r="T388" s="141" t="s">
        <v>222</v>
      </c>
      <c r="U388" s="141" t="s">
        <v>222</v>
      </c>
      <c r="V388" s="141" t="s">
        <v>222</v>
      </c>
      <c r="W388" s="141"/>
      <c r="X388" s="141"/>
      <c r="Y388" s="141"/>
      <c r="Z388" s="141"/>
    </row>
    <row r="389">
      <c r="A389" s="141"/>
      <c r="B389" s="141" t="s">
        <v>222</v>
      </c>
      <c r="C389" s="141" t="s">
        <v>222</v>
      </c>
      <c r="D389" s="141" t="s">
        <v>222</v>
      </c>
      <c r="E389" s="141" t="s">
        <v>222</v>
      </c>
      <c r="F389" s="141" t="s">
        <v>222</v>
      </c>
      <c r="G389" s="141" t="s">
        <v>222</v>
      </c>
      <c r="H389" s="141" t="s">
        <v>222</v>
      </c>
      <c r="I389" s="141" t="s">
        <v>222</v>
      </c>
      <c r="J389" s="141" t="s">
        <v>222</v>
      </c>
      <c r="K389" s="141" t="s">
        <v>222</v>
      </c>
      <c r="L389" s="141" t="s">
        <v>222</v>
      </c>
      <c r="M389" s="141" t="s">
        <v>222</v>
      </c>
      <c r="N389" s="141" t="s">
        <v>222</v>
      </c>
      <c r="O389" s="141" t="s">
        <v>222</v>
      </c>
      <c r="P389" s="141" t="s">
        <v>222</v>
      </c>
      <c r="Q389" s="141" t="s">
        <v>222</v>
      </c>
      <c r="R389" s="141" t="s">
        <v>222</v>
      </c>
      <c r="S389" s="141" t="s">
        <v>222</v>
      </c>
      <c r="T389" s="141" t="s">
        <v>222</v>
      </c>
      <c r="U389" s="141" t="s">
        <v>222</v>
      </c>
      <c r="V389" s="141" t="s">
        <v>222</v>
      </c>
      <c r="W389" s="141"/>
      <c r="X389" s="141"/>
      <c r="Y389" s="141"/>
      <c r="Z389" s="141"/>
    </row>
    <row r="390">
      <c r="A390" s="141"/>
      <c r="B390" s="141" t="s">
        <v>222</v>
      </c>
      <c r="C390" s="141" t="s">
        <v>222</v>
      </c>
      <c r="D390" s="141" t="s">
        <v>222</v>
      </c>
      <c r="E390" s="141" t="s">
        <v>222</v>
      </c>
      <c r="F390" s="141" t="s">
        <v>222</v>
      </c>
      <c r="G390" s="141" t="s">
        <v>222</v>
      </c>
      <c r="H390" s="141" t="s">
        <v>222</v>
      </c>
      <c r="I390" s="141" t="s">
        <v>222</v>
      </c>
      <c r="J390" s="141" t="s">
        <v>222</v>
      </c>
      <c r="K390" s="141" t="s">
        <v>222</v>
      </c>
      <c r="L390" s="141" t="s">
        <v>222</v>
      </c>
      <c r="M390" s="141" t="s">
        <v>222</v>
      </c>
      <c r="N390" s="141" t="s">
        <v>222</v>
      </c>
      <c r="O390" s="141" t="s">
        <v>222</v>
      </c>
      <c r="P390" s="141" t="s">
        <v>222</v>
      </c>
      <c r="Q390" s="141" t="s">
        <v>222</v>
      </c>
      <c r="R390" s="141" t="s">
        <v>222</v>
      </c>
      <c r="S390" s="141" t="s">
        <v>222</v>
      </c>
      <c r="T390" s="141" t="s">
        <v>222</v>
      </c>
      <c r="U390" s="141" t="s">
        <v>222</v>
      </c>
      <c r="V390" s="141" t="s">
        <v>222</v>
      </c>
      <c r="W390" s="141"/>
      <c r="X390" s="141"/>
      <c r="Y390" s="141"/>
      <c r="Z390" s="141"/>
    </row>
    <row r="391">
      <c r="A391" s="141"/>
      <c r="B391" s="141" t="s">
        <v>222</v>
      </c>
      <c r="C391" s="141" t="s">
        <v>222</v>
      </c>
      <c r="D391" s="141" t="s">
        <v>222</v>
      </c>
      <c r="E391" s="141" t="s">
        <v>222</v>
      </c>
      <c r="F391" s="141" t="s">
        <v>222</v>
      </c>
      <c r="G391" s="141" t="s">
        <v>222</v>
      </c>
      <c r="H391" s="141" t="s">
        <v>222</v>
      </c>
      <c r="I391" s="141" t="s">
        <v>222</v>
      </c>
      <c r="J391" s="141" t="s">
        <v>222</v>
      </c>
      <c r="K391" s="141" t="s">
        <v>222</v>
      </c>
      <c r="L391" s="141" t="s">
        <v>222</v>
      </c>
      <c r="M391" s="141" t="s">
        <v>222</v>
      </c>
      <c r="N391" s="141" t="s">
        <v>222</v>
      </c>
      <c r="O391" s="141" t="s">
        <v>222</v>
      </c>
      <c r="P391" s="141" t="s">
        <v>222</v>
      </c>
      <c r="Q391" s="141" t="s">
        <v>222</v>
      </c>
      <c r="R391" s="141" t="s">
        <v>222</v>
      </c>
      <c r="S391" s="141" t="s">
        <v>222</v>
      </c>
      <c r="T391" s="141" t="s">
        <v>222</v>
      </c>
      <c r="U391" s="141" t="s">
        <v>222</v>
      </c>
      <c r="V391" s="141" t="s">
        <v>222</v>
      </c>
      <c r="W391" s="141"/>
      <c r="X391" s="141"/>
      <c r="Y391" s="141"/>
      <c r="Z391" s="141"/>
    </row>
    <row r="392">
      <c r="A392" s="141"/>
      <c r="B392" s="141" t="s">
        <v>222</v>
      </c>
      <c r="C392" s="141" t="s">
        <v>222</v>
      </c>
      <c r="D392" s="141" t="s">
        <v>222</v>
      </c>
      <c r="E392" s="141" t="s">
        <v>222</v>
      </c>
      <c r="F392" s="141" t="s">
        <v>222</v>
      </c>
      <c r="G392" s="141" t="s">
        <v>222</v>
      </c>
      <c r="H392" s="141" t="s">
        <v>222</v>
      </c>
      <c r="I392" s="141" t="s">
        <v>222</v>
      </c>
      <c r="J392" s="141" t="s">
        <v>222</v>
      </c>
      <c r="K392" s="141" t="s">
        <v>222</v>
      </c>
      <c r="L392" s="141" t="s">
        <v>222</v>
      </c>
      <c r="M392" s="141" t="s">
        <v>222</v>
      </c>
      <c r="N392" s="141" t="s">
        <v>222</v>
      </c>
      <c r="O392" s="141" t="s">
        <v>222</v>
      </c>
      <c r="P392" s="141" t="s">
        <v>222</v>
      </c>
      <c r="Q392" s="141" t="s">
        <v>222</v>
      </c>
      <c r="R392" s="141" t="s">
        <v>222</v>
      </c>
      <c r="S392" s="141" t="s">
        <v>222</v>
      </c>
      <c r="T392" s="141" t="s">
        <v>222</v>
      </c>
      <c r="U392" s="141" t="s">
        <v>222</v>
      </c>
      <c r="V392" s="141" t="s">
        <v>222</v>
      </c>
      <c r="W392" s="141"/>
      <c r="X392" s="141"/>
      <c r="Y392" s="141"/>
      <c r="Z392" s="141"/>
    </row>
    <row r="393">
      <c r="A393" s="141"/>
      <c r="B393" s="141" t="s">
        <v>222</v>
      </c>
      <c r="C393" s="141" t="s">
        <v>222</v>
      </c>
      <c r="D393" s="141" t="s">
        <v>222</v>
      </c>
      <c r="E393" s="141" t="s">
        <v>222</v>
      </c>
      <c r="F393" s="141" t="s">
        <v>222</v>
      </c>
      <c r="G393" s="141" t="s">
        <v>222</v>
      </c>
      <c r="H393" s="141" t="s">
        <v>222</v>
      </c>
      <c r="I393" s="141" t="s">
        <v>222</v>
      </c>
      <c r="J393" s="141" t="s">
        <v>222</v>
      </c>
      <c r="K393" s="141" t="s">
        <v>222</v>
      </c>
      <c r="L393" s="141" t="s">
        <v>222</v>
      </c>
      <c r="M393" s="141" t="s">
        <v>222</v>
      </c>
      <c r="N393" s="141" t="s">
        <v>222</v>
      </c>
      <c r="O393" s="141" t="s">
        <v>222</v>
      </c>
      <c r="P393" s="141" t="s">
        <v>222</v>
      </c>
      <c r="Q393" s="141" t="s">
        <v>222</v>
      </c>
      <c r="R393" s="141" t="s">
        <v>222</v>
      </c>
      <c r="S393" s="141" t="s">
        <v>222</v>
      </c>
      <c r="T393" s="141" t="s">
        <v>222</v>
      </c>
      <c r="U393" s="141" t="s">
        <v>222</v>
      </c>
      <c r="V393" s="141" t="s">
        <v>222</v>
      </c>
      <c r="W393" s="141"/>
      <c r="X393" s="141"/>
      <c r="Y393" s="141"/>
      <c r="Z393" s="141"/>
    </row>
    <row r="394">
      <c r="A394" s="141"/>
      <c r="B394" s="141" t="s">
        <v>222</v>
      </c>
      <c r="C394" s="141" t="s">
        <v>222</v>
      </c>
      <c r="D394" s="141" t="s">
        <v>222</v>
      </c>
      <c r="E394" s="141" t="s">
        <v>222</v>
      </c>
      <c r="F394" s="141" t="s">
        <v>222</v>
      </c>
      <c r="G394" s="141" t="s">
        <v>222</v>
      </c>
      <c r="H394" s="141" t="s">
        <v>222</v>
      </c>
      <c r="I394" s="141" t="s">
        <v>222</v>
      </c>
      <c r="J394" s="141" t="s">
        <v>222</v>
      </c>
      <c r="K394" s="141" t="s">
        <v>222</v>
      </c>
      <c r="L394" s="141" t="s">
        <v>222</v>
      </c>
      <c r="M394" s="141" t="s">
        <v>222</v>
      </c>
      <c r="N394" s="141" t="s">
        <v>222</v>
      </c>
      <c r="O394" s="141" t="s">
        <v>222</v>
      </c>
      <c r="P394" s="141" t="s">
        <v>222</v>
      </c>
      <c r="Q394" s="141" t="s">
        <v>222</v>
      </c>
      <c r="R394" s="141" t="s">
        <v>222</v>
      </c>
      <c r="S394" s="141" t="s">
        <v>222</v>
      </c>
      <c r="T394" s="141" t="s">
        <v>222</v>
      </c>
      <c r="U394" s="141" t="s">
        <v>222</v>
      </c>
      <c r="V394" s="141" t="s">
        <v>222</v>
      </c>
      <c r="W394" s="141"/>
      <c r="X394" s="141"/>
      <c r="Y394" s="141"/>
      <c r="Z394" s="141"/>
    </row>
    <row r="395">
      <c r="A395" s="141"/>
      <c r="B395" s="141" t="s">
        <v>222</v>
      </c>
      <c r="C395" s="141" t="s">
        <v>222</v>
      </c>
      <c r="D395" s="141" t="s">
        <v>222</v>
      </c>
      <c r="E395" s="141" t="s">
        <v>222</v>
      </c>
      <c r="F395" s="141" t="s">
        <v>222</v>
      </c>
      <c r="G395" s="141" t="s">
        <v>222</v>
      </c>
      <c r="H395" s="141" t="s">
        <v>222</v>
      </c>
      <c r="I395" s="141" t="s">
        <v>222</v>
      </c>
      <c r="J395" s="141" t="s">
        <v>222</v>
      </c>
      <c r="K395" s="141" t="s">
        <v>222</v>
      </c>
      <c r="L395" s="141" t="s">
        <v>222</v>
      </c>
      <c r="M395" s="141" t="s">
        <v>222</v>
      </c>
      <c r="N395" s="141" t="s">
        <v>222</v>
      </c>
      <c r="O395" s="141" t="s">
        <v>222</v>
      </c>
      <c r="P395" s="141" t="s">
        <v>222</v>
      </c>
      <c r="Q395" s="141" t="s">
        <v>222</v>
      </c>
      <c r="R395" s="141" t="s">
        <v>222</v>
      </c>
      <c r="S395" s="141" t="s">
        <v>222</v>
      </c>
      <c r="T395" s="141" t="s">
        <v>222</v>
      </c>
      <c r="U395" s="141" t="s">
        <v>222</v>
      </c>
      <c r="V395" s="141" t="s">
        <v>222</v>
      </c>
      <c r="W395" s="141"/>
      <c r="X395" s="141"/>
      <c r="Y395" s="141"/>
      <c r="Z395" s="141"/>
    </row>
    <row r="396">
      <c r="A396" s="141"/>
      <c r="B396" s="141" t="s">
        <v>222</v>
      </c>
      <c r="C396" s="141" t="s">
        <v>222</v>
      </c>
      <c r="D396" s="141" t="s">
        <v>222</v>
      </c>
      <c r="E396" s="141" t="s">
        <v>222</v>
      </c>
      <c r="F396" s="141" t="s">
        <v>222</v>
      </c>
      <c r="G396" s="141" t="s">
        <v>222</v>
      </c>
      <c r="H396" s="141" t="s">
        <v>222</v>
      </c>
      <c r="I396" s="141" t="s">
        <v>222</v>
      </c>
      <c r="J396" s="141" t="s">
        <v>222</v>
      </c>
      <c r="K396" s="141" t="s">
        <v>222</v>
      </c>
      <c r="L396" s="141" t="s">
        <v>222</v>
      </c>
      <c r="M396" s="141" t="s">
        <v>222</v>
      </c>
      <c r="N396" s="141" t="s">
        <v>222</v>
      </c>
      <c r="O396" s="141" t="s">
        <v>222</v>
      </c>
      <c r="P396" s="141" t="s">
        <v>222</v>
      </c>
      <c r="Q396" s="141" t="s">
        <v>222</v>
      </c>
      <c r="R396" s="141" t="s">
        <v>222</v>
      </c>
      <c r="S396" s="141" t="s">
        <v>222</v>
      </c>
      <c r="T396" s="141" t="s">
        <v>222</v>
      </c>
      <c r="U396" s="141" t="s">
        <v>222</v>
      </c>
      <c r="V396" s="141" t="s">
        <v>222</v>
      </c>
      <c r="W396" s="141"/>
      <c r="X396" s="141"/>
      <c r="Y396" s="141"/>
      <c r="Z396" s="141"/>
    </row>
    <row r="397">
      <c r="A397" s="141"/>
      <c r="B397" s="141" t="s">
        <v>222</v>
      </c>
      <c r="C397" s="141" t="s">
        <v>222</v>
      </c>
      <c r="D397" s="141" t="s">
        <v>222</v>
      </c>
      <c r="E397" s="141" t="s">
        <v>222</v>
      </c>
      <c r="F397" s="141" t="s">
        <v>222</v>
      </c>
      <c r="G397" s="141" t="s">
        <v>222</v>
      </c>
      <c r="H397" s="141" t="s">
        <v>222</v>
      </c>
      <c r="I397" s="141" t="s">
        <v>222</v>
      </c>
      <c r="J397" s="141" t="s">
        <v>222</v>
      </c>
      <c r="K397" s="141" t="s">
        <v>222</v>
      </c>
      <c r="L397" s="141" t="s">
        <v>222</v>
      </c>
      <c r="M397" s="141" t="s">
        <v>222</v>
      </c>
      <c r="N397" s="141" t="s">
        <v>222</v>
      </c>
      <c r="O397" s="141" t="s">
        <v>222</v>
      </c>
      <c r="P397" s="141" t="s">
        <v>222</v>
      </c>
      <c r="Q397" s="141" t="s">
        <v>222</v>
      </c>
      <c r="R397" s="141" t="s">
        <v>222</v>
      </c>
      <c r="S397" s="141" t="s">
        <v>222</v>
      </c>
      <c r="T397" s="141" t="s">
        <v>222</v>
      </c>
      <c r="U397" s="141" t="s">
        <v>222</v>
      </c>
      <c r="V397" s="141" t="s">
        <v>222</v>
      </c>
      <c r="W397" s="141"/>
      <c r="X397" s="141"/>
      <c r="Y397" s="141"/>
      <c r="Z397" s="141"/>
    </row>
    <row r="398">
      <c r="A398" s="141"/>
      <c r="B398" s="141" t="s">
        <v>222</v>
      </c>
      <c r="C398" s="141" t="s">
        <v>222</v>
      </c>
      <c r="D398" s="141" t="s">
        <v>222</v>
      </c>
      <c r="E398" s="141" t="s">
        <v>222</v>
      </c>
      <c r="F398" s="141" t="s">
        <v>222</v>
      </c>
      <c r="G398" s="141" t="s">
        <v>222</v>
      </c>
      <c r="H398" s="141" t="s">
        <v>222</v>
      </c>
      <c r="I398" s="141" t="s">
        <v>222</v>
      </c>
      <c r="J398" s="141" t="s">
        <v>222</v>
      </c>
      <c r="K398" s="141" t="s">
        <v>222</v>
      </c>
      <c r="L398" s="141" t="s">
        <v>222</v>
      </c>
      <c r="M398" s="141" t="s">
        <v>222</v>
      </c>
      <c r="N398" s="141" t="s">
        <v>222</v>
      </c>
      <c r="O398" s="141" t="s">
        <v>222</v>
      </c>
      <c r="P398" s="141" t="s">
        <v>222</v>
      </c>
      <c r="Q398" s="141" t="s">
        <v>222</v>
      </c>
      <c r="R398" s="141" t="s">
        <v>222</v>
      </c>
      <c r="S398" s="141" t="s">
        <v>222</v>
      </c>
      <c r="T398" s="141" t="s">
        <v>222</v>
      </c>
      <c r="U398" s="141" t="s">
        <v>222</v>
      </c>
      <c r="V398" s="141" t="s">
        <v>222</v>
      </c>
      <c r="W398" s="141"/>
      <c r="X398" s="141"/>
      <c r="Y398" s="141"/>
      <c r="Z398" s="141"/>
    </row>
    <row r="399">
      <c r="A399" s="141"/>
      <c r="B399" s="141" t="s">
        <v>222</v>
      </c>
      <c r="C399" s="141" t="s">
        <v>222</v>
      </c>
      <c r="D399" s="141" t="s">
        <v>222</v>
      </c>
      <c r="E399" s="141" t="s">
        <v>222</v>
      </c>
      <c r="F399" s="141" t="s">
        <v>222</v>
      </c>
      <c r="G399" s="141" t="s">
        <v>222</v>
      </c>
      <c r="H399" s="141" t="s">
        <v>222</v>
      </c>
      <c r="I399" s="141" t="s">
        <v>222</v>
      </c>
      <c r="J399" s="141" t="s">
        <v>222</v>
      </c>
      <c r="K399" s="141" t="s">
        <v>222</v>
      </c>
      <c r="L399" s="141" t="s">
        <v>222</v>
      </c>
      <c r="M399" s="141" t="s">
        <v>222</v>
      </c>
      <c r="N399" s="141" t="s">
        <v>222</v>
      </c>
      <c r="O399" s="141" t="s">
        <v>222</v>
      </c>
      <c r="P399" s="141" t="s">
        <v>222</v>
      </c>
      <c r="Q399" s="141" t="s">
        <v>222</v>
      </c>
      <c r="R399" s="141" t="s">
        <v>222</v>
      </c>
      <c r="S399" s="141" t="s">
        <v>222</v>
      </c>
      <c r="T399" s="141" t="s">
        <v>222</v>
      </c>
      <c r="U399" s="141" t="s">
        <v>222</v>
      </c>
      <c r="V399" s="141" t="s">
        <v>222</v>
      </c>
      <c r="W399" s="141"/>
      <c r="X399" s="141"/>
      <c r="Y399" s="141"/>
      <c r="Z399" s="141"/>
    </row>
    <row r="400">
      <c r="A400" s="141"/>
      <c r="B400" s="141" t="s">
        <v>222</v>
      </c>
      <c r="C400" s="141" t="s">
        <v>222</v>
      </c>
      <c r="D400" s="141" t="s">
        <v>222</v>
      </c>
      <c r="E400" s="141" t="s">
        <v>222</v>
      </c>
      <c r="F400" s="141" t="s">
        <v>222</v>
      </c>
      <c r="G400" s="141" t="s">
        <v>222</v>
      </c>
      <c r="H400" s="141" t="s">
        <v>222</v>
      </c>
      <c r="I400" s="141" t="s">
        <v>222</v>
      </c>
      <c r="J400" s="141" t="s">
        <v>222</v>
      </c>
      <c r="K400" s="141" t="s">
        <v>222</v>
      </c>
      <c r="L400" s="141" t="s">
        <v>222</v>
      </c>
      <c r="M400" s="141" t="s">
        <v>222</v>
      </c>
      <c r="N400" s="141" t="s">
        <v>222</v>
      </c>
      <c r="O400" s="141" t="s">
        <v>222</v>
      </c>
      <c r="P400" s="141" t="s">
        <v>222</v>
      </c>
      <c r="Q400" s="141" t="s">
        <v>222</v>
      </c>
      <c r="R400" s="141" t="s">
        <v>222</v>
      </c>
      <c r="S400" s="141" t="s">
        <v>222</v>
      </c>
      <c r="T400" s="141" t="s">
        <v>222</v>
      </c>
      <c r="U400" s="141" t="s">
        <v>222</v>
      </c>
      <c r="V400" s="141" t="s">
        <v>222</v>
      </c>
      <c r="W400" s="141"/>
      <c r="X400" s="141"/>
      <c r="Y400" s="141"/>
      <c r="Z400" s="141"/>
    </row>
    <row r="401">
      <c r="A401" s="141"/>
      <c r="B401" s="141" t="s">
        <v>222</v>
      </c>
      <c r="C401" s="141" t="s">
        <v>222</v>
      </c>
      <c r="D401" s="141" t="s">
        <v>222</v>
      </c>
      <c r="E401" s="141" t="s">
        <v>222</v>
      </c>
      <c r="F401" s="141" t="s">
        <v>222</v>
      </c>
      <c r="G401" s="141" t="s">
        <v>222</v>
      </c>
      <c r="H401" s="141" t="s">
        <v>222</v>
      </c>
      <c r="I401" s="141" t="s">
        <v>222</v>
      </c>
      <c r="J401" s="141" t="s">
        <v>222</v>
      </c>
      <c r="K401" s="141" t="s">
        <v>222</v>
      </c>
      <c r="L401" s="141" t="s">
        <v>222</v>
      </c>
      <c r="M401" s="141" t="s">
        <v>222</v>
      </c>
      <c r="N401" s="141" t="s">
        <v>222</v>
      </c>
      <c r="O401" s="141" t="s">
        <v>222</v>
      </c>
      <c r="P401" s="141" t="s">
        <v>222</v>
      </c>
      <c r="Q401" s="141" t="s">
        <v>222</v>
      </c>
      <c r="R401" s="141" t="s">
        <v>222</v>
      </c>
      <c r="S401" s="141" t="s">
        <v>222</v>
      </c>
      <c r="T401" s="141" t="s">
        <v>222</v>
      </c>
      <c r="U401" s="141" t="s">
        <v>222</v>
      </c>
      <c r="V401" s="141" t="s">
        <v>222</v>
      </c>
      <c r="W401" s="141"/>
      <c r="X401" s="141"/>
      <c r="Y401" s="141"/>
      <c r="Z401" s="141"/>
    </row>
    <row r="402">
      <c r="A402" s="141"/>
      <c r="B402" s="141" t="s">
        <v>222</v>
      </c>
      <c r="C402" s="141" t="s">
        <v>222</v>
      </c>
      <c r="D402" s="141" t="s">
        <v>222</v>
      </c>
      <c r="E402" s="141" t="s">
        <v>222</v>
      </c>
      <c r="F402" s="141" t="s">
        <v>222</v>
      </c>
      <c r="G402" s="141" t="s">
        <v>222</v>
      </c>
      <c r="H402" s="141" t="s">
        <v>222</v>
      </c>
      <c r="I402" s="141" t="s">
        <v>222</v>
      </c>
      <c r="J402" s="141" t="s">
        <v>222</v>
      </c>
      <c r="K402" s="141" t="s">
        <v>222</v>
      </c>
      <c r="L402" s="141" t="s">
        <v>222</v>
      </c>
      <c r="M402" s="141" t="s">
        <v>222</v>
      </c>
      <c r="N402" s="141" t="s">
        <v>222</v>
      </c>
      <c r="O402" s="141" t="s">
        <v>222</v>
      </c>
      <c r="P402" s="141" t="s">
        <v>222</v>
      </c>
      <c r="Q402" s="141" t="s">
        <v>222</v>
      </c>
      <c r="R402" s="141" t="s">
        <v>222</v>
      </c>
      <c r="S402" s="141" t="s">
        <v>222</v>
      </c>
      <c r="T402" s="141" t="s">
        <v>222</v>
      </c>
      <c r="U402" s="141" t="s">
        <v>222</v>
      </c>
      <c r="V402" s="141" t="s">
        <v>222</v>
      </c>
      <c r="W402" s="141"/>
      <c r="X402" s="141"/>
      <c r="Y402" s="141"/>
      <c r="Z402" s="141"/>
    </row>
    <row r="403">
      <c r="A403" s="141"/>
      <c r="B403" s="141" t="s">
        <v>222</v>
      </c>
      <c r="C403" s="141" t="s">
        <v>222</v>
      </c>
      <c r="D403" s="141" t="s">
        <v>222</v>
      </c>
      <c r="E403" s="141" t="s">
        <v>222</v>
      </c>
      <c r="F403" s="141" t="s">
        <v>222</v>
      </c>
      <c r="G403" s="141" t="s">
        <v>222</v>
      </c>
      <c r="H403" s="141" t="s">
        <v>222</v>
      </c>
      <c r="I403" s="141" t="s">
        <v>222</v>
      </c>
      <c r="J403" s="141" t="s">
        <v>222</v>
      </c>
      <c r="K403" s="141" t="s">
        <v>222</v>
      </c>
      <c r="L403" s="141" t="s">
        <v>222</v>
      </c>
      <c r="M403" s="141" t="s">
        <v>222</v>
      </c>
      <c r="N403" s="141" t="s">
        <v>222</v>
      </c>
      <c r="O403" s="141" t="s">
        <v>222</v>
      </c>
      <c r="P403" s="141" t="s">
        <v>222</v>
      </c>
      <c r="Q403" s="141" t="s">
        <v>222</v>
      </c>
      <c r="R403" s="141" t="s">
        <v>222</v>
      </c>
      <c r="S403" s="141" t="s">
        <v>222</v>
      </c>
      <c r="T403" s="141" t="s">
        <v>222</v>
      </c>
      <c r="U403" s="141" t="s">
        <v>222</v>
      </c>
      <c r="V403" s="141" t="s">
        <v>222</v>
      </c>
      <c r="W403" s="141"/>
      <c r="X403" s="141"/>
      <c r="Y403" s="141"/>
      <c r="Z403" s="141"/>
    </row>
    <row r="404">
      <c r="A404" s="141"/>
      <c r="B404" s="141" t="s">
        <v>222</v>
      </c>
      <c r="C404" s="141" t="s">
        <v>222</v>
      </c>
      <c r="D404" s="141" t="s">
        <v>222</v>
      </c>
      <c r="E404" s="141" t="s">
        <v>222</v>
      </c>
      <c r="F404" s="141" t="s">
        <v>222</v>
      </c>
      <c r="G404" s="141" t="s">
        <v>222</v>
      </c>
      <c r="H404" s="141" t="s">
        <v>222</v>
      </c>
      <c r="I404" s="141" t="s">
        <v>222</v>
      </c>
      <c r="J404" s="141" t="s">
        <v>222</v>
      </c>
      <c r="K404" s="141" t="s">
        <v>222</v>
      </c>
      <c r="L404" s="141" t="s">
        <v>222</v>
      </c>
      <c r="M404" s="141" t="s">
        <v>222</v>
      </c>
      <c r="N404" s="141" t="s">
        <v>222</v>
      </c>
      <c r="O404" s="141" t="s">
        <v>222</v>
      </c>
      <c r="P404" s="141" t="s">
        <v>222</v>
      </c>
      <c r="Q404" s="141" t="s">
        <v>222</v>
      </c>
      <c r="R404" s="141" t="s">
        <v>222</v>
      </c>
      <c r="S404" s="141" t="s">
        <v>222</v>
      </c>
      <c r="T404" s="141" t="s">
        <v>222</v>
      </c>
      <c r="U404" s="141" t="s">
        <v>222</v>
      </c>
      <c r="V404" s="141" t="s">
        <v>222</v>
      </c>
      <c r="W404" s="141"/>
      <c r="X404" s="141"/>
      <c r="Y404" s="141"/>
      <c r="Z404" s="141"/>
    </row>
    <row r="405">
      <c r="A405" s="141"/>
      <c r="B405" s="141" t="s">
        <v>222</v>
      </c>
      <c r="C405" s="141" t="s">
        <v>222</v>
      </c>
      <c r="D405" s="141" t="s">
        <v>222</v>
      </c>
      <c r="E405" s="141" t="s">
        <v>222</v>
      </c>
      <c r="F405" s="141" t="s">
        <v>222</v>
      </c>
      <c r="G405" s="141" t="s">
        <v>222</v>
      </c>
      <c r="H405" s="141" t="s">
        <v>222</v>
      </c>
      <c r="I405" s="141" t="s">
        <v>222</v>
      </c>
      <c r="J405" s="141" t="s">
        <v>222</v>
      </c>
      <c r="K405" s="141" t="s">
        <v>222</v>
      </c>
      <c r="L405" s="141" t="s">
        <v>222</v>
      </c>
      <c r="M405" s="141" t="s">
        <v>222</v>
      </c>
      <c r="N405" s="141" t="s">
        <v>222</v>
      </c>
      <c r="O405" s="141" t="s">
        <v>222</v>
      </c>
      <c r="P405" s="141" t="s">
        <v>222</v>
      </c>
      <c r="Q405" s="141" t="s">
        <v>222</v>
      </c>
      <c r="R405" s="141" t="s">
        <v>222</v>
      </c>
      <c r="S405" s="141" t="s">
        <v>222</v>
      </c>
      <c r="T405" s="141" t="s">
        <v>222</v>
      </c>
      <c r="U405" s="141" t="s">
        <v>222</v>
      </c>
      <c r="V405" s="141" t="s">
        <v>222</v>
      </c>
      <c r="W405" s="141"/>
      <c r="X405" s="141"/>
      <c r="Y405" s="141"/>
      <c r="Z405" s="141"/>
    </row>
    <row r="406">
      <c r="A406" s="141"/>
      <c r="B406" s="141" t="s">
        <v>222</v>
      </c>
      <c r="C406" s="141" t="s">
        <v>222</v>
      </c>
      <c r="D406" s="141" t="s">
        <v>222</v>
      </c>
      <c r="E406" s="141" t="s">
        <v>222</v>
      </c>
      <c r="F406" s="141" t="s">
        <v>222</v>
      </c>
      <c r="G406" s="141" t="s">
        <v>222</v>
      </c>
      <c r="H406" s="141" t="s">
        <v>222</v>
      </c>
      <c r="I406" s="141" t="s">
        <v>222</v>
      </c>
      <c r="J406" s="141" t="s">
        <v>222</v>
      </c>
      <c r="K406" s="141" t="s">
        <v>222</v>
      </c>
      <c r="L406" s="141" t="s">
        <v>222</v>
      </c>
      <c r="M406" s="141" t="s">
        <v>222</v>
      </c>
      <c r="N406" s="141" t="s">
        <v>222</v>
      </c>
      <c r="O406" s="141" t="s">
        <v>222</v>
      </c>
      <c r="P406" s="141" t="s">
        <v>222</v>
      </c>
      <c r="Q406" s="141" t="s">
        <v>222</v>
      </c>
      <c r="R406" s="141" t="s">
        <v>222</v>
      </c>
      <c r="S406" s="141" t="s">
        <v>222</v>
      </c>
      <c r="T406" s="141" t="s">
        <v>222</v>
      </c>
      <c r="U406" s="141" t="s">
        <v>222</v>
      </c>
      <c r="V406" s="141" t="s">
        <v>222</v>
      </c>
      <c r="W406" s="141"/>
      <c r="X406" s="141"/>
      <c r="Y406" s="141"/>
      <c r="Z406" s="141"/>
    </row>
    <row r="407">
      <c r="A407" s="141"/>
      <c r="B407" s="141" t="s">
        <v>222</v>
      </c>
      <c r="C407" s="141" t="s">
        <v>222</v>
      </c>
      <c r="D407" s="141" t="s">
        <v>222</v>
      </c>
      <c r="E407" s="141" t="s">
        <v>222</v>
      </c>
      <c r="F407" s="141" t="s">
        <v>222</v>
      </c>
      <c r="G407" s="141" t="s">
        <v>222</v>
      </c>
      <c r="H407" s="141" t="s">
        <v>222</v>
      </c>
      <c r="I407" s="141" t="s">
        <v>222</v>
      </c>
      <c r="J407" s="141" t="s">
        <v>222</v>
      </c>
      <c r="K407" s="141" t="s">
        <v>222</v>
      </c>
      <c r="L407" s="141" t="s">
        <v>222</v>
      </c>
      <c r="M407" s="141" t="s">
        <v>222</v>
      </c>
      <c r="N407" s="141" t="s">
        <v>222</v>
      </c>
      <c r="O407" s="141" t="s">
        <v>222</v>
      </c>
      <c r="P407" s="141" t="s">
        <v>222</v>
      </c>
      <c r="Q407" s="141" t="s">
        <v>222</v>
      </c>
      <c r="R407" s="141" t="s">
        <v>222</v>
      </c>
      <c r="S407" s="141" t="s">
        <v>222</v>
      </c>
      <c r="T407" s="141" t="s">
        <v>222</v>
      </c>
      <c r="U407" s="141" t="s">
        <v>222</v>
      </c>
      <c r="V407" s="141" t="s">
        <v>222</v>
      </c>
      <c r="W407" s="141"/>
      <c r="X407" s="141"/>
      <c r="Y407" s="141"/>
      <c r="Z407" s="141"/>
    </row>
    <row r="408">
      <c r="A408" s="141"/>
      <c r="B408" s="141" t="s">
        <v>222</v>
      </c>
      <c r="C408" s="141" t="s">
        <v>222</v>
      </c>
      <c r="D408" s="141" t="s">
        <v>222</v>
      </c>
      <c r="E408" s="141" t="s">
        <v>222</v>
      </c>
      <c r="F408" s="141" t="s">
        <v>222</v>
      </c>
      <c r="G408" s="141" t="s">
        <v>222</v>
      </c>
      <c r="H408" s="141" t="s">
        <v>222</v>
      </c>
      <c r="I408" s="141" t="s">
        <v>222</v>
      </c>
      <c r="J408" s="141" t="s">
        <v>222</v>
      </c>
      <c r="K408" s="141" t="s">
        <v>222</v>
      </c>
      <c r="L408" s="141" t="s">
        <v>222</v>
      </c>
      <c r="M408" s="141" t="s">
        <v>222</v>
      </c>
      <c r="N408" s="141" t="s">
        <v>222</v>
      </c>
      <c r="O408" s="141" t="s">
        <v>222</v>
      </c>
      <c r="P408" s="141" t="s">
        <v>222</v>
      </c>
      <c r="Q408" s="141" t="s">
        <v>222</v>
      </c>
      <c r="R408" s="141" t="s">
        <v>222</v>
      </c>
      <c r="S408" s="141" t="s">
        <v>222</v>
      </c>
      <c r="T408" s="141" t="s">
        <v>222</v>
      </c>
      <c r="U408" s="141" t="s">
        <v>222</v>
      </c>
      <c r="V408" s="141" t="s">
        <v>222</v>
      </c>
      <c r="W408" s="141"/>
      <c r="X408" s="141"/>
      <c r="Y408" s="141"/>
      <c r="Z408" s="141"/>
    </row>
    <row r="409">
      <c r="A409" s="141"/>
      <c r="B409" s="141" t="s">
        <v>222</v>
      </c>
      <c r="C409" s="141" t="s">
        <v>222</v>
      </c>
      <c r="D409" s="141" t="s">
        <v>222</v>
      </c>
      <c r="E409" s="141" t="s">
        <v>222</v>
      </c>
      <c r="F409" s="141" t="s">
        <v>222</v>
      </c>
      <c r="G409" s="141" t="s">
        <v>222</v>
      </c>
      <c r="H409" s="141" t="s">
        <v>222</v>
      </c>
      <c r="I409" s="141" t="s">
        <v>222</v>
      </c>
      <c r="J409" s="141" t="s">
        <v>222</v>
      </c>
      <c r="K409" s="141" t="s">
        <v>222</v>
      </c>
      <c r="L409" s="141" t="s">
        <v>222</v>
      </c>
      <c r="M409" s="141" t="s">
        <v>222</v>
      </c>
      <c r="N409" s="141" t="s">
        <v>222</v>
      </c>
      <c r="O409" s="141" t="s">
        <v>222</v>
      </c>
      <c r="P409" s="141" t="s">
        <v>222</v>
      </c>
      <c r="Q409" s="141" t="s">
        <v>222</v>
      </c>
      <c r="R409" s="141" t="s">
        <v>222</v>
      </c>
      <c r="S409" s="141" t="s">
        <v>222</v>
      </c>
      <c r="T409" s="141" t="s">
        <v>222</v>
      </c>
      <c r="U409" s="141" t="s">
        <v>222</v>
      </c>
      <c r="V409" s="141" t="s">
        <v>222</v>
      </c>
      <c r="W409" s="141"/>
      <c r="X409" s="141"/>
      <c r="Y409" s="141"/>
      <c r="Z409" s="141"/>
    </row>
    <row r="410">
      <c r="A410" s="141"/>
      <c r="B410" s="141" t="s">
        <v>222</v>
      </c>
      <c r="C410" s="141" t="s">
        <v>222</v>
      </c>
      <c r="D410" s="141" t="s">
        <v>222</v>
      </c>
      <c r="E410" s="141" t="s">
        <v>222</v>
      </c>
      <c r="F410" s="141" t="s">
        <v>222</v>
      </c>
      <c r="G410" s="141" t="s">
        <v>222</v>
      </c>
      <c r="H410" s="141" t="s">
        <v>222</v>
      </c>
      <c r="I410" s="141" t="s">
        <v>222</v>
      </c>
      <c r="J410" s="141" t="s">
        <v>222</v>
      </c>
      <c r="K410" s="141" t="s">
        <v>222</v>
      </c>
      <c r="L410" s="141" t="s">
        <v>222</v>
      </c>
      <c r="M410" s="141" t="s">
        <v>222</v>
      </c>
      <c r="N410" s="141" t="s">
        <v>222</v>
      </c>
      <c r="O410" s="141" t="s">
        <v>222</v>
      </c>
      <c r="P410" s="141" t="s">
        <v>222</v>
      </c>
      <c r="Q410" s="141" t="s">
        <v>222</v>
      </c>
      <c r="R410" s="141" t="s">
        <v>222</v>
      </c>
      <c r="S410" s="141" t="s">
        <v>222</v>
      </c>
      <c r="T410" s="141" t="s">
        <v>222</v>
      </c>
      <c r="U410" s="141" t="s">
        <v>222</v>
      </c>
      <c r="V410" s="141" t="s">
        <v>222</v>
      </c>
      <c r="W410" s="141"/>
      <c r="X410" s="141"/>
      <c r="Y410" s="141"/>
      <c r="Z410" s="141"/>
    </row>
    <row r="411">
      <c r="A411" s="141"/>
      <c r="B411" s="141" t="s">
        <v>222</v>
      </c>
      <c r="C411" s="141" t="s">
        <v>222</v>
      </c>
      <c r="D411" s="141" t="s">
        <v>222</v>
      </c>
      <c r="E411" s="141" t="s">
        <v>222</v>
      </c>
      <c r="F411" s="141" t="s">
        <v>222</v>
      </c>
      <c r="G411" s="141" t="s">
        <v>222</v>
      </c>
      <c r="H411" s="141" t="s">
        <v>222</v>
      </c>
      <c r="I411" s="141" t="s">
        <v>222</v>
      </c>
      <c r="J411" s="141" t="s">
        <v>222</v>
      </c>
      <c r="K411" s="141" t="s">
        <v>222</v>
      </c>
      <c r="L411" s="141" t="s">
        <v>222</v>
      </c>
      <c r="M411" s="141" t="s">
        <v>222</v>
      </c>
      <c r="N411" s="141" t="s">
        <v>222</v>
      </c>
      <c r="O411" s="141" t="s">
        <v>222</v>
      </c>
      <c r="P411" s="141" t="s">
        <v>222</v>
      </c>
      <c r="Q411" s="141" t="s">
        <v>222</v>
      </c>
      <c r="R411" s="141" t="s">
        <v>222</v>
      </c>
      <c r="S411" s="141" t="s">
        <v>222</v>
      </c>
      <c r="T411" s="141" t="s">
        <v>222</v>
      </c>
      <c r="U411" s="141" t="s">
        <v>222</v>
      </c>
      <c r="V411" s="141" t="s">
        <v>222</v>
      </c>
      <c r="W411" s="141"/>
      <c r="X411" s="141"/>
      <c r="Y411" s="141"/>
      <c r="Z411" s="141"/>
    </row>
    <row r="412">
      <c r="A412" s="141"/>
      <c r="B412" s="141" t="s">
        <v>222</v>
      </c>
      <c r="C412" s="141" t="s">
        <v>222</v>
      </c>
      <c r="D412" s="141" t="s">
        <v>222</v>
      </c>
      <c r="E412" s="141" t="s">
        <v>222</v>
      </c>
      <c r="F412" s="141" t="s">
        <v>222</v>
      </c>
      <c r="G412" s="141" t="s">
        <v>222</v>
      </c>
      <c r="H412" s="141" t="s">
        <v>222</v>
      </c>
      <c r="I412" s="141" t="s">
        <v>222</v>
      </c>
      <c r="J412" s="141" t="s">
        <v>222</v>
      </c>
      <c r="K412" s="141" t="s">
        <v>222</v>
      </c>
      <c r="L412" s="141" t="s">
        <v>222</v>
      </c>
      <c r="M412" s="141" t="s">
        <v>222</v>
      </c>
      <c r="N412" s="141" t="s">
        <v>222</v>
      </c>
      <c r="O412" s="141" t="s">
        <v>222</v>
      </c>
      <c r="P412" s="141" t="s">
        <v>222</v>
      </c>
      <c r="Q412" s="141" t="s">
        <v>222</v>
      </c>
      <c r="R412" s="141" t="s">
        <v>222</v>
      </c>
      <c r="S412" s="141" t="s">
        <v>222</v>
      </c>
      <c r="T412" s="141" t="s">
        <v>222</v>
      </c>
      <c r="U412" s="141" t="s">
        <v>222</v>
      </c>
      <c r="V412" s="141" t="s">
        <v>222</v>
      </c>
      <c r="W412" s="141"/>
      <c r="X412" s="141"/>
      <c r="Y412" s="141"/>
      <c r="Z412" s="141"/>
    </row>
    <row r="413">
      <c r="A413" s="141"/>
      <c r="B413" s="141" t="s">
        <v>222</v>
      </c>
      <c r="C413" s="141" t="s">
        <v>222</v>
      </c>
      <c r="D413" s="141" t="s">
        <v>222</v>
      </c>
      <c r="E413" s="141" t="s">
        <v>222</v>
      </c>
      <c r="F413" s="141" t="s">
        <v>222</v>
      </c>
      <c r="G413" s="141" t="s">
        <v>222</v>
      </c>
      <c r="H413" s="141" t="s">
        <v>222</v>
      </c>
      <c r="I413" s="141" t="s">
        <v>222</v>
      </c>
      <c r="J413" s="141" t="s">
        <v>222</v>
      </c>
      <c r="K413" s="141" t="s">
        <v>222</v>
      </c>
      <c r="L413" s="141" t="s">
        <v>222</v>
      </c>
      <c r="M413" s="141" t="s">
        <v>222</v>
      </c>
      <c r="N413" s="141" t="s">
        <v>222</v>
      </c>
      <c r="O413" s="141" t="s">
        <v>222</v>
      </c>
      <c r="P413" s="141" t="s">
        <v>222</v>
      </c>
      <c r="Q413" s="141" t="s">
        <v>222</v>
      </c>
      <c r="R413" s="141" t="s">
        <v>222</v>
      </c>
      <c r="S413" s="141" t="s">
        <v>222</v>
      </c>
      <c r="T413" s="141" t="s">
        <v>222</v>
      </c>
      <c r="U413" s="141" t="s">
        <v>222</v>
      </c>
      <c r="V413" s="141" t="s">
        <v>222</v>
      </c>
      <c r="W413" s="141"/>
      <c r="X413" s="141"/>
      <c r="Y413" s="141"/>
      <c r="Z413" s="141"/>
    </row>
    <row r="414">
      <c r="A414" s="141"/>
      <c r="B414" s="141" t="s">
        <v>222</v>
      </c>
      <c r="C414" s="141" t="s">
        <v>222</v>
      </c>
      <c r="D414" s="141" t="s">
        <v>222</v>
      </c>
      <c r="E414" s="141" t="s">
        <v>222</v>
      </c>
      <c r="F414" s="141" t="s">
        <v>222</v>
      </c>
      <c r="G414" s="141" t="s">
        <v>222</v>
      </c>
      <c r="H414" s="141" t="s">
        <v>222</v>
      </c>
      <c r="I414" s="141" t="s">
        <v>222</v>
      </c>
      <c r="J414" s="141" t="s">
        <v>222</v>
      </c>
      <c r="K414" s="141" t="s">
        <v>222</v>
      </c>
      <c r="L414" s="141" t="s">
        <v>222</v>
      </c>
      <c r="M414" s="141" t="s">
        <v>222</v>
      </c>
      <c r="N414" s="141" t="s">
        <v>222</v>
      </c>
      <c r="O414" s="141" t="s">
        <v>222</v>
      </c>
      <c r="P414" s="141" t="s">
        <v>222</v>
      </c>
      <c r="Q414" s="141" t="s">
        <v>222</v>
      </c>
      <c r="R414" s="141" t="s">
        <v>222</v>
      </c>
      <c r="S414" s="141" t="s">
        <v>222</v>
      </c>
      <c r="T414" s="141" t="s">
        <v>222</v>
      </c>
      <c r="U414" s="141" t="s">
        <v>222</v>
      </c>
      <c r="V414" s="141" t="s">
        <v>222</v>
      </c>
      <c r="W414" s="141"/>
      <c r="X414" s="141"/>
      <c r="Y414" s="141"/>
      <c r="Z414" s="141"/>
    </row>
    <row r="415">
      <c r="A415" s="141"/>
      <c r="B415" s="141" t="s">
        <v>222</v>
      </c>
      <c r="C415" s="141" t="s">
        <v>222</v>
      </c>
      <c r="D415" s="141" t="s">
        <v>222</v>
      </c>
      <c r="E415" s="141" t="s">
        <v>222</v>
      </c>
      <c r="F415" s="141" t="s">
        <v>222</v>
      </c>
      <c r="G415" s="141" t="s">
        <v>222</v>
      </c>
      <c r="H415" s="141" t="s">
        <v>222</v>
      </c>
      <c r="I415" s="141" t="s">
        <v>222</v>
      </c>
      <c r="J415" s="141" t="s">
        <v>222</v>
      </c>
      <c r="K415" s="141" t="s">
        <v>222</v>
      </c>
      <c r="L415" s="141" t="s">
        <v>222</v>
      </c>
      <c r="M415" s="141" t="s">
        <v>222</v>
      </c>
      <c r="N415" s="141" t="s">
        <v>222</v>
      </c>
      <c r="O415" s="141" t="s">
        <v>222</v>
      </c>
      <c r="P415" s="141" t="s">
        <v>222</v>
      </c>
      <c r="Q415" s="141" t="s">
        <v>222</v>
      </c>
      <c r="R415" s="141" t="s">
        <v>222</v>
      </c>
      <c r="S415" s="141" t="s">
        <v>222</v>
      </c>
      <c r="T415" s="141" t="s">
        <v>222</v>
      </c>
      <c r="U415" s="141" t="s">
        <v>222</v>
      </c>
      <c r="V415" s="141" t="s">
        <v>222</v>
      </c>
      <c r="W415" s="141"/>
      <c r="X415" s="141"/>
      <c r="Y415" s="141"/>
      <c r="Z415" s="141"/>
    </row>
    <row r="416">
      <c r="A416" s="141"/>
      <c r="B416" s="141" t="s">
        <v>222</v>
      </c>
      <c r="C416" s="141" t="s">
        <v>222</v>
      </c>
      <c r="D416" s="141" t="s">
        <v>222</v>
      </c>
      <c r="E416" s="141" t="s">
        <v>222</v>
      </c>
      <c r="F416" s="141" t="s">
        <v>222</v>
      </c>
      <c r="G416" s="141" t="s">
        <v>222</v>
      </c>
      <c r="H416" s="141" t="s">
        <v>222</v>
      </c>
      <c r="I416" s="141" t="s">
        <v>222</v>
      </c>
      <c r="J416" s="141" t="s">
        <v>222</v>
      </c>
      <c r="K416" s="141" t="s">
        <v>222</v>
      </c>
      <c r="L416" s="141" t="s">
        <v>222</v>
      </c>
      <c r="M416" s="141" t="s">
        <v>222</v>
      </c>
      <c r="N416" s="141" t="s">
        <v>222</v>
      </c>
      <c r="O416" s="141" t="s">
        <v>222</v>
      </c>
      <c r="P416" s="141" t="s">
        <v>222</v>
      </c>
      <c r="Q416" s="141" t="s">
        <v>222</v>
      </c>
      <c r="R416" s="141" t="s">
        <v>222</v>
      </c>
      <c r="S416" s="141" t="s">
        <v>222</v>
      </c>
      <c r="T416" s="141" t="s">
        <v>222</v>
      </c>
      <c r="U416" s="141" t="s">
        <v>222</v>
      </c>
      <c r="V416" s="141" t="s">
        <v>222</v>
      </c>
      <c r="W416" s="141"/>
      <c r="X416" s="141"/>
      <c r="Y416" s="141"/>
      <c r="Z416" s="141"/>
    </row>
    <row r="417">
      <c r="A417" s="141"/>
      <c r="B417" s="141" t="s">
        <v>222</v>
      </c>
      <c r="C417" s="141" t="s">
        <v>222</v>
      </c>
      <c r="D417" s="141" t="s">
        <v>222</v>
      </c>
      <c r="E417" s="141" t="s">
        <v>222</v>
      </c>
      <c r="F417" s="141" t="s">
        <v>222</v>
      </c>
      <c r="G417" s="141" t="s">
        <v>222</v>
      </c>
      <c r="H417" s="141" t="s">
        <v>222</v>
      </c>
      <c r="I417" s="141" t="s">
        <v>222</v>
      </c>
      <c r="J417" s="141" t="s">
        <v>222</v>
      </c>
      <c r="K417" s="141" t="s">
        <v>222</v>
      </c>
      <c r="L417" s="141" t="s">
        <v>222</v>
      </c>
      <c r="M417" s="141" t="s">
        <v>222</v>
      </c>
      <c r="N417" s="141" t="s">
        <v>222</v>
      </c>
      <c r="O417" s="141" t="s">
        <v>222</v>
      </c>
      <c r="P417" s="141" t="s">
        <v>222</v>
      </c>
      <c r="Q417" s="141" t="s">
        <v>222</v>
      </c>
      <c r="R417" s="141" t="s">
        <v>222</v>
      </c>
      <c r="S417" s="141" t="s">
        <v>222</v>
      </c>
      <c r="T417" s="141" t="s">
        <v>222</v>
      </c>
      <c r="U417" s="141" t="s">
        <v>222</v>
      </c>
      <c r="V417" s="141" t="s">
        <v>222</v>
      </c>
      <c r="W417" s="141"/>
      <c r="X417" s="141"/>
      <c r="Y417" s="141"/>
      <c r="Z417" s="141"/>
    </row>
    <row r="418">
      <c r="A418" s="141"/>
      <c r="B418" s="141" t="s">
        <v>222</v>
      </c>
      <c r="C418" s="141" t="s">
        <v>222</v>
      </c>
      <c r="D418" s="141" t="s">
        <v>222</v>
      </c>
      <c r="E418" s="141" t="s">
        <v>222</v>
      </c>
      <c r="F418" s="141" t="s">
        <v>222</v>
      </c>
      <c r="G418" s="141" t="s">
        <v>222</v>
      </c>
      <c r="H418" s="141" t="s">
        <v>222</v>
      </c>
      <c r="I418" s="141" t="s">
        <v>222</v>
      </c>
      <c r="J418" s="141" t="s">
        <v>222</v>
      </c>
      <c r="K418" s="141" t="s">
        <v>222</v>
      </c>
      <c r="L418" s="141" t="s">
        <v>222</v>
      </c>
      <c r="M418" s="141" t="s">
        <v>222</v>
      </c>
      <c r="N418" s="141" t="s">
        <v>222</v>
      </c>
      <c r="O418" s="141" t="s">
        <v>222</v>
      </c>
      <c r="P418" s="141" t="s">
        <v>222</v>
      </c>
      <c r="Q418" s="141" t="s">
        <v>222</v>
      </c>
      <c r="R418" s="141" t="s">
        <v>222</v>
      </c>
      <c r="S418" s="141" t="s">
        <v>222</v>
      </c>
      <c r="T418" s="141" t="s">
        <v>222</v>
      </c>
      <c r="U418" s="141" t="s">
        <v>222</v>
      </c>
      <c r="V418" s="141" t="s">
        <v>222</v>
      </c>
      <c r="W418" s="141"/>
      <c r="X418" s="141"/>
      <c r="Y418" s="141"/>
      <c r="Z418" s="141"/>
    </row>
    <row r="419">
      <c r="A419" s="141"/>
      <c r="B419" s="141" t="s">
        <v>222</v>
      </c>
      <c r="C419" s="141" t="s">
        <v>222</v>
      </c>
      <c r="D419" s="141" t="s">
        <v>222</v>
      </c>
      <c r="E419" s="141" t="s">
        <v>222</v>
      </c>
      <c r="F419" s="141" t="s">
        <v>222</v>
      </c>
      <c r="G419" s="141" t="s">
        <v>222</v>
      </c>
      <c r="H419" s="141" t="s">
        <v>222</v>
      </c>
      <c r="I419" s="141" t="s">
        <v>222</v>
      </c>
      <c r="J419" s="141" t="s">
        <v>222</v>
      </c>
      <c r="K419" s="141" t="s">
        <v>222</v>
      </c>
      <c r="L419" s="141" t="s">
        <v>222</v>
      </c>
      <c r="M419" s="141" t="s">
        <v>222</v>
      </c>
      <c r="N419" s="141" t="s">
        <v>222</v>
      </c>
      <c r="O419" s="141" t="s">
        <v>222</v>
      </c>
      <c r="P419" s="141" t="s">
        <v>222</v>
      </c>
      <c r="Q419" s="141" t="s">
        <v>222</v>
      </c>
      <c r="R419" s="141" t="s">
        <v>222</v>
      </c>
      <c r="S419" s="141" t="s">
        <v>222</v>
      </c>
      <c r="T419" s="141" t="s">
        <v>222</v>
      </c>
      <c r="U419" s="141" t="s">
        <v>222</v>
      </c>
      <c r="V419" s="141" t="s">
        <v>222</v>
      </c>
      <c r="W419" s="141"/>
      <c r="X419" s="141"/>
      <c r="Y419" s="141"/>
      <c r="Z419" s="141"/>
    </row>
    <row r="420">
      <c r="A420" s="141"/>
      <c r="B420" s="141" t="s">
        <v>222</v>
      </c>
      <c r="C420" s="141" t="s">
        <v>222</v>
      </c>
      <c r="D420" s="141" t="s">
        <v>222</v>
      </c>
      <c r="E420" s="141" t="s">
        <v>222</v>
      </c>
      <c r="F420" s="141" t="s">
        <v>222</v>
      </c>
      <c r="G420" s="141" t="s">
        <v>222</v>
      </c>
      <c r="H420" s="141" t="s">
        <v>222</v>
      </c>
      <c r="I420" s="141" t="s">
        <v>222</v>
      </c>
      <c r="J420" s="141" t="s">
        <v>222</v>
      </c>
      <c r="K420" s="141" t="s">
        <v>222</v>
      </c>
      <c r="L420" s="141" t="s">
        <v>222</v>
      </c>
      <c r="M420" s="141" t="s">
        <v>222</v>
      </c>
      <c r="N420" s="141" t="s">
        <v>222</v>
      </c>
      <c r="O420" s="141" t="s">
        <v>222</v>
      </c>
      <c r="P420" s="141" t="s">
        <v>222</v>
      </c>
      <c r="Q420" s="141" t="s">
        <v>222</v>
      </c>
      <c r="R420" s="141" t="s">
        <v>222</v>
      </c>
      <c r="S420" s="141" t="s">
        <v>222</v>
      </c>
      <c r="T420" s="141" t="s">
        <v>222</v>
      </c>
      <c r="U420" s="141" t="s">
        <v>222</v>
      </c>
      <c r="V420" s="141" t="s">
        <v>222</v>
      </c>
      <c r="W420" s="141"/>
      <c r="X420" s="141"/>
      <c r="Y420" s="141"/>
      <c r="Z420" s="141"/>
    </row>
    <row r="421">
      <c r="A421" s="141"/>
      <c r="B421" s="141" t="s">
        <v>222</v>
      </c>
      <c r="C421" s="141" t="s">
        <v>222</v>
      </c>
      <c r="D421" s="141" t="s">
        <v>222</v>
      </c>
      <c r="E421" s="141" t="s">
        <v>222</v>
      </c>
      <c r="F421" s="141" t="s">
        <v>222</v>
      </c>
      <c r="G421" s="141" t="s">
        <v>222</v>
      </c>
      <c r="H421" s="141" t="s">
        <v>222</v>
      </c>
      <c r="I421" s="141" t="s">
        <v>222</v>
      </c>
      <c r="J421" s="141" t="s">
        <v>222</v>
      </c>
      <c r="K421" s="141" t="s">
        <v>222</v>
      </c>
      <c r="L421" s="141" t="s">
        <v>222</v>
      </c>
      <c r="M421" s="141" t="s">
        <v>222</v>
      </c>
      <c r="N421" s="141" t="s">
        <v>222</v>
      </c>
      <c r="O421" s="141" t="s">
        <v>222</v>
      </c>
      <c r="P421" s="141" t="s">
        <v>222</v>
      </c>
      <c r="Q421" s="141" t="s">
        <v>222</v>
      </c>
      <c r="R421" s="141" t="s">
        <v>222</v>
      </c>
      <c r="S421" s="141" t="s">
        <v>222</v>
      </c>
      <c r="T421" s="141" t="s">
        <v>222</v>
      </c>
      <c r="U421" s="141" t="s">
        <v>222</v>
      </c>
      <c r="V421" s="141" t="s">
        <v>222</v>
      </c>
      <c r="W421" s="141"/>
      <c r="X421" s="141"/>
      <c r="Y421" s="141"/>
      <c r="Z421" s="141"/>
    </row>
    <row r="422">
      <c r="A422" s="141"/>
      <c r="B422" s="141" t="s">
        <v>222</v>
      </c>
      <c r="C422" s="141" t="s">
        <v>222</v>
      </c>
      <c r="D422" s="141" t="s">
        <v>222</v>
      </c>
      <c r="E422" s="141" t="s">
        <v>222</v>
      </c>
      <c r="F422" s="141" t="s">
        <v>222</v>
      </c>
      <c r="G422" s="141" t="s">
        <v>222</v>
      </c>
      <c r="H422" s="141" t="s">
        <v>222</v>
      </c>
      <c r="I422" s="141" t="s">
        <v>222</v>
      </c>
      <c r="J422" s="141" t="s">
        <v>222</v>
      </c>
      <c r="K422" s="141" t="s">
        <v>222</v>
      </c>
      <c r="L422" s="141" t="s">
        <v>222</v>
      </c>
      <c r="M422" s="141" t="s">
        <v>222</v>
      </c>
      <c r="N422" s="141" t="s">
        <v>222</v>
      </c>
      <c r="O422" s="141" t="s">
        <v>222</v>
      </c>
      <c r="P422" s="141" t="s">
        <v>222</v>
      </c>
      <c r="Q422" s="141" t="s">
        <v>222</v>
      </c>
      <c r="R422" s="141" t="s">
        <v>222</v>
      </c>
      <c r="S422" s="141" t="s">
        <v>222</v>
      </c>
      <c r="T422" s="141" t="s">
        <v>222</v>
      </c>
      <c r="U422" s="141" t="s">
        <v>222</v>
      </c>
      <c r="V422" s="141" t="s">
        <v>222</v>
      </c>
      <c r="W422" s="141"/>
      <c r="X422" s="141"/>
      <c r="Y422" s="141"/>
      <c r="Z422" s="141"/>
    </row>
    <row r="423">
      <c r="A423" s="141"/>
      <c r="B423" s="141" t="s">
        <v>222</v>
      </c>
      <c r="C423" s="141" t="s">
        <v>222</v>
      </c>
      <c r="D423" s="141" t="s">
        <v>222</v>
      </c>
      <c r="E423" s="141" t="s">
        <v>222</v>
      </c>
      <c r="F423" s="141" t="s">
        <v>222</v>
      </c>
      <c r="G423" s="141" t="s">
        <v>222</v>
      </c>
      <c r="H423" s="141" t="s">
        <v>222</v>
      </c>
      <c r="I423" s="141" t="s">
        <v>222</v>
      </c>
      <c r="J423" s="141" t="s">
        <v>222</v>
      </c>
      <c r="K423" s="141" t="s">
        <v>222</v>
      </c>
      <c r="L423" s="141" t="s">
        <v>222</v>
      </c>
      <c r="M423" s="141" t="s">
        <v>222</v>
      </c>
      <c r="N423" s="141" t="s">
        <v>222</v>
      </c>
      <c r="O423" s="141" t="s">
        <v>222</v>
      </c>
      <c r="P423" s="141" t="s">
        <v>222</v>
      </c>
      <c r="Q423" s="141" t="s">
        <v>222</v>
      </c>
      <c r="R423" s="141" t="s">
        <v>222</v>
      </c>
      <c r="S423" s="141" t="s">
        <v>222</v>
      </c>
      <c r="T423" s="141" t="s">
        <v>222</v>
      </c>
      <c r="U423" s="141" t="s">
        <v>222</v>
      </c>
      <c r="V423" s="141" t="s">
        <v>222</v>
      </c>
      <c r="W423" s="141"/>
      <c r="X423" s="141"/>
      <c r="Y423" s="141"/>
      <c r="Z423" s="141"/>
    </row>
    <row r="424">
      <c r="A424" s="141"/>
      <c r="B424" s="141" t="s">
        <v>222</v>
      </c>
      <c r="C424" s="141" t="s">
        <v>222</v>
      </c>
      <c r="D424" s="141" t="s">
        <v>222</v>
      </c>
      <c r="E424" s="141" t="s">
        <v>222</v>
      </c>
      <c r="F424" s="141" t="s">
        <v>222</v>
      </c>
      <c r="G424" s="141" t="s">
        <v>222</v>
      </c>
      <c r="H424" s="141" t="s">
        <v>222</v>
      </c>
      <c r="I424" s="141" t="s">
        <v>222</v>
      </c>
      <c r="J424" s="141" t="s">
        <v>222</v>
      </c>
      <c r="K424" s="141" t="s">
        <v>222</v>
      </c>
      <c r="L424" s="141" t="s">
        <v>222</v>
      </c>
      <c r="M424" s="141" t="s">
        <v>222</v>
      </c>
      <c r="N424" s="141" t="s">
        <v>222</v>
      </c>
      <c r="O424" s="141" t="s">
        <v>222</v>
      </c>
      <c r="P424" s="141" t="s">
        <v>222</v>
      </c>
      <c r="Q424" s="141" t="s">
        <v>222</v>
      </c>
      <c r="R424" s="141" t="s">
        <v>222</v>
      </c>
      <c r="S424" s="141" t="s">
        <v>222</v>
      </c>
      <c r="T424" s="141" t="s">
        <v>222</v>
      </c>
      <c r="U424" s="141" t="s">
        <v>222</v>
      </c>
      <c r="V424" s="141" t="s">
        <v>222</v>
      </c>
      <c r="W424" s="141"/>
      <c r="X424" s="141"/>
      <c r="Y424" s="141"/>
      <c r="Z424" s="141"/>
    </row>
    <row r="425">
      <c r="A425" s="141"/>
      <c r="B425" s="141" t="s">
        <v>222</v>
      </c>
      <c r="C425" s="141" t="s">
        <v>222</v>
      </c>
      <c r="D425" s="141" t="s">
        <v>222</v>
      </c>
      <c r="E425" s="141" t="s">
        <v>222</v>
      </c>
      <c r="F425" s="141" t="s">
        <v>222</v>
      </c>
      <c r="G425" s="141" t="s">
        <v>222</v>
      </c>
      <c r="H425" s="141" t="s">
        <v>222</v>
      </c>
      <c r="I425" s="141" t="s">
        <v>222</v>
      </c>
      <c r="J425" s="141" t="s">
        <v>222</v>
      </c>
      <c r="K425" s="141" t="s">
        <v>222</v>
      </c>
      <c r="L425" s="141" t="s">
        <v>222</v>
      </c>
      <c r="M425" s="141" t="s">
        <v>222</v>
      </c>
      <c r="N425" s="141" t="s">
        <v>222</v>
      </c>
      <c r="O425" s="141" t="s">
        <v>222</v>
      </c>
      <c r="P425" s="141" t="s">
        <v>222</v>
      </c>
      <c r="Q425" s="141" t="s">
        <v>222</v>
      </c>
      <c r="R425" s="141" t="s">
        <v>222</v>
      </c>
      <c r="S425" s="141" t="s">
        <v>222</v>
      </c>
      <c r="T425" s="141" t="s">
        <v>222</v>
      </c>
      <c r="U425" s="141" t="s">
        <v>222</v>
      </c>
      <c r="V425" s="141" t="s">
        <v>222</v>
      </c>
      <c r="W425" s="141"/>
      <c r="X425" s="141"/>
      <c r="Y425" s="141"/>
      <c r="Z425" s="141"/>
    </row>
    <row r="426">
      <c r="A426" s="141"/>
      <c r="B426" s="141" t="s">
        <v>222</v>
      </c>
      <c r="C426" s="141" t="s">
        <v>222</v>
      </c>
      <c r="D426" s="141" t="s">
        <v>222</v>
      </c>
      <c r="E426" s="141" t="s">
        <v>222</v>
      </c>
      <c r="F426" s="141" t="s">
        <v>222</v>
      </c>
      <c r="G426" s="141" t="s">
        <v>222</v>
      </c>
      <c r="H426" s="141" t="s">
        <v>222</v>
      </c>
      <c r="I426" s="141" t="s">
        <v>222</v>
      </c>
      <c r="J426" s="141" t="s">
        <v>222</v>
      </c>
      <c r="K426" s="141" t="s">
        <v>222</v>
      </c>
      <c r="L426" s="141" t="s">
        <v>222</v>
      </c>
      <c r="M426" s="141" t="s">
        <v>222</v>
      </c>
      <c r="N426" s="141" t="s">
        <v>222</v>
      </c>
      <c r="O426" s="141" t="s">
        <v>222</v>
      </c>
      <c r="P426" s="141" t="s">
        <v>222</v>
      </c>
      <c r="Q426" s="141" t="s">
        <v>222</v>
      </c>
      <c r="R426" s="141" t="s">
        <v>222</v>
      </c>
      <c r="S426" s="141" t="s">
        <v>222</v>
      </c>
      <c r="T426" s="141" t="s">
        <v>222</v>
      </c>
      <c r="U426" s="141" t="s">
        <v>222</v>
      </c>
      <c r="V426" s="141" t="s">
        <v>222</v>
      </c>
      <c r="W426" s="141"/>
      <c r="X426" s="141"/>
      <c r="Y426" s="141"/>
      <c r="Z426" s="141"/>
    </row>
    <row r="427">
      <c r="A427" s="141"/>
      <c r="B427" s="141" t="s">
        <v>222</v>
      </c>
      <c r="C427" s="141" t="s">
        <v>222</v>
      </c>
      <c r="D427" s="141" t="s">
        <v>222</v>
      </c>
      <c r="E427" s="141" t="s">
        <v>222</v>
      </c>
      <c r="F427" s="141" t="s">
        <v>222</v>
      </c>
      <c r="G427" s="141" t="s">
        <v>222</v>
      </c>
      <c r="H427" s="141" t="s">
        <v>222</v>
      </c>
      <c r="I427" s="141" t="s">
        <v>222</v>
      </c>
      <c r="J427" s="141" t="s">
        <v>222</v>
      </c>
      <c r="K427" s="141" t="s">
        <v>222</v>
      </c>
      <c r="L427" s="141" t="s">
        <v>222</v>
      </c>
      <c r="M427" s="141" t="s">
        <v>222</v>
      </c>
      <c r="N427" s="141" t="s">
        <v>222</v>
      </c>
      <c r="O427" s="141" t="s">
        <v>222</v>
      </c>
      <c r="P427" s="141" t="s">
        <v>222</v>
      </c>
      <c r="Q427" s="141" t="s">
        <v>222</v>
      </c>
      <c r="R427" s="141" t="s">
        <v>222</v>
      </c>
      <c r="S427" s="141" t="s">
        <v>222</v>
      </c>
      <c r="T427" s="141" t="s">
        <v>222</v>
      </c>
      <c r="U427" s="141" t="s">
        <v>222</v>
      </c>
      <c r="V427" s="141" t="s">
        <v>222</v>
      </c>
      <c r="W427" s="141"/>
      <c r="X427" s="141"/>
      <c r="Y427" s="141"/>
      <c r="Z427" s="141"/>
    </row>
    <row r="428">
      <c r="A428" s="141"/>
      <c r="B428" s="141" t="s">
        <v>222</v>
      </c>
      <c r="C428" s="141" t="s">
        <v>222</v>
      </c>
      <c r="D428" s="141" t="s">
        <v>222</v>
      </c>
      <c r="E428" s="141" t="s">
        <v>222</v>
      </c>
      <c r="F428" s="141" t="s">
        <v>222</v>
      </c>
      <c r="G428" s="141" t="s">
        <v>222</v>
      </c>
      <c r="H428" s="141" t="s">
        <v>222</v>
      </c>
      <c r="I428" s="141" t="s">
        <v>222</v>
      </c>
      <c r="J428" s="141" t="s">
        <v>222</v>
      </c>
      <c r="K428" s="141" t="s">
        <v>222</v>
      </c>
      <c r="L428" s="141" t="s">
        <v>222</v>
      </c>
      <c r="M428" s="141" t="s">
        <v>222</v>
      </c>
      <c r="N428" s="141" t="s">
        <v>222</v>
      </c>
      <c r="O428" s="141" t="s">
        <v>222</v>
      </c>
      <c r="P428" s="141" t="s">
        <v>222</v>
      </c>
      <c r="Q428" s="141" t="s">
        <v>222</v>
      </c>
      <c r="R428" s="141" t="s">
        <v>222</v>
      </c>
      <c r="S428" s="141" t="s">
        <v>222</v>
      </c>
      <c r="T428" s="141" t="s">
        <v>222</v>
      </c>
      <c r="U428" s="141" t="s">
        <v>222</v>
      </c>
      <c r="V428" s="141" t="s">
        <v>222</v>
      </c>
      <c r="W428" s="141"/>
      <c r="X428" s="141"/>
      <c r="Y428" s="141"/>
      <c r="Z428" s="141"/>
    </row>
    <row r="429">
      <c r="A429" s="141"/>
      <c r="B429" s="141" t="s">
        <v>222</v>
      </c>
      <c r="C429" s="141" t="s">
        <v>222</v>
      </c>
      <c r="D429" s="141" t="s">
        <v>222</v>
      </c>
      <c r="E429" s="141" t="s">
        <v>222</v>
      </c>
      <c r="F429" s="141" t="s">
        <v>222</v>
      </c>
      <c r="G429" s="141" t="s">
        <v>222</v>
      </c>
      <c r="H429" s="141" t="s">
        <v>222</v>
      </c>
      <c r="I429" s="141" t="s">
        <v>222</v>
      </c>
      <c r="J429" s="141" t="s">
        <v>222</v>
      </c>
      <c r="K429" s="141" t="s">
        <v>222</v>
      </c>
      <c r="L429" s="141" t="s">
        <v>222</v>
      </c>
      <c r="M429" s="141" t="s">
        <v>222</v>
      </c>
      <c r="N429" s="141" t="s">
        <v>222</v>
      </c>
      <c r="O429" s="141" t="s">
        <v>222</v>
      </c>
      <c r="P429" s="141" t="s">
        <v>222</v>
      </c>
      <c r="Q429" s="141" t="s">
        <v>222</v>
      </c>
      <c r="R429" s="141" t="s">
        <v>222</v>
      </c>
      <c r="S429" s="141" t="s">
        <v>222</v>
      </c>
      <c r="T429" s="141" t="s">
        <v>222</v>
      </c>
      <c r="U429" s="141" t="s">
        <v>222</v>
      </c>
      <c r="V429" s="141" t="s">
        <v>222</v>
      </c>
      <c r="W429" s="141"/>
      <c r="X429" s="141"/>
      <c r="Y429" s="141"/>
      <c r="Z429" s="141"/>
    </row>
    <row r="430">
      <c r="A430" s="141"/>
      <c r="B430" s="141" t="s">
        <v>222</v>
      </c>
      <c r="C430" s="141" t="s">
        <v>222</v>
      </c>
      <c r="D430" s="141" t="s">
        <v>222</v>
      </c>
      <c r="E430" s="141" t="s">
        <v>222</v>
      </c>
      <c r="F430" s="141" t="s">
        <v>222</v>
      </c>
      <c r="G430" s="141" t="s">
        <v>222</v>
      </c>
      <c r="H430" s="141" t="s">
        <v>222</v>
      </c>
      <c r="I430" s="141" t="s">
        <v>222</v>
      </c>
      <c r="J430" s="141" t="s">
        <v>222</v>
      </c>
      <c r="K430" s="141" t="s">
        <v>222</v>
      </c>
      <c r="L430" s="141" t="s">
        <v>222</v>
      </c>
      <c r="M430" s="141" t="s">
        <v>222</v>
      </c>
      <c r="N430" s="141" t="s">
        <v>222</v>
      </c>
      <c r="O430" s="141" t="s">
        <v>222</v>
      </c>
      <c r="P430" s="141" t="s">
        <v>222</v>
      </c>
      <c r="Q430" s="141" t="s">
        <v>222</v>
      </c>
      <c r="R430" s="141" t="s">
        <v>222</v>
      </c>
      <c r="S430" s="141" t="s">
        <v>222</v>
      </c>
      <c r="T430" s="141" t="s">
        <v>222</v>
      </c>
      <c r="U430" s="141" t="s">
        <v>222</v>
      </c>
      <c r="V430" s="141" t="s">
        <v>222</v>
      </c>
      <c r="W430" s="141"/>
      <c r="X430" s="141"/>
      <c r="Y430" s="141"/>
      <c r="Z430" s="141"/>
    </row>
    <row r="431">
      <c r="A431" s="141"/>
      <c r="B431" s="141" t="s">
        <v>222</v>
      </c>
      <c r="C431" s="141" t="s">
        <v>222</v>
      </c>
      <c r="D431" s="141" t="s">
        <v>222</v>
      </c>
      <c r="E431" s="141" t="s">
        <v>222</v>
      </c>
      <c r="F431" s="141" t="s">
        <v>222</v>
      </c>
      <c r="G431" s="141" t="s">
        <v>222</v>
      </c>
      <c r="H431" s="141" t="s">
        <v>222</v>
      </c>
      <c r="I431" s="141" t="s">
        <v>222</v>
      </c>
      <c r="J431" s="141" t="s">
        <v>222</v>
      </c>
      <c r="K431" s="141" t="s">
        <v>222</v>
      </c>
      <c r="L431" s="141" t="s">
        <v>222</v>
      </c>
      <c r="M431" s="141" t="s">
        <v>222</v>
      </c>
      <c r="N431" s="141" t="s">
        <v>222</v>
      </c>
      <c r="O431" s="141" t="s">
        <v>222</v>
      </c>
      <c r="P431" s="141" t="s">
        <v>222</v>
      </c>
      <c r="Q431" s="141" t="s">
        <v>222</v>
      </c>
      <c r="R431" s="141" t="s">
        <v>222</v>
      </c>
      <c r="S431" s="141" t="s">
        <v>222</v>
      </c>
      <c r="T431" s="141" t="s">
        <v>222</v>
      </c>
      <c r="U431" s="141" t="s">
        <v>222</v>
      </c>
      <c r="V431" s="141" t="s">
        <v>222</v>
      </c>
      <c r="W431" s="141"/>
      <c r="X431" s="141"/>
      <c r="Y431" s="141"/>
      <c r="Z431" s="141"/>
    </row>
    <row r="432">
      <c r="A432" s="141"/>
      <c r="B432" s="141" t="s">
        <v>222</v>
      </c>
      <c r="C432" s="141" t="s">
        <v>222</v>
      </c>
      <c r="D432" s="141" t="s">
        <v>222</v>
      </c>
      <c r="E432" s="141" t="s">
        <v>222</v>
      </c>
      <c r="F432" s="141" t="s">
        <v>222</v>
      </c>
      <c r="G432" s="141" t="s">
        <v>222</v>
      </c>
      <c r="H432" s="141" t="s">
        <v>222</v>
      </c>
      <c r="I432" s="141" t="s">
        <v>222</v>
      </c>
      <c r="J432" s="141" t="s">
        <v>222</v>
      </c>
      <c r="K432" s="141" t="s">
        <v>222</v>
      </c>
      <c r="L432" s="141" t="s">
        <v>222</v>
      </c>
      <c r="M432" s="141" t="s">
        <v>222</v>
      </c>
      <c r="N432" s="141" t="s">
        <v>222</v>
      </c>
      <c r="O432" s="141" t="s">
        <v>222</v>
      </c>
      <c r="P432" s="141" t="s">
        <v>222</v>
      </c>
      <c r="Q432" s="141" t="s">
        <v>222</v>
      </c>
      <c r="R432" s="141" t="s">
        <v>222</v>
      </c>
      <c r="S432" s="141" t="s">
        <v>222</v>
      </c>
      <c r="T432" s="141" t="s">
        <v>222</v>
      </c>
      <c r="U432" s="141" t="s">
        <v>222</v>
      </c>
      <c r="V432" s="141" t="s">
        <v>222</v>
      </c>
      <c r="W432" s="141"/>
      <c r="X432" s="141"/>
      <c r="Y432" s="141"/>
      <c r="Z432" s="141"/>
    </row>
    <row r="433">
      <c r="A433" s="141"/>
      <c r="B433" s="141" t="s">
        <v>222</v>
      </c>
      <c r="C433" s="141" t="s">
        <v>222</v>
      </c>
      <c r="D433" s="141" t="s">
        <v>222</v>
      </c>
      <c r="E433" s="141" t="s">
        <v>222</v>
      </c>
      <c r="F433" s="141" t="s">
        <v>222</v>
      </c>
      <c r="G433" s="141" t="s">
        <v>222</v>
      </c>
      <c r="H433" s="141" t="s">
        <v>222</v>
      </c>
      <c r="I433" s="141" t="s">
        <v>222</v>
      </c>
      <c r="J433" s="141" t="s">
        <v>222</v>
      </c>
      <c r="K433" s="141" t="s">
        <v>222</v>
      </c>
      <c r="L433" s="141" t="s">
        <v>222</v>
      </c>
      <c r="M433" s="141" t="s">
        <v>222</v>
      </c>
      <c r="N433" s="141" t="s">
        <v>222</v>
      </c>
      <c r="O433" s="141" t="s">
        <v>222</v>
      </c>
      <c r="P433" s="141" t="s">
        <v>222</v>
      </c>
      <c r="Q433" s="141" t="s">
        <v>222</v>
      </c>
      <c r="R433" s="141" t="s">
        <v>222</v>
      </c>
      <c r="S433" s="141" t="s">
        <v>222</v>
      </c>
      <c r="T433" s="141" t="s">
        <v>222</v>
      </c>
      <c r="U433" s="141" t="s">
        <v>222</v>
      </c>
      <c r="V433" s="141" t="s">
        <v>222</v>
      </c>
      <c r="W433" s="141"/>
      <c r="X433" s="141"/>
      <c r="Y433" s="141"/>
      <c r="Z433" s="141"/>
    </row>
    <row r="434">
      <c r="A434" s="141"/>
      <c r="B434" s="141" t="s">
        <v>222</v>
      </c>
      <c r="C434" s="141" t="s">
        <v>222</v>
      </c>
      <c r="D434" s="141" t="s">
        <v>222</v>
      </c>
      <c r="E434" s="141" t="s">
        <v>222</v>
      </c>
      <c r="F434" s="141" t="s">
        <v>222</v>
      </c>
      <c r="G434" s="141" t="s">
        <v>222</v>
      </c>
      <c r="H434" s="141" t="s">
        <v>222</v>
      </c>
      <c r="I434" s="141" t="s">
        <v>222</v>
      </c>
      <c r="J434" s="141" t="s">
        <v>222</v>
      </c>
      <c r="K434" s="141" t="s">
        <v>222</v>
      </c>
      <c r="L434" s="141" t="s">
        <v>222</v>
      </c>
      <c r="M434" s="141" t="s">
        <v>222</v>
      </c>
      <c r="N434" s="141" t="s">
        <v>222</v>
      </c>
      <c r="O434" s="141" t="s">
        <v>222</v>
      </c>
      <c r="P434" s="141" t="s">
        <v>222</v>
      </c>
      <c r="Q434" s="141" t="s">
        <v>222</v>
      </c>
      <c r="R434" s="141" t="s">
        <v>222</v>
      </c>
      <c r="S434" s="141" t="s">
        <v>222</v>
      </c>
      <c r="T434" s="141" t="s">
        <v>222</v>
      </c>
      <c r="U434" s="141" t="s">
        <v>222</v>
      </c>
      <c r="V434" s="141" t="s">
        <v>222</v>
      </c>
      <c r="W434" s="141"/>
      <c r="X434" s="141"/>
      <c r="Y434" s="141"/>
      <c r="Z434" s="141"/>
    </row>
    <row r="435">
      <c r="A435" s="141"/>
      <c r="B435" s="141" t="s">
        <v>222</v>
      </c>
      <c r="C435" s="141" t="s">
        <v>222</v>
      </c>
      <c r="D435" s="141" t="s">
        <v>222</v>
      </c>
      <c r="E435" s="141" t="s">
        <v>222</v>
      </c>
      <c r="F435" s="141" t="s">
        <v>222</v>
      </c>
      <c r="G435" s="141" t="s">
        <v>222</v>
      </c>
      <c r="H435" s="141" t="s">
        <v>222</v>
      </c>
      <c r="I435" s="141" t="s">
        <v>222</v>
      </c>
      <c r="J435" s="141" t="s">
        <v>222</v>
      </c>
      <c r="K435" s="141" t="s">
        <v>222</v>
      </c>
      <c r="L435" s="141" t="s">
        <v>222</v>
      </c>
      <c r="M435" s="141" t="s">
        <v>222</v>
      </c>
      <c r="N435" s="141" t="s">
        <v>222</v>
      </c>
      <c r="O435" s="141" t="s">
        <v>222</v>
      </c>
      <c r="P435" s="141" t="s">
        <v>222</v>
      </c>
      <c r="Q435" s="141" t="s">
        <v>222</v>
      </c>
      <c r="R435" s="141" t="s">
        <v>222</v>
      </c>
      <c r="S435" s="141" t="s">
        <v>222</v>
      </c>
      <c r="T435" s="141" t="s">
        <v>222</v>
      </c>
      <c r="U435" s="141" t="s">
        <v>222</v>
      </c>
      <c r="V435" s="141" t="s">
        <v>222</v>
      </c>
      <c r="W435" s="141"/>
      <c r="X435" s="141"/>
      <c r="Y435" s="141"/>
      <c r="Z435" s="141"/>
    </row>
    <row r="436">
      <c r="A436" s="141"/>
      <c r="B436" s="141" t="s">
        <v>222</v>
      </c>
      <c r="C436" s="141" t="s">
        <v>222</v>
      </c>
      <c r="D436" s="141" t="s">
        <v>222</v>
      </c>
      <c r="E436" s="141" t="s">
        <v>222</v>
      </c>
      <c r="F436" s="141" t="s">
        <v>222</v>
      </c>
      <c r="G436" s="141" t="s">
        <v>222</v>
      </c>
      <c r="H436" s="141" t="s">
        <v>222</v>
      </c>
      <c r="I436" s="141" t="s">
        <v>222</v>
      </c>
      <c r="J436" s="141" t="s">
        <v>222</v>
      </c>
      <c r="K436" s="141" t="s">
        <v>222</v>
      </c>
      <c r="L436" s="141" t="s">
        <v>222</v>
      </c>
      <c r="M436" s="141" t="s">
        <v>222</v>
      </c>
      <c r="N436" s="141" t="s">
        <v>222</v>
      </c>
      <c r="O436" s="141" t="s">
        <v>222</v>
      </c>
      <c r="P436" s="141" t="s">
        <v>222</v>
      </c>
      <c r="Q436" s="141" t="s">
        <v>222</v>
      </c>
      <c r="R436" s="141" t="s">
        <v>222</v>
      </c>
      <c r="S436" s="141" t="s">
        <v>222</v>
      </c>
      <c r="T436" s="141" t="s">
        <v>222</v>
      </c>
      <c r="U436" s="141" t="s">
        <v>222</v>
      </c>
      <c r="V436" s="141" t="s">
        <v>222</v>
      </c>
      <c r="W436" s="141"/>
      <c r="X436" s="141"/>
      <c r="Y436" s="141"/>
      <c r="Z436" s="141"/>
    </row>
    <row r="437">
      <c r="A437" s="141"/>
      <c r="B437" s="141" t="s">
        <v>222</v>
      </c>
      <c r="C437" s="141" t="s">
        <v>222</v>
      </c>
      <c r="D437" s="141" t="s">
        <v>222</v>
      </c>
      <c r="E437" s="141" t="s">
        <v>222</v>
      </c>
      <c r="F437" s="141" t="s">
        <v>222</v>
      </c>
      <c r="G437" s="141" t="s">
        <v>222</v>
      </c>
      <c r="H437" s="141" t="s">
        <v>222</v>
      </c>
      <c r="I437" s="141" t="s">
        <v>222</v>
      </c>
      <c r="J437" s="141" t="s">
        <v>222</v>
      </c>
      <c r="K437" s="141" t="s">
        <v>222</v>
      </c>
      <c r="L437" s="141" t="s">
        <v>222</v>
      </c>
      <c r="M437" s="141" t="s">
        <v>222</v>
      </c>
      <c r="N437" s="141" t="s">
        <v>222</v>
      </c>
      <c r="O437" s="141" t="s">
        <v>222</v>
      </c>
      <c r="P437" s="141" t="s">
        <v>222</v>
      </c>
      <c r="Q437" s="141" t="s">
        <v>222</v>
      </c>
      <c r="R437" s="141" t="s">
        <v>222</v>
      </c>
      <c r="S437" s="141" t="s">
        <v>222</v>
      </c>
      <c r="T437" s="141" t="s">
        <v>222</v>
      </c>
      <c r="U437" s="141" t="s">
        <v>222</v>
      </c>
      <c r="V437" s="141" t="s">
        <v>222</v>
      </c>
      <c r="W437" s="141"/>
      <c r="X437" s="141"/>
      <c r="Y437" s="141"/>
      <c r="Z437" s="141"/>
    </row>
    <row r="438">
      <c r="A438" s="141"/>
      <c r="B438" s="141" t="s">
        <v>222</v>
      </c>
      <c r="C438" s="141" t="s">
        <v>222</v>
      </c>
      <c r="D438" s="141" t="s">
        <v>222</v>
      </c>
      <c r="E438" s="141" t="s">
        <v>222</v>
      </c>
      <c r="F438" s="141" t="s">
        <v>222</v>
      </c>
      <c r="G438" s="141" t="s">
        <v>222</v>
      </c>
      <c r="H438" s="141" t="s">
        <v>222</v>
      </c>
      <c r="I438" s="141" t="s">
        <v>222</v>
      </c>
      <c r="J438" s="141" t="s">
        <v>222</v>
      </c>
      <c r="K438" s="141" t="s">
        <v>222</v>
      </c>
      <c r="L438" s="141" t="s">
        <v>222</v>
      </c>
      <c r="M438" s="141" t="s">
        <v>222</v>
      </c>
      <c r="N438" s="141" t="s">
        <v>222</v>
      </c>
      <c r="O438" s="141" t="s">
        <v>222</v>
      </c>
      <c r="P438" s="141" t="s">
        <v>222</v>
      </c>
      <c r="Q438" s="141" t="s">
        <v>222</v>
      </c>
      <c r="R438" s="141" t="s">
        <v>222</v>
      </c>
      <c r="S438" s="141" t="s">
        <v>222</v>
      </c>
      <c r="T438" s="141" t="s">
        <v>222</v>
      </c>
      <c r="U438" s="141" t="s">
        <v>222</v>
      </c>
      <c r="V438" s="141" t="s">
        <v>222</v>
      </c>
      <c r="W438" s="141"/>
      <c r="X438" s="141"/>
      <c r="Y438" s="141"/>
      <c r="Z438" s="141"/>
    </row>
    <row r="439">
      <c r="A439" s="141"/>
      <c r="B439" s="141" t="s">
        <v>222</v>
      </c>
      <c r="C439" s="141" t="s">
        <v>222</v>
      </c>
      <c r="D439" s="141" t="s">
        <v>222</v>
      </c>
      <c r="E439" s="141" t="s">
        <v>222</v>
      </c>
      <c r="F439" s="141" t="s">
        <v>222</v>
      </c>
      <c r="G439" s="141" t="s">
        <v>222</v>
      </c>
      <c r="H439" s="141" t="s">
        <v>222</v>
      </c>
      <c r="I439" s="141" t="s">
        <v>222</v>
      </c>
      <c r="J439" s="141" t="s">
        <v>222</v>
      </c>
      <c r="K439" s="141" t="s">
        <v>222</v>
      </c>
      <c r="L439" s="141" t="s">
        <v>222</v>
      </c>
      <c r="M439" s="141" t="s">
        <v>222</v>
      </c>
      <c r="N439" s="141" t="s">
        <v>222</v>
      </c>
      <c r="O439" s="141" t="s">
        <v>222</v>
      </c>
      <c r="P439" s="141" t="s">
        <v>222</v>
      </c>
      <c r="Q439" s="141" t="s">
        <v>222</v>
      </c>
      <c r="R439" s="141" t="s">
        <v>222</v>
      </c>
      <c r="S439" s="141" t="s">
        <v>222</v>
      </c>
      <c r="T439" s="141" t="s">
        <v>222</v>
      </c>
      <c r="U439" s="141" t="s">
        <v>222</v>
      </c>
      <c r="V439" s="141" t="s">
        <v>222</v>
      </c>
      <c r="W439" s="141"/>
      <c r="X439" s="141"/>
      <c r="Y439" s="141"/>
      <c r="Z439" s="141"/>
    </row>
    <row r="440">
      <c r="A440" s="141"/>
      <c r="B440" s="141" t="s">
        <v>222</v>
      </c>
      <c r="C440" s="141" t="s">
        <v>222</v>
      </c>
      <c r="D440" s="141" t="s">
        <v>222</v>
      </c>
      <c r="E440" s="141" t="s">
        <v>222</v>
      </c>
      <c r="F440" s="141" t="s">
        <v>222</v>
      </c>
      <c r="G440" s="141" t="s">
        <v>222</v>
      </c>
      <c r="H440" s="141" t="s">
        <v>222</v>
      </c>
      <c r="I440" s="141" t="s">
        <v>222</v>
      </c>
      <c r="J440" s="141" t="s">
        <v>222</v>
      </c>
      <c r="K440" s="141" t="s">
        <v>222</v>
      </c>
      <c r="L440" s="141" t="s">
        <v>222</v>
      </c>
      <c r="M440" s="141" t="s">
        <v>222</v>
      </c>
      <c r="N440" s="141" t="s">
        <v>222</v>
      </c>
      <c r="O440" s="141" t="s">
        <v>222</v>
      </c>
      <c r="P440" s="141" t="s">
        <v>222</v>
      </c>
      <c r="Q440" s="141" t="s">
        <v>222</v>
      </c>
      <c r="R440" s="141" t="s">
        <v>222</v>
      </c>
      <c r="S440" s="141" t="s">
        <v>222</v>
      </c>
      <c r="T440" s="141" t="s">
        <v>222</v>
      </c>
      <c r="U440" s="141" t="s">
        <v>222</v>
      </c>
      <c r="V440" s="141" t="s">
        <v>222</v>
      </c>
      <c r="W440" s="141"/>
      <c r="X440" s="141"/>
      <c r="Y440" s="141"/>
      <c r="Z440" s="141"/>
    </row>
    <row r="441">
      <c r="A441" s="141"/>
      <c r="B441" s="141" t="s">
        <v>222</v>
      </c>
      <c r="C441" s="141" t="s">
        <v>222</v>
      </c>
      <c r="D441" s="141" t="s">
        <v>222</v>
      </c>
      <c r="E441" s="141" t="s">
        <v>222</v>
      </c>
      <c r="F441" s="141" t="s">
        <v>222</v>
      </c>
      <c r="G441" s="141" t="s">
        <v>222</v>
      </c>
      <c r="H441" s="141" t="s">
        <v>222</v>
      </c>
      <c r="I441" s="141" t="s">
        <v>222</v>
      </c>
      <c r="J441" s="141" t="s">
        <v>222</v>
      </c>
      <c r="K441" s="141" t="s">
        <v>222</v>
      </c>
      <c r="L441" s="141" t="s">
        <v>222</v>
      </c>
      <c r="M441" s="141" t="s">
        <v>222</v>
      </c>
      <c r="N441" s="141" t="s">
        <v>222</v>
      </c>
      <c r="O441" s="141" t="s">
        <v>222</v>
      </c>
      <c r="P441" s="141" t="s">
        <v>222</v>
      </c>
      <c r="Q441" s="141" t="s">
        <v>222</v>
      </c>
      <c r="R441" s="141" t="s">
        <v>222</v>
      </c>
      <c r="S441" s="141" t="s">
        <v>222</v>
      </c>
      <c r="T441" s="141" t="s">
        <v>222</v>
      </c>
      <c r="U441" s="141" t="s">
        <v>222</v>
      </c>
      <c r="V441" s="141" t="s">
        <v>222</v>
      </c>
      <c r="W441" s="141"/>
      <c r="X441" s="141"/>
      <c r="Y441" s="141"/>
      <c r="Z441" s="141"/>
    </row>
    <row r="442">
      <c r="A442" s="141"/>
      <c r="B442" s="141" t="s">
        <v>222</v>
      </c>
      <c r="C442" s="141" t="s">
        <v>222</v>
      </c>
      <c r="D442" s="141" t="s">
        <v>222</v>
      </c>
      <c r="E442" s="141" t="s">
        <v>222</v>
      </c>
      <c r="F442" s="141" t="s">
        <v>222</v>
      </c>
      <c r="G442" s="141" t="s">
        <v>222</v>
      </c>
      <c r="H442" s="141" t="s">
        <v>222</v>
      </c>
      <c r="I442" s="141" t="s">
        <v>222</v>
      </c>
      <c r="J442" s="141" t="s">
        <v>222</v>
      </c>
      <c r="K442" s="141" t="s">
        <v>222</v>
      </c>
      <c r="L442" s="141" t="s">
        <v>222</v>
      </c>
      <c r="M442" s="141" t="s">
        <v>222</v>
      </c>
      <c r="N442" s="141" t="s">
        <v>222</v>
      </c>
      <c r="O442" s="141" t="s">
        <v>222</v>
      </c>
      <c r="P442" s="141" t="s">
        <v>222</v>
      </c>
      <c r="Q442" s="141" t="s">
        <v>222</v>
      </c>
      <c r="R442" s="141" t="s">
        <v>222</v>
      </c>
      <c r="S442" s="141" t="s">
        <v>222</v>
      </c>
      <c r="T442" s="141" t="s">
        <v>222</v>
      </c>
      <c r="U442" s="141" t="s">
        <v>222</v>
      </c>
      <c r="V442" s="141" t="s">
        <v>222</v>
      </c>
      <c r="W442" s="141"/>
      <c r="X442" s="141"/>
      <c r="Y442" s="141"/>
      <c r="Z442" s="141"/>
    </row>
    <row r="443">
      <c r="A443" s="141"/>
      <c r="B443" s="141" t="s">
        <v>222</v>
      </c>
      <c r="C443" s="141" t="s">
        <v>222</v>
      </c>
      <c r="D443" s="141" t="s">
        <v>222</v>
      </c>
      <c r="E443" s="141" t="s">
        <v>222</v>
      </c>
      <c r="F443" s="141" t="s">
        <v>222</v>
      </c>
      <c r="G443" s="141" t="s">
        <v>222</v>
      </c>
      <c r="H443" s="141" t="s">
        <v>222</v>
      </c>
      <c r="I443" s="141" t="s">
        <v>222</v>
      </c>
      <c r="J443" s="141" t="s">
        <v>222</v>
      </c>
      <c r="K443" s="141" t="s">
        <v>222</v>
      </c>
      <c r="L443" s="141" t="s">
        <v>222</v>
      </c>
      <c r="M443" s="141" t="s">
        <v>222</v>
      </c>
      <c r="N443" s="141" t="s">
        <v>222</v>
      </c>
      <c r="O443" s="141" t="s">
        <v>222</v>
      </c>
      <c r="P443" s="141" t="s">
        <v>222</v>
      </c>
      <c r="Q443" s="141" t="s">
        <v>222</v>
      </c>
      <c r="R443" s="141" t="s">
        <v>222</v>
      </c>
      <c r="S443" s="141" t="s">
        <v>222</v>
      </c>
      <c r="T443" s="141" t="s">
        <v>222</v>
      </c>
      <c r="U443" s="141" t="s">
        <v>222</v>
      </c>
      <c r="V443" s="141" t="s">
        <v>222</v>
      </c>
      <c r="W443" s="141"/>
      <c r="X443" s="141"/>
      <c r="Y443" s="141"/>
      <c r="Z443" s="141"/>
    </row>
    <row r="444">
      <c r="A444" s="141"/>
      <c r="B444" s="141" t="s">
        <v>222</v>
      </c>
      <c r="C444" s="141" t="s">
        <v>222</v>
      </c>
      <c r="D444" s="141" t="s">
        <v>222</v>
      </c>
      <c r="E444" s="141" t="s">
        <v>222</v>
      </c>
      <c r="F444" s="141" t="s">
        <v>222</v>
      </c>
      <c r="G444" s="141" t="s">
        <v>222</v>
      </c>
      <c r="H444" s="141" t="s">
        <v>222</v>
      </c>
      <c r="I444" s="141" t="s">
        <v>222</v>
      </c>
      <c r="J444" s="141" t="s">
        <v>222</v>
      </c>
      <c r="K444" s="141" t="s">
        <v>222</v>
      </c>
      <c r="L444" s="141" t="s">
        <v>222</v>
      </c>
      <c r="M444" s="141" t="s">
        <v>222</v>
      </c>
      <c r="N444" s="141" t="s">
        <v>222</v>
      </c>
      <c r="O444" s="141" t="s">
        <v>222</v>
      </c>
      <c r="P444" s="141" t="s">
        <v>222</v>
      </c>
      <c r="Q444" s="141" t="s">
        <v>222</v>
      </c>
      <c r="R444" s="141" t="s">
        <v>222</v>
      </c>
      <c r="S444" s="141" t="s">
        <v>222</v>
      </c>
      <c r="T444" s="141" t="s">
        <v>222</v>
      </c>
      <c r="U444" s="141" t="s">
        <v>222</v>
      </c>
      <c r="V444" s="141" t="s">
        <v>222</v>
      </c>
      <c r="W444" s="141"/>
      <c r="X444" s="141"/>
      <c r="Y444" s="141"/>
      <c r="Z444" s="141"/>
    </row>
    <row r="445">
      <c r="A445" s="141"/>
      <c r="B445" s="141" t="s">
        <v>222</v>
      </c>
      <c r="C445" s="141" t="s">
        <v>222</v>
      </c>
      <c r="D445" s="141" t="s">
        <v>222</v>
      </c>
      <c r="E445" s="141" t="s">
        <v>222</v>
      </c>
      <c r="F445" s="141" t="s">
        <v>222</v>
      </c>
      <c r="G445" s="141" t="s">
        <v>222</v>
      </c>
      <c r="H445" s="141" t="s">
        <v>222</v>
      </c>
      <c r="I445" s="141" t="s">
        <v>222</v>
      </c>
      <c r="J445" s="141" t="s">
        <v>222</v>
      </c>
      <c r="K445" s="141" t="s">
        <v>222</v>
      </c>
      <c r="L445" s="141" t="s">
        <v>222</v>
      </c>
      <c r="M445" s="141" t="s">
        <v>222</v>
      </c>
      <c r="N445" s="141" t="s">
        <v>222</v>
      </c>
      <c r="O445" s="141" t="s">
        <v>222</v>
      </c>
      <c r="P445" s="141" t="s">
        <v>222</v>
      </c>
      <c r="Q445" s="141" t="s">
        <v>222</v>
      </c>
      <c r="R445" s="141" t="s">
        <v>222</v>
      </c>
      <c r="S445" s="141" t="s">
        <v>222</v>
      </c>
      <c r="T445" s="141" t="s">
        <v>222</v>
      </c>
      <c r="U445" s="141" t="s">
        <v>222</v>
      </c>
      <c r="V445" s="141" t="s">
        <v>222</v>
      </c>
      <c r="W445" s="141"/>
      <c r="X445" s="141"/>
      <c r="Y445" s="141"/>
      <c r="Z445" s="141"/>
    </row>
    <row r="446">
      <c r="A446" s="141"/>
      <c r="B446" s="141" t="s">
        <v>222</v>
      </c>
      <c r="C446" s="141" t="s">
        <v>222</v>
      </c>
      <c r="D446" s="141" t="s">
        <v>222</v>
      </c>
      <c r="E446" s="141" t="s">
        <v>222</v>
      </c>
      <c r="F446" s="141" t="s">
        <v>222</v>
      </c>
      <c r="G446" s="141" t="s">
        <v>222</v>
      </c>
      <c r="H446" s="141" t="s">
        <v>222</v>
      </c>
      <c r="I446" s="141" t="s">
        <v>222</v>
      </c>
      <c r="J446" s="141" t="s">
        <v>222</v>
      </c>
      <c r="K446" s="141" t="s">
        <v>222</v>
      </c>
      <c r="L446" s="141" t="s">
        <v>222</v>
      </c>
      <c r="M446" s="141" t="s">
        <v>222</v>
      </c>
      <c r="N446" s="141" t="s">
        <v>222</v>
      </c>
      <c r="O446" s="141" t="s">
        <v>222</v>
      </c>
      <c r="P446" s="141" t="s">
        <v>222</v>
      </c>
      <c r="Q446" s="141" t="s">
        <v>222</v>
      </c>
      <c r="R446" s="141" t="s">
        <v>222</v>
      </c>
      <c r="S446" s="141" t="s">
        <v>222</v>
      </c>
      <c r="T446" s="141" t="s">
        <v>222</v>
      </c>
      <c r="U446" s="141" t="s">
        <v>222</v>
      </c>
      <c r="V446" s="141" t="s">
        <v>222</v>
      </c>
      <c r="W446" s="141"/>
      <c r="X446" s="141"/>
      <c r="Y446" s="141"/>
      <c r="Z446" s="141"/>
    </row>
    <row r="447">
      <c r="A447" s="141"/>
      <c r="B447" s="141" t="s">
        <v>222</v>
      </c>
      <c r="C447" s="141" t="s">
        <v>222</v>
      </c>
      <c r="D447" s="141" t="s">
        <v>222</v>
      </c>
      <c r="E447" s="141" t="s">
        <v>222</v>
      </c>
      <c r="F447" s="141" t="s">
        <v>222</v>
      </c>
      <c r="G447" s="141" t="s">
        <v>222</v>
      </c>
      <c r="H447" s="141" t="s">
        <v>222</v>
      </c>
      <c r="I447" s="141" t="s">
        <v>222</v>
      </c>
      <c r="J447" s="141" t="s">
        <v>222</v>
      </c>
      <c r="K447" s="141" t="s">
        <v>222</v>
      </c>
      <c r="L447" s="141" t="s">
        <v>222</v>
      </c>
      <c r="M447" s="141" t="s">
        <v>222</v>
      </c>
      <c r="N447" s="141" t="s">
        <v>222</v>
      </c>
      <c r="O447" s="141" t="s">
        <v>222</v>
      </c>
      <c r="P447" s="141" t="s">
        <v>222</v>
      </c>
      <c r="Q447" s="141" t="s">
        <v>222</v>
      </c>
      <c r="R447" s="141" t="s">
        <v>222</v>
      </c>
      <c r="S447" s="141" t="s">
        <v>222</v>
      </c>
      <c r="T447" s="141" t="s">
        <v>222</v>
      </c>
      <c r="U447" s="141" t="s">
        <v>222</v>
      </c>
      <c r="V447" s="141" t="s">
        <v>222</v>
      </c>
      <c r="W447" s="141"/>
      <c r="X447" s="141"/>
      <c r="Y447" s="141"/>
      <c r="Z447" s="141"/>
    </row>
    <row r="448">
      <c r="A448" s="141"/>
      <c r="B448" s="141" t="s">
        <v>222</v>
      </c>
      <c r="C448" s="141" t="s">
        <v>222</v>
      </c>
      <c r="D448" s="141" t="s">
        <v>222</v>
      </c>
      <c r="E448" s="141" t="s">
        <v>222</v>
      </c>
      <c r="F448" s="141" t="s">
        <v>222</v>
      </c>
      <c r="G448" s="141" t="s">
        <v>222</v>
      </c>
      <c r="H448" s="141" t="s">
        <v>222</v>
      </c>
      <c r="I448" s="141" t="s">
        <v>222</v>
      </c>
      <c r="J448" s="141" t="s">
        <v>222</v>
      </c>
      <c r="K448" s="141" t="s">
        <v>222</v>
      </c>
      <c r="L448" s="141" t="s">
        <v>222</v>
      </c>
      <c r="M448" s="141" t="s">
        <v>222</v>
      </c>
      <c r="N448" s="141" t="s">
        <v>222</v>
      </c>
      <c r="O448" s="141" t="s">
        <v>222</v>
      </c>
      <c r="P448" s="141" t="s">
        <v>222</v>
      </c>
      <c r="Q448" s="141" t="s">
        <v>222</v>
      </c>
      <c r="R448" s="141" t="s">
        <v>222</v>
      </c>
      <c r="S448" s="141" t="s">
        <v>222</v>
      </c>
      <c r="T448" s="141" t="s">
        <v>222</v>
      </c>
      <c r="U448" s="141" t="s">
        <v>222</v>
      </c>
      <c r="V448" s="141" t="s">
        <v>222</v>
      </c>
      <c r="W448" s="141"/>
      <c r="X448" s="141"/>
      <c r="Y448" s="141"/>
      <c r="Z448" s="141"/>
    </row>
    <row r="449">
      <c r="A449" s="141"/>
      <c r="B449" s="141" t="s">
        <v>222</v>
      </c>
      <c r="C449" s="141" t="s">
        <v>222</v>
      </c>
      <c r="D449" s="141" t="s">
        <v>222</v>
      </c>
      <c r="E449" s="141" t="s">
        <v>222</v>
      </c>
      <c r="F449" s="141" t="s">
        <v>222</v>
      </c>
      <c r="G449" s="141" t="s">
        <v>222</v>
      </c>
      <c r="H449" s="141" t="s">
        <v>222</v>
      </c>
      <c r="I449" s="141" t="s">
        <v>222</v>
      </c>
      <c r="J449" s="141" t="s">
        <v>222</v>
      </c>
      <c r="K449" s="141" t="s">
        <v>222</v>
      </c>
      <c r="L449" s="141" t="s">
        <v>222</v>
      </c>
      <c r="M449" s="141" t="s">
        <v>222</v>
      </c>
      <c r="N449" s="141" t="s">
        <v>222</v>
      </c>
      <c r="O449" s="141" t="s">
        <v>222</v>
      </c>
      <c r="P449" s="141" t="s">
        <v>222</v>
      </c>
      <c r="Q449" s="141" t="s">
        <v>222</v>
      </c>
      <c r="R449" s="141" t="s">
        <v>222</v>
      </c>
      <c r="S449" s="141" t="s">
        <v>222</v>
      </c>
      <c r="T449" s="141" t="s">
        <v>222</v>
      </c>
      <c r="U449" s="141" t="s">
        <v>222</v>
      </c>
      <c r="V449" s="141" t="s">
        <v>222</v>
      </c>
      <c r="W449" s="141"/>
      <c r="X449" s="141"/>
      <c r="Y449" s="141"/>
      <c r="Z449" s="141"/>
    </row>
    <row r="450">
      <c r="A450" s="141"/>
      <c r="B450" s="141" t="s">
        <v>222</v>
      </c>
      <c r="C450" s="141" t="s">
        <v>222</v>
      </c>
      <c r="D450" s="141" t="s">
        <v>222</v>
      </c>
      <c r="E450" s="141" t="s">
        <v>222</v>
      </c>
      <c r="F450" s="141" t="s">
        <v>222</v>
      </c>
      <c r="G450" s="141" t="s">
        <v>222</v>
      </c>
      <c r="H450" s="141" t="s">
        <v>222</v>
      </c>
      <c r="I450" s="141" t="s">
        <v>222</v>
      </c>
      <c r="J450" s="141" t="s">
        <v>222</v>
      </c>
      <c r="K450" s="141" t="s">
        <v>222</v>
      </c>
      <c r="L450" s="141" t="s">
        <v>222</v>
      </c>
      <c r="M450" s="141" t="s">
        <v>222</v>
      </c>
      <c r="N450" s="141" t="s">
        <v>222</v>
      </c>
      <c r="O450" s="141" t="s">
        <v>222</v>
      </c>
      <c r="P450" s="141" t="s">
        <v>222</v>
      </c>
      <c r="Q450" s="141" t="s">
        <v>222</v>
      </c>
      <c r="R450" s="141" t="s">
        <v>222</v>
      </c>
      <c r="S450" s="141" t="s">
        <v>222</v>
      </c>
      <c r="T450" s="141" t="s">
        <v>222</v>
      </c>
      <c r="U450" s="141" t="s">
        <v>222</v>
      </c>
      <c r="V450" s="141" t="s">
        <v>222</v>
      </c>
      <c r="W450" s="141"/>
      <c r="X450" s="141"/>
      <c r="Y450" s="141"/>
      <c r="Z450" s="141"/>
    </row>
    <row r="451">
      <c r="A451" s="141"/>
      <c r="B451" s="141" t="s">
        <v>222</v>
      </c>
      <c r="C451" s="141" t="s">
        <v>222</v>
      </c>
      <c r="D451" s="141" t="s">
        <v>222</v>
      </c>
      <c r="E451" s="141" t="s">
        <v>222</v>
      </c>
      <c r="F451" s="141" t="s">
        <v>222</v>
      </c>
      <c r="G451" s="141" t="s">
        <v>222</v>
      </c>
      <c r="H451" s="141" t="s">
        <v>222</v>
      </c>
      <c r="I451" s="141" t="s">
        <v>222</v>
      </c>
      <c r="J451" s="141" t="s">
        <v>222</v>
      </c>
      <c r="K451" s="141" t="s">
        <v>222</v>
      </c>
      <c r="L451" s="141" t="s">
        <v>222</v>
      </c>
      <c r="M451" s="141" t="s">
        <v>222</v>
      </c>
      <c r="N451" s="141" t="s">
        <v>222</v>
      </c>
      <c r="O451" s="141" t="s">
        <v>222</v>
      </c>
      <c r="P451" s="141" t="s">
        <v>222</v>
      </c>
      <c r="Q451" s="141" t="s">
        <v>222</v>
      </c>
      <c r="R451" s="141" t="s">
        <v>222</v>
      </c>
      <c r="S451" s="141" t="s">
        <v>222</v>
      </c>
      <c r="T451" s="141" t="s">
        <v>222</v>
      </c>
      <c r="U451" s="141" t="s">
        <v>222</v>
      </c>
      <c r="V451" s="141" t="s">
        <v>222</v>
      </c>
      <c r="W451" s="141"/>
      <c r="X451" s="141"/>
      <c r="Y451" s="141"/>
      <c r="Z451" s="141"/>
    </row>
    <row r="452">
      <c r="A452" s="141"/>
      <c r="B452" s="141" t="s">
        <v>222</v>
      </c>
      <c r="C452" s="141" t="s">
        <v>222</v>
      </c>
      <c r="D452" s="141" t="s">
        <v>222</v>
      </c>
      <c r="E452" s="141" t="s">
        <v>222</v>
      </c>
      <c r="F452" s="141" t="s">
        <v>222</v>
      </c>
      <c r="G452" s="141" t="s">
        <v>222</v>
      </c>
      <c r="H452" s="141" t="s">
        <v>222</v>
      </c>
      <c r="I452" s="141" t="s">
        <v>222</v>
      </c>
      <c r="J452" s="141" t="s">
        <v>222</v>
      </c>
      <c r="K452" s="141" t="s">
        <v>222</v>
      </c>
      <c r="L452" s="141" t="s">
        <v>222</v>
      </c>
      <c r="M452" s="141" t="s">
        <v>222</v>
      </c>
      <c r="N452" s="141" t="s">
        <v>222</v>
      </c>
      <c r="O452" s="141" t="s">
        <v>222</v>
      </c>
      <c r="P452" s="141" t="s">
        <v>222</v>
      </c>
      <c r="Q452" s="141" t="s">
        <v>222</v>
      </c>
      <c r="R452" s="141" t="s">
        <v>222</v>
      </c>
      <c r="S452" s="141" t="s">
        <v>222</v>
      </c>
      <c r="T452" s="141" t="s">
        <v>222</v>
      </c>
      <c r="U452" s="141" t="s">
        <v>222</v>
      </c>
      <c r="V452" s="141" t="s">
        <v>222</v>
      </c>
      <c r="W452" s="141"/>
      <c r="X452" s="141"/>
      <c r="Y452" s="141"/>
      <c r="Z452" s="141"/>
    </row>
    <row r="453">
      <c r="A453" s="141"/>
      <c r="B453" s="141" t="s">
        <v>222</v>
      </c>
      <c r="C453" s="141" t="s">
        <v>222</v>
      </c>
      <c r="D453" s="141" t="s">
        <v>222</v>
      </c>
      <c r="E453" s="141" t="s">
        <v>222</v>
      </c>
      <c r="F453" s="141" t="s">
        <v>222</v>
      </c>
      <c r="G453" s="141" t="s">
        <v>222</v>
      </c>
      <c r="H453" s="141" t="s">
        <v>222</v>
      </c>
      <c r="I453" s="141" t="s">
        <v>222</v>
      </c>
      <c r="J453" s="141" t="s">
        <v>222</v>
      </c>
      <c r="K453" s="141" t="s">
        <v>222</v>
      </c>
      <c r="L453" s="141" t="s">
        <v>222</v>
      </c>
      <c r="M453" s="141" t="s">
        <v>222</v>
      </c>
      <c r="N453" s="141" t="s">
        <v>222</v>
      </c>
      <c r="O453" s="141" t="s">
        <v>222</v>
      </c>
      <c r="P453" s="141" t="s">
        <v>222</v>
      </c>
      <c r="Q453" s="141" t="s">
        <v>222</v>
      </c>
      <c r="R453" s="141" t="s">
        <v>222</v>
      </c>
      <c r="S453" s="141" t="s">
        <v>222</v>
      </c>
      <c r="T453" s="141" t="s">
        <v>222</v>
      </c>
      <c r="U453" s="141" t="s">
        <v>222</v>
      </c>
      <c r="V453" s="141" t="s">
        <v>222</v>
      </c>
      <c r="W453" s="141"/>
      <c r="X453" s="141"/>
      <c r="Y453" s="141"/>
      <c r="Z453" s="141"/>
    </row>
    <row r="454">
      <c r="A454" s="141"/>
      <c r="B454" s="141" t="s">
        <v>222</v>
      </c>
      <c r="C454" s="141" t="s">
        <v>222</v>
      </c>
      <c r="D454" s="141" t="s">
        <v>222</v>
      </c>
      <c r="E454" s="141" t="s">
        <v>222</v>
      </c>
      <c r="F454" s="141" t="s">
        <v>222</v>
      </c>
      <c r="G454" s="141" t="s">
        <v>222</v>
      </c>
      <c r="H454" s="141" t="s">
        <v>222</v>
      </c>
      <c r="I454" s="141" t="s">
        <v>222</v>
      </c>
      <c r="J454" s="141" t="s">
        <v>222</v>
      </c>
      <c r="K454" s="141" t="s">
        <v>222</v>
      </c>
      <c r="L454" s="141" t="s">
        <v>222</v>
      </c>
      <c r="M454" s="141" t="s">
        <v>222</v>
      </c>
      <c r="N454" s="141" t="s">
        <v>222</v>
      </c>
      <c r="O454" s="141" t="s">
        <v>222</v>
      </c>
      <c r="P454" s="141" t="s">
        <v>222</v>
      </c>
      <c r="Q454" s="141" t="s">
        <v>222</v>
      </c>
      <c r="R454" s="141" t="s">
        <v>222</v>
      </c>
      <c r="S454" s="141" t="s">
        <v>222</v>
      </c>
      <c r="T454" s="141" t="s">
        <v>222</v>
      </c>
      <c r="U454" s="141" t="s">
        <v>222</v>
      </c>
      <c r="V454" s="141" t="s">
        <v>222</v>
      </c>
      <c r="W454" s="141"/>
      <c r="X454" s="141"/>
      <c r="Y454" s="141"/>
      <c r="Z454" s="141"/>
    </row>
    <row r="455">
      <c r="A455" s="141"/>
      <c r="B455" s="141" t="s">
        <v>222</v>
      </c>
      <c r="C455" s="141" t="s">
        <v>222</v>
      </c>
      <c r="D455" s="141" t="s">
        <v>222</v>
      </c>
      <c r="E455" s="141" t="s">
        <v>222</v>
      </c>
      <c r="F455" s="141" t="s">
        <v>222</v>
      </c>
      <c r="G455" s="141" t="s">
        <v>222</v>
      </c>
      <c r="H455" s="141" t="s">
        <v>222</v>
      </c>
      <c r="I455" s="141" t="s">
        <v>222</v>
      </c>
      <c r="J455" s="141" t="s">
        <v>222</v>
      </c>
      <c r="K455" s="141" t="s">
        <v>222</v>
      </c>
      <c r="L455" s="141" t="s">
        <v>222</v>
      </c>
      <c r="M455" s="141" t="s">
        <v>222</v>
      </c>
      <c r="N455" s="141" t="s">
        <v>222</v>
      </c>
      <c r="O455" s="141" t="s">
        <v>222</v>
      </c>
      <c r="P455" s="141" t="s">
        <v>222</v>
      </c>
      <c r="Q455" s="141" t="s">
        <v>222</v>
      </c>
      <c r="R455" s="141" t="s">
        <v>222</v>
      </c>
      <c r="S455" s="141" t="s">
        <v>222</v>
      </c>
      <c r="T455" s="141" t="s">
        <v>222</v>
      </c>
      <c r="U455" s="141" t="s">
        <v>222</v>
      </c>
      <c r="V455" s="141" t="s">
        <v>222</v>
      </c>
      <c r="W455" s="141"/>
      <c r="X455" s="141"/>
      <c r="Y455" s="141"/>
      <c r="Z455" s="141"/>
    </row>
    <row r="456">
      <c r="A456" s="141"/>
      <c r="B456" s="141" t="s">
        <v>222</v>
      </c>
      <c r="C456" s="141" t="s">
        <v>222</v>
      </c>
      <c r="D456" s="141" t="s">
        <v>222</v>
      </c>
      <c r="E456" s="141" t="s">
        <v>222</v>
      </c>
      <c r="F456" s="141" t="s">
        <v>222</v>
      </c>
      <c r="G456" s="141" t="s">
        <v>222</v>
      </c>
      <c r="H456" s="141" t="s">
        <v>222</v>
      </c>
      <c r="I456" s="141" t="s">
        <v>222</v>
      </c>
      <c r="J456" s="141" t="s">
        <v>222</v>
      </c>
      <c r="K456" s="141" t="s">
        <v>222</v>
      </c>
      <c r="L456" s="141" t="s">
        <v>222</v>
      </c>
      <c r="M456" s="141" t="s">
        <v>222</v>
      </c>
      <c r="N456" s="141" t="s">
        <v>222</v>
      </c>
      <c r="O456" s="141" t="s">
        <v>222</v>
      </c>
      <c r="P456" s="141" t="s">
        <v>222</v>
      </c>
      <c r="Q456" s="141" t="s">
        <v>222</v>
      </c>
      <c r="R456" s="141" t="s">
        <v>222</v>
      </c>
      <c r="S456" s="141" t="s">
        <v>222</v>
      </c>
      <c r="T456" s="141" t="s">
        <v>222</v>
      </c>
      <c r="U456" s="141" t="s">
        <v>222</v>
      </c>
      <c r="V456" s="141" t="s">
        <v>222</v>
      </c>
      <c r="W456" s="141"/>
      <c r="X456" s="141"/>
      <c r="Y456" s="141"/>
      <c r="Z456" s="141"/>
    </row>
    <row r="457">
      <c r="A457" s="141"/>
      <c r="B457" s="141" t="s">
        <v>222</v>
      </c>
      <c r="C457" s="141" t="s">
        <v>222</v>
      </c>
      <c r="D457" s="141" t="s">
        <v>222</v>
      </c>
      <c r="E457" s="141" t="s">
        <v>222</v>
      </c>
      <c r="F457" s="141" t="s">
        <v>222</v>
      </c>
      <c r="G457" s="141" t="s">
        <v>222</v>
      </c>
      <c r="H457" s="141" t="s">
        <v>222</v>
      </c>
      <c r="I457" s="141" t="s">
        <v>222</v>
      </c>
      <c r="J457" s="141" t="s">
        <v>222</v>
      </c>
      <c r="K457" s="141" t="s">
        <v>222</v>
      </c>
      <c r="L457" s="141" t="s">
        <v>222</v>
      </c>
      <c r="M457" s="141" t="s">
        <v>222</v>
      </c>
      <c r="N457" s="141" t="s">
        <v>222</v>
      </c>
      <c r="O457" s="141" t="s">
        <v>222</v>
      </c>
      <c r="P457" s="141" t="s">
        <v>222</v>
      </c>
      <c r="Q457" s="141" t="s">
        <v>222</v>
      </c>
      <c r="R457" s="141" t="s">
        <v>222</v>
      </c>
      <c r="S457" s="141" t="s">
        <v>222</v>
      </c>
      <c r="T457" s="141" t="s">
        <v>222</v>
      </c>
      <c r="U457" s="141" t="s">
        <v>222</v>
      </c>
      <c r="V457" s="141" t="s">
        <v>222</v>
      </c>
      <c r="W457" s="141"/>
      <c r="X457" s="141"/>
      <c r="Y457" s="141"/>
      <c r="Z457" s="141"/>
    </row>
    <row r="458">
      <c r="A458" s="141"/>
      <c r="B458" s="141" t="s">
        <v>222</v>
      </c>
      <c r="C458" s="141" t="s">
        <v>222</v>
      </c>
      <c r="D458" s="141" t="s">
        <v>222</v>
      </c>
      <c r="E458" s="141" t="s">
        <v>222</v>
      </c>
      <c r="F458" s="141" t="s">
        <v>222</v>
      </c>
      <c r="G458" s="141" t="s">
        <v>222</v>
      </c>
      <c r="H458" s="141" t="s">
        <v>222</v>
      </c>
      <c r="I458" s="141" t="s">
        <v>222</v>
      </c>
      <c r="J458" s="141" t="s">
        <v>222</v>
      </c>
      <c r="K458" s="141" t="s">
        <v>222</v>
      </c>
      <c r="L458" s="141" t="s">
        <v>222</v>
      </c>
      <c r="M458" s="141" t="s">
        <v>222</v>
      </c>
      <c r="N458" s="141" t="s">
        <v>222</v>
      </c>
      <c r="O458" s="141" t="s">
        <v>222</v>
      </c>
      <c r="P458" s="141" t="s">
        <v>222</v>
      </c>
      <c r="Q458" s="141" t="s">
        <v>222</v>
      </c>
      <c r="R458" s="141" t="s">
        <v>222</v>
      </c>
      <c r="S458" s="141" t="s">
        <v>222</v>
      </c>
      <c r="T458" s="141" t="s">
        <v>222</v>
      </c>
      <c r="U458" s="141" t="s">
        <v>222</v>
      </c>
      <c r="V458" s="141" t="s">
        <v>222</v>
      </c>
      <c r="W458" s="141"/>
      <c r="X458" s="141"/>
      <c r="Y458" s="141"/>
      <c r="Z458" s="141"/>
    </row>
    <row r="459">
      <c r="A459" s="141"/>
      <c r="B459" s="141" t="s">
        <v>222</v>
      </c>
      <c r="C459" s="141" t="s">
        <v>222</v>
      </c>
      <c r="D459" s="141" t="s">
        <v>222</v>
      </c>
      <c r="E459" s="141" t="s">
        <v>222</v>
      </c>
      <c r="F459" s="141" t="s">
        <v>222</v>
      </c>
      <c r="G459" s="141" t="s">
        <v>222</v>
      </c>
      <c r="H459" s="141" t="s">
        <v>222</v>
      </c>
      <c r="I459" s="141" t="s">
        <v>222</v>
      </c>
      <c r="J459" s="141" t="s">
        <v>222</v>
      </c>
      <c r="K459" s="141" t="s">
        <v>222</v>
      </c>
      <c r="L459" s="141" t="s">
        <v>222</v>
      </c>
      <c r="M459" s="141" t="s">
        <v>222</v>
      </c>
      <c r="N459" s="141" t="s">
        <v>222</v>
      </c>
      <c r="O459" s="141" t="s">
        <v>222</v>
      </c>
      <c r="P459" s="141" t="s">
        <v>222</v>
      </c>
      <c r="Q459" s="141" t="s">
        <v>222</v>
      </c>
      <c r="R459" s="141" t="s">
        <v>222</v>
      </c>
      <c r="S459" s="141" t="s">
        <v>222</v>
      </c>
      <c r="T459" s="141" t="s">
        <v>222</v>
      </c>
      <c r="U459" s="141" t="s">
        <v>222</v>
      </c>
      <c r="V459" s="141" t="s">
        <v>222</v>
      </c>
      <c r="W459" s="141"/>
      <c r="X459" s="141"/>
      <c r="Y459" s="141"/>
      <c r="Z459" s="141"/>
    </row>
    <row r="460">
      <c r="A460" s="141"/>
      <c r="B460" s="141" t="s">
        <v>222</v>
      </c>
      <c r="C460" s="141" t="s">
        <v>222</v>
      </c>
      <c r="D460" s="141" t="s">
        <v>222</v>
      </c>
      <c r="E460" s="141" t="s">
        <v>222</v>
      </c>
      <c r="F460" s="141" t="s">
        <v>222</v>
      </c>
      <c r="G460" s="141" t="s">
        <v>222</v>
      </c>
      <c r="H460" s="141" t="s">
        <v>222</v>
      </c>
      <c r="I460" s="141" t="s">
        <v>222</v>
      </c>
      <c r="J460" s="141" t="s">
        <v>222</v>
      </c>
      <c r="K460" s="141" t="s">
        <v>222</v>
      </c>
      <c r="L460" s="141" t="s">
        <v>222</v>
      </c>
      <c r="M460" s="141" t="s">
        <v>222</v>
      </c>
      <c r="N460" s="141" t="s">
        <v>222</v>
      </c>
      <c r="O460" s="141" t="s">
        <v>222</v>
      </c>
      <c r="P460" s="141" t="s">
        <v>222</v>
      </c>
      <c r="Q460" s="141" t="s">
        <v>222</v>
      </c>
      <c r="R460" s="141" t="s">
        <v>222</v>
      </c>
      <c r="S460" s="141" t="s">
        <v>222</v>
      </c>
      <c r="T460" s="141" t="s">
        <v>222</v>
      </c>
      <c r="U460" s="141" t="s">
        <v>222</v>
      </c>
      <c r="V460" s="141" t="s">
        <v>222</v>
      </c>
      <c r="W460" s="141"/>
      <c r="X460" s="141"/>
      <c r="Y460" s="141"/>
      <c r="Z460" s="141"/>
    </row>
    <row r="461">
      <c r="A461" s="141"/>
      <c r="B461" s="141" t="s">
        <v>222</v>
      </c>
      <c r="C461" s="141" t="s">
        <v>222</v>
      </c>
      <c r="D461" s="141" t="s">
        <v>222</v>
      </c>
      <c r="E461" s="141" t="s">
        <v>222</v>
      </c>
      <c r="F461" s="141" t="s">
        <v>222</v>
      </c>
      <c r="G461" s="141" t="s">
        <v>222</v>
      </c>
      <c r="H461" s="141" t="s">
        <v>222</v>
      </c>
      <c r="I461" s="141" t="s">
        <v>222</v>
      </c>
      <c r="J461" s="141" t="s">
        <v>222</v>
      </c>
      <c r="K461" s="141" t="s">
        <v>222</v>
      </c>
      <c r="L461" s="141" t="s">
        <v>222</v>
      </c>
      <c r="M461" s="141" t="s">
        <v>222</v>
      </c>
      <c r="N461" s="141" t="s">
        <v>222</v>
      </c>
      <c r="O461" s="141" t="s">
        <v>222</v>
      </c>
      <c r="P461" s="141" t="s">
        <v>222</v>
      </c>
      <c r="Q461" s="141" t="s">
        <v>222</v>
      </c>
      <c r="R461" s="141" t="s">
        <v>222</v>
      </c>
      <c r="S461" s="141" t="s">
        <v>222</v>
      </c>
      <c r="T461" s="141" t="s">
        <v>222</v>
      </c>
      <c r="U461" s="141" t="s">
        <v>222</v>
      </c>
      <c r="V461" s="141" t="s">
        <v>222</v>
      </c>
      <c r="W461" s="141"/>
      <c r="X461" s="141"/>
      <c r="Y461" s="141"/>
      <c r="Z461" s="141"/>
    </row>
    <row r="462">
      <c r="A462" s="141"/>
      <c r="B462" s="141" t="s">
        <v>222</v>
      </c>
      <c r="C462" s="141" t="s">
        <v>222</v>
      </c>
      <c r="D462" s="141" t="s">
        <v>222</v>
      </c>
      <c r="E462" s="141" t="s">
        <v>222</v>
      </c>
      <c r="F462" s="141" t="s">
        <v>222</v>
      </c>
      <c r="G462" s="141" t="s">
        <v>222</v>
      </c>
      <c r="H462" s="141" t="s">
        <v>222</v>
      </c>
      <c r="I462" s="141" t="s">
        <v>222</v>
      </c>
      <c r="J462" s="141" t="s">
        <v>222</v>
      </c>
      <c r="K462" s="141" t="s">
        <v>222</v>
      </c>
      <c r="L462" s="141" t="s">
        <v>222</v>
      </c>
      <c r="M462" s="141" t="s">
        <v>222</v>
      </c>
      <c r="N462" s="141" t="s">
        <v>222</v>
      </c>
      <c r="O462" s="141" t="s">
        <v>222</v>
      </c>
      <c r="P462" s="141" t="s">
        <v>222</v>
      </c>
      <c r="Q462" s="141" t="s">
        <v>222</v>
      </c>
      <c r="R462" s="141" t="s">
        <v>222</v>
      </c>
      <c r="S462" s="141" t="s">
        <v>222</v>
      </c>
      <c r="T462" s="141" t="s">
        <v>222</v>
      </c>
      <c r="U462" s="141" t="s">
        <v>222</v>
      </c>
      <c r="V462" s="141" t="s">
        <v>222</v>
      </c>
      <c r="W462" s="141"/>
      <c r="X462" s="141"/>
      <c r="Y462" s="141"/>
      <c r="Z462" s="141"/>
    </row>
    <row r="463">
      <c r="A463" s="141"/>
      <c r="B463" s="141" t="s">
        <v>222</v>
      </c>
      <c r="C463" s="141" t="s">
        <v>222</v>
      </c>
      <c r="D463" s="141" t="s">
        <v>222</v>
      </c>
      <c r="E463" s="141" t="s">
        <v>222</v>
      </c>
      <c r="F463" s="141" t="s">
        <v>222</v>
      </c>
      <c r="G463" s="141" t="s">
        <v>222</v>
      </c>
      <c r="H463" s="141" t="s">
        <v>222</v>
      </c>
      <c r="I463" s="141" t="s">
        <v>222</v>
      </c>
      <c r="J463" s="141" t="s">
        <v>222</v>
      </c>
      <c r="K463" s="141" t="s">
        <v>222</v>
      </c>
      <c r="L463" s="141" t="s">
        <v>222</v>
      </c>
      <c r="M463" s="141" t="s">
        <v>222</v>
      </c>
      <c r="N463" s="141" t="s">
        <v>222</v>
      </c>
      <c r="O463" s="141" t="s">
        <v>222</v>
      </c>
      <c r="P463" s="141" t="s">
        <v>222</v>
      </c>
      <c r="Q463" s="141" t="s">
        <v>222</v>
      </c>
      <c r="R463" s="141" t="s">
        <v>222</v>
      </c>
      <c r="S463" s="141" t="s">
        <v>222</v>
      </c>
      <c r="T463" s="141" t="s">
        <v>222</v>
      </c>
      <c r="U463" s="141" t="s">
        <v>222</v>
      </c>
      <c r="V463" s="141" t="s">
        <v>222</v>
      </c>
      <c r="W463" s="141"/>
      <c r="X463" s="141"/>
      <c r="Y463" s="141"/>
      <c r="Z463" s="141"/>
    </row>
    <row r="464">
      <c r="A464" s="141"/>
      <c r="B464" s="141" t="s">
        <v>222</v>
      </c>
      <c r="C464" s="141" t="s">
        <v>222</v>
      </c>
      <c r="D464" s="141" t="s">
        <v>222</v>
      </c>
      <c r="E464" s="141" t="s">
        <v>222</v>
      </c>
      <c r="F464" s="141" t="s">
        <v>222</v>
      </c>
      <c r="G464" s="141" t="s">
        <v>222</v>
      </c>
      <c r="H464" s="141" t="s">
        <v>222</v>
      </c>
      <c r="I464" s="141" t="s">
        <v>222</v>
      </c>
      <c r="J464" s="141" t="s">
        <v>222</v>
      </c>
      <c r="K464" s="141" t="s">
        <v>222</v>
      </c>
      <c r="L464" s="141" t="s">
        <v>222</v>
      </c>
      <c r="M464" s="141" t="s">
        <v>222</v>
      </c>
      <c r="N464" s="141" t="s">
        <v>222</v>
      </c>
      <c r="O464" s="141" t="s">
        <v>222</v>
      </c>
      <c r="P464" s="141" t="s">
        <v>222</v>
      </c>
      <c r="Q464" s="141" t="s">
        <v>222</v>
      </c>
      <c r="R464" s="141" t="s">
        <v>222</v>
      </c>
      <c r="S464" s="141" t="s">
        <v>222</v>
      </c>
      <c r="T464" s="141" t="s">
        <v>222</v>
      </c>
      <c r="U464" s="141" t="s">
        <v>222</v>
      </c>
      <c r="V464" s="141" t="s">
        <v>222</v>
      </c>
      <c r="W464" s="141"/>
      <c r="X464" s="141"/>
      <c r="Y464" s="141"/>
      <c r="Z464" s="141"/>
    </row>
    <row r="465">
      <c r="A465" s="141"/>
      <c r="B465" s="141" t="s">
        <v>222</v>
      </c>
      <c r="C465" s="141" t="s">
        <v>222</v>
      </c>
      <c r="D465" s="141" t="s">
        <v>222</v>
      </c>
      <c r="E465" s="141" t="s">
        <v>222</v>
      </c>
      <c r="F465" s="141" t="s">
        <v>222</v>
      </c>
      <c r="G465" s="141" t="s">
        <v>222</v>
      </c>
      <c r="H465" s="141" t="s">
        <v>222</v>
      </c>
      <c r="I465" s="141" t="s">
        <v>222</v>
      </c>
      <c r="J465" s="141" t="s">
        <v>222</v>
      </c>
      <c r="K465" s="141" t="s">
        <v>222</v>
      </c>
      <c r="L465" s="141" t="s">
        <v>222</v>
      </c>
      <c r="M465" s="141" t="s">
        <v>222</v>
      </c>
      <c r="N465" s="141" t="s">
        <v>222</v>
      </c>
      <c r="O465" s="141" t="s">
        <v>222</v>
      </c>
      <c r="P465" s="141" t="s">
        <v>222</v>
      </c>
      <c r="Q465" s="141" t="s">
        <v>222</v>
      </c>
      <c r="R465" s="141" t="s">
        <v>222</v>
      </c>
      <c r="S465" s="141" t="s">
        <v>222</v>
      </c>
      <c r="T465" s="141" t="s">
        <v>222</v>
      </c>
      <c r="U465" s="141" t="s">
        <v>222</v>
      </c>
      <c r="V465" s="141" t="s">
        <v>222</v>
      </c>
      <c r="W465" s="141"/>
      <c r="X465" s="141"/>
      <c r="Y465" s="141"/>
      <c r="Z465" s="141"/>
    </row>
    <row r="466">
      <c r="A466" s="141"/>
      <c r="B466" s="141" t="s">
        <v>222</v>
      </c>
      <c r="C466" s="141" t="s">
        <v>222</v>
      </c>
      <c r="D466" s="141" t="s">
        <v>222</v>
      </c>
      <c r="E466" s="141" t="s">
        <v>222</v>
      </c>
      <c r="F466" s="141" t="s">
        <v>222</v>
      </c>
      <c r="G466" s="141" t="s">
        <v>222</v>
      </c>
      <c r="H466" s="141" t="s">
        <v>222</v>
      </c>
      <c r="I466" s="141" t="s">
        <v>222</v>
      </c>
      <c r="J466" s="141" t="s">
        <v>222</v>
      </c>
      <c r="K466" s="141" t="s">
        <v>222</v>
      </c>
      <c r="L466" s="141" t="s">
        <v>222</v>
      </c>
      <c r="M466" s="141" t="s">
        <v>222</v>
      </c>
      <c r="N466" s="141" t="s">
        <v>222</v>
      </c>
      <c r="O466" s="141" t="s">
        <v>222</v>
      </c>
      <c r="P466" s="141" t="s">
        <v>222</v>
      </c>
      <c r="Q466" s="141" t="s">
        <v>222</v>
      </c>
      <c r="R466" s="141" t="s">
        <v>222</v>
      </c>
      <c r="S466" s="141" t="s">
        <v>222</v>
      </c>
      <c r="T466" s="141" t="s">
        <v>222</v>
      </c>
      <c r="U466" s="141" t="s">
        <v>222</v>
      </c>
      <c r="V466" s="141" t="s">
        <v>222</v>
      </c>
      <c r="W466" s="141"/>
      <c r="X466" s="141"/>
      <c r="Y466" s="141"/>
      <c r="Z466" s="141"/>
    </row>
    <row r="467">
      <c r="A467" s="141"/>
      <c r="B467" s="141" t="s">
        <v>222</v>
      </c>
      <c r="C467" s="141" t="s">
        <v>222</v>
      </c>
      <c r="D467" s="141" t="s">
        <v>222</v>
      </c>
      <c r="E467" s="141" t="s">
        <v>222</v>
      </c>
      <c r="F467" s="141" t="s">
        <v>222</v>
      </c>
      <c r="G467" s="141" t="s">
        <v>222</v>
      </c>
      <c r="H467" s="141" t="s">
        <v>222</v>
      </c>
      <c r="I467" s="141" t="s">
        <v>222</v>
      </c>
      <c r="J467" s="141" t="s">
        <v>222</v>
      </c>
      <c r="K467" s="141" t="s">
        <v>222</v>
      </c>
      <c r="L467" s="141" t="s">
        <v>222</v>
      </c>
      <c r="M467" s="141" t="s">
        <v>222</v>
      </c>
      <c r="N467" s="141" t="s">
        <v>222</v>
      </c>
      <c r="O467" s="141" t="s">
        <v>222</v>
      </c>
      <c r="P467" s="141" t="s">
        <v>222</v>
      </c>
      <c r="Q467" s="141" t="s">
        <v>222</v>
      </c>
      <c r="R467" s="141" t="s">
        <v>222</v>
      </c>
      <c r="S467" s="141" t="s">
        <v>222</v>
      </c>
      <c r="T467" s="141" t="s">
        <v>222</v>
      </c>
      <c r="U467" s="141" t="s">
        <v>222</v>
      </c>
      <c r="V467" s="141" t="s">
        <v>222</v>
      </c>
      <c r="W467" s="141"/>
      <c r="X467" s="141"/>
      <c r="Y467" s="141"/>
      <c r="Z467" s="141"/>
    </row>
    <row r="468">
      <c r="A468" s="141"/>
      <c r="B468" s="141" t="s">
        <v>222</v>
      </c>
      <c r="C468" s="141" t="s">
        <v>222</v>
      </c>
      <c r="D468" s="141" t="s">
        <v>222</v>
      </c>
      <c r="E468" s="141" t="s">
        <v>222</v>
      </c>
      <c r="F468" s="141" t="s">
        <v>222</v>
      </c>
      <c r="G468" s="141" t="s">
        <v>222</v>
      </c>
      <c r="H468" s="141" t="s">
        <v>222</v>
      </c>
      <c r="I468" s="141" t="s">
        <v>222</v>
      </c>
      <c r="J468" s="141" t="s">
        <v>222</v>
      </c>
      <c r="K468" s="141" t="s">
        <v>222</v>
      </c>
      <c r="L468" s="141" t="s">
        <v>222</v>
      </c>
      <c r="M468" s="141" t="s">
        <v>222</v>
      </c>
      <c r="N468" s="141" t="s">
        <v>222</v>
      </c>
      <c r="O468" s="141" t="s">
        <v>222</v>
      </c>
      <c r="P468" s="141" t="s">
        <v>222</v>
      </c>
      <c r="Q468" s="141" t="s">
        <v>222</v>
      </c>
      <c r="R468" s="141" t="s">
        <v>222</v>
      </c>
      <c r="S468" s="141" t="s">
        <v>222</v>
      </c>
      <c r="T468" s="141" t="s">
        <v>222</v>
      </c>
      <c r="U468" s="141" t="s">
        <v>222</v>
      </c>
      <c r="V468" s="141" t="s">
        <v>222</v>
      </c>
      <c r="W468" s="141"/>
      <c r="X468" s="141"/>
      <c r="Y468" s="141"/>
      <c r="Z468" s="141"/>
    </row>
    <row r="469">
      <c r="A469" s="141"/>
      <c r="B469" s="141" t="s">
        <v>222</v>
      </c>
      <c r="C469" s="141" t="s">
        <v>222</v>
      </c>
      <c r="D469" s="141" t="s">
        <v>222</v>
      </c>
      <c r="E469" s="141" t="s">
        <v>222</v>
      </c>
      <c r="F469" s="141" t="s">
        <v>222</v>
      </c>
      <c r="G469" s="141" t="s">
        <v>222</v>
      </c>
      <c r="H469" s="141" t="s">
        <v>222</v>
      </c>
      <c r="I469" s="141" t="s">
        <v>222</v>
      </c>
      <c r="J469" s="141" t="s">
        <v>222</v>
      </c>
      <c r="K469" s="141" t="s">
        <v>222</v>
      </c>
      <c r="L469" s="141" t="s">
        <v>222</v>
      </c>
      <c r="M469" s="141" t="s">
        <v>222</v>
      </c>
      <c r="N469" s="141" t="s">
        <v>222</v>
      </c>
      <c r="O469" s="141" t="s">
        <v>222</v>
      </c>
      <c r="P469" s="141" t="s">
        <v>222</v>
      </c>
      <c r="Q469" s="141" t="s">
        <v>222</v>
      </c>
      <c r="R469" s="141" t="s">
        <v>222</v>
      </c>
      <c r="S469" s="141" t="s">
        <v>222</v>
      </c>
      <c r="T469" s="141" t="s">
        <v>222</v>
      </c>
      <c r="U469" s="141" t="s">
        <v>222</v>
      </c>
      <c r="V469" s="141" t="s">
        <v>222</v>
      </c>
      <c r="W469" s="141"/>
      <c r="X469" s="141"/>
      <c r="Y469" s="141"/>
      <c r="Z469" s="141"/>
    </row>
    <row r="470">
      <c r="A470" s="141"/>
      <c r="B470" s="141" t="s">
        <v>222</v>
      </c>
      <c r="C470" s="141" t="s">
        <v>222</v>
      </c>
      <c r="D470" s="141" t="s">
        <v>222</v>
      </c>
      <c r="E470" s="141" t="s">
        <v>222</v>
      </c>
      <c r="F470" s="141" t="s">
        <v>222</v>
      </c>
      <c r="G470" s="141" t="s">
        <v>222</v>
      </c>
      <c r="H470" s="141" t="s">
        <v>222</v>
      </c>
      <c r="I470" s="141" t="s">
        <v>222</v>
      </c>
      <c r="J470" s="141" t="s">
        <v>222</v>
      </c>
      <c r="K470" s="141" t="s">
        <v>222</v>
      </c>
      <c r="L470" s="141" t="s">
        <v>222</v>
      </c>
      <c r="M470" s="141" t="s">
        <v>222</v>
      </c>
      <c r="N470" s="141" t="s">
        <v>222</v>
      </c>
      <c r="O470" s="141" t="s">
        <v>222</v>
      </c>
      <c r="P470" s="141" t="s">
        <v>222</v>
      </c>
      <c r="Q470" s="141" t="s">
        <v>222</v>
      </c>
      <c r="R470" s="141" t="s">
        <v>222</v>
      </c>
      <c r="S470" s="141" t="s">
        <v>222</v>
      </c>
      <c r="T470" s="141" t="s">
        <v>222</v>
      </c>
      <c r="U470" s="141" t="s">
        <v>222</v>
      </c>
      <c r="V470" s="141" t="s">
        <v>222</v>
      </c>
      <c r="W470" s="141"/>
      <c r="X470" s="141"/>
      <c r="Y470" s="141"/>
      <c r="Z470" s="141"/>
    </row>
    <row r="471">
      <c r="A471" s="141"/>
      <c r="B471" s="141" t="s">
        <v>222</v>
      </c>
      <c r="C471" s="141" t="s">
        <v>222</v>
      </c>
      <c r="D471" s="141" t="s">
        <v>222</v>
      </c>
      <c r="E471" s="141" t="s">
        <v>222</v>
      </c>
      <c r="F471" s="141" t="s">
        <v>222</v>
      </c>
      <c r="G471" s="141" t="s">
        <v>222</v>
      </c>
      <c r="H471" s="141" t="s">
        <v>222</v>
      </c>
      <c r="I471" s="141" t="s">
        <v>222</v>
      </c>
      <c r="J471" s="141" t="s">
        <v>222</v>
      </c>
      <c r="K471" s="141" t="s">
        <v>222</v>
      </c>
      <c r="L471" s="141" t="s">
        <v>222</v>
      </c>
      <c r="M471" s="141" t="s">
        <v>222</v>
      </c>
      <c r="N471" s="141" t="s">
        <v>222</v>
      </c>
      <c r="O471" s="141" t="s">
        <v>222</v>
      </c>
      <c r="P471" s="141" t="s">
        <v>222</v>
      </c>
      <c r="Q471" s="141" t="s">
        <v>222</v>
      </c>
      <c r="R471" s="141" t="s">
        <v>222</v>
      </c>
      <c r="S471" s="141" t="s">
        <v>222</v>
      </c>
      <c r="T471" s="141" t="s">
        <v>222</v>
      </c>
      <c r="U471" s="141" t="s">
        <v>222</v>
      </c>
      <c r="V471" s="141" t="s">
        <v>222</v>
      </c>
      <c r="W471" s="141"/>
      <c r="X471" s="141"/>
      <c r="Y471" s="141"/>
      <c r="Z471" s="141"/>
    </row>
    <row r="472">
      <c r="A472" s="141"/>
      <c r="B472" s="141" t="s">
        <v>222</v>
      </c>
      <c r="C472" s="141" t="s">
        <v>222</v>
      </c>
      <c r="D472" s="141" t="s">
        <v>222</v>
      </c>
      <c r="E472" s="141" t="s">
        <v>222</v>
      </c>
      <c r="F472" s="141" t="s">
        <v>222</v>
      </c>
      <c r="G472" s="141" t="s">
        <v>222</v>
      </c>
      <c r="H472" s="141" t="s">
        <v>222</v>
      </c>
      <c r="I472" s="141" t="s">
        <v>222</v>
      </c>
      <c r="J472" s="141" t="s">
        <v>222</v>
      </c>
      <c r="K472" s="141" t="s">
        <v>222</v>
      </c>
      <c r="L472" s="141" t="s">
        <v>222</v>
      </c>
      <c r="M472" s="141" t="s">
        <v>222</v>
      </c>
      <c r="N472" s="141" t="s">
        <v>222</v>
      </c>
      <c r="O472" s="141" t="s">
        <v>222</v>
      </c>
      <c r="P472" s="141" t="s">
        <v>222</v>
      </c>
      <c r="Q472" s="141" t="s">
        <v>222</v>
      </c>
      <c r="R472" s="141" t="s">
        <v>222</v>
      </c>
      <c r="S472" s="141" t="s">
        <v>222</v>
      </c>
      <c r="T472" s="141" t="s">
        <v>222</v>
      </c>
      <c r="U472" s="141" t="s">
        <v>222</v>
      </c>
      <c r="V472" s="141" t="s">
        <v>222</v>
      </c>
      <c r="W472" s="141"/>
      <c r="X472" s="141"/>
      <c r="Y472" s="141"/>
      <c r="Z472" s="141"/>
    </row>
    <row r="473">
      <c r="A473" s="141"/>
      <c r="B473" s="141" t="s">
        <v>222</v>
      </c>
      <c r="C473" s="141" t="s">
        <v>222</v>
      </c>
      <c r="D473" s="141" t="s">
        <v>222</v>
      </c>
      <c r="E473" s="141" t="s">
        <v>222</v>
      </c>
      <c r="F473" s="141" t="s">
        <v>222</v>
      </c>
      <c r="G473" s="141" t="s">
        <v>222</v>
      </c>
      <c r="H473" s="141" t="s">
        <v>222</v>
      </c>
      <c r="I473" s="141" t="s">
        <v>222</v>
      </c>
      <c r="J473" s="141" t="s">
        <v>222</v>
      </c>
      <c r="K473" s="141" t="s">
        <v>222</v>
      </c>
      <c r="L473" s="141" t="s">
        <v>222</v>
      </c>
      <c r="M473" s="141" t="s">
        <v>222</v>
      </c>
      <c r="N473" s="141" t="s">
        <v>222</v>
      </c>
      <c r="O473" s="141" t="s">
        <v>222</v>
      </c>
      <c r="P473" s="141" t="s">
        <v>222</v>
      </c>
      <c r="Q473" s="141" t="s">
        <v>222</v>
      </c>
      <c r="R473" s="141" t="s">
        <v>222</v>
      </c>
      <c r="S473" s="141" t="s">
        <v>222</v>
      </c>
      <c r="T473" s="141" t="s">
        <v>222</v>
      </c>
      <c r="U473" s="141" t="s">
        <v>222</v>
      </c>
      <c r="V473" s="141" t="s">
        <v>222</v>
      </c>
      <c r="W473" s="141"/>
      <c r="X473" s="141"/>
      <c r="Y473" s="141"/>
      <c r="Z473" s="141"/>
    </row>
    <row r="474">
      <c r="A474" s="141"/>
      <c r="B474" s="141" t="s">
        <v>222</v>
      </c>
      <c r="C474" s="141" t="s">
        <v>222</v>
      </c>
      <c r="D474" s="141" t="s">
        <v>222</v>
      </c>
      <c r="E474" s="141" t="s">
        <v>222</v>
      </c>
      <c r="F474" s="141" t="s">
        <v>222</v>
      </c>
      <c r="G474" s="141" t="s">
        <v>222</v>
      </c>
      <c r="H474" s="141" t="s">
        <v>222</v>
      </c>
      <c r="I474" s="141" t="s">
        <v>222</v>
      </c>
      <c r="J474" s="141" t="s">
        <v>222</v>
      </c>
      <c r="K474" s="141" t="s">
        <v>222</v>
      </c>
      <c r="L474" s="141" t="s">
        <v>222</v>
      </c>
      <c r="M474" s="141" t="s">
        <v>222</v>
      </c>
      <c r="N474" s="141" t="s">
        <v>222</v>
      </c>
      <c r="O474" s="141" t="s">
        <v>222</v>
      </c>
      <c r="P474" s="141" t="s">
        <v>222</v>
      </c>
      <c r="Q474" s="141" t="s">
        <v>222</v>
      </c>
      <c r="R474" s="141" t="s">
        <v>222</v>
      </c>
      <c r="S474" s="141" t="s">
        <v>222</v>
      </c>
      <c r="T474" s="141" t="s">
        <v>222</v>
      </c>
      <c r="U474" s="141" t="s">
        <v>222</v>
      </c>
      <c r="V474" s="141" t="s">
        <v>222</v>
      </c>
      <c r="W474" s="141"/>
      <c r="X474" s="141"/>
      <c r="Y474" s="141"/>
      <c r="Z474" s="141"/>
    </row>
    <row r="475">
      <c r="A475" s="141"/>
      <c r="B475" s="141" t="s">
        <v>222</v>
      </c>
      <c r="C475" s="141" t="s">
        <v>222</v>
      </c>
      <c r="D475" s="141" t="s">
        <v>222</v>
      </c>
      <c r="E475" s="141" t="s">
        <v>222</v>
      </c>
      <c r="F475" s="141" t="s">
        <v>222</v>
      </c>
      <c r="G475" s="141" t="s">
        <v>222</v>
      </c>
      <c r="H475" s="141" t="s">
        <v>222</v>
      </c>
      <c r="I475" s="141" t="s">
        <v>222</v>
      </c>
      <c r="J475" s="141" t="s">
        <v>222</v>
      </c>
      <c r="K475" s="141" t="s">
        <v>222</v>
      </c>
      <c r="L475" s="141" t="s">
        <v>222</v>
      </c>
      <c r="M475" s="141" t="s">
        <v>222</v>
      </c>
      <c r="N475" s="141" t="s">
        <v>222</v>
      </c>
      <c r="O475" s="141" t="s">
        <v>222</v>
      </c>
      <c r="P475" s="141" t="s">
        <v>222</v>
      </c>
      <c r="Q475" s="141" t="s">
        <v>222</v>
      </c>
      <c r="R475" s="141" t="s">
        <v>222</v>
      </c>
      <c r="S475" s="141" t="s">
        <v>222</v>
      </c>
      <c r="T475" s="141" t="s">
        <v>222</v>
      </c>
      <c r="U475" s="141" t="s">
        <v>222</v>
      </c>
      <c r="V475" s="141" t="s">
        <v>222</v>
      </c>
      <c r="W475" s="141"/>
      <c r="X475" s="141"/>
      <c r="Y475" s="141"/>
      <c r="Z475" s="141"/>
    </row>
    <row r="476">
      <c r="A476" s="141"/>
      <c r="B476" s="141" t="s">
        <v>222</v>
      </c>
      <c r="C476" s="141" t="s">
        <v>222</v>
      </c>
      <c r="D476" s="141" t="s">
        <v>222</v>
      </c>
      <c r="E476" s="141" t="s">
        <v>222</v>
      </c>
      <c r="F476" s="141" t="s">
        <v>222</v>
      </c>
      <c r="G476" s="141" t="s">
        <v>222</v>
      </c>
      <c r="H476" s="141" t="s">
        <v>222</v>
      </c>
      <c r="I476" s="141" t="s">
        <v>222</v>
      </c>
      <c r="J476" s="141" t="s">
        <v>222</v>
      </c>
      <c r="K476" s="141" t="s">
        <v>222</v>
      </c>
      <c r="L476" s="141" t="s">
        <v>222</v>
      </c>
      <c r="M476" s="141" t="s">
        <v>222</v>
      </c>
      <c r="N476" s="141" t="s">
        <v>222</v>
      </c>
      <c r="O476" s="141" t="s">
        <v>222</v>
      </c>
      <c r="P476" s="141" t="s">
        <v>222</v>
      </c>
      <c r="Q476" s="141" t="s">
        <v>222</v>
      </c>
      <c r="R476" s="141" t="s">
        <v>222</v>
      </c>
      <c r="S476" s="141" t="s">
        <v>222</v>
      </c>
      <c r="T476" s="141" t="s">
        <v>222</v>
      </c>
      <c r="U476" s="141" t="s">
        <v>222</v>
      </c>
      <c r="V476" s="141" t="s">
        <v>222</v>
      </c>
      <c r="W476" s="141"/>
      <c r="X476" s="141"/>
      <c r="Y476" s="141"/>
      <c r="Z476" s="141"/>
    </row>
    <row r="477">
      <c r="A477" s="141"/>
      <c r="B477" s="141" t="s">
        <v>222</v>
      </c>
      <c r="C477" s="141" t="s">
        <v>222</v>
      </c>
      <c r="D477" s="141" t="s">
        <v>222</v>
      </c>
      <c r="E477" s="141" t="s">
        <v>222</v>
      </c>
      <c r="F477" s="141" t="s">
        <v>222</v>
      </c>
      <c r="G477" s="141" t="s">
        <v>222</v>
      </c>
      <c r="H477" s="141" t="s">
        <v>222</v>
      </c>
      <c r="I477" s="141" t="s">
        <v>222</v>
      </c>
      <c r="J477" s="141" t="s">
        <v>222</v>
      </c>
      <c r="K477" s="141" t="s">
        <v>222</v>
      </c>
      <c r="L477" s="141" t="s">
        <v>222</v>
      </c>
      <c r="M477" s="141" t="s">
        <v>222</v>
      </c>
      <c r="N477" s="141" t="s">
        <v>222</v>
      </c>
      <c r="O477" s="141" t="s">
        <v>222</v>
      </c>
      <c r="P477" s="141" t="s">
        <v>222</v>
      </c>
      <c r="Q477" s="141" t="s">
        <v>222</v>
      </c>
      <c r="R477" s="141" t="s">
        <v>222</v>
      </c>
      <c r="S477" s="141" t="s">
        <v>222</v>
      </c>
      <c r="T477" s="141" t="s">
        <v>222</v>
      </c>
      <c r="U477" s="141" t="s">
        <v>222</v>
      </c>
      <c r="V477" s="141" t="s">
        <v>222</v>
      </c>
      <c r="W477" s="141"/>
      <c r="X477" s="141"/>
      <c r="Y477" s="141"/>
      <c r="Z477" s="141"/>
    </row>
    <row r="478">
      <c r="A478" s="141"/>
      <c r="B478" s="141" t="s">
        <v>222</v>
      </c>
      <c r="C478" s="141" t="s">
        <v>222</v>
      </c>
      <c r="D478" s="141" t="s">
        <v>222</v>
      </c>
      <c r="E478" s="141" t="s">
        <v>222</v>
      </c>
      <c r="F478" s="141" t="s">
        <v>222</v>
      </c>
      <c r="G478" s="141" t="s">
        <v>222</v>
      </c>
      <c r="H478" s="141" t="s">
        <v>222</v>
      </c>
      <c r="I478" s="141" t="s">
        <v>222</v>
      </c>
      <c r="J478" s="141" t="s">
        <v>222</v>
      </c>
      <c r="K478" s="141" t="s">
        <v>222</v>
      </c>
      <c r="L478" s="141" t="s">
        <v>222</v>
      </c>
      <c r="M478" s="141" t="s">
        <v>222</v>
      </c>
      <c r="N478" s="141" t="s">
        <v>222</v>
      </c>
      <c r="O478" s="141" t="s">
        <v>222</v>
      </c>
      <c r="P478" s="141" t="s">
        <v>222</v>
      </c>
      <c r="Q478" s="141" t="s">
        <v>222</v>
      </c>
      <c r="R478" s="141" t="s">
        <v>222</v>
      </c>
      <c r="S478" s="141" t="s">
        <v>222</v>
      </c>
      <c r="T478" s="141" t="s">
        <v>222</v>
      </c>
      <c r="U478" s="141" t="s">
        <v>222</v>
      </c>
      <c r="V478" s="141" t="s">
        <v>222</v>
      </c>
      <c r="W478" s="141"/>
      <c r="X478" s="141"/>
      <c r="Y478" s="141"/>
      <c r="Z478" s="141"/>
    </row>
    <row r="479">
      <c r="A479" s="141"/>
      <c r="B479" s="141" t="s">
        <v>222</v>
      </c>
      <c r="C479" s="141" t="s">
        <v>222</v>
      </c>
      <c r="D479" s="141" t="s">
        <v>222</v>
      </c>
      <c r="E479" s="141" t="s">
        <v>222</v>
      </c>
      <c r="F479" s="141" t="s">
        <v>222</v>
      </c>
      <c r="G479" s="141" t="s">
        <v>222</v>
      </c>
      <c r="H479" s="141" t="s">
        <v>222</v>
      </c>
      <c r="I479" s="141" t="s">
        <v>222</v>
      </c>
      <c r="J479" s="141" t="s">
        <v>222</v>
      </c>
      <c r="K479" s="141" t="s">
        <v>222</v>
      </c>
      <c r="L479" s="141" t="s">
        <v>222</v>
      </c>
      <c r="M479" s="141" t="s">
        <v>222</v>
      </c>
      <c r="N479" s="141" t="s">
        <v>222</v>
      </c>
      <c r="O479" s="141" t="s">
        <v>222</v>
      </c>
      <c r="P479" s="141" t="s">
        <v>222</v>
      </c>
      <c r="Q479" s="141" t="s">
        <v>222</v>
      </c>
      <c r="R479" s="141" t="s">
        <v>222</v>
      </c>
      <c r="S479" s="141" t="s">
        <v>222</v>
      </c>
      <c r="T479" s="141" t="s">
        <v>222</v>
      </c>
      <c r="U479" s="141" t="s">
        <v>222</v>
      </c>
      <c r="V479" s="141" t="s">
        <v>222</v>
      </c>
      <c r="W479" s="141"/>
      <c r="X479" s="141"/>
      <c r="Y479" s="141"/>
      <c r="Z479" s="141"/>
    </row>
    <row r="480">
      <c r="A480" s="141"/>
      <c r="B480" s="141" t="s">
        <v>222</v>
      </c>
      <c r="C480" s="141" t="s">
        <v>222</v>
      </c>
      <c r="D480" s="141" t="s">
        <v>222</v>
      </c>
      <c r="E480" s="141" t="s">
        <v>222</v>
      </c>
      <c r="F480" s="141" t="s">
        <v>222</v>
      </c>
      <c r="G480" s="141" t="s">
        <v>222</v>
      </c>
      <c r="H480" s="141" t="s">
        <v>222</v>
      </c>
      <c r="I480" s="141" t="s">
        <v>222</v>
      </c>
      <c r="J480" s="141" t="s">
        <v>222</v>
      </c>
      <c r="K480" s="141" t="s">
        <v>222</v>
      </c>
      <c r="L480" s="141" t="s">
        <v>222</v>
      </c>
      <c r="M480" s="141" t="s">
        <v>222</v>
      </c>
      <c r="N480" s="141" t="s">
        <v>222</v>
      </c>
      <c r="O480" s="141" t="s">
        <v>222</v>
      </c>
      <c r="P480" s="141" t="s">
        <v>222</v>
      </c>
      <c r="Q480" s="141" t="s">
        <v>222</v>
      </c>
      <c r="R480" s="141" t="s">
        <v>222</v>
      </c>
      <c r="S480" s="141" t="s">
        <v>222</v>
      </c>
      <c r="T480" s="141" t="s">
        <v>222</v>
      </c>
      <c r="U480" s="141" t="s">
        <v>222</v>
      </c>
      <c r="V480" s="141" t="s">
        <v>222</v>
      </c>
      <c r="W480" s="141"/>
      <c r="X480" s="141"/>
      <c r="Y480" s="141"/>
      <c r="Z480" s="141"/>
    </row>
    <row r="481">
      <c r="A481" s="141"/>
      <c r="B481" s="141" t="s">
        <v>222</v>
      </c>
      <c r="C481" s="141" t="s">
        <v>222</v>
      </c>
      <c r="D481" s="141" t="s">
        <v>222</v>
      </c>
      <c r="E481" s="141" t="s">
        <v>222</v>
      </c>
      <c r="F481" s="141" t="s">
        <v>222</v>
      </c>
      <c r="G481" s="141" t="s">
        <v>222</v>
      </c>
      <c r="H481" s="141" t="s">
        <v>222</v>
      </c>
      <c r="I481" s="141" t="s">
        <v>222</v>
      </c>
      <c r="J481" s="141" t="s">
        <v>222</v>
      </c>
      <c r="K481" s="141" t="s">
        <v>222</v>
      </c>
      <c r="L481" s="141" t="s">
        <v>222</v>
      </c>
      <c r="M481" s="141" t="s">
        <v>222</v>
      </c>
      <c r="N481" s="141" t="s">
        <v>222</v>
      </c>
      <c r="O481" s="141" t="s">
        <v>222</v>
      </c>
      <c r="P481" s="141" t="s">
        <v>222</v>
      </c>
      <c r="Q481" s="141" t="s">
        <v>222</v>
      </c>
      <c r="R481" s="141" t="s">
        <v>222</v>
      </c>
      <c r="S481" s="141" t="s">
        <v>222</v>
      </c>
      <c r="T481" s="141" t="s">
        <v>222</v>
      </c>
      <c r="U481" s="141" t="s">
        <v>222</v>
      </c>
      <c r="V481" s="141" t="s">
        <v>222</v>
      </c>
      <c r="W481" s="141"/>
      <c r="X481" s="141"/>
      <c r="Y481" s="141"/>
      <c r="Z481" s="141"/>
    </row>
    <row r="482">
      <c r="A482" s="141"/>
      <c r="B482" s="141" t="s">
        <v>222</v>
      </c>
      <c r="C482" s="141" t="s">
        <v>222</v>
      </c>
      <c r="D482" s="141" t="s">
        <v>222</v>
      </c>
      <c r="E482" s="141" t="s">
        <v>222</v>
      </c>
      <c r="F482" s="141" t="s">
        <v>222</v>
      </c>
      <c r="G482" s="141" t="s">
        <v>222</v>
      </c>
      <c r="H482" s="141" t="s">
        <v>222</v>
      </c>
      <c r="I482" s="141" t="s">
        <v>222</v>
      </c>
      <c r="J482" s="141" t="s">
        <v>222</v>
      </c>
      <c r="K482" s="141" t="s">
        <v>222</v>
      </c>
      <c r="L482" s="141" t="s">
        <v>222</v>
      </c>
      <c r="M482" s="141" t="s">
        <v>222</v>
      </c>
      <c r="N482" s="141" t="s">
        <v>222</v>
      </c>
      <c r="O482" s="141" t="s">
        <v>222</v>
      </c>
      <c r="P482" s="141" t="s">
        <v>222</v>
      </c>
      <c r="Q482" s="141" t="s">
        <v>222</v>
      </c>
      <c r="R482" s="141" t="s">
        <v>222</v>
      </c>
      <c r="S482" s="141" t="s">
        <v>222</v>
      </c>
      <c r="T482" s="141" t="s">
        <v>222</v>
      </c>
      <c r="U482" s="141" t="s">
        <v>222</v>
      </c>
      <c r="V482" s="141" t="s">
        <v>222</v>
      </c>
      <c r="W482" s="141"/>
      <c r="X482" s="141"/>
      <c r="Y482" s="141"/>
      <c r="Z482" s="141"/>
    </row>
    <row r="483">
      <c r="A483" s="141"/>
      <c r="B483" s="141" t="s">
        <v>222</v>
      </c>
      <c r="C483" s="141" t="s">
        <v>222</v>
      </c>
      <c r="D483" s="141" t="s">
        <v>222</v>
      </c>
      <c r="E483" s="141" t="s">
        <v>222</v>
      </c>
      <c r="F483" s="141" t="s">
        <v>222</v>
      </c>
      <c r="G483" s="141" t="s">
        <v>222</v>
      </c>
      <c r="H483" s="141" t="s">
        <v>222</v>
      </c>
      <c r="I483" s="141" t="s">
        <v>222</v>
      </c>
      <c r="J483" s="141" t="s">
        <v>222</v>
      </c>
      <c r="K483" s="141" t="s">
        <v>222</v>
      </c>
      <c r="L483" s="141" t="s">
        <v>222</v>
      </c>
      <c r="M483" s="141" t="s">
        <v>222</v>
      </c>
      <c r="N483" s="141" t="s">
        <v>222</v>
      </c>
      <c r="O483" s="141" t="s">
        <v>222</v>
      </c>
      <c r="P483" s="141" t="s">
        <v>222</v>
      </c>
      <c r="Q483" s="141" t="s">
        <v>222</v>
      </c>
      <c r="R483" s="141" t="s">
        <v>222</v>
      </c>
      <c r="S483" s="141" t="s">
        <v>222</v>
      </c>
      <c r="T483" s="141" t="s">
        <v>222</v>
      </c>
      <c r="U483" s="141" t="s">
        <v>222</v>
      </c>
      <c r="V483" s="141" t="s">
        <v>222</v>
      </c>
      <c r="W483" s="141"/>
      <c r="X483" s="141"/>
      <c r="Y483" s="141"/>
      <c r="Z483" s="141"/>
    </row>
    <row r="484">
      <c r="A484" s="141"/>
      <c r="B484" s="141" t="s">
        <v>222</v>
      </c>
      <c r="C484" s="141" t="s">
        <v>222</v>
      </c>
      <c r="D484" s="141" t="s">
        <v>222</v>
      </c>
      <c r="E484" s="141" t="s">
        <v>222</v>
      </c>
      <c r="F484" s="141" t="s">
        <v>222</v>
      </c>
      <c r="G484" s="141" t="s">
        <v>222</v>
      </c>
      <c r="H484" s="141" t="s">
        <v>222</v>
      </c>
      <c r="I484" s="141" t="s">
        <v>222</v>
      </c>
      <c r="J484" s="141" t="s">
        <v>222</v>
      </c>
      <c r="K484" s="141" t="s">
        <v>222</v>
      </c>
      <c r="L484" s="141" t="s">
        <v>222</v>
      </c>
      <c r="M484" s="141" t="s">
        <v>222</v>
      </c>
      <c r="N484" s="141" t="s">
        <v>222</v>
      </c>
      <c r="O484" s="141" t="s">
        <v>222</v>
      </c>
      <c r="P484" s="141" t="s">
        <v>222</v>
      </c>
      <c r="Q484" s="141" t="s">
        <v>222</v>
      </c>
      <c r="R484" s="141" t="s">
        <v>222</v>
      </c>
      <c r="S484" s="141" t="s">
        <v>222</v>
      </c>
      <c r="T484" s="141" t="s">
        <v>222</v>
      </c>
      <c r="U484" s="141" t="s">
        <v>222</v>
      </c>
      <c r="V484" s="141" t="s">
        <v>222</v>
      </c>
      <c r="W484" s="141"/>
      <c r="X484" s="141"/>
      <c r="Y484" s="141"/>
      <c r="Z484" s="141"/>
    </row>
    <row r="485">
      <c r="A485" s="141"/>
      <c r="B485" s="141" t="s">
        <v>222</v>
      </c>
      <c r="C485" s="141" t="s">
        <v>222</v>
      </c>
      <c r="D485" s="141" t="s">
        <v>222</v>
      </c>
      <c r="E485" s="141" t="s">
        <v>222</v>
      </c>
      <c r="F485" s="141" t="s">
        <v>222</v>
      </c>
      <c r="G485" s="141" t="s">
        <v>222</v>
      </c>
      <c r="H485" s="141" t="s">
        <v>222</v>
      </c>
      <c r="I485" s="141" t="s">
        <v>222</v>
      </c>
      <c r="J485" s="141" t="s">
        <v>222</v>
      </c>
      <c r="K485" s="141" t="s">
        <v>222</v>
      </c>
      <c r="L485" s="141" t="s">
        <v>222</v>
      </c>
      <c r="M485" s="141" t="s">
        <v>222</v>
      </c>
      <c r="N485" s="141" t="s">
        <v>222</v>
      </c>
      <c r="O485" s="141" t="s">
        <v>222</v>
      </c>
      <c r="P485" s="141" t="s">
        <v>222</v>
      </c>
      <c r="Q485" s="141" t="s">
        <v>222</v>
      </c>
      <c r="R485" s="141" t="s">
        <v>222</v>
      </c>
      <c r="S485" s="141" t="s">
        <v>222</v>
      </c>
      <c r="T485" s="141" t="s">
        <v>222</v>
      </c>
      <c r="U485" s="141" t="s">
        <v>222</v>
      </c>
      <c r="V485" s="141" t="s">
        <v>222</v>
      </c>
      <c r="W485" s="141"/>
      <c r="X485" s="141"/>
      <c r="Y485" s="141"/>
      <c r="Z485" s="141"/>
    </row>
    <row r="486">
      <c r="A486" s="141"/>
      <c r="B486" s="141" t="s">
        <v>222</v>
      </c>
      <c r="C486" s="141" t="s">
        <v>222</v>
      </c>
      <c r="D486" s="141" t="s">
        <v>222</v>
      </c>
      <c r="E486" s="141" t="s">
        <v>222</v>
      </c>
      <c r="F486" s="141" t="s">
        <v>222</v>
      </c>
      <c r="G486" s="141" t="s">
        <v>222</v>
      </c>
      <c r="H486" s="141" t="s">
        <v>222</v>
      </c>
      <c r="I486" s="141" t="s">
        <v>222</v>
      </c>
      <c r="J486" s="141" t="s">
        <v>222</v>
      </c>
      <c r="K486" s="141" t="s">
        <v>222</v>
      </c>
      <c r="L486" s="141" t="s">
        <v>222</v>
      </c>
      <c r="M486" s="141" t="s">
        <v>222</v>
      </c>
      <c r="N486" s="141" t="s">
        <v>222</v>
      </c>
      <c r="O486" s="141" t="s">
        <v>222</v>
      </c>
      <c r="P486" s="141" t="s">
        <v>222</v>
      </c>
      <c r="Q486" s="141" t="s">
        <v>222</v>
      </c>
      <c r="R486" s="141" t="s">
        <v>222</v>
      </c>
      <c r="S486" s="141" t="s">
        <v>222</v>
      </c>
      <c r="T486" s="141" t="s">
        <v>222</v>
      </c>
      <c r="U486" s="141" t="s">
        <v>222</v>
      </c>
      <c r="V486" s="141" t="s">
        <v>222</v>
      </c>
      <c r="W486" s="141"/>
      <c r="X486" s="141"/>
      <c r="Y486" s="141"/>
      <c r="Z486" s="141"/>
    </row>
    <row r="487">
      <c r="A487" s="141"/>
      <c r="B487" s="141" t="s">
        <v>222</v>
      </c>
      <c r="C487" s="141" t="s">
        <v>222</v>
      </c>
      <c r="D487" s="141" t="s">
        <v>222</v>
      </c>
      <c r="E487" s="141" t="s">
        <v>222</v>
      </c>
      <c r="F487" s="141" t="s">
        <v>222</v>
      </c>
      <c r="G487" s="141" t="s">
        <v>222</v>
      </c>
      <c r="H487" s="141" t="s">
        <v>222</v>
      </c>
      <c r="I487" s="141" t="s">
        <v>222</v>
      </c>
      <c r="J487" s="141" t="s">
        <v>222</v>
      </c>
      <c r="K487" s="141" t="s">
        <v>222</v>
      </c>
      <c r="L487" s="141" t="s">
        <v>222</v>
      </c>
      <c r="M487" s="141" t="s">
        <v>222</v>
      </c>
      <c r="N487" s="141" t="s">
        <v>222</v>
      </c>
      <c r="O487" s="141" t="s">
        <v>222</v>
      </c>
      <c r="P487" s="141" t="s">
        <v>222</v>
      </c>
      <c r="Q487" s="141" t="s">
        <v>222</v>
      </c>
      <c r="R487" s="141" t="s">
        <v>222</v>
      </c>
      <c r="S487" s="141" t="s">
        <v>222</v>
      </c>
      <c r="T487" s="141" t="s">
        <v>222</v>
      </c>
      <c r="U487" s="141" t="s">
        <v>222</v>
      </c>
      <c r="V487" s="141" t="s">
        <v>222</v>
      </c>
      <c r="W487" s="141"/>
      <c r="X487" s="141"/>
      <c r="Y487" s="141"/>
      <c r="Z487" s="141"/>
    </row>
    <row r="488">
      <c r="A488" s="141"/>
      <c r="B488" s="141" t="s">
        <v>222</v>
      </c>
      <c r="C488" s="141" t="s">
        <v>222</v>
      </c>
      <c r="D488" s="141" t="s">
        <v>222</v>
      </c>
      <c r="E488" s="141" t="s">
        <v>222</v>
      </c>
      <c r="F488" s="141" t="s">
        <v>222</v>
      </c>
      <c r="G488" s="141" t="s">
        <v>222</v>
      </c>
      <c r="H488" s="141" t="s">
        <v>222</v>
      </c>
      <c r="I488" s="141" t="s">
        <v>222</v>
      </c>
      <c r="J488" s="141" t="s">
        <v>222</v>
      </c>
      <c r="K488" s="141" t="s">
        <v>222</v>
      </c>
      <c r="L488" s="141" t="s">
        <v>222</v>
      </c>
      <c r="M488" s="141" t="s">
        <v>222</v>
      </c>
      <c r="N488" s="141" t="s">
        <v>222</v>
      </c>
      <c r="O488" s="141" t="s">
        <v>222</v>
      </c>
      <c r="P488" s="141" t="s">
        <v>222</v>
      </c>
      <c r="Q488" s="141" t="s">
        <v>222</v>
      </c>
      <c r="R488" s="141" t="s">
        <v>222</v>
      </c>
      <c r="S488" s="141" t="s">
        <v>222</v>
      </c>
      <c r="T488" s="141" t="s">
        <v>222</v>
      </c>
      <c r="U488" s="141" t="s">
        <v>222</v>
      </c>
      <c r="V488" s="141" t="s">
        <v>222</v>
      </c>
      <c r="W488" s="141"/>
      <c r="X488" s="141"/>
      <c r="Y488" s="141"/>
      <c r="Z488" s="141"/>
    </row>
    <row r="489">
      <c r="A489" s="141"/>
      <c r="B489" s="141" t="s">
        <v>222</v>
      </c>
      <c r="C489" s="141" t="s">
        <v>222</v>
      </c>
      <c r="D489" s="141" t="s">
        <v>222</v>
      </c>
      <c r="E489" s="141" t="s">
        <v>222</v>
      </c>
      <c r="F489" s="141" t="s">
        <v>222</v>
      </c>
      <c r="G489" s="141" t="s">
        <v>222</v>
      </c>
      <c r="H489" s="141" t="s">
        <v>222</v>
      </c>
      <c r="I489" s="141" t="s">
        <v>222</v>
      </c>
      <c r="J489" s="141" t="s">
        <v>222</v>
      </c>
      <c r="K489" s="141" t="s">
        <v>222</v>
      </c>
      <c r="L489" s="141" t="s">
        <v>222</v>
      </c>
      <c r="M489" s="141" t="s">
        <v>222</v>
      </c>
      <c r="N489" s="141" t="s">
        <v>222</v>
      </c>
      <c r="O489" s="141" t="s">
        <v>222</v>
      </c>
      <c r="P489" s="141" t="s">
        <v>222</v>
      </c>
      <c r="Q489" s="141" t="s">
        <v>222</v>
      </c>
      <c r="R489" s="141" t="s">
        <v>222</v>
      </c>
      <c r="S489" s="141" t="s">
        <v>222</v>
      </c>
      <c r="T489" s="141" t="s">
        <v>222</v>
      </c>
      <c r="U489" s="141" t="s">
        <v>222</v>
      </c>
      <c r="V489" s="141" t="s">
        <v>222</v>
      </c>
      <c r="W489" s="141"/>
      <c r="X489" s="141"/>
      <c r="Y489" s="141"/>
      <c r="Z489" s="141"/>
    </row>
    <row r="490">
      <c r="A490" s="141"/>
      <c r="B490" s="141" t="s">
        <v>222</v>
      </c>
      <c r="C490" s="141" t="s">
        <v>222</v>
      </c>
      <c r="D490" s="141" t="s">
        <v>222</v>
      </c>
      <c r="E490" s="141" t="s">
        <v>222</v>
      </c>
      <c r="F490" s="141" t="s">
        <v>222</v>
      </c>
      <c r="G490" s="141" t="s">
        <v>222</v>
      </c>
      <c r="H490" s="141" t="s">
        <v>222</v>
      </c>
      <c r="I490" s="141" t="s">
        <v>222</v>
      </c>
      <c r="J490" s="141" t="s">
        <v>222</v>
      </c>
      <c r="K490" s="141" t="s">
        <v>222</v>
      </c>
      <c r="L490" s="141" t="s">
        <v>222</v>
      </c>
      <c r="M490" s="141" t="s">
        <v>222</v>
      </c>
      <c r="N490" s="141" t="s">
        <v>222</v>
      </c>
      <c r="O490" s="141" t="s">
        <v>222</v>
      </c>
      <c r="P490" s="141" t="s">
        <v>222</v>
      </c>
      <c r="Q490" s="141" t="s">
        <v>222</v>
      </c>
      <c r="R490" s="141" t="s">
        <v>222</v>
      </c>
      <c r="S490" s="141" t="s">
        <v>222</v>
      </c>
      <c r="T490" s="141" t="s">
        <v>222</v>
      </c>
      <c r="U490" s="141" t="s">
        <v>222</v>
      </c>
      <c r="V490" s="141" t="s">
        <v>222</v>
      </c>
      <c r="W490" s="141"/>
      <c r="X490" s="141"/>
      <c r="Y490" s="141"/>
      <c r="Z490" s="141"/>
    </row>
    <row r="491">
      <c r="A491" s="141"/>
      <c r="B491" s="141" t="s">
        <v>222</v>
      </c>
      <c r="C491" s="141" t="s">
        <v>222</v>
      </c>
      <c r="D491" s="141" t="s">
        <v>222</v>
      </c>
      <c r="E491" s="141" t="s">
        <v>222</v>
      </c>
      <c r="F491" s="141" t="s">
        <v>222</v>
      </c>
      <c r="G491" s="141" t="s">
        <v>222</v>
      </c>
      <c r="H491" s="141" t="s">
        <v>222</v>
      </c>
      <c r="I491" s="141" t="s">
        <v>222</v>
      </c>
      <c r="J491" s="141" t="s">
        <v>222</v>
      </c>
      <c r="K491" s="141" t="s">
        <v>222</v>
      </c>
      <c r="L491" s="141" t="s">
        <v>222</v>
      </c>
      <c r="M491" s="141" t="s">
        <v>222</v>
      </c>
      <c r="N491" s="141" t="s">
        <v>222</v>
      </c>
      <c r="O491" s="141" t="s">
        <v>222</v>
      </c>
      <c r="P491" s="141" t="s">
        <v>222</v>
      </c>
      <c r="Q491" s="141" t="s">
        <v>222</v>
      </c>
      <c r="R491" s="141" t="s">
        <v>222</v>
      </c>
      <c r="S491" s="141" t="s">
        <v>222</v>
      </c>
      <c r="T491" s="141" t="s">
        <v>222</v>
      </c>
      <c r="U491" s="141" t="s">
        <v>222</v>
      </c>
      <c r="V491" s="141" t="s">
        <v>222</v>
      </c>
      <c r="W491" s="141"/>
      <c r="X491" s="141"/>
      <c r="Y491" s="141"/>
      <c r="Z491" s="141"/>
    </row>
    <row r="492">
      <c r="A492" s="141"/>
      <c r="B492" s="141" t="s">
        <v>222</v>
      </c>
      <c r="C492" s="141" t="s">
        <v>222</v>
      </c>
      <c r="D492" s="141" t="s">
        <v>222</v>
      </c>
      <c r="E492" s="141" t="s">
        <v>222</v>
      </c>
      <c r="F492" s="141" t="s">
        <v>222</v>
      </c>
      <c r="G492" s="141" t="s">
        <v>222</v>
      </c>
      <c r="H492" s="141" t="s">
        <v>222</v>
      </c>
      <c r="I492" s="141" t="s">
        <v>222</v>
      </c>
      <c r="J492" s="141" t="s">
        <v>222</v>
      </c>
      <c r="K492" s="141" t="s">
        <v>222</v>
      </c>
      <c r="L492" s="141" t="s">
        <v>222</v>
      </c>
      <c r="M492" s="141" t="s">
        <v>222</v>
      </c>
      <c r="N492" s="141" t="s">
        <v>222</v>
      </c>
      <c r="O492" s="141" t="s">
        <v>222</v>
      </c>
      <c r="P492" s="141" t="s">
        <v>222</v>
      </c>
      <c r="Q492" s="141" t="s">
        <v>222</v>
      </c>
      <c r="R492" s="141" t="s">
        <v>222</v>
      </c>
      <c r="S492" s="141" t="s">
        <v>222</v>
      </c>
      <c r="T492" s="141" t="s">
        <v>222</v>
      </c>
      <c r="U492" s="141" t="s">
        <v>222</v>
      </c>
      <c r="V492" s="141" t="s">
        <v>222</v>
      </c>
      <c r="W492" s="141"/>
      <c r="X492" s="141"/>
      <c r="Y492" s="141"/>
      <c r="Z492" s="141"/>
    </row>
    <row r="493">
      <c r="A493" s="141"/>
      <c r="B493" s="141" t="s">
        <v>222</v>
      </c>
      <c r="C493" s="141" t="s">
        <v>222</v>
      </c>
      <c r="D493" s="141" t="s">
        <v>222</v>
      </c>
      <c r="E493" s="141" t="s">
        <v>222</v>
      </c>
      <c r="F493" s="141" t="s">
        <v>222</v>
      </c>
      <c r="G493" s="141" t="s">
        <v>222</v>
      </c>
      <c r="H493" s="141" t="s">
        <v>222</v>
      </c>
      <c r="I493" s="141" t="s">
        <v>222</v>
      </c>
      <c r="J493" s="141" t="s">
        <v>222</v>
      </c>
      <c r="K493" s="141" t="s">
        <v>222</v>
      </c>
      <c r="L493" s="141" t="s">
        <v>222</v>
      </c>
      <c r="M493" s="141" t="s">
        <v>222</v>
      </c>
      <c r="N493" s="141" t="s">
        <v>222</v>
      </c>
      <c r="O493" s="141" t="s">
        <v>222</v>
      </c>
      <c r="P493" s="141" t="s">
        <v>222</v>
      </c>
      <c r="Q493" s="141" t="s">
        <v>222</v>
      </c>
      <c r="R493" s="141" t="s">
        <v>222</v>
      </c>
      <c r="S493" s="141" t="s">
        <v>222</v>
      </c>
      <c r="T493" s="141" t="s">
        <v>222</v>
      </c>
      <c r="U493" s="141" t="s">
        <v>222</v>
      </c>
      <c r="V493" s="141" t="s">
        <v>222</v>
      </c>
      <c r="W493" s="141"/>
      <c r="X493" s="141"/>
      <c r="Y493" s="141"/>
      <c r="Z493" s="141"/>
    </row>
    <row r="494">
      <c r="A494" s="141"/>
      <c r="B494" s="141" t="s">
        <v>222</v>
      </c>
      <c r="C494" s="141" t="s">
        <v>222</v>
      </c>
      <c r="D494" s="141" t="s">
        <v>222</v>
      </c>
      <c r="E494" s="141" t="s">
        <v>222</v>
      </c>
      <c r="F494" s="141" t="s">
        <v>222</v>
      </c>
      <c r="G494" s="141" t="s">
        <v>222</v>
      </c>
      <c r="H494" s="141" t="s">
        <v>222</v>
      </c>
      <c r="I494" s="141" t="s">
        <v>222</v>
      </c>
      <c r="J494" s="141" t="s">
        <v>222</v>
      </c>
      <c r="K494" s="141" t="s">
        <v>222</v>
      </c>
      <c r="L494" s="141" t="s">
        <v>222</v>
      </c>
      <c r="M494" s="141" t="s">
        <v>222</v>
      </c>
      <c r="N494" s="141" t="s">
        <v>222</v>
      </c>
      <c r="O494" s="141" t="s">
        <v>222</v>
      </c>
      <c r="P494" s="141" t="s">
        <v>222</v>
      </c>
      <c r="Q494" s="141" t="s">
        <v>222</v>
      </c>
      <c r="R494" s="141" t="s">
        <v>222</v>
      </c>
      <c r="S494" s="141" t="s">
        <v>222</v>
      </c>
      <c r="T494" s="141" t="s">
        <v>222</v>
      </c>
      <c r="U494" s="141" t="s">
        <v>222</v>
      </c>
      <c r="V494" s="141" t="s">
        <v>222</v>
      </c>
      <c r="W494" s="141"/>
      <c r="X494" s="141"/>
      <c r="Y494" s="141"/>
      <c r="Z494" s="141"/>
    </row>
    <row r="495">
      <c r="A495" s="141"/>
      <c r="B495" s="141" t="s">
        <v>222</v>
      </c>
      <c r="C495" s="141" t="s">
        <v>222</v>
      </c>
      <c r="D495" s="141" t="s">
        <v>222</v>
      </c>
      <c r="E495" s="141" t="s">
        <v>222</v>
      </c>
      <c r="F495" s="141" t="s">
        <v>222</v>
      </c>
      <c r="G495" s="141" t="s">
        <v>222</v>
      </c>
      <c r="H495" s="141" t="s">
        <v>222</v>
      </c>
      <c r="I495" s="141" t="s">
        <v>222</v>
      </c>
      <c r="J495" s="141" t="s">
        <v>222</v>
      </c>
      <c r="K495" s="141" t="s">
        <v>222</v>
      </c>
      <c r="L495" s="141" t="s">
        <v>222</v>
      </c>
      <c r="M495" s="141" t="s">
        <v>222</v>
      </c>
      <c r="N495" s="141" t="s">
        <v>222</v>
      </c>
      <c r="O495" s="141" t="s">
        <v>222</v>
      </c>
      <c r="P495" s="141" t="s">
        <v>222</v>
      </c>
      <c r="Q495" s="141" t="s">
        <v>222</v>
      </c>
      <c r="R495" s="141" t="s">
        <v>222</v>
      </c>
      <c r="S495" s="141" t="s">
        <v>222</v>
      </c>
      <c r="T495" s="141" t="s">
        <v>222</v>
      </c>
      <c r="U495" s="141" t="s">
        <v>222</v>
      </c>
      <c r="V495" s="141" t="s">
        <v>222</v>
      </c>
      <c r="W495" s="141"/>
      <c r="X495" s="141"/>
      <c r="Y495" s="141"/>
      <c r="Z495" s="141"/>
    </row>
    <row r="496">
      <c r="A496" s="141"/>
      <c r="B496" s="141" t="s">
        <v>222</v>
      </c>
      <c r="C496" s="141" t="s">
        <v>222</v>
      </c>
      <c r="D496" s="141" t="s">
        <v>222</v>
      </c>
      <c r="E496" s="141" t="s">
        <v>222</v>
      </c>
      <c r="F496" s="141" t="s">
        <v>222</v>
      </c>
      <c r="G496" s="141" t="s">
        <v>222</v>
      </c>
      <c r="H496" s="141" t="s">
        <v>222</v>
      </c>
      <c r="I496" s="141" t="s">
        <v>222</v>
      </c>
      <c r="J496" s="141" t="s">
        <v>222</v>
      </c>
      <c r="K496" s="141" t="s">
        <v>222</v>
      </c>
      <c r="L496" s="141" t="s">
        <v>222</v>
      </c>
      <c r="M496" s="141" t="s">
        <v>222</v>
      </c>
      <c r="N496" s="141" t="s">
        <v>222</v>
      </c>
      <c r="O496" s="141" t="s">
        <v>222</v>
      </c>
      <c r="P496" s="141" t="s">
        <v>222</v>
      </c>
      <c r="Q496" s="141" t="s">
        <v>222</v>
      </c>
      <c r="R496" s="141" t="s">
        <v>222</v>
      </c>
      <c r="S496" s="141" t="s">
        <v>222</v>
      </c>
      <c r="T496" s="141" t="s">
        <v>222</v>
      </c>
      <c r="U496" s="141" t="s">
        <v>222</v>
      </c>
      <c r="V496" s="141" t="s">
        <v>222</v>
      </c>
      <c r="W496" s="141"/>
      <c r="X496" s="141"/>
      <c r="Y496" s="141"/>
      <c r="Z496" s="141"/>
    </row>
    <row r="497">
      <c r="A497" s="141"/>
      <c r="B497" s="141" t="s">
        <v>222</v>
      </c>
      <c r="C497" s="141" t="s">
        <v>222</v>
      </c>
      <c r="D497" s="141" t="s">
        <v>222</v>
      </c>
      <c r="E497" s="141" t="s">
        <v>222</v>
      </c>
      <c r="F497" s="141" t="s">
        <v>222</v>
      </c>
      <c r="G497" s="141" t="s">
        <v>222</v>
      </c>
      <c r="H497" s="141" t="s">
        <v>222</v>
      </c>
      <c r="I497" s="141" t="s">
        <v>222</v>
      </c>
      <c r="J497" s="141" t="s">
        <v>222</v>
      </c>
      <c r="K497" s="141" t="s">
        <v>222</v>
      </c>
      <c r="L497" s="141" t="s">
        <v>222</v>
      </c>
      <c r="M497" s="141" t="s">
        <v>222</v>
      </c>
      <c r="N497" s="141" t="s">
        <v>222</v>
      </c>
      <c r="O497" s="141" t="s">
        <v>222</v>
      </c>
      <c r="P497" s="141" t="s">
        <v>222</v>
      </c>
      <c r="Q497" s="141" t="s">
        <v>222</v>
      </c>
      <c r="R497" s="141" t="s">
        <v>222</v>
      </c>
      <c r="S497" s="141" t="s">
        <v>222</v>
      </c>
      <c r="T497" s="141" t="s">
        <v>222</v>
      </c>
      <c r="U497" s="141" t="s">
        <v>222</v>
      </c>
      <c r="V497" s="141" t="s">
        <v>222</v>
      </c>
      <c r="W497" s="141"/>
      <c r="X497" s="141"/>
      <c r="Y497" s="141"/>
      <c r="Z497" s="141"/>
    </row>
    <row r="498">
      <c r="A498" s="141"/>
      <c r="B498" s="141" t="s">
        <v>222</v>
      </c>
      <c r="C498" s="141" t="s">
        <v>222</v>
      </c>
      <c r="D498" s="141" t="s">
        <v>222</v>
      </c>
      <c r="E498" s="141" t="s">
        <v>222</v>
      </c>
      <c r="F498" s="141" t="s">
        <v>222</v>
      </c>
      <c r="G498" s="141" t="s">
        <v>222</v>
      </c>
      <c r="H498" s="141" t="s">
        <v>222</v>
      </c>
      <c r="I498" s="141" t="s">
        <v>222</v>
      </c>
      <c r="J498" s="141" t="s">
        <v>222</v>
      </c>
      <c r="K498" s="141" t="s">
        <v>222</v>
      </c>
      <c r="L498" s="141" t="s">
        <v>222</v>
      </c>
      <c r="M498" s="141" t="s">
        <v>222</v>
      </c>
      <c r="N498" s="141" t="s">
        <v>222</v>
      </c>
      <c r="O498" s="141" t="s">
        <v>222</v>
      </c>
      <c r="P498" s="141" t="s">
        <v>222</v>
      </c>
      <c r="Q498" s="141" t="s">
        <v>222</v>
      </c>
      <c r="R498" s="141" t="s">
        <v>222</v>
      </c>
      <c r="S498" s="141" t="s">
        <v>222</v>
      </c>
      <c r="T498" s="141" t="s">
        <v>222</v>
      </c>
      <c r="U498" s="141" t="s">
        <v>222</v>
      </c>
      <c r="V498" s="141" t="s">
        <v>222</v>
      </c>
      <c r="W498" s="141"/>
      <c r="X498" s="141"/>
      <c r="Y498" s="141"/>
      <c r="Z498" s="141"/>
    </row>
    <row r="499">
      <c r="A499" s="141"/>
      <c r="B499" s="141" t="s">
        <v>222</v>
      </c>
      <c r="C499" s="141" t="s">
        <v>222</v>
      </c>
      <c r="D499" s="141" t="s">
        <v>222</v>
      </c>
      <c r="E499" s="141" t="s">
        <v>222</v>
      </c>
      <c r="F499" s="141" t="s">
        <v>222</v>
      </c>
      <c r="G499" s="141" t="s">
        <v>222</v>
      </c>
      <c r="H499" s="141" t="s">
        <v>222</v>
      </c>
      <c r="I499" s="141" t="s">
        <v>222</v>
      </c>
      <c r="J499" s="141" t="s">
        <v>222</v>
      </c>
      <c r="K499" s="141" t="s">
        <v>222</v>
      </c>
      <c r="L499" s="141" t="s">
        <v>222</v>
      </c>
      <c r="M499" s="141" t="s">
        <v>222</v>
      </c>
      <c r="N499" s="141" t="s">
        <v>222</v>
      </c>
      <c r="O499" s="141" t="s">
        <v>222</v>
      </c>
      <c r="P499" s="141" t="s">
        <v>222</v>
      </c>
      <c r="Q499" s="141" t="s">
        <v>222</v>
      </c>
      <c r="R499" s="141" t="s">
        <v>222</v>
      </c>
      <c r="S499" s="141" t="s">
        <v>222</v>
      </c>
      <c r="T499" s="141" t="s">
        <v>222</v>
      </c>
      <c r="U499" s="141" t="s">
        <v>222</v>
      </c>
      <c r="V499" s="141" t="s">
        <v>222</v>
      </c>
      <c r="W499" s="141"/>
      <c r="X499" s="141"/>
      <c r="Y499" s="141"/>
      <c r="Z499" s="141"/>
    </row>
    <row r="500">
      <c r="A500" s="141"/>
      <c r="B500" s="141" t="s">
        <v>222</v>
      </c>
      <c r="C500" s="141" t="s">
        <v>222</v>
      </c>
      <c r="D500" s="141" t="s">
        <v>222</v>
      </c>
      <c r="E500" s="141" t="s">
        <v>222</v>
      </c>
      <c r="F500" s="141" t="s">
        <v>222</v>
      </c>
      <c r="G500" s="141" t="s">
        <v>222</v>
      </c>
      <c r="H500" s="141" t="s">
        <v>222</v>
      </c>
      <c r="I500" s="141" t="s">
        <v>222</v>
      </c>
      <c r="J500" s="141" t="s">
        <v>222</v>
      </c>
      <c r="K500" s="141" t="s">
        <v>222</v>
      </c>
      <c r="L500" s="141" t="s">
        <v>222</v>
      </c>
      <c r="M500" s="141" t="s">
        <v>222</v>
      </c>
      <c r="N500" s="141" t="s">
        <v>222</v>
      </c>
      <c r="O500" s="141" t="s">
        <v>222</v>
      </c>
      <c r="P500" s="141" t="s">
        <v>222</v>
      </c>
      <c r="Q500" s="141" t="s">
        <v>222</v>
      </c>
      <c r="R500" s="141" t="s">
        <v>222</v>
      </c>
      <c r="S500" s="141" t="s">
        <v>222</v>
      </c>
      <c r="T500" s="141" t="s">
        <v>222</v>
      </c>
      <c r="U500" s="141" t="s">
        <v>222</v>
      </c>
      <c r="V500" s="141" t="s">
        <v>222</v>
      </c>
      <c r="W500" s="141"/>
      <c r="X500" s="141"/>
      <c r="Y500" s="141"/>
      <c r="Z500" s="141"/>
    </row>
    <row r="501">
      <c r="A501" s="141"/>
      <c r="B501" s="141" t="s">
        <v>222</v>
      </c>
      <c r="C501" s="141" t="s">
        <v>222</v>
      </c>
      <c r="D501" s="141" t="s">
        <v>222</v>
      </c>
      <c r="E501" s="141" t="s">
        <v>222</v>
      </c>
      <c r="F501" s="141" t="s">
        <v>222</v>
      </c>
      <c r="G501" s="141" t="s">
        <v>222</v>
      </c>
      <c r="H501" s="141" t="s">
        <v>222</v>
      </c>
      <c r="I501" s="141" t="s">
        <v>222</v>
      </c>
      <c r="J501" s="141" t="s">
        <v>222</v>
      </c>
      <c r="K501" s="141" t="s">
        <v>222</v>
      </c>
      <c r="L501" s="141" t="s">
        <v>222</v>
      </c>
      <c r="M501" s="141" t="s">
        <v>222</v>
      </c>
      <c r="N501" s="141" t="s">
        <v>222</v>
      </c>
      <c r="O501" s="141" t="s">
        <v>222</v>
      </c>
      <c r="P501" s="141" t="s">
        <v>222</v>
      </c>
      <c r="Q501" s="141" t="s">
        <v>222</v>
      </c>
      <c r="R501" s="141" t="s">
        <v>222</v>
      </c>
      <c r="S501" s="141" t="s">
        <v>222</v>
      </c>
      <c r="T501" s="141" t="s">
        <v>222</v>
      </c>
      <c r="U501" s="141" t="s">
        <v>222</v>
      </c>
      <c r="V501" s="141" t="s">
        <v>222</v>
      </c>
      <c r="W501" s="141"/>
      <c r="X501" s="141"/>
      <c r="Y501" s="141"/>
      <c r="Z501" s="141"/>
    </row>
    <row r="502">
      <c r="A502" s="141"/>
      <c r="B502" s="141" t="s">
        <v>222</v>
      </c>
      <c r="C502" s="141" t="s">
        <v>222</v>
      </c>
      <c r="D502" s="141" t="s">
        <v>222</v>
      </c>
      <c r="E502" s="141" t="s">
        <v>222</v>
      </c>
      <c r="F502" s="141" t="s">
        <v>222</v>
      </c>
      <c r="G502" s="141" t="s">
        <v>222</v>
      </c>
      <c r="H502" s="141" t="s">
        <v>222</v>
      </c>
      <c r="I502" s="141" t="s">
        <v>222</v>
      </c>
      <c r="J502" s="141" t="s">
        <v>222</v>
      </c>
      <c r="K502" s="141" t="s">
        <v>222</v>
      </c>
      <c r="L502" s="141" t="s">
        <v>222</v>
      </c>
      <c r="M502" s="141" t="s">
        <v>222</v>
      </c>
      <c r="N502" s="141" t="s">
        <v>222</v>
      </c>
      <c r="O502" s="141" t="s">
        <v>222</v>
      </c>
      <c r="P502" s="141" t="s">
        <v>222</v>
      </c>
      <c r="Q502" s="141" t="s">
        <v>222</v>
      </c>
      <c r="R502" s="141" t="s">
        <v>222</v>
      </c>
      <c r="S502" s="141" t="s">
        <v>222</v>
      </c>
      <c r="T502" s="141" t="s">
        <v>222</v>
      </c>
      <c r="U502" s="141" t="s">
        <v>222</v>
      </c>
      <c r="V502" s="141" t="s">
        <v>222</v>
      </c>
      <c r="W502" s="141"/>
      <c r="X502" s="141"/>
      <c r="Y502" s="141"/>
      <c r="Z502" s="141"/>
    </row>
    <row r="503">
      <c r="A503" s="141"/>
      <c r="B503" s="141" t="s">
        <v>222</v>
      </c>
      <c r="C503" s="141" t="s">
        <v>222</v>
      </c>
      <c r="D503" s="141" t="s">
        <v>222</v>
      </c>
      <c r="E503" s="141" t="s">
        <v>222</v>
      </c>
      <c r="F503" s="141" t="s">
        <v>222</v>
      </c>
      <c r="G503" s="141" t="s">
        <v>222</v>
      </c>
      <c r="H503" s="141" t="s">
        <v>222</v>
      </c>
      <c r="I503" s="141" t="s">
        <v>222</v>
      </c>
      <c r="J503" s="141" t="s">
        <v>222</v>
      </c>
      <c r="K503" s="141" t="s">
        <v>222</v>
      </c>
      <c r="L503" s="141" t="s">
        <v>222</v>
      </c>
      <c r="M503" s="141" t="s">
        <v>222</v>
      </c>
      <c r="N503" s="141" t="s">
        <v>222</v>
      </c>
      <c r="O503" s="141" t="s">
        <v>222</v>
      </c>
      <c r="P503" s="141" t="s">
        <v>222</v>
      </c>
      <c r="Q503" s="141" t="s">
        <v>222</v>
      </c>
      <c r="R503" s="141" t="s">
        <v>222</v>
      </c>
      <c r="S503" s="141" t="s">
        <v>222</v>
      </c>
      <c r="T503" s="141" t="s">
        <v>222</v>
      </c>
      <c r="U503" s="141" t="s">
        <v>222</v>
      </c>
      <c r="V503" s="141" t="s">
        <v>222</v>
      </c>
      <c r="W503" s="141"/>
      <c r="X503" s="141"/>
      <c r="Y503" s="141"/>
      <c r="Z503" s="141"/>
    </row>
    <row r="504">
      <c r="A504" s="141"/>
      <c r="B504" s="141" t="s">
        <v>222</v>
      </c>
      <c r="C504" s="141" t="s">
        <v>222</v>
      </c>
      <c r="D504" s="141" t="s">
        <v>222</v>
      </c>
      <c r="E504" s="141" t="s">
        <v>222</v>
      </c>
      <c r="F504" s="141" t="s">
        <v>222</v>
      </c>
      <c r="G504" s="141" t="s">
        <v>222</v>
      </c>
      <c r="H504" s="141" t="s">
        <v>222</v>
      </c>
      <c r="I504" s="141" t="s">
        <v>222</v>
      </c>
      <c r="J504" s="141" t="s">
        <v>222</v>
      </c>
      <c r="K504" s="141" t="s">
        <v>222</v>
      </c>
      <c r="L504" s="141" t="s">
        <v>222</v>
      </c>
      <c r="M504" s="141" t="s">
        <v>222</v>
      </c>
      <c r="N504" s="141" t="s">
        <v>222</v>
      </c>
      <c r="O504" s="141" t="s">
        <v>222</v>
      </c>
      <c r="P504" s="141" t="s">
        <v>222</v>
      </c>
      <c r="Q504" s="141" t="s">
        <v>222</v>
      </c>
      <c r="R504" s="141" t="s">
        <v>222</v>
      </c>
      <c r="S504" s="141" t="s">
        <v>222</v>
      </c>
      <c r="T504" s="141" t="s">
        <v>222</v>
      </c>
      <c r="U504" s="141" t="s">
        <v>222</v>
      </c>
      <c r="V504" s="141" t="s">
        <v>222</v>
      </c>
      <c r="W504" s="141"/>
      <c r="X504" s="141"/>
      <c r="Y504" s="141"/>
      <c r="Z504" s="141"/>
    </row>
    <row r="505">
      <c r="A505" s="141"/>
      <c r="B505" s="141" t="s">
        <v>222</v>
      </c>
      <c r="C505" s="141" t="s">
        <v>222</v>
      </c>
      <c r="D505" s="141" t="s">
        <v>222</v>
      </c>
      <c r="E505" s="141" t="s">
        <v>222</v>
      </c>
      <c r="F505" s="141" t="s">
        <v>222</v>
      </c>
      <c r="G505" s="141" t="s">
        <v>222</v>
      </c>
      <c r="H505" s="141" t="s">
        <v>222</v>
      </c>
      <c r="I505" s="141" t="s">
        <v>222</v>
      </c>
      <c r="J505" s="141" t="s">
        <v>222</v>
      </c>
      <c r="K505" s="141" t="s">
        <v>222</v>
      </c>
      <c r="L505" s="141" t="s">
        <v>222</v>
      </c>
      <c r="M505" s="141" t="s">
        <v>222</v>
      </c>
      <c r="N505" s="141" t="s">
        <v>222</v>
      </c>
      <c r="O505" s="141" t="s">
        <v>222</v>
      </c>
      <c r="P505" s="141" t="s">
        <v>222</v>
      </c>
      <c r="Q505" s="141" t="s">
        <v>222</v>
      </c>
      <c r="R505" s="141" t="s">
        <v>222</v>
      </c>
      <c r="S505" s="141" t="s">
        <v>222</v>
      </c>
      <c r="T505" s="141" t="s">
        <v>222</v>
      </c>
      <c r="U505" s="141" t="s">
        <v>222</v>
      </c>
      <c r="V505" s="141" t="s">
        <v>222</v>
      </c>
      <c r="W505" s="141"/>
      <c r="X505" s="141"/>
      <c r="Y505" s="141"/>
      <c r="Z505" s="141"/>
    </row>
    <row r="506">
      <c r="A506" s="141"/>
      <c r="B506" s="141" t="s">
        <v>222</v>
      </c>
      <c r="C506" s="141" t="s">
        <v>222</v>
      </c>
      <c r="D506" s="141" t="s">
        <v>222</v>
      </c>
      <c r="E506" s="141" t="s">
        <v>222</v>
      </c>
      <c r="F506" s="141" t="s">
        <v>222</v>
      </c>
      <c r="G506" s="141" t="s">
        <v>222</v>
      </c>
      <c r="H506" s="141" t="s">
        <v>222</v>
      </c>
      <c r="I506" s="141" t="s">
        <v>222</v>
      </c>
      <c r="J506" s="141" t="s">
        <v>222</v>
      </c>
      <c r="K506" s="141" t="s">
        <v>222</v>
      </c>
      <c r="L506" s="141" t="s">
        <v>222</v>
      </c>
      <c r="M506" s="141" t="s">
        <v>222</v>
      </c>
      <c r="N506" s="141" t="s">
        <v>222</v>
      </c>
      <c r="O506" s="141" t="s">
        <v>222</v>
      </c>
      <c r="P506" s="141" t="s">
        <v>222</v>
      </c>
      <c r="Q506" s="141" t="s">
        <v>222</v>
      </c>
      <c r="R506" s="141" t="s">
        <v>222</v>
      </c>
      <c r="S506" s="141" t="s">
        <v>222</v>
      </c>
      <c r="T506" s="141" t="s">
        <v>222</v>
      </c>
      <c r="U506" s="141" t="s">
        <v>222</v>
      </c>
      <c r="V506" s="141" t="s">
        <v>222</v>
      </c>
      <c r="W506" s="141"/>
      <c r="X506" s="141"/>
      <c r="Y506" s="141"/>
      <c r="Z506" s="141"/>
    </row>
    <row r="507">
      <c r="A507" s="141"/>
      <c r="B507" s="141" t="s">
        <v>222</v>
      </c>
      <c r="C507" s="141" t="s">
        <v>222</v>
      </c>
      <c r="D507" s="141" t="s">
        <v>222</v>
      </c>
      <c r="E507" s="141" t="s">
        <v>222</v>
      </c>
      <c r="F507" s="141" t="s">
        <v>222</v>
      </c>
      <c r="G507" s="141" t="s">
        <v>222</v>
      </c>
      <c r="H507" s="141" t="s">
        <v>222</v>
      </c>
      <c r="I507" s="141" t="s">
        <v>222</v>
      </c>
      <c r="J507" s="141" t="s">
        <v>222</v>
      </c>
      <c r="K507" s="141" t="s">
        <v>222</v>
      </c>
      <c r="L507" s="141" t="s">
        <v>222</v>
      </c>
      <c r="M507" s="141" t="s">
        <v>222</v>
      </c>
      <c r="N507" s="141" t="s">
        <v>222</v>
      </c>
      <c r="O507" s="141" t="s">
        <v>222</v>
      </c>
      <c r="P507" s="141" t="s">
        <v>222</v>
      </c>
      <c r="Q507" s="141" t="s">
        <v>222</v>
      </c>
      <c r="R507" s="141" t="s">
        <v>222</v>
      </c>
      <c r="S507" s="141" t="s">
        <v>222</v>
      </c>
      <c r="T507" s="141" t="s">
        <v>222</v>
      </c>
      <c r="U507" s="141" t="s">
        <v>222</v>
      </c>
      <c r="V507" s="141" t="s">
        <v>222</v>
      </c>
      <c r="W507" s="141"/>
      <c r="X507" s="141"/>
      <c r="Y507" s="141"/>
      <c r="Z507" s="141"/>
    </row>
    <row r="508">
      <c r="A508" s="141"/>
      <c r="B508" s="141" t="s">
        <v>222</v>
      </c>
      <c r="C508" s="141" t="s">
        <v>222</v>
      </c>
      <c r="D508" s="141" t="s">
        <v>222</v>
      </c>
      <c r="E508" s="141" t="s">
        <v>222</v>
      </c>
      <c r="F508" s="141" t="s">
        <v>222</v>
      </c>
      <c r="G508" s="141" t="s">
        <v>222</v>
      </c>
      <c r="H508" s="141" t="s">
        <v>222</v>
      </c>
      <c r="I508" s="141" t="s">
        <v>222</v>
      </c>
      <c r="J508" s="141" t="s">
        <v>222</v>
      </c>
      <c r="K508" s="141" t="s">
        <v>222</v>
      </c>
      <c r="L508" s="141" t="s">
        <v>222</v>
      </c>
      <c r="M508" s="141" t="s">
        <v>222</v>
      </c>
      <c r="N508" s="141" t="s">
        <v>222</v>
      </c>
      <c r="O508" s="141" t="s">
        <v>222</v>
      </c>
      <c r="P508" s="141" t="s">
        <v>222</v>
      </c>
      <c r="Q508" s="141" t="s">
        <v>222</v>
      </c>
      <c r="R508" s="141" t="s">
        <v>222</v>
      </c>
      <c r="S508" s="141" t="s">
        <v>222</v>
      </c>
      <c r="T508" s="141" t="s">
        <v>222</v>
      </c>
      <c r="U508" s="141" t="s">
        <v>222</v>
      </c>
      <c r="V508" s="141" t="s">
        <v>222</v>
      </c>
      <c r="W508" s="141"/>
      <c r="X508" s="141"/>
      <c r="Y508" s="141"/>
      <c r="Z508" s="141"/>
    </row>
    <row r="509">
      <c r="A509" s="141"/>
      <c r="B509" s="141" t="s">
        <v>222</v>
      </c>
      <c r="C509" s="141" t="s">
        <v>222</v>
      </c>
      <c r="D509" s="141" t="s">
        <v>222</v>
      </c>
      <c r="E509" s="141" t="s">
        <v>222</v>
      </c>
      <c r="F509" s="141" t="s">
        <v>222</v>
      </c>
      <c r="G509" s="141" t="s">
        <v>222</v>
      </c>
      <c r="H509" s="141" t="s">
        <v>222</v>
      </c>
      <c r="I509" s="141" t="s">
        <v>222</v>
      </c>
      <c r="J509" s="141" t="s">
        <v>222</v>
      </c>
      <c r="K509" s="141" t="s">
        <v>222</v>
      </c>
      <c r="L509" s="141" t="s">
        <v>222</v>
      </c>
      <c r="M509" s="141" t="s">
        <v>222</v>
      </c>
      <c r="N509" s="141" t="s">
        <v>222</v>
      </c>
      <c r="O509" s="141" t="s">
        <v>222</v>
      </c>
      <c r="P509" s="141" t="s">
        <v>222</v>
      </c>
      <c r="Q509" s="141" t="s">
        <v>222</v>
      </c>
      <c r="R509" s="141" t="s">
        <v>222</v>
      </c>
      <c r="S509" s="141" t="s">
        <v>222</v>
      </c>
      <c r="T509" s="141" t="s">
        <v>222</v>
      </c>
      <c r="U509" s="141" t="s">
        <v>222</v>
      </c>
      <c r="V509" s="141" t="s">
        <v>222</v>
      </c>
      <c r="W509" s="141"/>
      <c r="X509" s="141"/>
      <c r="Y509" s="141"/>
      <c r="Z509" s="141"/>
    </row>
    <row r="510">
      <c r="A510" s="141"/>
      <c r="B510" s="141" t="s">
        <v>222</v>
      </c>
      <c r="C510" s="141" t="s">
        <v>222</v>
      </c>
      <c r="D510" s="141" t="s">
        <v>222</v>
      </c>
      <c r="E510" s="141" t="s">
        <v>222</v>
      </c>
      <c r="F510" s="141" t="s">
        <v>222</v>
      </c>
      <c r="G510" s="141" t="s">
        <v>222</v>
      </c>
      <c r="H510" s="141" t="s">
        <v>222</v>
      </c>
      <c r="I510" s="141" t="s">
        <v>222</v>
      </c>
      <c r="J510" s="141" t="s">
        <v>222</v>
      </c>
      <c r="K510" s="141" t="s">
        <v>222</v>
      </c>
      <c r="L510" s="141" t="s">
        <v>222</v>
      </c>
      <c r="M510" s="141" t="s">
        <v>222</v>
      </c>
      <c r="N510" s="141" t="s">
        <v>222</v>
      </c>
      <c r="O510" s="141" t="s">
        <v>222</v>
      </c>
      <c r="P510" s="141" t="s">
        <v>222</v>
      </c>
      <c r="Q510" s="141" t="s">
        <v>222</v>
      </c>
      <c r="R510" s="141" t="s">
        <v>222</v>
      </c>
      <c r="S510" s="141" t="s">
        <v>222</v>
      </c>
      <c r="T510" s="141" t="s">
        <v>222</v>
      </c>
      <c r="U510" s="141" t="s">
        <v>222</v>
      </c>
      <c r="V510" s="141" t="s">
        <v>222</v>
      </c>
      <c r="W510" s="141"/>
      <c r="X510" s="141"/>
      <c r="Y510" s="141"/>
      <c r="Z510" s="141"/>
    </row>
    <row r="511">
      <c r="A511" s="141"/>
      <c r="B511" s="141" t="s">
        <v>222</v>
      </c>
      <c r="C511" s="141" t="s">
        <v>222</v>
      </c>
      <c r="D511" s="141" t="s">
        <v>222</v>
      </c>
      <c r="E511" s="141" t="s">
        <v>222</v>
      </c>
      <c r="F511" s="141" t="s">
        <v>222</v>
      </c>
      <c r="G511" s="141" t="s">
        <v>222</v>
      </c>
      <c r="H511" s="141" t="s">
        <v>222</v>
      </c>
      <c r="I511" s="141" t="s">
        <v>222</v>
      </c>
      <c r="J511" s="141" t="s">
        <v>222</v>
      </c>
      <c r="K511" s="141" t="s">
        <v>222</v>
      </c>
      <c r="L511" s="141" t="s">
        <v>222</v>
      </c>
      <c r="M511" s="141" t="s">
        <v>222</v>
      </c>
      <c r="N511" s="141" t="s">
        <v>222</v>
      </c>
      <c r="O511" s="141" t="s">
        <v>222</v>
      </c>
      <c r="P511" s="141" t="s">
        <v>222</v>
      </c>
      <c r="Q511" s="141" t="s">
        <v>222</v>
      </c>
      <c r="R511" s="141" t="s">
        <v>222</v>
      </c>
      <c r="S511" s="141" t="s">
        <v>222</v>
      </c>
      <c r="T511" s="141" t="s">
        <v>222</v>
      </c>
      <c r="U511" s="141" t="s">
        <v>222</v>
      </c>
      <c r="V511" s="141" t="s">
        <v>222</v>
      </c>
      <c r="W511" s="141"/>
      <c r="X511" s="141"/>
      <c r="Y511" s="141"/>
      <c r="Z511" s="141"/>
    </row>
    <row r="512">
      <c r="A512" s="141"/>
      <c r="B512" s="141" t="s">
        <v>222</v>
      </c>
      <c r="C512" s="141" t="s">
        <v>222</v>
      </c>
      <c r="D512" s="141" t="s">
        <v>222</v>
      </c>
      <c r="E512" s="141" t="s">
        <v>222</v>
      </c>
      <c r="F512" s="141" t="s">
        <v>222</v>
      </c>
      <c r="G512" s="141" t="s">
        <v>222</v>
      </c>
      <c r="H512" s="141" t="s">
        <v>222</v>
      </c>
      <c r="I512" s="141" t="s">
        <v>222</v>
      </c>
      <c r="J512" s="141" t="s">
        <v>222</v>
      </c>
      <c r="K512" s="141" t="s">
        <v>222</v>
      </c>
      <c r="L512" s="141" t="s">
        <v>222</v>
      </c>
      <c r="M512" s="141" t="s">
        <v>222</v>
      </c>
      <c r="N512" s="141" t="s">
        <v>222</v>
      </c>
      <c r="O512" s="141" t="s">
        <v>222</v>
      </c>
      <c r="P512" s="141" t="s">
        <v>222</v>
      </c>
      <c r="Q512" s="141" t="s">
        <v>222</v>
      </c>
      <c r="R512" s="141" t="s">
        <v>222</v>
      </c>
      <c r="S512" s="141" t="s">
        <v>222</v>
      </c>
      <c r="T512" s="141" t="s">
        <v>222</v>
      </c>
      <c r="U512" s="141" t="s">
        <v>222</v>
      </c>
      <c r="V512" s="141" t="s">
        <v>222</v>
      </c>
      <c r="W512" s="141"/>
      <c r="X512" s="141"/>
      <c r="Y512" s="141"/>
      <c r="Z512" s="141"/>
    </row>
    <row r="513">
      <c r="A513" s="141"/>
      <c r="B513" s="141" t="s">
        <v>222</v>
      </c>
      <c r="C513" s="141" t="s">
        <v>222</v>
      </c>
      <c r="D513" s="141" t="s">
        <v>222</v>
      </c>
      <c r="E513" s="141" t="s">
        <v>222</v>
      </c>
      <c r="F513" s="141" t="s">
        <v>222</v>
      </c>
      <c r="G513" s="141" t="s">
        <v>222</v>
      </c>
      <c r="H513" s="141" t="s">
        <v>222</v>
      </c>
      <c r="I513" s="141" t="s">
        <v>222</v>
      </c>
      <c r="J513" s="141" t="s">
        <v>222</v>
      </c>
      <c r="K513" s="141" t="s">
        <v>222</v>
      </c>
      <c r="L513" s="141" t="s">
        <v>222</v>
      </c>
      <c r="M513" s="141" t="s">
        <v>222</v>
      </c>
      <c r="N513" s="141" t="s">
        <v>222</v>
      </c>
      <c r="O513" s="141" t="s">
        <v>222</v>
      </c>
      <c r="P513" s="141" t="s">
        <v>222</v>
      </c>
      <c r="Q513" s="141" t="s">
        <v>222</v>
      </c>
      <c r="R513" s="141" t="s">
        <v>222</v>
      </c>
      <c r="S513" s="141" t="s">
        <v>222</v>
      </c>
      <c r="T513" s="141" t="s">
        <v>222</v>
      </c>
      <c r="U513" s="141" t="s">
        <v>222</v>
      </c>
      <c r="V513" s="141" t="s">
        <v>222</v>
      </c>
      <c r="W513" s="141"/>
      <c r="X513" s="141"/>
      <c r="Y513" s="141"/>
      <c r="Z513" s="141"/>
    </row>
    <row r="514">
      <c r="A514" s="141"/>
      <c r="B514" s="141" t="s">
        <v>222</v>
      </c>
      <c r="C514" s="141" t="s">
        <v>222</v>
      </c>
      <c r="D514" s="141" t="s">
        <v>222</v>
      </c>
      <c r="E514" s="141" t="s">
        <v>222</v>
      </c>
      <c r="F514" s="141" t="s">
        <v>222</v>
      </c>
      <c r="G514" s="141" t="s">
        <v>222</v>
      </c>
      <c r="H514" s="141" t="s">
        <v>222</v>
      </c>
      <c r="I514" s="141" t="s">
        <v>222</v>
      </c>
      <c r="J514" s="141" t="s">
        <v>222</v>
      </c>
      <c r="K514" s="141" t="s">
        <v>222</v>
      </c>
      <c r="L514" s="141" t="s">
        <v>222</v>
      </c>
      <c r="M514" s="141" t="s">
        <v>222</v>
      </c>
      <c r="N514" s="141" t="s">
        <v>222</v>
      </c>
      <c r="O514" s="141" t="s">
        <v>222</v>
      </c>
      <c r="P514" s="141" t="s">
        <v>222</v>
      </c>
      <c r="Q514" s="141" t="s">
        <v>222</v>
      </c>
      <c r="R514" s="141" t="s">
        <v>222</v>
      </c>
      <c r="S514" s="141" t="s">
        <v>222</v>
      </c>
      <c r="T514" s="141" t="s">
        <v>222</v>
      </c>
      <c r="U514" s="141" t="s">
        <v>222</v>
      </c>
      <c r="V514" s="141" t="s">
        <v>222</v>
      </c>
      <c r="W514" s="141"/>
      <c r="X514" s="141"/>
      <c r="Y514" s="141"/>
      <c r="Z514" s="141"/>
    </row>
    <row r="515">
      <c r="A515" s="141"/>
      <c r="B515" s="141" t="s">
        <v>222</v>
      </c>
      <c r="C515" s="141" t="s">
        <v>222</v>
      </c>
      <c r="D515" s="141" t="s">
        <v>222</v>
      </c>
      <c r="E515" s="141" t="s">
        <v>222</v>
      </c>
      <c r="F515" s="141" t="s">
        <v>222</v>
      </c>
      <c r="G515" s="141" t="s">
        <v>222</v>
      </c>
      <c r="H515" s="141" t="s">
        <v>222</v>
      </c>
      <c r="I515" s="141" t="s">
        <v>222</v>
      </c>
      <c r="J515" s="141" t="s">
        <v>222</v>
      </c>
      <c r="K515" s="141" t="s">
        <v>222</v>
      </c>
      <c r="L515" s="141" t="s">
        <v>222</v>
      </c>
      <c r="M515" s="141" t="s">
        <v>222</v>
      </c>
      <c r="N515" s="141" t="s">
        <v>222</v>
      </c>
      <c r="O515" s="141" t="s">
        <v>222</v>
      </c>
      <c r="P515" s="141" t="s">
        <v>222</v>
      </c>
      <c r="Q515" s="141" t="s">
        <v>222</v>
      </c>
      <c r="R515" s="141" t="s">
        <v>222</v>
      </c>
      <c r="S515" s="141" t="s">
        <v>222</v>
      </c>
      <c r="T515" s="141" t="s">
        <v>222</v>
      </c>
      <c r="U515" s="141" t="s">
        <v>222</v>
      </c>
      <c r="V515" s="141" t="s">
        <v>222</v>
      </c>
      <c r="W515" s="141"/>
      <c r="X515" s="141"/>
      <c r="Y515" s="141"/>
      <c r="Z515" s="141"/>
    </row>
    <row r="516">
      <c r="A516" s="141"/>
      <c r="B516" s="141" t="s">
        <v>222</v>
      </c>
      <c r="C516" s="141" t="s">
        <v>222</v>
      </c>
      <c r="D516" s="141" t="s">
        <v>222</v>
      </c>
      <c r="E516" s="141" t="s">
        <v>222</v>
      </c>
      <c r="F516" s="141" t="s">
        <v>222</v>
      </c>
      <c r="G516" s="141" t="s">
        <v>222</v>
      </c>
      <c r="H516" s="141" t="s">
        <v>222</v>
      </c>
      <c r="I516" s="141" t="s">
        <v>222</v>
      </c>
      <c r="J516" s="141" t="s">
        <v>222</v>
      </c>
      <c r="K516" s="141" t="s">
        <v>222</v>
      </c>
      <c r="L516" s="141" t="s">
        <v>222</v>
      </c>
      <c r="M516" s="141" t="s">
        <v>222</v>
      </c>
      <c r="N516" s="141" t="s">
        <v>222</v>
      </c>
      <c r="O516" s="141" t="s">
        <v>222</v>
      </c>
      <c r="P516" s="141" t="s">
        <v>222</v>
      </c>
      <c r="Q516" s="141" t="s">
        <v>222</v>
      </c>
      <c r="R516" s="141" t="s">
        <v>222</v>
      </c>
      <c r="S516" s="141" t="s">
        <v>222</v>
      </c>
      <c r="T516" s="141" t="s">
        <v>222</v>
      </c>
      <c r="U516" s="141" t="s">
        <v>222</v>
      </c>
      <c r="V516" s="141" t="s">
        <v>222</v>
      </c>
      <c r="W516" s="141"/>
      <c r="X516" s="141"/>
      <c r="Y516" s="141"/>
      <c r="Z516" s="141"/>
    </row>
    <row r="517">
      <c r="A517" s="141"/>
      <c r="B517" s="141" t="s">
        <v>222</v>
      </c>
      <c r="C517" s="141" t="s">
        <v>222</v>
      </c>
      <c r="D517" s="141" t="s">
        <v>222</v>
      </c>
      <c r="E517" s="141" t="s">
        <v>222</v>
      </c>
      <c r="F517" s="141" t="s">
        <v>222</v>
      </c>
      <c r="G517" s="141" t="s">
        <v>222</v>
      </c>
      <c r="H517" s="141" t="s">
        <v>222</v>
      </c>
      <c r="I517" s="141" t="s">
        <v>222</v>
      </c>
      <c r="J517" s="141" t="s">
        <v>222</v>
      </c>
      <c r="K517" s="141" t="s">
        <v>222</v>
      </c>
      <c r="L517" s="141" t="s">
        <v>222</v>
      </c>
      <c r="M517" s="141" t="s">
        <v>222</v>
      </c>
      <c r="N517" s="141" t="s">
        <v>222</v>
      </c>
      <c r="O517" s="141" t="s">
        <v>222</v>
      </c>
      <c r="P517" s="141" t="s">
        <v>222</v>
      </c>
      <c r="Q517" s="141" t="s">
        <v>222</v>
      </c>
      <c r="R517" s="141" t="s">
        <v>222</v>
      </c>
      <c r="S517" s="141" t="s">
        <v>222</v>
      </c>
      <c r="T517" s="141" t="s">
        <v>222</v>
      </c>
      <c r="U517" s="141" t="s">
        <v>222</v>
      </c>
      <c r="V517" s="141" t="s">
        <v>222</v>
      </c>
      <c r="W517" s="141"/>
      <c r="X517" s="141"/>
      <c r="Y517" s="141"/>
      <c r="Z517" s="141"/>
    </row>
    <row r="518">
      <c r="A518" s="141"/>
      <c r="B518" s="141" t="s">
        <v>222</v>
      </c>
      <c r="C518" s="141" t="s">
        <v>222</v>
      </c>
      <c r="D518" s="141" t="s">
        <v>222</v>
      </c>
      <c r="E518" s="141" t="s">
        <v>222</v>
      </c>
      <c r="F518" s="141" t="s">
        <v>222</v>
      </c>
      <c r="G518" s="141" t="s">
        <v>222</v>
      </c>
      <c r="H518" s="141" t="s">
        <v>222</v>
      </c>
      <c r="I518" s="141" t="s">
        <v>222</v>
      </c>
      <c r="J518" s="141" t="s">
        <v>222</v>
      </c>
      <c r="K518" s="141" t="s">
        <v>222</v>
      </c>
      <c r="L518" s="141" t="s">
        <v>222</v>
      </c>
      <c r="M518" s="141" t="s">
        <v>222</v>
      </c>
      <c r="N518" s="141" t="s">
        <v>222</v>
      </c>
      <c r="O518" s="141" t="s">
        <v>222</v>
      </c>
      <c r="P518" s="141" t="s">
        <v>222</v>
      </c>
      <c r="Q518" s="141" t="s">
        <v>222</v>
      </c>
      <c r="R518" s="141" t="s">
        <v>222</v>
      </c>
      <c r="S518" s="141" t="s">
        <v>222</v>
      </c>
      <c r="T518" s="141" t="s">
        <v>222</v>
      </c>
      <c r="U518" s="141" t="s">
        <v>222</v>
      </c>
      <c r="V518" s="141" t="s">
        <v>222</v>
      </c>
      <c r="W518" s="141"/>
      <c r="X518" s="141"/>
      <c r="Y518" s="141"/>
      <c r="Z518" s="141"/>
    </row>
    <row r="519">
      <c r="A519" s="141"/>
      <c r="B519" s="141" t="s">
        <v>222</v>
      </c>
      <c r="C519" s="141" t="s">
        <v>222</v>
      </c>
      <c r="D519" s="141" t="s">
        <v>222</v>
      </c>
      <c r="E519" s="141" t="s">
        <v>222</v>
      </c>
      <c r="F519" s="141" t="s">
        <v>222</v>
      </c>
      <c r="G519" s="141" t="s">
        <v>222</v>
      </c>
      <c r="H519" s="141" t="s">
        <v>222</v>
      </c>
      <c r="I519" s="141" t="s">
        <v>222</v>
      </c>
      <c r="J519" s="141" t="s">
        <v>222</v>
      </c>
      <c r="K519" s="141" t="s">
        <v>222</v>
      </c>
      <c r="L519" s="141" t="s">
        <v>222</v>
      </c>
      <c r="M519" s="141" t="s">
        <v>222</v>
      </c>
      <c r="N519" s="141" t="s">
        <v>222</v>
      </c>
      <c r="O519" s="141" t="s">
        <v>222</v>
      </c>
      <c r="P519" s="141" t="s">
        <v>222</v>
      </c>
      <c r="Q519" s="141" t="s">
        <v>222</v>
      </c>
      <c r="R519" s="141" t="s">
        <v>222</v>
      </c>
      <c r="S519" s="141" t="s">
        <v>222</v>
      </c>
      <c r="T519" s="141" t="s">
        <v>222</v>
      </c>
      <c r="U519" s="141" t="s">
        <v>222</v>
      </c>
      <c r="V519" s="141" t="s">
        <v>222</v>
      </c>
      <c r="W519" s="141"/>
      <c r="X519" s="141"/>
      <c r="Y519" s="141"/>
      <c r="Z519" s="141"/>
    </row>
    <row r="520">
      <c r="A520" s="141"/>
      <c r="B520" s="141" t="s">
        <v>222</v>
      </c>
      <c r="C520" s="141" t="s">
        <v>222</v>
      </c>
      <c r="D520" s="141" t="s">
        <v>222</v>
      </c>
      <c r="E520" s="141" t="s">
        <v>222</v>
      </c>
      <c r="F520" s="141" t="s">
        <v>222</v>
      </c>
      <c r="G520" s="141" t="s">
        <v>222</v>
      </c>
      <c r="H520" s="141" t="s">
        <v>222</v>
      </c>
      <c r="I520" s="141" t="s">
        <v>222</v>
      </c>
      <c r="J520" s="141" t="s">
        <v>222</v>
      </c>
      <c r="K520" s="141" t="s">
        <v>222</v>
      </c>
      <c r="L520" s="141" t="s">
        <v>222</v>
      </c>
      <c r="M520" s="141" t="s">
        <v>222</v>
      </c>
      <c r="N520" s="141" t="s">
        <v>222</v>
      </c>
      <c r="O520" s="141" t="s">
        <v>222</v>
      </c>
      <c r="P520" s="141" t="s">
        <v>222</v>
      </c>
      <c r="Q520" s="141" t="s">
        <v>222</v>
      </c>
      <c r="R520" s="141" t="s">
        <v>222</v>
      </c>
      <c r="S520" s="141" t="s">
        <v>222</v>
      </c>
      <c r="T520" s="141" t="s">
        <v>222</v>
      </c>
      <c r="U520" s="141" t="s">
        <v>222</v>
      </c>
      <c r="V520" s="141" t="s">
        <v>222</v>
      </c>
      <c r="W520" s="141"/>
      <c r="X520" s="141"/>
      <c r="Y520" s="141"/>
      <c r="Z520" s="141"/>
    </row>
    <row r="521">
      <c r="A521" s="141"/>
      <c r="B521" s="141" t="s">
        <v>222</v>
      </c>
      <c r="C521" s="141" t="s">
        <v>222</v>
      </c>
      <c r="D521" s="141" t="s">
        <v>222</v>
      </c>
      <c r="E521" s="141" t="s">
        <v>222</v>
      </c>
      <c r="F521" s="141" t="s">
        <v>222</v>
      </c>
      <c r="G521" s="141" t="s">
        <v>222</v>
      </c>
      <c r="H521" s="141" t="s">
        <v>222</v>
      </c>
      <c r="I521" s="141" t="s">
        <v>222</v>
      </c>
      <c r="J521" s="141" t="s">
        <v>222</v>
      </c>
      <c r="K521" s="141" t="s">
        <v>222</v>
      </c>
      <c r="L521" s="141" t="s">
        <v>222</v>
      </c>
      <c r="M521" s="141" t="s">
        <v>222</v>
      </c>
      <c r="N521" s="141" t="s">
        <v>222</v>
      </c>
      <c r="O521" s="141" t="s">
        <v>222</v>
      </c>
      <c r="P521" s="141" t="s">
        <v>222</v>
      </c>
      <c r="Q521" s="141" t="s">
        <v>222</v>
      </c>
      <c r="R521" s="141" t="s">
        <v>222</v>
      </c>
      <c r="S521" s="141" t="s">
        <v>222</v>
      </c>
      <c r="T521" s="141" t="s">
        <v>222</v>
      </c>
      <c r="U521" s="141" t="s">
        <v>222</v>
      </c>
      <c r="V521" s="141" t="s">
        <v>222</v>
      </c>
      <c r="W521" s="141"/>
      <c r="X521" s="141"/>
      <c r="Y521" s="141"/>
      <c r="Z521" s="141"/>
    </row>
    <row r="522">
      <c r="A522" s="141"/>
      <c r="B522" s="141" t="s">
        <v>222</v>
      </c>
      <c r="C522" s="141" t="s">
        <v>222</v>
      </c>
      <c r="D522" s="141" t="s">
        <v>222</v>
      </c>
      <c r="E522" s="141" t="s">
        <v>222</v>
      </c>
      <c r="F522" s="141" t="s">
        <v>222</v>
      </c>
      <c r="G522" s="141" t="s">
        <v>222</v>
      </c>
      <c r="H522" s="141" t="s">
        <v>222</v>
      </c>
      <c r="I522" s="141" t="s">
        <v>222</v>
      </c>
      <c r="J522" s="141" t="s">
        <v>222</v>
      </c>
      <c r="K522" s="141" t="s">
        <v>222</v>
      </c>
      <c r="L522" s="141" t="s">
        <v>222</v>
      </c>
      <c r="M522" s="141" t="s">
        <v>222</v>
      </c>
      <c r="N522" s="141" t="s">
        <v>222</v>
      </c>
      <c r="O522" s="141" t="s">
        <v>222</v>
      </c>
      <c r="P522" s="141" t="s">
        <v>222</v>
      </c>
      <c r="Q522" s="141" t="s">
        <v>222</v>
      </c>
      <c r="R522" s="141" t="s">
        <v>222</v>
      </c>
      <c r="S522" s="141" t="s">
        <v>222</v>
      </c>
      <c r="T522" s="141" t="s">
        <v>222</v>
      </c>
      <c r="U522" s="141" t="s">
        <v>222</v>
      </c>
      <c r="V522" s="141" t="s">
        <v>222</v>
      </c>
      <c r="W522" s="141"/>
      <c r="X522" s="141"/>
      <c r="Y522" s="141"/>
      <c r="Z522" s="141"/>
    </row>
    <row r="523">
      <c r="A523" s="141"/>
      <c r="B523" s="141" t="s">
        <v>222</v>
      </c>
      <c r="C523" s="141" t="s">
        <v>222</v>
      </c>
      <c r="D523" s="141" t="s">
        <v>222</v>
      </c>
      <c r="E523" s="141" t="s">
        <v>222</v>
      </c>
      <c r="F523" s="141" t="s">
        <v>222</v>
      </c>
      <c r="G523" s="141" t="s">
        <v>222</v>
      </c>
      <c r="H523" s="141" t="s">
        <v>222</v>
      </c>
      <c r="I523" s="141" t="s">
        <v>222</v>
      </c>
      <c r="J523" s="141" t="s">
        <v>222</v>
      </c>
      <c r="K523" s="141" t="s">
        <v>222</v>
      </c>
      <c r="L523" s="141" t="s">
        <v>222</v>
      </c>
      <c r="M523" s="141" t="s">
        <v>222</v>
      </c>
      <c r="N523" s="141" t="s">
        <v>222</v>
      </c>
      <c r="O523" s="141" t="s">
        <v>222</v>
      </c>
      <c r="P523" s="141" t="s">
        <v>222</v>
      </c>
      <c r="Q523" s="141" t="s">
        <v>222</v>
      </c>
      <c r="R523" s="141" t="s">
        <v>222</v>
      </c>
      <c r="S523" s="141" t="s">
        <v>222</v>
      </c>
      <c r="T523" s="141" t="s">
        <v>222</v>
      </c>
      <c r="U523" s="141" t="s">
        <v>222</v>
      </c>
      <c r="V523" s="141" t="s">
        <v>222</v>
      </c>
      <c r="W523" s="141"/>
      <c r="X523" s="141"/>
      <c r="Y523" s="141"/>
      <c r="Z523" s="141"/>
    </row>
    <row r="524">
      <c r="A524" s="141"/>
      <c r="B524" s="141" t="s">
        <v>222</v>
      </c>
      <c r="C524" s="141" t="s">
        <v>222</v>
      </c>
      <c r="D524" s="141" t="s">
        <v>222</v>
      </c>
      <c r="E524" s="141" t="s">
        <v>222</v>
      </c>
      <c r="F524" s="141" t="s">
        <v>222</v>
      </c>
      <c r="G524" s="141" t="s">
        <v>222</v>
      </c>
      <c r="H524" s="141" t="s">
        <v>222</v>
      </c>
      <c r="I524" s="141" t="s">
        <v>222</v>
      </c>
      <c r="J524" s="141" t="s">
        <v>222</v>
      </c>
      <c r="K524" s="141" t="s">
        <v>222</v>
      </c>
      <c r="L524" s="141" t="s">
        <v>222</v>
      </c>
      <c r="M524" s="141" t="s">
        <v>222</v>
      </c>
      <c r="N524" s="141" t="s">
        <v>222</v>
      </c>
      <c r="O524" s="141" t="s">
        <v>222</v>
      </c>
      <c r="P524" s="141" t="s">
        <v>222</v>
      </c>
      <c r="Q524" s="141" t="s">
        <v>222</v>
      </c>
      <c r="R524" s="141" t="s">
        <v>222</v>
      </c>
      <c r="S524" s="141" t="s">
        <v>222</v>
      </c>
      <c r="T524" s="141" t="s">
        <v>222</v>
      </c>
      <c r="U524" s="141" t="s">
        <v>222</v>
      </c>
      <c r="V524" s="141" t="s">
        <v>222</v>
      </c>
      <c r="W524" s="141"/>
      <c r="X524" s="141"/>
      <c r="Y524" s="141"/>
      <c r="Z524" s="141"/>
    </row>
    <row r="525">
      <c r="A525" s="141"/>
      <c r="B525" s="141" t="s">
        <v>222</v>
      </c>
      <c r="C525" s="141" t="s">
        <v>222</v>
      </c>
      <c r="D525" s="141" t="s">
        <v>222</v>
      </c>
      <c r="E525" s="141" t="s">
        <v>222</v>
      </c>
      <c r="F525" s="141" t="s">
        <v>222</v>
      </c>
      <c r="G525" s="141" t="s">
        <v>222</v>
      </c>
      <c r="H525" s="141" t="s">
        <v>222</v>
      </c>
      <c r="I525" s="141" t="s">
        <v>222</v>
      </c>
      <c r="J525" s="141" t="s">
        <v>222</v>
      </c>
      <c r="K525" s="141" t="s">
        <v>222</v>
      </c>
      <c r="L525" s="141" t="s">
        <v>222</v>
      </c>
      <c r="M525" s="141" t="s">
        <v>222</v>
      </c>
      <c r="N525" s="141" t="s">
        <v>222</v>
      </c>
      <c r="O525" s="141" t="s">
        <v>222</v>
      </c>
      <c r="P525" s="141" t="s">
        <v>222</v>
      </c>
      <c r="Q525" s="141" t="s">
        <v>222</v>
      </c>
      <c r="R525" s="141" t="s">
        <v>222</v>
      </c>
      <c r="S525" s="141" t="s">
        <v>222</v>
      </c>
      <c r="T525" s="141" t="s">
        <v>222</v>
      </c>
      <c r="U525" s="141" t="s">
        <v>222</v>
      </c>
      <c r="V525" s="141" t="s">
        <v>222</v>
      </c>
      <c r="W525" s="141"/>
      <c r="X525" s="141"/>
      <c r="Y525" s="141"/>
      <c r="Z525" s="141"/>
    </row>
    <row r="526">
      <c r="A526" s="141"/>
      <c r="B526" s="141" t="s">
        <v>222</v>
      </c>
      <c r="C526" s="141" t="s">
        <v>222</v>
      </c>
      <c r="D526" s="141" t="s">
        <v>222</v>
      </c>
      <c r="E526" s="141" t="s">
        <v>222</v>
      </c>
      <c r="F526" s="141" t="s">
        <v>222</v>
      </c>
      <c r="G526" s="141" t="s">
        <v>222</v>
      </c>
      <c r="H526" s="141" t="s">
        <v>222</v>
      </c>
      <c r="I526" s="141" t="s">
        <v>222</v>
      </c>
      <c r="J526" s="141" t="s">
        <v>222</v>
      </c>
      <c r="K526" s="141" t="s">
        <v>222</v>
      </c>
      <c r="L526" s="141" t="s">
        <v>222</v>
      </c>
      <c r="M526" s="141" t="s">
        <v>222</v>
      </c>
      <c r="N526" s="141" t="s">
        <v>222</v>
      </c>
      <c r="O526" s="141" t="s">
        <v>222</v>
      </c>
      <c r="P526" s="141" t="s">
        <v>222</v>
      </c>
      <c r="Q526" s="141" t="s">
        <v>222</v>
      </c>
      <c r="R526" s="141" t="s">
        <v>222</v>
      </c>
      <c r="S526" s="141" t="s">
        <v>222</v>
      </c>
      <c r="T526" s="141" t="s">
        <v>222</v>
      </c>
      <c r="U526" s="141" t="s">
        <v>222</v>
      </c>
      <c r="V526" s="141" t="s">
        <v>222</v>
      </c>
      <c r="W526" s="141"/>
      <c r="X526" s="141"/>
      <c r="Y526" s="141"/>
      <c r="Z526" s="141"/>
    </row>
    <row r="527">
      <c r="A527" s="141"/>
      <c r="B527" s="141" t="s">
        <v>222</v>
      </c>
      <c r="C527" s="141" t="s">
        <v>222</v>
      </c>
      <c r="D527" s="141" t="s">
        <v>222</v>
      </c>
      <c r="E527" s="141" t="s">
        <v>222</v>
      </c>
      <c r="F527" s="141" t="s">
        <v>222</v>
      </c>
      <c r="G527" s="141" t="s">
        <v>222</v>
      </c>
      <c r="H527" s="141" t="s">
        <v>222</v>
      </c>
      <c r="I527" s="141" t="s">
        <v>222</v>
      </c>
      <c r="J527" s="141" t="s">
        <v>222</v>
      </c>
      <c r="K527" s="141" t="s">
        <v>222</v>
      </c>
      <c r="L527" s="141" t="s">
        <v>222</v>
      </c>
      <c r="M527" s="141" t="s">
        <v>222</v>
      </c>
      <c r="N527" s="141" t="s">
        <v>222</v>
      </c>
      <c r="O527" s="141" t="s">
        <v>222</v>
      </c>
      <c r="P527" s="141" t="s">
        <v>222</v>
      </c>
      <c r="Q527" s="141" t="s">
        <v>222</v>
      </c>
      <c r="R527" s="141" t="s">
        <v>222</v>
      </c>
      <c r="S527" s="141" t="s">
        <v>222</v>
      </c>
      <c r="T527" s="141" t="s">
        <v>222</v>
      </c>
      <c r="U527" s="141" t="s">
        <v>222</v>
      </c>
      <c r="V527" s="141" t="s">
        <v>222</v>
      </c>
      <c r="W527" s="141"/>
      <c r="X527" s="141"/>
      <c r="Y527" s="141"/>
      <c r="Z527" s="141"/>
    </row>
    <row r="528">
      <c r="A528" s="141"/>
      <c r="B528" s="141" t="s">
        <v>222</v>
      </c>
      <c r="C528" s="141" t="s">
        <v>222</v>
      </c>
      <c r="D528" s="141" t="s">
        <v>222</v>
      </c>
      <c r="E528" s="141" t="s">
        <v>222</v>
      </c>
      <c r="F528" s="141" t="s">
        <v>222</v>
      </c>
      <c r="G528" s="141" t="s">
        <v>222</v>
      </c>
      <c r="H528" s="141" t="s">
        <v>222</v>
      </c>
      <c r="I528" s="141" t="s">
        <v>222</v>
      </c>
      <c r="J528" s="141" t="s">
        <v>222</v>
      </c>
      <c r="K528" s="141" t="s">
        <v>222</v>
      </c>
      <c r="L528" s="141" t="s">
        <v>222</v>
      </c>
      <c r="M528" s="141" t="s">
        <v>222</v>
      </c>
      <c r="N528" s="141" t="s">
        <v>222</v>
      </c>
      <c r="O528" s="141" t="s">
        <v>222</v>
      </c>
      <c r="P528" s="141" t="s">
        <v>222</v>
      </c>
      <c r="Q528" s="141" t="s">
        <v>222</v>
      </c>
      <c r="R528" s="141" t="s">
        <v>222</v>
      </c>
      <c r="S528" s="141" t="s">
        <v>222</v>
      </c>
      <c r="T528" s="141" t="s">
        <v>222</v>
      </c>
      <c r="U528" s="141" t="s">
        <v>222</v>
      </c>
      <c r="V528" s="141" t="s">
        <v>222</v>
      </c>
      <c r="W528" s="141"/>
      <c r="X528" s="141"/>
      <c r="Y528" s="141"/>
      <c r="Z528" s="141"/>
    </row>
    <row r="529">
      <c r="A529" s="141"/>
      <c r="B529" s="141" t="s">
        <v>222</v>
      </c>
      <c r="C529" s="141" t="s">
        <v>222</v>
      </c>
      <c r="D529" s="141" t="s">
        <v>222</v>
      </c>
      <c r="E529" s="141" t="s">
        <v>222</v>
      </c>
      <c r="F529" s="141" t="s">
        <v>222</v>
      </c>
      <c r="G529" s="141" t="s">
        <v>222</v>
      </c>
      <c r="H529" s="141" t="s">
        <v>222</v>
      </c>
      <c r="I529" s="141" t="s">
        <v>222</v>
      </c>
      <c r="J529" s="141" t="s">
        <v>222</v>
      </c>
      <c r="K529" s="141" t="s">
        <v>222</v>
      </c>
      <c r="L529" s="141" t="s">
        <v>222</v>
      </c>
      <c r="M529" s="141" t="s">
        <v>222</v>
      </c>
      <c r="N529" s="141" t="s">
        <v>222</v>
      </c>
      <c r="O529" s="141" t="s">
        <v>222</v>
      </c>
      <c r="P529" s="141" t="s">
        <v>222</v>
      </c>
      <c r="Q529" s="141" t="s">
        <v>222</v>
      </c>
      <c r="R529" s="141" t="s">
        <v>222</v>
      </c>
      <c r="S529" s="141" t="s">
        <v>222</v>
      </c>
      <c r="T529" s="141" t="s">
        <v>222</v>
      </c>
      <c r="U529" s="141" t="s">
        <v>222</v>
      </c>
      <c r="V529" s="141" t="s">
        <v>222</v>
      </c>
      <c r="W529" s="141"/>
      <c r="X529" s="141"/>
      <c r="Y529" s="141"/>
      <c r="Z529" s="141"/>
    </row>
    <row r="530">
      <c r="A530" s="141"/>
      <c r="B530" s="141" t="s">
        <v>222</v>
      </c>
      <c r="C530" s="141" t="s">
        <v>222</v>
      </c>
      <c r="D530" s="141" t="s">
        <v>222</v>
      </c>
      <c r="E530" s="141" t="s">
        <v>222</v>
      </c>
      <c r="F530" s="141" t="s">
        <v>222</v>
      </c>
      <c r="G530" s="141" t="s">
        <v>222</v>
      </c>
      <c r="H530" s="141" t="s">
        <v>222</v>
      </c>
      <c r="I530" s="141" t="s">
        <v>222</v>
      </c>
      <c r="J530" s="141" t="s">
        <v>222</v>
      </c>
      <c r="K530" s="141" t="s">
        <v>222</v>
      </c>
      <c r="L530" s="141" t="s">
        <v>222</v>
      </c>
      <c r="M530" s="141" t="s">
        <v>222</v>
      </c>
      <c r="N530" s="141" t="s">
        <v>222</v>
      </c>
      <c r="O530" s="141" t="s">
        <v>222</v>
      </c>
      <c r="P530" s="141" t="s">
        <v>222</v>
      </c>
      <c r="Q530" s="141" t="s">
        <v>222</v>
      </c>
      <c r="R530" s="141" t="s">
        <v>222</v>
      </c>
      <c r="S530" s="141" t="s">
        <v>222</v>
      </c>
      <c r="T530" s="141" t="s">
        <v>222</v>
      </c>
      <c r="U530" s="141" t="s">
        <v>222</v>
      </c>
      <c r="V530" s="141" t="s">
        <v>222</v>
      </c>
      <c r="W530" s="141"/>
      <c r="X530" s="141"/>
      <c r="Y530" s="141"/>
      <c r="Z530" s="141"/>
    </row>
    <row r="531">
      <c r="A531" s="141"/>
      <c r="B531" s="141" t="s">
        <v>222</v>
      </c>
      <c r="C531" s="141" t="s">
        <v>222</v>
      </c>
      <c r="D531" s="141" t="s">
        <v>222</v>
      </c>
      <c r="E531" s="141" t="s">
        <v>222</v>
      </c>
      <c r="F531" s="141" t="s">
        <v>222</v>
      </c>
      <c r="G531" s="141" t="s">
        <v>222</v>
      </c>
      <c r="H531" s="141" t="s">
        <v>222</v>
      </c>
      <c r="I531" s="141" t="s">
        <v>222</v>
      </c>
      <c r="J531" s="141" t="s">
        <v>222</v>
      </c>
      <c r="K531" s="141" t="s">
        <v>222</v>
      </c>
      <c r="L531" s="141" t="s">
        <v>222</v>
      </c>
      <c r="M531" s="141" t="s">
        <v>222</v>
      </c>
      <c r="N531" s="141" t="s">
        <v>222</v>
      </c>
      <c r="O531" s="141" t="s">
        <v>222</v>
      </c>
      <c r="P531" s="141" t="s">
        <v>222</v>
      </c>
      <c r="Q531" s="141" t="s">
        <v>222</v>
      </c>
      <c r="R531" s="141" t="s">
        <v>222</v>
      </c>
      <c r="S531" s="141" t="s">
        <v>222</v>
      </c>
      <c r="T531" s="141" t="s">
        <v>222</v>
      </c>
      <c r="U531" s="141" t="s">
        <v>222</v>
      </c>
      <c r="V531" s="141" t="s">
        <v>222</v>
      </c>
      <c r="W531" s="141"/>
      <c r="X531" s="141"/>
      <c r="Y531" s="141"/>
      <c r="Z531" s="141"/>
    </row>
    <row r="532">
      <c r="A532" s="141"/>
      <c r="B532" s="141" t="s">
        <v>222</v>
      </c>
      <c r="C532" s="141" t="s">
        <v>222</v>
      </c>
      <c r="D532" s="141" t="s">
        <v>222</v>
      </c>
      <c r="E532" s="141" t="s">
        <v>222</v>
      </c>
      <c r="F532" s="141" t="s">
        <v>222</v>
      </c>
      <c r="G532" s="141" t="s">
        <v>222</v>
      </c>
      <c r="H532" s="141" t="s">
        <v>222</v>
      </c>
      <c r="I532" s="141" t="s">
        <v>222</v>
      </c>
      <c r="J532" s="141" t="s">
        <v>222</v>
      </c>
      <c r="K532" s="141" t="s">
        <v>222</v>
      </c>
      <c r="L532" s="141" t="s">
        <v>222</v>
      </c>
      <c r="M532" s="141" t="s">
        <v>222</v>
      </c>
      <c r="N532" s="141" t="s">
        <v>222</v>
      </c>
      <c r="O532" s="141" t="s">
        <v>222</v>
      </c>
      <c r="P532" s="141" t="s">
        <v>222</v>
      </c>
      <c r="Q532" s="141" t="s">
        <v>222</v>
      </c>
      <c r="R532" s="141" t="s">
        <v>222</v>
      </c>
      <c r="S532" s="141" t="s">
        <v>222</v>
      </c>
      <c r="T532" s="141" t="s">
        <v>222</v>
      </c>
      <c r="U532" s="141" t="s">
        <v>222</v>
      </c>
      <c r="V532" s="141" t="s">
        <v>222</v>
      </c>
      <c r="W532" s="141"/>
      <c r="X532" s="141"/>
      <c r="Y532" s="141"/>
      <c r="Z532" s="141"/>
    </row>
    <row r="533">
      <c r="A533" s="141"/>
      <c r="B533" s="141" t="s">
        <v>222</v>
      </c>
      <c r="C533" s="141" t="s">
        <v>222</v>
      </c>
      <c r="D533" s="141" t="s">
        <v>222</v>
      </c>
      <c r="E533" s="141" t="s">
        <v>222</v>
      </c>
      <c r="F533" s="141" t="s">
        <v>222</v>
      </c>
      <c r="G533" s="141" t="s">
        <v>222</v>
      </c>
      <c r="H533" s="141" t="s">
        <v>222</v>
      </c>
      <c r="I533" s="141" t="s">
        <v>222</v>
      </c>
      <c r="J533" s="141" t="s">
        <v>222</v>
      </c>
      <c r="K533" s="141" t="s">
        <v>222</v>
      </c>
      <c r="L533" s="141" t="s">
        <v>222</v>
      </c>
      <c r="M533" s="141" t="s">
        <v>222</v>
      </c>
      <c r="N533" s="141" t="s">
        <v>222</v>
      </c>
      <c r="O533" s="141" t="s">
        <v>222</v>
      </c>
      <c r="P533" s="141" t="s">
        <v>222</v>
      </c>
      <c r="Q533" s="141" t="s">
        <v>222</v>
      </c>
      <c r="R533" s="141" t="s">
        <v>222</v>
      </c>
      <c r="S533" s="141" t="s">
        <v>222</v>
      </c>
      <c r="T533" s="141" t="s">
        <v>222</v>
      </c>
      <c r="U533" s="141" t="s">
        <v>222</v>
      </c>
      <c r="V533" s="141" t="s">
        <v>222</v>
      </c>
      <c r="W533" s="141"/>
      <c r="X533" s="141"/>
      <c r="Y533" s="141"/>
      <c r="Z533" s="141"/>
    </row>
    <row r="534">
      <c r="A534" s="141"/>
      <c r="B534" s="141" t="s">
        <v>222</v>
      </c>
      <c r="C534" s="141" t="s">
        <v>222</v>
      </c>
      <c r="D534" s="141" t="s">
        <v>222</v>
      </c>
      <c r="E534" s="141" t="s">
        <v>222</v>
      </c>
      <c r="F534" s="141" t="s">
        <v>222</v>
      </c>
      <c r="G534" s="141" t="s">
        <v>222</v>
      </c>
      <c r="H534" s="141" t="s">
        <v>222</v>
      </c>
      <c r="I534" s="141" t="s">
        <v>222</v>
      </c>
      <c r="J534" s="141" t="s">
        <v>222</v>
      </c>
      <c r="K534" s="141" t="s">
        <v>222</v>
      </c>
      <c r="L534" s="141" t="s">
        <v>222</v>
      </c>
      <c r="M534" s="141" t="s">
        <v>222</v>
      </c>
      <c r="N534" s="141" t="s">
        <v>222</v>
      </c>
      <c r="O534" s="141" t="s">
        <v>222</v>
      </c>
      <c r="P534" s="141" t="s">
        <v>222</v>
      </c>
      <c r="Q534" s="141" t="s">
        <v>222</v>
      </c>
      <c r="R534" s="141" t="s">
        <v>222</v>
      </c>
      <c r="S534" s="141" t="s">
        <v>222</v>
      </c>
      <c r="T534" s="141" t="s">
        <v>222</v>
      </c>
      <c r="U534" s="141" t="s">
        <v>222</v>
      </c>
      <c r="V534" s="141" t="s">
        <v>222</v>
      </c>
      <c r="W534" s="141"/>
      <c r="X534" s="141"/>
      <c r="Y534" s="141"/>
      <c r="Z534" s="141"/>
    </row>
    <row r="535">
      <c r="A535" s="141"/>
      <c r="B535" s="141" t="s">
        <v>222</v>
      </c>
      <c r="C535" s="141" t="s">
        <v>222</v>
      </c>
      <c r="D535" s="141" t="s">
        <v>222</v>
      </c>
      <c r="E535" s="141" t="s">
        <v>222</v>
      </c>
      <c r="F535" s="141" t="s">
        <v>222</v>
      </c>
      <c r="G535" s="141" t="s">
        <v>222</v>
      </c>
      <c r="H535" s="141" t="s">
        <v>222</v>
      </c>
      <c r="I535" s="141" t="s">
        <v>222</v>
      </c>
      <c r="J535" s="141" t="s">
        <v>222</v>
      </c>
      <c r="K535" s="141" t="s">
        <v>222</v>
      </c>
      <c r="L535" s="141" t="s">
        <v>222</v>
      </c>
      <c r="M535" s="141" t="s">
        <v>222</v>
      </c>
      <c r="N535" s="141" t="s">
        <v>222</v>
      </c>
      <c r="O535" s="141" t="s">
        <v>222</v>
      </c>
      <c r="P535" s="141" t="s">
        <v>222</v>
      </c>
      <c r="Q535" s="141" t="s">
        <v>222</v>
      </c>
      <c r="R535" s="141" t="s">
        <v>222</v>
      </c>
      <c r="S535" s="141" t="s">
        <v>222</v>
      </c>
      <c r="T535" s="141" t="s">
        <v>222</v>
      </c>
      <c r="U535" s="141" t="s">
        <v>222</v>
      </c>
      <c r="V535" s="141" t="s">
        <v>222</v>
      </c>
      <c r="W535" s="141"/>
      <c r="X535" s="141"/>
      <c r="Y535" s="141"/>
      <c r="Z535" s="141"/>
    </row>
    <row r="536">
      <c r="A536" s="141"/>
      <c r="B536" s="141" t="s">
        <v>222</v>
      </c>
      <c r="C536" s="141" t="s">
        <v>222</v>
      </c>
      <c r="D536" s="141" t="s">
        <v>222</v>
      </c>
      <c r="E536" s="141" t="s">
        <v>222</v>
      </c>
      <c r="F536" s="141" t="s">
        <v>222</v>
      </c>
      <c r="G536" s="141" t="s">
        <v>222</v>
      </c>
      <c r="H536" s="141" t="s">
        <v>222</v>
      </c>
      <c r="I536" s="141" t="s">
        <v>222</v>
      </c>
      <c r="J536" s="141" t="s">
        <v>222</v>
      </c>
      <c r="K536" s="141" t="s">
        <v>222</v>
      </c>
      <c r="L536" s="141" t="s">
        <v>222</v>
      </c>
      <c r="M536" s="141" t="s">
        <v>222</v>
      </c>
      <c r="N536" s="141" t="s">
        <v>222</v>
      </c>
      <c r="O536" s="141" t="s">
        <v>222</v>
      </c>
      <c r="P536" s="141" t="s">
        <v>222</v>
      </c>
      <c r="Q536" s="141" t="s">
        <v>222</v>
      </c>
      <c r="R536" s="141" t="s">
        <v>222</v>
      </c>
      <c r="S536" s="141" t="s">
        <v>222</v>
      </c>
      <c r="T536" s="141" t="s">
        <v>222</v>
      </c>
      <c r="U536" s="141" t="s">
        <v>222</v>
      </c>
      <c r="V536" s="141" t="s">
        <v>222</v>
      </c>
      <c r="W536" s="141"/>
      <c r="X536" s="141"/>
      <c r="Y536" s="141"/>
      <c r="Z536" s="141"/>
    </row>
    <row r="537">
      <c r="A537" s="141"/>
      <c r="B537" s="141" t="s">
        <v>222</v>
      </c>
      <c r="C537" s="141" t="s">
        <v>222</v>
      </c>
      <c r="D537" s="141" t="s">
        <v>222</v>
      </c>
      <c r="E537" s="141" t="s">
        <v>222</v>
      </c>
      <c r="F537" s="141" t="s">
        <v>222</v>
      </c>
      <c r="G537" s="141" t="s">
        <v>222</v>
      </c>
      <c r="H537" s="141" t="s">
        <v>222</v>
      </c>
      <c r="I537" s="141" t="s">
        <v>222</v>
      </c>
      <c r="J537" s="141" t="s">
        <v>222</v>
      </c>
      <c r="K537" s="141" t="s">
        <v>222</v>
      </c>
      <c r="L537" s="141" t="s">
        <v>222</v>
      </c>
      <c r="M537" s="141" t="s">
        <v>222</v>
      </c>
      <c r="N537" s="141" t="s">
        <v>222</v>
      </c>
      <c r="O537" s="141" t="s">
        <v>222</v>
      </c>
      <c r="P537" s="141" t="s">
        <v>222</v>
      </c>
      <c r="Q537" s="141" t="s">
        <v>222</v>
      </c>
      <c r="R537" s="141" t="s">
        <v>222</v>
      </c>
      <c r="S537" s="141" t="s">
        <v>222</v>
      </c>
      <c r="T537" s="141" t="s">
        <v>222</v>
      </c>
      <c r="U537" s="141" t="s">
        <v>222</v>
      </c>
      <c r="V537" s="141" t="s">
        <v>222</v>
      </c>
      <c r="W537" s="141"/>
      <c r="X537" s="141"/>
      <c r="Y537" s="141"/>
      <c r="Z537" s="141"/>
    </row>
    <row r="538">
      <c r="A538" s="141"/>
      <c r="B538" s="141" t="s">
        <v>222</v>
      </c>
      <c r="C538" s="141" t="s">
        <v>222</v>
      </c>
      <c r="D538" s="141" t="s">
        <v>222</v>
      </c>
      <c r="E538" s="141" t="s">
        <v>222</v>
      </c>
      <c r="F538" s="141" t="s">
        <v>222</v>
      </c>
      <c r="G538" s="141" t="s">
        <v>222</v>
      </c>
      <c r="H538" s="141" t="s">
        <v>222</v>
      </c>
      <c r="I538" s="141" t="s">
        <v>222</v>
      </c>
      <c r="J538" s="141" t="s">
        <v>222</v>
      </c>
      <c r="K538" s="141" t="s">
        <v>222</v>
      </c>
      <c r="L538" s="141" t="s">
        <v>222</v>
      </c>
      <c r="M538" s="141" t="s">
        <v>222</v>
      </c>
      <c r="N538" s="141" t="s">
        <v>222</v>
      </c>
      <c r="O538" s="141" t="s">
        <v>222</v>
      </c>
      <c r="P538" s="141" t="s">
        <v>222</v>
      </c>
      <c r="Q538" s="141" t="s">
        <v>222</v>
      </c>
      <c r="R538" s="141" t="s">
        <v>222</v>
      </c>
      <c r="S538" s="141" t="s">
        <v>222</v>
      </c>
      <c r="T538" s="141" t="s">
        <v>222</v>
      </c>
      <c r="U538" s="141" t="s">
        <v>222</v>
      </c>
      <c r="V538" s="141" t="s">
        <v>222</v>
      </c>
      <c r="W538" s="141"/>
      <c r="X538" s="141"/>
      <c r="Y538" s="141"/>
      <c r="Z538" s="141"/>
    </row>
    <row r="539">
      <c r="A539" s="141"/>
      <c r="B539" s="141" t="s">
        <v>222</v>
      </c>
      <c r="C539" s="141" t="s">
        <v>222</v>
      </c>
      <c r="D539" s="141" t="s">
        <v>222</v>
      </c>
      <c r="E539" s="141" t="s">
        <v>222</v>
      </c>
      <c r="F539" s="141" t="s">
        <v>222</v>
      </c>
      <c r="G539" s="141" t="s">
        <v>222</v>
      </c>
      <c r="H539" s="141" t="s">
        <v>222</v>
      </c>
      <c r="I539" s="141" t="s">
        <v>222</v>
      </c>
      <c r="J539" s="141" t="s">
        <v>222</v>
      </c>
      <c r="K539" s="141" t="s">
        <v>222</v>
      </c>
      <c r="L539" s="141" t="s">
        <v>222</v>
      </c>
      <c r="M539" s="141" t="s">
        <v>222</v>
      </c>
      <c r="N539" s="141" t="s">
        <v>222</v>
      </c>
      <c r="O539" s="141" t="s">
        <v>222</v>
      </c>
      <c r="P539" s="141" t="s">
        <v>222</v>
      </c>
      <c r="Q539" s="141" t="s">
        <v>222</v>
      </c>
      <c r="R539" s="141" t="s">
        <v>222</v>
      </c>
      <c r="S539" s="141" t="s">
        <v>222</v>
      </c>
      <c r="T539" s="141" t="s">
        <v>222</v>
      </c>
      <c r="U539" s="141" t="s">
        <v>222</v>
      </c>
      <c r="V539" s="141" t="s">
        <v>222</v>
      </c>
      <c r="W539" s="141"/>
      <c r="X539" s="141"/>
      <c r="Y539" s="141"/>
      <c r="Z539" s="141"/>
    </row>
    <row r="540">
      <c r="A540" s="141"/>
      <c r="B540" s="141" t="s">
        <v>222</v>
      </c>
      <c r="C540" s="141" t="s">
        <v>222</v>
      </c>
      <c r="D540" s="141" t="s">
        <v>222</v>
      </c>
      <c r="E540" s="141" t="s">
        <v>222</v>
      </c>
      <c r="F540" s="141" t="s">
        <v>222</v>
      </c>
      <c r="G540" s="141" t="s">
        <v>222</v>
      </c>
      <c r="H540" s="141" t="s">
        <v>222</v>
      </c>
      <c r="I540" s="141" t="s">
        <v>222</v>
      </c>
      <c r="J540" s="141" t="s">
        <v>222</v>
      </c>
      <c r="K540" s="141" t="s">
        <v>222</v>
      </c>
      <c r="L540" s="141" t="s">
        <v>222</v>
      </c>
      <c r="M540" s="141" t="s">
        <v>222</v>
      </c>
      <c r="N540" s="141" t="s">
        <v>222</v>
      </c>
      <c r="O540" s="141" t="s">
        <v>222</v>
      </c>
      <c r="P540" s="141" t="s">
        <v>222</v>
      </c>
      <c r="Q540" s="141" t="s">
        <v>222</v>
      </c>
      <c r="R540" s="141" t="s">
        <v>222</v>
      </c>
      <c r="S540" s="141" t="s">
        <v>222</v>
      </c>
      <c r="T540" s="141" t="s">
        <v>222</v>
      </c>
      <c r="U540" s="141" t="s">
        <v>222</v>
      </c>
      <c r="V540" s="141" t="s">
        <v>222</v>
      </c>
      <c r="W540" s="141"/>
      <c r="X540" s="141"/>
      <c r="Y540" s="141"/>
      <c r="Z540" s="141"/>
    </row>
    <row r="541">
      <c r="A541" s="141"/>
      <c r="B541" s="141" t="s">
        <v>222</v>
      </c>
      <c r="C541" s="141" t="s">
        <v>222</v>
      </c>
      <c r="D541" s="141" t="s">
        <v>222</v>
      </c>
      <c r="E541" s="141" t="s">
        <v>222</v>
      </c>
      <c r="F541" s="141" t="s">
        <v>222</v>
      </c>
      <c r="G541" s="141" t="s">
        <v>222</v>
      </c>
      <c r="H541" s="141" t="s">
        <v>222</v>
      </c>
      <c r="I541" s="141" t="s">
        <v>222</v>
      </c>
      <c r="J541" s="141" t="s">
        <v>222</v>
      </c>
      <c r="K541" s="141" t="s">
        <v>222</v>
      </c>
      <c r="L541" s="141" t="s">
        <v>222</v>
      </c>
      <c r="M541" s="141" t="s">
        <v>222</v>
      </c>
      <c r="N541" s="141" t="s">
        <v>222</v>
      </c>
      <c r="O541" s="141" t="s">
        <v>222</v>
      </c>
      <c r="P541" s="141" t="s">
        <v>222</v>
      </c>
      <c r="Q541" s="141" t="s">
        <v>222</v>
      </c>
      <c r="R541" s="141" t="s">
        <v>222</v>
      </c>
      <c r="S541" s="141" t="s">
        <v>222</v>
      </c>
      <c r="T541" s="141" t="s">
        <v>222</v>
      </c>
      <c r="U541" s="141" t="s">
        <v>222</v>
      </c>
      <c r="V541" s="141" t="s">
        <v>222</v>
      </c>
      <c r="W541" s="141"/>
      <c r="X541" s="141"/>
      <c r="Y541" s="141"/>
      <c r="Z541" s="141"/>
    </row>
    <row r="542">
      <c r="A542" s="141"/>
      <c r="B542" s="141" t="s">
        <v>222</v>
      </c>
      <c r="C542" s="141" t="s">
        <v>222</v>
      </c>
      <c r="D542" s="141" t="s">
        <v>222</v>
      </c>
      <c r="E542" s="141" t="s">
        <v>222</v>
      </c>
      <c r="F542" s="141" t="s">
        <v>222</v>
      </c>
      <c r="G542" s="141" t="s">
        <v>222</v>
      </c>
      <c r="H542" s="141" t="s">
        <v>222</v>
      </c>
      <c r="I542" s="141" t="s">
        <v>222</v>
      </c>
      <c r="J542" s="141" t="s">
        <v>222</v>
      </c>
      <c r="K542" s="141" t="s">
        <v>222</v>
      </c>
      <c r="L542" s="141" t="s">
        <v>222</v>
      </c>
      <c r="M542" s="141" t="s">
        <v>222</v>
      </c>
      <c r="N542" s="141" t="s">
        <v>222</v>
      </c>
      <c r="O542" s="141" t="s">
        <v>222</v>
      </c>
      <c r="P542" s="141" t="s">
        <v>222</v>
      </c>
      <c r="Q542" s="141" t="s">
        <v>222</v>
      </c>
      <c r="R542" s="141" t="s">
        <v>222</v>
      </c>
      <c r="S542" s="141" t="s">
        <v>222</v>
      </c>
      <c r="T542" s="141" t="s">
        <v>222</v>
      </c>
      <c r="U542" s="141" t="s">
        <v>222</v>
      </c>
      <c r="V542" s="141" t="s">
        <v>222</v>
      </c>
      <c r="W542" s="141"/>
      <c r="X542" s="141"/>
      <c r="Y542" s="141"/>
      <c r="Z542" s="141"/>
    </row>
    <row r="543">
      <c r="A543" s="141"/>
      <c r="B543" s="141" t="s">
        <v>222</v>
      </c>
      <c r="C543" s="141" t="s">
        <v>222</v>
      </c>
      <c r="D543" s="141" t="s">
        <v>222</v>
      </c>
      <c r="E543" s="141" t="s">
        <v>222</v>
      </c>
      <c r="F543" s="141" t="s">
        <v>222</v>
      </c>
      <c r="G543" s="141" t="s">
        <v>222</v>
      </c>
      <c r="H543" s="141" t="s">
        <v>222</v>
      </c>
      <c r="I543" s="141" t="s">
        <v>222</v>
      </c>
      <c r="J543" s="141" t="s">
        <v>222</v>
      </c>
      <c r="K543" s="141" t="s">
        <v>222</v>
      </c>
      <c r="L543" s="141" t="s">
        <v>222</v>
      </c>
      <c r="M543" s="141" t="s">
        <v>222</v>
      </c>
      <c r="N543" s="141" t="s">
        <v>222</v>
      </c>
      <c r="O543" s="141" t="s">
        <v>222</v>
      </c>
      <c r="P543" s="141" t="s">
        <v>222</v>
      </c>
      <c r="Q543" s="141" t="s">
        <v>222</v>
      </c>
      <c r="R543" s="141" t="s">
        <v>222</v>
      </c>
      <c r="S543" s="141" t="s">
        <v>222</v>
      </c>
      <c r="T543" s="141" t="s">
        <v>222</v>
      </c>
      <c r="U543" s="141" t="s">
        <v>222</v>
      </c>
      <c r="V543" s="141" t="s">
        <v>222</v>
      </c>
      <c r="W543" s="141"/>
      <c r="X543" s="141"/>
      <c r="Y543" s="141"/>
      <c r="Z543" s="141"/>
    </row>
    <row r="544">
      <c r="A544" s="141"/>
      <c r="B544" s="141" t="s">
        <v>222</v>
      </c>
      <c r="C544" s="141" t="s">
        <v>222</v>
      </c>
      <c r="D544" s="141" t="s">
        <v>222</v>
      </c>
      <c r="E544" s="141" t="s">
        <v>222</v>
      </c>
      <c r="F544" s="141" t="s">
        <v>222</v>
      </c>
      <c r="G544" s="141" t="s">
        <v>222</v>
      </c>
      <c r="H544" s="141" t="s">
        <v>222</v>
      </c>
      <c r="I544" s="141" t="s">
        <v>222</v>
      </c>
      <c r="J544" s="141" t="s">
        <v>222</v>
      </c>
      <c r="K544" s="141" t="s">
        <v>222</v>
      </c>
      <c r="L544" s="141" t="s">
        <v>222</v>
      </c>
      <c r="M544" s="141" t="s">
        <v>222</v>
      </c>
      <c r="N544" s="141" t="s">
        <v>222</v>
      </c>
      <c r="O544" s="141" t="s">
        <v>222</v>
      </c>
      <c r="P544" s="141" t="s">
        <v>222</v>
      </c>
      <c r="Q544" s="141" t="s">
        <v>222</v>
      </c>
      <c r="R544" s="141" t="s">
        <v>222</v>
      </c>
      <c r="S544" s="141" t="s">
        <v>222</v>
      </c>
      <c r="T544" s="141" t="s">
        <v>222</v>
      </c>
      <c r="U544" s="141" t="s">
        <v>222</v>
      </c>
      <c r="V544" s="141" t="s">
        <v>222</v>
      </c>
      <c r="W544" s="141"/>
      <c r="X544" s="141"/>
      <c r="Y544" s="141"/>
      <c r="Z544" s="141"/>
    </row>
    <row r="545">
      <c r="A545" s="141"/>
      <c r="B545" s="141" t="s">
        <v>222</v>
      </c>
      <c r="C545" s="141" t="s">
        <v>222</v>
      </c>
      <c r="D545" s="141" t="s">
        <v>222</v>
      </c>
      <c r="E545" s="141" t="s">
        <v>222</v>
      </c>
      <c r="F545" s="141" t="s">
        <v>222</v>
      </c>
      <c r="G545" s="141" t="s">
        <v>222</v>
      </c>
      <c r="H545" s="141" t="s">
        <v>222</v>
      </c>
      <c r="I545" s="141" t="s">
        <v>222</v>
      </c>
      <c r="J545" s="141" t="s">
        <v>222</v>
      </c>
      <c r="K545" s="141" t="s">
        <v>222</v>
      </c>
      <c r="L545" s="141" t="s">
        <v>222</v>
      </c>
      <c r="M545" s="141" t="s">
        <v>222</v>
      </c>
      <c r="N545" s="141" t="s">
        <v>222</v>
      </c>
      <c r="O545" s="141" t="s">
        <v>222</v>
      </c>
      <c r="P545" s="141" t="s">
        <v>222</v>
      </c>
      <c r="Q545" s="141" t="s">
        <v>222</v>
      </c>
      <c r="R545" s="141" t="s">
        <v>222</v>
      </c>
      <c r="S545" s="141" t="s">
        <v>222</v>
      </c>
      <c r="T545" s="141" t="s">
        <v>222</v>
      </c>
      <c r="U545" s="141" t="s">
        <v>222</v>
      </c>
      <c r="V545" s="141" t="s">
        <v>222</v>
      </c>
      <c r="W545" s="141"/>
      <c r="X545" s="141"/>
      <c r="Y545" s="141"/>
      <c r="Z545" s="141"/>
    </row>
    <row r="546">
      <c r="A546" s="141"/>
      <c r="B546" s="141" t="s">
        <v>222</v>
      </c>
      <c r="C546" s="141" t="s">
        <v>222</v>
      </c>
      <c r="D546" s="141" t="s">
        <v>222</v>
      </c>
      <c r="E546" s="141" t="s">
        <v>222</v>
      </c>
      <c r="F546" s="141" t="s">
        <v>222</v>
      </c>
      <c r="G546" s="141" t="s">
        <v>222</v>
      </c>
      <c r="H546" s="141" t="s">
        <v>222</v>
      </c>
      <c r="I546" s="141" t="s">
        <v>222</v>
      </c>
      <c r="J546" s="141" t="s">
        <v>222</v>
      </c>
      <c r="K546" s="141" t="s">
        <v>222</v>
      </c>
      <c r="L546" s="141" t="s">
        <v>222</v>
      </c>
      <c r="M546" s="141" t="s">
        <v>222</v>
      </c>
      <c r="N546" s="141" t="s">
        <v>222</v>
      </c>
      <c r="O546" s="141" t="s">
        <v>222</v>
      </c>
      <c r="P546" s="141" t="s">
        <v>222</v>
      </c>
      <c r="Q546" s="141" t="s">
        <v>222</v>
      </c>
      <c r="R546" s="141" t="s">
        <v>222</v>
      </c>
      <c r="S546" s="141" t="s">
        <v>222</v>
      </c>
      <c r="T546" s="141" t="s">
        <v>222</v>
      </c>
      <c r="U546" s="141" t="s">
        <v>222</v>
      </c>
      <c r="V546" s="141" t="s">
        <v>222</v>
      </c>
      <c r="W546" s="141"/>
      <c r="X546" s="141"/>
      <c r="Y546" s="141"/>
      <c r="Z546" s="141"/>
    </row>
    <row r="547">
      <c r="A547" s="141"/>
      <c r="B547" s="141" t="s">
        <v>222</v>
      </c>
      <c r="C547" s="141" t="s">
        <v>222</v>
      </c>
      <c r="D547" s="141" t="s">
        <v>222</v>
      </c>
      <c r="E547" s="141" t="s">
        <v>222</v>
      </c>
      <c r="F547" s="141" t="s">
        <v>222</v>
      </c>
      <c r="G547" s="141" t="s">
        <v>222</v>
      </c>
      <c r="H547" s="141" t="s">
        <v>222</v>
      </c>
      <c r="I547" s="141" t="s">
        <v>222</v>
      </c>
      <c r="J547" s="141" t="s">
        <v>222</v>
      </c>
      <c r="K547" s="141" t="s">
        <v>222</v>
      </c>
      <c r="L547" s="141" t="s">
        <v>222</v>
      </c>
      <c r="M547" s="141" t="s">
        <v>222</v>
      </c>
      <c r="N547" s="141" t="s">
        <v>222</v>
      </c>
      <c r="O547" s="141" t="s">
        <v>222</v>
      </c>
      <c r="P547" s="141" t="s">
        <v>222</v>
      </c>
      <c r="Q547" s="141" t="s">
        <v>222</v>
      </c>
      <c r="R547" s="141" t="s">
        <v>222</v>
      </c>
      <c r="S547" s="141" t="s">
        <v>222</v>
      </c>
      <c r="T547" s="141" t="s">
        <v>222</v>
      </c>
      <c r="U547" s="141" t="s">
        <v>222</v>
      </c>
      <c r="V547" s="141" t="s">
        <v>222</v>
      </c>
      <c r="W547" s="141"/>
      <c r="X547" s="141"/>
      <c r="Y547" s="141"/>
      <c r="Z547" s="141"/>
    </row>
    <row r="548">
      <c r="A548" s="141"/>
      <c r="B548" s="141" t="s">
        <v>222</v>
      </c>
      <c r="C548" s="141" t="s">
        <v>222</v>
      </c>
      <c r="D548" s="141" t="s">
        <v>222</v>
      </c>
      <c r="E548" s="141" t="s">
        <v>222</v>
      </c>
      <c r="F548" s="141" t="s">
        <v>222</v>
      </c>
      <c r="G548" s="141" t="s">
        <v>222</v>
      </c>
      <c r="H548" s="141" t="s">
        <v>222</v>
      </c>
      <c r="I548" s="141" t="s">
        <v>222</v>
      </c>
      <c r="J548" s="141" t="s">
        <v>222</v>
      </c>
      <c r="K548" s="141" t="s">
        <v>222</v>
      </c>
      <c r="L548" s="141" t="s">
        <v>222</v>
      </c>
      <c r="M548" s="141" t="s">
        <v>222</v>
      </c>
      <c r="N548" s="141" t="s">
        <v>222</v>
      </c>
      <c r="O548" s="141" t="s">
        <v>222</v>
      </c>
      <c r="P548" s="141" t="s">
        <v>222</v>
      </c>
      <c r="Q548" s="141" t="s">
        <v>222</v>
      </c>
      <c r="R548" s="141" t="s">
        <v>222</v>
      </c>
      <c r="S548" s="141" t="s">
        <v>222</v>
      </c>
      <c r="T548" s="141" t="s">
        <v>222</v>
      </c>
      <c r="U548" s="141" t="s">
        <v>222</v>
      </c>
      <c r="V548" s="141" t="s">
        <v>222</v>
      </c>
      <c r="W548" s="141"/>
      <c r="X548" s="141"/>
      <c r="Y548" s="141"/>
      <c r="Z548" s="141"/>
    </row>
    <row r="549">
      <c r="A549" s="141"/>
      <c r="B549" s="141" t="s">
        <v>222</v>
      </c>
      <c r="C549" s="141" t="s">
        <v>222</v>
      </c>
      <c r="D549" s="141" t="s">
        <v>222</v>
      </c>
      <c r="E549" s="141" t="s">
        <v>222</v>
      </c>
      <c r="F549" s="141" t="s">
        <v>222</v>
      </c>
      <c r="G549" s="141" t="s">
        <v>222</v>
      </c>
      <c r="H549" s="141" t="s">
        <v>222</v>
      </c>
      <c r="I549" s="141" t="s">
        <v>222</v>
      </c>
      <c r="J549" s="141" t="s">
        <v>222</v>
      </c>
      <c r="K549" s="141" t="s">
        <v>222</v>
      </c>
      <c r="L549" s="141" t="s">
        <v>222</v>
      </c>
      <c r="M549" s="141" t="s">
        <v>222</v>
      </c>
      <c r="N549" s="141" t="s">
        <v>222</v>
      </c>
      <c r="O549" s="141" t="s">
        <v>222</v>
      </c>
      <c r="P549" s="141" t="s">
        <v>222</v>
      </c>
      <c r="Q549" s="141" t="s">
        <v>222</v>
      </c>
      <c r="R549" s="141" t="s">
        <v>222</v>
      </c>
      <c r="S549" s="141" t="s">
        <v>222</v>
      </c>
      <c r="T549" s="141" t="s">
        <v>222</v>
      </c>
      <c r="U549" s="141" t="s">
        <v>222</v>
      </c>
      <c r="V549" s="141" t="s">
        <v>222</v>
      </c>
      <c r="W549" s="141"/>
      <c r="X549" s="141"/>
      <c r="Y549" s="141"/>
      <c r="Z549" s="141"/>
    </row>
    <row r="550">
      <c r="A550" s="141"/>
      <c r="B550" s="141" t="s">
        <v>222</v>
      </c>
      <c r="C550" s="141" t="s">
        <v>222</v>
      </c>
      <c r="D550" s="141" t="s">
        <v>222</v>
      </c>
      <c r="E550" s="141" t="s">
        <v>222</v>
      </c>
      <c r="F550" s="141" t="s">
        <v>222</v>
      </c>
      <c r="G550" s="141" t="s">
        <v>222</v>
      </c>
      <c r="H550" s="141" t="s">
        <v>222</v>
      </c>
      <c r="I550" s="141" t="s">
        <v>222</v>
      </c>
      <c r="J550" s="141" t="s">
        <v>222</v>
      </c>
      <c r="K550" s="141" t="s">
        <v>222</v>
      </c>
      <c r="L550" s="141" t="s">
        <v>222</v>
      </c>
      <c r="M550" s="141" t="s">
        <v>222</v>
      </c>
      <c r="N550" s="141" t="s">
        <v>222</v>
      </c>
      <c r="O550" s="141" t="s">
        <v>222</v>
      </c>
      <c r="P550" s="141" t="s">
        <v>222</v>
      </c>
      <c r="Q550" s="141" t="s">
        <v>222</v>
      </c>
      <c r="R550" s="141" t="s">
        <v>222</v>
      </c>
      <c r="S550" s="141" t="s">
        <v>222</v>
      </c>
      <c r="T550" s="141" t="s">
        <v>222</v>
      </c>
      <c r="U550" s="141" t="s">
        <v>222</v>
      </c>
      <c r="V550" s="141" t="s">
        <v>222</v>
      </c>
      <c r="W550" s="141"/>
      <c r="X550" s="141"/>
      <c r="Y550" s="141"/>
      <c r="Z550" s="141"/>
    </row>
    <row r="551">
      <c r="A551" s="141"/>
      <c r="B551" s="141" t="s">
        <v>222</v>
      </c>
      <c r="C551" s="141" t="s">
        <v>222</v>
      </c>
      <c r="D551" s="141" t="s">
        <v>222</v>
      </c>
      <c r="E551" s="141" t="s">
        <v>222</v>
      </c>
      <c r="F551" s="141" t="s">
        <v>222</v>
      </c>
      <c r="G551" s="141" t="s">
        <v>222</v>
      </c>
      <c r="H551" s="141" t="s">
        <v>222</v>
      </c>
      <c r="I551" s="141" t="s">
        <v>222</v>
      </c>
      <c r="J551" s="141" t="s">
        <v>222</v>
      </c>
      <c r="K551" s="141" t="s">
        <v>222</v>
      </c>
      <c r="L551" s="141" t="s">
        <v>222</v>
      </c>
      <c r="M551" s="141" t="s">
        <v>222</v>
      </c>
      <c r="N551" s="141" t="s">
        <v>222</v>
      </c>
      <c r="O551" s="141" t="s">
        <v>222</v>
      </c>
      <c r="P551" s="141" t="s">
        <v>222</v>
      </c>
      <c r="Q551" s="141" t="s">
        <v>222</v>
      </c>
      <c r="R551" s="141" t="s">
        <v>222</v>
      </c>
      <c r="S551" s="141" t="s">
        <v>222</v>
      </c>
      <c r="T551" s="141" t="s">
        <v>222</v>
      </c>
      <c r="U551" s="141" t="s">
        <v>222</v>
      </c>
      <c r="V551" s="141" t="s">
        <v>222</v>
      </c>
      <c r="W551" s="141"/>
      <c r="X551" s="141"/>
      <c r="Y551" s="141"/>
      <c r="Z551" s="141"/>
    </row>
    <row r="552">
      <c r="A552" s="141"/>
      <c r="B552" s="141" t="s">
        <v>222</v>
      </c>
      <c r="C552" s="141" t="s">
        <v>222</v>
      </c>
      <c r="D552" s="141" t="s">
        <v>222</v>
      </c>
      <c r="E552" s="141" t="s">
        <v>222</v>
      </c>
      <c r="F552" s="141" t="s">
        <v>222</v>
      </c>
      <c r="G552" s="141" t="s">
        <v>222</v>
      </c>
      <c r="H552" s="141" t="s">
        <v>222</v>
      </c>
      <c r="I552" s="141" t="s">
        <v>222</v>
      </c>
      <c r="J552" s="141" t="s">
        <v>222</v>
      </c>
      <c r="K552" s="141" t="s">
        <v>222</v>
      </c>
      <c r="L552" s="141" t="s">
        <v>222</v>
      </c>
      <c r="M552" s="141" t="s">
        <v>222</v>
      </c>
      <c r="N552" s="141" t="s">
        <v>222</v>
      </c>
      <c r="O552" s="141" t="s">
        <v>222</v>
      </c>
      <c r="P552" s="141" t="s">
        <v>222</v>
      </c>
      <c r="Q552" s="141" t="s">
        <v>222</v>
      </c>
      <c r="R552" s="141" t="s">
        <v>222</v>
      </c>
      <c r="S552" s="141" t="s">
        <v>222</v>
      </c>
      <c r="T552" s="141" t="s">
        <v>222</v>
      </c>
      <c r="U552" s="141" t="s">
        <v>222</v>
      </c>
      <c r="V552" s="141" t="s">
        <v>222</v>
      </c>
      <c r="W552" s="141"/>
      <c r="X552" s="141"/>
      <c r="Y552" s="141"/>
      <c r="Z552" s="141"/>
    </row>
    <row r="553">
      <c r="A553" s="141"/>
      <c r="B553" s="141" t="s">
        <v>222</v>
      </c>
      <c r="C553" s="141" t="s">
        <v>222</v>
      </c>
      <c r="D553" s="141" t="s">
        <v>222</v>
      </c>
      <c r="E553" s="141" t="s">
        <v>222</v>
      </c>
      <c r="F553" s="141" t="s">
        <v>222</v>
      </c>
      <c r="G553" s="141" t="s">
        <v>222</v>
      </c>
      <c r="H553" s="141" t="s">
        <v>222</v>
      </c>
      <c r="I553" s="141" t="s">
        <v>222</v>
      </c>
      <c r="J553" s="141" t="s">
        <v>222</v>
      </c>
      <c r="K553" s="141" t="s">
        <v>222</v>
      </c>
      <c r="L553" s="141" t="s">
        <v>222</v>
      </c>
      <c r="M553" s="141" t="s">
        <v>222</v>
      </c>
      <c r="N553" s="141" t="s">
        <v>222</v>
      </c>
      <c r="O553" s="141" t="s">
        <v>222</v>
      </c>
      <c r="P553" s="141" t="s">
        <v>222</v>
      </c>
      <c r="Q553" s="141" t="s">
        <v>222</v>
      </c>
      <c r="R553" s="141" t="s">
        <v>222</v>
      </c>
      <c r="S553" s="141" t="s">
        <v>222</v>
      </c>
      <c r="T553" s="141" t="s">
        <v>222</v>
      </c>
      <c r="U553" s="141" t="s">
        <v>222</v>
      </c>
      <c r="V553" s="141" t="s">
        <v>222</v>
      </c>
      <c r="W553" s="141"/>
      <c r="X553" s="141"/>
      <c r="Y553" s="141"/>
      <c r="Z553" s="141"/>
    </row>
    <row r="554">
      <c r="A554" s="141"/>
      <c r="B554" s="141" t="s">
        <v>222</v>
      </c>
      <c r="C554" s="141" t="s">
        <v>222</v>
      </c>
      <c r="D554" s="141" t="s">
        <v>222</v>
      </c>
      <c r="E554" s="141" t="s">
        <v>222</v>
      </c>
      <c r="F554" s="141" t="s">
        <v>222</v>
      </c>
      <c r="G554" s="141" t="s">
        <v>222</v>
      </c>
      <c r="H554" s="141" t="s">
        <v>222</v>
      </c>
      <c r="I554" s="141" t="s">
        <v>222</v>
      </c>
      <c r="J554" s="141" t="s">
        <v>222</v>
      </c>
      <c r="K554" s="141" t="s">
        <v>222</v>
      </c>
      <c r="L554" s="141" t="s">
        <v>222</v>
      </c>
      <c r="M554" s="141" t="s">
        <v>222</v>
      </c>
      <c r="N554" s="141" t="s">
        <v>222</v>
      </c>
      <c r="O554" s="141" t="s">
        <v>222</v>
      </c>
      <c r="P554" s="141" t="s">
        <v>222</v>
      </c>
      <c r="Q554" s="141" t="s">
        <v>222</v>
      </c>
      <c r="R554" s="141" t="s">
        <v>222</v>
      </c>
      <c r="S554" s="141" t="s">
        <v>222</v>
      </c>
      <c r="T554" s="141" t="s">
        <v>222</v>
      </c>
      <c r="U554" s="141" t="s">
        <v>222</v>
      </c>
      <c r="V554" s="141" t="s">
        <v>222</v>
      </c>
      <c r="W554" s="141"/>
      <c r="X554" s="141"/>
      <c r="Y554" s="141"/>
      <c r="Z554" s="141"/>
    </row>
    <row r="555">
      <c r="A555" s="141"/>
      <c r="B555" s="141" t="s">
        <v>222</v>
      </c>
      <c r="C555" s="141" t="s">
        <v>222</v>
      </c>
      <c r="D555" s="141" t="s">
        <v>222</v>
      </c>
      <c r="E555" s="141" t="s">
        <v>222</v>
      </c>
      <c r="F555" s="141" t="s">
        <v>222</v>
      </c>
      <c r="G555" s="141" t="s">
        <v>222</v>
      </c>
      <c r="H555" s="141" t="s">
        <v>222</v>
      </c>
      <c r="I555" s="141" t="s">
        <v>222</v>
      </c>
      <c r="J555" s="141" t="s">
        <v>222</v>
      </c>
      <c r="K555" s="141" t="s">
        <v>222</v>
      </c>
      <c r="L555" s="141" t="s">
        <v>222</v>
      </c>
      <c r="M555" s="141" t="s">
        <v>222</v>
      </c>
      <c r="N555" s="141" t="s">
        <v>222</v>
      </c>
      <c r="O555" s="141" t="s">
        <v>222</v>
      </c>
      <c r="P555" s="141" t="s">
        <v>222</v>
      </c>
      <c r="Q555" s="141" t="s">
        <v>222</v>
      </c>
      <c r="R555" s="141" t="s">
        <v>222</v>
      </c>
      <c r="S555" s="141" t="s">
        <v>222</v>
      </c>
      <c r="T555" s="141" t="s">
        <v>222</v>
      </c>
      <c r="U555" s="141" t="s">
        <v>222</v>
      </c>
      <c r="V555" s="141" t="s">
        <v>222</v>
      </c>
      <c r="W555" s="141"/>
      <c r="X555" s="141"/>
      <c r="Y555" s="141"/>
      <c r="Z555" s="141"/>
    </row>
    <row r="556">
      <c r="A556" s="141"/>
      <c r="B556" s="141" t="s">
        <v>222</v>
      </c>
      <c r="C556" s="141" t="s">
        <v>222</v>
      </c>
      <c r="D556" s="141" t="s">
        <v>222</v>
      </c>
      <c r="E556" s="141" t="s">
        <v>222</v>
      </c>
      <c r="F556" s="141" t="s">
        <v>222</v>
      </c>
      <c r="G556" s="141" t="s">
        <v>222</v>
      </c>
      <c r="H556" s="141" t="s">
        <v>222</v>
      </c>
      <c r="I556" s="141" t="s">
        <v>222</v>
      </c>
      <c r="J556" s="141" t="s">
        <v>222</v>
      </c>
      <c r="K556" s="141" t="s">
        <v>222</v>
      </c>
      <c r="L556" s="141" t="s">
        <v>222</v>
      </c>
      <c r="M556" s="141" t="s">
        <v>222</v>
      </c>
      <c r="N556" s="141" t="s">
        <v>222</v>
      </c>
      <c r="O556" s="141" t="s">
        <v>222</v>
      </c>
      <c r="P556" s="141" t="s">
        <v>222</v>
      </c>
      <c r="Q556" s="141" t="s">
        <v>222</v>
      </c>
      <c r="R556" s="141" t="s">
        <v>222</v>
      </c>
      <c r="S556" s="141" t="s">
        <v>222</v>
      </c>
      <c r="T556" s="141" t="s">
        <v>222</v>
      </c>
      <c r="U556" s="141" t="s">
        <v>222</v>
      </c>
      <c r="V556" s="141" t="s">
        <v>222</v>
      </c>
      <c r="W556" s="141"/>
      <c r="X556" s="141"/>
      <c r="Y556" s="141"/>
      <c r="Z556" s="141"/>
    </row>
    <row r="557">
      <c r="A557" s="141"/>
      <c r="B557" s="141" t="s">
        <v>222</v>
      </c>
      <c r="C557" s="141" t="s">
        <v>222</v>
      </c>
      <c r="D557" s="141" t="s">
        <v>222</v>
      </c>
      <c r="E557" s="141" t="s">
        <v>222</v>
      </c>
      <c r="F557" s="141" t="s">
        <v>222</v>
      </c>
      <c r="G557" s="141" t="s">
        <v>222</v>
      </c>
      <c r="H557" s="141" t="s">
        <v>222</v>
      </c>
      <c r="I557" s="141" t="s">
        <v>222</v>
      </c>
      <c r="J557" s="141" t="s">
        <v>222</v>
      </c>
      <c r="K557" s="141" t="s">
        <v>222</v>
      </c>
      <c r="L557" s="141" t="s">
        <v>222</v>
      </c>
      <c r="M557" s="141" t="s">
        <v>222</v>
      </c>
      <c r="N557" s="141" t="s">
        <v>222</v>
      </c>
      <c r="O557" s="141" t="s">
        <v>222</v>
      </c>
      <c r="P557" s="141" t="s">
        <v>222</v>
      </c>
      <c r="Q557" s="141" t="s">
        <v>222</v>
      </c>
      <c r="R557" s="141" t="s">
        <v>222</v>
      </c>
      <c r="S557" s="141" t="s">
        <v>222</v>
      </c>
      <c r="T557" s="141" t="s">
        <v>222</v>
      </c>
      <c r="U557" s="141" t="s">
        <v>222</v>
      </c>
      <c r="V557" s="141" t="s">
        <v>222</v>
      </c>
      <c r="W557" s="141"/>
      <c r="X557" s="141"/>
      <c r="Y557" s="141"/>
      <c r="Z557" s="141"/>
    </row>
    <row r="558">
      <c r="A558" s="141"/>
      <c r="B558" s="141" t="s">
        <v>222</v>
      </c>
      <c r="C558" s="141" t="s">
        <v>222</v>
      </c>
      <c r="D558" s="141" t="s">
        <v>222</v>
      </c>
      <c r="E558" s="141" t="s">
        <v>222</v>
      </c>
      <c r="F558" s="141" t="s">
        <v>222</v>
      </c>
      <c r="G558" s="141" t="s">
        <v>222</v>
      </c>
      <c r="H558" s="141" t="s">
        <v>222</v>
      </c>
      <c r="I558" s="141" t="s">
        <v>222</v>
      </c>
      <c r="J558" s="141" t="s">
        <v>222</v>
      </c>
      <c r="K558" s="141" t="s">
        <v>222</v>
      </c>
      <c r="L558" s="141" t="s">
        <v>222</v>
      </c>
      <c r="M558" s="141" t="s">
        <v>222</v>
      </c>
      <c r="N558" s="141" t="s">
        <v>222</v>
      </c>
      <c r="O558" s="141" t="s">
        <v>222</v>
      </c>
      <c r="P558" s="141" t="s">
        <v>222</v>
      </c>
      <c r="Q558" s="141" t="s">
        <v>222</v>
      </c>
      <c r="R558" s="141" t="s">
        <v>222</v>
      </c>
      <c r="S558" s="141" t="s">
        <v>222</v>
      </c>
      <c r="T558" s="141" t="s">
        <v>222</v>
      </c>
      <c r="U558" s="141" t="s">
        <v>222</v>
      </c>
      <c r="V558" s="141" t="s">
        <v>222</v>
      </c>
      <c r="W558" s="141"/>
      <c r="X558" s="141"/>
      <c r="Y558" s="141"/>
      <c r="Z558" s="141"/>
    </row>
    <row r="559">
      <c r="A559" s="141"/>
      <c r="B559" s="141" t="s">
        <v>222</v>
      </c>
      <c r="C559" s="141" t="s">
        <v>222</v>
      </c>
      <c r="D559" s="141" t="s">
        <v>222</v>
      </c>
      <c r="E559" s="141" t="s">
        <v>222</v>
      </c>
      <c r="F559" s="141" t="s">
        <v>222</v>
      </c>
      <c r="G559" s="141" t="s">
        <v>222</v>
      </c>
      <c r="H559" s="141" t="s">
        <v>222</v>
      </c>
      <c r="I559" s="141" t="s">
        <v>222</v>
      </c>
      <c r="J559" s="141" t="s">
        <v>222</v>
      </c>
      <c r="K559" s="141" t="s">
        <v>222</v>
      </c>
      <c r="L559" s="141" t="s">
        <v>222</v>
      </c>
      <c r="M559" s="141" t="s">
        <v>222</v>
      </c>
      <c r="N559" s="141" t="s">
        <v>222</v>
      </c>
      <c r="O559" s="141" t="s">
        <v>222</v>
      </c>
      <c r="P559" s="141" t="s">
        <v>222</v>
      </c>
      <c r="Q559" s="141" t="s">
        <v>222</v>
      </c>
      <c r="R559" s="141" t="s">
        <v>222</v>
      </c>
      <c r="S559" s="141" t="s">
        <v>222</v>
      </c>
      <c r="T559" s="141" t="s">
        <v>222</v>
      </c>
      <c r="U559" s="141" t="s">
        <v>222</v>
      </c>
      <c r="V559" s="141" t="s">
        <v>222</v>
      </c>
      <c r="W559" s="141"/>
      <c r="X559" s="141"/>
      <c r="Y559" s="141"/>
      <c r="Z559" s="141"/>
    </row>
    <row r="560">
      <c r="A560" s="141"/>
      <c r="B560" s="141" t="s">
        <v>222</v>
      </c>
      <c r="C560" s="141" t="s">
        <v>222</v>
      </c>
      <c r="D560" s="141" t="s">
        <v>222</v>
      </c>
      <c r="E560" s="141" t="s">
        <v>222</v>
      </c>
      <c r="F560" s="141" t="s">
        <v>222</v>
      </c>
      <c r="G560" s="141" t="s">
        <v>222</v>
      </c>
      <c r="H560" s="141" t="s">
        <v>222</v>
      </c>
      <c r="I560" s="141" t="s">
        <v>222</v>
      </c>
      <c r="J560" s="141" t="s">
        <v>222</v>
      </c>
      <c r="K560" s="141" t="s">
        <v>222</v>
      </c>
      <c r="L560" s="141" t="s">
        <v>222</v>
      </c>
      <c r="M560" s="141" t="s">
        <v>222</v>
      </c>
      <c r="N560" s="141" t="s">
        <v>222</v>
      </c>
      <c r="O560" s="141" t="s">
        <v>222</v>
      </c>
      <c r="P560" s="141" t="s">
        <v>222</v>
      </c>
      <c r="Q560" s="141" t="s">
        <v>222</v>
      </c>
      <c r="R560" s="141" t="s">
        <v>222</v>
      </c>
      <c r="S560" s="141" t="s">
        <v>222</v>
      </c>
      <c r="T560" s="141" t="s">
        <v>222</v>
      </c>
      <c r="U560" s="141" t="s">
        <v>222</v>
      </c>
      <c r="V560" s="141" t="s">
        <v>222</v>
      </c>
      <c r="W560" s="141"/>
      <c r="X560" s="141"/>
      <c r="Y560" s="141"/>
      <c r="Z560" s="141"/>
    </row>
    <row r="561">
      <c r="A561" s="141"/>
      <c r="B561" s="141" t="s">
        <v>222</v>
      </c>
      <c r="C561" s="141" t="s">
        <v>222</v>
      </c>
      <c r="D561" s="141" t="s">
        <v>222</v>
      </c>
      <c r="E561" s="141" t="s">
        <v>222</v>
      </c>
      <c r="F561" s="141" t="s">
        <v>222</v>
      </c>
      <c r="G561" s="141" t="s">
        <v>222</v>
      </c>
      <c r="H561" s="141" t="s">
        <v>222</v>
      </c>
      <c r="I561" s="141" t="s">
        <v>222</v>
      </c>
      <c r="J561" s="141" t="s">
        <v>222</v>
      </c>
      <c r="K561" s="141" t="s">
        <v>222</v>
      </c>
      <c r="L561" s="141" t="s">
        <v>222</v>
      </c>
      <c r="M561" s="141" t="s">
        <v>222</v>
      </c>
      <c r="N561" s="141" t="s">
        <v>222</v>
      </c>
      <c r="O561" s="141" t="s">
        <v>222</v>
      </c>
      <c r="P561" s="141" t="s">
        <v>222</v>
      </c>
      <c r="Q561" s="141" t="s">
        <v>222</v>
      </c>
      <c r="R561" s="141" t="s">
        <v>222</v>
      </c>
      <c r="S561" s="141" t="s">
        <v>222</v>
      </c>
      <c r="T561" s="141" t="s">
        <v>222</v>
      </c>
      <c r="U561" s="141" t="s">
        <v>222</v>
      </c>
      <c r="V561" s="141" t="s">
        <v>222</v>
      </c>
      <c r="W561" s="141"/>
      <c r="X561" s="141"/>
      <c r="Y561" s="141"/>
      <c r="Z561" s="141"/>
    </row>
    <row r="562">
      <c r="A562" s="141"/>
      <c r="B562" s="141" t="s">
        <v>222</v>
      </c>
      <c r="C562" s="141" t="s">
        <v>222</v>
      </c>
      <c r="D562" s="141" t="s">
        <v>222</v>
      </c>
      <c r="E562" s="141" t="s">
        <v>222</v>
      </c>
      <c r="F562" s="141" t="s">
        <v>222</v>
      </c>
      <c r="G562" s="141" t="s">
        <v>222</v>
      </c>
      <c r="H562" s="141" t="s">
        <v>222</v>
      </c>
      <c r="I562" s="141" t="s">
        <v>222</v>
      </c>
      <c r="J562" s="141" t="s">
        <v>222</v>
      </c>
      <c r="K562" s="141" t="s">
        <v>222</v>
      </c>
      <c r="L562" s="141" t="s">
        <v>222</v>
      </c>
      <c r="M562" s="141" t="s">
        <v>222</v>
      </c>
      <c r="N562" s="141" t="s">
        <v>222</v>
      </c>
      <c r="O562" s="141" t="s">
        <v>222</v>
      </c>
      <c r="P562" s="141" t="s">
        <v>222</v>
      </c>
      <c r="Q562" s="141" t="s">
        <v>222</v>
      </c>
      <c r="R562" s="141" t="s">
        <v>222</v>
      </c>
      <c r="S562" s="141" t="s">
        <v>222</v>
      </c>
      <c r="T562" s="141" t="s">
        <v>222</v>
      </c>
      <c r="U562" s="141" t="s">
        <v>222</v>
      </c>
      <c r="V562" s="141" t="s">
        <v>222</v>
      </c>
      <c r="W562" s="141"/>
      <c r="X562" s="141"/>
      <c r="Y562" s="141"/>
      <c r="Z562" s="141"/>
    </row>
    <row r="563">
      <c r="A563" s="141"/>
      <c r="B563" s="141" t="s">
        <v>222</v>
      </c>
      <c r="C563" s="141" t="s">
        <v>222</v>
      </c>
      <c r="D563" s="141" t="s">
        <v>222</v>
      </c>
      <c r="E563" s="141" t="s">
        <v>222</v>
      </c>
      <c r="F563" s="141" t="s">
        <v>222</v>
      </c>
      <c r="G563" s="141" t="s">
        <v>222</v>
      </c>
      <c r="H563" s="141" t="s">
        <v>222</v>
      </c>
      <c r="I563" s="141" t="s">
        <v>222</v>
      </c>
      <c r="J563" s="141" t="s">
        <v>222</v>
      </c>
      <c r="K563" s="141" t="s">
        <v>222</v>
      </c>
      <c r="L563" s="141" t="s">
        <v>222</v>
      </c>
      <c r="M563" s="141" t="s">
        <v>222</v>
      </c>
      <c r="N563" s="141" t="s">
        <v>222</v>
      </c>
      <c r="O563" s="141" t="s">
        <v>222</v>
      </c>
      <c r="P563" s="141" t="s">
        <v>222</v>
      </c>
      <c r="Q563" s="141" t="s">
        <v>222</v>
      </c>
      <c r="R563" s="141" t="s">
        <v>222</v>
      </c>
      <c r="S563" s="141" t="s">
        <v>222</v>
      </c>
      <c r="T563" s="141" t="s">
        <v>222</v>
      </c>
      <c r="U563" s="141" t="s">
        <v>222</v>
      </c>
      <c r="V563" s="141" t="s">
        <v>222</v>
      </c>
      <c r="W563" s="141"/>
      <c r="X563" s="141"/>
      <c r="Y563" s="141"/>
      <c r="Z563" s="141"/>
    </row>
    <row r="564">
      <c r="A564" s="141"/>
      <c r="B564" s="141" t="s">
        <v>222</v>
      </c>
      <c r="C564" s="141" t="s">
        <v>222</v>
      </c>
      <c r="D564" s="141" t="s">
        <v>222</v>
      </c>
      <c r="E564" s="141" t="s">
        <v>222</v>
      </c>
      <c r="F564" s="141" t="s">
        <v>222</v>
      </c>
      <c r="G564" s="141" t="s">
        <v>222</v>
      </c>
      <c r="H564" s="141" t="s">
        <v>222</v>
      </c>
      <c r="I564" s="141" t="s">
        <v>222</v>
      </c>
      <c r="J564" s="141" t="s">
        <v>222</v>
      </c>
      <c r="K564" s="141" t="s">
        <v>222</v>
      </c>
      <c r="L564" s="141" t="s">
        <v>222</v>
      </c>
      <c r="M564" s="141" t="s">
        <v>222</v>
      </c>
      <c r="N564" s="141" t="s">
        <v>222</v>
      </c>
      <c r="O564" s="141" t="s">
        <v>222</v>
      </c>
      <c r="P564" s="141" t="s">
        <v>222</v>
      </c>
      <c r="Q564" s="141" t="s">
        <v>222</v>
      </c>
      <c r="R564" s="141" t="s">
        <v>222</v>
      </c>
      <c r="S564" s="141" t="s">
        <v>222</v>
      </c>
      <c r="T564" s="141" t="s">
        <v>222</v>
      </c>
      <c r="U564" s="141" t="s">
        <v>222</v>
      </c>
      <c r="V564" s="141" t="s">
        <v>222</v>
      </c>
      <c r="W564" s="141"/>
      <c r="X564" s="141"/>
      <c r="Y564" s="141"/>
      <c r="Z564" s="141"/>
    </row>
    <row r="565">
      <c r="A565" s="141"/>
      <c r="B565" s="141" t="s">
        <v>222</v>
      </c>
      <c r="C565" s="141" t="s">
        <v>222</v>
      </c>
      <c r="D565" s="141" t="s">
        <v>222</v>
      </c>
      <c r="E565" s="141" t="s">
        <v>222</v>
      </c>
      <c r="F565" s="141" t="s">
        <v>222</v>
      </c>
      <c r="G565" s="141" t="s">
        <v>222</v>
      </c>
      <c r="H565" s="141" t="s">
        <v>222</v>
      </c>
      <c r="I565" s="141" t="s">
        <v>222</v>
      </c>
      <c r="J565" s="141" t="s">
        <v>222</v>
      </c>
      <c r="K565" s="141" t="s">
        <v>222</v>
      </c>
      <c r="L565" s="141" t="s">
        <v>222</v>
      </c>
      <c r="M565" s="141" t="s">
        <v>222</v>
      </c>
      <c r="N565" s="141" t="s">
        <v>222</v>
      </c>
      <c r="O565" s="141" t="s">
        <v>222</v>
      </c>
      <c r="P565" s="141" t="s">
        <v>222</v>
      </c>
      <c r="Q565" s="141" t="s">
        <v>222</v>
      </c>
      <c r="R565" s="141" t="s">
        <v>222</v>
      </c>
      <c r="S565" s="141" t="s">
        <v>222</v>
      </c>
      <c r="T565" s="141" t="s">
        <v>222</v>
      </c>
      <c r="U565" s="141" t="s">
        <v>222</v>
      </c>
      <c r="V565" s="141" t="s">
        <v>222</v>
      </c>
      <c r="W565" s="141"/>
      <c r="X565" s="141"/>
      <c r="Y565" s="141"/>
      <c r="Z565" s="141"/>
    </row>
    <row r="566">
      <c r="A566" s="141"/>
      <c r="B566" s="141" t="s">
        <v>222</v>
      </c>
      <c r="C566" s="141" t="s">
        <v>222</v>
      </c>
      <c r="D566" s="141" t="s">
        <v>222</v>
      </c>
      <c r="E566" s="141" t="s">
        <v>222</v>
      </c>
      <c r="F566" s="141" t="s">
        <v>222</v>
      </c>
      <c r="G566" s="141" t="s">
        <v>222</v>
      </c>
      <c r="H566" s="141" t="s">
        <v>222</v>
      </c>
      <c r="I566" s="141" t="s">
        <v>222</v>
      </c>
      <c r="J566" s="141" t="s">
        <v>222</v>
      </c>
      <c r="K566" s="141" t="s">
        <v>222</v>
      </c>
      <c r="L566" s="141" t="s">
        <v>222</v>
      </c>
      <c r="M566" s="141" t="s">
        <v>222</v>
      </c>
      <c r="N566" s="141" t="s">
        <v>222</v>
      </c>
      <c r="O566" s="141" t="s">
        <v>222</v>
      </c>
      <c r="P566" s="141" t="s">
        <v>222</v>
      </c>
      <c r="Q566" s="141" t="s">
        <v>222</v>
      </c>
      <c r="R566" s="141" t="s">
        <v>222</v>
      </c>
      <c r="S566" s="141" t="s">
        <v>222</v>
      </c>
      <c r="T566" s="141" t="s">
        <v>222</v>
      </c>
      <c r="U566" s="141" t="s">
        <v>222</v>
      </c>
      <c r="V566" s="141" t="s">
        <v>222</v>
      </c>
      <c r="W566" s="141"/>
      <c r="X566" s="141"/>
      <c r="Y566" s="141"/>
      <c r="Z566" s="141"/>
    </row>
    <row r="567">
      <c r="A567" s="141"/>
      <c r="B567" s="141" t="s">
        <v>222</v>
      </c>
      <c r="C567" s="141" t="s">
        <v>222</v>
      </c>
      <c r="D567" s="141" t="s">
        <v>222</v>
      </c>
      <c r="E567" s="141" t="s">
        <v>222</v>
      </c>
      <c r="F567" s="141" t="s">
        <v>222</v>
      </c>
      <c r="G567" s="141" t="s">
        <v>222</v>
      </c>
      <c r="H567" s="141" t="s">
        <v>222</v>
      </c>
      <c r="I567" s="141" t="s">
        <v>222</v>
      </c>
      <c r="J567" s="141" t="s">
        <v>222</v>
      </c>
      <c r="K567" s="141" t="s">
        <v>222</v>
      </c>
      <c r="L567" s="141" t="s">
        <v>222</v>
      </c>
      <c r="M567" s="141" t="s">
        <v>222</v>
      </c>
      <c r="N567" s="141" t="s">
        <v>222</v>
      </c>
      <c r="O567" s="141" t="s">
        <v>222</v>
      </c>
      <c r="P567" s="141" t="s">
        <v>222</v>
      </c>
      <c r="Q567" s="141" t="s">
        <v>222</v>
      </c>
      <c r="R567" s="141" t="s">
        <v>222</v>
      </c>
      <c r="S567" s="141" t="s">
        <v>222</v>
      </c>
      <c r="T567" s="141" t="s">
        <v>222</v>
      </c>
      <c r="U567" s="141" t="s">
        <v>222</v>
      </c>
      <c r="V567" s="141" t="s">
        <v>222</v>
      </c>
      <c r="W567" s="141"/>
      <c r="X567" s="141"/>
      <c r="Y567" s="141"/>
      <c r="Z567" s="141"/>
    </row>
    <row r="568">
      <c r="A568" s="141"/>
      <c r="B568" s="141" t="s">
        <v>222</v>
      </c>
      <c r="C568" s="141" t="s">
        <v>222</v>
      </c>
      <c r="D568" s="141" t="s">
        <v>222</v>
      </c>
      <c r="E568" s="141" t="s">
        <v>222</v>
      </c>
      <c r="F568" s="141" t="s">
        <v>222</v>
      </c>
      <c r="G568" s="141" t="s">
        <v>222</v>
      </c>
      <c r="H568" s="141" t="s">
        <v>222</v>
      </c>
      <c r="I568" s="141" t="s">
        <v>222</v>
      </c>
      <c r="J568" s="141" t="s">
        <v>222</v>
      </c>
      <c r="K568" s="141" t="s">
        <v>222</v>
      </c>
      <c r="L568" s="141" t="s">
        <v>222</v>
      </c>
      <c r="M568" s="141" t="s">
        <v>222</v>
      </c>
      <c r="N568" s="141" t="s">
        <v>222</v>
      </c>
      <c r="O568" s="141" t="s">
        <v>222</v>
      </c>
      <c r="P568" s="141" t="s">
        <v>222</v>
      </c>
      <c r="Q568" s="141" t="s">
        <v>222</v>
      </c>
      <c r="R568" s="141" t="s">
        <v>222</v>
      </c>
      <c r="S568" s="141" t="s">
        <v>222</v>
      </c>
      <c r="T568" s="141" t="s">
        <v>222</v>
      </c>
      <c r="U568" s="141" t="s">
        <v>222</v>
      </c>
      <c r="V568" s="141" t="s">
        <v>222</v>
      </c>
      <c r="W568" s="141"/>
      <c r="X568" s="141"/>
      <c r="Y568" s="141"/>
      <c r="Z568" s="141"/>
    </row>
    <row r="569">
      <c r="A569" s="141"/>
      <c r="B569" s="141" t="s">
        <v>222</v>
      </c>
      <c r="C569" s="141" t="s">
        <v>222</v>
      </c>
      <c r="D569" s="141" t="s">
        <v>222</v>
      </c>
      <c r="E569" s="141" t="s">
        <v>222</v>
      </c>
      <c r="F569" s="141" t="s">
        <v>222</v>
      </c>
      <c r="G569" s="141" t="s">
        <v>222</v>
      </c>
      <c r="H569" s="141" t="s">
        <v>222</v>
      </c>
      <c r="I569" s="141" t="s">
        <v>222</v>
      </c>
      <c r="J569" s="141" t="s">
        <v>222</v>
      </c>
      <c r="K569" s="141" t="s">
        <v>222</v>
      </c>
      <c r="L569" s="141" t="s">
        <v>222</v>
      </c>
      <c r="M569" s="141" t="s">
        <v>222</v>
      </c>
      <c r="N569" s="141" t="s">
        <v>222</v>
      </c>
      <c r="O569" s="141" t="s">
        <v>222</v>
      </c>
      <c r="P569" s="141" t="s">
        <v>222</v>
      </c>
      <c r="Q569" s="141" t="s">
        <v>222</v>
      </c>
      <c r="R569" s="141" t="s">
        <v>222</v>
      </c>
      <c r="S569" s="141" t="s">
        <v>222</v>
      </c>
      <c r="T569" s="141" t="s">
        <v>222</v>
      </c>
      <c r="U569" s="141" t="s">
        <v>222</v>
      </c>
      <c r="V569" s="141" t="s">
        <v>222</v>
      </c>
      <c r="W569" s="141"/>
      <c r="X569" s="141"/>
      <c r="Y569" s="141"/>
      <c r="Z569" s="141"/>
    </row>
    <row r="570">
      <c r="A570" s="141"/>
      <c r="B570" s="141" t="s">
        <v>222</v>
      </c>
      <c r="C570" s="141" t="s">
        <v>222</v>
      </c>
      <c r="D570" s="141" t="s">
        <v>222</v>
      </c>
      <c r="E570" s="141" t="s">
        <v>222</v>
      </c>
      <c r="F570" s="141" t="s">
        <v>222</v>
      </c>
      <c r="G570" s="141" t="s">
        <v>222</v>
      </c>
      <c r="H570" s="141" t="s">
        <v>222</v>
      </c>
      <c r="I570" s="141" t="s">
        <v>222</v>
      </c>
      <c r="J570" s="141" t="s">
        <v>222</v>
      </c>
      <c r="K570" s="141" t="s">
        <v>222</v>
      </c>
      <c r="L570" s="141" t="s">
        <v>222</v>
      </c>
      <c r="M570" s="141" t="s">
        <v>222</v>
      </c>
      <c r="N570" s="141" t="s">
        <v>222</v>
      </c>
      <c r="O570" s="141" t="s">
        <v>222</v>
      </c>
      <c r="P570" s="141" t="s">
        <v>222</v>
      </c>
      <c r="Q570" s="141" t="s">
        <v>222</v>
      </c>
      <c r="R570" s="141" t="s">
        <v>222</v>
      </c>
      <c r="S570" s="141" t="s">
        <v>222</v>
      </c>
      <c r="T570" s="141" t="s">
        <v>222</v>
      </c>
      <c r="U570" s="141" t="s">
        <v>222</v>
      </c>
      <c r="V570" s="141" t="s">
        <v>222</v>
      </c>
      <c r="W570" s="141"/>
      <c r="X570" s="141"/>
      <c r="Y570" s="141"/>
      <c r="Z570" s="141"/>
    </row>
    <row r="571">
      <c r="A571" s="141"/>
      <c r="B571" s="141" t="s">
        <v>222</v>
      </c>
      <c r="C571" s="141" t="s">
        <v>222</v>
      </c>
      <c r="D571" s="141" t="s">
        <v>222</v>
      </c>
      <c r="E571" s="141" t="s">
        <v>222</v>
      </c>
      <c r="F571" s="141" t="s">
        <v>222</v>
      </c>
      <c r="G571" s="141" t="s">
        <v>222</v>
      </c>
      <c r="H571" s="141" t="s">
        <v>222</v>
      </c>
      <c r="I571" s="141" t="s">
        <v>222</v>
      </c>
      <c r="J571" s="141" t="s">
        <v>222</v>
      </c>
      <c r="K571" s="141" t="s">
        <v>222</v>
      </c>
      <c r="L571" s="141" t="s">
        <v>222</v>
      </c>
      <c r="M571" s="141" t="s">
        <v>222</v>
      </c>
      <c r="N571" s="141" t="s">
        <v>222</v>
      </c>
      <c r="O571" s="141" t="s">
        <v>222</v>
      </c>
      <c r="P571" s="141" t="s">
        <v>222</v>
      </c>
      <c r="Q571" s="141" t="s">
        <v>222</v>
      </c>
      <c r="R571" s="141" t="s">
        <v>222</v>
      </c>
      <c r="S571" s="141" t="s">
        <v>222</v>
      </c>
      <c r="T571" s="141" t="s">
        <v>222</v>
      </c>
      <c r="U571" s="141" t="s">
        <v>222</v>
      </c>
      <c r="V571" s="141" t="s">
        <v>222</v>
      </c>
      <c r="W571" s="141"/>
      <c r="X571" s="141"/>
      <c r="Y571" s="141"/>
      <c r="Z571" s="141"/>
    </row>
    <row r="572">
      <c r="A572" s="141"/>
      <c r="B572" s="141" t="s">
        <v>222</v>
      </c>
      <c r="C572" s="141" t="s">
        <v>222</v>
      </c>
      <c r="D572" s="141" t="s">
        <v>222</v>
      </c>
      <c r="E572" s="141" t="s">
        <v>222</v>
      </c>
      <c r="F572" s="141" t="s">
        <v>222</v>
      </c>
      <c r="G572" s="141" t="s">
        <v>222</v>
      </c>
      <c r="H572" s="141" t="s">
        <v>222</v>
      </c>
      <c r="I572" s="141" t="s">
        <v>222</v>
      </c>
      <c r="J572" s="141" t="s">
        <v>222</v>
      </c>
      <c r="K572" s="141" t="s">
        <v>222</v>
      </c>
      <c r="L572" s="141" t="s">
        <v>222</v>
      </c>
      <c r="M572" s="141" t="s">
        <v>222</v>
      </c>
      <c r="N572" s="141" t="s">
        <v>222</v>
      </c>
      <c r="O572" s="141" t="s">
        <v>222</v>
      </c>
      <c r="P572" s="141" t="s">
        <v>222</v>
      </c>
      <c r="Q572" s="141" t="s">
        <v>222</v>
      </c>
      <c r="R572" s="141" t="s">
        <v>222</v>
      </c>
      <c r="S572" s="141" t="s">
        <v>222</v>
      </c>
      <c r="T572" s="141" t="s">
        <v>222</v>
      </c>
      <c r="U572" s="141" t="s">
        <v>222</v>
      </c>
      <c r="V572" s="141" t="s">
        <v>222</v>
      </c>
      <c r="W572" s="141"/>
      <c r="X572" s="141"/>
      <c r="Y572" s="141"/>
      <c r="Z572" s="141"/>
    </row>
    <row r="573">
      <c r="A573" s="141"/>
      <c r="B573" s="141" t="s">
        <v>222</v>
      </c>
      <c r="C573" s="141" t="s">
        <v>222</v>
      </c>
      <c r="D573" s="141" t="s">
        <v>222</v>
      </c>
      <c r="E573" s="141" t="s">
        <v>222</v>
      </c>
      <c r="F573" s="141" t="s">
        <v>222</v>
      </c>
      <c r="G573" s="141" t="s">
        <v>222</v>
      </c>
      <c r="H573" s="141" t="s">
        <v>222</v>
      </c>
      <c r="I573" s="141" t="s">
        <v>222</v>
      </c>
      <c r="J573" s="141" t="s">
        <v>222</v>
      </c>
      <c r="K573" s="141" t="s">
        <v>222</v>
      </c>
      <c r="L573" s="141" t="s">
        <v>222</v>
      </c>
      <c r="M573" s="141" t="s">
        <v>222</v>
      </c>
      <c r="N573" s="141" t="s">
        <v>222</v>
      </c>
      <c r="O573" s="141" t="s">
        <v>222</v>
      </c>
      <c r="P573" s="141" t="s">
        <v>222</v>
      </c>
      <c r="Q573" s="141" t="s">
        <v>222</v>
      </c>
      <c r="R573" s="141" t="s">
        <v>222</v>
      </c>
      <c r="S573" s="141" t="s">
        <v>222</v>
      </c>
      <c r="T573" s="141" t="s">
        <v>222</v>
      </c>
      <c r="U573" s="141" t="s">
        <v>222</v>
      </c>
      <c r="V573" s="141" t="s">
        <v>222</v>
      </c>
      <c r="W573" s="141"/>
      <c r="X573" s="141"/>
      <c r="Y573" s="141"/>
      <c r="Z573" s="141"/>
    </row>
    <row r="574">
      <c r="A574" s="141"/>
      <c r="B574" s="141" t="s">
        <v>222</v>
      </c>
      <c r="C574" s="141" t="s">
        <v>222</v>
      </c>
      <c r="D574" s="141" t="s">
        <v>222</v>
      </c>
      <c r="E574" s="141" t="s">
        <v>222</v>
      </c>
      <c r="F574" s="141" t="s">
        <v>222</v>
      </c>
      <c r="G574" s="141" t="s">
        <v>222</v>
      </c>
      <c r="H574" s="141" t="s">
        <v>222</v>
      </c>
      <c r="I574" s="141" t="s">
        <v>222</v>
      </c>
      <c r="J574" s="141" t="s">
        <v>222</v>
      </c>
      <c r="K574" s="141" t="s">
        <v>222</v>
      </c>
      <c r="L574" s="141" t="s">
        <v>222</v>
      </c>
      <c r="M574" s="141" t="s">
        <v>222</v>
      </c>
      <c r="N574" s="141" t="s">
        <v>222</v>
      </c>
      <c r="O574" s="141" t="s">
        <v>222</v>
      </c>
      <c r="P574" s="141" t="s">
        <v>222</v>
      </c>
      <c r="Q574" s="141" t="s">
        <v>222</v>
      </c>
      <c r="R574" s="141" t="s">
        <v>222</v>
      </c>
      <c r="S574" s="141" t="s">
        <v>222</v>
      </c>
      <c r="T574" s="141" t="s">
        <v>222</v>
      </c>
      <c r="U574" s="141" t="s">
        <v>222</v>
      </c>
      <c r="V574" s="141" t="s">
        <v>222</v>
      </c>
      <c r="W574" s="141"/>
      <c r="X574" s="141"/>
      <c r="Y574" s="141"/>
      <c r="Z574" s="141"/>
    </row>
    <row r="575">
      <c r="A575" s="141"/>
      <c r="B575" s="141" t="s">
        <v>222</v>
      </c>
      <c r="C575" s="141" t="s">
        <v>222</v>
      </c>
      <c r="D575" s="141" t="s">
        <v>222</v>
      </c>
      <c r="E575" s="141" t="s">
        <v>222</v>
      </c>
      <c r="F575" s="141" t="s">
        <v>222</v>
      </c>
      <c r="G575" s="141" t="s">
        <v>222</v>
      </c>
      <c r="H575" s="141" t="s">
        <v>222</v>
      </c>
      <c r="I575" s="141" t="s">
        <v>222</v>
      </c>
      <c r="J575" s="141" t="s">
        <v>222</v>
      </c>
      <c r="K575" s="141" t="s">
        <v>222</v>
      </c>
      <c r="L575" s="141" t="s">
        <v>222</v>
      </c>
      <c r="M575" s="141" t="s">
        <v>222</v>
      </c>
      <c r="N575" s="141" t="s">
        <v>222</v>
      </c>
      <c r="O575" s="141" t="s">
        <v>222</v>
      </c>
      <c r="P575" s="141" t="s">
        <v>222</v>
      </c>
      <c r="Q575" s="141" t="s">
        <v>222</v>
      </c>
      <c r="R575" s="141" t="s">
        <v>222</v>
      </c>
      <c r="S575" s="141" t="s">
        <v>222</v>
      </c>
      <c r="T575" s="141" t="s">
        <v>222</v>
      </c>
      <c r="U575" s="141" t="s">
        <v>222</v>
      </c>
      <c r="V575" s="141" t="s">
        <v>222</v>
      </c>
      <c r="W575" s="141"/>
      <c r="X575" s="141"/>
      <c r="Y575" s="141"/>
      <c r="Z575" s="141"/>
    </row>
    <row r="576">
      <c r="A576" s="141"/>
      <c r="B576" s="141" t="s">
        <v>222</v>
      </c>
      <c r="C576" s="141" t="s">
        <v>222</v>
      </c>
      <c r="D576" s="141" t="s">
        <v>222</v>
      </c>
      <c r="E576" s="141" t="s">
        <v>222</v>
      </c>
      <c r="F576" s="141" t="s">
        <v>222</v>
      </c>
      <c r="G576" s="141" t="s">
        <v>222</v>
      </c>
      <c r="H576" s="141" t="s">
        <v>222</v>
      </c>
      <c r="I576" s="141" t="s">
        <v>222</v>
      </c>
      <c r="J576" s="141" t="s">
        <v>222</v>
      </c>
      <c r="K576" s="141" t="s">
        <v>222</v>
      </c>
      <c r="L576" s="141" t="s">
        <v>222</v>
      </c>
      <c r="M576" s="141" t="s">
        <v>222</v>
      </c>
      <c r="N576" s="141" t="s">
        <v>222</v>
      </c>
      <c r="O576" s="141" t="s">
        <v>222</v>
      </c>
      <c r="P576" s="141" t="s">
        <v>222</v>
      </c>
      <c r="Q576" s="141" t="s">
        <v>222</v>
      </c>
      <c r="R576" s="141" t="s">
        <v>222</v>
      </c>
      <c r="S576" s="141" t="s">
        <v>222</v>
      </c>
      <c r="T576" s="141" t="s">
        <v>222</v>
      </c>
      <c r="U576" s="141" t="s">
        <v>222</v>
      </c>
      <c r="V576" s="141" t="s">
        <v>222</v>
      </c>
      <c r="W576" s="141"/>
      <c r="X576" s="141"/>
      <c r="Y576" s="141"/>
      <c r="Z576" s="141"/>
    </row>
    <row r="577">
      <c r="A577" s="141"/>
      <c r="B577" s="141" t="s">
        <v>222</v>
      </c>
      <c r="C577" s="141" t="s">
        <v>222</v>
      </c>
      <c r="D577" s="141" t="s">
        <v>222</v>
      </c>
      <c r="E577" s="141" t="s">
        <v>222</v>
      </c>
      <c r="F577" s="141" t="s">
        <v>222</v>
      </c>
      <c r="G577" s="141" t="s">
        <v>222</v>
      </c>
      <c r="H577" s="141" t="s">
        <v>222</v>
      </c>
      <c r="I577" s="141" t="s">
        <v>222</v>
      </c>
      <c r="J577" s="141" t="s">
        <v>222</v>
      </c>
      <c r="K577" s="141" t="s">
        <v>222</v>
      </c>
      <c r="L577" s="141" t="s">
        <v>222</v>
      </c>
      <c r="M577" s="141" t="s">
        <v>222</v>
      </c>
      <c r="N577" s="141" t="s">
        <v>222</v>
      </c>
      <c r="O577" s="141" t="s">
        <v>222</v>
      </c>
      <c r="P577" s="141" t="s">
        <v>222</v>
      </c>
      <c r="Q577" s="141" t="s">
        <v>222</v>
      </c>
      <c r="R577" s="141" t="s">
        <v>222</v>
      </c>
      <c r="S577" s="141" t="s">
        <v>222</v>
      </c>
      <c r="T577" s="141" t="s">
        <v>222</v>
      </c>
      <c r="U577" s="141" t="s">
        <v>222</v>
      </c>
      <c r="V577" s="141" t="s">
        <v>222</v>
      </c>
      <c r="W577" s="141"/>
      <c r="X577" s="141"/>
      <c r="Y577" s="141"/>
      <c r="Z577" s="141"/>
    </row>
    <row r="578">
      <c r="A578" s="141"/>
      <c r="B578" s="141" t="s">
        <v>222</v>
      </c>
      <c r="C578" s="141" t="s">
        <v>222</v>
      </c>
      <c r="D578" s="141" t="s">
        <v>222</v>
      </c>
      <c r="E578" s="141" t="s">
        <v>222</v>
      </c>
      <c r="F578" s="141" t="s">
        <v>222</v>
      </c>
      <c r="G578" s="141" t="s">
        <v>222</v>
      </c>
      <c r="H578" s="141" t="s">
        <v>222</v>
      </c>
      <c r="I578" s="141" t="s">
        <v>222</v>
      </c>
      <c r="J578" s="141" t="s">
        <v>222</v>
      </c>
      <c r="K578" s="141" t="s">
        <v>222</v>
      </c>
      <c r="L578" s="141" t="s">
        <v>222</v>
      </c>
      <c r="M578" s="141" t="s">
        <v>222</v>
      </c>
      <c r="N578" s="141" t="s">
        <v>222</v>
      </c>
      <c r="O578" s="141" t="s">
        <v>222</v>
      </c>
      <c r="P578" s="141" t="s">
        <v>222</v>
      </c>
      <c r="Q578" s="141" t="s">
        <v>222</v>
      </c>
      <c r="R578" s="141" t="s">
        <v>222</v>
      </c>
      <c r="S578" s="141" t="s">
        <v>222</v>
      </c>
      <c r="T578" s="141" t="s">
        <v>222</v>
      </c>
      <c r="U578" s="141" t="s">
        <v>222</v>
      </c>
      <c r="V578" s="141" t="s">
        <v>222</v>
      </c>
      <c r="W578" s="141"/>
      <c r="X578" s="141"/>
      <c r="Y578" s="141"/>
      <c r="Z578" s="141"/>
    </row>
    <row r="579">
      <c r="A579" s="141"/>
      <c r="B579" s="141" t="s">
        <v>222</v>
      </c>
      <c r="C579" s="141" t="s">
        <v>222</v>
      </c>
      <c r="D579" s="141" t="s">
        <v>222</v>
      </c>
      <c r="E579" s="141" t="s">
        <v>222</v>
      </c>
      <c r="F579" s="141" t="s">
        <v>222</v>
      </c>
      <c r="G579" s="141" t="s">
        <v>222</v>
      </c>
      <c r="H579" s="141" t="s">
        <v>222</v>
      </c>
      <c r="I579" s="141" t="s">
        <v>222</v>
      </c>
      <c r="J579" s="141" t="s">
        <v>222</v>
      </c>
      <c r="K579" s="141" t="s">
        <v>222</v>
      </c>
      <c r="L579" s="141" t="s">
        <v>222</v>
      </c>
      <c r="M579" s="141" t="s">
        <v>222</v>
      </c>
      <c r="N579" s="141" t="s">
        <v>222</v>
      </c>
      <c r="O579" s="141" t="s">
        <v>222</v>
      </c>
      <c r="P579" s="141" t="s">
        <v>222</v>
      </c>
      <c r="Q579" s="141" t="s">
        <v>222</v>
      </c>
      <c r="R579" s="141" t="s">
        <v>222</v>
      </c>
      <c r="S579" s="141" t="s">
        <v>222</v>
      </c>
      <c r="T579" s="141" t="s">
        <v>222</v>
      </c>
      <c r="U579" s="141" t="s">
        <v>222</v>
      </c>
      <c r="V579" s="141" t="s">
        <v>222</v>
      </c>
      <c r="W579" s="141"/>
      <c r="X579" s="141"/>
      <c r="Y579" s="141"/>
      <c r="Z579" s="141"/>
    </row>
    <row r="580">
      <c r="A580" s="141"/>
      <c r="B580" s="141" t="s">
        <v>222</v>
      </c>
      <c r="C580" s="141" t="s">
        <v>222</v>
      </c>
      <c r="D580" s="141" t="s">
        <v>222</v>
      </c>
      <c r="E580" s="141" t="s">
        <v>222</v>
      </c>
      <c r="F580" s="141" t="s">
        <v>222</v>
      </c>
      <c r="G580" s="141" t="s">
        <v>222</v>
      </c>
      <c r="H580" s="141" t="s">
        <v>222</v>
      </c>
      <c r="I580" s="141" t="s">
        <v>222</v>
      </c>
      <c r="J580" s="141" t="s">
        <v>222</v>
      </c>
      <c r="K580" s="141" t="s">
        <v>222</v>
      </c>
      <c r="L580" s="141" t="s">
        <v>222</v>
      </c>
      <c r="M580" s="141" t="s">
        <v>222</v>
      </c>
      <c r="N580" s="141" t="s">
        <v>222</v>
      </c>
      <c r="O580" s="141" t="s">
        <v>222</v>
      </c>
      <c r="P580" s="141" t="s">
        <v>222</v>
      </c>
      <c r="Q580" s="141" t="s">
        <v>222</v>
      </c>
      <c r="R580" s="141" t="s">
        <v>222</v>
      </c>
      <c r="S580" s="141" t="s">
        <v>222</v>
      </c>
      <c r="T580" s="141" t="s">
        <v>222</v>
      </c>
      <c r="U580" s="141" t="s">
        <v>222</v>
      </c>
      <c r="V580" s="141" t="s">
        <v>222</v>
      </c>
      <c r="W580" s="141"/>
      <c r="X580" s="141"/>
      <c r="Y580" s="141"/>
      <c r="Z580" s="141"/>
    </row>
    <row r="581">
      <c r="A581" s="141"/>
      <c r="B581" s="141" t="s">
        <v>222</v>
      </c>
      <c r="C581" s="141" t="s">
        <v>222</v>
      </c>
      <c r="D581" s="141" t="s">
        <v>222</v>
      </c>
      <c r="E581" s="141" t="s">
        <v>222</v>
      </c>
      <c r="F581" s="141" t="s">
        <v>222</v>
      </c>
      <c r="G581" s="141" t="s">
        <v>222</v>
      </c>
      <c r="H581" s="141" t="s">
        <v>222</v>
      </c>
      <c r="I581" s="141" t="s">
        <v>222</v>
      </c>
      <c r="J581" s="141" t="s">
        <v>222</v>
      </c>
      <c r="K581" s="141" t="s">
        <v>222</v>
      </c>
      <c r="L581" s="141" t="s">
        <v>222</v>
      </c>
      <c r="M581" s="141" t="s">
        <v>222</v>
      </c>
      <c r="N581" s="141" t="s">
        <v>222</v>
      </c>
      <c r="O581" s="141" t="s">
        <v>222</v>
      </c>
      <c r="P581" s="141" t="s">
        <v>222</v>
      </c>
      <c r="Q581" s="141" t="s">
        <v>222</v>
      </c>
      <c r="R581" s="141" t="s">
        <v>222</v>
      </c>
      <c r="S581" s="141" t="s">
        <v>222</v>
      </c>
      <c r="T581" s="141" t="s">
        <v>222</v>
      </c>
      <c r="U581" s="141" t="s">
        <v>222</v>
      </c>
      <c r="V581" s="141" t="s">
        <v>222</v>
      </c>
      <c r="W581" s="141"/>
      <c r="X581" s="141"/>
      <c r="Y581" s="141"/>
      <c r="Z581" s="141"/>
    </row>
    <row r="582">
      <c r="A582" s="141"/>
      <c r="B582" s="141" t="s">
        <v>222</v>
      </c>
      <c r="C582" s="141" t="s">
        <v>222</v>
      </c>
      <c r="D582" s="141" t="s">
        <v>222</v>
      </c>
      <c r="E582" s="141" t="s">
        <v>222</v>
      </c>
      <c r="F582" s="141" t="s">
        <v>222</v>
      </c>
      <c r="G582" s="141" t="s">
        <v>222</v>
      </c>
      <c r="H582" s="141" t="s">
        <v>222</v>
      </c>
      <c r="I582" s="141" t="s">
        <v>222</v>
      </c>
      <c r="J582" s="141" t="s">
        <v>222</v>
      </c>
      <c r="K582" s="141" t="s">
        <v>222</v>
      </c>
      <c r="L582" s="141" t="s">
        <v>222</v>
      </c>
      <c r="M582" s="141" t="s">
        <v>222</v>
      </c>
      <c r="N582" s="141" t="s">
        <v>222</v>
      </c>
      <c r="O582" s="141" t="s">
        <v>222</v>
      </c>
      <c r="P582" s="141" t="s">
        <v>222</v>
      </c>
      <c r="Q582" s="141" t="s">
        <v>222</v>
      </c>
      <c r="R582" s="141" t="s">
        <v>222</v>
      </c>
      <c r="S582" s="141" t="s">
        <v>222</v>
      </c>
      <c r="T582" s="141" t="s">
        <v>222</v>
      </c>
      <c r="U582" s="141" t="s">
        <v>222</v>
      </c>
      <c r="V582" s="141" t="s">
        <v>222</v>
      </c>
      <c r="W582" s="141"/>
      <c r="X582" s="141"/>
      <c r="Y582" s="141"/>
      <c r="Z582" s="141"/>
    </row>
    <row r="583">
      <c r="A583" s="141"/>
      <c r="B583" s="141" t="s">
        <v>222</v>
      </c>
      <c r="C583" s="141" t="s">
        <v>222</v>
      </c>
      <c r="D583" s="141" t="s">
        <v>222</v>
      </c>
      <c r="E583" s="141" t="s">
        <v>222</v>
      </c>
      <c r="F583" s="141" t="s">
        <v>222</v>
      </c>
      <c r="G583" s="141" t="s">
        <v>222</v>
      </c>
      <c r="H583" s="141" t="s">
        <v>222</v>
      </c>
      <c r="I583" s="141" t="s">
        <v>222</v>
      </c>
      <c r="J583" s="141" t="s">
        <v>222</v>
      </c>
      <c r="K583" s="141" t="s">
        <v>222</v>
      </c>
      <c r="L583" s="141" t="s">
        <v>222</v>
      </c>
      <c r="M583" s="141" t="s">
        <v>222</v>
      </c>
      <c r="N583" s="141" t="s">
        <v>222</v>
      </c>
      <c r="O583" s="141" t="s">
        <v>222</v>
      </c>
      <c r="P583" s="141" t="s">
        <v>222</v>
      </c>
      <c r="Q583" s="141" t="s">
        <v>222</v>
      </c>
      <c r="R583" s="141" t="s">
        <v>222</v>
      </c>
      <c r="S583" s="141" t="s">
        <v>222</v>
      </c>
      <c r="T583" s="141" t="s">
        <v>222</v>
      </c>
      <c r="U583" s="141" t="s">
        <v>222</v>
      </c>
      <c r="V583" s="141" t="s">
        <v>222</v>
      </c>
      <c r="W583" s="141"/>
      <c r="X583" s="141"/>
      <c r="Y583" s="141"/>
      <c r="Z583" s="141"/>
    </row>
    <row r="584">
      <c r="A584" s="141"/>
      <c r="B584" s="141" t="s">
        <v>222</v>
      </c>
      <c r="C584" s="141" t="s">
        <v>222</v>
      </c>
      <c r="D584" s="141" t="s">
        <v>222</v>
      </c>
      <c r="E584" s="141" t="s">
        <v>222</v>
      </c>
      <c r="F584" s="141" t="s">
        <v>222</v>
      </c>
      <c r="G584" s="141" t="s">
        <v>222</v>
      </c>
      <c r="H584" s="141" t="s">
        <v>222</v>
      </c>
      <c r="I584" s="141" t="s">
        <v>222</v>
      </c>
      <c r="J584" s="141" t="s">
        <v>222</v>
      </c>
      <c r="K584" s="141" t="s">
        <v>222</v>
      </c>
      <c r="L584" s="141" t="s">
        <v>222</v>
      </c>
      <c r="M584" s="141" t="s">
        <v>222</v>
      </c>
      <c r="N584" s="141" t="s">
        <v>222</v>
      </c>
      <c r="O584" s="141" t="s">
        <v>222</v>
      </c>
      <c r="P584" s="141" t="s">
        <v>222</v>
      </c>
      <c r="Q584" s="141" t="s">
        <v>222</v>
      </c>
      <c r="R584" s="141" t="s">
        <v>222</v>
      </c>
      <c r="S584" s="141" t="s">
        <v>222</v>
      </c>
      <c r="T584" s="141" t="s">
        <v>222</v>
      </c>
      <c r="U584" s="141" t="s">
        <v>222</v>
      </c>
      <c r="V584" s="141" t="s">
        <v>222</v>
      </c>
      <c r="W584" s="141"/>
      <c r="X584" s="141"/>
      <c r="Y584" s="141"/>
      <c r="Z584" s="141"/>
    </row>
    <row r="585">
      <c r="A585" s="141"/>
      <c r="B585" s="141" t="s">
        <v>222</v>
      </c>
      <c r="C585" s="141" t="s">
        <v>222</v>
      </c>
      <c r="D585" s="141" t="s">
        <v>222</v>
      </c>
      <c r="E585" s="141" t="s">
        <v>222</v>
      </c>
      <c r="F585" s="141" t="s">
        <v>222</v>
      </c>
      <c r="G585" s="141" t="s">
        <v>222</v>
      </c>
      <c r="H585" s="141" t="s">
        <v>222</v>
      </c>
      <c r="I585" s="141" t="s">
        <v>222</v>
      </c>
      <c r="J585" s="141" t="s">
        <v>222</v>
      </c>
      <c r="K585" s="141" t="s">
        <v>222</v>
      </c>
      <c r="L585" s="141" t="s">
        <v>222</v>
      </c>
      <c r="M585" s="141" t="s">
        <v>222</v>
      </c>
      <c r="N585" s="141" t="s">
        <v>222</v>
      </c>
      <c r="O585" s="141" t="s">
        <v>222</v>
      </c>
      <c r="P585" s="141" t="s">
        <v>222</v>
      </c>
      <c r="Q585" s="141" t="s">
        <v>222</v>
      </c>
      <c r="R585" s="141" t="s">
        <v>222</v>
      </c>
      <c r="S585" s="141" t="s">
        <v>222</v>
      </c>
      <c r="T585" s="141" t="s">
        <v>222</v>
      </c>
      <c r="U585" s="141" t="s">
        <v>222</v>
      </c>
      <c r="V585" s="141" t="s">
        <v>222</v>
      </c>
      <c r="W585" s="141"/>
      <c r="X585" s="141"/>
      <c r="Y585" s="141"/>
      <c r="Z585" s="141"/>
    </row>
    <row r="586">
      <c r="A586" s="141"/>
      <c r="B586" s="141" t="s">
        <v>222</v>
      </c>
      <c r="C586" s="141" t="s">
        <v>222</v>
      </c>
      <c r="D586" s="141" t="s">
        <v>222</v>
      </c>
      <c r="E586" s="141" t="s">
        <v>222</v>
      </c>
      <c r="F586" s="141" t="s">
        <v>222</v>
      </c>
      <c r="G586" s="141" t="s">
        <v>222</v>
      </c>
      <c r="H586" s="141" t="s">
        <v>222</v>
      </c>
      <c r="I586" s="141" t="s">
        <v>222</v>
      </c>
      <c r="J586" s="141" t="s">
        <v>222</v>
      </c>
      <c r="K586" s="141" t="s">
        <v>222</v>
      </c>
      <c r="L586" s="141" t="s">
        <v>222</v>
      </c>
      <c r="M586" s="141" t="s">
        <v>222</v>
      </c>
      <c r="N586" s="141" t="s">
        <v>222</v>
      </c>
      <c r="O586" s="141" t="s">
        <v>222</v>
      </c>
      <c r="P586" s="141" t="s">
        <v>222</v>
      </c>
      <c r="Q586" s="141" t="s">
        <v>222</v>
      </c>
      <c r="R586" s="141" t="s">
        <v>222</v>
      </c>
      <c r="S586" s="141" t="s">
        <v>222</v>
      </c>
      <c r="T586" s="141" t="s">
        <v>222</v>
      </c>
      <c r="U586" s="141" t="s">
        <v>222</v>
      </c>
      <c r="V586" s="141" t="s">
        <v>222</v>
      </c>
      <c r="W586" s="141"/>
      <c r="X586" s="141"/>
      <c r="Y586" s="141"/>
      <c r="Z586" s="141"/>
    </row>
    <row r="587">
      <c r="A587" s="141"/>
      <c r="B587" s="141" t="s">
        <v>222</v>
      </c>
      <c r="C587" s="141" t="s">
        <v>222</v>
      </c>
      <c r="D587" s="141" t="s">
        <v>222</v>
      </c>
      <c r="E587" s="141" t="s">
        <v>222</v>
      </c>
      <c r="F587" s="141" t="s">
        <v>222</v>
      </c>
      <c r="G587" s="141" t="s">
        <v>222</v>
      </c>
      <c r="H587" s="141" t="s">
        <v>222</v>
      </c>
      <c r="I587" s="141" t="s">
        <v>222</v>
      </c>
      <c r="J587" s="141" t="s">
        <v>222</v>
      </c>
      <c r="K587" s="141" t="s">
        <v>222</v>
      </c>
      <c r="L587" s="141" t="s">
        <v>222</v>
      </c>
      <c r="M587" s="141" t="s">
        <v>222</v>
      </c>
      <c r="N587" s="141" t="s">
        <v>222</v>
      </c>
      <c r="O587" s="141" t="s">
        <v>222</v>
      </c>
      <c r="P587" s="141" t="s">
        <v>222</v>
      </c>
      <c r="Q587" s="141" t="s">
        <v>222</v>
      </c>
      <c r="R587" s="141" t="s">
        <v>222</v>
      </c>
      <c r="S587" s="141" t="s">
        <v>222</v>
      </c>
      <c r="T587" s="141" t="s">
        <v>222</v>
      </c>
      <c r="U587" s="141" t="s">
        <v>222</v>
      </c>
      <c r="V587" s="141" t="s">
        <v>222</v>
      </c>
      <c r="W587" s="141"/>
      <c r="X587" s="141"/>
      <c r="Y587" s="141"/>
      <c r="Z587" s="141"/>
    </row>
    <row r="588">
      <c r="A588" s="141"/>
      <c r="B588" s="141" t="s">
        <v>222</v>
      </c>
      <c r="C588" s="141" t="s">
        <v>222</v>
      </c>
      <c r="D588" s="141" t="s">
        <v>222</v>
      </c>
      <c r="E588" s="141" t="s">
        <v>222</v>
      </c>
      <c r="F588" s="141" t="s">
        <v>222</v>
      </c>
      <c r="G588" s="141" t="s">
        <v>222</v>
      </c>
      <c r="H588" s="141" t="s">
        <v>222</v>
      </c>
      <c r="I588" s="141" t="s">
        <v>222</v>
      </c>
      <c r="J588" s="141" t="s">
        <v>222</v>
      </c>
      <c r="K588" s="141" t="s">
        <v>222</v>
      </c>
      <c r="L588" s="141" t="s">
        <v>222</v>
      </c>
      <c r="M588" s="141" t="s">
        <v>222</v>
      </c>
      <c r="N588" s="141" t="s">
        <v>222</v>
      </c>
      <c r="O588" s="141" t="s">
        <v>222</v>
      </c>
      <c r="P588" s="141" t="s">
        <v>222</v>
      </c>
      <c r="Q588" s="141" t="s">
        <v>222</v>
      </c>
      <c r="R588" s="141" t="s">
        <v>222</v>
      </c>
      <c r="S588" s="141" t="s">
        <v>222</v>
      </c>
      <c r="T588" s="141" t="s">
        <v>222</v>
      </c>
      <c r="U588" s="141" t="s">
        <v>222</v>
      </c>
      <c r="V588" s="141" t="s">
        <v>222</v>
      </c>
      <c r="W588" s="141"/>
      <c r="X588" s="141"/>
      <c r="Y588" s="141"/>
      <c r="Z588" s="141"/>
    </row>
    <row r="589">
      <c r="A589" s="141"/>
      <c r="B589" s="141" t="s">
        <v>222</v>
      </c>
      <c r="C589" s="141" t="s">
        <v>222</v>
      </c>
      <c r="D589" s="141" t="s">
        <v>222</v>
      </c>
      <c r="E589" s="141" t="s">
        <v>222</v>
      </c>
      <c r="F589" s="141" t="s">
        <v>222</v>
      </c>
      <c r="G589" s="141" t="s">
        <v>222</v>
      </c>
      <c r="H589" s="141" t="s">
        <v>222</v>
      </c>
      <c r="I589" s="141" t="s">
        <v>222</v>
      </c>
      <c r="J589" s="141" t="s">
        <v>222</v>
      </c>
      <c r="K589" s="141" t="s">
        <v>222</v>
      </c>
      <c r="L589" s="141" t="s">
        <v>222</v>
      </c>
      <c r="M589" s="141" t="s">
        <v>222</v>
      </c>
      <c r="N589" s="141" t="s">
        <v>222</v>
      </c>
      <c r="O589" s="141" t="s">
        <v>222</v>
      </c>
      <c r="P589" s="141" t="s">
        <v>222</v>
      </c>
      <c r="Q589" s="141" t="s">
        <v>222</v>
      </c>
      <c r="R589" s="141" t="s">
        <v>222</v>
      </c>
      <c r="S589" s="141" t="s">
        <v>222</v>
      </c>
      <c r="T589" s="141" t="s">
        <v>222</v>
      </c>
      <c r="U589" s="141" t="s">
        <v>222</v>
      </c>
      <c r="V589" s="141" t="s">
        <v>222</v>
      </c>
      <c r="W589" s="141"/>
      <c r="X589" s="141"/>
      <c r="Y589" s="141"/>
      <c r="Z589" s="141"/>
    </row>
    <row r="590">
      <c r="A590" s="141"/>
      <c r="B590" s="141" t="s">
        <v>222</v>
      </c>
      <c r="C590" s="141" t="s">
        <v>222</v>
      </c>
      <c r="D590" s="141" t="s">
        <v>222</v>
      </c>
      <c r="E590" s="141" t="s">
        <v>222</v>
      </c>
      <c r="F590" s="141" t="s">
        <v>222</v>
      </c>
      <c r="G590" s="141" t="s">
        <v>222</v>
      </c>
      <c r="H590" s="141" t="s">
        <v>222</v>
      </c>
      <c r="I590" s="141" t="s">
        <v>222</v>
      </c>
      <c r="J590" s="141" t="s">
        <v>222</v>
      </c>
      <c r="K590" s="141" t="s">
        <v>222</v>
      </c>
      <c r="L590" s="141" t="s">
        <v>222</v>
      </c>
      <c r="M590" s="141" t="s">
        <v>222</v>
      </c>
      <c r="N590" s="141" t="s">
        <v>222</v>
      </c>
      <c r="O590" s="141" t="s">
        <v>222</v>
      </c>
      <c r="P590" s="141" t="s">
        <v>222</v>
      </c>
      <c r="Q590" s="141" t="s">
        <v>222</v>
      </c>
      <c r="R590" s="141" t="s">
        <v>222</v>
      </c>
      <c r="S590" s="141" t="s">
        <v>222</v>
      </c>
      <c r="T590" s="141" t="s">
        <v>222</v>
      </c>
      <c r="U590" s="141" t="s">
        <v>222</v>
      </c>
      <c r="V590" s="141" t="s">
        <v>222</v>
      </c>
      <c r="W590" s="141"/>
      <c r="X590" s="141"/>
      <c r="Y590" s="141"/>
      <c r="Z590" s="141"/>
    </row>
    <row r="591">
      <c r="A591" s="141"/>
      <c r="B591" s="141" t="s">
        <v>222</v>
      </c>
      <c r="C591" s="141" t="s">
        <v>222</v>
      </c>
      <c r="D591" s="141" t="s">
        <v>222</v>
      </c>
      <c r="E591" s="141" t="s">
        <v>222</v>
      </c>
      <c r="F591" s="141" t="s">
        <v>222</v>
      </c>
      <c r="G591" s="141" t="s">
        <v>222</v>
      </c>
      <c r="H591" s="141" t="s">
        <v>222</v>
      </c>
      <c r="I591" s="141" t="s">
        <v>222</v>
      </c>
      <c r="J591" s="141" t="s">
        <v>222</v>
      </c>
      <c r="K591" s="141" t="s">
        <v>222</v>
      </c>
      <c r="L591" s="141" t="s">
        <v>222</v>
      </c>
      <c r="M591" s="141" t="s">
        <v>222</v>
      </c>
      <c r="N591" s="141" t="s">
        <v>222</v>
      </c>
      <c r="O591" s="141" t="s">
        <v>222</v>
      </c>
      <c r="P591" s="141" t="s">
        <v>222</v>
      </c>
      <c r="Q591" s="141" t="s">
        <v>222</v>
      </c>
      <c r="R591" s="141" t="s">
        <v>222</v>
      </c>
      <c r="S591" s="141" t="s">
        <v>222</v>
      </c>
      <c r="T591" s="141" t="s">
        <v>222</v>
      </c>
      <c r="U591" s="141" t="s">
        <v>222</v>
      </c>
      <c r="V591" s="141" t="s">
        <v>222</v>
      </c>
      <c r="W591" s="141"/>
      <c r="X591" s="141"/>
      <c r="Y591" s="141"/>
      <c r="Z591" s="141"/>
    </row>
    <row r="592">
      <c r="A592" s="141"/>
      <c r="B592" s="141" t="s">
        <v>222</v>
      </c>
      <c r="C592" s="141" t="s">
        <v>222</v>
      </c>
      <c r="D592" s="141" t="s">
        <v>222</v>
      </c>
      <c r="E592" s="141" t="s">
        <v>222</v>
      </c>
      <c r="F592" s="141" t="s">
        <v>222</v>
      </c>
      <c r="G592" s="141" t="s">
        <v>222</v>
      </c>
      <c r="H592" s="141" t="s">
        <v>222</v>
      </c>
      <c r="I592" s="141" t="s">
        <v>222</v>
      </c>
      <c r="J592" s="141" t="s">
        <v>222</v>
      </c>
      <c r="K592" s="141" t="s">
        <v>222</v>
      </c>
      <c r="L592" s="141" t="s">
        <v>222</v>
      </c>
      <c r="M592" s="141" t="s">
        <v>222</v>
      </c>
      <c r="N592" s="141" t="s">
        <v>222</v>
      </c>
      <c r="O592" s="141" t="s">
        <v>222</v>
      </c>
      <c r="P592" s="141" t="s">
        <v>222</v>
      </c>
      <c r="Q592" s="141" t="s">
        <v>222</v>
      </c>
      <c r="R592" s="141" t="s">
        <v>222</v>
      </c>
      <c r="S592" s="141" t="s">
        <v>222</v>
      </c>
      <c r="T592" s="141" t="s">
        <v>222</v>
      </c>
      <c r="U592" s="141" t="s">
        <v>222</v>
      </c>
      <c r="V592" s="141" t="s">
        <v>222</v>
      </c>
      <c r="W592" s="141"/>
      <c r="X592" s="141"/>
      <c r="Y592" s="141"/>
      <c r="Z592" s="141"/>
    </row>
    <row r="593">
      <c r="A593" s="141"/>
      <c r="B593" s="141" t="s">
        <v>222</v>
      </c>
      <c r="C593" s="141" t="s">
        <v>222</v>
      </c>
      <c r="D593" s="141" t="s">
        <v>222</v>
      </c>
      <c r="E593" s="141" t="s">
        <v>222</v>
      </c>
      <c r="F593" s="141" t="s">
        <v>222</v>
      </c>
      <c r="G593" s="141" t="s">
        <v>222</v>
      </c>
      <c r="H593" s="141" t="s">
        <v>222</v>
      </c>
      <c r="I593" s="141" t="s">
        <v>222</v>
      </c>
      <c r="J593" s="141" t="s">
        <v>222</v>
      </c>
      <c r="K593" s="141" t="s">
        <v>222</v>
      </c>
      <c r="L593" s="141" t="s">
        <v>222</v>
      </c>
      <c r="M593" s="141" t="s">
        <v>222</v>
      </c>
      <c r="N593" s="141" t="s">
        <v>222</v>
      </c>
      <c r="O593" s="141" t="s">
        <v>222</v>
      </c>
      <c r="P593" s="141" t="s">
        <v>222</v>
      </c>
      <c r="Q593" s="141" t="s">
        <v>222</v>
      </c>
      <c r="R593" s="141" t="s">
        <v>222</v>
      </c>
      <c r="S593" s="141" t="s">
        <v>222</v>
      </c>
      <c r="T593" s="141" t="s">
        <v>222</v>
      </c>
      <c r="U593" s="141" t="s">
        <v>222</v>
      </c>
      <c r="V593" s="141" t="s">
        <v>222</v>
      </c>
      <c r="W593" s="141"/>
      <c r="X593" s="141"/>
      <c r="Y593" s="141"/>
      <c r="Z593" s="141"/>
    </row>
    <row r="594">
      <c r="A594" s="141"/>
      <c r="B594" s="141" t="s">
        <v>222</v>
      </c>
      <c r="C594" s="141" t="s">
        <v>222</v>
      </c>
      <c r="D594" s="141" t="s">
        <v>222</v>
      </c>
      <c r="E594" s="141" t="s">
        <v>222</v>
      </c>
      <c r="F594" s="141" t="s">
        <v>222</v>
      </c>
      <c r="G594" s="141" t="s">
        <v>222</v>
      </c>
      <c r="H594" s="141" t="s">
        <v>222</v>
      </c>
      <c r="I594" s="141" t="s">
        <v>222</v>
      </c>
      <c r="J594" s="141" t="s">
        <v>222</v>
      </c>
      <c r="K594" s="141" t="s">
        <v>222</v>
      </c>
      <c r="L594" s="141" t="s">
        <v>222</v>
      </c>
      <c r="M594" s="141" t="s">
        <v>222</v>
      </c>
      <c r="N594" s="141" t="s">
        <v>222</v>
      </c>
      <c r="O594" s="141" t="s">
        <v>222</v>
      </c>
      <c r="P594" s="141" t="s">
        <v>222</v>
      </c>
      <c r="Q594" s="141" t="s">
        <v>222</v>
      </c>
      <c r="R594" s="141" t="s">
        <v>222</v>
      </c>
      <c r="S594" s="141" t="s">
        <v>222</v>
      </c>
      <c r="T594" s="141" t="s">
        <v>222</v>
      </c>
      <c r="U594" s="141" t="s">
        <v>222</v>
      </c>
      <c r="V594" s="141" t="s">
        <v>222</v>
      </c>
      <c r="W594" s="141"/>
      <c r="X594" s="141"/>
      <c r="Y594" s="141"/>
      <c r="Z594" s="141"/>
    </row>
    <row r="595">
      <c r="A595" s="141"/>
      <c r="B595" s="141" t="s">
        <v>222</v>
      </c>
      <c r="C595" s="141" t="s">
        <v>222</v>
      </c>
      <c r="D595" s="141" t="s">
        <v>222</v>
      </c>
      <c r="E595" s="141" t="s">
        <v>222</v>
      </c>
      <c r="F595" s="141" t="s">
        <v>222</v>
      </c>
      <c r="G595" s="141" t="s">
        <v>222</v>
      </c>
      <c r="H595" s="141" t="s">
        <v>222</v>
      </c>
      <c r="I595" s="141" t="s">
        <v>222</v>
      </c>
      <c r="J595" s="141" t="s">
        <v>222</v>
      </c>
      <c r="K595" s="141" t="s">
        <v>222</v>
      </c>
      <c r="L595" s="141" t="s">
        <v>222</v>
      </c>
      <c r="M595" s="141" t="s">
        <v>222</v>
      </c>
      <c r="N595" s="141" t="s">
        <v>222</v>
      </c>
      <c r="O595" s="141" t="s">
        <v>222</v>
      </c>
      <c r="P595" s="141" t="s">
        <v>222</v>
      </c>
      <c r="Q595" s="141" t="s">
        <v>222</v>
      </c>
      <c r="R595" s="141" t="s">
        <v>222</v>
      </c>
      <c r="S595" s="141" t="s">
        <v>222</v>
      </c>
      <c r="T595" s="141" t="s">
        <v>222</v>
      </c>
      <c r="U595" s="141" t="s">
        <v>222</v>
      </c>
      <c r="V595" s="141" t="s">
        <v>222</v>
      </c>
      <c r="W595" s="141"/>
      <c r="X595" s="141"/>
      <c r="Y595" s="141"/>
      <c r="Z595" s="141"/>
    </row>
    <row r="596">
      <c r="A596" s="141"/>
      <c r="B596" s="141" t="s">
        <v>222</v>
      </c>
      <c r="C596" s="141" t="s">
        <v>222</v>
      </c>
      <c r="D596" s="141" t="s">
        <v>222</v>
      </c>
      <c r="E596" s="141" t="s">
        <v>222</v>
      </c>
      <c r="F596" s="141" t="s">
        <v>222</v>
      </c>
      <c r="G596" s="141" t="s">
        <v>222</v>
      </c>
      <c r="H596" s="141" t="s">
        <v>222</v>
      </c>
      <c r="I596" s="141" t="s">
        <v>222</v>
      </c>
      <c r="J596" s="141" t="s">
        <v>222</v>
      </c>
      <c r="K596" s="141" t="s">
        <v>222</v>
      </c>
      <c r="L596" s="141" t="s">
        <v>222</v>
      </c>
      <c r="M596" s="141" t="s">
        <v>222</v>
      </c>
      <c r="N596" s="141" t="s">
        <v>222</v>
      </c>
      <c r="O596" s="141" t="s">
        <v>222</v>
      </c>
      <c r="P596" s="141" t="s">
        <v>222</v>
      </c>
      <c r="Q596" s="141" t="s">
        <v>222</v>
      </c>
      <c r="R596" s="141" t="s">
        <v>222</v>
      </c>
      <c r="S596" s="141" t="s">
        <v>222</v>
      </c>
      <c r="T596" s="141" t="s">
        <v>222</v>
      </c>
      <c r="U596" s="141" t="s">
        <v>222</v>
      </c>
      <c r="V596" s="141" t="s">
        <v>222</v>
      </c>
      <c r="W596" s="141"/>
      <c r="X596" s="141"/>
      <c r="Y596" s="141"/>
      <c r="Z596" s="141"/>
    </row>
    <row r="597">
      <c r="A597" s="141"/>
      <c r="B597" s="141" t="s">
        <v>222</v>
      </c>
      <c r="C597" s="141" t="s">
        <v>222</v>
      </c>
      <c r="D597" s="141" t="s">
        <v>222</v>
      </c>
      <c r="E597" s="141" t="s">
        <v>222</v>
      </c>
      <c r="F597" s="141" t="s">
        <v>222</v>
      </c>
      <c r="G597" s="141" t="s">
        <v>222</v>
      </c>
      <c r="H597" s="141" t="s">
        <v>222</v>
      </c>
      <c r="I597" s="141" t="s">
        <v>222</v>
      </c>
      <c r="J597" s="141" t="s">
        <v>222</v>
      </c>
      <c r="K597" s="141" t="s">
        <v>222</v>
      </c>
      <c r="L597" s="141" t="s">
        <v>222</v>
      </c>
      <c r="M597" s="141" t="s">
        <v>222</v>
      </c>
      <c r="N597" s="141" t="s">
        <v>222</v>
      </c>
      <c r="O597" s="141" t="s">
        <v>222</v>
      </c>
      <c r="P597" s="141" t="s">
        <v>222</v>
      </c>
      <c r="Q597" s="141" t="s">
        <v>222</v>
      </c>
      <c r="R597" s="141" t="s">
        <v>222</v>
      </c>
      <c r="S597" s="141" t="s">
        <v>222</v>
      </c>
      <c r="T597" s="141" t="s">
        <v>222</v>
      </c>
      <c r="U597" s="141" t="s">
        <v>222</v>
      </c>
      <c r="V597" s="141" t="s">
        <v>222</v>
      </c>
      <c r="W597" s="141"/>
      <c r="X597" s="141"/>
      <c r="Y597" s="141"/>
      <c r="Z597" s="141"/>
    </row>
    <row r="598">
      <c r="A598" s="141"/>
      <c r="B598" s="141" t="s">
        <v>222</v>
      </c>
      <c r="C598" s="141" t="s">
        <v>222</v>
      </c>
      <c r="D598" s="141" t="s">
        <v>222</v>
      </c>
      <c r="E598" s="141" t="s">
        <v>222</v>
      </c>
      <c r="F598" s="141" t="s">
        <v>222</v>
      </c>
      <c r="G598" s="141" t="s">
        <v>222</v>
      </c>
      <c r="H598" s="141" t="s">
        <v>222</v>
      </c>
      <c r="I598" s="141" t="s">
        <v>222</v>
      </c>
      <c r="J598" s="141" t="s">
        <v>222</v>
      </c>
      <c r="K598" s="141" t="s">
        <v>222</v>
      </c>
      <c r="L598" s="141" t="s">
        <v>222</v>
      </c>
      <c r="M598" s="141" t="s">
        <v>222</v>
      </c>
      <c r="N598" s="141" t="s">
        <v>222</v>
      </c>
      <c r="O598" s="141" t="s">
        <v>222</v>
      </c>
      <c r="P598" s="141" t="s">
        <v>222</v>
      </c>
      <c r="Q598" s="141" t="s">
        <v>222</v>
      </c>
      <c r="R598" s="141" t="s">
        <v>222</v>
      </c>
      <c r="S598" s="141" t="s">
        <v>222</v>
      </c>
      <c r="T598" s="141" t="s">
        <v>222</v>
      </c>
      <c r="U598" s="141" t="s">
        <v>222</v>
      </c>
      <c r="V598" s="141" t="s">
        <v>222</v>
      </c>
      <c r="W598" s="141"/>
      <c r="X598" s="141"/>
      <c r="Y598" s="141"/>
      <c r="Z598" s="141"/>
    </row>
    <row r="599">
      <c r="A599" s="141"/>
      <c r="B599" s="141" t="s">
        <v>222</v>
      </c>
      <c r="C599" s="141" t="s">
        <v>222</v>
      </c>
      <c r="D599" s="141" t="s">
        <v>222</v>
      </c>
      <c r="E599" s="141" t="s">
        <v>222</v>
      </c>
      <c r="F599" s="141" t="s">
        <v>222</v>
      </c>
      <c r="G599" s="141" t="s">
        <v>222</v>
      </c>
      <c r="H599" s="141" t="s">
        <v>222</v>
      </c>
      <c r="I599" s="141" t="s">
        <v>222</v>
      </c>
      <c r="J599" s="141" t="s">
        <v>222</v>
      </c>
      <c r="K599" s="141" t="s">
        <v>222</v>
      </c>
      <c r="L599" s="141" t="s">
        <v>222</v>
      </c>
      <c r="M599" s="141" t="s">
        <v>222</v>
      </c>
      <c r="N599" s="141" t="s">
        <v>222</v>
      </c>
      <c r="O599" s="141" t="s">
        <v>222</v>
      </c>
      <c r="P599" s="141" t="s">
        <v>222</v>
      </c>
      <c r="Q599" s="141" t="s">
        <v>222</v>
      </c>
      <c r="R599" s="141" t="s">
        <v>222</v>
      </c>
      <c r="S599" s="141" t="s">
        <v>222</v>
      </c>
      <c r="T599" s="141" t="s">
        <v>222</v>
      </c>
      <c r="U599" s="141" t="s">
        <v>222</v>
      </c>
      <c r="V599" s="141" t="s">
        <v>222</v>
      </c>
      <c r="W599" s="141"/>
      <c r="X599" s="141"/>
      <c r="Y599" s="141"/>
      <c r="Z599" s="141"/>
    </row>
    <row r="600">
      <c r="A600" s="141"/>
      <c r="B600" s="141" t="s">
        <v>222</v>
      </c>
      <c r="C600" s="141" t="s">
        <v>222</v>
      </c>
      <c r="D600" s="141" t="s">
        <v>222</v>
      </c>
      <c r="E600" s="141" t="s">
        <v>222</v>
      </c>
      <c r="F600" s="141" t="s">
        <v>222</v>
      </c>
      <c r="G600" s="141" t="s">
        <v>222</v>
      </c>
      <c r="H600" s="141" t="s">
        <v>222</v>
      </c>
      <c r="I600" s="141" t="s">
        <v>222</v>
      </c>
      <c r="J600" s="141" t="s">
        <v>222</v>
      </c>
      <c r="K600" s="141" t="s">
        <v>222</v>
      </c>
      <c r="L600" s="141" t="s">
        <v>222</v>
      </c>
      <c r="M600" s="141" t="s">
        <v>222</v>
      </c>
      <c r="N600" s="141" t="s">
        <v>222</v>
      </c>
      <c r="O600" s="141" t="s">
        <v>222</v>
      </c>
      <c r="P600" s="141" t="s">
        <v>222</v>
      </c>
      <c r="Q600" s="141" t="s">
        <v>222</v>
      </c>
      <c r="R600" s="141" t="s">
        <v>222</v>
      </c>
      <c r="S600" s="141" t="s">
        <v>222</v>
      </c>
      <c r="T600" s="141" t="s">
        <v>222</v>
      </c>
      <c r="U600" s="141" t="s">
        <v>222</v>
      </c>
      <c r="V600" s="141" t="s">
        <v>222</v>
      </c>
      <c r="W600" s="141"/>
      <c r="X600" s="141"/>
      <c r="Y600" s="141"/>
      <c r="Z600" s="141"/>
    </row>
    <row r="601">
      <c r="A601" s="141"/>
      <c r="B601" s="141" t="s">
        <v>222</v>
      </c>
      <c r="C601" s="141" t="s">
        <v>222</v>
      </c>
      <c r="D601" s="141" t="s">
        <v>222</v>
      </c>
      <c r="E601" s="141" t="s">
        <v>222</v>
      </c>
      <c r="F601" s="141" t="s">
        <v>222</v>
      </c>
      <c r="G601" s="141" t="s">
        <v>222</v>
      </c>
      <c r="H601" s="141" t="s">
        <v>222</v>
      </c>
      <c r="I601" s="141" t="s">
        <v>222</v>
      </c>
      <c r="J601" s="141" t="s">
        <v>222</v>
      </c>
      <c r="K601" s="141" t="s">
        <v>222</v>
      </c>
      <c r="L601" s="141" t="s">
        <v>222</v>
      </c>
      <c r="M601" s="141" t="s">
        <v>222</v>
      </c>
      <c r="N601" s="141" t="s">
        <v>222</v>
      </c>
      <c r="O601" s="141" t="s">
        <v>222</v>
      </c>
      <c r="P601" s="141" t="s">
        <v>222</v>
      </c>
      <c r="Q601" s="141" t="s">
        <v>222</v>
      </c>
      <c r="R601" s="141" t="s">
        <v>222</v>
      </c>
      <c r="S601" s="141" t="s">
        <v>222</v>
      </c>
      <c r="T601" s="141" t="s">
        <v>222</v>
      </c>
      <c r="U601" s="141" t="s">
        <v>222</v>
      </c>
      <c r="V601" s="141" t="s">
        <v>222</v>
      </c>
      <c r="W601" s="141"/>
      <c r="X601" s="141"/>
      <c r="Y601" s="141"/>
      <c r="Z601" s="141"/>
    </row>
    <row r="602">
      <c r="A602" s="141"/>
      <c r="B602" s="141" t="s">
        <v>222</v>
      </c>
      <c r="C602" s="141" t="s">
        <v>222</v>
      </c>
      <c r="D602" s="141" t="s">
        <v>222</v>
      </c>
      <c r="E602" s="141" t="s">
        <v>222</v>
      </c>
      <c r="F602" s="141" t="s">
        <v>222</v>
      </c>
      <c r="G602" s="141" t="s">
        <v>222</v>
      </c>
      <c r="H602" s="141" t="s">
        <v>222</v>
      </c>
      <c r="I602" s="141" t="s">
        <v>222</v>
      </c>
      <c r="J602" s="141" t="s">
        <v>222</v>
      </c>
      <c r="K602" s="141" t="s">
        <v>222</v>
      </c>
      <c r="L602" s="141" t="s">
        <v>222</v>
      </c>
      <c r="M602" s="141" t="s">
        <v>222</v>
      </c>
      <c r="N602" s="141" t="s">
        <v>222</v>
      </c>
      <c r="O602" s="141" t="s">
        <v>222</v>
      </c>
      <c r="P602" s="141" t="s">
        <v>222</v>
      </c>
      <c r="Q602" s="141" t="s">
        <v>222</v>
      </c>
      <c r="R602" s="141" t="s">
        <v>222</v>
      </c>
      <c r="S602" s="141" t="s">
        <v>222</v>
      </c>
      <c r="T602" s="141" t="s">
        <v>222</v>
      </c>
      <c r="U602" s="141" t="s">
        <v>222</v>
      </c>
      <c r="V602" s="141" t="s">
        <v>222</v>
      </c>
      <c r="W602" s="141"/>
      <c r="X602" s="141"/>
      <c r="Y602" s="141"/>
      <c r="Z602" s="141"/>
    </row>
    <row r="603">
      <c r="A603" s="141"/>
      <c r="B603" s="141" t="s">
        <v>222</v>
      </c>
      <c r="C603" s="141" t="s">
        <v>222</v>
      </c>
      <c r="D603" s="141" t="s">
        <v>222</v>
      </c>
      <c r="E603" s="141" t="s">
        <v>222</v>
      </c>
      <c r="F603" s="141" t="s">
        <v>222</v>
      </c>
      <c r="G603" s="141" t="s">
        <v>222</v>
      </c>
      <c r="H603" s="141" t="s">
        <v>222</v>
      </c>
      <c r="I603" s="141" t="s">
        <v>222</v>
      </c>
      <c r="J603" s="141" t="s">
        <v>222</v>
      </c>
      <c r="K603" s="141" t="s">
        <v>222</v>
      </c>
      <c r="L603" s="141" t="s">
        <v>222</v>
      </c>
      <c r="M603" s="141" t="s">
        <v>222</v>
      </c>
      <c r="N603" s="141" t="s">
        <v>222</v>
      </c>
      <c r="O603" s="141" t="s">
        <v>222</v>
      </c>
      <c r="P603" s="141" t="s">
        <v>222</v>
      </c>
      <c r="Q603" s="141" t="s">
        <v>222</v>
      </c>
      <c r="R603" s="141" t="s">
        <v>222</v>
      </c>
      <c r="S603" s="141" t="s">
        <v>222</v>
      </c>
      <c r="T603" s="141" t="s">
        <v>222</v>
      </c>
      <c r="U603" s="141" t="s">
        <v>222</v>
      </c>
      <c r="V603" s="141" t="s">
        <v>222</v>
      </c>
      <c r="W603" s="141"/>
      <c r="X603" s="141"/>
      <c r="Y603" s="141"/>
      <c r="Z603" s="141"/>
    </row>
    <row r="604">
      <c r="A604" s="141"/>
      <c r="B604" s="141" t="s">
        <v>222</v>
      </c>
      <c r="C604" s="141" t="s">
        <v>222</v>
      </c>
      <c r="D604" s="141" t="s">
        <v>222</v>
      </c>
      <c r="E604" s="141" t="s">
        <v>222</v>
      </c>
      <c r="F604" s="141" t="s">
        <v>222</v>
      </c>
      <c r="G604" s="141" t="s">
        <v>222</v>
      </c>
      <c r="H604" s="141" t="s">
        <v>222</v>
      </c>
      <c r="I604" s="141" t="s">
        <v>222</v>
      </c>
      <c r="J604" s="141" t="s">
        <v>222</v>
      </c>
      <c r="K604" s="141" t="s">
        <v>222</v>
      </c>
      <c r="L604" s="141" t="s">
        <v>222</v>
      </c>
      <c r="M604" s="141" t="s">
        <v>222</v>
      </c>
      <c r="N604" s="141" t="s">
        <v>222</v>
      </c>
      <c r="O604" s="141" t="s">
        <v>222</v>
      </c>
      <c r="P604" s="141" t="s">
        <v>222</v>
      </c>
      <c r="Q604" s="141" t="s">
        <v>222</v>
      </c>
      <c r="R604" s="141" t="s">
        <v>222</v>
      </c>
      <c r="S604" s="141" t="s">
        <v>222</v>
      </c>
      <c r="T604" s="141" t="s">
        <v>222</v>
      </c>
      <c r="U604" s="141" t="s">
        <v>222</v>
      </c>
      <c r="V604" s="141" t="s">
        <v>222</v>
      </c>
      <c r="W604" s="141"/>
      <c r="X604" s="141"/>
      <c r="Y604" s="141"/>
      <c r="Z604" s="141"/>
    </row>
    <row r="605">
      <c r="A605" s="141"/>
      <c r="B605" s="141" t="s">
        <v>222</v>
      </c>
      <c r="C605" s="141" t="s">
        <v>222</v>
      </c>
      <c r="D605" s="141" t="s">
        <v>222</v>
      </c>
      <c r="E605" s="141" t="s">
        <v>222</v>
      </c>
      <c r="F605" s="141" t="s">
        <v>222</v>
      </c>
      <c r="G605" s="141" t="s">
        <v>222</v>
      </c>
      <c r="H605" s="141" t="s">
        <v>222</v>
      </c>
      <c r="I605" s="141" t="s">
        <v>222</v>
      </c>
      <c r="J605" s="141" t="s">
        <v>222</v>
      </c>
      <c r="K605" s="141" t="s">
        <v>222</v>
      </c>
      <c r="L605" s="141" t="s">
        <v>222</v>
      </c>
      <c r="M605" s="141" t="s">
        <v>222</v>
      </c>
      <c r="N605" s="141" t="s">
        <v>222</v>
      </c>
      <c r="O605" s="141" t="s">
        <v>222</v>
      </c>
      <c r="P605" s="141" t="s">
        <v>222</v>
      </c>
      <c r="Q605" s="141" t="s">
        <v>222</v>
      </c>
      <c r="R605" s="141" t="s">
        <v>222</v>
      </c>
      <c r="S605" s="141" t="s">
        <v>222</v>
      </c>
      <c r="T605" s="141" t="s">
        <v>222</v>
      </c>
      <c r="U605" s="141" t="s">
        <v>222</v>
      </c>
      <c r="V605" s="141" t="s">
        <v>222</v>
      </c>
      <c r="W605" s="141"/>
      <c r="X605" s="141"/>
      <c r="Y605" s="141"/>
      <c r="Z605" s="141"/>
    </row>
    <row r="606">
      <c r="A606" s="141"/>
      <c r="B606" s="141" t="s">
        <v>222</v>
      </c>
      <c r="C606" s="141" t="s">
        <v>222</v>
      </c>
      <c r="D606" s="141" t="s">
        <v>222</v>
      </c>
      <c r="E606" s="141" t="s">
        <v>222</v>
      </c>
      <c r="F606" s="141" t="s">
        <v>222</v>
      </c>
      <c r="G606" s="141" t="s">
        <v>222</v>
      </c>
      <c r="H606" s="141" t="s">
        <v>222</v>
      </c>
      <c r="I606" s="141" t="s">
        <v>222</v>
      </c>
      <c r="J606" s="141" t="s">
        <v>222</v>
      </c>
      <c r="K606" s="141" t="s">
        <v>222</v>
      </c>
      <c r="L606" s="141" t="s">
        <v>222</v>
      </c>
      <c r="M606" s="141" t="s">
        <v>222</v>
      </c>
      <c r="N606" s="141" t="s">
        <v>222</v>
      </c>
      <c r="O606" s="141" t="s">
        <v>222</v>
      </c>
      <c r="P606" s="141" t="s">
        <v>222</v>
      </c>
      <c r="Q606" s="141" t="s">
        <v>222</v>
      </c>
      <c r="R606" s="141" t="s">
        <v>222</v>
      </c>
      <c r="S606" s="141" t="s">
        <v>222</v>
      </c>
      <c r="T606" s="141" t="s">
        <v>222</v>
      </c>
      <c r="U606" s="141" t="s">
        <v>222</v>
      </c>
      <c r="V606" s="141" t="s">
        <v>222</v>
      </c>
      <c r="W606" s="141"/>
      <c r="X606" s="141"/>
      <c r="Y606" s="141"/>
      <c r="Z606" s="141"/>
    </row>
    <row r="607">
      <c r="A607" s="141"/>
      <c r="B607" s="141" t="s">
        <v>222</v>
      </c>
      <c r="C607" s="141" t="s">
        <v>222</v>
      </c>
      <c r="D607" s="141" t="s">
        <v>222</v>
      </c>
      <c r="E607" s="141" t="s">
        <v>222</v>
      </c>
      <c r="F607" s="141" t="s">
        <v>222</v>
      </c>
      <c r="G607" s="141" t="s">
        <v>222</v>
      </c>
      <c r="H607" s="141" t="s">
        <v>222</v>
      </c>
      <c r="I607" s="141" t="s">
        <v>222</v>
      </c>
      <c r="J607" s="141" t="s">
        <v>222</v>
      </c>
      <c r="K607" s="141" t="s">
        <v>222</v>
      </c>
      <c r="L607" s="141" t="s">
        <v>222</v>
      </c>
      <c r="M607" s="141" t="s">
        <v>222</v>
      </c>
      <c r="N607" s="141" t="s">
        <v>222</v>
      </c>
      <c r="O607" s="141" t="s">
        <v>222</v>
      </c>
      <c r="P607" s="141" t="s">
        <v>222</v>
      </c>
      <c r="Q607" s="141" t="s">
        <v>222</v>
      </c>
      <c r="R607" s="141" t="s">
        <v>222</v>
      </c>
      <c r="S607" s="141" t="s">
        <v>222</v>
      </c>
      <c r="T607" s="141" t="s">
        <v>222</v>
      </c>
      <c r="U607" s="141" t="s">
        <v>222</v>
      </c>
      <c r="V607" s="141" t="s">
        <v>222</v>
      </c>
      <c r="W607" s="141"/>
      <c r="X607" s="141"/>
      <c r="Y607" s="141"/>
      <c r="Z607" s="141"/>
    </row>
    <row r="608">
      <c r="A608" s="141"/>
      <c r="B608" s="141" t="s">
        <v>222</v>
      </c>
      <c r="C608" s="141" t="s">
        <v>222</v>
      </c>
      <c r="D608" s="141" t="s">
        <v>222</v>
      </c>
      <c r="E608" s="141" t="s">
        <v>222</v>
      </c>
      <c r="F608" s="141" t="s">
        <v>222</v>
      </c>
      <c r="G608" s="141" t="s">
        <v>222</v>
      </c>
      <c r="H608" s="141" t="s">
        <v>222</v>
      </c>
      <c r="I608" s="141" t="s">
        <v>222</v>
      </c>
      <c r="J608" s="141" t="s">
        <v>222</v>
      </c>
      <c r="K608" s="141" t="s">
        <v>222</v>
      </c>
      <c r="L608" s="141" t="s">
        <v>222</v>
      </c>
      <c r="M608" s="141" t="s">
        <v>222</v>
      </c>
      <c r="N608" s="141" t="s">
        <v>222</v>
      </c>
      <c r="O608" s="141" t="s">
        <v>222</v>
      </c>
      <c r="P608" s="141" t="s">
        <v>222</v>
      </c>
      <c r="Q608" s="141" t="s">
        <v>222</v>
      </c>
      <c r="R608" s="141" t="s">
        <v>222</v>
      </c>
      <c r="S608" s="141" t="s">
        <v>222</v>
      </c>
      <c r="T608" s="141" t="s">
        <v>222</v>
      </c>
      <c r="U608" s="141" t="s">
        <v>222</v>
      </c>
      <c r="V608" s="141" t="s">
        <v>222</v>
      </c>
      <c r="W608" s="141"/>
      <c r="X608" s="141"/>
      <c r="Y608" s="141"/>
      <c r="Z608" s="141"/>
    </row>
    <row r="609">
      <c r="A609" s="141"/>
      <c r="B609" s="141" t="s">
        <v>222</v>
      </c>
      <c r="C609" s="141" t="s">
        <v>222</v>
      </c>
      <c r="D609" s="141" t="s">
        <v>222</v>
      </c>
      <c r="E609" s="141" t="s">
        <v>222</v>
      </c>
      <c r="F609" s="141" t="s">
        <v>222</v>
      </c>
      <c r="G609" s="141" t="s">
        <v>222</v>
      </c>
      <c r="H609" s="141" t="s">
        <v>222</v>
      </c>
      <c r="I609" s="141" t="s">
        <v>222</v>
      </c>
      <c r="J609" s="141" t="s">
        <v>222</v>
      </c>
      <c r="K609" s="141" t="s">
        <v>222</v>
      </c>
      <c r="L609" s="141" t="s">
        <v>222</v>
      </c>
      <c r="M609" s="141" t="s">
        <v>222</v>
      </c>
      <c r="N609" s="141" t="s">
        <v>222</v>
      </c>
      <c r="O609" s="141" t="s">
        <v>222</v>
      </c>
      <c r="P609" s="141" t="s">
        <v>222</v>
      </c>
      <c r="Q609" s="141" t="s">
        <v>222</v>
      </c>
      <c r="R609" s="141" t="s">
        <v>222</v>
      </c>
      <c r="S609" s="141" t="s">
        <v>222</v>
      </c>
      <c r="T609" s="141" t="s">
        <v>222</v>
      </c>
      <c r="U609" s="141" t="s">
        <v>222</v>
      </c>
      <c r="V609" s="141" t="s">
        <v>222</v>
      </c>
      <c r="W609" s="141"/>
      <c r="X609" s="141"/>
      <c r="Y609" s="141"/>
      <c r="Z609" s="141"/>
    </row>
    <row r="610">
      <c r="A610" s="141"/>
      <c r="B610" s="141" t="s">
        <v>222</v>
      </c>
      <c r="C610" s="141" t="s">
        <v>222</v>
      </c>
      <c r="D610" s="141" t="s">
        <v>222</v>
      </c>
      <c r="E610" s="141" t="s">
        <v>222</v>
      </c>
      <c r="F610" s="141" t="s">
        <v>222</v>
      </c>
      <c r="G610" s="141" t="s">
        <v>222</v>
      </c>
      <c r="H610" s="141" t="s">
        <v>222</v>
      </c>
      <c r="I610" s="141" t="s">
        <v>222</v>
      </c>
      <c r="J610" s="141" t="s">
        <v>222</v>
      </c>
      <c r="K610" s="141" t="s">
        <v>222</v>
      </c>
      <c r="L610" s="141" t="s">
        <v>222</v>
      </c>
      <c r="M610" s="141" t="s">
        <v>222</v>
      </c>
      <c r="N610" s="141" t="s">
        <v>222</v>
      </c>
      <c r="O610" s="141" t="s">
        <v>222</v>
      </c>
      <c r="P610" s="141" t="s">
        <v>222</v>
      </c>
      <c r="Q610" s="141" t="s">
        <v>222</v>
      </c>
      <c r="R610" s="141" t="s">
        <v>222</v>
      </c>
      <c r="S610" s="141" t="s">
        <v>222</v>
      </c>
      <c r="T610" s="141" t="s">
        <v>222</v>
      </c>
      <c r="U610" s="141" t="s">
        <v>222</v>
      </c>
      <c r="V610" s="141" t="s">
        <v>222</v>
      </c>
      <c r="W610" s="141"/>
      <c r="X610" s="141"/>
      <c r="Y610" s="141"/>
      <c r="Z610" s="141"/>
    </row>
    <row r="611">
      <c r="A611" s="141"/>
      <c r="B611" s="141" t="s">
        <v>222</v>
      </c>
      <c r="C611" s="141" t="s">
        <v>222</v>
      </c>
      <c r="D611" s="141" t="s">
        <v>222</v>
      </c>
      <c r="E611" s="141" t="s">
        <v>222</v>
      </c>
      <c r="F611" s="141" t="s">
        <v>222</v>
      </c>
      <c r="G611" s="141" t="s">
        <v>222</v>
      </c>
      <c r="H611" s="141" t="s">
        <v>222</v>
      </c>
      <c r="I611" s="141" t="s">
        <v>222</v>
      </c>
      <c r="J611" s="141" t="s">
        <v>222</v>
      </c>
      <c r="K611" s="141" t="s">
        <v>222</v>
      </c>
      <c r="L611" s="141" t="s">
        <v>222</v>
      </c>
      <c r="M611" s="141" t="s">
        <v>222</v>
      </c>
      <c r="N611" s="141" t="s">
        <v>222</v>
      </c>
      <c r="O611" s="141" t="s">
        <v>222</v>
      </c>
      <c r="P611" s="141" t="s">
        <v>222</v>
      </c>
      <c r="Q611" s="141" t="s">
        <v>222</v>
      </c>
      <c r="R611" s="141" t="s">
        <v>222</v>
      </c>
      <c r="S611" s="141" t="s">
        <v>222</v>
      </c>
      <c r="T611" s="141" t="s">
        <v>222</v>
      </c>
      <c r="U611" s="141" t="s">
        <v>222</v>
      </c>
      <c r="V611" s="141" t="s">
        <v>222</v>
      </c>
      <c r="W611" s="141"/>
      <c r="X611" s="141"/>
      <c r="Y611" s="141"/>
      <c r="Z611" s="141"/>
    </row>
    <row r="612">
      <c r="A612" s="141"/>
      <c r="B612" s="141" t="s">
        <v>222</v>
      </c>
      <c r="C612" s="141" t="s">
        <v>222</v>
      </c>
      <c r="D612" s="141" t="s">
        <v>222</v>
      </c>
      <c r="E612" s="141" t="s">
        <v>222</v>
      </c>
      <c r="F612" s="141" t="s">
        <v>222</v>
      </c>
      <c r="G612" s="141" t="s">
        <v>222</v>
      </c>
      <c r="H612" s="141" t="s">
        <v>222</v>
      </c>
      <c r="I612" s="141" t="s">
        <v>222</v>
      </c>
      <c r="J612" s="141" t="s">
        <v>222</v>
      </c>
      <c r="K612" s="141" t="s">
        <v>222</v>
      </c>
      <c r="L612" s="141" t="s">
        <v>222</v>
      </c>
      <c r="M612" s="141" t="s">
        <v>222</v>
      </c>
      <c r="N612" s="141" t="s">
        <v>222</v>
      </c>
      <c r="O612" s="141" t="s">
        <v>222</v>
      </c>
      <c r="P612" s="141" t="s">
        <v>222</v>
      </c>
      <c r="Q612" s="141" t="s">
        <v>222</v>
      </c>
      <c r="R612" s="141" t="s">
        <v>222</v>
      </c>
      <c r="S612" s="141" t="s">
        <v>222</v>
      </c>
      <c r="T612" s="141" t="s">
        <v>222</v>
      </c>
      <c r="U612" s="141" t="s">
        <v>222</v>
      </c>
      <c r="V612" s="141" t="s">
        <v>222</v>
      </c>
      <c r="W612" s="141"/>
      <c r="X612" s="141"/>
      <c r="Y612" s="141"/>
      <c r="Z612" s="141"/>
    </row>
    <row r="613">
      <c r="A613" s="141"/>
      <c r="B613" s="141" t="s">
        <v>222</v>
      </c>
      <c r="C613" s="141" t="s">
        <v>222</v>
      </c>
      <c r="D613" s="141" t="s">
        <v>222</v>
      </c>
      <c r="E613" s="141" t="s">
        <v>222</v>
      </c>
      <c r="F613" s="141" t="s">
        <v>222</v>
      </c>
      <c r="G613" s="141" t="s">
        <v>222</v>
      </c>
      <c r="H613" s="141" t="s">
        <v>222</v>
      </c>
      <c r="I613" s="141" t="s">
        <v>222</v>
      </c>
      <c r="J613" s="141" t="s">
        <v>222</v>
      </c>
      <c r="K613" s="141" t="s">
        <v>222</v>
      </c>
      <c r="L613" s="141" t="s">
        <v>222</v>
      </c>
      <c r="M613" s="141" t="s">
        <v>222</v>
      </c>
      <c r="N613" s="141" t="s">
        <v>222</v>
      </c>
      <c r="O613" s="141" t="s">
        <v>222</v>
      </c>
      <c r="P613" s="141" t="s">
        <v>222</v>
      </c>
      <c r="Q613" s="141" t="s">
        <v>222</v>
      </c>
      <c r="R613" s="141" t="s">
        <v>222</v>
      </c>
      <c r="S613" s="141" t="s">
        <v>222</v>
      </c>
      <c r="T613" s="141" t="s">
        <v>222</v>
      </c>
      <c r="U613" s="141" t="s">
        <v>222</v>
      </c>
      <c r="V613" s="141" t="s">
        <v>222</v>
      </c>
      <c r="W613" s="141"/>
      <c r="X613" s="141"/>
      <c r="Y613" s="141"/>
      <c r="Z613" s="141"/>
    </row>
    <row r="614">
      <c r="A614" s="141"/>
      <c r="B614" s="141" t="s">
        <v>222</v>
      </c>
      <c r="C614" s="141" t="s">
        <v>222</v>
      </c>
      <c r="D614" s="141" t="s">
        <v>222</v>
      </c>
      <c r="E614" s="141" t="s">
        <v>222</v>
      </c>
      <c r="F614" s="141" t="s">
        <v>222</v>
      </c>
      <c r="G614" s="141" t="s">
        <v>222</v>
      </c>
      <c r="H614" s="141" t="s">
        <v>222</v>
      </c>
      <c r="I614" s="141" t="s">
        <v>222</v>
      </c>
      <c r="J614" s="141" t="s">
        <v>222</v>
      </c>
      <c r="K614" s="141" t="s">
        <v>222</v>
      </c>
      <c r="L614" s="141" t="s">
        <v>222</v>
      </c>
      <c r="M614" s="141" t="s">
        <v>222</v>
      </c>
      <c r="N614" s="141" t="s">
        <v>222</v>
      </c>
      <c r="O614" s="141" t="s">
        <v>222</v>
      </c>
      <c r="P614" s="141" t="s">
        <v>222</v>
      </c>
      <c r="Q614" s="141" t="s">
        <v>222</v>
      </c>
      <c r="R614" s="141" t="s">
        <v>222</v>
      </c>
      <c r="S614" s="141" t="s">
        <v>222</v>
      </c>
      <c r="T614" s="141" t="s">
        <v>222</v>
      </c>
      <c r="U614" s="141" t="s">
        <v>222</v>
      </c>
      <c r="V614" s="141" t="s">
        <v>222</v>
      </c>
      <c r="W614" s="141"/>
      <c r="X614" s="141"/>
      <c r="Y614" s="141"/>
      <c r="Z614" s="141"/>
    </row>
    <row r="615">
      <c r="A615" s="141"/>
      <c r="B615" s="141" t="s">
        <v>222</v>
      </c>
      <c r="C615" s="141" t="s">
        <v>222</v>
      </c>
      <c r="D615" s="141" t="s">
        <v>222</v>
      </c>
      <c r="E615" s="141" t="s">
        <v>222</v>
      </c>
      <c r="F615" s="141" t="s">
        <v>222</v>
      </c>
      <c r="G615" s="141" t="s">
        <v>222</v>
      </c>
      <c r="H615" s="141" t="s">
        <v>222</v>
      </c>
      <c r="I615" s="141" t="s">
        <v>222</v>
      </c>
      <c r="J615" s="141" t="s">
        <v>222</v>
      </c>
      <c r="K615" s="141" t="s">
        <v>222</v>
      </c>
      <c r="L615" s="141" t="s">
        <v>222</v>
      </c>
      <c r="M615" s="141" t="s">
        <v>222</v>
      </c>
      <c r="N615" s="141" t="s">
        <v>222</v>
      </c>
      <c r="O615" s="141" t="s">
        <v>222</v>
      </c>
      <c r="P615" s="141" t="s">
        <v>222</v>
      </c>
      <c r="Q615" s="141" t="s">
        <v>222</v>
      </c>
      <c r="R615" s="141" t="s">
        <v>222</v>
      </c>
      <c r="S615" s="141" t="s">
        <v>222</v>
      </c>
      <c r="T615" s="141" t="s">
        <v>222</v>
      </c>
      <c r="U615" s="141" t="s">
        <v>222</v>
      </c>
      <c r="V615" s="141" t="s">
        <v>222</v>
      </c>
      <c r="W615" s="141"/>
      <c r="X615" s="141"/>
      <c r="Y615" s="141"/>
      <c r="Z615" s="141"/>
    </row>
    <row r="616">
      <c r="A616" s="141"/>
      <c r="B616" s="141" t="s">
        <v>222</v>
      </c>
      <c r="C616" s="141" t="s">
        <v>222</v>
      </c>
      <c r="D616" s="141" t="s">
        <v>222</v>
      </c>
      <c r="E616" s="141" t="s">
        <v>222</v>
      </c>
      <c r="F616" s="141" t="s">
        <v>222</v>
      </c>
      <c r="G616" s="141" t="s">
        <v>222</v>
      </c>
      <c r="H616" s="141" t="s">
        <v>222</v>
      </c>
      <c r="I616" s="141" t="s">
        <v>222</v>
      </c>
      <c r="J616" s="141" t="s">
        <v>222</v>
      </c>
      <c r="K616" s="141" t="s">
        <v>222</v>
      </c>
      <c r="L616" s="141" t="s">
        <v>222</v>
      </c>
      <c r="M616" s="141" t="s">
        <v>222</v>
      </c>
      <c r="N616" s="141" t="s">
        <v>222</v>
      </c>
      <c r="O616" s="141" t="s">
        <v>222</v>
      </c>
      <c r="P616" s="141" t="s">
        <v>222</v>
      </c>
      <c r="Q616" s="141" t="s">
        <v>222</v>
      </c>
      <c r="R616" s="141" t="s">
        <v>222</v>
      </c>
      <c r="S616" s="141" t="s">
        <v>222</v>
      </c>
      <c r="T616" s="141" t="s">
        <v>222</v>
      </c>
      <c r="U616" s="141" t="s">
        <v>222</v>
      </c>
      <c r="V616" s="141" t="s">
        <v>222</v>
      </c>
      <c r="W616" s="141"/>
      <c r="X616" s="141"/>
      <c r="Y616" s="141"/>
      <c r="Z616" s="141"/>
    </row>
    <row r="617">
      <c r="A617" s="141"/>
      <c r="B617" s="141" t="s">
        <v>222</v>
      </c>
      <c r="C617" s="141" t="s">
        <v>222</v>
      </c>
      <c r="D617" s="141" t="s">
        <v>222</v>
      </c>
      <c r="E617" s="141" t="s">
        <v>222</v>
      </c>
      <c r="F617" s="141" t="s">
        <v>222</v>
      </c>
      <c r="G617" s="141" t="s">
        <v>222</v>
      </c>
      <c r="H617" s="141" t="s">
        <v>222</v>
      </c>
      <c r="I617" s="141" t="s">
        <v>222</v>
      </c>
      <c r="J617" s="141" t="s">
        <v>222</v>
      </c>
      <c r="K617" s="141" t="s">
        <v>222</v>
      </c>
      <c r="L617" s="141" t="s">
        <v>222</v>
      </c>
      <c r="M617" s="141" t="s">
        <v>222</v>
      </c>
      <c r="N617" s="141" t="s">
        <v>222</v>
      </c>
      <c r="O617" s="141" t="s">
        <v>222</v>
      </c>
      <c r="P617" s="141" t="s">
        <v>222</v>
      </c>
      <c r="Q617" s="141" t="s">
        <v>222</v>
      </c>
      <c r="R617" s="141" t="s">
        <v>222</v>
      </c>
      <c r="S617" s="141" t="s">
        <v>222</v>
      </c>
      <c r="T617" s="141" t="s">
        <v>222</v>
      </c>
      <c r="U617" s="141" t="s">
        <v>222</v>
      </c>
      <c r="V617" s="141" t="s">
        <v>222</v>
      </c>
      <c r="W617" s="141"/>
      <c r="X617" s="141"/>
      <c r="Y617" s="141"/>
      <c r="Z617" s="141"/>
    </row>
    <row r="618">
      <c r="A618" s="141"/>
      <c r="B618" s="141" t="s">
        <v>222</v>
      </c>
      <c r="C618" s="141" t="s">
        <v>222</v>
      </c>
      <c r="D618" s="141" t="s">
        <v>222</v>
      </c>
      <c r="E618" s="141" t="s">
        <v>222</v>
      </c>
      <c r="F618" s="141" t="s">
        <v>222</v>
      </c>
      <c r="G618" s="141" t="s">
        <v>222</v>
      </c>
      <c r="H618" s="141" t="s">
        <v>222</v>
      </c>
      <c r="I618" s="141" t="s">
        <v>222</v>
      </c>
      <c r="J618" s="141" t="s">
        <v>222</v>
      </c>
      <c r="K618" s="141" t="s">
        <v>222</v>
      </c>
      <c r="L618" s="141" t="s">
        <v>222</v>
      </c>
      <c r="M618" s="141" t="s">
        <v>222</v>
      </c>
      <c r="N618" s="141" t="s">
        <v>222</v>
      </c>
      <c r="O618" s="141" t="s">
        <v>222</v>
      </c>
      <c r="P618" s="141" t="s">
        <v>222</v>
      </c>
      <c r="Q618" s="141" t="s">
        <v>222</v>
      </c>
      <c r="R618" s="141" t="s">
        <v>222</v>
      </c>
      <c r="S618" s="141" t="s">
        <v>222</v>
      </c>
      <c r="T618" s="141" t="s">
        <v>222</v>
      </c>
      <c r="U618" s="141" t="s">
        <v>222</v>
      </c>
      <c r="V618" s="141" t="s">
        <v>222</v>
      </c>
      <c r="W618" s="141"/>
      <c r="X618" s="141"/>
      <c r="Y618" s="141"/>
      <c r="Z618" s="141"/>
    </row>
    <row r="619">
      <c r="A619" s="141"/>
      <c r="B619" s="141" t="s">
        <v>222</v>
      </c>
      <c r="C619" s="141" t="s">
        <v>222</v>
      </c>
      <c r="D619" s="141" t="s">
        <v>222</v>
      </c>
      <c r="E619" s="141" t="s">
        <v>222</v>
      </c>
      <c r="F619" s="141" t="s">
        <v>222</v>
      </c>
      <c r="G619" s="141" t="s">
        <v>222</v>
      </c>
      <c r="H619" s="141" t="s">
        <v>222</v>
      </c>
      <c r="I619" s="141" t="s">
        <v>222</v>
      </c>
      <c r="J619" s="141" t="s">
        <v>222</v>
      </c>
      <c r="K619" s="141" t="s">
        <v>222</v>
      </c>
      <c r="L619" s="141" t="s">
        <v>222</v>
      </c>
      <c r="M619" s="141" t="s">
        <v>222</v>
      </c>
      <c r="N619" s="141" t="s">
        <v>222</v>
      </c>
      <c r="O619" s="141" t="s">
        <v>222</v>
      </c>
      <c r="P619" s="141" t="s">
        <v>222</v>
      </c>
      <c r="Q619" s="141" t="s">
        <v>222</v>
      </c>
      <c r="R619" s="141" t="s">
        <v>222</v>
      </c>
      <c r="S619" s="141" t="s">
        <v>222</v>
      </c>
      <c r="T619" s="141" t="s">
        <v>222</v>
      </c>
      <c r="U619" s="141" t="s">
        <v>222</v>
      </c>
      <c r="V619" s="141" t="s">
        <v>222</v>
      </c>
      <c r="W619" s="141"/>
      <c r="X619" s="141"/>
      <c r="Y619" s="141"/>
      <c r="Z619" s="141"/>
    </row>
    <row r="620">
      <c r="A620" s="141"/>
      <c r="B620" s="141" t="s">
        <v>222</v>
      </c>
      <c r="C620" s="141" t="s">
        <v>222</v>
      </c>
      <c r="D620" s="141" t="s">
        <v>222</v>
      </c>
      <c r="E620" s="141" t="s">
        <v>222</v>
      </c>
      <c r="F620" s="141" t="s">
        <v>222</v>
      </c>
      <c r="G620" s="141" t="s">
        <v>222</v>
      </c>
      <c r="H620" s="141" t="s">
        <v>222</v>
      </c>
      <c r="I620" s="141" t="s">
        <v>222</v>
      </c>
      <c r="J620" s="141" t="s">
        <v>222</v>
      </c>
      <c r="K620" s="141" t="s">
        <v>222</v>
      </c>
      <c r="L620" s="141" t="s">
        <v>222</v>
      </c>
      <c r="M620" s="141" t="s">
        <v>222</v>
      </c>
      <c r="N620" s="141" t="s">
        <v>222</v>
      </c>
      <c r="O620" s="141" t="s">
        <v>222</v>
      </c>
      <c r="P620" s="141" t="s">
        <v>222</v>
      </c>
      <c r="Q620" s="141" t="s">
        <v>222</v>
      </c>
      <c r="R620" s="141" t="s">
        <v>222</v>
      </c>
      <c r="S620" s="141" t="s">
        <v>222</v>
      </c>
      <c r="T620" s="141" t="s">
        <v>222</v>
      </c>
      <c r="U620" s="141" t="s">
        <v>222</v>
      </c>
      <c r="V620" s="141" t="s">
        <v>222</v>
      </c>
      <c r="W620" s="141"/>
      <c r="X620" s="141"/>
      <c r="Y620" s="141"/>
      <c r="Z620" s="141"/>
    </row>
    <row r="621">
      <c r="A621" s="141"/>
      <c r="B621" s="141" t="s">
        <v>222</v>
      </c>
      <c r="C621" s="141" t="s">
        <v>222</v>
      </c>
      <c r="D621" s="141" t="s">
        <v>222</v>
      </c>
      <c r="E621" s="141" t="s">
        <v>222</v>
      </c>
      <c r="F621" s="141" t="s">
        <v>222</v>
      </c>
      <c r="G621" s="141" t="s">
        <v>222</v>
      </c>
      <c r="H621" s="141" t="s">
        <v>222</v>
      </c>
      <c r="I621" s="141" t="s">
        <v>222</v>
      </c>
      <c r="J621" s="141" t="s">
        <v>222</v>
      </c>
      <c r="K621" s="141" t="s">
        <v>222</v>
      </c>
      <c r="L621" s="141" t="s">
        <v>222</v>
      </c>
      <c r="M621" s="141" t="s">
        <v>222</v>
      </c>
      <c r="N621" s="141" t="s">
        <v>222</v>
      </c>
      <c r="O621" s="141" t="s">
        <v>222</v>
      </c>
      <c r="P621" s="141" t="s">
        <v>222</v>
      </c>
      <c r="Q621" s="141" t="s">
        <v>222</v>
      </c>
      <c r="R621" s="141" t="s">
        <v>222</v>
      </c>
      <c r="S621" s="141" t="s">
        <v>222</v>
      </c>
      <c r="T621" s="141" t="s">
        <v>222</v>
      </c>
      <c r="U621" s="141" t="s">
        <v>222</v>
      </c>
      <c r="V621" s="141" t="s">
        <v>222</v>
      </c>
      <c r="W621" s="141"/>
      <c r="X621" s="141"/>
      <c r="Y621" s="141"/>
      <c r="Z621" s="141"/>
    </row>
    <row r="622">
      <c r="A622" s="141"/>
      <c r="B622" s="141" t="s">
        <v>222</v>
      </c>
      <c r="C622" s="141" t="s">
        <v>222</v>
      </c>
      <c r="D622" s="141" t="s">
        <v>222</v>
      </c>
      <c r="E622" s="141" t="s">
        <v>222</v>
      </c>
      <c r="F622" s="141" t="s">
        <v>222</v>
      </c>
      <c r="G622" s="141" t="s">
        <v>222</v>
      </c>
      <c r="H622" s="141" t="s">
        <v>222</v>
      </c>
      <c r="I622" s="141" t="s">
        <v>222</v>
      </c>
      <c r="J622" s="141" t="s">
        <v>222</v>
      </c>
      <c r="K622" s="141" t="s">
        <v>222</v>
      </c>
      <c r="L622" s="141" t="s">
        <v>222</v>
      </c>
      <c r="M622" s="141" t="s">
        <v>222</v>
      </c>
      <c r="N622" s="141" t="s">
        <v>222</v>
      </c>
      <c r="O622" s="141" t="s">
        <v>222</v>
      </c>
      <c r="P622" s="141" t="s">
        <v>222</v>
      </c>
      <c r="Q622" s="141" t="s">
        <v>222</v>
      </c>
      <c r="R622" s="141" t="s">
        <v>222</v>
      </c>
      <c r="S622" s="141" t="s">
        <v>222</v>
      </c>
      <c r="T622" s="141" t="s">
        <v>222</v>
      </c>
      <c r="U622" s="141" t="s">
        <v>222</v>
      </c>
      <c r="V622" s="141" t="s">
        <v>222</v>
      </c>
      <c r="W622" s="141"/>
      <c r="X622" s="141"/>
      <c r="Y622" s="141"/>
      <c r="Z622" s="141"/>
    </row>
    <row r="623">
      <c r="A623" s="141"/>
      <c r="B623" s="141" t="s">
        <v>222</v>
      </c>
      <c r="C623" s="141" t="s">
        <v>222</v>
      </c>
      <c r="D623" s="141" t="s">
        <v>222</v>
      </c>
      <c r="E623" s="141" t="s">
        <v>222</v>
      </c>
      <c r="F623" s="141" t="s">
        <v>222</v>
      </c>
      <c r="G623" s="141" t="s">
        <v>222</v>
      </c>
      <c r="H623" s="141" t="s">
        <v>222</v>
      </c>
      <c r="I623" s="141" t="s">
        <v>222</v>
      </c>
      <c r="J623" s="141" t="s">
        <v>222</v>
      </c>
      <c r="K623" s="141" t="s">
        <v>222</v>
      </c>
      <c r="L623" s="141" t="s">
        <v>222</v>
      </c>
      <c r="M623" s="141" t="s">
        <v>222</v>
      </c>
      <c r="N623" s="141" t="s">
        <v>222</v>
      </c>
      <c r="O623" s="141" t="s">
        <v>222</v>
      </c>
      <c r="P623" s="141" t="s">
        <v>222</v>
      </c>
      <c r="Q623" s="141" t="s">
        <v>222</v>
      </c>
      <c r="R623" s="141" t="s">
        <v>222</v>
      </c>
      <c r="S623" s="141" t="s">
        <v>222</v>
      </c>
      <c r="T623" s="141" t="s">
        <v>222</v>
      </c>
      <c r="U623" s="141" t="s">
        <v>222</v>
      </c>
      <c r="V623" s="141" t="s">
        <v>222</v>
      </c>
      <c r="W623" s="141"/>
      <c r="X623" s="141"/>
      <c r="Y623" s="141"/>
      <c r="Z623" s="141"/>
    </row>
    <row r="624">
      <c r="A624" s="141"/>
      <c r="B624" s="141" t="s">
        <v>222</v>
      </c>
      <c r="C624" s="141" t="s">
        <v>222</v>
      </c>
      <c r="D624" s="141" t="s">
        <v>222</v>
      </c>
      <c r="E624" s="141" t="s">
        <v>222</v>
      </c>
      <c r="F624" s="141" t="s">
        <v>222</v>
      </c>
      <c r="G624" s="141" t="s">
        <v>222</v>
      </c>
      <c r="H624" s="141" t="s">
        <v>222</v>
      </c>
      <c r="I624" s="141" t="s">
        <v>222</v>
      </c>
      <c r="J624" s="141" t="s">
        <v>222</v>
      </c>
      <c r="K624" s="141" t="s">
        <v>222</v>
      </c>
      <c r="L624" s="141" t="s">
        <v>222</v>
      </c>
      <c r="M624" s="141" t="s">
        <v>222</v>
      </c>
      <c r="N624" s="141" t="s">
        <v>222</v>
      </c>
      <c r="O624" s="141" t="s">
        <v>222</v>
      </c>
      <c r="P624" s="141" t="s">
        <v>222</v>
      </c>
      <c r="Q624" s="141" t="s">
        <v>222</v>
      </c>
      <c r="R624" s="141" t="s">
        <v>222</v>
      </c>
      <c r="S624" s="141" t="s">
        <v>222</v>
      </c>
      <c r="T624" s="141" t="s">
        <v>222</v>
      </c>
      <c r="U624" s="141" t="s">
        <v>222</v>
      </c>
      <c r="V624" s="141" t="s">
        <v>222</v>
      </c>
      <c r="W624" s="141"/>
      <c r="X624" s="141"/>
      <c r="Y624" s="141"/>
      <c r="Z624" s="141"/>
    </row>
    <row r="625">
      <c r="A625" s="141"/>
      <c r="B625" s="141" t="s">
        <v>222</v>
      </c>
      <c r="C625" s="141" t="s">
        <v>222</v>
      </c>
      <c r="D625" s="141" t="s">
        <v>222</v>
      </c>
      <c r="E625" s="141" t="s">
        <v>222</v>
      </c>
      <c r="F625" s="141" t="s">
        <v>222</v>
      </c>
      <c r="G625" s="141" t="s">
        <v>222</v>
      </c>
      <c r="H625" s="141" t="s">
        <v>222</v>
      </c>
      <c r="I625" s="141" t="s">
        <v>222</v>
      </c>
      <c r="J625" s="141" t="s">
        <v>222</v>
      </c>
      <c r="K625" s="141" t="s">
        <v>222</v>
      </c>
      <c r="L625" s="141" t="s">
        <v>222</v>
      </c>
      <c r="M625" s="141" t="s">
        <v>222</v>
      </c>
      <c r="N625" s="141" t="s">
        <v>222</v>
      </c>
      <c r="O625" s="141" t="s">
        <v>222</v>
      </c>
      <c r="P625" s="141" t="s">
        <v>222</v>
      </c>
      <c r="Q625" s="141" t="s">
        <v>222</v>
      </c>
      <c r="R625" s="141" t="s">
        <v>222</v>
      </c>
      <c r="S625" s="141" t="s">
        <v>222</v>
      </c>
      <c r="T625" s="141" t="s">
        <v>222</v>
      </c>
      <c r="U625" s="141" t="s">
        <v>222</v>
      </c>
      <c r="V625" s="141" t="s">
        <v>222</v>
      </c>
      <c r="W625" s="141"/>
      <c r="X625" s="141"/>
      <c r="Y625" s="141"/>
      <c r="Z625" s="141"/>
    </row>
    <row r="626">
      <c r="A626" s="141"/>
      <c r="B626" s="141" t="s">
        <v>222</v>
      </c>
      <c r="C626" s="141" t="s">
        <v>222</v>
      </c>
      <c r="D626" s="141" t="s">
        <v>222</v>
      </c>
      <c r="E626" s="141" t="s">
        <v>222</v>
      </c>
      <c r="F626" s="141" t="s">
        <v>222</v>
      </c>
      <c r="G626" s="141" t="s">
        <v>222</v>
      </c>
      <c r="H626" s="141" t="s">
        <v>222</v>
      </c>
      <c r="I626" s="141" t="s">
        <v>222</v>
      </c>
      <c r="J626" s="141" t="s">
        <v>222</v>
      </c>
      <c r="K626" s="141" t="s">
        <v>222</v>
      </c>
      <c r="L626" s="141" t="s">
        <v>222</v>
      </c>
      <c r="M626" s="141" t="s">
        <v>222</v>
      </c>
      <c r="N626" s="141" t="s">
        <v>222</v>
      </c>
      <c r="O626" s="141" t="s">
        <v>222</v>
      </c>
      <c r="P626" s="141" t="s">
        <v>222</v>
      </c>
      <c r="Q626" s="141" t="s">
        <v>222</v>
      </c>
      <c r="R626" s="141" t="s">
        <v>222</v>
      </c>
      <c r="S626" s="141" t="s">
        <v>222</v>
      </c>
      <c r="T626" s="141" t="s">
        <v>222</v>
      </c>
      <c r="U626" s="141" t="s">
        <v>222</v>
      </c>
      <c r="V626" s="141" t="s">
        <v>222</v>
      </c>
      <c r="W626" s="141"/>
      <c r="X626" s="141"/>
      <c r="Y626" s="141"/>
      <c r="Z626" s="141"/>
    </row>
    <row r="627">
      <c r="A627" s="141"/>
      <c r="B627" s="141" t="s">
        <v>222</v>
      </c>
      <c r="C627" s="141" t="s">
        <v>222</v>
      </c>
      <c r="D627" s="141" t="s">
        <v>222</v>
      </c>
      <c r="E627" s="141" t="s">
        <v>222</v>
      </c>
      <c r="F627" s="141" t="s">
        <v>222</v>
      </c>
      <c r="G627" s="141" t="s">
        <v>222</v>
      </c>
      <c r="H627" s="141" t="s">
        <v>222</v>
      </c>
      <c r="I627" s="141" t="s">
        <v>222</v>
      </c>
      <c r="J627" s="141" t="s">
        <v>222</v>
      </c>
      <c r="K627" s="141" t="s">
        <v>222</v>
      </c>
      <c r="L627" s="141" t="s">
        <v>222</v>
      </c>
      <c r="M627" s="141" t="s">
        <v>222</v>
      </c>
      <c r="N627" s="141" t="s">
        <v>222</v>
      </c>
      <c r="O627" s="141" t="s">
        <v>222</v>
      </c>
      <c r="P627" s="141" t="s">
        <v>222</v>
      </c>
      <c r="Q627" s="141" t="s">
        <v>222</v>
      </c>
      <c r="R627" s="141" t="s">
        <v>222</v>
      </c>
      <c r="S627" s="141" t="s">
        <v>222</v>
      </c>
      <c r="T627" s="141" t="s">
        <v>222</v>
      </c>
      <c r="U627" s="141" t="s">
        <v>222</v>
      </c>
      <c r="V627" s="141" t="s">
        <v>222</v>
      </c>
      <c r="W627" s="141"/>
      <c r="X627" s="141"/>
      <c r="Y627" s="141"/>
      <c r="Z627" s="141"/>
    </row>
    <row r="628">
      <c r="A628" s="141"/>
      <c r="B628" s="141" t="s">
        <v>222</v>
      </c>
      <c r="C628" s="141" t="s">
        <v>222</v>
      </c>
      <c r="D628" s="141" t="s">
        <v>222</v>
      </c>
      <c r="E628" s="141" t="s">
        <v>222</v>
      </c>
      <c r="F628" s="141" t="s">
        <v>222</v>
      </c>
      <c r="G628" s="141" t="s">
        <v>222</v>
      </c>
      <c r="H628" s="141" t="s">
        <v>222</v>
      </c>
      <c r="I628" s="141" t="s">
        <v>222</v>
      </c>
      <c r="J628" s="141" t="s">
        <v>222</v>
      </c>
      <c r="K628" s="141" t="s">
        <v>222</v>
      </c>
      <c r="L628" s="141" t="s">
        <v>222</v>
      </c>
      <c r="M628" s="141" t="s">
        <v>222</v>
      </c>
      <c r="N628" s="141" t="s">
        <v>222</v>
      </c>
      <c r="O628" s="141" t="s">
        <v>222</v>
      </c>
      <c r="P628" s="141" t="s">
        <v>222</v>
      </c>
      <c r="Q628" s="141" t="s">
        <v>222</v>
      </c>
      <c r="R628" s="141" t="s">
        <v>222</v>
      </c>
      <c r="S628" s="141" t="s">
        <v>222</v>
      </c>
      <c r="T628" s="141" t="s">
        <v>222</v>
      </c>
      <c r="U628" s="141" t="s">
        <v>222</v>
      </c>
      <c r="V628" s="141" t="s">
        <v>222</v>
      </c>
      <c r="W628" s="141"/>
      <c r="X628" s="141"/>
      <c r="Y628" s="141"/>
      <c r="Z628" s="141"/>
    </row>
    <row r="629">
      <c r="A629" s="141"/>
      <c r="B629" s="141" t="s">
        <v>222</v>
      </c>
      <c r="C629" s="141" t="s">
        <v>222</v>
      </c>
      <c r="D629" s="141" t="s">
        <v>222</v>
      </c>
      <c r="E629" s="141" t="s">
        <v>222</v>
      </c>
      <c r="F629" s="141" t="s">
        <v>222</v>
      </c>
      <c r="G629" s="141" t="s">
        <v>222</v>
      </c>
      <c r="H629" s="141" t="s">
        <v>222</v>
      </c>
      <c r="I629" s="141" t="s">
        <v>222</v>
      </c>
      <c r="J629" s="141" t="s">
        <v>222</v>
      </c>
      <c r="K629" s="141" t="s">
        <v>222</v>
      </c>
      <c r="L629" s="141" t="s">
        <v>222</v>
      </c>
      <c r="M629" s="141" t="s">
        <v>222</v>
      </c>
      <c r="N629" s="141" t="s">
        <v>222</v>
      </c>
      <c r="O629" s="141" t="s">
        <v>222</v>
      </c>
      <c r="P629" s="141" t="s">
        <v>222</v>
      </c>
      <c r="Q629" s="141" t="s">
        <v>222</v>
      </c>
      <c r="R629" s="141" t="s">
        <v>222</v>
      </c>
      <c r="S629" s="141" t="s">
        <v>222</v>
      </c>
      <c r="T629" s="141" t="s">
        <v>222</v>
      </c>
      <c r="U629" s="141" t="s">
        <v>222</v>
      </c>
      <c r="V629" s="141" t="s">
        <v>222</v>
      </c>
      <c r="W629" s="141"/>
      <c r="X629" s="141"/>
      <c r="Y629" s="141"/>
      <c r="Z629" s="141"/>
    </row>
    <row r="630">
      <c r="A630" s="141"/>
      <c r="B630" s="141" t="s">
        <v>222</v>
      </c>
      <c r="C630" s="141" t="s">
        <v>222</v>
      </c>
      <c r="D630" s="141" t="s">
        <v>222</v>
      </c>
      <c r="E630" s="141" t="s">
        <v>222</v>
      </c>
      <c r="F630" s="141" t="s">
        <v>222</v>
      </c>
      <c r="G630" s="141" t="s">
        <v>222</v>
      </c>
      <c r="H630" s="141" t="s">
        <v>222</v>
      </c>
      <c r="I630" s="141" t="s">
        <v>222</v>
      </c>
      <c r="J630" s="141" t="s">
        <v>222</v>
      </c>
      <c r="K630" s="141" t="s">
        <v>222</v>
      </c>
      <c r="L630" s="141" t="s">
        <v>222</v>
      </c>
      <c r="M630" s="141" t="s">
        <v>222</v>
      </c>
      <c r="N630" s="141" t="s">
        <v>222</v>
      </c>
      <c r="O630" s="141" t="s">
        <v>222</v>
      </c>
      <c r="P630" s="141" t="s">
        <v>222</v>
      </c>
      <c r="Q630" s="141" t="s">
        <v>222</v>
      </c>
      <c r="R630" s="141" t="s">
        <v>222</v>
      </c>
      <c r="S630" s="141" t="s">
        <v>222</v>
      </c>
      <c r="T630" s="141" t="s">
        <v>222</v>
      </c>
      <c r="U630" s="141" t="s">
        <v>222</v>
      </c>
      <c r="V630" s="141" t="s">
        <v>222</v>
      </c>
      <c r="W630" s="141"/>
      <c r="X630" s="141"/>
      <c r="Y630" s="141"/>
      <c r="Z630" s="141"/>
    </row>
    <row r="631">
      <c r="A631" s="141"/>
      <c r="B631" s="141" t="s">
        <v>222</v>
      </c>
      <c r="C631" s="141" t="s">
        <v>222</v>
      </c>
      <c r="D631" s="141" t="s">
        <v>222</v>
      </c>
      <c r="E631" s="141" t="s">
        <v>222</v>
      </c>
      <c r="F631" s="141" t="s">
        <v>222</v>
      </c>
      <c r="G631" s="141" t="s">
        <v>222</v>
      </c>
      <c r="H631" s="141" t="s">
        <v>222</v>
      </c>
      <c r="I631" s="141" t="s">
        <v>222</v>
      </c>
      <c r="J631" s="141" t="s">
        <v>222</v>
      </c>
      <c r="K631" s="141" t="s">
        <v>222</v>
      </c>
      <c r="L631" s="141" t="s">
        <v>222</v>
      </c>
      <c r="M631" s="141" t="s">
        <v>222</v>
      </c>
      <c r="N631" s="141" t="s">
        <v>222</v>
      </c>
      <c r="O631" s="141" t="s">
        <v>222</v>
      </c>
      <c r="P631" s="141" t="s">
        <v>222</v>
      </c>
      <c r="Q631" s="141" t="s">
        <v>222</v>
      </c>
      <c r="R631" s="141" t="s">
        <v>222</v>
      </c>
      <c r="S631" s="141" t="s">
        <v>222</v>
      </c>
      <c r="T631" s="141" t="s">
        <v>222</v>
      </c>
      <c r="U631" s="141" t="s">
        <v>222</v>
      </c>
      <c r="V631" s="141" t="s">
        <v>222</v>
      </c>
      <c r="W631" s="141"/>
      <c r="X631" s="141"/>
      <c r="Y631" s="141"/>
      <c r="Z631" s="141"/>
    </row>
    <row r="632">
      <c r="A632" s="141"/>
      <c r="B632" s="141" t="s">
        <v>222</v>
      </c>
      <c r="C632" s="141" t="s">
        <v>222</v>
      </c>
      <c r="D632" s="141" t="s">
        <v>222</v>
      </c>
      <c r="E632" s="141" t="s">
        <v>222</v>
      </c>
      <c r="F632" s="141" t="s">
        <v>222</v>
      </c>
      <c r="G632" s="141" t="s">
        <v>222</v>
      </c>
      <c r="H632" s="141" t="s">
        <v>222</v>
      </c>
      <c r="I632" s="141" t="s">
        <v>222</v>
      </c>
      <c r="J632" s="141" t="s">
        <v>222</v>
      </c>
      <c r="K632" s="141" t="s">
        <v>222</v>
      </c>
      <c r="L632" s="141" t="s">
        <v>222</v>
      </c>
      <c r="M632" s="141" t="s">
        <v>222</v>
      </c>
      <c r="N632" s="141" t="s">
        <v>222</v>
      </c>
      <c r="O632" s="141" t="s">
        <v>222</v>
      </c>
      <c r="P632" s="141" t="s">
        <v>222</v>
      </c>
      <c r="Q632" s="141" t="s">
        <v>222</v>
      </c>
      <c r="R632" s="141" t="s">
        <v>222</v>
      </c>
      <c r="S632" s="141" t="s">
        <v>222</v>
      </c>
      <c r="T632" s="141" t="s">
        <v>222</v>
      </c>
      <c r="U632" s="141" t="s">
        <v>222</v>
      </c>
      <c r="V632" s="141" t="s">
        <v>222</v>
      </c>
      <c r="W632" s="141"/>
      <c r="X632" s="141"/>
      <c r="Y632" s="141"/>
      <c r="Z632" s="141"/>
    </row>
    <row r="633">
      <c r="A633" s="141"/>
      <c r="B633" s="141" t="s">
        <v>222</v>
      </c>
      <c r="C633" s="141" t="s">
        <v>222</v>
      </c>
      <c r="D633" s="141" t="s">
        <v>222</v>
      </c>
      <c r="E633" s="141" t="s">
        <v>222</v>
      </c>
      <c r="F633" s="141" t="s">
        <v>222</v>
      </c>
      <c r="G633" s="141" t="s">
        <v>222</v>
      </c>
      <c r="H633" s="141" t="s">
        <v>222</v>
      </c>
      <c r="I633" s="141" t="s">
        <v>222</v>
      </c>
      <c r="J633" s="141" t="s">
        <v>222</v>
      </c>
      <c r="K633" s="141" t="s">
        <v>222</v>
      </c>
      <c r="L633" s="141" t="s">
        <v>222</v>
      </c>
      <c r="M633" s="141" t="s">
        <v>222</v>
      </c>
      <c r="N633" s="141" t="s">
        <v>222</v>
      </c>
      <c r="O633" s="141" t="s">
        <v>222</v>
      </c>
      <c r="P633" s="141" t="s">
        <v>222</v>
      </c>
      <c r="Q633" s="141" t="s">
        <v>222</v>
      </c>
      <c r="R633" s="141" t="s">
        <v>222</v>
      </c>
      <c r="S633" s="141" t="s">
        <v>222</v>
      </c>
      <c r="T633" s="141" t="s">
        <v>222</v>
      </c>
      <c r="U633" s="141" t="s">
        <v>222</v>
      </c>
      <c r="V633" s="141" t="s">
        <v>222</v>
      </c>
      <c r="W633" s="141"/>
      <c r="X633" s="141"/>
      <c r="Y633" s="141"/>
      <c r="Z633" s="141"/>
    </row>
    <row r="634">
      <c r="A634" s="141"/>
      <c r="B634" s="141" t="s">
        <v>222</v>
      </c>
      <c r="C634" s="141" t="s">
        <v>222</v>
      </c>
      <c r="D634" s="141" t="s">
        <v>222</v>
      </c>
      <c r="E634" s="141" t="s">
        <v>222</v>
      </c>
      <c r="F634" s="141" t="s">
        <v>222</v>
      </c>
      <c r="G634" s="141" t="s">
        <v>222</v>
      </c>
      <c r="H634" s="141" t="s">
        <v>222</v>
      </c>
      <c r="I634" s="141" t="s">
        <v>222</v>
      </c>
      <c r="J634" s="141" t="s">
        <v>222</v>
      </c>
      <c r="K634" s="141" t="s">
        <v>222</v>
      </c>
      <c r="L634" s="141" t="s">
        <v>222</v>
      </c>
      <c r="M634" s="141" t="s">
        <v>222</v>
      </c>
      <c r="N634" s="141" t="s">
        <v>222</v>
      </c>
      <c r="O634" s="141" t="s">
        <v>222</v>
      </c>
      <c r="P634" s="141" t="s">
        <v>222</v>
      </c>
      <c r="Q634" s="141" t="s">
        <v>222</v>
      </c>
      <c r="R634" s="141" t="s">
        <v>222</v>
      </c>
      <c r="S634" s="141" t="s">
        <v>222</v>
      </c>
      <c r="T634" s="141" t="s">
        <v>222</v>
      </c>
      <c r="U634" s="141" t="s">
        <v>222</v>
      </c>
      <c r="V634" s="141" t="s">
        <v>222</v>
      </c>
      <c r="W634" s="141"/>
      <c r="X634" s="141"/>
      <c r="Y634" s="141"/>
      <c r="Z634" s="141"/>
    </row>
    <row r="635">
      <c r="A635" s="141"/>
      <c r="B635" s="141" t="s">
        <v>222</v>
      </c>
      <c r="C635" s="141" t="s">
        <v>222</v>
      </c>
      <c r="D635" s="141" t="s">
        <v>222</v>
      </c>
      <c r="E635" s="141" t="s">
        <v>222</v>
      </c>
      <c r="F635" s="141" t="s">
        <v>222</v>
      </c>
      <c r="G635" s="141" t="s">
        <v>222</v>
      </c>
      <c r="H635" s="141" t="s">
        <v>222</v>
      </c>
      <c r="I635" s="141" t="s">
        <v>222</v>
      </c>
      <c r="J635" s="141" t="s">
        <v>222</v>
      </c>
      <c r="K635" s="141" t="s">
        <v>222</v>
      </c>
      <c r="L635" s="141" t="s">
        <v>222</v>
      </c>
      <c r="M635" s="141" t="s">
        <v>222</v>
      </c>
      <c r="N635" s="141" t="s">
        <v>222</v>
      </c>
      <c r="O635" s="141" t="s">
        <v>222</v>
      </c>
      <c r="P635" s="141" t="s">
        <v>222</v>
      </c>
      <c r="Q635" s="141" t="s">
        <v>222</v>
      </c>
      <c r="R635" s="141" t="s">
        <v>222</v>
      </c>
      <c r="S635" s="141" t="s">
        <v>222</v>
      </c>
      <c r="T635" s="141" t="s">
        <v>222</v>
      </c>
      <c r="U635" s="141" t="s">
        <v>222</v>
      </c>
      <c r="V635" s="141" t="s">
        <v>222</v>
      </c>
      <c r="W635" s="141"/>
      <c r="X635" s="141"/>
      <c r="Y635" s="141"/>
      <c r="Z635" s="141"/>
    </row>
    <row r="636">
      <c r="A636" s="141"/>
      <c r="B636" s="141" t="s">
        <v>222</v>
      </c>
      <c r="C636" s="141" t="s">
        <v>222</v>
      </c>
      <c r="D636" s="141" t="s">
        <v>222</v>
      </c>
      <c r="E636" s="141" t="s">
        <v>222</v>
      </c>
      <c r="F636" s="141" t="s">
        <v>222</v>
      </c>
      <c r="G636" s="141" t="s">
        <v>222</v>
      </c>
      <c r="H636" s="141" t="s">
        <v>222</v>
      </c>
      <c r="I636" s="141" t="s">
        <v>222</v>
      </c>
      <c r="J636" s="141" t="s">
        <v>222</v>
      </c>
      <c r="K636" s="141" t="s">
        <v>222</v>
      </c>
      <c r="L636" s="141" t="s">
        <v>222</v>
      </c>
      <c r="M636" s="141" t="s">
        <v>222</v>
      </c>
      <c r="N636" s="141" t="s">
        <v>222</v>
      </c>
      <c r="O636" s="141" t="s">
        <v>222</v>
      </c>
      <c r="P636" s="141" t="s">
        <v>222</v>
      </c>
      <c r="Q636" s="141" t="s">
        <v>222</v>
      </c>
      <c r="R636" s="141" t="s">
        <v>222</v>
      </c>
      <c r="S636" s="141" t="s">
        <v>222</v>
      </c>
      <c r="T636" s="141" t="s">
        <v>222</v>
      </c>
      <c r="U636" s="141" t="s">
        <v>222</v>
      </c>
      <c r="V636" s="141" t="s">
        <v>222</v>
      </c>
      <c r="W636" s="141"/>
      <c r="X636" s="141"/>
      <c r="Y636" s="141"/>
      <c r="Z636" s="141"/>
    </row>
    <row r="637">
      <c r="A637" s="141"/>
      <c r="B637" s="141" t="s">
        <v>222</v>
      </c>
      <c r="C637" s="141" t="s">
        <v>222</v>
      </c>
      <c r="D637" s="141" t="s">
        <v>222</v>
      </c>
      <c r="E637" s="141" t="s">
        <v>222</v>
      </c>
      <c r="F637" s="141" t="s">
        <v>222</v>
      </c>
      <c r="G637" s="141" t="s">
        <v>222</v>
      </c>
      <c r="H637" s="141" t="s">
        <v>222</v>
      </c>
      <c r="I637" s="141" t="s">
        <v>222</v>
      </c>
      <c r="J637" s="141" t="s">
        <v>222</v>
      </c>
      <c r="K637" s="141" t="s">
        <v>222</v>
      </c>
      <c r="L637" s="141" t="s">
        <v>222</v>
      </c>
      <c r="M637" s="141" t="s">
        <v>222</v>
      </c>
      <c r="N637" s="141" t="s">
        <v>222</v>
      </c>
      <c r="O637" s="141" t="s">
        <v>222</v>
      </c>
      <c r="P637" s="141" t="s">
        <v>222</v>
      </c>
      <c r="Q637" s="141" t="s">
        <v>222</v>
      </c>
      <c r="R637" s="141" t="s">
        <v>222</v>
      </c>
      <c r="S637" s="141" t="s">
        <v>222</v>
      </c>
      <c r="T637" s="141" t="s">
        <v>222</v>
      </c>
      <c r="U637" s="141" t="s">
        <v>222</v>
      </c>
      <c r="V637" s="141" t="s">
        <v>222</v>
      </c>
      <c r="W637" s="141"/>
      <c r="X637" s="141"/>
      <c r="Y637" s="141"/>
      <c r="Z637" s="141"/>
    </row>
    <row r="638">
      <c r="A638" s="141"/>
      <c r="B638" s="141" t="s">
        <v>222</v>
      </c>
      <c r="C638" s="141" t="s">
        <v>222</v>
      </c>
      <c r="D638" s="141" t="s">
        <v>222</v>
      </c>
      <c r="E638" s="141" t="s">
        <v>222</v>
      </c>
      <c r="F638" s="141" t="s">
        <v>222</v>
      </c>
      <c r="G638" s="141" t="s">
        <v>222</v>
      </c>
      <c r="H638" s="141" t="s">
        <v>222</v>
      </c>
      <c r="I638" s="141" t="s">
        <v>222</v>
      </c>
      <c r="J638" s="141" t="s">
        <v>222</v>
      </c>
      <c r="K638" s="141" t="s">
        <v>222</v>
      </c>
      <c r="L638" s="141" t="s">
        <v>222</v>
      </c>
      <c r="M638" s="141" t="s">
        <v>222</v>
      </c>
      <c r="N638" s="141" t="s">
        <v>222</v>
      </c>
      <c r="O638" s="141" t="s">
        <v>222</v>
      </c>
      <c r="P638" s="141" t="s">
        <v>222</v>
      </c>
      <c r="Q638" s="141" t="s">
        <v>222</v>
      </c>
      <c r="R638" s="141" t="s">
        <v>222</v>
      </c>
      <c r="S638" s="141" t="s">
        <v>222</v>
      </c>
      <c r="T638" s="141" t="s">
        <v>222</v>
      </c>
      <c r="U638" s="141" t="s">
        <v>222</v>
      </c>
      <c r="V638" s="141" t="s">
        <v>222</v>
      </c>
      <c r="W638" s="141"/>
      <c r="X638" s="141"/>
      <c r="Y638" s="141"/>
      <c r="Z638" s="141"/>
    </row>
    <row r="639">
      <c r="A639" s="141"/>
      <c r="B639" s="141" t="s">
        <v>222</v>
      </c>
      <c r="C639" s="141" t="s">
        <v>222</v>
      </c>
      <c r="D639" s="141" t="s">
        <v>222</v>
      </c>
      <c r="E639" s="141" t="s">
        <v>222</v>
      </c>
      <c r="F639" s="141" t="s">
        <v>222</v>
      </c>
      <c r="G639" s="141" t="s">
        <v>222</v>
      </c>
      <c r="H639" s="141" t="s">
        <v>222</v>
      </c>
      <c r="I639" s="141" t="s">
        <v>222</v>
      </c>
      <c r="J639" s="141" t="s">
        <v>222</v>
      </c>
      <c r="K639" s="141" t="s">
        <v>222</v>
      </c>
      <c r="L639" s="141" t="s">
        <v>222</v>
      </c>
      <c r="M639" s="141" t="s">
        <v>222</v>
      </c>
      <c r="N639" s="141" t="s">
        <v>222</v>
      </c>
      <c r="O639" s="141" t="s">
        <v>222</v>
      </c>
      <c r="P639" s="141" t="s">
        <v>222</v>
      </c>
      <c r="Q639" s="141" t="s">
        <v>222</v>
      </c>
      <c r="R639" s="141" t="s">
        <v>222</v>
      </c>
      <c r="S639" s="141" t="s">
        <v>222</v>
      </c>
      <c r="T639" s="141" t="s">
        <v>222</v>
      </c>
      <c r="U639" s="141" t="s">
        <v>222</v>
      </c>
      <c r="V639" s="141" t="s">
        <v>222</v>
      </c>
      <c r="W639" s="141"/>
      <c r="X639" s="141"/>
      <c r="Y639" s="141"/>
      <c r="Z639" s="141"/>
    </row>
    <row r="640">
      <c r="A640" s="141"/>
      <c r="B640" s="141" t="s">
        <v>222</v>
      </c>
      <c r="C640" s="141" t="s">
        <v>222</v>
      </c>
      <c r="D640" s="141" t="s">
        <v>222</v>
      </c>
      <c r="E640" s="141" t="s">
        <v>222</v>
      </c>
      <c r="F640" s="141" t="s">
        <v>222</v>
      </c>
      <c r="G640" s="141" t="s">
        <v>222</v>
      </c>
      <c r="H640" s="141" t="s">
        <v>222</v>
      </c>
      <c r="I640" s="141" t="s">
        <v>222</v>
      </c>
      <c r="J640" s="141" t="s">
        <v>222</v>
      </c>
      <c r="K640" s="141" t="s">
        <v>222</v>
      </c>
      <c r="L640" s="141" t="s">
        <v>222</v>
      </c>
      <c r="M640" s="141" t="s">
        <v>222</v>
      </c>
      <c r="N640" s="141" t="s">
        <v>222</v>
      </c>
      <c r="O640" s="141" t="s">
        <v>222</v>
      </c>
      <c r="P640" s="141" t="s">
        <v>222</v>
      </c>
      <c r="Q640" s="141" t="s">
        <v>222</v>
      </c>
      <c r="R640" s="141" t="s">
        <v>222</v>
      </c>
      <c r="S640" s="141" t="s">
        <v>222</v>
      </c>
      <c r="T640" s="141" t="s">
        <v>222</v>
      </c>
      <c r="U640" s="141" t="s">
        <v>222</v>
      </c>
      <c r="V640" s="141" t="s">
        <v>222</v>
      </c>
      <c r="W640" s="141"/>
      <c r="X640" s="141"/>
      <c r="Y640" s="141"/>
      <c r="Z640" s="141"/>
    </row>
    <row r="641">
      <c r="A641" s="141"/>
      <c r="B641" s="141" t="s">
        <v>222</v>
      </c>
      <c r="C641" s="141" t="s">
        <v>222</v>
      </c>
      <c r="D641" s="141" t="s">
        <v>222</v>
      </c>
      <c r="E641" s="141" t="s">
        <v>222</v>
      </c>
      <c r="F641" s="141" t="s">
        <v>222</v>
      </c>
      <c r="G641" s="141" t="s">
        <v>222</v>
      </c>
      <c r="H641" s="141" t="s">
        <v>222</v>
      </c>
      <c r="I641" s="141" t="s">
        <v>222</v>
      </c>
      <c r="J641" s="141" t="s">
        <v>222</v>
      </c>
      <c r="K641" s="141" t="s">
        <v>222</v>
      </c>
      <c r="L641" s="141" t="s">
        <v>222</v>
      </c>
      <c r="M641" s="141" t="s">
        <v>222</v>
      </c>
      <c r="N641" s="141" t="s">
        <v>222</v>
      </c>
      <c r="O641" s="141" t="s">
        <v>222</v>
      </c>
      <c r="P641" s="141" t="s">
        <v>222</v>
      </c>
      <c r="Q641" s="141" t="s">
        <v>222</v>
      </c>
      <c r="R641" s="141" t="s">
        <v>222</v>
      </c>
      <c r="S641" s="141" t="s">
        <v>222</v>
      </c>
      <c r="T641" s="141" t="s">
        <v>222</v>
      </c>
      <c r="U641" s="141" t="s">
        <v>222</v>
      </c>
      <c r="V641" s="141" t="s">
        <v>222</v>
      </c>
      <c r="W641" s="141"/>
      <c r="X641" s="141"/>
      <c r="Y641" s="141"/>
      <c r="Z641" s="141"/>
    </row>
    <row r="642">
      <c r="A642" s="141"/>
      <c r="B642" s="141" t="s">
        <v>222</v>
      </c>
      <c r="C642" s="141" t="s">
        <v>222</v>
      </c>
      <c r="D642" s="141" t="s">
        <v>222</v>
      </c>
      <c r="E642" s="141" t="s">
        <v>222</v>
      </c>
      <c r="F642" s="141" t="s">
        <v>222</v>
      </c>
      <c r="G642" s="141" t="s">
        <v>222</v>
      </c>
      <c r="H642" s="141" t="s">
        <v>222</v>
      </c>
      <c r="I642" s="141" t="s">
        <v>222</v>
      </c>
      <c r="J642" s="141" t="s">
        <v>222</v>
      </c>
      <c r="K642" s="141" t="s">
        <v>222</v>
      </c>
      <c r="L642" s="141" t="s">
        <v>222</v>
      </c>
      <c r="M642" s="141" t="s">
        <v>222</v>
      </c>
      <c r="N642" s="141" t="s">
        <v>222</v>
      </c>
      <c r="O642" s="141" t="s">
        <v>222</v>
      </c>
      <c r="P642" s="141" t="s">
        <v>222</v>
      </c>
      <c r="Q642" s="141" t="s">
        <v>222</v>
      </c>
      <c r="R642" s="141" t="s">
        <v>222</v>
      </c>
      <c r="S642" s="141" t="s">
        <v>222</v>
      </c>
      <c r="T642" s="141" t="s">
        <v>222</v>
      </c>
      <c r="U642" s="141" t="s">
        <v>222</v>
      </c>
      <c r="V642" s="141" t="s">
        <v>222</v>
      </c>
      <c r="W642" s="141"/>
      <c r="X642" s="141"/>
      <c r="Y642" s="141"/>
      <c r="Z642" s="141"/>
    </row>
    <row r="643">
      <c r="A643" s="141"/>
      <c r="B643" s="141" t="s">
        <v>222</v>
      </c>
      <c r="C643" s="141" t="s">
        <v>222</v>
      </c>
      <c r="D643" s="141" t="s">
        <v>222</v>
      </c>
      <c r="E643" s="141" t="s">
        <v>222</v>
      </c>
      <c r="F643" s="141" t="s">
        <v>222</v>
      </c>
      <c r="G643" s="141" t="s">
        <v>222</v>
      </c>
      <c r="H643" s="141" t="s">
        <v>222</v>
      </c>
      <c r="I643" s="141" t="s">
        <v>222</v>
      </c>
      <c r="J643" s="141" t="s">
        <v>222</v>
      </c>
      <c r="K643" s="141" t="s">
        <v>222</v>
      </c>
      <c r="L643" s="141" t="s">
        <v>222</v>
      </c>
      <c r="M643" s="141" t="s">
        <v>222</v>
      </c>
      <c r="N643" s="141" t="s">
        <v>222</v>
      </c>
      <c r="O643" s="141" t="s">
        <v>222</v>
      </c>
      <c r="P643" s="141" t="s">
        <v>222</v>
      </c>
      <c r="Q643" s="141" t="s">
        <v>222</v>
      </c>
      <c r="R643" s="141" t="s">
        <v>222</v>
      </c>
      <c r="S643" s="141" t="s">
        <v>222</v>
      </c>
      <c r="T643" s="141" t="s">
        <v>222</v>
      </c>
      <c r="U643" s="141" t="s">
        <v>222</v>
      </c>
      <c r="V643" s="141" t="s">
        <v>222</v>
      </c>
      <c r="W643" s="141"/>
      <c r="X643" s="141"/>
      <c r="Y643" s="141"/>
      <c r="Z643" s="141"/>
    </row>
    <row r="644">
      <c r="A644" s="141"/>
      <c r="B644" s="141" t="s">
        <v>222</v>
      </c>
      <c r="C644" s="141" t="s">
        <v>222</v>
      </c>
      <c r="D644" s="141" t="s">
        <v>222</v>
      </c>
      <c r="E644" s="141" t="s">
        <v>222</v>
      </c>
      <c r="F644" s="141" t="s">
        <v>222</v>
      </c>
      <c r="G644" s="141" t="s">
        <v>222</v>
      </c>
      <c r="H644" s="141" t="s">
        <v>222</v>
      </c>
      <c r="I644" s="141" t="s">
        <v>222</v>
      </c>
      <c r="J644" s="141" t="s">
        <v>222</v>
      </c>
      <c r="K644" s="141" t="s">
        <v>222</v>
      </c>
      <c r="L644" s="141" t="s">
        <v>222</v>
      </c>
      <c r="M644" s="141" t="s">
        <v>222</v>
      </c>
      <c r="N644" s="141" t="s">
        <v>222</v>
      </c>
      <c r="O644" s="141" t="s">
        <v>222</v>
      </c>
      <c r="P644" s="141" t="s">
        <v>222</v>
      </c>
      <c r="Q644" s="141" t="s">
        <v>222</v>
      </c>
      <c r="R644" s="141" t="s">
        <v>222</v>
      </c>
      <c r="S644" s="141" t="s">
        <v>222</v>
      </c>
      <c r="T644" s="141" t="s">
        <v>222</v>
      </c>
      <c r="U644" s="141" t="s">
        <v>222</v>
      </c>
      <c r="V644" s="141" t="s">
        <v>222</v>
      </c>
      <c r="W644" s="141"/>
      <c r="X644" s="141"/>
      <c r="Y644" s="141"/>
      <c r="Z644" s="141"/>
    </row>
    <row r="645">
      <c r="A645" s="141"/>
      <c r="B645" s="141" t="s">
        <v>222</v>
      </c>
      <c r="C645" s="141" t="s">
        <v>222</v>
      </c>
      <c r="D645" s="141" t="s">
        <v>222</v>
      </c>
      <c r="E645" s="141" t="s">
        <v>222</v>
      </c>
      <c r="F645" s="141" t="s">
        <v>222</v>
      </c>
      <c r="G645" s="141" t="s">
        <v>222</v>
      </c>
      <c r="H645" s="141" t="s">
        <v>222</v>
      </c>
      <c r="I645" s="141" t="s">
        <v>222</v>
      </c>
      <c r="J645" s="141" t="s">
        <v>222</v>
      </c>
      <c r="K645" s="141" t="s">
        <v>222</v>
      </c>
      <c r="L645" s="141" t="s">
        <v>222</v>
      </c>
      <c r="M645" s="141" t="s">
        <v>222</v>
      </c>
      <c r="N645" s="141" t="s">
        <v>222</v>
      </c>
      <c r="O645" s="141" t="s">
        <v>222</v>
      </c>
      <c r="P645" s="141" t="s">
        <v>222</v>
      </c>
      <c r="Q645" s="141" t="s">
        <v>222</v>
      </c>
      <c r="R645" s="141" t="s">
        <v>222</v>
      </c>
      <c r="S645" s="141" t="s">
        <v>222</v>
      </c>
      <c r="T645" s="141" t="s">
        <v>222</v>
      </c>
      <c r="U645" s="141" t="s">
        <v>222</v>
      </c>
      <c r="V645" s="141" t="s">
        <v>222</v>
      </c>
      <c r="W645" s="141"/>
      <c r="X645" s="141"/>
      <c r="Y645" s="141"/>
      <c r="Z645" s="141"/>
    </row>
    <row r="646">
      <c r="A646" s="141"/>
      <c r="B646" s="141" t="s">
        <v>222</v>
      </c>
      <c r="C646" s="141" t="s">
        <v>222</v>
      </c>
      <c r="D646" s="141" t="s">
        <v>222</v>
      </c>
      <c r="E646" s="141" t="s">
        <v>222</v>
      </c>
      <c r="F646" s="141" t="s">
        <v>222</v>
      </c>
      <c r="G646" s="141" t="s">
        <v>222</v>
      </c>
      <c r="H646" s="141" t="s">
        <v>222</v>
      </c>
      <c r="I646" s="141" t="s">
        <v>222</v>
      </c>
      <c r="J646" s="141" t="s">
        <v>222</v>
      </c>
      <c r="K646" s="141" t="s">
        <v>222</v>
      </c>
      <c r="L646" s="141" t="s">
        <v>222</v>
      </c>
      <c r="M646" s="141" t="s">
        <v>222</v>
      </c>
      <c r="N646" s="141" t="s">
        <v>222</v>
      </c>
      <c r="O646" s="141" t="s">
        <v>222</v>
      </c>
      <c r="P646" s="141" t="s">
        <v>222</v>
      </c>
      <c r="Q646" s="141" t="s">
        <v>222</v>
      </c>
      <c r="R646" s="141" t="s">
        <v>222</v>
      </c>
      <c r="S646" s="141" t="s">
        <v>222</v>
      </c>
      <c r="T646" s="141" t="s">
        <v>222</v>
      </c>
      <c r="U646" s="141" t="s">
        <v>222</v>
      </c>
      <c r="V646" s="141" t="s">
        <v>222</v>
      </c>
      <c r="W646" s="141"/>
      <c r="X646" s="141"/>
      <c r="Y646" s="141"/>
      <c r="Z646" s="141"/>
    </row>
    <row r="647">
      <c r="A647" s="141"/>
      <c r="B647" s="141" t="s">
        <v>222</v>
      </c>
      <c r="C647" s="141" t="s">
        <v>222</v>
      </c>
      <c r="D647" s="141" t="s">
        <v>222</v>
      </c>
      <c r="E647" s="141" t="s">
        <v>222</v>
      </c>
      <c r="F647" s="141" t="s">
        <v>222</v>
      </c>
      <c r="G647" s="141" t="s">
        <v>222</v>
      </c>
      <c r="H647" s="141" t="s">
        <v>222</v>
      </c>
      <c r="I647" s="141" t="s">
        <v>222</v>
      </c>
      <c r="J647" s="141" t="s">
        <v>222</v>
      </c>
      <c r="K647" s="141" t="s">
        <v>222</v>
      </c>
      <c r="L647" s="141" t="s">
        <v>222</v>
      </c>
      <c r="M647" s="141" t="s">
        <v>222</v>
      </c>
      <c r="N647" s="141" t="s">
        <v>222</v>
      </c>
      <c r="O647" s="141" t="s">
        <v>222</v>
      </c>
      <c r="P647" s="141" t="s">
        <v>222</v>
      </c>
      <c r="Q647" s="141" t="s">
        <v>222</v>
      </c>
      <c r="R647" s="141" t="s">
        <v>222</v>
      </c>
      <c r="S647" s="141" t="s">
        <v>222</v>
      </c>
      <c r="T647" s="141" t="s">
        <v>222</v>
      </c>
      <c r="U647" s="141" t="s">
        <v>222</v>
      </c>
      <c r="V647" s="141" t="s">
        <v>222</v>
      </c>
      <c r="W647" s="141"/>
      <c r="X647" s="141"/>
      <c r="Y647" s="141"/>
      <c r="Z647" s="141"/>
    </row>
    <row r="648">
      <c r="A648" s="141"/>
      <c r="B648" s="141" t="s">
        <v>222</v>
      </c>
      <c r="C648" s="141" t="s">
        <v>222</v>
      </c>
      <c r="D648" s="141" t="s">
        <v>222</v>
      </c>
      <c r="E648" s="141" t="s">
        <v>222</v>
      </c>
      <c r="F648" s="141" t="s">
        <v>222</v>
      </c>
      <c r="G648" s="141" t="s">
        <v>222</v>
      </c>
      <c r="H648" s="141" t="s">
        <v>222</v>
      </c>
      <c r="I648" s="141" t="s">
        <v>222</v>
      </c>
      <c r="J648" s="141" t="s">
        <v>222</v>
      </c>
      <c r="K648" s="141" t="s">
        <v>222</v>
      </c>
      <c r="L648" s="141" t="s">
        <v>222</v>
      </c>
      <c r="M648" s="141" t="s">
        <v>222</v>
      </c>
      <c r="N648" s="141" t="s">
        <v>222</v>
      </c>
      <c r="O648" s="141" t="s">
        <v>222</v>
      </c>
      <c r="P648" s="141" t="s">
        <v>222</v>
      </c>
      <c r="Q648" s="141" t="s">
        <v>222</v>
      </c>
      <c r="R648" s="141" t="s">
        <v>222</v>
      </c>
      <c r="S648" s="141" t="s">
        <v>222</v>
      </c>
      <c r="T648" s="141" t="s">
        <v>222</v>
      </c>
      <c r="U648" s="141" t="s">
        <v>222</v>
      </c>
      <c r="V648" s="141" t="s">
        <v>222</v>
      </c>
      <c r="W648" s="141"/>
      <c r="X648" s="141"/>
      <c r="Y648" s="141"/>
      <c r="Z648" s="141"/>
    </row>
    <row r="649">
      <c r="A649" s="141"/>
      <c r="B649" s="141" t="s">
        <v>222</v>
      </c>
      <c r="C649" s="141" t="s">
        <v>222</v>
      </c>
      <c r="D649" s="141" t="s">
        <v>222</v>
      </c>
      <c r="E649" s="141" t="s">
        <v>222</v>
      </c>
      <c r="F649" s="141" t="s">
        <v>222</v>
      </c>
      <c r="G649" s="141" t="s">
        <v>222</v>
      </c>
      <c r="H649" s="141" t="s">
        <v>222</v>
      </c>
      <c r="I649" s="141" t="s">
        <v>222</v>
      </c>
      <c r="J649" s="141" t="s">
        <v>222</v>
      </c>
      <c r="K649" s="141" t="s">
        <v>222</v>
      </c>
      <c r="L649" s="141" t="s">
        <v>222</v>
      </c>
      <c r="M649" s="141" t="s">
        <v>222</v>
      </c>
      <c r="N649" s="141" t="s">
        <v>222</v>
      </c>
      <c r="O649" s="141" t="s">
        <v>222</v>
      </c>
      <c r="P649" s="141" t="s">
        <v>222</v>
      </c>
      <c r="Q649" s="141" t="s">
        <v>222</v>
      </c>
      <c r="R649" s="141" t="s">
        <v>222</v>
      </c>
      <c r="S649" s="141" t="s">
        <v>222</v>
      </c>
      <c r="T649" s="141" t="s">
        <v>222</v>
      </c>
      <c r="U649" s="141" t="s">
        <v>222</v>
      </c>
      <c r="V649" s="141" t="s">
        <v>222</v>
      </c>
      <c r="W649" s="141"/>
      <c r="X649" s="141"/>
      <c r="Y649" s="141"/>
      <c r="Z649" s="141"/>
    </row>
    <row r="650">
      <c r="A650" s="141"/>
      <c r="B650" s="141" t="s">
        <v>222</v>
      </c>
      <c r="C650" s="141" t="s">
        <v>222</v>
      </c>
      <c r="D650" s="141" t="s">
        <v>222</v>
      </c>
      <c r="E650" s="141" t="s">
        <v>222</v>
      </c>
      <c r="F650" s="141" t="s">
        <v>222</v>
      </c>
      <c r="G650" s="141" t="s">
        <v>222</v>
      </c>
      <c r="H650" s="141" t="s">
        <v>222</v>
      </c>
      <c r="I650" s="141" t="s">
        <v>222</v>
      </c>
      <c r="J650" s="141" t="s">
        <v>222</v>
      </c>
      <c r="K650" s="141" t="s">
        <v>222</v>
      </c>
      <c r="L650" s="141" t="s">
        <v>222</v>
      </c>
      <c r="M650" s="141" t="s">
        <v>222</v>
      </c>
      <c r="N650" s="141" t="s">
        <v>222</v>
      </c>
      <c r="O650" s="141" t="s">
        <v>222</v>
      </c>
      <c r="P650" s="141" t="s">
        <v>222</v>
      </c>
      <c r="Q650" s="141" t="s">
        <v>222</v>
      </c>
      <c r="R650" s="141" t="s">
        <v>222</v>
      </c>
      <c r="S650" s="141" t="s">
        <v>222</v>
      </c>
      <c r="T650" s="141" t="s">
        <v>222</v>
      </c>
      <c r="U650" s="141" t="s">
        <v>222</v>
      </c>
      <c r="V650" s="141" t="s">
        <v>222</v>
      </c>
      <c r="W650" s="141"/>
      <c r="X650" s="141"/>
      <c r="Y650" s="141"/>
      <c r="Z650" s="141"/>
    </row>
    <row r="651">
      <c r="A651" s="141"/>
      <c r="B651" s="141" t="s">
        <v>222</v>
      </c>
      <c r="C651" s="141" t="s">
        <v>222</v>
      </c>
      <c r="D651" s="141" t="s">
        <v>222</v>
      </c>
      <c r="E651" s="141" t="s">
        <v>222</v>
      </c>
      <c r="F651" s="141" t="s">
        <v>222</v>
      </c>
      <c r="G651" s="141" t="s">
        <v>222</v>
      </c>
      <c r="H651" s="141" t="s">
        <v>222</v>
      </c>
      <c r="I651" s="141" t="s">
        <v>222</v>
      </c>
      <c r="J651" s="141" t="s">
        <v>222</v>
      </c>
      <c r="K651" s="141" t="s">
        <v>222</v>
      </c>
      <c r="L651" s="141" t="s">
        <v>222</v>
      </c>
      <c r="M651" s="141" t="s">
        <v>222</v>
      </c>
      <c r="N651" s="141" t="s">
        <v>222</v>
      </c>
      <c r="O651" s="141" t="s">
        <v>222</v>
      </c>
      <c r="P651" s="141" t="s">
        <v>222</v>
      </c>
      <c r="Q651" s="141" t="s">
        <v>222</v>
      </c>
      <c r="R651" s="141" t="s">
        <v>222</v>
      </c>
      <c r="S651" s="141" t="s">
        <v>222</v>
      </c>
      <c r="T651" s="141" t="s">
        <v>222</v>
      </c>
      <c r="U651" s="141" t="s">
        <v>222</v>
      </c>
      <c r="V651" s="141" t="s">
        <v>222</v>
      </c>
      <c r="W651" s="141"/>
      <c r="X651" s="141"/>
      <c r="Y651" s="141"/>
      <c r="Z651" s="141"/>
    </row>
    <row r="652">
      <c r="A652" s="141"/>
      <c r="B652" s="141" t="s">
        <v>222</v>
      </c>
      <c r="C652" s="141" t="s">
        <v>222</v>
      </c>
      <c r="D652" s="141" t="s">
        <v>222</v>
      </c>
      <c r="E652" s="141" t="s">
        <v>222</v>
      </c>
      <c r="F652" s="141" t="s">
        <v>222</v>
      </c>
      <c r="G652" s="141" t="s">
        <v>222</v>
      </c>
      <c r="H652" s="141" t="s">
        <v>222</v>
      </c>
      <c r="I652" s="141" t="s">
        <v>222</v>
      </c>
      <c r="J652" s="141" t="s">
        <v>222</v>
      </c>
      <c r="K652" s="141" t="s">
        <v>222</v>
      </c>
      <c r="L652" s="141" t="s">
        <v>222</v>
      </c>
      <c r="M652" s="141" t="s">
        <v>222</v>
      </c>
      <c r="N652" s="141" t="s">
        <v>222</v>
      </c>
      <c r="O652" s="141" t="s">
        <v>222</v>
      </c>
      <c r="P652" s="141" t="s">
        <v>222</v>
      </c>
      <c r="Q652" s="141" t="s">
        <v>222</v>
      </c>
      <c r="R652" s="141" t="s">
        <v>222</v>
      </c>
      <c r="S652" s="141" t="s">
        <v>222</v>
      </c>
      <c r="T652" s="141" t="s">
        <v>222</v>
      </c>
      <c r="U652" s="141" t="s">
        <v>222</v>
      </c>
      <c r="V652" s="141" t="s">
        <v>222</v>
      </c>
      <c r="W652" s="141"/>
      <c r="X652" s="141"/>
      <c r="Y652" s="141"/>
      <c r="Z652" s="141"/>
    </row>
    <row r="653">
      <c r="A653" s="141"/>
      <c r="B653" s="141" t="s">
        <v>222</v>
      </c>
      <c r="C653" s="141" t="s">
        <v>222</v>
      </c>
      <c r="D653" s="141" t="s">
        <v>222</v>
      </c>
      <c r="E653" s="141" t="s">
        <v>222</v>
      </c>
      <c r="F653" s="141" t="s">
        <v>222</v>
      </c>
      <c r="G653" s="141" t="s">
        <v>222</v>
      </c>
      <c r="H653" s="141" t="s">
        <v>222</v>
      </c>
      <c r="I653" s="141" t="s">
        <v>222</v>
      </c>
      <c r="J653" s="141" t="s">
        <v>222</v>
      </c>
      <c r="K653" s="141" t="s">
        <v>222</v>
      </c>
      <c r="L653" s="141" t="s">
        <v>222</v>
      </c>
      <c r="M653" s="141" t="s">
        <v>222</v>
      </c>
      <c r="N653" s="141" t="s">
        <v>222</v>
      </c>
      <c r="O653" s="141" t="s">
        <v>222</v>
      </c>
      <c r="P653" s="141" t="s">
        <v>222</v>
      </c>
      <c r="Q653" s="141" t="s">
        <v>222</v>
      </c>
      <c r="R653" s="141" t="s">
        <v>222</v>
      </c>
      <c r="S653" s="141" t="s">
        <v>222</v>
      </c>
      <c r="T653" s="141" t="s">
        <v>222</v>
      </c>
      <c r="U653" s="141" t="s">
        <v>222</v>
      </c>
      <c r="V653" s="141" t="s">
        <v>222</v>
      </c>
      <c r="W653" s="141"/>
      <c r="X653" s="141"/>
      <c r="Y653" s="141"/>
      <c r="Z653" s="141"/>
    </row>
    <row r="654">
      <c r="A654" s="141"/>
      <c r="B654" s="141" t="s">
        <v>222</v>
      </c>
      <c r="C654" s="141" t="s">
        <v>222</v>
      </c>
      <c r="D654" s="141" t="s">
        <v>222</v>
      </c>
      <c r="E654" s="141" t="s">
        <v>222</v>
      </c>
      <c r="F654" s="141" t="s">
        <v>222</v>
      </c>
      <c r="G654" s="141" t="s">
        <v>222</v>
      </c>
      <c r="H654" s="141" t="s">
        <v>222</v>
      </c>
      <c r="I654" s="141" t="s">
        <v>222</v>
      </c>
      <c r="J654" s="141" t="s">
        <v>222</v>
      </c>
      <c r="K654" s="141" t="s">
        <v>222</v>
      </c>
      <c r="L654" s="141" t="s">
        <v>222</v>
      </c>
      <c r="M654" s="141" t="s">
        <v>222</v>
      </c>
      <c r="N654" s="141" t="s">
        <v>222</v>
      </c>
      <c r="O654" s="141" t="s">
        <v>222</v>
      </c>
      <c r="P654" s="141" t="s">
        <v>222</v>
      </c>
      <c r="Q654" s="141" t="s">
        <v>222</v>
      </c>
      <c r="R654" s="141" t="s">
        <v>222</v>
      </c>
      <c r="S654" s="141" t="s">
        <v>222</v>
      </c>
      <c r="T654" s="141" t="s">
        <v>222</v>
      </c>
      <c r="U654" s="141" t="s">
        <v>222</v>
      </c>
      <c r="V654" s="141" t="s">
        <v>222</v>
      </c>
      <c r="W654" s="141"/>
      <c r="X654" s="141"/>
      <c r="Y654" s="141"/>
      <c r="Z654" s="141"/>
    </row>
    <row r="655">
      <c r="A655" s="141"/>
      <c r="B655" s="141" t="s">
        <v>222</v>
      </c>
      <c r="C655" s="141" t="s">
        <v>222</v>
      </c>
      <c r="D655" s="141" t="s">
        <v>222</v>
      </c>
      <c r="E655" s="141" t="s">
        <v>222</v>
      </c>
      <c r="F655" s="141" t="s">
        <v>222</v>
      </c>
      <c r="G655" s="141" t="s">
        <v>222</v>
      </c>
      <c r="H655" s="141" t="s">
        <v>222</v>
      </c>
      <c r="I655" s="141" t="s">
        <v>222</v>
      </c>
      <c r="J655" s="141" t="s">
        <v>222</v>
      </c>
      <c r="K655" s="141" t="s">
        <v>222</v>
      </c>
      <c r="L655" s="141" t="s">
        <v>222</v>
      </c>
      <c r="M655" s="141" t="s">
        <v>222</v>
      </c>
      <c r="N655" s="141" t="s">
        <v>222</v>
      </c>
      <c r="O655" s="141" t="s">
        <v>222</v>
      </c>
      <c r="P655" s="141" t="s">
        <v>222</v>
      </c>
      <c r="Q655" s="141" t="s">
        <v>222</v>
      </c>
      <c r="R655" s="141" t="s">
        <v>222</v>
      </c>
      <c r="S655" s="141" t="s">
        <v>222</v>
      </c>
      <c r="T655" s="141" t="s">
        <v>222</v>
      </c>
      <c r="U655" s="141" t="s">
        <v>222</v>
      </c>
      <c r="V655" s="141" t="s">
        <v>222</v>
      </c>
      <c r="W655" s="141"/>
      <c r="X655" s="141"/>
      <c r="Y655" s="141"/>
      <c r="Z655" s="141"/>
    </row>
    <row r="656">
      <c r="A656" s="141"/>
      <c r="B656" s="141" t="s">
        <v>222</v>
      </c>
      <c r="C656" s="141" t="s">
        <v>222</v>
      </c>
      <c r="D656" s="141" t="s">
        <v>222</v>
      </c>
      <c r="E656" s="141" t="s">
        <v>222</v>
      </c>
      <c r="F656" s="141" t="s">
        <v>222</v>
      </c>
      <c r="G656" s="141" t="s">
        <v>222</v>
      </c>
      <c r="H656" s="141" t="s">
        <v>222</v>
      </c>
      <c r="I656" s="141" t="s">
        <v>222</v>
      </c>
      <c r="J656" s="141" t="s">
        <v>222</v>
      </c>
      <c r="K656" s="141" t="s">
        <v>222</v>
      </c>
      <c r="L656" s="141" t="s">
        <v>222</v>
      </c>
      <c r="M656" s="141" t="s">
        <v>222</v>
      </c>
      <c r="N656" s="141" t="s">
        <v>222</v>
      </c>
      <c r="O656" s="141" t="s">
        <v>222</v>
      </c>
      <c r="P656" s="141" t="s">
        <v>222</v>
      </c>
      <c r="Q656" s="141" t="s">
        <v>222</v>
      </c>
      <c r="R656" s="141" t="s">
        <v>222</v>
      </c>
      <c r="S656" s="141" t="s">
        <v>222</v>
      </c>
      <c r="T656" s="141" t="s">
        <v>222</v>
      </c>
      <c r="U656" s="141" t="s">
        <v>222</v>
      </c>
      <c r="V656" s="141" t="s">
        <v>222</v>
      </c>
      <c r="W656" s="141"/>
      <c r="X656" s="141"/>
      <c r="Y656" s="141"/>
      <c r="Z656" s="141"/>
    </row>
    <row r="657">
      <c r="A657" s="141"/>
      <c r="B657" s="141" t="s">
        <v>222</v>
      </c>
      <c r="C657" s="141" t="s">
        <v>222</v>
      </c>
      <c r="D657" s="141" t="s">
        <v>222</v>
      </c>
      <c r="E657" s="141" t="s">
        <v>222</v>
      </c>
      <c r="F657" s="141" t="s">
        <v>222</v>
      </c>
      <c r="G657" s="141" t="s">
        <v>222</v>
      </c>
      <c r="H657" s="141" t="s">
        <v>222</v>
      </c>
      <c r="I657" s="141" t="s">
        <v>222</v>
      </c>
      <c r="J657" s="141" t="s">
        <v>222</v>
      </c>
      <c r="K657" s="141" t="s">
        <v>222</v>
      </c>
      <c r="L657" s="141" t="s">
        <v>222</v>
      </c>
      <c r="M657" s="141" t="s">
        <v>222</v>
      </c>
      <c r="N657" s="141" t="s">
        <v>222</v>
      </c>
      <c r="O657" s="141" t="s">
        <v>222</v>
      </c>
      <c r="P657" s="141" t="s">
        <v>222</v>
      </c>
      <c r="Q657" s="141" t="s">
        <v>222</v>
      </c>
      <c r="R657" s="141" t="s">
        <v>222</v>
      </c>
      <c r="S657" s="141" t="s">
        <v>222</v>
      </c>
      <c r="T657" s="141" t="s">
        <v>222</v>
      </c>
      <c r="U657" s="141" t="s">
        <v>222</v>
      </c>
      <c r="V657" s="141" t="s">
        <v>222</v>
      </c>
      <c r="W657" s="141"/>
      <c r="X657" s="141"/>
      <c r="Y657" s="141"/>
      <c r="Z657" s="141"/>
    </row>
    <row r="658">
      <c r="A658" s="141"/>
      <c r="B658" s="141" t="s">
        <v>222</v>
      </c>
      <c r="C658" s="141" t="s">
        <v>222</v>
      </c>
      <c r="D658" s="141" t="s">
        <v>222</v>
      </c>
      <c r="E658" s="141" t="s">
        <v>222</v>
      </c>
      <c r="F658" s="141" t="s">
        <v>222</v>
      </c>
      <c r="G658" s="141" t="s">
        <v>222</v>
      </c>
      <c r="H658" s="141" t="s">
        <v>222</v>
      </c>
      <c r="I658" s="141" t="s">
        <v>222</v>
      </c>
      <c r="J658" s="141" t="s">
        <v>222</v>
      </c>
      <c r="K658" s="141" t="s">
        <v>222</v>
      </c>
      <c r="L658" s="141" t="s">
        <v>222</v>
      </c>
      <c r="M658" s="141" t="s">
        <v>222</v>
      </c>
      <c r="N658" s="141" t="s">
        <v>222</v>
      </c>
      <c r="O658" s="141" t="s">
        <v>222</v>
      </c>
      <c r="P658" s="141" t="s">
        <v>222</v>
      </c>
      <c r="Q658" s="141" t="s">
        <v>222</v>
      </c>
      <c r="R658" s="141" t="s">
        <v>222</v>
      </c>
      <c r="S658" s="141" t="s">
        <v>222</v>
      </c>
      <c r="T658" s="141" t="s">
        <v>222</v>
      </c>
      <c r="U658" s="141" t="s">
        <v>222</v>
      </c>
      <c r="V658" s="141" t="s">
        <v>222</v>
      </c>
      <c r="W658" s="141"/>
      <c r="X658" s="141"/>
      <c r="Y658" s="141"/>
      <c r="Z658" s="141"/>
    </row>
    <row r="659">
      <c r="A659" s="141"/>
      <c r="B659" s="141" t="s">
        <v>222</v>
      </c>
      <c r="C659" s="141" t="s">
        <v>222</v>
      </c>
      <c r="D659" s="141" t="s">
        <v>222</v>
      </c>
      <c r="E659" s="141" t="s">
        <v>222</v>
      </c>
      <c r="F659" s="141" t="s">
        <v>222</v>
      </c>
      <c r="G659" s="141" t="s">
        <v>222</v>
      </c>
      <c r="H659" s="141" t="s">
        <v>222</v>
      </c>
      <c r="I659" s="141" t="s">
        <v>222</v>
      </c>
      <c r="J659" s="141" t="s">
        <v>222</v>
      </c>
      <c r="K659" s="141" t="s">
        <v>222</v>
      </c>
      <c r="L659" s="141" t="s">
        <v>222</v>
      </c>
      <c r="M659" s="141" t="s">
        <v>222</v>
      </c>
      <c r="N659" s="141" t="s">
        <v>222</v>
      </c>
      <c r="O659" s="141" t="s">
        <v>222</v>
      </c>
      <c r="P659" s="141" t="s">
        <v>222</v>
      </c>
      <c r="Q659" s="141" t="s">
        <v>222</v>
      </c>
      <c r="R659" s="141" t="s">
        <v>222</v>
      </c>
      <c r="S659" s="141" t="s">
        <v>222</v>
      </c>
      <c r="T659" s="141" t="s">
        <v>222</v>
      </c>
      <c r="U659" s="141" t="s">
        <v>222</v>
      </c>
      <c r="V659" s="141" t="s">
        <v>222</v>
      </c>
      <c r="W659" s="141"/>
      <c r="X659" s="141"/>
      <c r="Y659" s="141"/>
      <c r="Z659" s="141"/>
    </row>
    <row r="660">
      <c r="A660" s="141"/>
      <c r="B660" s="141" t="s">
        <v>222</v>
      </c>
      <c r="C660" s="141" t="s">
        <v>222</v>
      </c>
      <c r="D660" s="141" t="s">
        <v>222</v>
      </c>
      <c r="E660" s="141" t="s">
        <v>222</v>
      </c>
      <c r="F660" s="141" t="s">
        <v>222</v>
      </c>
      <c r="G660" s="141" t="s">
        <v>222</v>
      </c>
      <c r="H660" s="141" t="s">
        <v>222</v>
      </c>
      <c r="I660" s="141" t="s">
        <v>222</v>
      </c>
      <c r="J660" s="141" t="s">
        <v>222</v>
      </c>
      <c r="K660" s="141" t="s">
        <v>222</v>
      </c>
      <c r="L660" s="141" t="s">
        <v>222</v>
      </c>
      <c r="M660" s="141" t="s">
        <v>222</v>
      </c>
      <c r="N660" s="141" t="s">
        <v>222</v>
      </c>
      <c r="O660" s="141" t="s">
        <v>222</v>
      </c>
      <c r="P660" s="141" t="s">
        <v>222</v>
      </c>
      <c r="Q660" s="141" t="s">
        <v>222</v>
      </c>
      <c r="R660" s="141" t="s">
        <v>222</v>
      </c>
      <c r="S660" s="141" t="s">
        <v>222</v>
      </c>
      <c r="T660" s="141" t="s">
        <v>222</v>
      </c>
      <c r="U660" s="141" t="s">
        <v>222</v>
      </c>
      <c r="V660" s="141" t="s">
        <v>222</v>
      </c>
      <c r="W660" s="141"/>
      <c r="X660" s="141"/>
      <c r="Y660" s="141"/>
      <c r="Z660" s="141"/>
    </row>
    <row r="661">
      <c r="A661" s="141"/>
      <c r="B661" s="141" t="s">
        <v>222</v>
      </c>
      <c r="C661" s="141" t="s">
        <v>222</v>
      </c>
      <c r="D661" s="141" t="s">
        <v>222</v>
      </c>
      <c r="E661" s="141" t="s">
        <v>222</v>
      </c>
      <c r="F661" s="141" t="s">
        <v>222</v>
      </c>
      <c r="G661" s="141" t="s">
        <v>222</v>
      </c>
      <c r="H661" s="141" t="s">
        <v>222</v>
      </c>
      <c r="I661" s="141" t="s">
        <v>222</v>
      </c>
      <c r="J661" s="141" t="s">
        <v>222</v>
      </c>
      <c r="K661" s="141" t="s">
        <v>222</v>
      </c>
      <c r="L661" s="141" t="s">
        <v>222</v>
      </c>
      <c r="M661" s="141" t="s">
        <v>222</v>
      </c>
      <c r="N661" s="141" t="s">
        <v>222</v>
      </c>
      <c r="O661" s="141" t="s">
        <v>222</v>
      </c>
      <c r="P661" s="141" t="s">
        <v>222</v>
      </c>
      <c r="Q661" s="141" t="s">
        <v>222</v>
      </c>
      <c r="R661" s="141" t="s">
        <v>222</v>
      </c>
      <c r="S661" s="141" t="s">
        <v>222</v>
      </c>
      <c r="T661" s="141" t="s">
        <v>222</v>
      </c>
      <c r="U661" s="141" t="s">
        <v>222</v>
      </c>
      <c r="V661" s="141" t="s">
        <v>222</v>
      </c>
      <c r="W661" s="141"/>
      <c r="X661" s="141"/>
      <c r="Y661" s="141"/>
      <c r="Z661" s="141"/>
    </row>
    <row r="662">
      <c r="A662" s="141"/>
      <c r="B662" s="141" t="s">
        <v>222</v>
      </c>
      <c r="C662" s="141" t="s">
        <v>222</v>
      </c>
      <c r="D662" s="141" t="s">
        <v>222</v>
      </c>
      <c r="E662" s="141" t="s">
        <v>222</v>
      </c>
      <c r="F662" s="141" t="s">
        <v>222</v>
      </c>
      <c r="G662" s="141" t="s">
        <v>222</v>
      </c>
      <c r="H662" s="141" t="s">
        <v>222</v>
      </c>
      <c r="I662" s="141" t="s">
        <v>222</v>
      </c>
      <c r="J662" s="141" t="s">
        <v>222</v>
      </c>
      <c r="K662" s="141" t="s">
        <v>222</v>
      </c>
      <c r="L662" s="141" t="s">
        <v>222</v>
      </c>
      <c r="M662" s="141" t="s">
        <v>222</v>
      </c>
      <c r="N662" s="141" t="s">
        <v>222</v>
      </c>
      <c r="O662" s="141" t="s">
        <v>222</v>
      </c>
      <c r="P662" s="141" t="s">
        <v>222</v>
      </c>
      <c r="Q662" s="141" t="s">
        <v>222</v>
      </c>
      <c r="R662" s="141" t="s">
        <v>222</v>
      </c>
      <c r="S662" s="141" t="s">
        <v>222</v>
      </c>
      <c r="T662" s="141" t="s">
        <v>222</v>
      </c>
      <c r="U662" s="141" t="s">
        <v>222</v>
      </c>
      <c r="V662" s="141" t="s">
        <v>222</v>
      </c>
      <c r="W662" s="141"/>
      <c r="X662" s="141"/>
      <c r="Y662" s="141"/>
      <c r="Z662" s="141"/>
    </row>
    <row r="663">
      <c r="A663" s="141"/>
      <c r="B663" s="141" t="s">
        <v>222</v>
      </c>
      <c r="C663" s="141" t="s">
        <v>222</v>
      </c>
      <c r="D663" s="141" t="s">
        <v>222</v>
      </c>
      <c r="E663" s="141" t="s">
        <v>222</v>
      </c>
      <c r="F663" s="141" t="s">
        <v>222</v>
      </c>
      <c r="G663" s="141" t="s">
        <v>222</v>
      </c>
      <c r="H663" s="141" t="s">
        <v>222</v>
      </c>
      <c r="I663" s="141" t="s">
        <v>222</v>
      </c>
      <c r="J663" s="141" t="s">
        <v>222</v>
      </c>
      <c r="K663" s="141" t="s">
        <v>222</v>
      </c>
      <c r="L663" s="141" t="s">
        <v>222</v>
      </c>
      <c r="M663" s="141" t="s">
        <v>222</v>
      </c>
      <c r="N663" s="141" t="s">
        <v>222</v>
      </c>
      <c r="O663" s="141" t="s">
        <v>222</v>
      </c>
      <c r="P663" s="141" t="s">
        <v>222</v>
      </c>
      <c r="Q663" s="141" t="s">
        <v>222</v>
      </c>
      <c r="R663" s="141" t="s">
        <v>222</v>
      </c>
      <c r="S663" s="141" t="s">
        <v>222</v>
      </c>
      <c r="T663" s="141" t="s">
        <v>222</v>
      </c>
      <c r="U663" s="141" t="s">
        <v>222</v>
      </c>
      <c r="V663" s="141" t="s">
        <v>222</v>
      </c>
      <c r="W663" s="141"/>
      <c r="X663" s="141"/>
      <c r="Y663" s="141"/>
      <c r="Z663" s="141"/>
    </row>
    <row r="664">
      <c r="A664" s="141"/>
      <c r="B664" s="141" t="s">
        <v>222</v>
      </c>
      <c r="C664" s="141" t="s">
        <v>222</v>
      </c>
      <c r="D664" s="141" t="s">
        <v>222</v>
      </c>
      <c r="E664" s="141" t="s">
        <v>222</v>
      </c>
      <c r="F664" s="141" t="s">
        <v>222</v>
      </c>
      <c r="G664" s="141" t="s">
        <v>222</v>
      </c>
      <c r="H664" s="141" t="s">
        <v>222</v>
      </c>
      <c r="I664" s="141" t="s">
        <v>222</v>
      </c>
      <c r="J664" s="141" t="s">
        <v>222</v>
      </c>
      <c r="K664" s="141" t="s">
        <v>222</v>
      </c>
      <c r="L664" s="141" t="s">
        <v>222</v>
      </c>
      <c r="M664" s="141" t="s">
        <v>222</v>
      </c>
      <c r="N664" s="141" t="s">
        <v>222</v>
      </c>
      <c r="O664" s="141" t="s">
        <v>222</v>
      </c>
      <c r="P664" s="141" t="s">
        <v>222</v>
      </c>
      <c r="Q664" s="141" t="s">
        <v>222</v>
      </c>
      <c r="R664" s="141" t="s">
        <v>222</v>
      </c>
      <c r="S664" s="141" t="s">
        <v>222</v>
      </c>
      <c r="T664" s="141" t="s">
        <v>222</v>
      </c>
      <c r="U664" s="141" t="s">
        <v>222</v>
      </c>
      <c r="V664" s="141" t="s">
        <v>222</v>
      </c>
      <c r="W664" s="141"/>
      <c r="X664" s="141"/>
      <c r="Y664" s="141"/>
      <c r="Z664" s="141"/>
    </row>
    <row r="665">
      <c r="A665" s="141"/>
      <c r="B665" s="141" t="s">
        <v>222</v>
      </c>
      <c r="C665" s="141" t="s">
        <v>222</v>
      </c>
      <c r="D665" s="141" t="s">
        <v>222</v>
      </c>
      <c r="E665" s="141" t="s">
        <v>222</v>
      </c>
      <c r="F665" s="141" t="s">
        <v>222</v>
      </c>
      <c r="G665" s="141" t="s">
        <v>222</v>
      </c>
      <c r="H665" s="141" t="s">
        <v>222</v>
      </c>
      <c r="I665" s="141" t="s">
        <v>222</v>
      </c>
      <c r="J665" s="141" t="s">
        <v>222</v>
      </c>
      <c r="K665" s="141" t="s">
        <v>222</v>
      </c>
      <c r="L665" s="141" t="s">
        <v>222</v>
      </c>
      <c r="M665" s="141" t="s">
        <v>222</v>
      </c>
      <c r="N665" s="141" t="s">
        <v>222</v>
      </c>
      <c r="O665" s="141" t="s">
        <v>222</v>
      </c>
      <c r="P665" s="141" t="s">
        <v>222</v>
      </c>
      <c r="Q665" s="141" t="s">
        <v>222</v>
      </c>
      <c r="R665" s="141" t="s">
        <v>222</v>
      </c>
      <c r="S665" s="141" t="s">
        <v>222</v>
      </c>
      <c r="T665" s="141" t="s">
        <v>222</v>
      </c>
      <c r="U665" s="141" t="s">
        <v>222</v>
      </c>
      <c r="V665" s="141" t="s">
        <v>222</v>
      </c>
      <c r="W665" s="141"/>
      <c r="X665" s="141"/>
      <c r="Y665" s="141"/>
      <c r="Z665" s="141"/>
    </row>
    <row r="666">
      <c r="A666" s="141"/>
      <c r="B666" s="141" t="s">
        <v>222</v>
      </c>
      <c r="C666" s="141" t="s">
        <v>222</v>
      </c>
      <c r="D666" s="141" t="s">
        <v>222</v>
      </c>
      <c r="E666" s="141" t="s">
        <v>222</v>
      </c>
      <c r="F666" s="141" t="s">
        <v>222</v>
      </c>
      <c r="G666" s="141" t="s">
        <v>222</v>
      </c>
      <c r="H666" s="141" t="s">
        <v>222</v>
      </c>
      <c r="I666" s="141" t="s">
        <v>222</v>
      </c>
      <c r="J666" s="141" t="s">
        <v>222</v>
      </c>
      <c r="K666" s="141" t="s">
        <v>222</v>
      </c>
      <c r="L666" s="141" t="s">
        <v>222</v>
      </c>
      <c r="M666" s="141" t="s">
        <v>222</v>
      </c>
      <c r="N666" s="141" t="s">
        <v>222</v>
      </c>
      <c r="O666" s="141" t="s">
        <v>222</v>
      </c>
      <c r="P666" s="141" t="s">
        <v>222</v>
      </c>
      <c r="Q666" s="141" t="s">
        <v>222</v>
      </c>
      <c r="R666" s="141" t="s">
        <v>222</v>
      </c>
      <c r="S666" s="141" t="s">
        <v>222</v>
      </c>
      <c r="T666" s="141" t="s">
        <v>222</v>
      </c>
      <c r="U666" s="141" t="s">
        <v>222</v>
      </c>
      <c r="V666" s="141" t="s">
        <v>222</v>
      </c>
      <c r="W666" s="141"/>
      <c r="X666" s="141"/>
      <c r="Y666" s="141"/>
      <c r="Z666" s="141"/>
    </row>
    <row r="667">
      <c r="A667" s="141"/>
      <c r="B667" s="141" t="s">
        <v>222</v>
      </c>
      <c r="C667" s="141" t="s">
        <v>222</v>
      </c>
      <c r="D667" s="141" t="s">
        <v>222</v>
      </c>
      <c r="E667" s="141" t="s">
        <v>222</v>
      </c>
      <c r="F667" s="141" t="s">
        <v>222</v>
      </c>
      <c r="G667" s="141" t="s">
        <v>222</v>
      </c>
      <c r="H667" s="141" t="s">
        <v>222</v>
      </c>
      <c r="I667" s="141" t="s">
        <v>222</v>
      </c>
      <c r="J667" s="141" t="s">
        <v>222</v>
      </c>
      <c r="K667" s="141" t="s">
        <v>222</v>
      </c>
      <c r="L667" s="141" t="s">
        <v>222</v>
      </c>
      <c r="M667" s="141" t="s">
        <v>222</v>
      </c>
      <c r="N667" s="141" t="s">
        <v>222</v>
      </c>
      <c r="O667" s="141" t="s">
        <v>222</v>
      </c>
      <c r="P667" s="141" t="s">
        <v>222</v>
      </c>
      <c r="Q667" s="141" t="s">
        <v>222</v>
      </c>
      <c r="R667" s="141" t="s">
        <v>222</v>
      </c>
      <c r="S667" s="141" t="s">
        <v>222</v>
      </c>
      <c r="T667" s="141" t="s">
        <v>222</v>
      </c>
      <c r="U667" s="141" t="s">
        <v>222</v>
      </c>
      <c r="V667" s="141" t="s">
        <v>222</v>
      </c>
      <c r="W667" s="141"/>
      <c r="X667" s="141"/>
      <c r="Y667" s="141"/>
      <c r="Z667" s="141"/>
    </row>
    <row r="668">
      <c r="A668" s="141"/>
      <c r="B668" s="141" t="s">
        <v>222</v>
      </c>
      <c r="C668" s="141" t="s">
        <v>222</v>
      </c>
      <c r="D668" s="141" t="s">
        <v>222</v>
      </c>
      <c r="E668" s="141" t="s">
        <v>222</v>
      </c>
      <c r="F668" s="141" t="s">
        <v>222</v>
      </c>
      <c r="G668" s="141" t="s">
        <v>222</v>
      </c>
      <c r="H668" s="141" t="s">
        <v>222</v>
      </c>
      <c r="I668" s="141" t="s">
        <v>222</v>
      </c>
      <c r="J668" s="141" t="s">
        <v>222</v>
      </c>
      <c r="K668" s="141" t="s">
        <v>222</v>
      </c>
      <c r="L668" s="141" t="s">
        <v>222</v>
      </c>
      <c r="M668" s="141" t="s">
        <v>222</v>
      </c>
      <c r="N668" s="141" t="s">
        <v>222</v>
      </c>
      <c r="O668" s="141" t="s">
        <v>222</v>
      </c>
      <c r="P668" s="141" t="s">
        <v>222</v>
      </c>
      <c r="Q668" s="141" t="s">
        <v>222</v>
      </c>
      <c r="R668" s="141" t="s">
        <v>222</v>
      </c>
      <c r="S668" s="141" t="s">
        <v>222</v>
      </c>
      <c r="T668" s="141" t="s">
        <v>222</v>
      </c>
      <c r="U668" s="141" t="s">
        <v>222</v>
      </c>
      <c r="V668" s="141" t="s">
        <v>222</v>
      </c>
      <c r="W668" s="141"/>
      <c r="X668" s="141"/>
      <c r="Y668" s="141"/>
      <c r="Z668" s="141"/>
    </row>
    <row r="669">
      <c r="A669" s="141"/>
      <c r="B669" s="141" t="s">
        <v>222</v>
      </c>
      <c r="C669" s="141" t="s">
        <v>222</v>
      </c>
      <c r="D669" s="141" t="s">
        <v>222</v>
      </c>
      <c r="E669" s="141" t="s">
        <v>222</v>
      </c>
      <c r="F669" s="141" t="s">
        <v>222</v>
      </c>
      <c r="G669" s="141" t="s">
        <v>222</v>
      </c>
      <c r="H669" s="141" t="s">
        <v>222</v>
      </c>
      <c r="I669" s="141" t="s">
        <v>222</v>
      </c>
      <c r="J669" s="141" t="s">
        <v>222</v>
      </c>
      <c r="K669" s="141" t="s">
        <v>222</v>
      </c>
      <c r="L669" s="141" t="s">
        <v>222</v>
      </c>
      <c r="M669" s="141" t="s">
        <v>222</v>
      </c>
      <c r="N669" s="141" t="s">
        <v>222</v>
      </c>
      <c r="O669" s="141" t="s">
        <v>222</v>
      </c>
      <c r="P669" s="141" t="s">
        <v>222</v>
      </c>
      <c r="Q669" s="141" t="s">
        <v>222</v>
      </c>
      <c r="R669" s="141" t="s">
        <v>222</v>
      </c>
      <c r="S669" s="141" t="s">
        <v>222</v>
      </c>
      <c r="T669" s="141" t="s">
        <v>222</v>
      </c>
      <c r="U669" s="141" t="s">
        <v>222</v>
      </c>
      <c r="V669" s="141" t="s">
        <v>222</v>
      </c>
      <c r="W669" s="141"/>
      <c r="X669" s="141"/>
      <c r="Y669" s="141"/>
      <c r="Z669" s="141"/>
    </row>
    <row r="670">
      <c r="A670" s="141"/>
      <c r="B670" s="141" t="s">
        <v>222</v>
      </c>
      <c r="C670" s="141" t="s">
        <v>222</v>
      </c>
      <c r="D670" s="141" t="s">
        <v>222</v>
      </c>
      <c r="E670" s="141" t="s">
        <v>222</v>
      </c>
      <c r="F670" s="141" t="s">
        <v>222</v>
      </c>
      <c r="G670" s="141" t="s">
        <v>222</v>
      </c>
      <c r="H670" s="141" t="s">
        <v>222</v>
      </c>
      <c r="I670" s="141" t="s">
        <v>222</v>
      </c>
      <c r="J670" s="141" t="s">
        <v>222</v>
      </c>
      <c r="K670" s="141" t="s">
        <v>222</v>
      </c>
      <c r="L670" s="141" t="s">
        <v>222</v>
      </c>
      <c r="M670" s="141" t="s">
        <v>222</v>
      </c>
      <c r="N670" s="141" t="s">
        <v>222</v>
      </c>
      <c r="O670" s="141" t="s">
        <v>222</v>
      </c>
      <c r="P670" s="141" t="s">
        <v>222</v>
      </c>
      <c r="Q670" s="141" t="s">
        <v>222</v>
      </c>
      <c r="R670" s="141" t="s">
        <v>222</v>
      </c>
      <c r="S670" s="141" t="s">
        <v>222</v>
      </c>
      <c r="T670" s="141" t="s">
        <v>222</v>
      </c>
      <c r="U670" s="141" t="s">
        <v>222</v>
      </c>
      <c r="V670" s="141" t="s">
        <v>222</v>
      </c>
      <c r="W670" s="141"/>
      <c r="X670" s="141"/>
      <c r="Y670" s="141"/>
      <c r="Z670" s="141"/>
    </row>
    <row r="671">
      <c r="A671" s="141"/>
      <c r="B671" s="141" t="s">
        <v>222</v>
      </c>
      <c r="C671" s="141" t="s">
        <v>222</v>
      </c>
      <c r="D671" s="141" t="s">
        <v>222</v>
      </c>
      <c r="E671" s="141" t="s">
        <v>222</v>
      </c>
      <c r="F671" s="141" t="s">
        <v>222</v>
      </c>
      <c r="G671" s="141" t="s">
        <v>222</v>
      </c>
      <c r="H671" s="141" t="s">
        <v>222</v>
      </c>
      <c r="I671" s="141" t="s">
        <v>222</v>
      </c>
      <c r="J671" s="141" t="s">
        <v>222</v>
      </c>
      <c r="K671" s="141" t="s">
        <v>222</v>
      </c>
      <c r="L671" s="141" t="s">
        <v>222</v>
      </c>
      <c r="M671" s="141" t="s">
        <v>222</v>
      </c>
      <c r="N671" s="141" t="s">
        <v>222</v>
      </c>
      <c r="O671" s="141" t="s">
        <v>222</v>
      </c>
      <c r="P671" s="141" t="s">
        <v>222</v>
      </c>
      <c r="Q671" s="141" t="s">
        <v>222</v>
      </c>
      <c r="R671" s="141" t="s">
        <v>222</v>
      </c>
      <c r="S671" s="141" t="s">
        <v>222</v>
      </c>
      <c r="T671" s="141" t="s">
        <v>222</v>
      </c>
      <c r="U671" s="141" t="s">
        <v>222</v>
      </c>
      <c r="V671" s="141" t="s">
        <v>222</v>
      </c>
      <c r="W671" s="141"/>
      <c r="X671" s="141"/>
      <c r="Y671" s="141"/>
      <c r="Z671" s="141"/>
    </row>
    <row r="672">
      <c r="A672" s="141"/>
      <c r="B672" s="141" t="s">
        <v>222</v>
      </c>
      <c r="C672" s="141" t="s">
        <v>222</v>
      </c>
      <c r="D672" s="141" t="s">
        <v>222</v>
      </c>
      <c r="E672" s="141" t="s">
        <v>222</v>
      </c>
      <c r="F672" s="141" t="s">
        <v>222</v>
      </c>
      <c r="G672" s="141" t="s">
        <v>222</v>
      </c>
      <c r="H672" s="141" t="s">
        <v>222</v>
      </c>
      <c r="I672" s="141" t="s">
        <v>222</v>
      </c>
      <c r="J672" s="141" t="s">
        <v>222</v>
      </c>
      <c r="K672" s="141" t="s">
        <v>222</v>
      </c>
      <c r="L672" s="141" t="s">
        <v>222</v>
      </c>
      <c r="M672" s="141" t="s">
        <v>222</v>
      </c>
      <c r="N672" s="141" t="s">
        <v>222</v>
      </c>
      <c r="O672" s="141" t="s">
        <v>222</v>
      </c>
      <c r="P672" s="141" t="s">
        <v>222</v>
      </c>
      <c r="Q672" s="141" t="s">
        <v>222</v>
      </c>
      <c r="R672" s="141" t="s">
        <v>222</v>
      </c>
      <c r="S672" s="141" t="s">
        <v>222</v>
      </c>
      <c r="T672" s="141" t="s">
        <v>222</v>
      </c>
      <c r="U672" s="141" t="s">
        <v>222</v>
      </c>
      <c r="V672" s="141" t="s">
        <v>222</v>
      </c>
      <c r="W672" s="141"/>
      <c r="X672" s="141"/>
      <c r="Y672" s="141"/>
      <c r="Z672" s="141"/>
    </row>
    <row r="673">
      <c r="A673" s="141"/>
      <c r="B673" s="141" t="s">
        <v>222</v>
      </c>
      <c r="C673" s="141" t="s">
        <v>222</v>
      </c>
      <c r="D673" s="141" t="s">
        <v>222</v>
      </c>
      <c r="E673" s="141" t="s">
        <v>222</v>
      </c>
      <c r="F673" s="141" t="s">
        <v>222</v>
      </c>
      <c r="G673" s="141" t="s">
        <v>222</v>
      </c>
      <c r="H673" s="141" t="s">
        <v>222</v>
      </c>
      <c r="I673" s="141" t="s">
        <v>222</v>
      </c>
      <c r="J673" s="141" t="s">
        <v>222</v>
      </c>
      <c r="K673" s="141" t="s">
        <v>222</v>
      </c>
      <c r="L673" s="141" t="s">
        <v>222</v>
      </c>
      <c r="M673" s="141" t="s">
        <v>222</v>
      </c>
      <c r="N673" s="141" t="s">
        <v>222</v>
      </c>
      <c r="O673" s="141" t="s">
        <v>222</v>
      </c>
      <c r="P673" s="141" t="s">
        <v>222</v>
      </c>
      <c r="Q673" s="141" t="s">
        <v>222</v>
      </c>
      <c r="R673" s="141" t="s">
        <v>222</v>
      </c>
      <c r="S673" s="141" t="s">
        <v>222</v>
      </c>
      <c r="T673" s="141" t="s">
        <v>222</v>
      </c>
      <c r="U673" s="141" t="s">
        <v>222</v>
      </c>
      <c r="V673" s="141" t="s">
        <v>222</v>
      </c>
      <c r="W673" s="141"/>
      <c r="X673" s="141"/>
      <c r="Y673" s="141"/>
      <c r="Z673" s="141"/>
    </row>
    <row r="674">
      <c r="A674" s="141"/>
      <c r="B674" s="141" t="s">
        <v>222</v>
      </c>
      <c r="C674" s="141" t="s">
        <v>222</v>
      </c>
      <c r="D674" s="141" t="s">
        <v>222</v>
      </c>
      <c r="E674" s="141" t="s">
        <v>222</v>
      </c>
      <c r="F674" s="141" t="s">
        <v>222</v>
      </c>
      <c r="G674" s="141" t="s">
        <v>222</v>
      </c>
      <c r="H674" s="141" t="s">
        <v>222</v>
      </c>
      <c r="I674" s="141" t="s">
        <v>222</v>
      </c>
      <c r="J674" s="141" t="s">
        <v>222</v>
      </c>
      <c r="K674" s="141" t="s">
        <v>222</v>
      </c>
      <c r="L674" s="141" t="s">
        <v>222</v>
      </c>
      <c r="M674" s="141" t="s">
        <v>222</v>
      </c>
      <c r="N674" s="141" t="s">
        <v>222</v>
      </c>
      <c r="O674" s="141" t="s">
        <v>222</v>
      </c>
      <c r="P674" s="141" t="s">
        <v>222</v>
      </c>
      <c r="Q674" s="141" t="s">
        <v>222</v>
      </c>
      <c r="R674" s="141" t="s">
        <v>222</v>
      </c>
      <c r="S674" s="141" t="s">
        <v>222</v>
      </c>
      <c r="T674" s="141" t="s">
        <v>222</v>
      </c>
      <c r="U674" s="141" t="s">
        <v>222</v>
      </c>
      <c r="V674" s="141" t="s">
        <v>222</v>
      </c>
      <c r="W674" s="141"/>
      <c r="X674" s="141"/>
      <c r="Y674" s="141"/>
      <c r="Z674" s="141"/>
    </row>
    <row r="675">
      <c r="A675" s="141"/>
      <c r="B675" s="141" t="s">
        <v>222</v>
      </c>
      <c r="C675" s="141" t="s">
        <v>222</v>
      </c>
      <c r="D675" s="141" t="s">
        <v>222</v>
      </c>
      <c r="E675" s="141" t="s">
        <v>222</v>
      </c>
      <c r="F675" s="141" t="s">
        <v>222</v>
      </c>
      <c r="G675" s="141" t="s">
        <v>222</v>
      </c>
      <c r="H675" s="141" t="s">
        <v>222</v>
      </c>
      <c r="I675" s="141" t="s">
        <v>222</v>
      </c>
      <c r="J675" s="141" t="s">
        <v>222</v>
      </c>
      <c r="K675" s="141" t="s">
        <v>222</v>
      </c>
      <c r="L675" s="141" t="s">
        <v>222</v>
      </c>
      <c r="M675" s="141" t="s">
        <v>222</v>
      </c>
      <c r="N675" s="141" t="s">
        <v>222</v>
      </c>
      <c r="O675" s="141" t="s">
        <v>222</v>
      </c>
      <c r="P675" s="141" t="s">
        <v>222</v>
      </c>
      <c r="Q675" s="141" t="s">
        <v>222</v>
      </c>
      <c r="R675" s="141" t="s">
        <v>222</v>
      </c>
      <c r="S675" s="141" t="s">
        <v>222</v>
      </c>
      <c r="T675" s="141" t="s">
        <v>222</v>
      </c>
      <c r="U675" s="141" t="s">
        <v>222</v>
      </c>
      <c r="V675" s="141" t="s">
        <v>222</v>
      </c>
      <c r="W675" s="141"/>
      <c r="X675" s="141"/>
      <c r="Y675" s="141"/>
      <c r="Z675" s="141"/>
    </row>
    <row r="676">
      <c r="A676" s="141"/>
      <c r="B676" s="141" t="s">
        <v>222</v>
      </c>
      <c r="C676" s="141" t="s">
        <v>222</v>
      </c>
      <c r="D676" s="141" t="s">
        <v>222</v>
      </c>
      <c r="E676" s="141" t="s">
        <v>222</v>
      </c>
      <c r="F676" s="141" t="s">
        <v>222</v>
      </c>
      <c r="G676" s="141" t="s">
        <v>222</v>
      </c>
      <c r="H676" s="141" t="s">
        <v>222</v>
      </c>
      <c r="I676" s="141" t="s">
        <v>222</v>
      </c>
      <c r="J676" s="141" t="s">
        <v>222</v>
      </c>
      <c r="K676" s="141" t="s">
        <v>222</v>
      </c>
      <c r="L676" s="141" t="s">
        <v>222</v>
      </c>
      <c r="M676" s="141" t="s">
        <v>222</v>
      </c>
      <c r="N676" s="141" t="s">
        <v>222</v>
      </c>
      <c r="O676" s="141" t="s">
        <v>222</v>
      </c>
      <c r="P676" s="141" t="s">
        <v>222</v>
      </c>
      <c r="Q676" s="141" t="s">
        <v>222</v>
      </c>
      <c r="R676" s="141" t="s">
        <v>222</v>
      </c>
      <c r="S676" s="141" t="s">
        <v>222</v>
      </c>
      <c r="T676" s="141" t="s">
        <v>222</v>
      </c>
      <c r="U676" s="141" t="s">
        <v>222</v>
      </c>
      <c r="V676" s="141" t="s">
        <v>222</v>
      </c>
      <c r="W676" s="141"/>
      <c r="X676" s="141"/>
      <c r="Y676" s="141"/>
      <c r="Z676" s="141"/>
    </row>
    <row r="677">
      <c r="A677" s="141"/>
      <c r="B677" s="141" t="s">
        <v>222</v>
      </c>
      <c r="C677" s="141" t="s">
        <v>222</v>
      </c>
      <c r="D677" s="141" t="s">
        <v>222</v>
      </c>
      <c r="E677" s="141" t="s">
        <v>222</v>
      </c>
      <c r="F677" s="141" t="s">
        <v>222</v>
      </c>
      <c r="G677" s="141" t="s">
        <v>222</v>
      </c>
      <c r="H677" s="141" t="s">
        <v>222</v>
      </c>
      <c r="I677" s="141" t="s">
        <v>222</v>
      </c>
      <c r="J677" s="141" t="s">
        <v>222</v>
      </c>
      <c r="K677" s="141" t="s">
        <v>222</v>
      </c>
      <c r="L677" s="141" t="s">
        <v>222</v>
      </c>
      <c r="M677" s="141" t="s">
        <v>222</v>
      </c>
      <c r="N677" s="141" t="s">
        <v>222</v>
      </c>
      <c r="O677" s="141" t="s">
        <v>222</v>
      </c>
      <c r="P677" s="141" t="s">
        <v>222</v>
      </c>
      <c r="Q677" s="141" t="s">
        <v>222</v>
      </c>
      <c r="R677" s="141" t="s">
        <v>222</v>
      </c>
      <c r="S677" s="141" t="s">
        <v>222</v>
      </c>
      <c r="T677" s="141" t="s">
        <v>222</v>
      </c>
      <c r="U677" s="141" t="s">
        <v>222</v>
      </c>
      <c r="V677" s="141" t="s">
        <v>222</v>
      </c>
      <c r="W677" s="141"/>
      <c r="X677" s="141"/>
      <c r="Y677" s="141"/>
      <c r="Z677" s="141"/>
    </row>
    <row r="678">
      <c r="A678" s="141"/>
      <c r="B678" s="141" t="s">
        <v>222</v>
      </c>
      <c r="C678" s="141" t="s">
        <v>222</v>
      </c>
      <c r="D678" s="141" t="s">
        <v>222</v>
      </c>
      <c r="E678" s="141" t="s">
        <v>222</v>
      </c>
      <c r="F678" s="141" t="s">
        <v>222</v>
      </c>
      <c r="G678" s="141" t="s">
        <v>222</v>
      </c>
      <c r="H678" s="141" t="s">
        <v>222</v>
      </c>
      <c r="I678" s="141" t="s">
        <v>222</v>
      </c>
      <c r="J678" s="141" t="s">
        <v>222</v>
      </c>
      <c r="K678" s="141" t="s">
        <v>222</v>
      </c>
      <c r="L678" s="141" t="s">
        <v>222</v>
      </c>
      <c r="M678" s="141" t="s">
        <v>222</v>
      </c>
      <c r="N678" s="141" t="s">
        <v>222</v>
      </c>
      <c r="O678" s="141" t="s">
        <v>222</v>
      </c>
      <c r="P678" s="141" t="s">
        <v>222</v>
      </c>
      <c r="Q678" s="141" t="s">
        <v>222</v>
      </c>
      <c r="R678" s="141" t="s">
        <v>222</v>
      </c>
      <c r="S678" s="141" t="s">
        <v>222</v>
      </c>
      <c r="T678" s="141" t="s">
        <v>222</v>
      </c>
      <c r="U678" s="141" t="s">
        <v>222</v>
      </c>
      <c r="V678" s="141" t="s">
        <v>222</v>
      </c>
      <c r="W678" s="141"/>
      <c r="X678" s="141"/>
      <c r="Y678" s="141"/>
      <c r="Z678" s="141"/>
    </row>
    <row r="679">
      <c r="A679" s="141"/>
      <c r="B679" s="141" t="s">
        <v>222</v>
      </c>
      <c r="C679" s="141" t="s">
        <v>222</v>
      </c>
      <c r="D679" s="141" t="s">
        <v>222</v>
      </c>
      <c r="E679" s="141" t="s">
        <v>222</v>
      </c>
      <c r="F679" s="141" t="s">
        <v>222</v>
      </c>
      <c r="G679" s="141" t="s">
        <v>222</v>
      </c>
      <c r="H679" s="141" t="s">
        <v>222</v>
      </c>
      <c r="I679" s="141" t="s">
        <v>222</v>
      </c>
      <c r="J679" s="141" t="s">
        <v>222</v>
      </c>
      <c r="K679" s="141" t="s">
        <v>222</v>
      </c>
      <c r="L679" s="141" t="s">
        <v>222</v>
      </c>
      <c r="M679" s="141" t="s">
        <v>222</v>
      </c>
      <c r="N679" s="141" t="s">
        <v>222</v>
      </c>
      <c r="O679" s="141" t="s">
        <v>222</v>
      </c>
      <c r="P679" s="141" t="s">
        <v>222</v>
      </c>
      <c r="Q679" s="141" t="s">
        <v>222</v>
      </c>
      <c r="R679" s="141" t="s">
        <v>222</v>
      </c>
      <c r="S679" s="141" t="s">
        <v>222</v>
      </c>
      <c r="T679" s="141" t="s">
        <v>222</v>
      </c>
      <c r="U679" s="141" t="s">
        <v>222</v>
      </c>
      <c r="V679" s="141" t="s">
        <v>222</v>
      </c>
      <c r="W679" s="141"/>
      <c r="X679" s="141"/>
      <c r="Y679" s="141"/>
      <c r="Z679" s="141"/>
    </row>
    <row r="680">
      <c r="A680" s="141"/>
      <c r="B680" s="141" t="s">
        <v>222</v>
      </c>
      <c r="C680" s="141" t="s">
        <v>222</v>
      </c>
      <c r="D680" s="141" t="s">
        <v>222</v>
      </c>
      <c r="E680" s="141" t="s">
        <v>222</v>
      </c>
      <c r="F680" s="141" t="s">
        <v>222</v>
      </c>
      <c r="G680" s="141" t="s">
        <v>222</v>
      </c>
      <c r="H680" s="141" t="s">
        <v>222</v>
      </c>
      <c r="I680" s="141" t="s">
        <v>222</v>
      </c>
      <c r="J680" s="141" t="s">
        <v>222</v>
      </c>
      <c r="K680" s="141" t="s">
        <v>222</v>
      </c>
      <c r="L680" s="141" t="s">
        <v>222</v>
      </c>
      <c r="M680" s="141" t="s">
        <v>222</v>
      </c>
      <c r="N680" s="141" t="s">
        <v>222</v>
      </c>
      <c r="O680" s="141" t="s">
        <v>222</v>
      </c>
      <c r="P680" s="141" t="s">
        <v>222</v>
      </c>
      <c r="Q680" s="141" t="s">
        <v>222</v>
      </c>
      <c r="R680" s="141" t="s">
        <v>222</v>
      </c>
      <c r="S680" s="141" t="s">
        <v>222</v>
      </c>
      <c r="T680" s="141" t="s">
        <v>222</v>
      </c>
      <c r="U680" s="141" t="s">
        <v>222</v>
      </c>
      <c r="V680" s="141" t="s">
        <v>222</v>
      </c>
      <c r="W680" s="141"/>
      <c r="X680" s="141"/>
      <c r="Y680" s="141"/>
      <c r="Z680" s="141"/>
    </row>
    <row r="681">
      <c r="A681" s="141"/>
      <c r="B681" s="141" t="s">
        <v>222</v>
      </c>
      <c r="C681" s="141" t="s">
        <v>222</v>
      </c>
      <c r="D681" s="141" t="s">
        <v>222</v>
      </c>
      <c r="E681" s="141" t="s">
        <v>222</v>
      </c>
      <c r="F681" s="141" t="s">
        <v>222</v>
      </c>
      <c r="G681" s="141" t="s">
        <v>222</v>
      </c>
      <c r="H681" s="141" t="s">
        <v>222</v>
      </c>
      <c r="I681" s="141" t="s">
        <v>222</v>
      </c>
      <c r="J681" s="141" t="s">
        <v>222</v>
      </c>
      <c r="K681" s="141" t="s">
        <v>222</v>
      </c>
      <c r="L681" s="141" t="s">
        <v>222</v>
      </c>
      <c r="M681" s="141" t="s">
        <v>222</v>
      </c>
      <c r="N681" s="141" t="s">
        <v>222</v>
      </c>
      <c r="O681" s="141" t="s">
        <v>222</v>
      </c>
      <c r="P681" s="141" t="s">
        <v>222</v>
      </c>
      <c r="Q681" s="141" t="s">
        <v>222</v>
      </c>
      <c r="R681" s="141" t="s">
        <v>222</v>
      </c>
      <c r="S681" s="141" t="s">
        <v>222</v>
      </c>
      <c r="T681" s="141" t="s">
        <v>222</v>
      </c>
      <c r="U681" s="141" t="s">
        <v>222</v>
      </c>
      <c r="V681" s="141" t="s">
        <v>222</v>
      </c>
      <c r="W681" s="141"/>
      <c r="X681" s="141"/>
      <c r="Y681" s="141"/>
      <c r="Z681" s="141"/>
    </row>
    <row r="682">
      <c r="A682" s="141"/>
      <c r="B682" s="141" t="s">
        <v>222</v>
      </c>
      <c r="C682" s="141" t="s">
        <v>222</v>
      </c>
      <c r="D682" s="141" t="s">
        <v>222</v>
      </c>
      <c r="E682" s="141" t="s">
        <v>222</v>
      </c>
      <c r="F682" s="141" t="s">
        <v>222</v>
      </c>
      <c r="G682" s="141" t="s">
        <v>222</v>
      </c>
      <c r="H682" s="141" t="s">
        <v>222</v>
      </c>
      <c r="I682" s="141" t="s">
        <v>222</v>
      </c>
      <c r="J682" s="141" t="s">
        <v>222</v>
      </c>
      <c r="K682" s="141" t="s">
        <v>222</v>
      </c>
      <c r="L682" s="141" t="s">
        <v>222</v>
      </c>
      <c r="M682" s="141" t="s">
        <v>222</v>
      </c>
      <c r="N682" s="141" t="s">
        <v>222</v>
      </c>
      <c r="O682" s="141" t="s">
        <v>222</v>
      </c>
      <c r="P682" s="141" t="s">
        <v>222</v>
      </c>
      <c r="Q682" s="141" t="s">
        <v>222</v>
      </c>
      <c r="R682" s="141" t="s">
        <v>222</v>
      </c>
      <c r="S682" s="141" t="s">
        <v>222</v>
      </c>
      <c r="T682" s="141" t="s">
        <v>222</v>
      </c>
      <c r="U682" s="141" t="s">
        <v>222</v>
      </c>
      <c r="V682" s="141" t="s">
        <v>222</v>
      </c>
      <c r="W682" s="141"/>
      <c r="X682" s="141"/>
      <c r="Y682" s="141"/>
      <c r="Z682" s="141"/>
    </row>
    <row r="683">
      <c r="A683" s="141"/>
      <c r="B683" s="141" t="s">
        <v>222</v>
      </c>
      <c r="C683" s="141" t="s">
        <v>222</v>
      </c>
      <c r="D683" s="141" t="s">
        <v>222</v>
      </c>
      <c r="E683" s="141" t="s">
        <v>222</v>
      </c>
      <c r="F683" s="141" t="s">
        <v>222</v>
      </c>
      <c r="G683" s="141" t="s">
        <v>222</v>
      </c>
      <c r="H683" s="141" t="s">
        <v>222</v>
      </c>
      <c r="I683" s="141" t="s">
        <v>222</v>
      </c>
      <c r="J683" s="141" t="s">
        <v>222</v>
      </c>
      <c r="K683" s="141" t="s">
        <v>222</v>
      </c>
      <c r="L683" s="141" t="s">
        <v>222</v>
      </c>
      <c r="M683" s="141" t="s">
        <v>222</v>
      </c>
      <c r="N683" s="141" t="s">
        <v>222</v>
      </c>
      <c r="O683" s="141" t="s">
        <v>222</v>
      </c>
      <c r="P683" s="141" t="s">
        <v>222</v>
      </c>
      <c r="Q683" s="141" t="s">
        <v>222</v>
      </c>
      <c r="R683" s="141" t="s">
        <v>222</v>
      </c>
      <c r="S683" s="141" t="s">
        <v>222</v>
      </c>
      <c r="T683" s="141" t="s">
        <v>222</v>
      </c>
      <c r="U683" s="141" t="s">
        <v>222</v>
      </c>
      <c r="V683" s="141" t="s">
        <v>222</v>
      </c>
      <c r="W683" s="141"/>
      <c r="X683" s="141"/>
      <c r="Y683" s="141"/>
      <c r="Z683" s="141"/>
    </row>
    <row r="684">
      <c r="A684" s="141"/>
      <c r="B684" s="141" t="s">
        <v>222</v>
      </c>
      <c r="C684" s="141" t="s">
        <v>222</v>
      </c>
      <c r="D684" s="141" t="s">
        <v>222</v>
      </c>
      <c r="E684" s="141" t="s">
        <v>222</v>
      </c>
      <c r="F684" s="141" t="s">
        <v>222</v>
      </c>
      <c r="G684" s="141" t="s">
        <v>222</v>
      </c>
      <c r="H684" s="141" t="s">
        <v>222</v>
      </c>
      <c r="I684" s="141" t="s">
        <v>222</v>
      </c>
      <c r="J684" s="141" t="s">
        <v>222</v>
      </c>
      <c r="K684" s="141" t="s">
        <v>222</v>
      </c>
      <c r="L684" s="141" t="s">
        <v>222</v>
      </c>
      <c r="M684" s="141" t="s">
        <v>222</v>
      </c>
      <c r="N684" s="141" t="s">
        <v>222</v>
      </c>
      <c r="O684" s="141" t="s">
        <v>222</v>
      </c>
      <c r="P684" s="141" t="s">
        <v>222</v>
      </c>
      <c r="Q684" s="141" t="s">
        <v>222</v>
      </c>
      <c r="R684" s="141" t="s">
        <v>222</v>
      </c>
      <c r="S684" s="141" t="s">
        <v>222</v>
      </c>
      <c r="T684" s="141" t="s">
        <v>222</v>
      </c>
      <c r="U684" s="141" t="s">
        <v>222</v>
      </c>
      <c r="V684" s="141" t="s">
        <v>222</v>
      </c>
      <c r="W684" s="141"/>
      <c r="X684" s="141"/>
      <c r="Y684" s="141"/>
      <c r="Z684" s="141"/>
    </row>
    <row r="685">
      <c r="A685" s="141"/>
      <c r="B685" s="141" t="s">
        <v>222</v>
      </c>
      <c r="C685" s="141" t="s">
        <v>222</v>
      </c>
      <c r="D685" s="141" t="s">
        <v>222</v>
      </c>
      <c r="E685" s="141" t="s">
        <v>222</v>
      </c>
      <c r="F685" s="141" t="s">
        <v>222</v>
      </c>
      <c r="G685" s="141" t="s">
        <v>222</v>
      </c>
      <c r="H685" s="141" t="s">
        <v>222</v>
      </c>
      <c r="I685" s="141" t="s">
        <v>222</v>
      </c>
      <c r="J685" s="141" t="s">
        <v>222</v>
      </c>
      <c r="K685" s="141" t="s">
        <v>222</v>
      </c>
      <c r="L685" s="141" t="s">
        <v>222</v>
      </c>
      <c r="M685" s="141" t="s">
        <v>222</v>
      </c>
      <c r="N685" s="141" t="s">
        <v>222</v>
      </c>
      <c r="O685" s="141" t="s">
        <v>222</v>
      </c>
      <c r="P685" s="141" t="s">
        <v>222</v>
      </c>
      <c r="Q685" s="141" t="s">
        <v>222</v>
      </c>
      <c r="R685" s="141" t="s">
        <v>222</v>
      </c>
      <c r="S685" s="141" t="s">
        <v>222</v>
      </c>
      <c r="T685" s="141" t="s">
        <v>222</v>
      </c>
      <c r="U685" s="141" t="s">
        <v>222</v>
      </c>
      <c r="V685" s="141" t="s">
        <v>222</v>
      </c>
      <c r="W685" s="141"/>
      <c r="X685" s="141"/>
      <c r="Y685" s="141"/>
      <c r="Z685" s="141"/>
    </row>
    <row r="686">
      <c r="A686" s="141"/>
      <c r="B686" s="141" t="s">
        <v>222</v>
      </c>
      <c r="C686" s="141" t="s">
        <v>222</v>
      </c>
      <c r="D686" s="141" t="s">
        <v>222</v>
      </c>
      <c r="E686" s="141" t="s">
        <v>222</v>
      </c>
      <c r="F686" s="141" t="s">
        <v>222</v>
      </c>
      <c r="G686" s="141" t="s">
        <v>222</v>
      </c>
      <c r="H686" s="141" t="s">
        <v>222</v>
      </c>
      <c r="I686" s="141" t="s">
        <v>222</v>
      </c>
      <c r="J686" s="141" t="s">
        <v>222</v>
      </c>
      <c r="K686" s="141" t="s">
        <v>222</v>
      </c>
      <c r="L686" s="141" t="s">
        <v>222</v>
      </c>
      <c r="M686" s="141" t="s">
        <v>222</v>
      </c>
      <c r="N686" s="141" t="s">
        <v>222</v>
      </c>
      <c r="O686" s="141" t="s">
        <v>222</v>
      </c>
      <c r="P686" s="141" t="s">
        <v>222</v>
      </c>
      <c r="Q686" s="141" t="s">
        <v>222</v>
      </c>
      <c r="R686" s="141" t="s">
        <v>222</v>
      </c>
      <c r="S686" s="141" t="s">
        <v>222</v>
      </c>
      <c r="T686" s="141" t="s">
        <v>222</v>
      </c>
      <c r="U686" s="141" t="s">
        <v>222</v>
      </c>
      <c r="V686" s="141" t="s">
        <v>222</v>
      </c>
      <c r="W686" s="141"/>
      <c r="X686" s="141"/>
      <c r="Y686" s="141"/>
      <c r="Z686" s="141"/>
    </row>
    <row r="687">
      <c r="A687" s="141"/>
      <c r="B687" s="141" t="s">
        <v>222</v>
      </c>
      <c r="C687" s="141" t="s">
        <v>222</v>
      </c>
      <c r="D687" s="141" t="s">
        <v>222</v>
      </c>
      <c r="E687" s="141" t="s">
        <v>222</v>
      </c>
      <c r="F687" s="141" t="s">
        <v>222</v>
      </c>
      <c r="G687" s="141" t="s">
        <v>222</v>
      </c>
      <c r="H687" s="141" t="s">
        <v>222</v>
      </c>
      <c r="I687" s="141" t="s">
        <v>222</v>
      </c>
      <c r="J687" s="141" t="s">
        <v>222</v>
      </c>
      <c r="K687" s="141" t="s">
        <v>222</v>
      </c>
      <c r="L687" s="141" t="s">
        <v>222</v>
      </c>
      <c r="M687" s="141" t="s">
        <v>222</v>
      </c>
      <c r="N687" s="141" t="s">
        <v>222</v>
      </c>
      <c r="O687" s="141" t="s">
        <v>222</v>
      </c>
      <c r="P687" s="141" t="s">
        <v>222</v>
      </c>
      <c r="Q687" s="141" t="s">
        <v>222</v>
      </c>
      <c r="R687" s="141" t="s">
        <v>222</v>
      </c>
      <c r="S687" s="141" t="s">
        <v>222</v>
      </c>
      <c r="T687" s="141" t="s">
        <v>222</v>
      </c>
      <c r="U687" s="141" t="s">
        <v>222</v>
      </c>
      <c r="V687" s="141" t="s">
        <v>222</v>
      </c>
      <c r="W687" s="141"/>
      <c r="X687" s="141"/>
      <c r="Y687" s="141"/>
      <c r="Z687" s="141"/>
    </row>
    <row r="688">
      <c r="A688" s="141"/>
      <c r="B688" s="141" t="s">
        <v>222</v>
      </c>
      <c r="C688" s="141" t="s">
        <v>222</v>
      </c>
      <c r="D688" s="141" t="s">
        <v>222</v>
      </c>
      <c r="E688" s="141" t="s">
        <v>222</v>
      </c>
      <c r="F688" s="141" t="s">
        <v>222</v>
      </c>
      <c r="G688" s="141" t="s">
        <v>222</v>
      </c>
      <c r="H688" s="141" t="s">
        <v>222</v>
      </c>
      <c r="I688" s="141" t="s">
        <v>222</v>
      </c>
      <c r="J688" s="141" t="s">
        <v>222</v>
      </c>
      <c r="K688" s="141" t="s">
        <v>222</v>
      </c>
      <c r="L688" s="141" t="s">
        <v>222</v>
      </c>
      <c r="M688" s="141" t="s">
        <v>222</v>
      </c>
      <c r="N688" s="141" t="s">
        <v>222</v>
      </c>
      <c r="O688" s="141" t="s">
        <v>222</v>
      </c>
      <c r="P688" s="141" t="s">
        <v>222</v>
      </c>
      <c r="Q688" s="141" t="s">
        <v>222</v>
      </c>
      <c r="R688" s="141" t="s">
        <v>222</v>
      </c>
      <c r="S688" s="141" t="s">
        <v>222</v>
      </c>
      <c r="T688" s="141" t="s">
        <v>222</v>
      </c>
      <c r="U688" s="141" t="s">
        <v>222</v>
      </c>
      <c r="V688" s="141" t="s">
        <v>222</v>
      </c>
      <c r="W688" s="141"/>
      <c r="X688" s="141"/>
      <c r="Y688" s="141"/>
      <c r="Z688" s="141"/>
    </row>
    <row r="689">
      <c r="A689" s="141"/>
      <c r="B689" s="141" t="s">
        <v>222</v>
      </c>
      <c r="C689" s="141" t="s">
        <v>222</v>
      </c>
      <c r="D689" s="141" t="s">
        <v>222</v>
      </c>
      <c r="E689" s="141" t="s">
        <v>222</v>
      </c>
      <c r="F689" s="141" t="s">
        <v>222</v>
      </c>
      <c r="G689" s="141" t="s">
        <v>222</v>
      </c>
      <c r="H689" s="141" t="s">
        <v>222</v>
      </c>
      <c r="I689" s="141" t="s">
        <v>222</v>
      </c>
      <c r="J689" s="141" t="s">
        <v>222</v>
      </c>
      <c r="K689" s="141" t="s">
        <v>222</v>
      </c>
      <c r="L689" s="141" t="s">
        <v>222</v>
      </c>
      <c r="M689" s="141" t="s">
        <v>222</v>
      </c>
      <c r="N689" s="141" t="s">
        <v>222</v>
      </c>
      <c r="O689" s="141" t="s">
        <v>222</v>
      </c>
      <c r="P689" s="141" t="s">
        <v>222</v>
      </c>
      <c r="Q689" s="141" t="s">
        <v>222</v>
      </c>
      <c r="R689" s="141" t="s">
        <v>222</v>
      </c>
      <c r="S689" s="141" t="s">
        <v>222</v>
      </c>
      <c r="T689" s="141" t="s">
        <v>222</v>
      </c>
      <c r="U689" s="141" t="s">
        <v>222</v>
      </c>
      <c r="V689" s="141" t="s">
        <v>222</v>
      </c>
      <c r="W689" s="141"/>
      <c r="X689" s="141"/>
      <c r="Y689" s="141"/>
      <c r="Z689" s="141"/>
    </row>
    <row r="690">
      <c r="A690" s="141"/>
      <c r="B690" s="141" t="s">
        <v>222</v>
      </c>
      <c r="C690" s="141" t="s">
        <v>222</v>
      </c>
      <c r="D690" s="141" t="s">
        <v>222</v>
      </c>
      <c r="E690" s="141" t="s">
        <v>222</v>
      </c>
      <c r="F690" s="141" t="s">
        <v>222</v>
      </c>
      <c r="G690" s="141" t="s">
        <v>222</v>
      </c>
      <c r="H690" s="141" t="s">
        <v>222</v>
      </c>
      <c r="I690" s="141" t="s">
        <v>222</v>
      </c>
      <c r="J690" s="141" t="s">
        <v>222</v>
      </c>
      <c r="K690" s="141" t="s">
        <v>222</v>
      </c>
      <c r="L690" s="141" t="s">
        <v>222</v>
      </c>
      <c r="M690" s="141" t="s">
        <v>222</v>
      </c>
      <c r="N690" s="141" t="s">
        <v>222</v>
      </c>
      <c r="O690" s="141" t="s">
        <v>222</v>
      </c>
      <c r="P690" s="141" t="s">
        <v>222</v>
      </c>
      <c r="Q690" s="141" t="s">
        <v>222</v>
      </c>
      <c r="R690" s="141" t="s">
        <v>222</v>
      </c>
      <c r="S690" s="141" t="s">
        <v>222</v>
      </c>
      <c r="T690" s="141" t="s">
        <v>222</v>
      </c>
      <c r="U690" s="141" t="s">
        <v>222</v>
      </c>
      <c r="V690" s="141" t="s">
        <v>222</v>
      </c>
      <c r="W690" s="141"/>
      <c r="X690" s="141"/>
      <c r="Y690" s="141"/>
      <c r="Z690" s="141"/>
    </row>
    <row r="691">
      <c r="A691" s="141"/>
      <c r="B691" s="141" t="s">
        <v>222</v>
      </c>
      <c r="C691" s="141" t="s">
        <v>222</v>
      </c>
      <c r="D691" s="141" t="s">
        <v>222</v>
      </c>
      <c r="E691" s="141" t="s">
        <v>222</v>
      </c>
      <c r="F691" s="141" t="s">
        <v>222</v>
      </c>
      <c r="G691" s="141" t="s">
        <v>222</v>
      </c>
      <c r="H691" s="141" t="s">
        <v>222</v>
      </c>
      <c r="I691" s="141" t="s">
        <v>222</v>
      </c>
      <c r="J691" s="141" t="s">
        <v>222</v>
      </c>
      <c r="K691" s="141" t="s">
        <v>222</v>
      </c>
      <c r="L691" s="141" t="s">
        <v>222</v>
      </c>
      <c r="M691" s="141" t="s">
        <v>222</v>
      </c>
      <c r="N691" s="141" t="s">
        <v>222</v>
      </c>
      <c r="O691" s="141" t="s">
        <v>222</v>
      </c>
      <c r="P691" s="141" t="s">
        <v>222</v>
      </c>
      <c r="Q691" s="141" t="s">
        <v>222</v>
      </c>
      <c r="R691" s="141" t="s">
        <v>222</v>
      </c>
      <c r="S691" s="141" t="s">
        <v>222</v>
      </c>
      <c r="T691" s="141" t="s">
        <v>222</v>
      </c>
      <c r="U691" s="141" t="s">
        <v>222</v>
      </c>
      <c r="V691" s="141" t="s">
        <v>222</v>
      </c>
      <c r="W691" s="141"/>
      <c r="X691" s="141"/>
      <c r="Y691" s="141"/>
      <c r="Z691" s="141"/>
    </row>
    <row r="692">
      <c r="A692" s="141"/>
      <c r="B692" s="141" t="s">
        <v>222</v>
      </c>
      <c r="C692" s="141" t="s">
        <v>222</v>
      </c>
      <c r="D692" s="141" t="s">
        <v>222</v>
      </c>
      <c r="E692" s="141" t="s">
        <v>222</v>
      </c>
      <c r="F692" s="141" t="s">
        <v>222</v>
      </c>
      <c r="G692" s="141" t="s">
        <v>222</v>
      </c>
      <c r="H692" s="141" t="s">
        <v>222</v>
      </c>
      <c r="I692" s="141" t="s">
        <v>222</v>
      </c>
      <c r="J692" s="141" t="s">
        <v>222</v>
      </c>
      <c r="K692" s="141" t="s">
        <v>222</v>
      </c>
      <c r="L692" s="141" t="s">
        <v>222</v>
      </c>
      <c r="M692" s="141" t="s">
        <v>222</v>
      </c>
      <c r="N692" s="141" t="s">
        <v>222</v>
      </c>
      <c r="O692" s="141" t="s">
        <v>222</v>
      </c>
      <c r="P692" s="141" t="s">
        <v>222</v>
      </c>
      <c r="Q692" s="141" t="s">
        <v>222</v>
      </c>
      <c r="R692" s="141" t="s">
        <v>222</v>
      </c>
      <c r="S692" s="141" t="s">
        <v>222</v>
      </c>
      <c r="T692" s="141" t="s">
        <v>222</v>
      </c>
      <c r="U692" s="141" t="s">
        <v>222</v>
      </c>
      <c r="V692" s="141" t="s">
        <v>222</v>
      </c>
      <c r="W692" s="141"/>
      <c r="X692" s="141"/>
      <c r="Y692" s="141"/>
      <c r="Z692" s="141"/>
    </row>
    <row r="693">
      <c r="A693" s="141"/>
      <c r="B693" s="141" t="s">
        <v>222</v>
      </c>
      <c r="C693" s="141" t="s">
        <v>222</v>
      </c>
      <c r="D693" s="141" t="s">
        <v>222</v>
      </c>
      <c r="E693" s="141" t="s">
        <v>222</v>
      </c>
      <c r="F693" s="141" t="s">
        <v>222</v>
      </c>
      <c r="G693" s="141" t="s">
        <v>222</v>
      </c>
      <c r="H693" s="141" t="s">
        <v>222</v>
      </c>
      <c r="I693" s="141" t="s">
        <v>222</v>
      </c>
      <c r="J693" s="141" t="s">
        <v>222</v>
      </c>
      <c r="K693" s="141" t="s">
        <v>222</v>
      </c>
      <c r="L693" s="141" t="s">
        <v>222</v>
      </c>
      <c r="M693" s="141" t="s">
        <v>222</v>
      </c>
      <c r="N693" s="141" t="s">
        <v>222</v>
      </c>
      <c r="O693" s="141" t="s">
        <v>222</v>
      </c>
      <c r="P693" s="141" t="s">
        <v>222</v>
      </c>
      <c r="Q693" s="141" t="s">
        <v>222</v>
      </c>
      <c r="R693" s="141" t="s">
        <v>222</v>
      </c>
      <c r="S693" s="141" t="s">
        <v>222</v>
      </c>
      <c r="T693" s="141" t="s">
        <v>222</v>
      </c>
      <c r="U693" s="141" t="s">
        <v>222</v>
      </c>
      <c r="V693" s="141" t="s">
        <v>222</v>
      </c>
      <c r="W693" s="141"/>
      <c r="X693" s="141"/>
      <c r="Y693" s="141"/>
      <c r="Z693" s="141"/>
    </row>
    <row r="694">
      <c r="A694" s="141"/>
      <c r="B694" s="141" t="s">
        <v>222</v>
      </c>
      <c r="C694" s="141" t="s">
        <v>222</v>
      </c>
      <c r="D694" s="141" t="s">
        <v>222</v>
      </c>
      <c r="E694" s="141" t="s">
        <v>222</v>
      </c>
      <c r="F694" s="141" t="s">
        <v>222</v>
      </c>
      <c r="G694" s="141" t="s">
        <v>222</v>
      </c>
      <c r="H694" s="141" t="s">
        <v>222</v>
      </c>
      <c r="I694" s="141" t="s">
        <v>222</v>
      </c>
      <c r="J694" s="141" t="s">
        <v>222</v>
      </c>
      <c r="K694" s="141" t="s">
        <v>222</v>
      </c>
      <c r="L694" s="141" t="s">
        <v>222</v>
      </c>
      <c r="M694" s="141" t="s">
        <v>222</v>
      </c>
      <c r="N694" s="141" t="s">
        <v>222</v>
      </c>
      <c r="O694" s="141" t="s">
        <v>222</v>
      </c>
      <c r="P694" s="141" t="s">
        <v>222</v>
      </c>
      <c r="Q694" s="141" t="s">
        <v>222</v>
      </c>
      <c r="R694" s="141" t="s">
        <v>222</v>
      </c>
      <c r="S694" s="141" t="s">
        <v>222</v>
      </c>
      <c r="T694" s="141" t="s">
        <v>222</v>
      </c>
      <c r="U694" s="141" t="s">
        <v>222</v>
      </c>
      <c r="V694" s="141" t="s">
        <v>222</v>
      </c>
      <c r="W694" s="141"/>
      <c r="X694" s="141"/>
      <c r="Y694" s="141"/>
      <c r="Z694" s="141"/>
    </row>
    <row r="695">
      <c r="A695" s="141"/>
      <c r="B695" s="141" t="s">
        <v>222</v>
      </c>
      <c r="C695" s="141" t="s">
        <v>222</v>
      </c>
      <c r="D695" s="141" t="s">
        <v>222</v>
      </c>
      <c r="E695" s="141" t="s">
        <v>222</v>
      </c>
      <c r="F695" s="141" t="s">
        <v>222</v>
      </c>
      <c r="G695" s="141" t="s">
        <v>222</v>
      </c>
      <c r="H695" s="141" t="s">
        <v>222</v>
      </c>
      <c r="I695" s="141" t="s">
        <v>222</v>
      </c>
      <c r="J695" s="141" t="s">
        <v>222</v>
      </c>
      <c r="K695" s="141" t="s">
        <v>222</v>
      </c>
      <c r="L695" s="141" t="s">
        <v>222</v>
      </c>
      <c r="M695" s="141" t="s">
        <v>222</v>
      </c>
      <c r="N695" s="141" t="s">
        <v>222</v>
      </c>
      <c r="O695" s="141" t="s">
        <v>222</v>
      </c>
      <c r="P695" s="141" t="s">
        <v>222</v>
      </c>
      <c r="Q695" s="141" t="s">
        <v>222</v>
      </c>
      <c r="R695" s="141" t="s">
        <v>222</v>
      </c>
      <c r="S695" s="141" t="s">
        <v>222</v>
      </c>
      <c r="T695" s="141" t="s">
        <v>222</v>
      </c>
      <c r="U695" s="141" t="s">
        <v>222</v>
      </c>
      <c r="V695" s="141" t="s">
        <v>222</v>
      </c>
      <c r="W695" s="141"/>
      <c r="X695" s="141"/>
      <c r="Y695" s="141"/>
      <c r="Z695" s="141"/>
    </row>
    <row r="696">
      <c r="A696" s="141"/>
      <c r="B696" s="141" t="s">
        <v>222</v>
      </c>
      <c r="C696" s="141" t="s">
        <v>222</v>
      </c>
      <c r="D696" s="141" t="s">
        <v>222</v>
      </c>
      <c r="E696" s="141" t="s">
        <v>222</v>
      </c>
      <c r="F696" s="141" t="s">
        <v>222</v>
      </c>
      <c r="G696" s="141" t="s">
        <v>222</v>
      </c>
      <c r="H696" s="141" t="s">
        <v>222</v>
      </c>
      <c r="I696" s="141" t="s">
        <v>222</v>
      </c>
      <c r="J696" s="141" t="s">
        <v>222</v>
      </c>
      <c r="K696" s="141" t="s">
        <v>222</v>
      </c>
      <c r="L696" s="141" t="s">
        <v>222</v>
      </c>
      <c r="M696" s="141" t="s">
        <v>222</v>
      </c>
      <c r="N696" s="141" t="s">
        <v>222</v>
      </c>
      <c r="O696" s="141" t="s">
        <v>222</v>
      </c>
      <c r="P696" s="141" t="s">
        <v>222</v>
      </c>
      <c r="Q696" s="141" t="s">
        <v>222</v>
      </c>
      <c r="R696" s="141" t="s">
        <v>222</v>
      </c>
      <c r="S696" s="141" t="s">
        <v>222</v>
      </c>
      <c r="T696" s="141" t="s">
        <v>222</v>
      </c>
      <c r="U696" s="141" t="s">
        <v>222</v>
      </c>
      <c r="V696" s="141" t="s">
        <v>222</v>
      </c>
      <c r="W696" s="141"/>
      <c r="X696" s="141"/>
      <c r="Y696" s="141"/>
      <c r="Z696" s="141"/>
    </row>
    <row r="697">
      <c r="A697" s="141"/>
      <c r="B697" s="141" t="s">
        <v>222</v>
      </c>
      <c r="C697" s="141" t="s">
        <v>222</v>
      </c>
      <c r="D697" s="141" t="s">
        <v>222</v>
      </c>
      <c r="E697" s="141" t="s">
        <v>222</v>
      </c>
      <c r="F697" s="141" t="s">
        <v>222</v>
      </c>
      <c r="G697" s="141" t="s">
        <v>222</v>
      </c>
      <c r="H697" s="141" t="s">
        <v>222</v>
      </c>
      <c r="I697" s="141" t="s">
        <v>222</v>
      </c>
      <c r="J697" s="141" t="s">
        <v>222</v>
      </c>
      <c r="K697" s="141" t="s">
        <v>222</v>
      </c>
      <c r="L697" s="141" t="s">
        <v>222</v>
      </c>
      <c r="M697" s="141" t="s">
        <v>222</v>
      </c>
      <c r="N697" s="141" t="s">
        <v>222</v>
      </c>
      <c r="O697" s="141" t="s">
        <v>222</v>
      </c>
      <c r="P697" s="141" t="s">
        <v>222</v>
      </c>
      <c r="Q697" s="141" t="s">
        <v>222</v>
      </c>
      <c r="R697" s="141" t="s">
        <v>222</v>
      </c>
      <c r="S697" s="141" t="s">
        <v>222</v>
      </c>
      <c r="T697" s="141" t="s">
        <v>222</v>
      </c>
      <c r="U697" s="141" t="s">
        <v>222</v>
      </c>
      <c r="V697" s="141" t="s">
        <v>222</v>
      </c>
      <c r="W697" s="141"/>
      <c r="X697" s="141"/>
      <c r="Y697" s="141"/>
      <c r="Z697" s="141"/>
    </row>
    <row r="698">
      <c r="A698" s="141"/>
      <c r="B698" s="141" t="s">
        <v>222</v>
      </c>
      <c r="C698" s="141" t="s">
        <v>222</v>
      </c>
      <c r="D698" s="141" t="s">
        <v>222</v>
      </c>
      <c r="E698" s="141" t="s">
        <v>222</v>
      </c>
      <c r="F698" s="141" t="s">
        <v>222</v>
      </c>
      <c r="G698" s="141" t="s">
        <v>222</v>
      </c>
      <c r="H698" s="141" t="s">
        <v>222</v>
      </c>
      <c r="I698" s="141" t="s">
        <v>222</v>
      </c>
      <c r="J698" s="141" t="s">
        <v>222</v>
      </c>
      <c r="K698" s="141" t="s">
        <v>222</v>
      </c>
      <c r="L698" s="141" t="s">
        <v>222</v>
      </c>
      <c r="M698" s="141" t="s">
        <v>222</v>
      </c>
      <c r="N698" s="141" t="s">
        <v>222</v>
      </c>
      <c r="O698" s="141" t="s">
        <v>222</v>
      </c>
      <c r="P698" s="141" t="s">
        <v>222</v>
      </c>
      <c r="Q698" s="141" t="s">
        <v>222</v>
      </c>
      <c r="R698" s="141" t="s">
        <v>222</v>
      </c>
      <c r="S698" s="141" t="s">
        <v>222</v>
      </c>
      <c r="T698" s="141" t="s">
        <v>222</v>
      </c>
      <c r="U698" s="141" t="s">
        <v>222</v>
      </c>
      <c r="V698" s="141" t="s">
        <v>222</v>
      </c>
      <c r="W698" s="141"/>
      <c r="X698" s="141"/>
      <c r="Y698" s="141"/>
      <c r="Z698" s="141"/>
    </row>
    <row r="699">
      <c r="A699" s="141"/>
      <c r="B699" s="141" t="s">
        <v>222</v>
      </c>
      <c r="C699" s="141" t="s">
        <v>222</v>
      </c>
      <c r="D699" s="141" t="s">
        <v>222</v>
      </c>
      <c r="E699" s="141" t="s">
        <v>222</v>
      </c>
      <c r="F699" s="141" t="s">
        <v>222</v>
      </c>
      <c r="G699" s="141" t="s">
        <v>222</v>
      </c>
      <c r="H699" s="141" t="s">
        <v>222</v>
      </c>
      <c r="I699" s="141" t="s">
        <v>222</v>
      </c>
      <c r="J699" s="141" t="s">
        <v>222</v>
      </c>
      <c r="K699" s="141" t="s">
        <v>222</v>
      </c>
      <c r="L699" s="141" t="s">
        <v>222</v>
      </c>
      <c r="M699" s="141" t="s">
        <v>222</v>
      </c>
      <c r="N699" s="141" t="s">
        <v>222</v>
      </c>
      <c r="O699" s="141" t="s">
        <v>222</v>
      </c>
      <c r="P699" s="141" t="s">
        <v>222</v>
      </c>
      <c r="Q699" s="141" t="s">
        <v>222</v>
      </c>
      <c r="R699" s="141" t="s">
        <v>222</v>
      </c>
      <c r="S699" s="141" t="s">
        <v>222</v>
      </c>
      <c r="T699" s="141" t="s">
        <v>222</v>
      </c>
      <c r="U699" s="141" t="s">
        <v>222</v>
      </c>
      <c r="V699" s="141" t="s">
        <v>222</v>
      </c>
      <c r="W699" s="141"/>
      <c r="X699" s="141"/>
      <c r="Y699" s="141"/>
      <c r="Z699" s="141"/>
    </row>
    <row r="700">
      <c r="A700" s="141"/>
      <c r="B700" s="141" t="s">
        <v>222</v>
      </c>
      <c r="C700" s="141" t="s">
        <v>222</v>
      </c>
      <c r="D700" s="141" t="s">
        <v>222</v>
      </c>
      <c r="E700" s="141" t="s">
        <v>222</v>
      </c>
      <c r="F700" s="141" t="s">
        <v>222</v>
      </c>
      <c r="G700" s="141" t="s">
        <v>222</v>
      </c>
      <c r="H700" s="141" t="s">
        <v>222</v>
      </c>
      <c r="I700" s="141" t="s">
        <v>222</v>
      </c>
      <c r="J700" s="141" t="s">
        <v>222</v>
      </c>
      <c r="K700" s="141" t="s">
        <v>222</v>
      </c>
      <c r="L700" s="141" t="s">
        <v>222</v>
      </c>
      <c r="M700" s="141" t="s">
        <v>222</v>
      </c>
      <c r="N700" s="141" t="s">
        <v>222</v>
      </c>
      <c r="O700" s="141" t="s">
        <v>222</v>
      </c>
      <c r="P700" s="141" t="s">
        <v>222</v>
      </c>
      <c r="Q700" s="141" t="s">
        <v>222</v>
      </c>
      <c r="R700" s="141" t="s">
        <v>222</v>
      </c>
      <c r="S700" s="141" t="s">
        <v>222</v>
      </c>
      <c r="T700" s="141" t="s">
        <v>222</v>
      </c>
      <c r="U700" s="141" t="s">
        <v>222</v>
      </c>
      <c r="V700" s="141" t="s">
        <v>222</v>
      </c>
      <c r="W700" s="141"/>
      <c r="X700" s="141"/>
      <c r="Y700" s="141"/>
      <c r="Z700" s="141"/>
    </row>
    <row r="701">
      <c r="A701" s="141"/>
      <c r="B701" s="141" t="s">
        <v>222</v>
      </c>
      <c r="C701" s="141" t="s">
        <v>222</v>
      </c>
      <c r="D701" s="141" t="s">
        <v>222</v>
      </c>
      <c r="E701" s="141" t="s">
        <v>222</v>
      </c>
      <c r="F701" s="141" t="s">
        <v>222</v>
      </c>
      <c r="G701" s="141" t="s">
        <v>222</v>
      </c>
      <c r="H701" s="141" t="s">
        <v>222</v>
      </c>
      <c r="I701" s="141" t="s">
        <v>222</v>
      </c>
      <c r="J701" s="141" t="s">
        <v>222</v>
      </c>
      <c r="K701" s="141" t="s">
        <v>222</v>
      </c>
      <c r="L701" s="141" t="s">
        <v>222</v>
      </c>
      <c r="M701" s="141" t="s">
        <v>222</v>
      </c>
      <c r="N701" s="141" t="s">
        <v>222</v>
      </c>
      <c r="O701" s="141" t="s">
        <v>222</v>
      </c>
      <c r="P701" s="141" t="s">
        <v>222</v>
      </c>
      <c r="Q701" s="141" t="s">
        <v>222</v>
      </c>
      <c r="R701" s="141" t="s">
        <v>222</v>
      </c>
      <c r="S701" s="141" t="s">
        <v>222</v>
      </c>
      <c r="T701" s="141" t="s">
        <v>222</v>
      </c>
      <c r="U701" s="141" t="s">
        <v>222</v>
      </c>
      <c r="V701" s="141" t="s">
        <v>222</v>
      </c>
      <c r="W701" s="141"/>
      <c r="X701" s="141"/>
      <c r="Y701" s="141"/>
      <c r="Z701" s="141"/>
    </row>
    <row r="702">
      <c r="A702" s="141"/>
      <c r="B702" s="141" t="s">
        <v>222</v>
      </c>
      <c r="C702" s="141" t="s">
        <v>222</v>
      </c>
      <c r="D702" s="141" t="s">
        <v>222</v>
      </c>
      <c r="E702" s="141" t="s">
        <v>222</v>
      </c>
      <c r="F702" s="141" t="s">
        <v>222</v>
      </c>
      <c r="G702" s="141" t="s">
        <v>222</v>
      </c>
      <c r="H702" s="141" t="s">
        <v>222</v>
      </c>
      <c r="I702" s="141" t="s">
        <v>222</v>
      </c>
      <c r="J702" s="141" t="s">
        <v>222</v>
      </c>
      <c r="K702" s="141" t="s">
        <v>222</v>
      </c>
      <c r="L702" s="141" t="s">
        <v>222</v>
      </c>
      <c r="M702" s="141" t="s">
        <v>222</v>
      </c>
      <c r="N702" s="141" t="s">
        <v>222</v>
      </c>
      <c r="O702" s="141" t="s">
        <v>222</v>
      </c>
      <c r="P702" s="141" t="s">
        <v>222</v>
      </c>
      <c r="Q702" s="141" t="s">
        <v>222</v>
      </c>
      <c r="R702" s="141" t="s">
        <v>222</v>
      </c>
      <c r="S702" s="141" t="s">
        <v>222</v>
      </c>
      <c r="T702" s="141" t="s">
        <v>222</v>
      </c>
      <c r="U702" s="141" t="s">
        <v>222</v>
      </c>
      <c r="V702" s="141" t="s">
        <v>222</v>
      </c>
      <c r="W702" s="141"/>
      <c r="X702" s="141"/>
      <c r="Y702" s="141"/>
      <c r="Z702" s="141"/>
    </row>
    <row r="703">
      <c r="A703" s="141"/>
      <c r="B703" s="141" t="s">
        <v>222</v>
      </c>
      <c r="C703" s="141" t="s">
        <v>222</v>
      </c>
      <c r="D703" s="141" t="s">
        <v>222</v>
      </c>
      <c r="E703" s="141" t="s">
        <v>222</v>
      </c>
      <c r="F703" s="141" t="s">
        <v>222</v>
      </c>
      <c r="G703" s="141" t="s">
        <v>222</v>
      </c>
      <c r="H703" s="141" t="s">
        <v>222</v>
      </c>
      <c r="I703" s="141" t="s">
        <v>222</v>
      </c>
      <c r="J703" s="141" t="s">
        <v>222</v>
      </c>
      <c r="K703" s="141" t="s">
        <v>222</v>
      </c>
      <c r="L703" s="141" t="s">
        <v>222</v>
      </c>
      <c r="M703" s="141" t="s">
        <v>222</v>
      </c>
      <c r="N703" s="141" t="s">
        <v>222</v>
      </c>
      <c r="O703" s="141" t="s">
        <v>222</v>
      </c>
      <c r="P703" s="141" t="s">
        <v>222</v>
      </c>
      <c r="Q703" s="141" t="s">
        <v>222</v>
      </c>
      <c r="R703" s="141" t="s">
        <v>222</v>
      </c>
      <c r="S703" s="141" t="s">
        <v>222</v>
      </c>
      <c r="T703" s="141" t="s">
        <v>222</v>
      </c>
      <c r="U703" s="141" t="s">
        <v>222</v>
      </c>
      <c r="V703" s="141" t="s">
        <v>222</v>
      </c>
      <c r="W703" s="141"/>
      <c r="X703" s="141"/>
      <c r="Y703" s="141"/>
      <c r="Z703" s="141"/>
    </row>
    <row r="704">
      <c r="A704" s="141"/>
      <c r="B704" s="141" t="s">
        <v>222</v>
      </c>
      <c r="C704" s="141" t="s">
        <v>222</v>
      </c>
      <c r="D704" s="141" t="s">
        <v>222</v>
      </c>
      <c r="E704" s="141" t="s">
        <v>222</v>
      </c>
      <c r="F704" s="141" t="s">
        <v>222</v>
      </c>
      <c r="G704" s="141" t="s">
        <v>222</v>
      </c>
      <c r="H704" s="141" t="s">
        <v>222</v>
      </c>
      <c r="I704" s="141" t="s">
        <v>222</v>
      </c>
      <c r="J704" s="141" t="s">
        <v>222</v>
      </c>
      <c r="K704" s="141" t="s">
        <v>222</v>
      </c>
      <c r="L704" s="141" t="s">
        <v>222</v>
      </c>
      <c r="M704" s="141" t="s">
        <v>222</v>
      </c>
      <c r="N704" s="141" t="s">
        <v>222</v>
      </c>
      <c r="O704" s="141" t="s">
        <v>222</v>
      </c>
      <c r="P704" s="141" t="s">
        <v>222</v>
      </c>
      <c r="Q704" s="141" t="s">
        <v>222</v>
      </c>
      <c r="R704" s="141" t="s">
        <v>222</v>
      </c>
      <c r="S704" s="141" t="s">
        <v>222</v>
      </c>
      <c r="T704" s="141" t="s">
        <v>222</v>
      </c>
      <c r="U704" s="141" t="s">
        <v>222</v>
      </c>
      <c r="V704" s="141" t="s">
        <v>222</v>
      </c>
      <c r="W704" s="141"/>
      <c r="X704" s="141"/>
      <c r="Y704" s="141"/>
      <c r="Z704" s="141"/>
    </row>
    <row r="705">
      <c r="A705" s="141"/>
      <c r="B705" s="141" t="s">
        <v>222</v>
      </c>
      <c r="C705" s="141" t="s">
        <v>222</v>
      </c>
      <c r="D705" s="141" t="s">
        <v>222</v>
      </c>
      <c r="E705" s="141" t="s">
        <v>222</v>
      </c>
      <c r="F705" s="141" t="s">
        <v>222</v>
      </c>
      <c r="G705" s="141" t="s">
        <v>222</v>
      </c>
      <c r="H705" s="141" t="s">
        <v>222</v>
      </c>
      <c r="I705" s="141" t="s">
        <v>222</v>
      </c>
      <c r="J705" s="141" t="s">
        <v>222</v>
      </c>
      <c r="K705" s="141" t="s">
        <v>222</v>
      </c>
      <c r="L705" s="141" t="s">
        <v>222</v>
      </c>
      <c r="M705" s="141" t="s">
        <v>222</v>
      </c>
      <c r="N705" s="141" t="s">
        <v>222</v>
      </c>
      <c r="O705" s="141" t="s">
        <v>222</v>
      </c>
      <c r="P705" s="141" t="s">
        <v>222</v>
      </c>
      <c r="Q705" s="141" t="s">
        <v>222</v>
      </c>
      <c r="R705" s="141" t="s">
        <v>222</v>
      </c>
      <c r="S705" s="141" t="s">
        <v>222</v>
      </c>
      <c r="T705" s="141" t="s">
        <v>222</v>
      </c>
      <c r="U705" s="141" t="s">
        <v>222</v>
      </c>
      <c r="V705" s="141" t="s">
        <v>222</v>
      </c>
      <c r="W705" s="141"/>
      <c r="X705" s="141"/>
      <c r="Y705" s="141"/>
      <c r="Z705" s="141"/>
    </row>
    <row r="706">
      <c r="A706" s="141"/>
      <c r="B706" s="141" t="s">
        <v>222</v>
      </c>
      <c r="C706" s="141" t="s">
        <v>222</v>
      </c>
      <c r="D706" s="141" t="s">
        <v>222</v>
      </c>
      <c r="E706" s="141" t="s">
        <v>222</v>
      </c>
      <c r="F706" s="141" t="s">
        <v>222</v>
      </c>
      <c r="G706" s="141" t="s">
        <v>222</v>
      </c>
      <c r="H706" s="141" t="s">
        <v>222</v>
      </c>
      <c r="I706" s="141" t="s">
        <v>222</v>
      </c>
      <c r="J706" s="141" t="s">
        <v>222</v>
      </c>
      <c r="K706" s="141" t="s">
        <v>222</v>
      </c>
      <c r="L706" s="141" t="s">
        <v>222</v>
      </c>
      <c r="M706" s="141" t="s">
        <v>222</v>
      </c>
      <c r="N706" s="141" t="s">
        <v>222</v>
      </c>
      <c r="O706" s="141" t="s">
        <v>222</v>
      </c>
      <c r="P706" s="141" t="s">
        <v>222</v>
      </c>
      <c r="Q706" s="141" t="s">
        <v>222</v>
      </c>
      <c r="R706" s="141" t="s">
        <v>222</v>
      </c>
      <c r="S706" s="141" t="s">
        <v>222</v>
      </c>
      <c r="T706" s="141" t="s">
        <v>222</v>
      </c>
      <c r="U706" s="141" t="s">
        <v>222</v>
      </c>
      <c r="V706" s="141" t="s">
        <v>222</v>
      </c>
      <c r="W706" s="141"/>
      <c r="X706" s="141"/>
      <c r="Y706" s="141"/>
      <c r="Z706" s="141"/>
    </row>
    <row r="707">
      <c r="A707" s="141"/>
      <c r="B707" s="141" t="s">
        <v>222</v>
      </c>
      <c r="C707" s="141" t="s">
        <v>222</v>
      </c>
      <c r="D707" s="141" t="s">
        <v>222</v>
      </c>
      <c r="E707" s="141" t="s">
        <v>222</v>
      </c>
      <c r="F707" s="141" t="s">
        <v>222</v>
      </c>
      <c r="G707" s="141" t="s">
        <v>222</v>
      </c>
      <c r="H707" s="141" t="s">
        <v>222</v>
      </c>
      <c r="I707" s="141" t="s">
        <v>222</v>
      </c>
      <c r="J707" s="141" t="s">
        <v>222</v>
      </c>
      <c r="K707" s="141" t="s">
        <v>222</v>
      </c>
      <c r="L707" s="141" t="s">
        <v>222</v>
      </c>
      <c r="M707" s="141" t="s">
        <v>222</v>
      </c>
      <c r="N707" s="141" t="s">
        <v>222</v>
      </c>
      <c r="O707" s="141" t="s">
        <v>222</v>
      </c>
      <c r="P707" s="141" t="s">
        <v>222</v>
      </c>
      <c r="Q707" s="141" t="s">
        <v>222</v>
      </c>
      <c r="R707" s="141" t="s">
        <v>222</v>
      </c>
      <c r="S707" s="141" t="s">
        <v>222</v>
      </c>
      <c r="T707" s="141" t="s">
        <v>222</v>
      </c>
      <c r="U707" s="141" t="s">
        <v>222</v>
      </c>
      <c r="V707" s="141" t="s">
        <v>222</v>
      </c>
      <c r="W707" s="141"/>
      <c r="X707" s="141"/>
      <c r="Y707" s="141"/>
      <c r="Z707" s="141"/>
    </row>
    <row r="708">
      <c r="A708" s="141"/>
      <c r="B708" s="141" t="s">
        <v>222</v>
      </c>
      <c r="C708" s="141" t="s">
        <v>222</v>
      </c>
      <c r="D708" s="141" t="s">
        <v>222</v>
      </c>
      <c r="E708" s="141" t="s">
        <v>222</v>
      </c>
      <c r="F708" s="141" t="s">
        <v>222</v>
      </c>
      <c r="G708" s="141" t="s">
        <v>222</v>
      </c>
      <c r="H708" s="141" t="s">
        <v>222</v>
      </c>
      <c r="I708" s="141" t="s">
        <v>222</v>
      </c>
      <c r="J708" s="141" t="s">
        <v>222</v>
      </c>
      <c r="K708" s="141" t="s">
        <v>222</v>
      </c>
      <c r="L708" s="141" t="s">
        <v>222</v>
      </c>
      <c r="M708" s="141" t="s">
        <v>222</v>
      </c>
      <c r="N708" s="141" t="s">
        <v>222</v>
      </c>
      <c r="O708" s="141" t="s">
        <v>222</v>
      </c>
      <c r="P708" s="141" t="s">
        <v>222</v>
      </c>
      <c r="Q708" s="141" t="s">
        <v>222</v>
      </c>
      <c r="R708" s="141" t="s">
        <v>222</v>
      </c>
      <c r="S708" s="141" t="s">
        <v>222</v>
      </c>
      <c r="T708" s="141" t="s">
        <v>222</v>
      </c>
      <c r="U708" s="141" t="s">
        <v>222</v>
      </c>
      <c r="V708" s="141" t="s">
        <v>222</v>
      </c>
      <c r="W708" s="141"/>
      <c r="X708" s="141"/>
      <c r="Y708" s="141"/>
      <c r="Z708" s="141"/>
    </row>
    <row r="709">
      <c r="A709" s="141"/>
      <c r="B709" s="141" t="s">
        <v>222</v>
      </c>
      <c r="C709" s="141" t="s">
        <v>222</v>
      </c>
      <c r="D709" s="141" t="s">
        <v>222</v>
      </c>
      <c r="E709" s="141" t="s">
        <v>222</v>
      </c>
      <c r="F709" s="141" t="s">
        <v>222</v>
      </c>
      <c r="G709" s="141" t="s">
        <v>222</v>
      </c>
      <c r="H709" s="141" t="s">
        <v>222</v>
      </c>
      <c r="I709" s="141" t="s">
        <v>222</v>
      </c>
      <c r="J709" s="141" t="s">
        <v>222</v>
      </c>
      <c r="K709" s="141" t="s">
        <v>222</v>
      </c>
      <c r="L709" s="141" t="s">
        <v>222</v>
      </c>
      <c r="M709" s="141" t="s">
        <v>222</v>
      </c>
      <c r="N709" s="141" t="s">
        <v>222</v>
      </c>
      <c r="O709" s="141" t="s">
        <v>222</v>
      </c>
      <c r="P709" s="141" t="s">
        <v>222</v>
      </c>
      <c r="Q709" s="141" t="s">
        <v>222</v>
      </c>
      <c r="R709" s="141" t="s">
        <v>222</v>
      </c>
      <c r="S709" s="141" t="s">
        <v>222</v>
      </c>
      <c r="T709" s="141" t="s">
        <v>222</v>
      </c>
      <c r="U709" s="141" t="s">
        <v>222</v>
      </c>
      <c r="V709" s="141" t="s">
        <v>222</v>
      </c>
      <c r="W709" s="141"/>
      <c r="X709" s="141"/>
      <c r="Y709" s="141"/>
      <c r="Z709" s="141"/>
    </row>
    <row r="710">
      <c r="A710" s="141"/>
      <c r="B710" s="141" t="s">
        <v>222</v>
      </c>
      <c r="C710" s="141" t="s">
        <v>222</v>
      </c>
      <c r="D710" s="141" t="s">
        <v>222</v>
      </c>
      <c r="E710" s="141" t="s">
        <v>222</v>
      </c>
      <c r="F710" s="141" t="s">
        <v>222</v>
      </c>
      <c r="G710" s="141" t="s">
        <v>222</v>
      </c>
      <c r="H710" s="141" t="s">
        <v>222</v>
      </c>
      <c r="I710" s="141" t="s">
        <v>222</v>
      </c>
      <c r="J710" s="141" t="s">
        <v>222</v>
      </c>
      <c r="K710" s="141" t="s">
        <v>222</v>
      </c>
      <c r="L710" s="141" t="s">
        <v>222</v>
      </c>
      <c r="M710" s="141" t="s">
        <v>222</v>
      </c>
      <c r="N710" s="141" t="s">
        <v>222</v>
      </c>
      <c r="O710" s="141" t="s">
        <v>222</v>
      </c>
      <c r="P710" s="141" t="s">
        <v>222</v>
      </c>
      <c r="Q710" s="141" t="s">
        <v>222</v>
      </c>
      <c r="R710" s="141" t="s">
        <v>222</v>
      </c>
      <c r="S710" s="141" t="s">
        <v>222</v>
      </c>
      <c r="T710" s="141" t="s">
        <v>222</v>
      </c>
      <c r="U710" s="141" t="s">
        <v>222</v>
      </c>
      <c r="V710" s="141" t="s">
        <v>222</v>
      </c>
      <c r="W710" s="141"/>
      <c r="X710" s="141"/>
      <c r="Y710" s="141"/>
      <c r="Z710" s="141"/>
    </row>
    <row r="711">
      <c r="A711" s="141"/>
      <c r="B711" s="141" t="s">
        <v>222</v>
      </c>
      <c r="C711" s="141" t="s">
        <v>222</v>
      </c>
      <c r="D711" s="141" t="s">
        <v>222</v>
      </c>
      <c r="E711" s="141" t="s">
        <v>222</v>
      </c>
      <c r="F711" s="141" t="s">
        <v>222</v>
      </c>
      <c r="G711" s="141" t="s">
        <v>222</v>
      </c>
      <c r="H711" s="141" t="s">
        <v>222</v>
      </c>
      <c r="I711" s="141" t="s">
        <v>222</v>
      </c>
      <c r="J711" s="141" t="s">
        <v>222</v>
      </c>
      <c r="K711" s="141" t="s">
        <v>222</v>
      </c>
      <c r="L711" s="141" t="s">
        <v>222</v>
      </c>
      <c r="M711" s="141" t="s">
        <v>222</v>
      </c>
      <c r="N711" s="141" t="s">
        <v>222</v>
      </c>
      <c r="O711" s="141" t="s">
        <v>222</v>
      </c>
      <c r="P711" s="141" t="s">
        <v>222</v>
      </c>
      <c r="Q711" s="141" t="s">
        <v>222</v>
      </c>
      <c r="R711" s="141" t="s">
        <v>222</v>
      </c>
      <c r="S711" s="141" t="s">
        <v>222</v>
      </c>
      <c r="T711" s="141" t="s">
        <v>222</v>
      </c>
      <c r="U711" s="141" t="s">
        <v>222</v>
      </c>
      <c r="V711" s="141" t="s">
        <v>222</v>
      </c>
      <c r="W711" s="141"/>
      <c r="X711" s="141"/>
      <c r="Y711" s="141"/>
      <c r="Z711" s="141"/>
    </row>
    <row r="712">
      <c r="A712" s="141"/>
      <c r="B712" s="141" t="s">
        <v>222</v>
      </c>
      <c r="C712" s="141" t="s">
        <v>222</v>
      </c>
      <c r="D712" s="141" t="s">
        <v>222</v>
      </c>
      <c r="E712" s="141" t="s">
        <v>222</v>
      </c>
      <c r="F712" s="141" t="s">
        <v>222</v>
      </c>
      <c r="G712" s="141" t="s">
        <v>222</v>
      </c>
      <c r="H712" s="141" t="s">
        <v>222</v>
      </c>
      <c r="I712" s="141" t="s">
        <v>222</v>
      </c>
      <c r="J712" s="141" t="s">
        <v>222</v>
      </c>
      <c r="K712" s="141" t="s">
        <v>222</v>
      </c>
      <c r="L712" s="141" t="s">
        <v>222</v>
      </c>
      <c r="M712" s="141" t="s">
        <v>222</v>
      </c>
      <c r="N712" s="141" t="s">
        <v>222</v>
      </c>
      <c r="O712" s="141" t="s">
        <v>222</v>
      </c>
      <c r="P712" s="141" t="s">
        <v>222</v>
      </c>
      <c r="Q712" s="141" t="s">
        <v>222</v>
      </c>
      <c r="R712" s="141" t="s">
        <v>222</v>
      </c>
      <c r="S712" s="141" t="s">
        <v>222</v>
      </c>
      <c r="T712" s="141" t="s">
        <v>222</v>
      </c>
      <c r="U712" s="141" t="s">
        <v>222</v>
      </c>
      <c r="V712" s="141" t="s">
        <v>222</v>
      </c>
      <c r="W712" s="141"/>
      <c r="X712" s="141"/>
      <c r="Y712" s="141"/>
      <c r="Z712" s="141"/>
    </row>
    <row r="713">
      <c r="A713" s="141"/>
      <c r="B713" s="141" t="s">
        <v>222</v>
      </c>
      <c r="C713" s="141" t="s">
        <v>222</v>
      </c>
      <c r="D713" s="141" t="s">
        <v>222</v>
      </c>
      <c r="E713" s="141" t="s">
        <v>222</v>
      </c>
      <c r="F713" s="141" t="s">
        <v>222</v>
      </c>
      <c r="G713" s="141" t="s">
        <v>222</v>
      </c>
      <c r="H713" s="141" t="s">
        <v>222</v>
      </c>
      <c r="I713" s="141" t="s">
        <v>222</v>
      </c>
      <c r="J713" s="141" t="s">
        <v>222</v>
      </c>
      <c r="K713" s="141" t="s">
        <v>222</v>
      </c>
      <c r="L713" s="141" t="s">
        <v>222</v>
      </c>
      <c r="M713" s="141" t="s">
        <v>222</v>
      </c>
      <c r="N713" s="141" t="s">
        <v>222</v>
      </c>
      <c r="O713" s="141" t="s">
        <v>222</v>
      </c>
      <c r="P713" s="141" t="s">
        <v>222</v>
      </c>
      <c r="Q713" s="141" t="s">
        <v>222</v>
      </c>
      <c r="R713" s="141" t="s">
        <v>222</v>
      </c>
      <c r="S713" s="141" t="s">
        <v>222</v>
      </c>
      <c r="T713" s="141" t="s">
        <v>222</v>
      </c>
      <c r="U713" s="141" t="s">
        <v>222</v>
      </c>
      <c r="V713" s="141" t="s">
        <v>222</v>
      </c>
      <c r="W713" s="141"/>
      <c r="X713" s="141"/>
      <c r="Y713" s="141"/>
      <c r="Z713" s="141"/>
    </row>
    <row r="714">
      <c r="A714" s="141"/>
      <c r="B714" s="141" t="s">
        <v>222</v>
      </c>
      <c r="C714" s="141" t="s">
        <v>222</v>
      </c>
      <c r="D714" s="141" t="s">
        <v>222</v>
      </c>
      <c r="E714" s="141" t="s">
        <v>222</v>
      </c>
      <c r="F714" s="141" t="s">
        <v>222</v>
      </c>
      <c r="G714" s="141" t="s">
        <v>222</v>
      </c>
      <c r="H714" s="141" t="s">
        <v>222</v>
      </c>
      <c r="I714" s="141" t="s">
        <v>222</v>
      </c>
      <c r="J714" s="141" t="s">
        <v>222</v>
      </c>
      <c r="K714" s="141" t="s">
        <v>222</v>
      </c>
      <c r="L714" s="141" t="s">
        <v>222</v>
      </c>
      <c r="M714" s="141" t="s">
        <v>222</v>
      </c>
      <c r="N714" s="141" t="s">
        <v>222</v>
      </c>
      <c r="O714" s="141" t="s">
        <v>222</v>
      </c>
      <c r="P714" s="141" t="s">
        <v>222</v>
      </c>
      <c r="Q714" s="141" t="s">
        <v>222</v>
      </c>
      <c r="R714" s="141" t="s">
        <v>222</v>
      </c>
      <c r="S714" s="141" t="s">
        <v>222</v>
      </c>
      <c r="T714" s="141" t="s">
        <v>222</v>
      </c>
      <c r="U714" s="141" t="s">
        <v>222</v>
      </c>
      <c r="V714" s="141" t="s">
        <v>222</v>
      </c>
      <c r="W714" s="141"/>
      <c r="X714" s="141"/>
      <c r="Y714" s="141"/>
      <c r="Z714" s="141"/>
    </row>
    <row r="715">
      <c r="A715" s="141"/>
      <c r="B715" s="141" t="s">
        <v>222</v>
      </c>
      <c r="C715" s="141" t="s">
        <v>222</v>
      </c>
      <c r="D715" s="141" t="s">
        <v>222</v>
      </c>
      <c r="E715" s="141" t="s">
        <v>222</v>
      </c>
      <c r="F715" s="141" t="s">
        <v>222</v>
      </c>
      <c r="G715" s="141" t="s">
        <v>222</v>
      </c>
      <c r="H715" s="141" t="s">
        <v>222</v>
      </c>
      <c r="I715" s="141" t="s">
        <v>222</v>
      </c>
      <c r="J715" s="141" t="s">
        <v>222</v>
      </c>
      <c r="K715" s="141" t="s">
        <v>222</v>
      </c>
      <c r="L715" s="141" t="s">
        <v>222</v>
      </c>
      <c r="M715" s="141" t="s">
        <v>222</v>
      </c>
      <c r="N715" s="141" t="s">
        <v>222</v>
      </c>
      <c r="O715" s="141" t="s">
        <v>222</v>
      </c>
      <c r="P715" s="141" t="s">
        <v>222</v>
      </c>
      <c r="Q715" s="141" t="s">
        <v>222</v>
      </c>
      <c r="R715" s="141" t="s">
        <v>222</v>
      </c>
      <c r="S715" s="141" t="s">
        <v>222</v>
      </c>
      <c r="T715" s="141" t="s">
        <v>222</v>
      </c>
      <c r="U715" s="141" t="s">
        <v>222</v>
      </c>
      <c r="V715" s="141" t="s">
        <v>222</v>
      </c>
      <c r="W715" s="141"/>
      <c r="X715" s="141"/>
      <c r="Y715" s="141"/>
      <c r="Z715" s="141"/>
    </row>
    <row r="716">
      <c r="A716" s="141"/>
      <c r="B716" s="141" t="s">
        <v>222</v>
      </c>
      <c r="C716" s="141" t="s">
        <v>222</v>
      </c>
      <c r="D716" s="141" t="s">
        <v>222</v>
      </c>
      <c r="E716" s="141" t="s">
        <v>222</v>
      </c>
      <c r="F716" s="141" t="s">
        <v>222</v>
      </c>
      <c r="G716" s="141" t="s">
        <v>222</v>
      </c>
      <c r="H716" s="141" t="s">
        <v>222</v>
      </c>
      <c r="I716" s="141" t="s">
        <v>222</v>
      </c>
      <c r="J716" s="141" t="s">
        <v>222</v>
      </c>
      <c r="K716" s="141" t="s">
        <v>222</v>
      </c>
      <c r="L716" s="141" t="s">
        <v>222</v>
      </c>
      <c r="M716" s="141" t="s">
        <v>222</v>
      </c>
      <c r="N716" s="141" t="s">
        <v>222</v>
      </c>
      <c r="O716" s="141" t="s">
        <v>222</v>
      </c>
      <c r="P716" s="141" t="s">
        <v>222</v>
      </c>
      <c r="Q716" s="141" t="s">
        <v>222</v>
      </c>
      <c r="R716" s="141" t="s">
        <v>222</v>
      </c>
      <c r="S716" s="141" t="s">
        <v>222</v>
      </c>
      <c r="T716" s="141" t="s">
        <v>222</v>
      </c>
      <c r="U716" s="141" t="s">
        <v>222</v>
      </c>
      <c r="V716" s="141" t="s">
        <v>222</v>
      </c>
      <c r="W716" s="141"/>
      <c r="X716" s="141"/>
      <c r="Y716" s="141"/>
      <c r="Z716" s="141"/>
    </row>
    <row r="717">
      <c r="A717" s="141"/>
      <c r="B717" s="141" t="s">
        <v>222</v>
      </c>
      <c r="C717" s="141" t="s">
        <v>222</v>
      </c>
      <c r="D717" s="141" t="s">
        <v>222</v>
      </c>
      <c r="E717" s="141" t="s">
        <v>222</v>
      </c>
      <c r="F717" s="141" t="s">
        <v>222</v>
      </c>
      <c r="G717" s="141" t="s">
        <v>222</v>
      </c>
      <c r="H717" s="141" t="s">
        <v>222</v>
      </c>
      <c r="I717" s="141" t="s">
        <v>222</v>
      </c>
      <c r="J717" s="141" t="s">
        <v>222</v>
      </c>
      <c r="K717" s="141" t="s">
        <v>222</v>
      </c>
      <c r="L717" s="141" t="s">
        <v>222</v>
      </c>
      <c r="M717" s="141" t="s">
        <v>222</v>
      </c>
      <c r="N717" s="141" t="s">
        <v>222</v>
      </c>
      <c r="O717" s="141" t="s">
        <v>222</v>
      </c>
      <c r="P717" s="141" t="s">
        <v>222</v>
      </c>
      <c r="Q717" s="141" t="s">
        <v>222</v>
      </c>
      <c r="R717" s="141" t="s">
        <v>222</v>
      </c>
      <c r="S717" s="141" t="s">
        <v>222</v>
      </c>
      <c r="T717" s="141" t="s">
        <v>222</v>
      </c>
      <c r="U717" s="141" t="s">
        <v>222</v>
      </c>
      <c r="V717" s="141" t="s">
        <v>222</v>
      </c>
      <c r="W717" s="141"/>
      <c r="X717" s="141"/>
      <c r="Y717" s="141"/>
      <c r="Z717" s="141"/>
    </row>
    <row r="718">
      <c r="A718" s="141"/>
      <c r="B718" s="141" t="s">
        <v>222</v>
      </c>
      <c r="C718" s="141" t="s">
        <v>222</v>
      </c>
      <c r="D718" s="141" t="s">
        <v>222</v>
      </c>
      <c r="E718" s="141" t="s">
        <v>222</v>
      </c>
      <c r="F718" s="141" t="s">
        <v>222</v>
      </c>
      <c r="G718" s="141" t="s">
        <v>222</v>
      </c>
      <c r="H718" s="141" t="s">
        <v>222</v>
      </c>
      <c r="I718" s="141" t="s">
        <v>222</v>
      </c>
      <c r="J718" s="141" t="s">
        <v>222</v>
      </c>
      <c r="K718" s="141" t="s">
        <v>222</v>
      </c>
      <c r="L718" s="141" t="s">
        <v>222</v>
      </c>
      <c r="M718" s="141" t="s">
        <v>222</v>
      </c>
      <c r="N718" s="141" t="s">
        <v>222</v>
      </c>
      <c r="O718" s="141" t="s">
        <v>222</v>
      </c>
      <c r="P718" s="141" t="s">
        <v>222</v>
      </c>
      <c r="Q718" s="141" t="s">
        <v>222</v>
      </c>
      <c r="R718" s="141" t="s">
        <v>222</v>
      </c>
      <c r="S718" s="141" t="s">
        <v>222</v>
      </c>
      <c r="T718" s="141" t="s">
        <v>222</v>
      </c>
      <c r="U718" s="141" t="s">
        <v>222</v>
      </c>
      <c r="V718" s="141" t="s">
        <v>222</v>
      </c>
      <c r="W718" s="141"/>
      <c r="X718" s="141"/>
      <c r="Y718" s="141"/>
      <c r="Z718" s="141"/>
    </row>
    <row r="719">
      <c r="A719" s="141"/>
      <c r="B719" s="141" t="s">
        <v>222</v>
      </c>
      <c r="C719" s="141" t="s">
        <v>222</v>
      </c>
      <c r="D719" s="141" t="s">
        <v>222</v>
      </c>
      <c r="E719" s="141" t="s">
        <v>222</v>
      </c>
      <c r="F719" s="141" t="s">
        <v>222</v>
      </c>
      <c r="G719" s="141" t="s">
        <v>222</v>
      </c>
      <c r="H719" s="141" t="s">
        <v>222</v>
      </c>
      <c r="I719" s="141" t="s">
        <v>222</v>
      </c>
      <c r="J719" s="141" t="s">
        <v>222</v>
      </c>
      <c r="K719" s="141" t="s">
        <v>222</v>
      </c>
      <c r="L719" s="141" t="s">
        <v>222</v>
      </c>
      <c r="M719" s="141" t="s">
        <v>222</v>
      </c>
      <c r="N719" s="141" t="s">
        <v>222</v>
      </c>
      <c r="O719" s="141" t="s">
        <v>222</v>
      </c>
      <c r="P719" s="141" t="s">
        <v>222</v>
      </c>
      <c r="Q719" s="141" t="s">
        <v>222</v>
      </c>
      <c r="R719" s="141" t="s">
        <v>222</v>
      </c>
      <c r="S719" s="141" t="s">
        <v>222</v>
      </c>
      <c r="T719" s="141" t="s">
        <v>222</v>
      </c>
      <c r="U719" s="141" t="s">
        <v>222</v>
      </c>
      <c r="V719" s="141" t="s">
        <v>222</v>
      </c>
      <c r="W719" s="141"/>
      <c r="X719" s="141"/>
      <c r="Y719" s="141"/>
      <c r="Z719" s="141"/>
    </row>
    <row r="720">
      <c r="A720" s="141"/>
      <c r="B720" s="141" t="s">
        <v>222</v>
      </c>
      <c r="C720" s="141" t="s">
        <v>222</v>
      </c>
      <c r="D720" s="141" t="s">
        <v>222</v>
      </c>
      <c r="E720" s="141" t="s">
        <v>222</v>
      </c>
      <c r="F720" s="141" t="s">
        <v>222</v>
      </c>
      <c r="G720" s="141" t="s">
        <v>222</v>
      </c>
      <c r="H720" s="141" t="s">
        <v>222</v>
      </c>
      <c r="I720" s="141" t="s">
        <v>222</v>
      </c>
      <c r="J720" s="141" t="s">
        <v>222</v>
      </c>
      <c r="K720" s="141" t="s">
        <v>222</v>
      </c>
      <c r="L720" s="141" t="s">
        <v>222</v>
      </c>
      <c r="M720" s="141" t="s">
        <v>222</v>
      </c>
      <c r="N720" s="141" t="s">
        <v>222</v>
      </c>
      <c r="O720" s="141" t="s">
        <v>222</v>
      </c>
      <c r="P720" s="141" t="s">
        <v>222</v>
      </c>
      <c r="Q720" s="141" t="s">
        <v>222</v>
      </c>
      <c r="R720" s="141" t="s">
        <v>222</v>
      </c>
      <c r="S720" s="141" t="s">
        <v>222</v>
      </c>
      <c r="T720" s="141" t="s">
        <v>222</v>
      </c>
      <c r="U720" s="141" t="s">
        <v>222</v>
      </c>
      <c r="V720" s="141" t="s">
        <v>222</v>
      </c>
      <c r="W720" s="141"/>
      <c r="X720" s="141"/>
      <c r="Y720" s="141"/>
      <c r="Z720" s="141"/>
    </row>
    <row r="721">
      <c r="A721" s="141"/>
      <c r="B721" s="141" t="s">
        <v>222</v>
      </c>
      <c r="C721" s="141" t="s">
        <v>222</v>
      </c>
      <c r="D721" s="141" t="s">
        <v>222</v>
      </c>
      <c r="E721" s="141" t="s">
        <v>222</v>
      </c>
      <c r="F721" s="141" t="s">
        <v>222</v>
      </c>
      <c r="G721" s="141" t="s">
        <v>222</v>
      </c>
      <c r="H721" s="141" t="s">
        <v>222</v>
      </c>
      <c r="I721" s="141" t="s">
        <v>222</v>
      </c>
      <c r="J721" s="141" t="s">
        <v>222</v>
      </c>
      <c r="K721" s="141" t="s">
        <v>222</v>
      </c>
      <c r="L721" s="141" t="s">
        <v>222</v>
      </c>
      <c r="M721" s="141" t="s">
        <v>222</v>
      </c>
      <c r="N721" s="141" t="s">
        <v>222</v>
      </c>
      <c r="O721" s="141" t="s">
        <v>222</v>
      </c>
      <c r="P721" s="141" t="s">
        <v>222</v>
      </c>
      <c r="Q721" s="141" t="s">
        <v>222</v>
      </c>
      <c r="R721" s="141" t="s">
        <v>222</v>
      </c>
      <c r="S721" s="141" t="s">
        <v>222</v>
      </c>
      <c r="T721" s="141" t="s">
        <v>222</v>
      </c>
      <c r="U721" s="141" t="s">
        <v>222</v>
      </c>
      <c r="V721" s="141" t="s">
        <v>222</v>
      </c>
      <c r="W721" s="141"/>
      <c r="X721" s="141"/>
      <c r="Y721" s="141"/>
      <c r="Z721" s="141"/>
    </row>
    <row r="722">
      <c r="A722" s="141"/>
      <c r="B722" s="141" t="s">
        <v>222</v>
      </c>
      <c r="C722" s="141" t="s">
        <v>222</v>
      </c>
      <c r="D722" s="141" t="s">
        <v>222</v>
      </c>
      <c r="E722" s="141" t="s">
        <v>222</v>
      </c>
      <c r="F722" s="141" t="s">
        <v>222</v>
      </c>
      <c r="G722" s="141" t="s">
        <v>222</v>
      </c>
      <c r="H722" s="141" t="s">
        <v>222</v>
      </c>
      <c r="I722" s="141" t="s">
        <v>222</v>
      </c>
      <c r="J722" s="141" t="s">
        <v>222</v>
      </c>
      <c r="K722" s="141" t="s">
        <v>222</v>
      </c>
      <c r="L722" s="141" t="s">
        <v>222</v>
      </c>
      <c r="M722" s="141" t="s">
        <v>222</v>
      </c>
      <c r="N722" s="141" t="s">
        <v>222</v>
      </c>
      <c r="O722" s="141" t="s">
        <v>222</v>
      </c>
      <c r="P722" s="141" t="s">
        <v>222</v>
      </c>
      <c r="Q722" s="141" t="s">
        <v>222</v>
      </c>
      <c r="R722" s="141" t="s">
        <v>222</v>
      </c>
      <c r="S722" s="141" t="s">
        <v>222</v>
      </c>
      <c r="T722" s="141" t="s">
        <v>222</v>
      </c>
      <c r="U722" s="141" t="s">
        <v>222</v>
      </c>
      <c r="V722" s="141" t="s">
        <v>222</v>
      </c>
      <c r="W722" s="141"/>
      <c r="X722" s="141"/>
      <c r="Y722" s="141"/>
      <c r="Z722" s="141"/>
    </row>
    <row r="723">
      <c r="A723" s="141"/>
      <c r="B723" s="141" t="s">
        <v>222</v>
      </c>
      <c r="C723" s="141" t="s">
        <v>222</v>
      </c>
      <c r="D723" s="141" t="s">
        <v>222</v>
      </c>
      <c r="E723" s="141" t="s">
        <v>222</v>
      </c>
      <c r="F723" s="141" t="s">
        <v>222</v>
      </c>
      <c r="G723" s="141" t="s">
        <v>222</v>
      </c>
      <c r="H723" s="141" t="s">
        <v>222</v>
      </c>
      <c r="I723" s="141" t="s">
        <v>222</v>
      </c>
      <c r="J723" s="141" t="s">
        <v>222</v>
      </c>
      <c r="K723" s="141" t="s">
        <v>222</v>
      </c>
      <c r="L723" s="141" t="s">
        <v>222</v>
      </c>
      <c r="M723" s="141" t="s">
        <v>222</v>
      </c>
      <c r="N723" s="141" t="s">
        <v>222</v>
      </c>
      <c r="O723" s="141" t="s">
        <v>222</v>
      </c>
      <c r="P723" s="141" t="s">
        <v>222</v>
      </c>
      <c r="Q723" s="141" t="s">
        <v>222</v>
      </c>
      <c r="R723" s="141" t="s">
        <v>222</v>
      </c>
      <c r="S723" s="141" t="s">
        <v>222</v>
      </c>
      <c r="T723" s="141" t="s">
        <v>222</v>
      </c>
      <c r="U723" s="141" t="s">
        <v>222</v>
      </c>
      <c r="V723" s="141" t="s">
        <v>222</v>
      </c>
      <c r="W723" s="141"/>
      <c r="X723" s="141"/>
      <c r="Y723" s="141"/>
      <c r="Z723" s="141"/>
    </row>
    <row r="724">
      <c r="A724" s="141"/>
      <c r="B724" s="141" t="s">
        <v>222</v>
      </c>
      <c r="C724" s="141" t="s">
        <v>222</v>
      </c>
      <c r="D724" s="141" t="s">
        <v>222</v>
      </c>
      <c r="E724" s="141" t="s">
        <v>222</v>
      </c>
      <c r="F724" s="141" t="s">
        <v>222</v>
      </c>
      <c r="G724" s="141" t="s">
        <v>222</v>
      </c>
      <c r="H724" s="141" t="s">
        <v>222</v>
      </c>
      <c r="I724" s="141" t="s">
        <v>222</v>
      </c>
      <c r="J724" s="141" t="s">
        <v>222</v>
      </c>
      <c r="K724" s="141" t="s">
        <v>222</v>
      </c>
      <c r="L724" s="141" t="s">
        <v>222</v>
      </c>
      <c r="M724" s="141" t="s">
        <v>222</v>
      </c>
      <c r="N724" s="141" t="s">
        <v>222</v>
      </c>
      <c r="O724" s="141" t="s">
        <v>222</v>
      </c>
      <c r="P724" s="141" t="s">
        <v>222</v>
      </c>
      <c r="Q724" s="141" t="s">
        <v>222</v>
      </c>
      <c r="R724" s="141" t="s">
        <v>222</v>
      </c>
      <c r="S724" s="141" t="s">
        <v>222</v>
      </c>
      <c r="T724" s="141" t="s">
        <v>222</v>
      </c>
      <c r="U724" s="141" t="s">
        <v>222</v>
      </c>
      <c r="V724" s="141" t="s">
        <v>222</v>
      </c>
      <c r="W724" s="141"/>
      <c r="X724" s="141"/>
      <c r="Y724" s="141"/>
      <c r="Z724" s="141"/>
    </row>
    <row r="725">
      <c r="A725" s="141"/>
      <c r="B725" s="141" t="s">
        <v>222</v>
      </c>
      <c r="C725" s="141" t="s">
        <v>222</v>
      </c>
      <c r="D725" s="141" t="s">
        <v>222</v>
      </c>
      <c r="E725" s="141" t="s">
        <v>222</v>
      </c>
      <c r="F725" s="141" t="s">
        <v>222</v>
      </c>
      <c r="G725" s="141" t="s">
        <v>222</v>
      </c>
      <c r="H725" s="141" t="s">
        <v>222</v>
      </c>
      <c r="I725" s="141" t="s">
        <v>222</v>
      </c>
      <c r="J725" s="141" t="s">
        <v>222</v>
      </c>
      <c r="K725" s="141" t="s">
        <v>222</v>
      </c>
      <c r="L725" s="141" t="s">
        <v>222</v>
      </c>
      <c r="M725" s="141" t="s">
        <v>222</v>
      </c>
      <c r="N725" s="141" t="s">
        <v>222</v>
      </c>
      <c r="O725" s="141" t="s">
        <v>222</v>
      </c>
      <c r="P725" s="141" t="s">
        <v>222</v>
      </c>
      <c r="Q725" s="141" t="s">
        <v>222</v>
      </c>
      <c r="R725" s="141" t="s">
        <v>222</v>
      </c>
      <c r="S725" s="141" t="s">
        <v>222</v>
      </c>
      <c r="T725" s="141" t="s">
        <v>222</v>
      </c>
      <c r="U725" s="141" t="s">
        <v>222</v>
      </c>
      <c r="V725" s="141" t="s">
        <v>222</v>
      </c>
      <c r="W725" s="141"/>
      <c r="X725" s="141"/>
      <c r="Y725" s="141"/>
      <c r="Z725" s="141"/>
    </row>
    <row r="726">
      <c r="A726" s="141"/>
      <c r="B726" s="141" t="s">
        <v>222</v>
      </c>
      <c r="C726" s="141" t="s">
        <v>222</v>
      </c>
      <c r="D726" s="141" t="s">
        <v>222</v>
      </c>
      <c r="E726" s="141" t="s">
        <v>222</v>
      </c>
      <c r="F726" s="141" t="s">
        <v>222</v>
      </c>
      <c r="G726" s="141" t="s">
        <v>222</v>
      </c>
      <c r="H726" s="141" t="s">
        <v>222</v>
      </c>
      <c r="I726" s="141" t="s">
        <v>222</v>
      </c>
      <c r="J726" s="141" t="s">
        <v>222</v>
      </c>
      <c r="K726" s="141" t="s">
        <v>222</v>
      </c>
      <c r="L726" s="141" t="s">
        <v>222</v>
      </c>
      <c r="M726" s="141" t="s">
        <v>222</v>
      </c>
      <c r="N726" s="141" t="s">
        <v>222</v>
      </c>
      <c r="O726" s="141" t="s">
        <v>222</v>
      </c>
      <c r="P726" s="141" t="s">
        <v>222</v>
      </c>
      <c r="Q726" s="141" t="s">
        <v>222</v>
      </c>
      <c r="R726" s="141" t="s">
        <v>222</v>
      </c>
      <c r="S726" s="141" t="s">
        <v>222</v>
      </c>
      <c r="T726" s="141" t="s">
        <v>222</v>
      </c>
      <c r="U726" s="141" t="s">
        <v>222</v>
      </c>
      <c r="V726" s="141" t="s">
        <v>222</v>
      </c>
      <c r="W726" s="141"/>
      <c r="X726" s="141"/>
      <c r="Y726" s="141"/>
      <c r="Z726" s="141"/>
    </row>
    <row r="727">
      <c r="A727" s="141"/>
      <c r="B727" s="141" t="s">
        <v>222</v>
      </c>
      <c r="C727" s="141" t="s">
        <v>222</v>
      </c>
      <c r="D727" s="141" t="s">
        <v>222</v>
      </c>
      <c r="E727" s="141" t="s">
        <v>222</v>
      </c>
      <c r="F727" s="141" t="s">
        <v>222</v>
      </c>
      <c r="G727" s="141" t="s">
        <v>222</v>
      </c>
      <c r="H727" s="141" t="s">
        <v>222</v>
      </c>
      <c r="I727" s="141" t="s">
        <v>222</v>
      </c>
      <c r="J727" s="141" t="s">
        <v>222</v>
      </c>
      <c r="K727" s="141" t="s">
        <v>222</v>
      </c>
      <c r="L727" s="141" t="s">
        <v>222</v>
      </c>
      <c r="M727" s="141" t="s">
        <v>222</v>
      </c>
      <c r="N727" s="141" t="s">
        <v>222</v>
      </c>
      <c r="O727" s="141" t="s">
        <v>222</v>
      </c>
      <c r="P727" s="141" t="s">
        <v>222</v>
      </c>
      <c r="Q727" s="141" t="s">
        <v>222</v>
      </c>
      <c r="R727" s="141" t="s">
        <v>222</v>
      </c>
      <c r="S727" s="141" t="s">
        <v>222</v>
      </c>
      <c r="T727" s="141" t="s">
        <v>222</v>
      </c>
      <c r="U727" s="141" t="s">
        <v>222</v>
      </c>
      <c r="V727" s="141" t="s">
        <v>222</v>
      </c>
      <c r="W727" s="141"/>
      <c r="X727" s="141"/>
      <c r="Y727" s="141"/>
      <c r="Z727" s="141"/>
    </row>
    <row r="728">
      <c r="A728" s="141"/>
      <c r="B728" s="141" t="s">
        <v>222</v>
      </c>
      <c r="C728" s="141" t="s">
        <v>222</v>
      </c>
      <c r="D728" s="141" t="s">
        <v>222</v>
      </c>
      <c r="E728" s="141" t="s">
        <v>222</v>
      </c>
      <c r="F728" s="141" t="s">
        <v>222</v>
      </c>
      <c r="G728" s="141" t="s">
        <v>222</v>
      </c>
      <c r="H728" s="141" t="s">
        <v>222</v>
      </c>
      <c r="I728" s="141" t="s">
        <v>222</v>
      </c>
      <c r="J728" s="141" t="s">
        <v>222</v>
      </c>
      <c r="K728" s="141" t="s">
        <v>222</v>
      </c>
      <c r="L728" s="141" t="s">
        <v>222</v>
      </c>
      <c r="M728" s="141" t="s">
        <v>222</v>
      </c>
      <c r="N728" s="141" t="s">
        <v>222</v>
      </c>
      <c r="O728" s="141" t="s">
        <v>222</v>
      </c>
      <c r="P728" s="141" t="s">
        <v>222</v>
      </c>
      <c r="Q728" s="141" t="s">
        <v>222</v>
      </c>
      <c r="R728" s="141" t="s">
        <v>222</v>
      </c>
      <c r="S728" s="141" t="s">
        <v>222</v>
      </c>
      <c r="T728" s="141" t="s">
        <v>222</v>
      </c>
      <c r="U728" s="141" t="s">
        <v>222</v>
      </c>
      <c r="V728" s="141" t="s">
        <v>222</v>
      </c>
      <c r="W728" s="141"/>
      <c r="X728" s="141"/>
      <c r="Y728" s="141"/>
      <c r="Z728" s="141"/>
    </row>
    <row r="729">
      <c r="A729" s="141"/>
      <c r="B729" s="141" t="s">
        <v>222</v>
      </c>
      <c r="C729" s="141" t="s">
        <v>222</v>
      </c>
      <c r="D729" s="141" t="s">
        <v>222</v>
      </c>
      <c r="E729" s="141" t="s">
        <v>222</v>
      </c>
      <c r="F729" s="141" t="s">
        <v>222</v>
      </c>
      <c r="G729" s="141" t="s">
        <v>222</v>
      </c>
      <c r="H729" s="141" t="s">
        <v>222</v>
      </c>
      <c r="I729" s="141" t="s">
        <v>222</v>
      </c>
      <c r="J729" s="141" t="s">
        <v>222</v>
      </c>
      <c r="K729" s="141" t="s">
        <v>222</v>
      </c>
      <c r="L729" s="141" t="s">
        <v>222</v>
      </c>
      <c r="M729" s="141" t="s">
        <v>222</v>
      </c>
      <c r="N729" s="141" t="s">
        <v>222</v>
      </c>
      <c r="O729" s="141" t="s">
        <v>222</v>
      </c>
      <c r="P729" s="141" t="s">
        <v>222</v>
      </c>
      <c r="Q729" s="141" t="s">
        <v>222</v>
      </c>
      <c r="R729" s="141" t="s">
        <v>222</v>
      </c>
      <c r="S729" s="141" t="s">
        <v>222</v>
      </c>
      <c r="T729" s="141" t="s">
        <v>222</v>
      </c>
      <c r="U729" s="141" t="s">
        <v>222</v>
      </c>
      <c r="V729" s="141" t="s">
        <v>222</v>
      </c>
      <c r="W729" s="141"/>
      <c r="X729" s="141"/>
      <c r="Y729" s="141"/>
      <c r="Z729" s="141"/>
    </row>
    <row r="730">
      <c r="A730" s="141"/>
      <c r="B730" s="141" t="s">
        <v>222</v>
      </c>
      <c r="C730" s="141" t="s">
        <v>222</v>
      </c>
      <c r="D730" s="141" t="s">
        <v>222</v>
      </c>
      <c r="E730" s="141" t="s">
        <v>222</v>
      </c>
      <c r="F730" s="141" t="s">
        <v>222</v>
      </c>
      <c r="G730" s="141" t="s">
        <v>222</v>
      </c>
      <c r="H730" s="141" t="s">
        <v>222</v>
      </c>
      <c r="I730" s="141" t="s">
        <v>222</v>
      </c>
      <c r="J730" s="141" t="s">
        <v>222</v>
      </c>
      <c r="K730" s="141" t="s">
        <v>222</v>
      </c>
      <c r="L730" s="141" t="s">
        <v>222</v>
      </c>
      <c r="M730" s="141" t="s">
        <v>222</v>
      </c>
      <c r="N730" s="141" t="s">
        <v>222</v>
      </c>
      <c r="O730" s="141" t="s">
        <v>222</v>
      </c>
      <c r="P730" s="141" t="s">
        <v>222</v>
      </c>
      <c r="Q730" s="141" t="s">
        <v>222</v>
      </c>
      <c r="R730" s="141" t="s">
        <v>222</v>
      </c>
      <c r="S730" s="141" t="s">
        <v>222</v>
      </c>
      <c r="T730" s="141" t="s">
        <v>222</v>
      </c>
      <c r="U730" s="141" t="s">
        <v>222</v>
      </c>
      <c r="V730" s="141" t="s">
        <v>222</v>
      </c>
      <c r="W730" s="141"/>
      <c r="X730" s="141"/>
      <c r="Y730" s="141"/>
      <c r="Z730" s="141"/>
    </row>
    <row r="731">
      <c r="A731" s="141"/>
      <c r="B731" s="141" t="s">
        <v>222</v>
      </c>
      <c r="C731" s="141" t="s">
        <v>222</v>
      </c>
      <c r="D731" s="141" t="s">
        <v>222</v>
      </c>
      <c r="E731" s="141" t="s">
        <v>222</v>
      </c>
      <c r="F731" s="141" t="s">
        <v>222</v>
      </c>
      <c r="G731" s="141" t="s">
        <v>222</v>
      </c>
      <c r="H731" s="141" t="s">
        <v>222</v>
      </c>
      <c r="I731" s="141" t="s">
        <v>222</v>
      </c>
      <c r="J731" s="141" t="s">
        <v>222</v>
      </c>
      <c r="K731" s="141" t="s">
        <v>222</v>
      </c>
      <c r="L731" s="141" t="s">
        <v>222</v>
      </c>
      <c r="M731" s="141" t="s">
        <v>222</v>
      </c>
      <c r="N731" s="141" t="s">
        <v>222</v>
      </c>
      <c r="O731" s="141" t="s">
        <v>222</v>
      </c>
      <c r="P731" s="141" t="s">
        <v>222</v>
      </c>
      <c r="Q731" s="141" t="s">
        <v>222</v>
      </c>
      <c r="R731" s="141" t="s">
        <v>222</v>
      </c>
      <c r="S731" s="141" t="s">
        <v>222</v>
      </c>
      <c r="T731" s="141" t="s">
        <v>222</v>
      </c>
      <c r="U731" s="141" t="s">
        <v>222</v>
      </c>
      <c r="V731" s="141" t="s">
        <v>222</v>
      </c>
      <c r="W731" s="141"/>
      <c r="X731" s="141"/>
      <c r="Y731" s="141"/>
      <c r="Z731" s="141"/>
    </row>
    <row r="732">
      <c r="A732" s="141"/>
      <c r="B732" s="141" t="s">
        <v>222</v>
      </c>
      <c r="C732" s="141" t="s">
        <v>222</v>
      </c>
      <c r="D732" s="141" t="s">
        <v>222</v>
      </c>
      <c r="E732" s="141" t="s">
        <v>222</v>
      </c>
      <c r="F732" s="141" t="s">
        <v>222</v>
      </c>
      <c r="G732" s="141" t="s">
        <v>222</v>
      </c>
      <c r="H732" s="141" t="s">
        <v>222</v>
      </c>
      <c r="I732" s="141" t="s">
        <v>222</v>
      </c>
      <c r="J732" s="141" t="s">
        <v>222</v>
      </c>
      <c r="K732" s="141" t="s">
        <v>222</v>
      </c>
      <c r="L732" s="141" t="s">
        <v>222</v>
      </c>
      <c r="M732" s="141" t="s">
        <v>222</v>
      </c>
      <c r="N732" s="141" t="s">
        <v>222</v>
      </c>
      <c r="O732" s="141" t="s">
        <v>222</v>
      </c>
      <c r="P732" s="141" t="s">
        <v>222</v>
      </c>
      <c r="Q732" s="141" t="s">
        <v>222</v>
      </c>
      <c r="R732" s="141" t="s">
        <v>222</v>
      </c>
      <c r="S732" s="141" t="s">
        <v>222</v>
      </c>
      <c r="T732" s="141" t="s">
        <v>222</v>
      </c>
      <c r="U732" s="141" t="s">
        <v>222</v>
      </c>
      <c r="V732" s="141" t="s">
        <v>222</v>
      </c>
      <c r="W732" s="141"/>
      <c r="X732" s="141"/>
      <c r="Y732" s="141"/>
      <c r="Z732" s="141"/>
    </row>
    <row r="733">
      <c r="A733" s="141"/>
      <c r="B733" s="141" t="s">
        <v>222</v>
      </c>
      <c r="C733" s="141" t="s">
        <v>222</v>
      </c>
      <c r="D733" s="141" t="s">
        <v>222</v>
      </c>
      <c r="E733" s="141" t="s">
        <v>222</v>
      </c>
      <c r="F733" s="141" t="s">
        <v>222</v>
      </c>
      <c r="G733" s="141" t="s">
        <v>222</v>
      </c>
      <c r="H733" s="141" t="s">
        <v>222</v>
      </c>
      <c r="I733" s="141" t="s">
        <v>222</v>
      </c>
      <c r="J733" s="141" t="s">
        <v>222</v>
      </c>
      <c r="K733" s="141" t="s">
        <v>222</v>
      </c>
      <c r="L733" s="141" t="s">
        <v>222</v>
      </c>
      <c r="M733" s="141" t="s">
        <v>222</v>
      </c>
      <c r="N733" s="141" t="s">
        <v>222</v>
      </c>
      <c r="O733" s="141" t="s">
        <v>222</v>
      </c>
      <c r="P733" s="141" t="s">
        <v>222</v>
      </c>
      <c r="Q733" s="141" t="s">
        <v>222</v>
      </c>
      <c r="R733" s="141" t="s">
        <v>222</v>
      </c>
      <c r="S733" s="141" t="s">
        <v>222</v>
      </c>
      <c r="T733" s="141" t="s">
        <v>222</v>
      </c>
      <c r="U733" s="141" t="s">
        <v>222</v>
      </c>
      <c r="V733" s="141" t="s">
        <v>222</v>
      </c>
      <c r="W733" s="141"/>
      <c r="X733" s="141"/>
      <c r="Y733" s="141"/>
      <c r="Z733" s="141"/>
    </row>
    <row r="734">
      <c r="A734" s="141"/>
      <c r="B734" s="141" t="s">
        <v>222</v>
      </c>
      <c r="C734" s="141" t="s">
        <v>222</v>
      </c>
      <c r="D734" s="141" t="s">
        <v>222</v>
      </c>
      <c r="E734" s="141" t="s">
        <v>222</v>
      </c>
      <c r="F734" s="141" t="s">
        <v>222</v>
      </c>
      <c r="G734" s="141" t="s">
        <v>222</v>
      </c>
      <c r="H734" s="141" t="s">
        <v>222</v>
      </c>
      <c r="I734" s="141" t="s">
        <v>222</v>
      </c>
      <c r="J734" s="141" t="s">
        <v>222</v>
      </c>
      <c r="K734" s="141" t="s">
        <v>222</v>
      </c>
      <c r="L734" s="141" t="s">
        <v>222</v>
      </c>
      <c r="M734" s="141" t="s">
        <v>222</v>
      </c>
      <c r="N734" s="141" t="s">
        <v>222</v>
      </c>
      <c r="O734" s="141" t="s">
        <v>222</v>
      </c>
      <c r="P734" s="141" t="s">
        <v>222</v>
      </c>
      <c r="Q734" s="141" t="s">
        <v>222</v>
      </c>
      <c r="R734" s="141" t="s">
        <v>222</v>
      </c>
      <c r="S734" s="141" t="s">
        <v>222</v>
      </c>
      <c r="T734" s="141" t="s">
        <v>222</v>
      </c>
      <c r="U734" s="141" t="s">
        <v>222</v>
      </c>
      <c r="V734" s="141" t="s">
        <v>222</v>
      </c>
      <c r="W734" s="141"/>
      <c r="X734" s="141"/>
      <c r="Y734" s="141"/>
      <c r="Z734" s="141"/>
    </row>
    <row r="735">
      <c r="A735" s="141"/>
      <c r="B735" s="141" t="s">
        <v>222</v>
      </c>
      <c r="C735" s="141" t="s">
        <v>222</v>
      </c>
      <c r="D735" s="141" t="s">
        <v>222</v>
      </c>
      <c r="E735" s="141" t="s">
        <v>222</v>
      </c>
      <c r="F735" s="141" t="s">
        <v>222</v>
      </c>
      <c r="G735" s="141" t="s">
        <v>222</v>
      </c>
      <c r="H735" s="141" t="s">
        <v>222</v>
      </c>
      <c r="I735" s="141" t="s">
        <v>222</v>
      </c>
      <c r="J735" s="141" t="s">
        <v>222</v>
      </c>
      <c r="K735" s="141" t="s">
        <v>222</v>
      </c>
      <c r="L735" s="141" t="s">
        <v>222</v>
      </c>
      <c r="M735" s="141" t="s">
        <v>222</v>
      </c>
      <c r="N735" s="141" t="s">
        <v>222</v>
      </c>
      <c r="O735" s="141" t="s">
        <v>222</v>
      </c>
      <c r="P735" s="141" t="s">
        <v>222</v>
      </c>
      <c r="Q735" s="141" t="s">
        <v>222</v>
      </c>
      <c r="R735" s="141" t="s">
        <v>222</v>
      </c>
      <c r="S735" s="141" t="s">
        <v>222</v>
      </c>
      <c r="T735" s="141" t="s">
        <v>222</v>
      </c>
      <c r="U735" s="141" t="s">
        <v>222</v>
      </c>
      <c r="V735" s="141" t="s">
        <v>222</v>
      </c>
      <c r="W735" s="141"/>
      <c r="X735" s="141"/>
      <c r="Y735" s="141"/>
      <c r="Z735" s="141"/>
    </row>
    <row r="736">
      <c r="A736" s="141"/>
      <c r="B736" s="141" t="s">
        <v>222</v>
      </c>
      <c r="C736" s="141" t="s">
        <v>222</v>
      </c>
      <c r="D736" s="141" t="s">
        <v>222</v>
      </c>
      <c r="E736" s="141" t="s">
        <v>222</v>
      </c>
      <c r="F736" s="141" t="s">
        <v>222</v>
      </c>
      <c r="G736" s="141" t="s">
        <v>222</v>
      </c>
      <c r="H736" s="141" t="s">
        <v>222</v>
      </c>
      <c r="I736" s="141" t="s">
        <v>222</v>
      </c>
      <c r="J736" s="141" t="s">
        <v>222</v>
      </c>
      <c r="K736" s="141" t="s">
        <v>222</v>
      </c>
      <c r="L736" s="141" t="s">
        <v>222</v>
      </c>
      <c r="M736" s="141" t="s">
        <v>222</v>
      </c>
      <c r="N736" s="141" t="s">
        <v>222</v>
      </c>
      <c r="O736" s="141" t="s">
        <v>222</v>
      </c>
      <c r="P736" s="141" t="s">
        <v>222</v>
      </c>
      <c r="Q736" s="141" t="s">
        <v>222</v>
      </c>
      <c r="R736" s="141" t="s">
        <v>222</v>
      </c>
      <c r="S736" s="141" t="s">
        <v>222</v>
      </c>
      <c r="T736" s="141" t="s">
        <v>222</v>
      </c>
      <c r="U736" s="141" t="s">
        <v>222</v>
      </c>
      <c r="V736" s="141" t="s">
        <v>222</v>
      </c>
      <c r="W736" s="141"/>
      <c r="X736" s="141"/>
      <c r="Y736" s="141"/>
      <c r="Z736" s="141"/>
    </row>
    <row r="737">
      <c r="A737" s="141"/>
      <c r="B737" s="141" t="s">
        <v>222</v>
      </c>
      <c r="C737" s="141" t="s">
        <v>222</v>
      </c>
      <c r="D737" s="141" t="s">
        <v>222</v>
      </c>
      <c r="E737" s="141" t="s">
        <v>222</v>
      </c>
      <c r="F737" s="141" t="s">
        <v>222</v>
      </c>
      <c r="G737" s="141" t="s">
        <v>222</v>
      </c>
      <c r="H737" s="141" t="s">
        <v>222</v>
      </c>
      <c r="I737" s="141" t="s">
        <v>222</v>
      </c>
      <c r="J737" s="141" t="s">
        <v>222</v>
      </c>
      <c r="K737" s="141" t="s">
        <v>222</v>
      </c>
      <c r="L737" s="141" t="s">
        <v>222</v>
      </c>
      <c r="M737" s="141" t="s">
        <v>222</v>
      </c>
      <c r="N737" s="141" t="s">
        <v>222</v>
      </c>
      <c r="O737" s="141" t="s">
        <v>222</v>
      </c>
      <c r="P737" s="141" t="s">
        <v>222</v>
      </c>
      <c r="Q737" s="141" t="s">
        <v>222</v>
      </c>
      <c r="R737" s="141" t="s">
        <v>222</v>
      </c>
      <c r="S737" s="141" t="s">
        <v>222</v>
      </c>
      <c r="T737" s="141" t="s">
        <v>222</v>
      </c>
      <c r="U737" s="141" t="s">
        <v>222</v>
      </c>
      <c r="V737" s="141" t="s">
        <v>222</v>
      </c>
      <c r="W737" s="141"/>
      <c r="X737" s="141"/>
      <c r="Y737" s="141"/>
      <c r="Z737" s="141"/>
    </row>
    <row r="738">
      <c r="A738" s="141"/>
      <c r="B738" s="141" t="s">
        <v>222</v>
      </c>
      <c r="C738" s="141" t="s">
        <v>222</v>
      </c>
      <c r="D738" s="141" t="s">
        <v>222</v>
      </c>
      <c r="E738" s="141" t="s">
        <v>222</v>
      </c>
      <c r="F738" s="141" t="s">
        <v>222</v>
      </c>
      <c r="G738" s="141" t="s">
        <v>222</v>
      </c>
      <c r="H738" s="141" t="s">
        <v>222</v>
      </c>
      <c r="I738" s="141" t="s">
        <v>222</v>
      </c>
      <c r="J738" s="141" t="s">
        <v>222</v>
      </c>
      <c r="K738" s="141" t="s">
        <v>222</v>
      </c>
      <c r="L738" s="141" t="s">
        <v>222</v>
      </c>
      <c r="M738" s="141" t="s">
        <v>222</v>
      </c>
      <c r="N738" s="141" t="s">
        <v>222</v>
      </c>
      <c r="O738" s="141" t="s">
        <v>222</v>
      </c>
      <c r="P738" s="141" t="s">
        <v>222</v>
      </c>
      <c r="Q738" s="141" t="s">
        <v>222</v>
      </c>
      <c r="R738" s="141" t="s">
        <v>222</v>
      </c>
      <c r="S738" s="141" t="s">
        <v>222</v>
      </c>
      <c r="T738" s="141" t="s">
        <v>222</v>
      </c>
      <c r="U738" s="141" t="s">
        <v>222</v>
      </c>
      <c r="V738" s="141" t="s">
        <v>222</v>
      </c>
      <c r="W738" s="141"/>
      <c r="X738" s="141"/>
      <c r="Y738" s="141"/>
      <c r="Z738" s="141"/>
    </row>
    <row r="739">
      <c r="A739" s="141"/>
      <c r="B739" s="141" t="s">
        <v>222</v>
      </c>
      <c r="C739" s="141" t="s">
        <v>222</v>
      </c>
      <c r="D739" s="141" t="s">
        <v>222</v>
      </c>
      <c r="E739" s="141" t="s">
        <v>222</v>
      </c>
      <c r="F739" s="141" t="s">
        <v>222</v>
      </c>
      <c r="G739" s="141" t="s">
        <v>222</v>
      </c>
      <c r="H739" s="141" t="s">
        <v>222</v>
      </c>
      <c r="I739" s="141" t="s">
        <v>222</v>
      </c>
      <c r="J739" s="141" t="s">
        <v>222</v>
      </c>
      <c r="K739" s="141" t="s">
        <v>222</v>
      </c>
      <c r="L739" s="141" t="s">
        <v>222</v>
      </c>
      <c r="M739" s="141" t="s">
        <v>222</v>
      </c>
      <c r="N739" s="141" t="s">
        <v>222</v>
      </c>
      <c r="O739" s="141" t="s">
        <v>222</v>
      </c>
      <c r="P739" s="141" t="s">
        <v>222</v>
      </c>
      <c r="Q739" s="141" t="s">
        <v>222</v>
      </c>
      <c r="R739" s="141" t="s">
        <v>222</v>
      </c>
      <c r="S739" s="141" t="s">
        <v>222</v>
      </c>
      <c r="T739" s="141" t="s">
        <v>222</v>
      </c>
      <c r="U739" s="141" t="s">
        <v>222</v>
      </c>
      <c r="V739" s="141" t="s">
        <v>222</v>
      </c>
      <c r="W739" s="141"/>
      <c r="X739" s="141"/>
      <c r="Y739" s="141"/>
      <c r="Z739" s="141"/>
    </row>
    <row r="740">
      <c r="A740" s="141"/>
      <c r="B740" s="141" t="s">
        <v>222</v>
      </c>
      <c r="C740" s="141" t="s">
        <v>222</v>
      </c>
      <c r="D740" s="141" t="s">
        <v>222</v>
      </c>
      <c r="E740" s="141" t="s">
        <v>222</v>
      </c>
      <c r="F740" s="141" t="s">
        <v>222</v>
      </c>
      <c r="G740" s="141" t="s">
        <v>222</v>
      </c>
      <c r="H740" s="141" t="s">
        <v>222</v>
      </c>
      <c r="I740" s="141" t="s">
        <v>222</v>
      </c>
      <c r="J740" s="141" t="s">
        <v>222</v>
      </c>
      <c r="K740" s="141" t="s">
        <v>222</v>
      </c>
      <c r="L740" s="141" t="s">
        <v>222</v>
      </c>
      <c r="M740" s="141" t="s">
        <v>222</v>
      </c>
      <c r="N740" s="141" t="s">
        <v>222</v>
      </c>
      <c r="O740" s="141" t="s">
        <v>222</v>
      </c>
      <c r="P740" s="141" t="s">
        <v>222</v>
      </c>
      <c r="Q740" s="141" t="s">
        <v>222</v>
      </c>
      <c r="R740" s="141" t="s">
        <v>222</v>
      </c>
      <c r="S740" s="141" t="s">
        <v>222</v>
      </c>
      <c r="T740" s="141" t="s">
        <v>222</v>
      </c>
      <c r="U740" s="141" t="s">
        <v>222</v>
      </c>
      <c r="V740" s="141" t="s">
        <v>222</v>
      </c>
      <c r="W740" s="141"/>
      <c r="X740" s="141"/>
      <c r="Y740" s="141"/>
      <c r="Z740" s="141"/>
    </row>
    <row r="741">
      <c r="A741" s="141"/>
      <c r="B741" s="141" t="s">
        <v>222</v>
      </c>
      <c r="C741" s="141" t="s">
        <v>222</v>
      </c>
      <c r="D741" s="141" t="s">
        <v>222</v>
      </c>
      <c r="E741" s="141" t="s">
        <v>222</v>
      </c>
      <c r="F741" s="141" t="s">
        <v>222</v>
      </c>
      <c r="G741" s="141" t="s">
        <v>222</v>
      </c>
      <c r="H741" s="141" t="s">
        <v>222</v>
      </c>
      <c r="I741" s="141" t="s">
        <v>222</v>
      </c>
      <c r="J741" s="141" t="s">
        <v>222</v>
      </c>
      <c r="K741" s="141" t="s">
        <v>222</v>
      </c>
      <c r="L741" s="141" t="s">
        <v>222</v>
      </c>
      <c r="M741" s="141" t="s">
        <v>222</v>
      </c>
      <c r="N741" s="141" t="s">
        <v>222</v>
      </c>
      <c r="O741" s="141" t="s">
        <v>222</v>
      </c>
      <c r="P741" s="141" t="s">
        <v>222</v>
      </c>
      <c r="Q741" s="141" t="s">
        <v>222</v>
      </c>
      <c r="R741" s="141" t="s">
        <v>222</v>
      </c>
      <c r="S741" s="141" t="s">
        <v>222</v>
      </c>
      <c r="T741" s="141" t="s">
        <v>222</v>
      </c>
      <c r="U741" s="141" t="s">
        <v>222</v>
      </c>
      <c r="V741" s="141" t="s">
        <v>222</v>
      </c>
      <c r="W741" s="141"/>
      <c r="X741" s="141"/>
      <c r="Y741" s="141"/>
      <c r="Z741" s="141"/>
    </row>
    <row r="742">
      <c r="A742" s="141"/>
      <c r="B742" s="141" t="s">
        <v>222</v>
      </c>
      <c r="C742" s="141" t="s">
        <v>222</v>
      </c>
      <c r="D742" s="141" t="s">
        <v>222</v>
      </c>
      <c r="E742" s="141" t="s">
        <v>222</v>
      </c>
      <c r="F742" s="141" t="s">
        <v>222</v>
      </c>
      <c r="G742" s="141" t="s">
        <v>222</v>
      </c>
      <c r="H742" s="141" t="s">
        <v>222</v>
      </c>
      <c r="I742" s="141" t="s">
        <v>222</v>
      </c>
      <c r="J742" s="141" t="s">
        <v>222</v>
      </c>
      <c r="K742" s="141" t="s">
        <v>222</v>
      </c>
      <c r="L742" s="141" t="s">
        <v>222</v>
      </c>
      <c r="M742" s="141" t="s">
        <v>222</v>
      </c>
      <c r="N742" s="141" t="s">
        <v>222</v>
      </c>
      <c r="O742" s="141" t="s">
        <v>222</v>
      </c>
      <c r="P742" s="141" t="s">
        <v>222</v>
      </c>
      <c r="Q742" s="141" t="s">
        <v>222</v>
      </c>
      <c r="R742" s="141" t="s">
        <v>222</v>
      </c>
      <c r="S742" s="141" t="s">
        <v>222</v>
      </c>
      <c r="T742" s="141" t="s">
        <v>222</v>
      </c>
      <c r="U742" s="141" t="s">
        <v>222</v>
      </c>
      <c r="V742" s="141" t="s">
        <v>222</v>
      </c>
      <c r="W742" s="141"/>
      <c r="X742" s="141"/>
      <c r="Y742" s="141"/>
      <c r="Z742" s="141"/>
    </row>
    <row r="743">
      <c r="A743" s="141"/>
      <c r="B743" s="141" t="s">
        <v>222</v>
      </c>
      <c r="C743" s="141" t="s">
        <v>222</v>
      </c>
      <c r="D743" s="141" t="s">
        <v>222</v>
      </c>
      <c r="E743" s="141" t="s">
        <v>222</v>
      </c>
      <c r="F743" s="141" t="s">
        <v>222</v>
      </c>
      <c r="G743" s="141" t="s">
        <v>222</v>
      </c>
      <c r="H743" s="141" t="s">
        <v>222</v>
      </c>
      <c r="I743" s="141" t="s">
        <v>222</v>
      </c>
      <c r="J743" s="141" t="s">
        <v>222</v>
      </c>
      <c r="K743" s="141" t="s">
        <v>222</v>
      </c>
      <c r="L743" s="141" t="s">
        <v>222</v>
      </c>
      <c r="M743" s="141" t="s">
        <v>222</v>
      </c>
      <c r="N743" s="141" t="s">
        <v>222</v>
      </c>
      <c r="O743" s="141" t="s">
        <v>222</v>
      </c>
      <c r="P743" s="141" t="s">
        <v>222</v>
      </c>
      <c r="Q743" s="141" t="s">
        <v>222</v>
      </c>
      <c r="R743" s="141" t="s">
        <v>222</v>
      </c>
      <c r="S743" s="141" t="s">
        <v>222</v>
      </c>
      <c r="T743" s="141" t="s">
        <v>222</v>
      </c>
      <c r="U743" s="141" t="s">
        <v>222</v>
      </c>
      <c r="V743" s="141" t="s">
        <v>222</v>
      </c>
      <c r="W743" s="141"/>
      <c r="X743" s="141"/>
      <c r="Y743" s="141"/>
      <c r="Z743" s="141"/>
    </row>
    <row r="744">
      <c r="A744" s="141"/>
      <c r="B744" s="141" t="s">
        <v>222</v>
      </c>
      <c r="C744" s="141" t="s">
        <v>222</v>
      </c>
      <c r="D744" s="141" t="s">
        <v>222</v>
      </c>
      <c r="E744" s="141" t="s">
        <v>222</v>
      </c>
      <c r="F744" s="141" t="s">
        <v>222</v>
      </c>
      <c r="G744" s="141" t="s">
        <v>222</v>
      </c>
      <c r="H744" s="141" t="s">
        <v>222</v>
      </c>
      <c r="I744" s="141" t="s">
        <v>222</v>
      </c>
      <c r="J744" s="141" t="s">
        <v>222</v>
      </c>
      <c r="K744" s="141" t="s">
        <v>222</v>
      </c>
      <c r="L744" s="141" t="s">
        <v>222</v>
      </c>
      <c r="M744" s="141" t="s">
        <v>222</v>
      </c>
      <c r="N744" s="141" t="s">
        <v>222</v>
      </c>
      <c r="O744" s="141" t="s">
        <v>222</v>
      </c>
      <c r="P744" s="141" t="s">
        <v>222</v>
      </c>
      <c r="Q744" s="141" t="s">
        <v>222</v>
      </c>
      <c r="R744" s="141" t="s">
        <v>222</v>
      </c>
      <c r="S744" s="141" t="s">
        <v>222</v>
      </c>
      <c r="T744" s="141" t="s">
        <v>222</v>
      </c>
      <c r="U744" s="141" t="s">
        <v>222</v>
      </c>
      <c r="V744" s="141" t="s">
        <v>222</v>
      </c>
      <c r="W744" s="141"/>
      <c r="X744" s="141"/>
      <c r="Y744" s="141"/>
      <c r="Z744" s="141"/>
    </row>
    <row r="745">
      <c r="A745" s="141"/>
      <c r="B745" s="141" t="s">
        <v>222</v>
      </c>
      <c r="C745" s="141" t="s">
        <v>222</v>
      </c>
      <c r="D745" s="141" t="s">
        <v>222</v>
      </c>
      <c r="E745" s="141" t="s">
        <v>222</v>
      </c>
      <c r="F745" s="141" t="s">
        <v>222</v>
      </c>
      <c r="G745" s="141" t="s">
        <v>222</v>
      </c>
      <c r="H745" s="141" t="s">
        <v>222</v>
      </c>
      <c r="I745" s="141" t="s">
        <v>222</v>
      </c>
      <c r="J745" s="141" t="s">
        <v>222</v>
      </c>
      <c r="K745" s="141" t="s">
        <v>222</v>
      </c>
      <c r="L745" s="141" t="s">
        <v>222</v>
      </c>
      <c r="M745" s="141" t="s">
        <v>222</v>
      </c>
      <c r="N745" s="141" t="s">
        <v>222</v>
      </c>
      <c r="O745" s="141" t="s">
        <v>222</v>
      </c>
      <c r="P745" s="141" t="s">
        <v>222</v>
      </c>
      <c r="Q745" s="141" t="s">
        <v>222</v>
      </c>
      <c r="R745" s="141" t="s">
        <v>222</v>
      </c>
      <c r="S745" s="141" t="s">
        <v>222</v>
      </c>
      <c r="T745" s="141" t="s">
        <v>222</v>
      </c>
      <c r="U745" s="141" t="s">
        <v>222</v>
      </c>
      <c r="V745" s="141" t="s">
        <v>222</v>
      </c>
      <c r="W745" s="141"/>
      <c r="X745" s="141"/>
      <c r="Y745" s="141"/>
      <c r="Z745" s="141"/>
    </row>
    <row r="746">
      <c r="A746" s="141"/>
      <c r="B746" s="141" t="s">
        <v>222</v>
      </c>
      <c r="C746" s="141" t="s">
        <v>222</v>
      </c>
      <c r="D746" s="141" t="s">
        <v>222</v>
      </c>
      <c r="E746" s="141" t="s">
        <v>222</v>
      </c>
      <c r="F746" s="141" t="s">
        <v>222</v>
      </c>
      <c r="G746" s="141" t="s">
        <v>222</v>
      </c>
      <c r="H746" s="141" t="s">
        <v>222</v>
      </c>
      <c r="I746" s="141" t="s">
        <v>222</v>
      </c>
      <c r="J746" s="141" t="s">
        <v>222</v>
      </c>
      <c r="K746" s="141" t="s">
        <v>222</v>
      </c>
      <c r="L746" s="141" t="s">
        <v>222</v>
      </c>
      <c r="M746" s="141" t="s">
        <v>222</v>
      </c>
      <c r="N746" s="141" t="s">
        <v>222</v>
      </c>
      <c r="O746" s="141" t="s">
        <v>222</v>
      </c>
      <c r="P746" s="141" t="s">
        <v>222</v>
      </c>
      <c r="Q746" s="141" t="s">
        <v>222</v>
      </c>
      <c r="R746" s="141" t="s">
        <v>222</v>
      </c>
      <c r="S746" s="141" t="s">
        <v>222</v>
      </c>
      <c r="T746" s="141" t="s">
        <v>222</v>
      </c>
      <c r="U746" s="141" t="s">
        <v>222</v>
      </c>
      <c r="V746" s="141" t="s">
        <v>222</v>
      </c>
      <c r="W746" s="141"/>
      <c r="X746" s="141"/>
      <c r="Y746" s="141"/>
      <c r="Z746" s="141"/>
    </row>
    <row r="747">
      <c r="A747" s="141"/>
      <c r="B747" s="141" t="s">
        <v>222</v>
      </c>
      <c r="C747" s="141" t="s">
        <v>222</v>
      </c>
      <c r="D747" s="141" t="s">
        <v>222</v>
      </c>
      <c r="E747" s="141" t="s">
        <v>222</v>
      </c>
      <c r="F747" s="141" t="s">
        <v>222</v>
      </c>
      <c r="G747" s="141" t="s">
        <v>222</v>
      </c>
      <c r="H747" s="141" t="s">
        <v>222</v>
      </c>
      <c r="I747" s="141" t="s">
        <v>222</v>
      </c>
      <c r="J747" s="141" t="s">
        <v>222</v>
      </c>
      <c r="K747" s="141" t="s">
        <v>222</v>
      </c>
      <c r="L747" s="141" t="s">
        <v>222</v>
      </c>
      <c r="M747" s="141" t="s">
        <v>222</v>
      </c>
      <c r="N747" s="141" t="s">
        <v>222</v>
      </c>
      <c r="O747" s="141" t="s">
        <v>222</v>
      </c>
      <c r="P747" s="141" t="s">
        <v>222</v>
      </c>
      <c r="Q747" s="141" t="s">
        <v>222</v>
      </c>
      <c r="R747" s="141" t="s">
        <v>222</v>
      </c>
      <c r="S747" s="141" t="s">
        <v>222</v>
      </c>
      <c r="T747" s="141" t="s">
        <v>222</v>
      </c>
      <c r="U747" s="141" t="s">
        <v>222</v>
      </c>
      <c r="V747" s="141" t="s">
        <v>222</v>
      </c>
      <c r="W747" s="141"/>
      <c r="X747" s="141"/>
      <c r="Y747" s="141"/>
      <c r="Z747" s="141"/>
    </row>
    <row r="748">
      <c r="A748" s="141"/>
      <c r="B748" s="141" t="s">
        <v>222</v>
      </c>
      <c r="C748" s="141" t="s">
        <v>222</v>
      </c>
      <c r="D748" s="141" t="s">
        <v>222</v>
      </c>
      <c r="E748" s="141" t="s">
        <v>222</v>
      </c>
      <c r="F748" s="141" t="s">
        <v>222</v>
      </c>
      <c r="G748" s="141" t="s">
        <v>222</v>
      </c>
      <c r="H748" s="141" t="s">
        <v>222</v>
      </c>
      <c r="I748" s="141" t="s">
        <v>222</v>
      </c>
      <c r="J748" s="141" t="s">
        <v>222</v>
      </c>
      <c r="K748" s="141" t="s">
        <v>222</v>
      </c>
      <c r="L748" s="141" t="s">
        <v>222</v>
      </c>
      <c r="M748" s="141" t="s">
        <v>222</v>
      </c>
      <c r="N748" s="141" t="s">
        <v>222</v>
      </c>
      <c r="O748" s="141" t="s">
        <v>222</v>
      </c>
      <c r="P748" s="141" t="s">
        <v>222</v>
      </c>
      <c r="Q748" s="141" t="s">
        <v>222</v>
      </c>
      <c r="R748" s="141" t="s">
        <v>222</v>
      </c>
      <c r="S748" s="141" t="s">
        <v>222</v>
      </c>
      <c r="T748" s="141" t="s">
        <v>222</v>
      </c>
      <c r="U748" s="141" t="s">
        <v>222</v>
      </c>
      <c r="V748" s="141" t="s">
        <v>222</v>
      </c>
      <c r="W748" s="141"/>
      <c r="X748" s="141"/>
      <c r="Y748" s="141"/>
      <c r="Z748" s="141"/>
    </row>
    <row r="749">
      <c r="A749" s="141"/>
      <c r="B749" s="141" t="s">
        <v>222</v>
      </c>
      <c r="C749" s="141" t="s">
        <v>222</v>
      </c>
      <c r="D749" s="141" t="s">
        <v>222</v>
      </c>
      <c r="E749" s="141" t="s">
        <v>222</v>
      </c>
      <c r="F749" s="141" t="s">
        <v>222</v>
      </c>
      <c r="G749" s="141" t="s">
        <v>222</v>
      </c>
      <c r="H749" s="141" t="s">
        <v>222</v>
      </c>
      <c r="I749" s="141" t="s">
        <v>222</v>
      </c>
      <c r="J749" s="141" t="s">
        <v>222</v>
      </c>
      <c r="K749" s="141" t="s">
        <v>222</v>
      </c>
      <c r="L749" s="141" t="s">
        <v>222</v>
      </c>
      <c r="M749" s="141" t="s">
        <v>222</v>
      </c>
      <c r="N749" s="141" t="s">
        <v>222</v>
      </c>
      <c r="O749" s="141" t="s">
        <v>222</v>
      </c>
      <c r="P749" s="141" t="s">
        <v>222</v>
      </c>
      <c r="Q749" s="141" t="s">
        <v>222</v>
      </c>
      <c r="R749" s="141" t="s">
        <v>222</v>
      </c>
      <c r="S749" s="141" t="s">
        <v>222</v>
      </c>
      <c r="T749" s="141" t="s">
        <v>222</v>
      </c>
      <c r="U749" s="141" t="s">
        <v>222</v>
      </c>
      <c r="V749" s="141" t="s">
        <v>222</v>
      </c>
      <c r="W749" s="141"/>
      <c r="X749" s="141"/>
      <c r="Y749" s="141"/>
      <c r="Z749" s="141"/>
    </row>
    <row r="750">
      <c r="A750" s="141"/>
      <c r="B750" s="141" t="s">
        <v>222</v>
      </c>
      <c r="C750" s="141" t="s">
        <v>222</v>
      </c>
      <c r="D750" s="141" t="s">
        <v>222</v>
      </c>
      <c r="E750" s="141" t="s">
        <v>222</v>
      </c>
      <c r="F750" s="141" t="s">
        <v>222</v>
      </c>
      <c r="G750" s="141" t="s">
        <v>222</v>
      </c>
      <c r="H750" s="141" t="s">
        <v>222</v>
      </c>
      <c r="I750" s="141" t="s">
        <v>222</v>
      </c>
      <c r="J750" s="141" t="s">
        <v>222</v>
      </c>
      <c r="K750" s="141" t="s">
        <v>222</v>
      </c>
      <c r="L750" s="141" t="s">
        <v>222</v>
      </c>
      <c r="M750" s="141" t="s">
        <v>222</v>
      </c>
      <c r="N750" s="141" t="s">
        <v>222</v>
      </c>
      <c r="O750" s="141" t="s">
        <v>222</v>
      </c>
      <c r="P750" s="141" t="s">
        <v>222</v>
      </c>
      <c r="Q750" s="141" t="s">
        <v>222</v>
      </c>
      <c r="R750" s="141" t="s">
        <v>222</v>
      </c>
      <c r="S750" s="141" t="s">
        <v>222</v>
      </c>
      <c r="T750" s="141" t="s">
        <v>222</v>
      </c>
      <c r="U750" s="141" t="s">
        <v>222</v>
      </c>
      <c r="V750" s="141" t="s">
        <v>222</v>
      </c>
      <c r="W750" s="141"/>
      <c r="X750" s="141"/>
      <c r="Y750" s="141"/>
      <c r="Z750" s="141"/>
    </row>
    <row r="751">
      <c r="A751" s="141"/>
      <c r="B751" s="141" t="s">
        <v>222</v>
      </c>
      <c r="C751" s="141" t="s">
        <v>222</v>
      </c>
      <c r="D751" s="141" t="s">
        <v>222</v>
      </c>
      <c r="E751" s="141" t="s">
        <v>222</v>
      </c>
      <c r="F751" s="141" t="s">
        <v>222</v>
      </c>
      <c r="G751" s="141" t="s">
        <v>222</v>
      </c>
      <c r="H751" s="141" t="s">
        <v>222</v>
      </c>
      <c r="I751" s="141" t="s">
        <v>222</v>
      </c>
      <c r="J751" s="141" t="s">
        <v>222</v>
      </c>
      <c r="K751" s="141" t="s">
        <v>222</v>
      </c>
      <c r="L751" s="141" t="s">
        <v>222</v>
      </c>
      <c r="M751" s="141" t="s">
        <v>222</v>
      </c>
      <c r="N751" s="141" t="s">
        <v>222</v>
      </c>
      <c r="O751" s="141" t="s">
        <v>222</v>
      </c>
      <c r="P751" s="141" t="s">
        <v>222</v>
      </c>
      <c r="Q751" s="141" t="s">
        <v>222</v>
      </c>
      <c r="R751" s="141" t="s">
        <v>222</v>
      </c>
      <c r="S751" s="141" t="s">
        <v>222</v>
      </c>
      <c r="T751" s="141" t="s">
        <v>222</v>
      </c>
      <c r="U751" s="141" t="s">
        <v>222</v>
      </c>
      <c r="V751" s="141" t="s">
        <v>222</v>
      </c>
      <c r="W751" s="141"/>
      <c r="X751" s="141"/>
      <c r="Y751" s="141"/>
      <c r="Z751" s="141"/>
    </row>
    <row r="752">
      <c r="A752" s="141"/>
      <c r="B752" s="141" t="s">
        <v>222</v>
      </c>
      <c r="C752" s="141" t="s">
        <v>222</v>
      </c>
      <c r="D752" s="141" t="s">
        <v>222</v>
      </c>
      <c r="E752" s="141" t="s">
        <v>222</v>
      </c>
      <c r="F752" s="141" t="s">
        <v>222</v>
      </c>
      <c r="G752" s="141" t="s">
        <v>222</v>
      </c>
      <c r="H752" s="141" t="s">
        <v>222</v>
      </c>
      <c r="I752" s="141" t="s">
        <v>222</v>
      </c>
      <c r="J752" s="141" t="s">
        <v>222</v>
      </c>
      <c r="K752" s="141" t="s">
        <v>222</v>
      </c>
      <c r="L752" s="141" t="s">
        <v>222</v>
      </c>
      <c r="M752" s="141" t="s">
        <v>222</v>
      </c>
      <c r="N752" s="141" t="s">
        <v>222</v>
      </c>
      <c r="O752" s="141" t="s">
        <v>222</v>
      </c>
      <c r="P752" s="141" t="s">
        <v>222</v>
      </c>
      <c r="Q752" s="141" t="s">
        <v>222</v>
      </c>
      <c r="R752" s="141" t="s">
        <v>222</v>
      </c>
      <c r="S752" s="141" t="s">
        <v>222</v>
      </c>
      <c r="T752" s="141" t="s">
        <v>222</v>
      </c>
      <c r="U752" s="141" t="s">
        <v>222</v>
      </c>
      <c r="V752" s="141" t="s">
        <v>222</v>
      </c>
      <c r="W752" s="141"/>
      <c r="X752" s="141"/>
      <c r="Y752" s="141"/>
      <c r="Z752" s="141"/>
    </row>
    <row r="753">
      <c r="A753" s="141"/>
      <c r="B753" s="141" t="s">
        <v>222</v>
      </c>
      <c r="C753" s="141" t="s">
        <v>222</v>
      </c>
      <c r="D753" s="141" t="s">
        <v>222</v>
      </c>
      <c r="E753" s="141" t="s">
        <v>222</v>
      </c>
      <c r="F753" s="141" t="s">
        <v>222</v>
      </c>
      <c r="G753" s="141" t="s">
        <v>222</v>
      </c>
      <c r="H753" s="141" t="s">
        <v>222</v>
      </c>
      <c r="I753" s="141" t="s">
        <v>222</v>
      </c>
      <c r="J753" s="141" t="s">
        <v>222</v>
      </c>
      <c r="K753" s="141" t="s">
        <v>222</v>
      </c>
      <c r="L753" s="141" t="s">
        <v>222</v>
      </c>
      <c r="M753" s="141" t="s">
        <v>222</v>
      </c>
      <c r="N753" s="141" t="s">
        <v>222</v>
      </c>
      <c r="O753" s="141" t="s">
        <v>222</v>
      </c>
      <c r="P753" s="141" t="s">
        <v>222</v>
      </c>
      <c r="Q753" s="141" t="s">
        <v>222</v>
      </c>
      <c r="R753" s="141" t="s">
        <v>222</v>
      </c>
      <c r="S753" s="141" t="s">
        <v>222</v>
      </c>
      <c r="T753" s="141" t="s">
        <v>222</v>
      </c>
      <c r="U753" s="141" t="s">
        <v>222</v>
      </c>
      <c r="V753" s="141" t="s">
        <v>222</v>
      </c>
      <c r="W753" s="141"/>
      <c r="X753" s="141"/>
      <c r="Y753" s="141"/>
      <c r="Z753" s="141"/>
    </row>
    <row r="754">
      <c r="A754" s="141"/>
      <c r="B754" s="141" t="s">
        <v>222</v>
      </c>
      <c r="C754" s="141" t="s">
        <v>222</v>
      </c>
      <c r="D754" s="141" t="s">
        <v>222</v>
      </c>
      <c r="E754" s="141" t="s">
        <v>222</v>
      </c>
      <c r="F754" s="141" t="s">
        <v>222</v>
      </c>
      <c r="G754" s="141" t="s">
        <v>222</v>
      </c>
      <c r="H754" s="141" t="s">
        <v>222</v>
      </c>
      <c r="I754" s="141" t="s">
        <v>222</v>
      </c>
      <c r="J754" s="141" t="s">
        <v>222</v>
      </c>
      <c r="K754" s="141" t="s">
        <v>222</v>
      </c>
      <c r="L754" s="141" t="s">
        <v>222</v>
      </c>
      <c r="M754" s="141" t="s">
        <v>222</v>
      </c>
      <c r="N754" s="141" t="s">
        <v>222</v>
      </c>
      <c r="O754" s="141" t="s">
        <v>222</v>
      </c>
      <c r="P754" s="141" t="s">
        <v>222</v>
      </c>
      <c r="Q754" s="141" t="s">
        <v>222</v>
      </c>
      <c r="R754" s="141" t="s">
        <v>222</v>
      </c>
      <c r="S754" s="141" t="s">
        <v>222</v>
      </c>
      <c r="T754" s="141" t="s">
        <v>222</v>
      </c>
      <c r="U754" s="141" t="s">
        <v>222</v>
      </c>
      <c r="V754" s="141" t="s">
        <v>222</v>
      </c>
      <c r="W754" s="141"/>
      <c r="X754" s="141"/>
      <c r="Y754" s="141"/>
      <c r="Z754" s="141"/>
    </row>
    <row r="755">
      <c r="A755" s="141"/>
      <c r="B755" s="141" t="s">
        <v>222</v>
      </c>
      <c r="C755" s="141" t="s">
        <v>222</v>
      </c>
      <c r="D755" s="141" t="s">
        <v>222</v>
      </c>
      <c r="E755" s="141" t="s">
        <v>222</v>
      </c>
      <c r="F755" s="141" t="s">
        <v>222</v>
      </c>
      <c r="G755" s="141" t="s">
        <v>222</v>
      </c>
      <c r="H755" s="141" t="s">
        <v>222</v>
      </c>
      <c r="I755" s="141" t="s">
        <v>222</v>
      </c>
      <c r="J755" s="141" t="s">
        <v>222</v>
      </c>
      <c r="K755" s="141" t="s">
        <v>222</v>
      </c>
      <c r="L755" s="141" t="s">
        <v>222</v>
      </c>
      <c r="M755" s="141" t="s">
        <v>222</v>
      </c>
      <c r="N755" s="141" t="s">
        <v>222</v>
      </c>
      <c r="O755" s="141" t="s">
        <v>222</v>
      </c>
      <c r="P755" s="141" t="s">
        <v>222</v>
      </c>
      <c r="Q755" s="141" t="s">
        <v>222</v>
      </c>
      <c r="R755" s="141" t="s">
        <v>222</v>
      </c>
      <c r="S755" s="141" t="s">
        <v>222</v>
      </c>
      <c r="T755" s="141" t="s">
        <v>222</v>
      </c>
      <c r="U755" s="141" t="s">
        <v>222</v>
      </c>
      <c r="V755" s="141" t="s">
        <v>222</v>
      </c>
      <c r="W755" s="141"/>
      <c r="X755" s="141"/>
      <c r="Y755" s="141"/>
      <c r="Z755" s="141"/>
    </row>
    <row r="756">
      <c r="A756" s="141"/>
      <c r="B756" s="141" t="s">
        <v>222</v>
      </c>
      <c r="C756" s="141" t="s">
        <v>222</v>
      </c>
      <c r="D756" s="141" t="s">
        <v>222</v>
      </c>
      <c r="E756" s="141" t="s">
        <v>222</v>
      </c>
      <c r="F756" s="141" t="s">
        <v>222</v>
      </c>
      <c r="G756" s="141" t="s">
        <v>222</v>
      </c>
      <c r="H756" s="141" t="s">
        <v>222</v>
      </c>
      <c r="I756" s="141" t="s">
        <v>222</v>
      </c>
      <c r="J756" s="141" t="s">
        <v>222</v>
      </c>
      <c r="K756" s="141" t="s">
        <v>222</v>
      </c>
      <c r="L756" s="141" t="s">
        <v>222</v>
      </c>
      <c r="M756" s="141" t="s">
        <v>222</v>
      </c>
      <c r="N756" s="141" t="s">
        <v>222</v>
      </c>
      <c r="O756" s="141" t="s">
        <v>222</v>
      </c>
      <c r="P756" s="141" t="s">
        <v>222</v>
      </c>
      <c r="Q756" s="141" t="s">
        <v>222</v>
      </c>
      <c r="R756" s="141" t="s">
        <v>222</v>
      </c>
      <c r="S756" s="141" t="s">
        <v>222</v>
      </c>
      <c r="T756" s="141" t="s">
        <v>222</v>
      </c>
      <c r="U756" s="141" t="s">
        <v>222</v>
      </c>
      <c r="V756" s="141" t="s">
        <v>222</v>
      </c>
      <c r="W756" s="141"/>
      <c r="X756" s="141"/>
      <c r="Y756" s="141"/>
      <c r="Z756" s="141"/>
    </row>
    <row r="757">
      <c r="A757" s="141"/>
      <c r="B757" s="141" t="s">
        <v>222</v>
      </c>
      <c r="C757" s="141" t="s">
        <v>222</v>
      </c>
      <c r="D757" s="141" t="s">
        <v>222</v>
      </c>
      <c r="E757" s="141" t="s">
        <v>222</v>
      </c>
      <c r="F757" s="141" t="s">
        <v>222</v>
      </c>
      <c r="G757" s="141" t="s">
        <v>222</v>
      </c>
      <c r="H757" s="141" t="s">
        <v>222</v>
      </c>
      <c r="I757" s="141" t="s">
        <v>222</v>
      </c>
      <c r="J757" s="141" t="s">
        <v>222</v>
      </c>
      <c r="K757" s="141" t="s">
        <v>222</v>
      </c>
      <c r="L757" s="141" t="s">
        <v>222</v>
      </c>
      <c r="M757" s="141" t="s">
        <v>222</v>
      </c>
      <c r="N757" s="141" t="s">
        <v>222</v>
      </c>
      <c r="O757" s="141" t="s">
        <v>222</v>
      </c>
      <c r="P757" s="141" t="s">
        <v>222</v>
      </c>
      <c r="Q757" s="141" t="s">
        <v>222</v>
      </c>
      <c r="R757" s="141" t="s">
        <v>222</v>
      </c>
      <c r="S757" s="141" t="s">
        <v>222</v>
      </c>
      <c r="T757" s="141" t="s">
        <v>222</v>
      </c>
      <c r="U757" s="141" t="s">
        <v>222</v>
      </c>
      <c r="V757" s="141" t="s">
        <v>222</v>
      </c>
      <c r="W757" s="141"/>
      <c r="X757" s="141"/>
      <c r="Y757" s="141"/>
      <c r="Z757" s="141"/>
    </row>
    <row r="758">
      <c r="A758" s="141"/>
      <c r="B758" s="141" t="s">
        <v>222</v>
      </c>
      <c r="C758" s="141" t="s">
        <v>222</v>
      </c>
      <c r="D758" s="141" t="s">
        <v>222</v>
      </c>
      <c r="E758" s="141" t="s">
        <v>222</v>
      </c>
      <c r="F758" s="141" t="s">
        <v>222</v>
      </c>
      <c r="G758" s="141" t="s">
        <v>222</v>
      </c>
      <c r="H758" s="141" t="s">
        <v>222</v>
      </c>
      <c r="I758" s="141" t="s">
        <v>222</v>
      </c>
      <c r="J758" s="141" t="s">
        <v>222</v>
      </c>
      <c r="K758" s="141" t="s">
        <v>222</v>
      </c>
      <c r="L758" s="141" t="s">
        <v>222</v>
      </c>
      <c r="M758" s="141" t="s">
        <v>222</v>
      </c>
      <c r="N758" s="141" t="s">
        <v>222</v>
      </c>
      <c r="O758" s="141" t="s">
        <v>222</v>
      </c>
      <c r="P758" s="141" t="s">
        <v>222</v>
      </c>
      <c r="Q758" s="141" t="s">
        <v>222</v>
      </c>
      <c r="R758" s="141" t="s">
        <v>222</v>
      </c>
      <c r="S758" s="141" t="s">
        <v>222</v>
      </c>
      <c r="T758" s="141" t="s">
        <v>222</v>
      </c>
      <c r="U758" s="141" t="s">
        <v>222</v>
      </c>
      <c r="V758" s="141" t="s">
        <v>222</v>
      </c>
      <c r="W758" s="141"/>
      <c r="X758" s="141"/>
      <c r="Y758" s="141"/>
      <c r="Z758" s="141"/>
    </row>
    <row r="759">
      <c r="A759" s="141"/>
      <c r="B759" s="141" t="s">
        <v>222</v>
      </c>
      <c r="C759" s="141" t="s">
        <v>222</v>
      </c>
      <c r="D759" s="141" t="s">
        <v>222</v>
      </c>
      <c r="E759" s="141" t="s">
        <v>222</v>
      </c>
      <c r="F759" s="141" t="s">
        <v>222</v>
      </c>
      <c r="G759" s="141" t="s">
        <v>222</v>
      </c>
      <c r="H759" s="141" t="s">
        <v>222</v>
      </c>
      <c r="I759" s="141" t="s">
        <v>222</v>
      </c>
      <c r="J759" s="141" t="s">
        <v>222</v>
      </c>
      <c r="K759" s="141" t="s">
        <v>222</v>
      </c>
      <c r="L759" s="141" t="s">
        <v>222</v>
      </c>
      <c r="M759" s="141" t="s">
        <v>222</v>
      </c>
      <c r="N759" s="141" t="s">
        <v>222</v>
      </c>
      <c r="O759" s="141" t="s">
        <v>222</v>
      </c>
      <c r="P759" s="141" t="s">
        <v>222</v>
      </c>
      <c r="Q759" s="141" t="s">
        <v>222</v>
      </c>
      <c r="R759" s="141" t="s">
        <v>222</v>
      </c>
      <c r="S759" s="141" t="s">
        <v>222</v>
      </c>
      <c r="T759" s="141" t="s">
        <v>222</v>
      </c>
      <c r="U759" s="141" t="s">
        <v>222</v>
      </c>
      <c r="V759" s="141" t="s">
        <v>222</v>
      </c>
      <c r="W759" s="141"/>
      <c r="X759" s="141"/>
      <c r="Y759" s="141"/>
      <c r="Z759" s="141"/>
    </row>
    <row r="760">
      <c r="A760" s="141"/>
      <c r="B760" s="141" t="s">
        <v>222</v>
      </c>
      <c r="C760" s="141" t="s">
        <v>222</v>
      </c>
      <c r="D760" s="141" t="s">
        <v>222</v>
      </c>
      <c r="E760" s="141" t="s">
        <v>222</v>
      </c>
      <c r="F760" s="141" t="s">
        <v>222</v>
      </c>
      <c r="G760" s="141" t="s">
        <v>222</v>
      </c>
      <c r="H760" s="141" t="s">
        <v>222</v>
      </c>
      <c r="I760" s="141" t="s">
        <v>222</v>
      </c>
      <c r="J760" s="141" t="s">
        <v>222</v>
      </c>
      <c r="K760" s="141" t="s">
        <v>222</v>
      </c>
      <c r="L760" s="141" t="s">
        <v>222</v>
      </c>
      <c r="M760" s="141" t="s">
        <v>222</v>
      </c>
      <c r="N760" s="141" t="s">
        <v>222</v>
      </c>
      <c r="O760" s="141" t="s">
        <v>222</v>
      </c>
      <c r="P760" s="141" t="s">
        <v>222</v>
      </c>
      <c r="Q760" s="141" t="s">
        <v>222</v>
      </c>
      <c r="R760" s="141" t="s">
        <v>222</v>
      </c>
      <c r="S760" s="141" t="s">
        <v>222</v>
      </c>
      <c r="T760" s="141" t="s">
        <v>222</v>
      </c>
      <c r="U760" s="141" t="s">
        <v>222</v>
      </c>
      <c r="V760" s="141" t="s">
        <v>222</v>
      </c>
      <c r="W760" s="141"/>
      <c r="X760" s="141"/>
      <c r="Y760" s="141"/>
      <c r="Z760" s="141"/>
    </row>
    <row r="761">
      <c r="A761" s="141"/>
      <c r="B761" s="141" t="s">
        <v>222</v>
      </c>
      <c r="C761" s="141" t="s">
        <v>222</v>
      </c>
      <c r="D761" s="141" t="s">
        <v>222</v>
      </c>
      <c r="E761" s="141" t="s">
        <v>222</v>
      </c>
      <c r="F761" s="141" t="s">
        <v>222</v>
      </c>
      <c r="G761" s="141" t="s">
        <v>222</v>
      </c>
      <c r="H761" s="141" t="s">
        <v>222</v>
      </c>
      <c r="I761" s="141" t="s">
        <v>222</v>
      </c>
      <c r="J761" s="141" t="s">
        <v>222</v>
      </c>
      <c r="K761" s="141" t="s">
        <v>222</v>
      </c>
      <c r="L761" s="141" t="s">
        <v>222</v>
      </c>
      <c r="M761" s="141" t="s">
        <v>222</v>
      </c>
      <c r="N761" s="141" t="s">
        <v>222</v>
      </c>
      <c r="O761" s="141" t="s">
        <v>222</v>
      </c>
      <c r="P761" s="141" t="s">
        <v>222</v>
      </c>
      <c r="Q761" s="141" t="s">
        <v>222</v>
      </c>
      <c r="R761" s="141" t="s">
        <v>222</v>
      </c>
      <c r="S761" s="141" t="s">
        <v>222</v>
      </c>
      <c r="T761" s="141" t="s">
        <v>222</v>
      </c>
      <c r="U761" s="141" t="s">
        <v>222</v>
      </c>
      <c r="V761" s="141" t="s">
        <v>222</v>
      </c>
      <c r="W761" s="141"/>
      <c r="X761" s="141"/>
      <c r="Y761" s="141"/>
      <c r="Z761" s="141"/>
    </row>
    <row r="762">
      <c r="A762" s="141"/>
      <c r="B762" s="141" t="s">
        <v>222</v>
      </c>
      <c r="C762" s="141" t="s">
        <v>222</v>
      </c>
      <c r="D762" s="141" t="s">
        <v>222</v>
      </c>
      <c r="E762" s="141" t="s">
        <v>222</v>
      </c>
      <c r="F762" s="141" t="s">
        <v>222</v>
      </c>
      <c r="G762" s="141" t="s">
        <v>222</v>
      </c>
      <c r="H762" s="141" t="s">
        <v>222</v>
      </c>
      <c r="I762" s="141" t="s">
        <v>222</v>
      </c>
      <c r="J762" s="141" t="s">
        <v>222</v>
      </c>
      <c r="K762" s="141" t="s">
        <v>222</v>
      </c>
      <c r="L762" s="141" t="s">
        <v>222</v>
      </c>
      <c r="M762" s="141" t="s">
        <v>222</v>
      </c>
      <c r="N762" s="141" t="s">
        <v>222</v>
      </c>
      <c r="O762" s="141" t="s">
        <v>222</v>
      </c>
      <c r="P762" s="141" t="s">
        <v>222</v>
      </c>
      <c r="Q762" s="141" t="s">
        <v>222</v>
      </c>
      <c r="R762" s="141" t="s">
        <v>222</v>
      </c>
      <c r="S762" s="141" t="s">
        <v>222</v>
      </c>
      <c r="T762" s="141" t="s">
        <v>222</v>
      </c>
      <c r="U762" s="141" t="s">
        <v>222</v>
      </c>
      <c r="V762" s="141" t="s">
        <v>222</v>
      </c>
      <c r="W762" s="141"/>
      <c r="X762" s="141"/>
      <c r="Y762" s="141"/>
      <c r="Z762" s="141"/>
    </row>
    <row r="763">
      <c r="A763" s="141"/>
      <c r="B763" s="141" t="s">
        <v>222</v>
      </c>
      <c r="C763" s="141" t="s">
        <v>222</v>
      </c>
      <c r="D763" s="141" t="s">
        <v>222</v>
      </c>
      <c r="E763" s="141" t="s">
        <v>222</v>
      </c>
      <c r="F763" s="141" t="s">
        <v>222</v>
      </c>
      <c r="G763" s="141" t="s">
        <v>222</v>
      </c>
      <c r="H763" s="141" t="s">
        <v>222</v>
      </c>
      <c r="I763" s="141" t="s">
        <v>222</v>
      </c>
      <c r="J763" s="141" t="s">
        <v>222</v>
      </c>
      <c r="K763" s="141" t="s">
        <v>222</v>
      </c>
      <c r="L763" s="141" t="s">
        <v>222</v>
      </c>
      <c r="M763" s="141" t="s">
        <v>222</v>
      </c>
      <c r="N763" s="141" t="s">
        <v>222</v>
      </c>
      <c r="O763" s="141" t="s">
        <v>222</v>
      </c>
      <c r="P763" s="141" t="s">
        <v>222</v>
      </c>
      <c r="Q763" s="141" t="s">
        <v>222</v>
      </c>
      <c r="R763" s="141" t="s">
        <v>222</v>
      </c>
      <c r="S763" s="141" t="s">
        <v>222</v>
      </c>
      <c r="T763" s="141" t="s">
        <v>222</v>
      </c>
      <c r="U763" s="141" t="s">
        <v>222</v>
      </c>
      <c r="V763" s="141" t="s">
        <v>222</v>
      </c>
      <c r="W763" s="141"/>
      <c r="X763" s="141"/>
      <c r="Y763" s="141"/>
      <c r="Z763" s="141"/>
    </row>
    <row r="764">
      <c r="A764" s="141"/>
      <c r="B764" s="141" t="s">
        <v>222</v>
      </c>
      <c r="C764" s="141" t="s">
        <v>222</v>
      </c>
      <c r="D764" s="141" t="s">
        <v>222</v>
      </c>
      <c r="E764" s="141" t="s">
        <v>222</v>
      </c>
      <c r="F764" s="141" t="s">
        <v>222</v>
      </c>
      <c r="G764" s="141" t="s">
        <v>222</v>
      </c>
      <c r="H764" s="141" t="s">
        <v>222</v>
      </c>
      <c r="I764" s="141" t="s">
        <v>222</v>
      </c>
      <c r="J764" s="141" t="s">
        <v>222</v>
      </c>
      <c r="K764" s="141" t="s">
        <v>222</v>
      </c>
      <c r="L764" s="141" t="s">
        <v>222</v>
      </c>
      <c r="M764" s="141" t="s">
        <v>222</v>
      </c>
      <c r="N764" s="141" t="s">
        <v>222</v>
      </c>
      <c r="O764" s="141" t="s">
        <v>222</v>
      </c>
      <c r="P764" s="141" t="s">
        <v>222</v>
      </c>
      <c r="Q764" s="141" t="s">
        <v>222</v>
      </c>
      <c r="R764" s="141" t="s">
        <v>222</v>
      </c>
      <c r="S764" s="141" t="s">
        <v>222</v>
      </c>
      <c r="T764" s="141" t="s">
        <v>222</v>
      </c>
      <c r="U764" s="141" t="s">
        <v>222</v>
      </c>
      <c r="V764" s="141" t="s">
        <v>222</v>
      </c>
      <c r="W764" s="141"/>
      <c r="X764" s="141"/>
      <c r="Y764" s="141"/>
      <c r="Z764" s="141"/>
    </row>
    <row r="765">
      <c r="A765" s="141"/>
      <c r="B765" s="141" t="s">
        <v>222</v>
      </c>
      <c r="C765" s="141" t="s">
        <v>222</v>
      </c>
      <c r="D765" s="141" t="s">
        <v>222</v>
      </c>
      <c r="E765" s="141" t="s">
        <v>222</v>
      </c>
      <c r="F765" s="141" t="s">
        <v>222</v>
      </c>
      <c r="G765" s="141" t="s">
        <v>222</v>
      </c>
      <c r="H765" s="141" t="s">
        <v>222</v>
      </c>
      <c r="I765" s="141" t="s">
        <v>222</v>
      </c>
      <c r="J765" s="141" t="s">
        <v>222</v>
      </c>
      <c r="K765" s="141" t="s">
        <v>222</v>
      </c>
      <c r="L765" s="141" t="s">
        <v>222</v>
      </c>
      <c r="M765" s="141" t="s">
        <v>222</v>
      </c>
      <c r="N765" s="141" t="s">
        <v>222</v>
      </c>
      <c r="O765" s="141" t="s">
        <v>222</v>
      </c>
      <c r="P765" s="141" t="s">
        <v>222</v>
      </c>
      <c r="Q765" s="141" t="s">
        <v>222</v>
      </c>
      <c r="R765" s="141" t="s">
        <v>222</v>
      </c>
      <c r="S765" s="141" t="s">
        <v>222</v>
      </c>
      <c r="T765" s="141" t="s">
        <v>222</v>
      </c>
      <c r="U765" s="141" t="s">
        <v>222</v>
      </c>
      <c r="V765" s="141" t="s">
        <v>222</v>
      </c>
      <c r="W765" s="141"/>
      <c r="X765" s="141"/>
      <c r="Y765" s="141"/>
      <c r="Z765" s="141"/>
    </row>
    <row r="766">
      <c r="A766" s="141"/>
      <c r="B766" s="141" t="s">
        <v>222</v>
      </c>
      <c r="C766" s="141" t="s">
        <v>222</v>
      </c>
      <c r="D766" s="141" t="s">
        <v>222</v>
      </c>
      <c r="E766" s="141" t="s">
        <v>222</v>
      </c>
      <c r="F766" s="141" t="s">
        <v>222</v>
      </c>
      <c r="G766" s="141" t="s">
        <v>222</v>
      </c>
      <c r="H766" s="141" t="s">
        <v>222</v>
      </c>
      <c r="I766" s="141" t="s">
        <v>222</v>
      </c>
      <c r="J766" s="141" t="s">
        <v>222</v>
      </c>
      <c r="K766" s="141" t="s">
        <v>222</v>
      </c>
      <c r="L766" s="141" t="s">
        <v>222</v>
      </c>
      <c r="M766" s="141" t="s">
        <v>222</v>
      </c>
      <c r="N766" s="141" t="s">
        <v>222</v>
      </c>
      <c r="O766" s="141" t="s">
        <v>222</v>
      </c>
      <c r="P766" s="141" t="s">
        <v>222</v>
      </c>
      <c r="Q766" s="141" t="s">
        <v>222</v>
      </c>
      <c r="R766" s="141" t="s">
        <v>222</v>
      </c>
      <c r="S766" s="141" t="s">
        <v>222</v>
      </c>
      <c r="T766" s="141" t="s">
        <v>222</v>
      </c>
      <c r="U766" s="141" t="s">
        <v>222</v>
      </c>
      <c r="V766" s="141" t="s">
        <v>222</v>
      </c>
      <c r="W766" s="141"/>
      <c r="X766" s="141"/>
      <c r="Y766" s="141"/>
      <c r="Z766" s="141"/>
    </row>
    <row r="767">
      <c r="A767" s="141"/>
      <c r="B767" s="141" t="s">
        <v>222</v>
      </c>
      <c r="C767" s="141" t="s">
        <v>222</v>
      </c>
      <c r="D767" s="141" t="s">
        <v>222</v>
      </c>
      <c r="E767" s="141" t="s">
        <v>222</v>
      </c>
      <c r="F767" s="141" t="s">
        <v>222</v>
      </c>
      <c r="G767" s="141" t="s">
        <v>222</v>
      </c>
      <c r="H767" s="141" t="s">
        <v>222</v>
      </c>
      <c r="I767" s="141" t="s">
        <v>222</v>
      </c>
      <c r="J767" s="141" t="s">
        <v>222</v>
      </c>
      <c r="K767" s="141" t="s">
        <v>222</v>
      </c>
      <c r="L767" s="141" t="s">
        <v>222</v>
      </c>
      <c r="M767" s="141" t="s">
        <v>222</v>
      </c>
      <c r="N767" s="141" t="s">
        <v>222</v>
      </c>
      <c r="O767" s="141" t="s">
        <v>222</v>
      </c>
      <c r="P767" s="141" t="s">
        <v>222</v>
      </c>
      <c r="Q767" s="141" t="s">
        <v>222</v>
      </c>
      <c r="R767" s="141" t="s">
        <v>222</v>
      </c>
      <c r="S767" s="141" t="s">
        <v>222</v>
      </c>
      <c r="T767" s="141" t="s">
        <v>222</v>
      </c>
      <c r="U767" s="141" t="s">
        <v>222</v>
      </c>
      <c r="V767" s="141" t="s">
        <v>222</v>
      </c>
      <c r="W767" s="141"/>
      <c r="X767" s="141"/>
      <c r="Y767" s="141"/>
      <c r="Z767" s="141"/>
    </row>
    <row r="768">
      <c r="A768" s="141"/>
      <c r="B768" s="141" t="s">
        <v>222</v>
      </c>
      <c r="C768" s="141" t="s">
        <v>222</v>
      </c>
      <c r="D768" s="141" t="s">
        <v>222</v>
      </c>
      <c r="E768" s="141" t="s">
        <v>222</v>
      </c>
      <c r="F768" s="141" t="s">
        <v>222</v>
      </c>
      <c r="G768" s="141" t="s">
        <v>222</v>
      </c>
      <c r="H768" s="141" t="s">
        <v>222</v>
      </c>
      <c r="I768" s="141" t="s">
        <v>222</v>
      </c>
      <c r="J768" s="141" t="s">
        <v>222</v>
      </c>
      <c r="K768" s="141" t="s">
        <v>222</v>
      </c>
      <c r="L768" s="141" t="s">
        <v>222</v>
      </c>
      <c r="M768" s="141" t="s">
        <v>222</v>
      </c>
      <c r="N768" s="141" t="s">
        <v>222</v>
      </c>
      <c r="O768" s="141" t="s">
        <v>222</v>
      </c>
      <c r="P768" s="141" t="s">
        <v>222</v>
      </c>
      <c r="Q768" s="141" t="s">
        <v>222</v>
      </c>
      <c r="R768" s="141" t="s">
        <v>222</v>
      </c>
      <c r="S768" s="141" t="s">
        <v>222</v>
      </c>
      <c r="T768" s="141" t="s">
        <v>222</v>
      </c>
      <c r="U768" s="141" t="s">
        <v>222</v>
      </c>
      <c r="V768" s="141" t="s">
        <v>222</v>
      </c>
      <c r="W768" s="141"/>
      <c r="X768" s="141"/>
      <c r="Y768" s="141"/>
      <c r="Z768" s="141"/>
    </row>
    <row r="769">
      <c r="A769" s="141"/>
      <c r="B769" s="141" t="s">
        <v>222</v>
      </c>
      <c r="C769" s="141" t="s">
        <v>222</v>
      </c>
      <c r="D769" s="141" t="s">
        <v>222</v>
      </c>
      <c r="E769" s="141" t="s">
        <v>222</v>
      </c>
      <c r="F769" s="141" t="s">
        <v>222</v>
      </c>
      <c r="G769" s="141" t="s">
        <v>222</v>
      </c>
      <c r="H769" s="141" t="s">
        <v>222</v>
      </c>
      <c r="I769" s="141" t="s">
        <v>222</v>
      </c>
      <c r="J769" s="141" t="s">
        <v>222</v>
      </c>
      <c r="K769" s="141" t="s">
        <v>222</v>
      </c>
      <c r="L769" s="141" t="s">
        <v>222</v>
      </c>
      <c r="M769" s="141" t="s">
        <v>222</v>
      </c>
      <c r="N769" s="141" t="s">
        <v>222</v>
      </c>
      <c r="O769" s="141" t="s">
        <v>222</v>
      </c>
      <c r="P769" s="141" t="s">
        <v>222</v>
      </c>
      <c r="Q769" s="141" t="s">
        <v>222</v>
      </c>
      <c r="R769" s="141" t="s">
        <v>222</v>
      </c>
      <c r="S769" s="141" t="s">
        <v>222</v>
      </c>
      <c r="T769" s="141" t="s">
        <v>222</v>
      </c>
      <c r="U769" s="141" t="s">
        <v>222</v>
      </c>
      <c r="V769" s="141" t="s">
        <v>222</v>
      </c>
      <c r="W769" s="141"/>
      <c r="X769" s="141"/>
      <c r="Y769" s="141"/>
      <c r="Z769" s="141"/>
    </row>
    <row r="770">
      <c r="A770" s="141"/>
      <c r="B770" s="141" t="s">
        <v>222</v>
      </c>
      <c r="C770" s="141" t="s">
        <v>222</v>
      </c>
      <c r="D770" s="141" t="s">
        <v>222</v>
      </c>
      <c r="E770" s="141" t="s">
        <v>222</v>
      </c>
      <c r="F770" s="141" t="s">
        <v>222</v>
      </c>
      <c r="G770" s="141" t="s">
        <v>222</v>
      </c>
      <c r="H770" s="141" t="s">
        <v>222</v>
      </c>
      <c r="I770" s="141" t="s">
        <v>222</v>
      </c>
      <c r="J770" s="141" t="s">
        <v>222</v>
      </c>
      <c r="K770" s="141" t="s">
        <v>222</v>
      </c>
      <c r="L770" s="141" t="s">
        <v>222</v>
      </c>
      <c r="M770" s="141" t="s">
        <v>222</v>
      </c>
      <c r="N770" s="141" t="s">
        <v>222</v>
      </c>
      <c r="O770" s="141" t="s">
        <v>222</v>
      </c>
      <c r="P770" s="141" t="s">
        <v>222</v>
      </c>
      <c r="Q770" s="141" t="s">
        <v>222</v>
      </c>
      <c r="R770" s="141" t="s">
        <v>222</v>
      </c>
      <c r="S770" s="141" t="s">
        <v>222</v>
      </c>
      <c r="T770" s="141" t="s">
        <v>222</v>
      </c>
      <c r="U770" s="141" t="s">
        <v>222</v>
      </c>
      <c r="V770" s="141" t="s">
        <v>222</v>
      </c>
      <c r="W770" s="141"/>
      <c r="X770" s="141"/>
      <c r="Y770" s="141"/>
      <c r="Z770" s="141"/>
    </row>
    <row r="771">
      <c r="A771" s="141"/>
      <c r="B771" s="141" t="s">
        <v>222</v>
      </c>
      <c r="C771" s="141" t="s">
        <v>222</v>
      </c>
      <c r="D771" s="141" t="s">
        <v>222</v>
      </c>
      <c r="E771" s="141" t="s">
        <v>222</v>
      </c>
      <c r="F771" s="141" t="s">
        <v>222</v>
      </c>
      <c r="G771" s="141" t="s">
        <v>222</v>
      </c>
      <c r="H771" s="141" t="s">
        <v>222</v>
      </c>
      <c r="I771" s="141" t="s">
        <v>222</v>
      </c>
      <c r="J771" s="141" t="s">
        <v>222</v>
      </c>
      <c r="K771" s="141" t="s">
        <v>222</v>
      </c>
      <c r="L771" s="141" t="s">
        <v>222</v>
      </c>
      <c r="M771" s="141" t="s">
        <v>222</v>
      </c>
      <c r="N771" s="141" t="s">
        <v>222</v>
      </c>
      <c r="O771" s="141" t="s">
        <v>222</v>
      </c>
      <c r="P771" s="141" t="s">
        <v>222</v>
      </c>
      <c r="Q771" s="141" t="s">
        <v>222</v>
      </c>
      <c r="R771" s="141" t="s">
        <v>222</v>
      </c>
      <c r="S771" s="141" t="s">
        <v>222</v>
      </c>
      <c r="T771" s="141" t="s">
        <v>222</v>
      </c>
      <c r="U771" s="141" t="s">
        <v>222</v>
      </c>
      <c r="V771" s="141" t="s">
        <v>222</v>
      </c>
      <c r="W771" s="141"/>
      <c r="X771" s="141"/>
      <c r="Y771" s="141"/>
      <c r="Z771" s="141"/>
    </row>
    <row r="772">
      <c r="A772" s="141"/>
      <c r="B772" s="141" t="s">
        <v>222</v>
      </c>
      <c r="C772" s="141" t="s">
        <v>222</v>
      </c>
      <c r="D772" s="141" t="s">
        <v>222</v>
      </c>
      <c r="E772" s="141" t="s">
        <v>222</v>
      </c>
      <c r="F772" s="141" t="s">
        <v>222</v>
      </c>
      <c r="G772" s="141" t="s">
        <v>222</v>
      </c>
      <c r="H772" s="141" t="s">
        <v>222</v>
      </c>
      <c r="I772" s="141" t="s">
        <v>222</v>
      </c>
      <c r="J772" s="141" t="s">
        <v>222</v>
      </c>
      <c r="K772" s="141" t="s">
        <v>222</v>
      </c>
      <c r="L772" s="141" t="s">
        <v>222</v>
      </c>
      <c r="M772" s="141" t="s">
        <v>222</v>
      </c>
      <c r="N772" s="141" t="s">
        <v>222</v>
      </c>
      <c r="O772" s="141" t="s">
        <v>222</v>
      </c>
      <c r="P772" s="141" t="s">
        <v>222</v>
      </c>
      <c r="Q772" s="141" t="s">
        <v>222</v>
      </c>
      <c r="R772" s="141" t="s">
        <v>222</v>
      </c>
      <c r="S772" s="141" t="s">
        <v>222</v>
      </c>
      <c r="T772" s="141" t="s">
        <v>222</v>
      </c>
      <c r="U772" s="141" t="s">
        <v>222</v>
      </c>
      <c r="V772" s="141" t="s">
        <v>222</v>
      </c>
      <c r="W772" s="141"/>
      <c r="X772" s="141"/>
      <c r="Y772" s="141"/>
      <c r="Z772" s="141"/>
    </row>
    <row r="773">
      <c r="A773" s="141"/>
      <c r="B773" s="141" t="s">
        <v>222</v>
      </c>
      <c r="C773" s="141" t="s">
        <v>222</v>
      </c>
      <c r="D773" s="141" t="s">
        <v>222</v>
      </c>
      <c r="E773" s="141" t="s">
        <v>222</v>
      </c>
      <c r="F773" s="141" t="s">
        <v>222</v>
      </c>
      <c r="G773" s="141" t="s">
        <v>222</v>
      </c>
      <c r="H773" s="141" t="s">
        <v>222</v>
      </c>
      <c r="I773" s="141" t="s">
        <v>222</v>
      </c>
      <c r="J773" s="141" t="s">
        <v>222</v>
      </c>
      <c r="K773" s="141" t="s">
        <v>222</v>
      </c>
      <c r="L773" s="141" t="s">
        <v>222</v>
      </c>
      <c r="M773" s="141" t="s">
        <v>222</v>
      </c>
      <c r="N773" s="141" t="s">
        <v>222</v>
      </c>
      <c r="O773" s="141" t="s">
        <v>222</v>
      </c>
      <c r="P773" s="141" t="s">
        <v>222</v>
      </c>
      <c r="Q773" s="141" t="s">
        <v>222</v>
      </c>
      <c r="R773" s="141" t="s">
        <v>222</v>
      </c>
      <c r="S773" s="141" t="s">
        <v>222</v>
      </c>
      <c r="T773" s="141" t="s">
        <v>222</v>
      </c>
      <c r="U773" s="141" t="s">
        <v>222</v>
      </c>
      <c r="V773" s="141" t="s">
        <v>222</v>
      </c>
      <c r="W773" s="141"/>
      <c r="X773" s="141"/>
      <c r="Y773" s="141"/>
      <c r="Z773" s="141"/>
    </row>
    <row r="774">
      <c r="A774" s="141"/>
      <c r="B774" s="141" t="s">
        <v>222</v>
      </c>
      <c r="C774" s="141" t="s">
        <v>222</v>
      </c>
      <c r="D774" s="141" t="s">
        <v>222</v>
      </c>
      <c r="E774" s="141" t="s">
        <v>222</v>
      </c>
      <c r="F774" s="141" t="s">
        <v>222</v>
      </c>
      <c r="G774" s="141" t="s">
        <v>222</v>
      </c>
      <c r="H774" s="141" t="s">
        <v>222</v>
      </c>
      <c r="I774" s="141" t="s">
        <v>222</v>
      </c>
      <c r="J774" s="141" t="s">
        <v>222</v>
      </c>
      <c r="K774" s="141" t="s">
        <v>222</v>
      </c>
      <c r="L774" s="141" t="s">
        <v>222</v>
      </c>
      <c r="M774" s="141" t="s">
        <v>222</v>
      </c>
      <c r="N774" s="141" t="s">
        <v>222</v>
      </c>
      <c r="O774" s="141" t="s">
        <v>222</v>
      </c>
      <c r="P774" s="141" t="s">
        <v>222</v>
      </c>
      <c r="Q774" s="141" t="s">
        <v>222</v>
      </c>
      <c r="R774" s="141" t="s">
        <v>222</v>
      </c>
      <c r="S774" s="141" t="s">
        <v>222</v>
      </c>
      <c r="T774" s="141" t="s">
        <v>222</v>
      </c>
      <c r="U774" s="141" t="s">
        <v>222</v>
      </c>
      <c r="V774" s="141" t="s">
        <v>222</v>
      </c>
      <c r="W774" s="141"/>
      <c r="X774" s="141"/>
      <c r="Y774" s="141"/>
      <c r="Z774" s="141"/>
    </row>
    <row r="775">
      <c r="A775" s="141"/>
      <c r="B775" s="141" t="s">
        <v>222</v>
      </c>
      <c r="C775" s="141" t="s">
        <v>222</v>
      </c>
      <c r="D775" s="141" t="s">
        <v>222</v>
      </c>
      <c r="E775" s="141" t="s">
        <v>222</v>
      </c>
      <c r="F775" s="141" t="s">
        <v>222</v>
      </c>
      <c r="G775" s="141" t="s">
        <v>222</v>
      </c>
      <c r="H775" s="141" t="s">
        <v>222</v>
      </c>
      <c r="I775" s="141" t="s">
        <v>222</v>
      </c>
      <c r="J775" s="141" t="s">
        <v>222</v>
      </c>
      <c r="K775" s="141" t="s">
        <v>222</v>
      </c>
      <c r="L775" s="141" t="s">
        <v>222</v>
      </c>
      <c r="M775" s="141" t="s">
        <v>222</v>
      </c>
      <c r="N775" s="141" t="s">
        <v>222</v>
      </c>
      <c r="O775" s="141" t="s">
        <v>222</v>
      </c>
      <c r="P775" s="141" t="s">
        <v>222</v>
      </c>
      <c r="Q775" s="141" t="s">
        <v>222</v>
      </c>
      <c r="R775" s="141" t="s">
        <v>222</v>
      </c>
      <c r="S775" s="141" t="s">
        <v>222</v>
      </c>
      <c r="T775" s="141" t="s">
        <v>222</v>
      </c>
      <c r="U775" s="141" t="s">
        <v>222</v>
      </c>
      <c r="V775" s="141" t="s">
        <v>222</v>
      </c>
      <c r="W775" s="141"/>
      <c r="X775" s="141"/>
      <c r="Y775" s="141"/>
      <c r="Z775" s="141"/>
    </row>
    <row r="776">
      <c r="A776" s="141"/>
      <c r="B776" s="141" t="s">
        <v>222</v>
      </c>
      <c r="C776" s="141" t="s">
        <v>222</v>
      </c>
      <c r="D776" s="141" t="s">
        <v>222</v>
      </c>
      <c r="E776" s="141" t="s">
        <v>222</v>
      </c>
      <c r="F776" s="141" t="s">
        <v>222</v>
      </c>
      <c r="G776" s="141" t="s">
        <v>222</v>
      </c>
      <c r="H776" s="141" t="s">
        <v>222</v>
      </c>
      <c r="I776" s="141" t="s">
        <v>222</v>
      </c>
      <c r="J776" s="141" t="s">
        <v>222</v>
      </c>
      <c r="K776" s="141" t="s">
        <v>222</v>
      </c>
      <c r="L776" s="141" t="s">
        <v>222</v>
      </c>
      <c r="M776" s="141" t="s">
        <v>222</v>
      </c>
      <c r="N776" s="141" t="s">
        <v>222</v>
      </c>
      <c r="O776" s="141" t="s">
        <v>222</v>
      </c>
      <c r="P776" s="141" t="s">
        <v>222</v>
      </c>
      <c r="Q776" s="141" t="s">
        <v>222</v>
      </c>
      <c r="R776" s="141" t="s">
        <v>222</v>
      </c>
      <c r="S776" s="141" t="s">
        <v>222</v>
      </c>
      <c r="T776" s="141" t="s">
        <v>222</v>
      </c>
      <c r="U776" s="141" t="s">
        <v>222</v>
      </c>
      <c r="V776" s="141" t="s">
        <v>222</v>
      </c>
      <c r="W776" s="141"/>
      <c r="X776" s="141"/>
      <c r="Y776" s="141"/>
      <c r="Z776" s="141"/>
    </row>
    <row r="777">
      <c r="A777" s="141"/>
      <c r="B777" s="141" t="s">
        <v>222</v>
      </c>
      <c r="C777" s="141" t="s">
        <v>222</v>
      </c>
      <c r="D777" s="141" t="s">
        <v>222</v>
      </c>
      <c r="E777" s="141" t="s">
        <v>222</v>
      </c>
      <c r="F777" s="141" t="s">
        <v>222</v>
      </c>
      <c r="G777" s="141" t="s">
        <v>222</v>
      </c>
      <c r="H777" s="141" t="s">
        <v>222</v>
      </c>
      <c r="I777" s="141" t="s">
        <v>222</v>
      </c>
      <c r="J777" s="141" t="s">
        <v>222</v>
      </c>
      <c r="K777" s="141" t="s">
        <v>222</v>
      </c>
      <c r="L777" s="141" t="s">
        <v>222</v>
      </c>
      <c r="M777" s="141" t="s">
        <v>222</v>
      </c>
      <c r="N777" s="141" t="s">
        <v>222</v>
      </c>
      <c r="O777" s="141" t="s">
        <v>222</v>
      </c>
      <c r="P777" s="141" t="s">
        <v>222</v>
      </c>
      <c r="Q777" s="141" t="s">
        <v>222</v>
      </c>
      <c r="R777" s="141" t="s">
        <v>222</v>
      </c>
      <c r="S777" s="141" t="s">
        <v>222</v>
      </c>
      <c r="T777" s="141" t="s">
        <v>222</v>
      </c>
      <c r="U777" s="141" t="s">
        <v>222</v>
      </c>
      <c r="V777" s="141" t="s">
        <v>222</v>
      </c>
      <c r="W777" s="141"/>
      <c r="X777" s="141"/>
      <c r="Y777" s="141"/>
      <c r="Z777" s="141"/>
    </row>
    <row r="778">
      <c r="A778" s="141"/>
      <c r="B778" s="141" t="s">
        <v>222</v>
      </c>
      <c r="C778" s="141" t="s">
        <v>222</v>
      </c>
      <c r="D778" s="141" t="s">
        <v>222</v>
      </c>
      <c r="E778" s="141" t="s">
        <v>222</v>
      </c>
      <c r="F778" s="141" t="s">
        <v>222</v>
      </c>
      <c r="G778" s="141" t="s">
        <v>222</v>
      </c>
      <c r="H778" s="141" t="s">
        <v>222</v>
      </c>
      <c r="I778" s="141" t="s">
        <v>222</v>
      </c>
      <c r="J778" s="141" t="s">
        <v>222</v>
      </c>
      <c r="K778" s="141" t="s">
        <v>222</v>
      </c>
      <c r="L778" s="141" t="s">
        <v>222</v>
      </c>
      <c r="M778" s="141" t="s">
        <v>222</v>
      </c>
      <c r="N778" s="141" t="s">
        <v>222</v>
      </c>
      <c r="O778" s="141" t="s">
        <v>222</v>
      </c>
      <c r="P778" s="141" t="s">
        <v>222</v>
      </c>
      <c r="Q778" s="141" t="s">
        <v>222</v>
      </c>
      <c r="R778" s="141" t="s">
        <v>222</v>
      </c>
      <c r="S778" s="141" t="s">
        <v>222</v>
      </c>
      <c r="T778" s="141" t="s">
        <v>222</v>
      </c>
      <c r="U778" s="141" t="s">
        <v>222</v>
      </c>
      <c r="V778" s="141" t="s">
        <v>222</v>
      </c>
      <c r="W778" s="141"/>
      <c r="X778" s="141"/>
      <c r="Y778" s="141"/>
      <c r="Z778" s="141"/>
    </row>
    <row r="779">
      <c r="A779" s="141"/>
      <c r="B779" s="141" t="s">
        <v>222</v>
      </c>
      <c r="C779" s="141" t="s">
        <v>222</v>
      </c>
      <c r="D779" s="141" t="s">
        <v>222</v>
      </c>
      <c r="E779" s="141" t="s">
        <v>222</v>
      </c>
      <c r="F779" s="141" t="s">
        <v>222</v>
      </c>
      <c r="G779" s="141" t="s">
        <v>222</v>
      </c>
      <c r="H779" s="141" t="s">
        <v>222</v>
      </c>
      <c r="I779" s="141" t="s">
        <v>222</v>
      </c>
      <c r="J779" s="141" t="s">
        <v>222</v>
      </c>
      <c r="K779" s="141" t="s">
        <v>222</v>
      </c>
      <c r="L779" s="141" t="s">
        <v>222</v>
      </c>
      <c r="M779" s="141" t="s">
        <v>222</v>
      </c>
      <c r="N779" s="141" t="s">
        <v>222</v>
      </c>
      <c r="O779" s="141" t="s">
        <v>222</v>
      </c>
      <c r="P779" s="141" t="s">
        <v>222</v>
      </c>
      <c r="Q779" s="141" t="s">
        <v>222</v>
      </c>
      <c r="R779" s="141" t="s">
        <v>222</v>
      </c>
      <c r="S779" s="141" t="s">
        <v>222</v>
      </c>
      <c r="T779" s="141" t="s">
        <v>222</v>
      </c>
      <c r="U779" s="141" t="s">
        <v>222</v>
      </c>
      <c r="V779" s="141" t="s">
        <v>222</v>
      </c>
      <c r="W779" s="141"/>
      <c r="X779" s="141"/>
      <c r="Y779" s="141"/>
      <c r="Z779" s="141"/>
    </row>
    <row r="780">
      <c r="A780" s="141"/>
      <c r="B780" s="141" t="s">
        <v>222</v>
      </c>
      <c r="C780" s="141" t="s">
        <v>222</v>
      </c>
      <c r="D780" s="141" t="s">
        <v>222</v>
      </c>
      <c r="E780" s="141" t="s">
        <v>222</v>
      </c>
      <c r="F780" s="141" t="s">
        <v>222</v>
      </c>
      <c r="G780" s="141" t="s">
        <v>222</v>
      </c>
      <c r="H780" s="141" t="s">
        <v>222</v>
      </c>
      <c r="I780" s="141" t="s">
        <v>222</v>
      </c>
      <c r="J780" s="141" t="s">
        <v>222</v>
      </c>
      <c r="K780" s="141" t="s">
        <v>222</v>
      </c>
      <c r="L780" s="141" t="s">
        <v>222</v>
      </c>
      <c r="M780" s="141" t="s">
        <v>222</v>
      </c>
      <c r="N780" s="141" t="s">
        <v>222</v>
      </c>
      <c r="O780" s="141" t="s">
        <v>222</v>
      </c>
      <c r="P780" s="141" t="s">
        <v>222</v>
      </c>
      <c r="Q780" s="141" t="s">
        <v>222</v>
      </c>
      <c r="R780" s="141" t="s">
        <v>222</v>
      </c>
      <c r="S780" s="141" t="s">
        <v>222</v>
      </c>
      <c r="T780" s="141" t="s">
        <v>222</v>
      </c>
      <c r="U780" s="141" t="s">
        <v>222</v>
      </c>
      <c r="V780" s="141" t="s">
        <v>222</v>
      </c>
      <c r="W780" s="141"/>
      <c r="X780" s="141"/>
      <c r="Y780" s="141"/>
      <c r="Z780" s="141"/>
    </row>
    <row r="781">
      <c r="A781" s="141"/>
      <c r="B781" s="141" t="s">
        <v>222</v>
      </c>
      <c r="C781" s="141" t="s">
        <v>222</v>
      </c>
      <c r="D781" s="141" t="s">
        <v>222</v>
      </c>
      <c r="E781" s="141" t="s">
        <v>222</v>
      </c>
      <c r="F781" s="141" t="s">
        <v>222</v>
      </c>
      <c r="G781" s="141" t="s">
        <v>222</v>
      </c>
      <c r="H781" s="141" t="s">
        <v>222</v>
      </c>
      <c r="I781" s="141" t="s">
        <v>222</v>
      </c>
      <c r="J781" s="141" t="s">
        <v>222</v>
      </c>
      <c r="K781" s="141" t="s">
        <v>222</v>
      </c>
      <c r="L781" s="141" t="s">
        <v>222</v>
      </c>
      <c r="M781" s="141" t="s">
        <v>222</v>
      </c>
      <c r="N781" s="141" t="s">
        <v>222</v>
      </c>
      <c r="O781" s="141" t="s">
        <v>222</v>
      </c>
      <c r="P781" s="141" t="s">
        <v>222</v>
      </c>
      <c r="Q781" s="141" t="s">
        <v>222</v>
      </c>
      <c r="R781" s="141" t="s">
        <v>222</v>
      </c>
      <c r="S781" s="141" t="s">
        <v>222</v>
      </c>
      <c r="T781" s="141" t="s">
        <v>222</v>
      </c>
      <c r="U781" s="141" t="s">
        <v>222</v>
      </c>
      <c r="V781" s="141" t="s">
        <v>222</v>
      </c>
      <c r="W781" s="141"/>
      <c r="X781" s="141"/>
      <c r="Y781" s="141"/>
      <c r="Z781" s="141"/>
    </row>
    <row r="782">
      <c r="A782" s="141"/>
      <c r="B782" s="141" t="s">
        <v>222</v>
      </c>
      <c r="C782" s="141" t="s">
        <v>222</v>
      </c>
      <c r="D782" s="141" t="s">
        <v>222</v>
      </c>
      <c r="E782" s="141" t="s">
        <v>222</v>
      </c>
      <c r="F782" s="141" t="s">
        <v>222</v>
      </c>
      <c r="G782" s="141" t="s">
        <v>222</v>
      </c>
      <c r="H782" s="141" t="s">
        <v>222</v>
      </c>
      <c r="I782" s="141" t="s">
        <v>222</v>
      </c>
      <c r="J782" s="141" t="s">
        <v>222</v>
      </c>
      <c r="K782" s="141" t="s">
        <v>222</v>
      </c>
      <c r="L782" s="141" t="s">
        <v>222</v>
      </c>
      <c r="M782" s="141" t="s">
        <v>222</v>
      </c>
      <c r="N782" s="141" t="s">
        <v>222</v>
      </c>
      <c r="O782" s="141" t="s">
        <v>222</v>
      </c>
      <c r="P782" s="141" t="s">
        <v>222</v>
      </c>
      <c r="Q782" s="141" t="s">
        <v>222</v>
      </c>
      <c r="R782" s="141" t="s">
        <v>222</v>
      </c>
      <c r="S782" s="141" t="s">
        <v>222</v>
      </c>
      <c r="T782" s="141" t="s">
        <v>222</v>
      </c>
      <c r="U782" s="141" t="s">
        <v>222</v>
      </c>
      <c r="V782" s="141" t="s">
        <v>222</v>
      </c>
      <c r="W782" s="141"/>
      <c r="X782" s="141"/>
      <c r="Y782" s="141"/>
      <c r="Z782" s="141"/>
    </row>
    <row r="783">
      <c r="A783" s="141"/>
      <c r="B783" s="141" t="s">
        <v>222</v>
      </c>
      <c r="C783" s="141" t="s">
        <v>222</v>
      </c>
      <c r="D783" s="141" t="s">
        <v>222</v>
      </c>
      <c r="E783" s="141" t="s">
        <v>222</v>
      </c>
      <c r="F783" s="141" t="s">
        <v>222</v>
      </c>
      <c r="G783" s="141" t="s">
        <v>222</v>
      </c>
      <c r="H783" s="141" t="s">
        <v>222</v>
      </c>
      <c r="I783" s="141" t="s">
        <v>222</v>
      </c>
      <c r="J783" s="141" t="s">
        <v>222</v>
      </c>
      <c r="K783" s="141" t="s">
        <v>222</v>
      </c>
      <c r="L783" s="141" t="s">
        <v>222</v>
      </c>
      <c r="M783" s="141" t="s">
        <v>222</v>
      </c>
      <c r="N783" s="141" t="s">
        <v>222</v>
      </c>
      <c r="O783" s="141" t="s">
        <v>222</v>
      </c>
      <c r="P783" s="141" t="s">
        <v>222</v>
      </c>
      <c r="Q783" s="141" t="s">
        <v>222</v>
      </c>
      <c r="R783" s="141" t="s">
        <v>222</v>
      </c>
      <c r="S783" s="141" t="s">
        <v>222</v>
      </c>
      <c r="T783" s="141" t="s">
        <v>222</v>
      </c>
      <c r="U783" s="141" t="s">
        <v>222</v>
      </c>
      <c r="V783" s="141" t="s">
        <v>222</v>
      </c>
      <c r="W783" s="141"/>
      <c r="X783" s="141"/>
      <c r="Y783" s="141"/>
      <c r="Z783" s="141"/>
    </row>
    <row r="784">
      <c r="A784" s="141"/>
      <c r="B784" s="141" t="s">
        <v>222</v>
      </c>
      <c r="C784" s="141" t="s">
        <v>222</v>
      </c>
      <c r="D784" s="141" t="s">
        <v>222</v>
      </c>
      <c r="E784" s="141" t="s">
        <v>222</v>
      </c>
      <c r="F784" s="141" t="s">
        <v>222</v>
      </c>
      <c r="G784" s="141" t="s">
        <v>222</v>
      </c>
      <c r="H784" s="141" t="s">
        <v>222</v>
      </c>
      <c r="I784" s="141" t="s">
        <v>222</v>
      </c>
      <c r="J784" s="141" t="s">
        <v>222</v>
      </c>
      <c r="K784" s="141" t="s">
        <v>222</v>
      </c>
      <c r="L784" s="141" t="s">
        <v>222</v>
      </c>
      <c r="M784" s="141" t="s">
        <v>222</v>
      </c>
      <c r="N784" s="141" t="s">
        <v>222</v>
      </c>
      <c r="O784" s="141" t="s">
        <v>222</v>
      </c>
      <c r="P784" s="141" t="s">
        <v>222</v>
      </c>
      <c r="Q784" s="141" t="s">
        <v>222</v>
      </c>
      <c r="R784" s="141" t="s">
        <v>222</v>
      </c>
      <c r="S784" s="141" t="s">
        <v>222</v>
      </c>
      <c r="T784" s="141" t="s">
        <v>222</v>
      </c>
      <c r="U784" s="141" t="s">
        <v>222</v>
      </c>
      <c r="V784" s="141" t="s">
        <v>222</v>
      </c>
      <c r="W784" s="141"/>
      <c r="X784" s="141"/>
      <c r="Y784" s="141"/>
      <c r="Z784" s="141"/>
    </row>
    <row r="785">
      <c r="A785" s="141"/>
      <c r="B785" s="141" t="s">
        <v>222</v>
      </c>
      <c r="C785" s="141" t="s">
        <v>222</v>
      </c>
      <c r="D785" s="141" t="s">
        <v>222</v>
      </c>
      <c r="E785" s="141" t="s">
        <v>222</v>
      </c>
      <c r="F785" s="141" t="s">
        <v>222</v>
      </c>
      <c r="G785" s="141" t="s">
        <v>222</v>
      </c>
      <c r="H785" s="141" t="s">
        <v>222</v>
      </c>
      <c r="I785" s="141" t="s">
        <v>222</v>
      </c>
      <c r="J785" s="141" t="s">
        <v>222</v>
      </c>
      <c r="K785" s="141" t="s">
        <v>222</v>
      </c>
      <c r="L785" s="141" t="s">
        <v>222</v>
      </c>
      <c r="M785" s="141" t="s">
        <v>222</v>
      </c>
      <c r="N785" s="141" t="s">
        <v>222</v>
      </c>
      <c r="O785" s="141" t="s">
        <v>222</v>
      </c>
      <c r="P785" s="141" t="s">
        <v>222</v>
      </c>
      <c r="Q785" s="141" t="s">
        <v>222</v>
      </c>
      <c r="R785" s="141" t="s">
        <v>222</v>
      </c>
      <c r="S785" s="141" t="s">
        <v>222</v>
      </c>
      <c r="T785" s="141" t="s">
        <v>222</v>
      </c>
      <c r="U785" s="141" t="s">
        <v>222</v>
      </c>
      <c r="V785" s="141" t="s">
        <v>222</v>
      </c>
      <c r="W785" s="141"/>
      <c r="X785" s="141"/>
      <c r="Y785" s="141"/>
      <c r="Z785" s="141"/>
    </row>
    <row r="786">
      <c r="A786" s="141"/>
      <c r="B786" s="141" t="s">
        <v>222</v>
      </c>
      <c r="C786" s="141" t="s">
        <v>222</v>
      </c>
      <c r="D786" s="141" t="s">
        <v>222</v>
      </c>
      <c r="E786" s="141" t="s">
        <v>222</v>
      </c>
      <c r="F786" s="141" t="s">
        <v>222</v>
      </c>
      <c r="G786" s="141" t="s">
        <v>222</v>
      </c>
      <c r="H786" s="141" t="s">
        <v>222</v>
      </c>
      <c r="I786" s="141" t="s">
        <v>222</v>
      </c>
      <c r="J786" s="141" t="s">
        <v>222</v>
      </c>
      <c r="K786" s="141" t="s">
        <v>222</v>
      </c>
      <c r="L786" s="141" t="s">
        <v>222</v>
      </c>
      <c r="M786" s="141" t="s">
        <v>222</v>
      </c>
      <c r="N786" s="141" t="s">
        <v>222</v>
      </c>
      <c r="O786" s="141" t="s">
        <v>222</v>
      </c>
      <c r="P786" s="141" t="s">
        <v>222</v>
      </c>
      <c r="Q786" s="141" t="s">
        <v>222</v>
      </c>
      <c r="R786" s="141" t="s">
        <v>222</v>
      </c>
      <c r="S786" s="141" t="s">
        <v>222</v>
      </c>
      <c r="T786" s="141" t="s">
        <v>222</v>
      </c>
      <c r="U786" s="141" t="s">
        <v>222</v>
      </c>
      <c r="V786" s="141" t="s">
        <v>222</v>
      </c>
      <c r="W786" s="141"/>
      <c r="X786" s="141"/>
      <c r="Y786" s="141"/>
      <c r="Z786" s="141"/>
    </row>
    <row r="787">
      <c r="A787" s="141"/>
      <c r="B787" s="141" t="s">
        <v>222</v>
      </c>
      <c r="C787" s="141" t="s">
        <v>222</v>
      </c>
      <c r="D787" s="141" t="s">
        <v>222</v>
      </c>
      <c r="E787" s="141" t="s">
        <v>222</v>
      </c>
      <c r="F787" s="141" t="s">
        <v>222</v>
      </c>
      <c r="G787" s="141" t="s">
        <v>222</v>
      </c>
      <c r="H787" s="141" t="s">
        <v>222</v>
      </c>
      <c r="I787" s="141" t="s">
        <v>222</v>
      </c>
      <c r="J787" s="141" t="s">
        <v>222</v>
      </c>
      <c r="K787" s="141" t="s">
        <v>222</v>
      </c>
      <c r="L787" s="141" t="s">
        <v>222</v>
      </c>
      <c r="M787" s="141" t="s">
        <v>222</v>
      </c>
      <c r="N787" s="141" t="s">
        <v>222</v>
      </c>
      <c r="O787" s="141" t="s">
        <v>222</v>
      </c>
      <c r="P787" s="141" t="s">
        <v>222</v>
      </c>
      <c r="Q787" s="141" t="s">
        <v>222</v>
      </c>
      <c r="R787" s="141" t="s">
        <v>222</v>
      </c>
      <c r="S787" s="141" t="s">
        <v>222</v>
      </c>
      <c r="T787" s="141" t="s">
        <v>222</v>
      </c>
      <c r="U787" s="141" t="s">
        <v>222</v>
      </c>
      <c r="V787" s="141" t="s">
        <v>222</v>
      </c>
      <c r="W787" s="141"/>
      <c r="X787" s="141"/>
      <c r="Y787" s="141"/>
      <c r="Z787" s="141"/>
    </row>
    <row r="788">
      <c r="A788" s="141"/>
      <c r="B788" s="141" t="s">
        <v>222</v>
      </c>
      <c r="C788" s="141" t="s">
        <v>222</v>
      </c>
      <c r="D788" s="141" t="s">
        <v>222</v>
      </c>
      <c r="E788" s="141" t="s">
        <v>222</v>
      </c>
      <c r="F788" s="141" t="s">
        <v>222</v>
      </c>
      <c r="G788" s="141" t="s">
        <v>222</v>
      </c>
      <c r="H788" s="141" t="s">
        <v>222</v>
      </c>
      <c r="I788" s="141" t="s">
        <v>222</v>
      </c>
      <c r="J788" s="141" t="s">
        <v>222</v>
      </c>
      <c r="K788" s="141" t="s">
        <v>222</v>
      </c>
      <c r="L788" s="141" t="s">
        <v>222</v>
      </c>
      <c r="M788" s="141" t="s">
        <v>222</v>
      </c>
      <c r="N788" s="141" t="s">
        <v>222</v>
      </c>
      <c r="O788" s="141" t="s">
        <v>222</v>
      </c>
      <c r="P788" s="141" t="s">
        <v>222</v>
      </c>
      <c r="Q788" s="141" t="s">
        <v>222</v>
      </c>
      <c r="R788" s="141" t="s">
        <v>222</v>
      </c>
      <c r="S788" s="141" t="s">
        <v>222</v>
      </c>
      <c r="T788" s="141" t="s">
        <v>222</v>
      </c>
      <c r="U788" s="141" t="s">
        <v>222</v>
      </c>
      <c r="V788" s="141" t="s">
        <v>222</v>
      </c>
      <c r="W788" s="141"/>
      <c r="X788" s="141"/>
      <c r="Y788" s="141"/>
      <c r="Z788" s="141"/>
    </row>
    <row r="789">
      <c r="A789" s="141"/>
      <c r="B789" s="141" t="s">
        <v>222</v>
      </c>
      <c r="C789" s="141" t="s">
        <v>222</v>
      </c>
      <c r="D789" s="141" t="s">
        <v>222</v>
      </c>
      <c r="E789" s="141" t="s">
        <v>222</v>
      </c>
      <c r="F789" s="141" t="s">
        <v>222</v>
      </c>
      <c r="G789" s="141" t="s">
        <v>222</v>
      </c>
      <c r="H789" s="141" t="s">
        <v>222</v>
      </c>
      <c r="I789" s="141" t="s">
        <v>222</v>
      </c>
      <c r="J789" s="141" t="s">
        <v>222</v>
      </c>
      <c r="K789" s="141" t="s">
        <v>222</v>
      </c>
      <c r="L789" s="141" t="s">
        <v>222</v>
      </c>
      <c r="M789" s="141" t="s">
        <v>222</v>
      </c>
      <c r="N789" s="141" t="s">
        <v>222</v>
      </c>
      <c r="O789" s="141" t="s">
        <v>222</v>
      </c>
      <c r="P789" s="141" t="s">
        <v>222</v>
      </c>
      <c r="Q789" s="141" t="s">
        <v>222</v>
      </c>
      <c r="R789" s="141" t="s">
        <v>222</v>
      </c>
      <c r="S789" s="141" t="s">
        <v>222</v>
      </c>
      <c r="T789" s="141" t="s">
        <v>222</v>
      </c>
      <c r="U789" s="141" t="s">
        <v>222</v>
      </c>
      <c r="V789" s="141" t="s">
        <v>222</v>
      </c>
      <c r="W789" s="141"/>
      <c r="X789" s="141"/>
      <c r="Y789" s="141"/>
      <c r="Z789" s="141"/>
    </row>
    <row r="790">
      <c r="A790" s="141"/>
      <c r="B790" s="141" t="s">
        <v>222</v>
      </c>
      <c r="C790" s="141" t="s">
        <v>222</v>
      </c>
      <c r="D790" s="141" t="s">
        <v>222</v>
      </c>
      <c r="E790" s="141" t="s">
        <v>222</v>
      </c>
      <c r="F790" s="141" t="s">
        <v>222</v>
      </c>
      <c r="G790" s="141" t="s">
        <v>222</v>
      </c>
      <c r="H790" s="141" t="s">
        <v>222</v>
      </c>
      <c r="I790" s="141" t="s">
        <v>222</v>
      </c>
      <c r="J790" s="141" t="s">
        <v>222</v>
      </c>
      <c r="K790" s="141" t="s">
        <v>222</v>
      </c>
      <c r="L790" s="141" t="s">
        <v>222</v>
      </c>
      <c r="M790" s="141" t="s">
        <v>222</v>
      </c>
      <c r="N790" s="141" t="s">
        <v>222</v>
      </c>
      <c r="O790" s="141" t="s">
        <v>222</v>
      </c>
      <c r="P790" s="141" t="s">
        <v>222</v>
      </c>
      <c r="Q790" s="141" t="s">
        <v>222</v>
      </c>
      <c r="R790" s="141" t="s">
        <v>222</v>
      </c>
      <c r="S790" s="141" t="s">
        <v>222</v>
      </c>
      <c r="T790" s="141" t="s">
        <v>222</v>
      </c>
      <c r="U790" s="141" t="s">
        <v>222</v>
      </c>
      <c r="V790" s="141" t="s">
        <v>222</v>
      </c>
      <c r="W790" s="141"/>
      <c r="X790" s="141"/>
      <c r="Y790" s="141"/>
      <c r="Z790" s="141"/>
    </row>
    <row r="791">
      <c r="A791" s="141"/>
      <c r="B791" s="141" t="s">
        <v>222</v>
      </c>
      <c r="C791" s="141" t="s">
        <v>222</v>
      </c>
      <c r="D791" s="141" t="s">
        <v>222</v>
      </c>
      <c r="E791" s="141" t="s">
        <v>222</v>
      </c>
      <c r="F791" s="141" t="s">
        <v>222</v>
      </c>
      <c r="G791" s="141" t="s">
        <v>222</v>
      </c>
      <c r="H791" s="141" t="s">
        <v>222</v>
      </c>
      <c r="I791" s="141" t="s">
        <v>222</v>
      </c>
      <c r="J791" s="141" t="s">
        <v>222</v>
      </c>
      <c r="K791" s="141" t="s">
        <v>222</v>
      </c>
      <c r="L791" s="141" t="s">
        <v>222</v>
      </c>
      <c r="M791" s="141" t="s">
        <v>222</v>
      </c>
      <c r="N791" s="141" t="s">
        <v>222</v>
      </c>
      <c r="O791" s="141" t="s">
        <v>222</v>
      </c>
      <c r="P791" s="141" t="s">
        <v>222</v>
      </c>
      <c r="Q791" s="141" t="s">
        <v>222</v>
      </c>
      <c r="R791" s="141" t="s">
        <v>222</v>
      </c>
      <c r="S791" s="141" t="s">
        <v>222</v>
      </c>
      <c r="T791" s="141" t="s">
        <v>222</v>
      </c>
      <c r="U791" s="141" t="s">
        <v>222</v>
      </c>
      <c r="V791" s="141" t="s">
        <v>222</v>
      </c>
      <c r="W791" s="141"/>
      <c r="X791" s="141"/>
      <c r="Y791" s="141"/>
      <c r="Z791" s="141"/>
    </row>
    <row r="792">
      <c r="A792" s="141"/>
      <c r="B792" s="141" t="s">
        <v>222</v>
      </c>
      <c r="C792" s="141" t="s">
        <v>222</v>
      </c>
      <c r="D792" s="141" t="s">
        <v>222</v>
      </c>
      <c r="E792" s="141" t="s">
        <v>222</v>
      </c>
      <c r="F792" s="141" t="s">
        <v>222</v>
      </c>
      <c r="G792" s="141" t="s">
        <v>222</v>
      </c>
      <c r="H792" s="141" t="s">
        <v>222</v>
      </c>
      <c r="I792" s="141" t="s">
        <v>222</v>
      </c>
      <c r="J792" s="141" t="s">
        <v>222</v>
      </c>
      <c r="K792" s="141" t="s">
        <v>222</v>
      </c>
      <c r="L792" s="141" t="s">
        <v>222</v>
      </c>
      <c r="M792" s="141" t="s">
        <v>222</v>
      </c>
      <c r="N792" s="141" t="s">
        <v>222</v>
      </c>
      <c r="O792" s="141" t="s">
        <v>222</v>
      </c>
      <c r="P792" s="141" t="s">
        <v>222</v>
      </c>
      <c r="Q792" s="141" t="s">
        <v>222</v>
      </c>
      <c r="R792" s="141" t="s">
        <v>222</v>
      </c>
      <c r="S792" s="141" t="s">
        <v>222</v>
      </c>
      <c r="T792" s="141" t="s">
        <v>222</v>
      </c>
      <c r="U792" s="141" t="s">
        <v>222</v>
      </c>
      <c r="V792" s="141" t="s">
        <v>222</v>
      </c>
      <c r="W792" s="141"/>
      <c r="X792" s="141"/>
      <c r="Y792" s="141"/>
      <c r="Z792" s="141"/>
    </row>
    <row r="793">
      <c r="A793" s="141"/>
      <c r="B793" s="141" t="s">
        <v>222</v>
      </c>
      <c r="C793" s="141" t="s">
        <v>222</v>
      </c>
      <c r="D793" s="141" t="s">
        <v>222</v>
      </c>
      <c r="E793" s="141" t="s">
        <v>222</v>
      </c>
      <c r="F793" s="141" t="s">
        <v>222</v>
      </c>
      <c r="G793" s="141" t="s">
        <v>222</v>
      </c>
      <c r="H793" s="141" t="s">
        <v>222</v>
      </c>
      <c r="I793" s="141" t="s">
        <v>222</v>
      </c>
      <c r="J793" s="141" t="s">
        <v>222</v>
      </c>
      <c r="K793" s="141" t="s">
        <v>222</v>
      </c>
      <c r="L793" s="141" t="s">
        <v>222</v>
      </c>
      <c r="M793" s="141" t="s">
        <v>222</v>
      </c>
      <c r="N793" s="141" t="s">
        <v>222</v>
      </c>
      <c r="O793" s="141" t="s">
        <v>222</v>
      </c>
      <c r="P793" s="141" t="s">
        <v>222</v>
      </c>
      <c r="Q793" s="141" t="s">
        <v>222</v>
      </c>
      <c r="R793" s="141" t="s">
        <v>222</v>
      </c>
      <c r="S793" s="141" t="s">
        <v>222</v>
      </c>
      <c r="T793" s="141" t="s">
        <v>222</v>
      </c>
      <c r="U793" s="141" t="s">
        <v>222</v>
      </c>
      <c r="V793" s="141" t="s">
        <v>222</v>
      </c>
      <c r="W793" s="141"/>
      <c r="X793" s="141"/>
      <c r="Y793" s="141"/>
      <c r="Z793" s="141"/>
    </row>
    <row r="794">
      <c r="A794" s="141"/>
      <c r="B794" s="141" t="s">
        <v>222</v>
      </c>
      <c r="C794" s="141" t="s">
        <v>222</v>
      </c>
      <c r="D794" s="141" t="s">
        <v>222</v>
      </c>
      <c r="E794" s="141" t="s">
        <v>222</v>
      </c>
      <c r="F794" s="141" t="s">
        <v>222</v>
      </c>
      <c r="G794" s="141" t="s">
        <v>222</v>
      </c>
      <c r="H794" s="141" t="s">
        <v>222</v>
      </c>
      <c r="I794" s="141" t="s">
        <v>222</v>
      </c>
      <c r="J794" s="141" t="s">
        <v>222</v>
      </c>
      <c r="K794" s="141" t="s">
        <v>222</v>
      </c>
      <c r="L794" s="141" t="s">
        <v>222</v>
      </c>
      <c r="M794" s="141" t="s">
        <v>222</v>
      </c>
      <c r="N794" s="141" t="s">
        <v>222</v>
      </c>
      <c r="O794" s="141" t="s">
        <v>222</v>
      </c>
      <c r="P794" s="141" t="s">
        <v>222</v>
      </c>
      <c r="Q794" s="141" t="s">
        <v>222</v>
      </c>
      <c r="R794" s="141" t="s">
        <v>222</v>
      </c>
      <c r="S794" s="141" t="s">
        <v>222</v>
      </c>
      <c r="T794" s="141" t="s">
        <v>222</v>
      </c>
      <c r="U794" s="141" t="s">
        <v>222</v>
      </c>
      <c r="V794" s="141" t="s">
        <v>222</v>
      </c>
      <c r="W794" s="141"/>
      <c r="X794" s="141"/>
      <c r="Y794" s="141"/>
      <c r="Z794" s="141"/>
    </row>
    <row r="795">
      <c r="A795" s="141"/>
      <c r="B795" s="141" t="s">
        <v>222</v>
      </c>
      <c r="C795" s="141" t="s">
        <v>222</v>
      </c>
      <c r="D795" s="141" t="s">
        <v>222</v>
      </c>
      <c r="E795" s="141" t="s">
        <v>222</v>
      </c>
      <c r="F795" s="141" t="s">
        <v>222</v>
      </c>
      <c r="G795" s="141" t="s">
        <v>222</v>
      </c>
      <c r="H795" s="141" t="s">
        <v>222</v>
      </c>
      <c r="I795" s="141" t="s">
        <v>222</v>
      </c>
      <c r="J795" s="141" t="s">
        <v>222</v>
      </c>
      <c r="K795" s="141" t="s">
        <v>222</v>
      </c>
      <c r="L795" s="141" t="s">
        <v>222</v>
      </c>
      <c r="M795" s="141" t="s">
        <v>222</v>
      </c>
      <c r="N795" s="141" t="s">
        <v>222</v>
      </c>
      <c r="O795" s="141" t="s">
        <v>222</v>
      </c>
      <c r="P795" s="141" t="s">
        <v>222</v>
      </c>
      <c r="Q795" s="141" t="s">
        <v>222</v>
      </c>
      <c r="R795" s="141" t="s">
        <v>222</v>
      </c>
      <c r="S795" s="141" t="s">
        <v>222</v>
      </c>
      <c r="T795" s="141" t="s">
        <v>222</v>
      </c>
      <c r="U795" s="141" t="s">
        <v>222</v>
      </c>
      <c r="V795" s="141" t="s">
        <v>222</v>
      </c>
      <c r="W795" s="141"/>
      <c r="X795" s="141"/>
      <c r="Y795" s="141"/>
      <c r="Z795" s="141"/>
    </row>
    <row r="796">
      <c r="A796" s="141"/>
      <c r="B796" s="141" t="s">
        <v>222</v>
      </c>
      <c r="C796" s="141" t="s">
        <v>222</v>
      </c>
      <c r="D796" s="141" t="s">
        <v>222</v>
      </c>
      <c r="E796" s="141" t="s">
        <v>222</v>
      </c>
      <c r="F796" s="141" t="s">
        <v>222</v>
      </c>
      <c r="G796" s="141" t="s">
        <v>222</v>
      </c>
      <c r="H796" s="141" t="s">
        <v>222</v>
      </c>
      <c r="I796" s="141" t="s">
        <v>222</v>
      </c>
      <c r="J796" s="141" t="s">
        <v>222</v>
      </c>
      <c r="K796" s="141" t="s">
        <v>222</v>
      </c>
      <c r="L796" s="141" t="s">
        <v>222</v>
      </c>
      <c r="M796" s="141" t="s">
        <v>222</v>
      </c>
      <c r="N796" s="141" t="s">
        <v>222</v>
      </c>
      <c r="O796" s="141" t="s">
        <v>222</v>
      </c>
      <c r="P796" s="141" t="s">
        <v>222</v>
      </c>
      <c r="Q796" s="141" t="s">
        <v>222</v>
      </c>
      <c r="R796" s="141" t="s">
        <v>222</v>
      </c>
      <c r="S796" s="141" t="s">
        <v>222</v>
      </c>
      <c r="T796" s="141" t="s">
        <v>222</v>
      </c>
      <c r="U796" s="141" t="s">
        <v>222</v>
      </c>
      <c r="V796" s="141" t="s">
        <v>222</v>
      </c>
      <c r="W796" s="141"/>
      <c r="X796" s="141"/>
      <c r="Y796" s="141"/>
      <c r="Z796" s="141"/>
    </row>
    <row r="797">
      <c r="A797" s="141"/>
      <c r="B797" s="141" t="s">
        <v>222</v>
      </c>
      <c r="C797" s="141" t="s">
        <v>222</v>
      </c>
      <c r="D797" s="141" t="s">
        <v>222</v>
      </c>
      <c r="E797" s="141" t="s">
        <v>222</v>
      </c>
      <c r="F797" s="141" t="s">
        <v>222</v>
      </c>
      <c r="G797" s="141" t="s">
        <v>222</v>
      </c>
      <c r="H797" s="141" t="s">
        <v>222</v>
      </c>
      <c r="I797" s="141" t="s">
        <v>222</v>
      </c>
      <c r="J797" s="141" t="s">
        <v>222</v>
      </c>
      <c r="K797" s="141" t="s">
        <v>222</v>
      </c>
      <c r="L797" s="141" t="s">
        <v>222</v>
      </c>
      <c r="M797" s="141" t="s">
        <v>222</v>
      </c>
      <c r="N797" s="141" t="s">
        <v>222</v>
      </c>
      <c r="O797" s="141" t="s">
        <v>222</v>
      </c>
      <c r="P797" s="141" t="s">
        <v>222</v>
      </c>
      <c r="Q797" s="141" t="s">
        <v>222</v>
      </c>
      <c r="R797" s="141" t="s">
        <v>222</v>
      </c>
      <c r="S797" s="141" t="s">
        <v>222</v>
      </c>
      <c r="T797" s="141" t="s">
        <v>222</v>
      </c>
      <c r="U797" s="141" t="s">
        <v>222</v>
      </c>
      <c r="V797" s="141" t="s">
        <v>222</v>
      </c>
      <c r="W797" s="141"/>
      <c r="X797" s="141"/>
      <c r="Y797" s="141"/>
      <c r="Z797" s="141"/>
    </row>
    <row r="798">
      <c r="A798" s="141"/>
      <c r="B798" s="141" t="s">
        <v>222</v>
      </c>
      <c r="C798" s="141" t="s">
        <v>222</v>
      </c>
      <c r="D798" s="141" t="s">
        <v>222</v>
      </c>
      <c r="E798" s="141" t="s">
        <v>222</v>
      </c>
      <c r="F798" s="141" t="s">
        <v>222</v>
      </c>
      <c r="G798" s="141" t="s">
        <v>222</v>
      </c>
      <c r="H798" s="141" t="s">
        <v>222</v>
      </c>
      <c r="I798" s="141" t="s">
        <v>222</v>
      </c>
      <c r="J798" s="141" t="s">
        <v>222</v>
      </c>
      <c r="K798" s="141" t="s">
        <v>222</v>
      </c>
      <c r="L798" s="141" t="s">
        <v>222</v>
      </c>
      <c r="M798" s="141" t="s">
        <v>222</v>
      </c>
      <c r="N798" s="141" t="s">
        <v>222</v>
      </c>
      <c r="O798" s="141" t="s">
        <v>222</v>
      </c>
      <c r="P798" s="141" t="s">
        <v>222</v>
      </c>
      <c r="Q798" s="141" t="s">
        <v>222</v>
      </c>
      <c r="R798" s="141" t="s">
        <v>222</v>
      </c>
      <c r="S798" s="141" t="s">
        <v>222</v>
      </c>
      <c r="T798" s="141" t="s">
        <v>222</v>
      </c>
      <c r="U798" s="141" t="s">
        <v>222</v>
      </c>
      <c r="V798" s="141" t="s">
        <v>222</v>
      </c>
      <c r="W798" s="141"/>
      <c r="X798" s="141"/>
      <c r="Y798" s="141"/>
      <c r="Z798" s="141"/>
    </row>
    <row r="799">
      <c r="A799" s="141"/>
      <c r="B799" s="141" t="s">
        <v>222</v>
      </c>
      <c r="C799" s="141" t="s">
        <v>222</v>
      </c>
      <c r="D799" s="141" t="s">
        <v>222</v>
      </c>
      <c r="E799" s="141" t="s">
        <v>222</v>
      </c>
      <c r="F799" s="141" t="s">
        <v>222</v>
      </c>
      <c r="G799" s="141" t="s">
        <v>222</v>
      </c>
      <c r="H799" s="141" t="s">
        <v>222</v>
      </c>
      <c r="I799" s="141" t="s">
        <v>222</v>
      </c>
      <c r="J799" s="141" t="s">
        <v>222</v>
      </c>
      <c r="K799" s="141" t="s">
        <v>222</v>
      </c>
      <c r="L799" s="141" t="s">
        <v>222</v>
      </c>
      <c r="M799" s="141" t="s">
        <v>222</v>
      </c>
      <c r="N799" s="141" t="s">
        <v>222</v>
      </c>
      <c r="O799" s="141" t="s">
        <v>222</v>
      </c>
      <c r="P799" s="141" t="s">
        <v>222</v>
      </c>
      <c r="Q799" s="141" t="s">
        <v>222</v>
      </c>
      <c r="R799" s="141" t="s">
        <v>222</v>
      </c>
      <c r="S799" s="141" t="s">
        <v>222</v>
      </c>
      <c r="T799" s="141" t="s">
        <v>222</v>
      </c>
      <c r="U799" s="141" t="s">
        <v>222</v>
      </c>
      <c r="V799" s="141" t="s">
        <v>222</v>
      </c>
      <c r="W799" s="141"/>
      <c r="X799" s="141"/>
      <c r="Y799" s="141"/>
      <c r="Z799" s="141"/>
    </row>
    <row r="800">
      <c r="A800" s="141"/>
      <c r="B800" s="141" t="s">
        <v>222</v>
      </c>
      <c r="C800" s="141" t="s">
        <v>222</v>
      </c>
      <c r="D800" s="141" t="s">
        <v>222</v>
      </c>
      <c r="E800" s="141" t="s">
        <v>222</v>
      </c>
      <c r="F800" s="141" t="s">
        <v>222</v>
      </c>
      <c r="G800" s="141" t="s">
        <v>222</v>
      </c>
      <c r="H800" s="141" t="s">
        <v>222</v>
      </c>
      <c r="I800" s="141" t="s">
        <v>222</v>
      </c>
      <c r="J800" s="141" t="s">
        <v>222</v>
      </c>
      <c r="K800" s="141" t="s">
        <v>222</v>
      </c>
      <c r="L800" s="141" t="s">
        <v>222</v>
      </c>
      <c r="M800" s="141" t="s">
        <v>222</v>
      </c>
      <c r="N800" s="141" t="s">
        <v>222</v>
      </c>
      <c r="O800" s="141" t="s">
        <v>222</v>
      </c>
      <c r="P800" s="141" t="s">
        <v>222</v>
      </c>
      <c r="Q800" s="141" t="s">
        <v>222</v>
      </c>
      <c r="R800" s="141" t="s">
        <v>222</v>
      </c>
      <c r="S800" s="141" t="s">
        <v>222</v>
      </c>
      <c r="T800" s="141" t="s">
        <v>222</v>
      </c>
      <c r="U800" s="141" t="s">
        <v>222</v>
      </c>
      <c r="V800" s="141" t="s">
        <v>222</v>
      </c>
      <c r="W800" s="141"/>
      <c r="X800" s="141"/>
      <c r="Y800" s="141"/>
      <c r="Z800" s="141"/>
    </row>
    <row r="801">
      <c r="A801" s="141"/>
      <c r="B801" s="141" t="s">
        <v>222</v>
      </c>
      <c r="C801" s="141" t="s">
        <v>222</v>
      </c>
      <c r="D801" s="141" t="s">
        <v>222</v>
      </c>
      <c r="E801" s="141" t="s">
        <v>222</v>
      </c>
      <c r="F801" s="141" t="s">
        <v>222</v>
      </c>
      <c r="G801" s="141" t="s">
        <v>222</v>
      </c>
      <c r="H801" s="141" t="s">
        <v>222</v>
      </c>
      <c r="I801" s="141" t="s">
        <v>222</v>
      </c>
      <c r="J801" s="141" t="s">
        <v>222</v>
      </c>
      <c r="K801" s="141" t="s">
        <v>222</v>
      </c>
      <c r="L801" s="141" t="s">
        <v>222</v>
      </c>
      <c r="M801" s="141" t="s">
        <v>222</v>
      </c>
      <c r="N801" s="141" t="s">
        <v>222</v>
      </c>
      <c r="O801" s="141" t="s">
        <v>222</v>
      </c>
      <c r="P801" s="141" t="s">
        <v>222</v>
      </c>
      <c r="Q801" s="141" t="s">
        <v>222</v>
      </c>
      <c r="R801" s="141" t="s">
        <v>222</v>
      </c>
      <c r="S801" s="141" t="s">
        <v>222</v>
      </c>
      <c r="T801" s="141" t="s">
        <v>222</v>
      </c>
      <c r="U801" s="141" t="s">
        <v>222</v>
      </c>
      <c r="V801" s="141" t="s">
        <v>222</v>
      </c>
      <c r="W801" s="141"/>
      <c r="X801" s="141"/>
      <c r="Y801" s="141"/>
      <c r="Z801" s="141"/>
    </row>
    <row r="802">
      <c r="A802" s="141"/>
      <c r="B802" s="141" t="s">
        <v>222</v>
      </c>
      <c r="C802" s="141" t="s">
        <v>222</v>
      </c>
      <c r="D802" s="141" t="s">
        <v>222</v>
      </c>
      <c r="E802" s="141" t="s">
        <v>222</v>
      </c>
      <c r="F802" s="141" t="s">
        <v>222</v>
      </c>
      <c r="G802" s="141" t="s">
        <v>222</v>
      </c>
      <c r="H802" s="141" t="s">
        <v>222</v>
      </c>
      <c r="I802" s="141" t="s">
        <v>222</v>
      </c>
      <c r="J802" s="141" t="s">
        <v>222</v>
      </c>
      <c r="K802" s="141" t="s">
        <v>222</v>
      </c>
      <c r="L802" s="141" t="s">
        <v>222</v>
      </c>
      <c r="M802" s="141" t="s">
        <v>222</v>
      </c>
      <c r="N802" s="141" t="s">
        <v>222</v>
      </c>
      <c r="O802" s="141" t="s">
        <v>222</v>
      </c>
      <c r="P802" s="141" t="s">
        <v>222</v>
      </c>
      <c r="Q802" s="141" t="s">
        <v>222</v>
      </c>
      <c r="R802" s="141" t="s">
        <v>222</v>
      </c>
      <c r="S802" s="141" t="s">
        <v>222</v>
      </c>
      <c r="T802" s="141" t="s">
        <v>222</v>
      </c>
      <c r="U802" s="141" t="s">
        <v>222</v>
      </c>
      <c r="V802" s="141" t="s">
        <v>222</v>
      </c>
      <c r="W802" s="141"/>
      <c r="X802" s="141"/>
      <c r="Y802" s="141"/>
      <c r="Z802" s="141"/>
    </row>
    <row r="803">
      <c r="A803" s="141"/>
      <c r="B803" s="141" t="s">
        <v>222</v>
      </c>
      <c r="C803" s="141" t="s">
        <v>222</v>
      </c>
      <c r="D803" s="141" t="s">
        <v>222</v>
      </c>
      <c r="E803" s="141" t="s">
        <v>222</v>
      </c>
      <c r="F803" s="141" t="s">
        <v>222</v>
      </c>
      <c r="G803" s="141" t="s">
        <v>222</v>
      </c>
      <c r="H803" s="141" t="s">
        <v>222</v>
      </c>
      <c r="I803" s="141" t="s">
        <v>222</v>
      </c>
      <c r="J803" s="141" t="s">
        <v>222</v>
      </c>
      <c r="K803" s="141" t="s">
        <v>222</v>
      </c>
      <c r="L803" s="141" t="s">
        <v>222</v>
      </c>
      <c r="M803" s="141" t="s">
        <v>222</v>
      </c>
      <c r="N803" s="141" t="s">
        <v>222</v>
      </c>
      <c r="O803" s="141" t="s">
        <v>222</v>
      </c>
      <c r="P803" s="141" t="s">
        <v>222</v>
      </c>
      <c r="Q803" s="141" t="s">
        <v>222</v>
      </c>
      <c r="R803" s="141" t="s">
        <v>222</v>
      </c>
      <c r="S803" s="141" t="s">
        <v>222</v>
      </c>
      <c r="T803" s="141" t="s">
        <v>222</v>
      </c>
      <c r="U803" s="141" t="s">
        <v>222</v>
      </c>
      <c r="V803" s="141" t="s">
        <v>222</v>
      </c>
      <c r="W803" s="141"/>
      <c r="X803" s="141"/>
      <c r="Y803" s="141"/>
      <c r="Z803" s="141"/>
    </row>
    <row r="804">
      <c r="A804" s="141"/>
      <c r="B804" s="141" t="s">
        <v>222</v>
      </c>
      <c r="C804" s="141" t="s">
        <v>222</v>
      </c>
      <c r="D804" s="141" t="s">
        <v>222</v>
      </c>
      <c r="E804" s="141" t="s">
        <v>222</v>
      </c>
      <c r="F804" s="141" t="s">
        <v>222</v>
      </c>
      <c r="G804" s="141" t="s">
        <v>222</v>
      </c>
      <c r="H804" s="141" t="s">
        <v>222</v>
      </c>
      <c r="I804" s="141" t="s">
        <v>222</v>
      </c>
      <c r="J804" s="141" t="s">
        <v>222</v>
      </c>
      <c r="K804" s="141" t="s">
        <v>222</v>
      </c>
      <c r="L804" s="141" t="s">
        <v>222</v>
      </c>
      <c r="M804" s="141" t="s">
        <v>222</v>
      </c>
      <c r="N804" s="141" t="s">
        <v>222</v>
      </c>
      <c r="O804" s="141" t="s">
        <v>222</v>
      </c>
      <c r="P804" s="141" t="s">
        <v>222</v>
      </c>
      <c r="Q804" s="141" t="s">
        <v>222</v>
      </c>
      <c r="R804" s="141" t="s">
        <v>222</v>
      </c>
      <c r="S804" s="141" t="s">
        <v>222</v>
      </c>
      <c r="T804" s="141" t="s">
        <v>222</v>
      </c>
      <c r="U804" s="141" t="s">
        <v>222</v>
      </c>
      <c r="V804" s="141" t="s">
        <v>222</v>
      </c>
      <c r="W804" s="141"/>
      <c r="X804" s="141"/>
      <c r="Y804" s="141"/>
      <c r="Z804" s="141"/>
    </row>
    <row r="805">
      <c r="A805" s="141"/>
      <c r="B805" s="141" t="s">
        <v>222</v>
      </c>
      <c r="C805" s="141" t="s">
        <v>222</v>
      </c>
      <c r="D805" s="141" t="s">
        <v>222</v>
      </c>
      <c r="E805" s="141" t="s">
        <v>222</v>
      </c>
      <c r="F805" s="141" t="s">
        <v>222</v>
      </c>
      <c r="G805" s="141" t="s">
        <v>222</v>
      </c>
      <c r="H805" s="141" t="s">
        <v>222</v>
      </c>
      <c r="I805" s="141" t="s">
        <v>222</v>
      </c>
      <c r="J805" s="141" t="s">
        <v>222</v>
      </c>
      <c r="K805" s="141" t="s">
        <v>222</v>
      </c>
      <c r="L805" s="141" t="s">
        <v>222</v>
      </c>
      <c r="M805" s="141" t="s">
        <v>222</v>
      </c>
      <c r="N805" s="141" t="s">
        <v>222</v>
      </c>
      <c r="O805" s="141" t="s">
        <v>222</v>
      </c>
      <c r="P805" s="141" t="s">
        <v>222</v>
      </c>
      <c r="Q805" s="141" t="s">
        <v>222</v>
      </c>
      <c r="R805" s="141" t="s">
        <v>222</v>
      </c>
      <c r="S805" s="141" t="s">
        <v>222</v>
      </c>
      <c r="T805" s="141" t="s">
        <v>222</v>
      </c>
      <c r="U805" s="141" t="s">
        <v>222</v>
      </c>
      <c r="V805" s="141" t="s">
        <v>222</v>
      </c>
      <c r="W805" s="141"/>
      <c r="X805" s="141"/>
      <c r="Y805" s="141"/>
      <c r="Z805" s="141"/>
    </row>
    <row r="806">
      <c r="A806" s="141"/>
      <c r="B806" s="141" t="s">
        <v>222</v>
      </c>
      <c r="C806" s="141" t="s">
        <v>222</v>
      </c>
      <c r="D806" s="141" t="s">
        <v>222</v>
      </c>
      <c r="E806" s="141" t="s">
        <v>222</v>
      </c>
      <c r="F806" s="141" t="s">
        <v>222</v>
      </c>
      <c r="G806" s="141" t="s">
        <v>222</v>
      </c>
      <c r="H806" s="141" t="s">
        <v>222</v>
      </c>
      <c r="I806" s="141" t="s">
        <v>222</v>
      </c>
      <c r="J806" s="141" t="s">
        <v>222</v>
      </c>
      <c r="K806" s="141" t="s">
        <v>222</v>
      </c>
      <c r="L806" s="141" t="s">
        <v>222</v>
      </c>
      <c r="M806" s="141" t="s">
        <v>222</v>
      </c>
      <c r="N806" s="141" t="s">
        <v>222</v>
      </c>
      <c r="O806" s="141" t="s">
        <v>222</v>
      </c>
      <c r="P806" s="141" t="s">
        <v>222</v>
      </c>
      <c r="Q806" s="141" t="s">
        <v>222</v>
      </c>
      <c r="R806" s="141" t="s">
        <v>222</v>
      </c>
      <c r="S806" s="141" t="s">
        <v>222</v>
      </c>
      <c r="T806" s="141" t="s">
        <v>222</v>
      </c>
      <c r="U806" s="141" t="s">
        <v>222</v>
      </c>
      <c r="V806" s="141" t="s">
        <v>222</v>
      </c>
      <c r="W806" s="141"/>
      <c r="X806" s="141"/>
      <c r="Y806" s="141"/>
      <c r="Z806" s="141"/>
    </row>
    <row r="807">
      <c r="A807" s="141"/>
      <c r="B807" s="141" t="s">
        <v>222</v>
      </c>
      <c r="C807" s="141" t="s">
        <v>222</v>
      </c>
      <c r="D807" s="141" t="s">
        <v>222</v>
      </c>
      <c r="E807" s="141" t="s">
        <v>222</v>
      </c>
      <c r="F807" s="141" t="s">
        <v>222</v>
      </c>
      <c r="G807" s="141" t="s">
        <v>222</v>
      </c>
      <c r="H807" s="141" t="s">
        <v>222</v>
      </c>
      <c r="I807" s="141" t="s">
        <v>222</v>
      </c>
      <c r="J807" s="141" t="s">
        <v>222</v>
      </c>
      <c r="K807" s="141" t="s">
        <v>222</v>
      </c>
      <c r="L807" s="141" t="s">
        <v>222</v>
      </c>
      <c r="M807" s="141" t="s">
        <v>222</v>
      </c>
      <c r="N807" s="141" t="s">
        <v>222</v>
      </c>
      <c r="O807" s="141" t="s">
        <v>222</v>
      </c>
      <c r="P807" s="141" t="s">
        <v>222</v>
      </c>
      <c r="Q807" s="141" t="s">
        <v>222</v>
      </c>
      <c r="R807" s="141" t="s">
        <v>222</v>
      </c>
      <c r="S807" s="141" t="s">
        <v>222</v>
      </c>
      <c r="T807" s="141" t="s">
        <v>222</v>
      </c>
      <c r="U807" s="141" t="s">
        <v>222</v>
      </c>
      <c r="V807" s="141" t="s">
        <v>222</v>
      </c>
      <c r="W807" s="141"/>
      <c r="X807" s="141"/>
      <c r="Y807" s="141"/>
      <c r="Z807" s="141"/>
    </row>
    <row r="808">
      <c r="A808" s="141"/>
      <c r="B808" s="141" t="s">
        <v>222</v>
      </c>
      <c r="C808" s="141" t="s">
        <v>222</v>
      </c>
      <c r="D808" s="141" t="s">
        <v>222</v>
      </c>
      <c r="E808" s="141" t="s">
        <v>222</v>
      </c>
      <c r="F808" s="141" t="s">
        <v>222</v>
      </c>
      <c r="G808" s="141" t="s">
        <v>222</v>
      </c>
      <c r="H808" s="141" t="s">
        <v>222</v>
      </c>
      <c r="I808" s="141" t="s">
        <v>222</v>
      </c>
      <c r="J808" s="141" t="s">
        <v>222</v>
      </c>
      <c r="K808" s="141" t="s">
        <v>222</v>
      </c>
      <c r="L808" s="141" t="s">
        <v>222</v>
      </c>
      <c r="M808" s="141" t="s">
        <v>222</v>
      </c>
      <c r="N808" s="141" t="s">
        <v>222</v>
      </c>
      <c r="O808" s="141" t="s">
        <v>222</v>
      </c>
      <c r="P808" s="141" t="s">
        <v>222</v>
      </c>
      <c r="Q808" s="141" t="s">
        <v>222</v>
      </c>
      <c r="R808" s="141" t="s">
        <v>222</v>
      </c>
      <c r="S808" s="141" t="s">
        <v>222</v>
      </c>
      <c r="T808" s="141" t="s">
        <v>222</v>
      </c>
      <c r="U808" s="141" t="s">
        <v>222</v>
      </c>
      <c r="V808" s="141" t="s">
        <v>222</v>
      </c>
      <c r="W808" s="141"/>
      <c r="X808" s="141"/>
      <c r="Y808" s="141"/>
      <c r="Z808" s="141"/>
    </row>
    <row r="809">
      <c r="A809" s="141"/>
      <c r="B809" s="141" t="s">
        <v>222</v>
      </c>
      <c r="C809" s="141" t="s">
        <v>222</v>
      </c>
      <c r="D809" s="141" t="s">
        <v>222</v>
      </c>
      <c r="E809" s="141" t="s">
        <v>222</v>
      </c>
      <c r="F809" s="141" t="s">
        <v>222</v>
      </c>
      <c r="G809" s="141" t="s">
        <v>222</v>
      </c>
      <c r="H809" s="141" t="s">
        <v>222</v>
      </c>
      <c r="I809" s="141" t="s">
        <v>222</v>
      </c>
      <c r="J809" s="141" t="s">
        <v>222</v>
      </c>
      <c r="K809" s="141" t="s">
        <v>222</v>
      </c>
      <c r="L809" s="141" t="s">
        <v>222</v>
      </c>
      <c r="M809" s="141" t="s">
        <v>222</v>
      </c>
      <c r="N809" s="141" t="s">
        <v>222</v>
      </c>
      <c r="O809" s="141" t="s">
        <v>222</v>
      </c>
      <c r="P809" s="141" t="s">
        <v>222</v>
      </c>
      <c r="Q809" s="141" t="s">
        <v>222</v>
      </c>
      <c r="R809" s="141" t="s">
        <v>222</v>
      </c>
      <c r="S809" s="141" t="s">
        <v>222</v>
      </c>
      <c r="T809" s="141" t="s">
        <v>222</v>
      </c>
      <c r="U809" s="141" t="s">
        <v>222</v>
      </c>
      <c r="V809" s="141" t="s">
        <v>222</v>
      </c>
      <c r="W809" s="141"/>
      <c r="X809" s="141"/>
      <c r="Y809" s="141"/>
      <c r="Z809" s="141"/>
    </row>
    <row r="810">
      <c r="A810" s="141"/>
      <c r="B810" s="141" t="s">
        <v>222</v>
      </c>
      <c r="C810" s="141" t="s">
        <v>222</v>
      </c>
      <c r="D810" s="141" t="s">
        <v>222</v>
      </c>
      <c r="E810" s="141" t="s">
        <v>222</v>
      </c>
      <c r="F810" s="141" t="s">
        <v>222</v>
      </c>
      <c r="G810" s="141" t="s">
        <v>222</v>
      </c>
      <c r="H810" s="141" t="s">
        <v>222</v>
      </c>
      <c r="I810" s="141" t="s">
        <v>222</v>
      </c>
      <c r="J810" s="141" t="s">
        <v>222</v>
      </c>
      <c r="K810" s="141" t="s">
        <v>222</v>
      </c>
      <c r="L810" s="141" t="s">
        <v>222</v>
      </c>
      <c r="M810" s="141" t="s">
        <v>222</v>
      </c>
      <c r="N810" s="141" t="s">
        <v>222</v>
      </c>
      <c r="O810" s="141" t="s">
        <v>222</v>
      </c>
      <c r="P810" s="141" t="s">
        <v>222</v>
      </c>
      <c r="Q810" s="141" t="s">
        <v>222</v>
      </c>
      <c r="R810" s="141" t="s">
        <v>222</v>
      </c>
      <c r="S810" s="141" t="s">
        <v>222</v>
      </c>
      <c r="T810" s="141" t="s">
        <v>222</v>
      </c>
      <c r="U810" s="141" t="s">
        <v>222</v>
      </c>
      <c r="V810" s="141" t="s">
        <v>222</v>
      </c>
      <c r="W810" s="141"/>
      <c r="X810" s="141"/>
      <c r="Y810" s="141"/>
      <c r="Z810" s="141"/>
    </row>
    <row r="811">
      <c r="A811" s="141"/>
      <c r="B811" s="141" t="s">
        <v>222</v>
      </c>
      <c r="C811" s="141" t="s">
        <v>222</v>
      </c>
      <c r="D811" s="141" t="s">
        <v>222</v>
      </c>
      <c r="E811" s="141" t="s">
        <v>222</v>
      </c>
      <c r="F811" s="141" t="s">
        <v>222</v>
      </c>
      <c r="G811" s="141" t="s">
        <v>222</v>
      </c>
      <c r="H811" s="141" t="s">
        <v>222</v>
      </c>
      <c r="I811" s="141" t="s">
        <v>222</v>
      </c>
      <c r="J811" s="141" t="s">
        <v>222</v>
      </c>
      <c r="K811" s="141" t="s">
        <v>222</v>
      </c>
      <c r="L811" s="141" t="s">
        <v>222</v>
      </c>
      <c r="M811" s="141" t="s">
        <v>222</v>
      </c>
      <c r="N811" s="141" t="s">
        <v>222</v>
      </c>
      <c r="O811" s="141" t="s">
        <v>222</v>
      </c>
      <c r="P811" s="141" t="s">
        <v>222</v>
      </c>
      <c r="Q811" s="141" t="s">
        <v>222</v>
      </c>
      <c r="R811" s="141" t="s">
        <v>222</v>
      </c>
      <c r="S811" s="141" t="s">
        <v>222</v>
      </c>
      <c r="T811" s="141" t="s">
        <v>222</v>
      </c>
      <c r="U811" s="141" t="s">
        <v>222</v>
      </c>
      <c r="V811" s="141" t="s">
        <v>222</v>
      </c>
      <c r="W811" s="141"/>
      <c r="X811" s="141"/>
      <c r="Y811" s="141"/>
      <c r="Z811" s="141"/>
    </row>
    <row r="812">
      <c r="A812" s="141"/>
      <c r="B812" s="141" t="s">
        <v>222</v>
      </c>
      <c r="C812" s="141" t="s">
        <v>222</v>
      </c>
      <c r="D812" s="141" t="s">
        <v>222</v>
      </c>
      <c r="E812" s="141" t="s">
        <v>222</v>
      </c>
      <c r="F812" s="141" t="s">
        <v>222</v>
      </c>
      <c r="G812" s="141" t="s">
        <v>222</v>
      </c>
      <c r="H812" s="141" t="s">
        <v>222</v>
      </c>
      <c r="I812" s="141" t="s">
        <v>222</v>
      </c>
      <c r="J812" s="141" t="s">
        <v>222</v>
      </c>
      <c r="K812" s="141" t="s">
        <v>222</v>
      </c>
      <c r="L812" s="141" t="s">
        <v>222</v>
      </c>
      <c r="M812" s="141" t="s">
        <v>222</v>
      </c>
      <c r="N812" s="141" t="s">
        <v>222</v>
      </c>
      <c r="O812" s="141" t="s">
        <v>222</v>
      </c>
      <c r="P812" s="141" t="s">
        <v>222</v>
      </c>
      <c r="Q812" s="141" t="s">
        <v>222</v>
      </c>
      <c r="R812" s="141" t="s">
        <v>222</v>
      </c>
      <c r="S812" s="141" t="s">
        <v>222</v>
      </c>
      <c r="T812" s="141" t="s">
        <v>222</v>
      </c>
      <c r="U812" s="141" t="s">
        <v>222</v>
      </c>
      <c r="V812" s="141" t="s">
        <v>222</v>
      </c>
      <c r="W812" s="141"/>
      <c r="X812" s="141"/>
      <c r="Y812" s="141"/>
      <c r="Z812" s="141"/>
    </row>
    <row r="813">
      <c r="A813" s="141"/>
      <c r="B813" s="141" t="s">
        <v>222</v>
      </c>
      <c r="C813" s="141" t="s">
        <v>222</v>
      </c>
      <c r="D813" s="141" t="s">
        <v>222</v>
      </c>
      <c r="E813" s="141" t="s">
        <v>222</v>
      </c>
      <c r="F813" s="141" t="s">
        <v>222</v>
      </c>
      <c r="G813" s="141" t="s">
        <v>222</v>
      </c>
      <c r="H813" s="141" t="s">
        <v>222</v>
      </c>
      <c r="I813" s="141" t="s">
        <v>222</v>
      </c>
      <c r="J813" s="141" t="s">
        <v>222</v>
      </c>
      <c r="K813" s="141" t="s">
        <v>222</v>
      </c>
      <c r="L813" s="141" t="s">
        <v>222</v>
      </c>
      <c r="M813" s="141" t="s">
        <v>222</v>
      </c>
      <c r="N813" s="141" t="s">
        <v>222</v>
      </c>
      <c r="O813" s="141" t="s">
        <v>222</v>
      </c>
      <c r="P813" s="141" t="s">
        <v>222</v>
      </c>
      <c r="Q813" s="141" t="s">
        <v>222</v>
      </c>
      <c r="R813" s="141" t="s">
        <v>222</v>
      </c>
      <c r="S813" s="141" t="s">
        <v>222</v>
      </c>
      <c r="T813" s="141" t="s">
        <v>222</v>
      </c>
      <c r="U813" s="141" t="s">
        <v>222</v>
      </c>
      <c r="V813" s="141" t="s">
        <v>222</v>
      </c>
      <c r="W813" s="141"/>
      <c r="X813" s="141"/>
      <c r="Y813" s="141"/>
      <c r="Z813" s="141"/>
    </row>
    <row r="814">
      <c r="A814" s="141"/>
      <c r="B814" s="141" t="s">
        <v>222</v>
      </c>
      <c r="C814" s="141" t="s">
        <v>222</v>
      </c>
      <c r="D814" s="141" t="s">
        <v>222</v>
      </c>
      <c r="E814" s="141" t="s">
        <v>222</v>
      </c>
      <c r="F814" s="141" t="s">
        <v>222</v>
      </c>
      <c r="G814" s="141" t="s">
        <v>222</v>
      </c>
      <c r="H814" s="141" t="s">
        <v>222</v>
      </c>
      <c r="I814" s="141" t="s">
        <v>222</v>
      </c>
      <c r="J814" s="141" t="s">
        <v>222</v>
      </c>
      <c r="K814" s="141" t="s">
        <v>222</v>
      </c>
      <c r="L814" s="141" t="s">
        <v>222</v>
      </c>
      <c r="M814" s="141" t="s">
        <v>222</v>
      </c>
      <c r="N814" s="141" t="s">
        <v>222</v>
      </c>
      <c r="O814" s="141" t="s">
        <v>222</v>
      </c>
      <c r="P814" s="141" t="s">
        <v>222</v>
      </c>
      <c r="Q814" s="141" t="s">
        <v>222</v>
      </c>
      <c r="R814" s="141" t="s">
        <v>222</v>
      </c>
      <c r="S814" s="141" t="s">
        <v>222</v>
      </c>
      <c r="T814" s="141" t="s">
        <v>222</v>
      </c>
      <c r="U814" s="141" t="s">
        <v>222</v>
      </c>
      <c r="V814" s="141" t="s">
        <v>222</v>
      </c>
      <c r="W814" s="141"/>
      <c r="X814" s="141"/>
      <c r="Y814" s="141"/>
      <c r="Z814" s="141"/>
    </row>
    <row r="815">
      <c r="A815" s="141"/>
      <c r="B815" s="141" t="s">
        <v>222</v>
      </c>
      <c r="C815" s="141" t="s">
        <v>222</v>
      </c>
      <c r="D815" s="141" t="s">
        <v>222</v>
      </c>
      <c r="E815" s="141" t="s">
        <v>222</v>
      </c>
      <c r="F815" s="141" t="s">
        <v>222</v>
      </c>
      <c r="G815" s="141" t="s">
        <v>222</v>
      </c>
      <c r="H815" s="141" t="s">
        <v>222</v>
      </c>
      <c r="I815" s="141" t="s">
        <v>222</v>
      </c>
      <c r="J815" s="141" t="s">
        <v>222</v>
      </c>
      <c r="K815" s="141" t="s">
        <v>222</v>
      </c>
      <c r="L815" s="141" t="s">
        <v>222</v>
      </c>
      <c r="M815" s="141" t="s">
        <v>222</v>
      </c>
      <c r="N815" s="141" t="s">
        <v>222</v>
      </c>
      <c r="O815" s="141" t="s">
        <v>222</v>
      </c>
      <c r="P815" s="141" t="s">
        <v>222</v>
      </c>
      <c r="Q815" s="141" t="s">
        <v>222</v>
      </c>
      <c r="R815" s="141" t="s">
        <v>222</v>
      </c>
      <c r="S815" s="141" t="s">
        <v>222</v>
      </c>
      <c r="T815" s="141" t="s">
        <v>222</v>
      </c>
      <c r="U815" s="141" t="s">
        <v>222</v>
      </c>
      <c r="V815" s="141" t="s">
        <v>222</v>
      </c>
      <c r="W815" s="141"/>
      <c r="X815" s="141"/>
      <c r="Y815" s="141"/>
      <c r="Z815" s="141"/>
    </row>
    <row r="816">
      <c r="A816" s="141"/>
      <c r="B816" s="141" t="s">
        <v>222</v>
      </c>
      <c r="C816" s="141" t="s">
        <v>222</v>
      </c>
      <c r="D816" s="141" t="s">
        <v>222</v>
      </c>
      <c r="E816" s="141" t="s">
        <v>222</v>
      </c>
      <c r="F816" s="141" t="s">
        <v>222</v>
      </c>
      <c r="G816" s="141" t="s">
        <v>222</v>
      </c>
      <c r="H816" s="141" t="s">
        <v>222</v>
      </c>
      <c r="I816" s="141" t="s">
        <v>222</v>
      </c>
      <c r="J816" s="141" t="s">
        <v>222</v>
      </c>
      <c r="K816" s="141" t="s">
        <v>222</v>
      </c>
      <c r="L816" s="141" t="s">
        <v>222</v>
      </c>
      <c r="M816" s="141" t="s">
        <v>222</v>
      </c>
      <c r="N816" s="141" t="s">
        <v>222</v>
      </c>
      <c r="O816" s="141" t="s">
        <v>222</v>
      </c>
      <c r="P816" s="141" t="s">
        <v>222</v>
      </c>
      <c r="Q816" s="141" t="s">
        <v>222</v>
      </c>
      <c r="R816" s="141" t="s">
        <v>222</v>
      </c>
      <c r="S816" s="141" t="s">
        <v>222</v>
      </c>
      <c r="T816" s="141" t="s">
        <v>222</v>
      </c>
      <c r="U816" s="141" t="s">
        <v>222</v>
      </c>
      <c r="V816" s="141" t="s">
        <v>222</v>
      </c>
      <c r="W816" s="141"/>
      <c r="X816" s="141"/>
      <c r="Y816" s="141"/>
      <c r="Z816" s="141"/>
    </row>
    <row r="817">
      <c r="A817" s="141"/>
      <c r="B817" s="141" t="s">
        <v>222</v>
      </c>
      <c r="C817" s="141" t="s">
        <v>222</v>
      </c>
      <c r="D817" s="141" t="s">
        <v>222</v>
      </c>
      <c r="E817" s="141" t="s">
        <v>222</v>
      </c>
      <c r="F817" s="141" t="s">
        <v>222</v>
      </c>
      <c r="G817" s="141" t="s">
        <v>222</v>
      </c>
      <c r="H817" s="141" t="s">
        <v>222</v>
      </c>
      <c r="I817" s="141" t="s">
        <v>222</v>
      </c>
      <c r="J817" s="141" t="s">
        <v>222</v>
      </c>
      <c r="K817" s="141" t="s">
        <v>222</v>
      </c>
      <c r="L817" s="141" t="s">
        <v>222</v>
      </c>
      <c r="M817" s="141" t="s">
        <v>222</v>
      </c>
      <c r="N817" s="141" t="s">
        <v>222</v>
      </c>
      <c r="O817" s="141" t="s">
        <v>222</v>
      </c>
      <c r="P817" s="141" t="s">
        <v>222</v>
      </c>
      <c r="Q817" s="141" t="s">
        <v>222</v>
      </c>
      <c r="R817" s="141" t="s">
        <v>222</v>
      </c>
      <c r="S817" s="141" t="s">
        <v>222</v>
      </c>
      <c r="T817" s="141" t="s">
        <v>222</v>
      </c>
      <c r="U817" s="141" t="s">
        <v>222</v>
      </c>
      <c r="V817" s="141" t="s">
        <v>222</v>
      </c>
      <c r="W817" s="141"/>
      <c r="X817" s="141"/>
      <c r="Y817" s="141"/>
      <c r="Z817" s="141"/>
    </row>
    <row r="818">
      <c r="A818" s="141"/>
      <c r="B818" s="141" t="s">
        <v>222</v>
      </c>
      <c r="C818" s="141" t="s">
        <v>222</v>
      </c>
      <c r="D818" s="141" t="s">
        <v>222</v>
      </c>
      <c r="E818" s="141" t="s">
        <v>222</v>
      </c>
      <c r="F818" s="141" t="s">
        <v>222</v>
      </c>
      <c r="G818" s="141" t="s">
        <v>222</v>
      </c>
      <c r="H818" s="141" t="s">
        <v>222</v>
      </c>
      <c r="I818" s="141" t="s">
        <v>222</v>
      </c>
      <c r="J818" s="141" t="s">
        <v>222</v>
      </c>
      <c r="K818" s="141" t="s">
        <v>222</v>
      </c>
      <c r="L818" s="141" t="s">
        <v>222</v>
      </c>
      <c r="M818" s="141" t="s">
        <v>222</v>
      </c>
      <c r="N818" s="141" t="s">
        <v>222</v>
      </c>
      <c r="O818" s="141" t="s">
        <v>222</v>
      </c>
      <c r="P818" s="141" t="s">
        <v>222</v>
      </c>
      <c r="Q818" s="141" t="s">
        <v>222</v>
      </c>
      <c r="R818" s="141" t="s">
        <v>222</v>
      </c>
      <c r="S818" s="141" t="s">
        <v>222</v>
      </c>
      <c r="T818" s="141" t="s">
        <v>222</v>
      </c>
      <c r="U818" s="141" t="s">
        <v>222</v>
      </c>
      <c r="V818" s="141" t="s">
        <v>222</v>
      </c>
      <c r="W818" s="141"/>
      <c r="X818" s="141"/>
      <c r="Y818" s="141"/>
      <c r="Z818" s="141"/>
    </row>
    <row r="819">
      <c r="A819" s="141"/>
      <c r="B819" s="141" t="s">
        <v>222</v>
      </c>
      <c r="C819" s="141" t="s">
        <v>222</v>
      </c>
      <c r="D819" s="141" t="s">
        <v>222</v>
      </c>
      <c r="E819" s="141" t="s">
        <v>222</v>
      </c>
      <c r="F819" s="141" t="s">
        <v>222</v>
      </c>
      <c r="G819" s="141" t="s">
        <v>222</v>
      </c>
      <c r="H819" s="141" t="s">
        <v>222</v>
      </c>
      <c r="I819" s="141" t="s">
        <v>222</v>
      </c>
      <c r="J819" s="141" t="s">
        <v>222</v>
      </c>
      <c r="K819" s="141" t="s">
        <v>222</v>
      </c>
      <c r="L819" s="141" t="s">
        <v>222</v>
      </c>
      <c r="M819" s="141" t="s">
        <v>222</v>
      </c>
      <c r="N819" s="141" t="s">
        <v>222</v>
      </c>
      <c r="O819" s="141" t="s">
        <v>222</v>
      </c>
      <c r="P819" s="141" t="s">
        <v>222</v>
      </c>
      <c r="Q819" s="141" t="s">
        <v>222</v>
      </c>
      <c r="R819" s="141" t="s">
        <v>222</v>
      </c>
      <c r="S819" s="141" t="s">
        <v>222</v>
      </c>
      <c r="T819" s="141" t="s">
        <v>222</v>
      </c>
      <c r="U819" s="141" t="s">
        <v>222</v>
      </c>
      <c r="V819" s="141" t="s">
        <v>222</v>
      </c>
      <c r="W819" s="141"/>
      <c r="X819" s="141"/>
      <c r="Y819" s="141"/>
      <c r="Z819" s="141"/>
    </row>
    <row r="820">
      <c r="A820" s="141"/>
      <c r="B820" s="141" t="s">
        <v>222</v>
      </c>
      <c r="C820" s="141" t="s">
        <v>222</v>
      </c>
      <c r="D820" s="141" t="s">
        <v>222</v>
      </c>
      <c r="E820" s="141" t="s">
        <v>222</v>
      </c>
      <c r="F820" s="141" t="s">
        <v>222</v>
      </c>
      <c r="G820" s="141" t="s">
        <v>222</v>
      </c>
      <c r="H820" s="141" t="s">
        <v>222</v>
      </c>
      <c r="I820" s="141" t="s">
        <v>222</v>
      </c>
      <c r="J820" s="141" t="s">
        <v>222</v>
      </c>
      <c r="K820" s="141" t="s">
        <v>222</v>
      </c>
      <c r="L820" s="141" t="s">
        <v>222</v>
      </c>
      <c r="M820" s="141" t="s">
        <v>222</v>
      </c>
      <c r="N820" s="141" t="s">
        <v>222</v>
      </c>
      <c r="O820" s="141" t="s">
        <v>222</v>
      </c>
      <c r="P820" s="141" t="s">
        <v>222</v>
      </c>
      <c r="Q820" s="141" t="s">
        <v>222</v>
      </c>
      <c r="R820" s="141" t="s">
        <v>222</v>
      </c>
      <c r="S820" s="141" t="s">
        <v>222</v>
      </c>
      <c r="T820" s="141" t="s">
        <v>222</v>
      </c>
      <c r="U820" s="141" t="s">
        <v>222</v>
      </c>
      <c r="V820" s="141" t="s">
        <v>222</v>
      </c>
      <c r="W820" s="141"/>
      <c r="X820" s="141"/>
      <c r="Y820" s="141"/>
      <c r="Z820" s="141"/>
    </row>
    <row r="821">
      <c r="A821" s="141"/>
      <c r="B821" s="141" t="s">
        <v>222</v>
      </c>
      <c r="C821" s="141" t="s">
        <v>222</v>
      </c>
      <c r="D821" s="141" t="s">
        <v>222</v>
      </c>
      <c r="E821" s="141" t="s">
        <v>222</v>
      </c>
      <c r="F821" s="141" t="s">
        <v>222</v>
      </c>
      <c r="G821" s="141" t="s">
        <v>222</v>
      </c>
      <c r="H821" s="141" t="s">
        <v>222</v>
      </c>
      <c r="I821" s="141" t="s">
        <v>222</v>
      </c>
      <c r="J821" s="141" t="s">
        <v>222</v>
      </c>
      <c r="K821" s="141" t="s">
        <v>222</v>
      </c>
      <c r="L821" s="141" t="s">
        <v>222</v>
      </c>
      <c r="M821" s="141" t="s">
        <v>222</v>
      </c>
      <c r="N821" s="141" t="s">
        <v>222</v>
      </c>
      <c r="O821" s="141" t="s">
        <v>222</v>
      </c>
      <c r="P821" s="141" t="s">
        <v>222</v>
      </c>
      <c r="Q821" s="141" t="s">
        <v>222</v>
      </c>
      <c r="R821" s="141" t="s">
        <v>222</v>
      </c>
      <c r="S821" s="141" t="s">
        <v>222</v>
      </c>
      <c r="T821" s="141" t="s">
        <v>222</v>
      </c>
      <c r="U821" s="141" t="s">
        <v>222</v>
      </c>
      <c r="V821" s="141" t="s">
        <v>222</v>
      </c>
      <c r="W821" s="141"/>
      <c r="X821" s="141"/>
      <c r="Y821" s="141"/>
      <c r="Z821" s="141"/>
    </row>
    <row r="822">
      <c r="A822" s="141"/>
      <c r="B822" s="141" t="s">
        <v>222</v>
      </c>
      <c r="C822" s="141" t="s">
        <v>222</v>
      </c>
      <c r="D822" s="141" t="s">
        <v>222</v>
      </c>
      <c r="E822" s="141" t="s">
        <v>222</v>
      </c>
      <c r="F822" s="141" t="s">
        <v>222</v>
      </c>
      <c r="G822" s="141" t="s">
        <v>222</v>
      </c>
      <c r="H822" s="141" t="s">
        <v>222</v>
      </c>
      <c r="I822" s="141" t="s">
        <v>222</v>
      </c>
      <c r="J822" s="141" t="s">
        <v>222</v>
      </c>
      <c r="K822" s="141" t="s">
        <v>222</v>
      </c>
      <c r="L822" s="141" t="s">
        <v>222</v>
      </c>
      <c r="M822" s="141" t="s">
        <v>222</v>
      </c>
      <c r="N822" s="141" t="s">
        <v>222</v>
      </c>
      <c r="O822" s="141" t="s">
        <v>222</v>
      </c>
      <c r="P822" s="141" t="s">
        <v>222</v>
      </c>
      <c r="Q822" s="141" t="s">
        <v>222</v>
      </c>
      <c r="R822" s="141" t="s">
        <v>222</v>
      </c>
      <c r="S822" s="141" t="s">
        <v>222</v>
      </c>
      <c r="T822" s="141" t="s">
        <v>222</v>
      </c>
      <c r="U822" s="141" t="s">
        <v>222</v>
      </c>
      <c r="V822" s="141" t="s">
        <v>222</v>
      </c>
      <c r="W822" s="141"/>
      <c r="X822" s="141"/>
      <c r="Y822" s="141"/>
      <c r="Z822" s="141"/>
    </row>
    <row r="823">
      <c r="A823" s="141"/>
      <c r="B823" s="141" t="s">
        <v>222</v>
      </c>
      <c r="C823" s="141" t="s">
        <v>222</v>
      </c>
      <c r="D823" s="141" t="s">
        <v>222</v>
      </c>
      <c r="E823" s="141" t="s">
        <v>222</v>
      </c>
      <c r="F823" s="141" t="s">
        <v>222</v>
      </c>
      <c r="G823" s="141" t="s">
        <v>222</v>
      </c>
      <c r="H823" s="141" t="s">
        <v>222</v>
      </c>
      <c r="I823" s="141" t="s">
        <v>222</v>
      </c>
      <c r="J823" s="141" t="s">
        <v>222</v>
      </c>
      <c r="K823" s="141" t="s">
        <v>222</v>
      </c>
      <c r="L823" s="141" t="s">
        <v>222</v>
      </c>
      <c r="M823" s="141" t="s">
        <v>222</v>
      </c>
      <c r="N823" s="141" t="s">
        <v>222</v>
      </c>
      <c r="O823" s="141" t="s">
        <v>222</v>
      </c>
      <c r="P823" s="141" t="s">
        <v>222</v>
      </c>
      <c r="Q823" s="141" t="s">
        <v>222</v>
      </c>
      <c r="R823" s="141" t="s">
        <v>222</v>
      </c>
      <c r="S823" s="141" t="s">
        <v>222</v>
      </c>
      <c r="T823" s="141" t="s">
        <v>222</v>
      </c>
      <c r="U823" s="141" t="s">
        <v>222</v>
      </c>
      <c r="V823" s="141" t="s">
        <v>222</v>
      </c>
      <c r="W823" s="141"/>
      <c r="X823" s="141"/>
      <c r="Y823" s="141"/>
      <c r="Z823" s="141"/>
    </row>
    <row r="824">
      <c r="A824" s="141"/>
      <c r="B824" s="141" t="s">
        <v>222</v>
      </c>
      <c r="C824" s="141" t="s">
        <v>222</v>
      </c>
      <c r="D824" s="141" t="s">
        <v>222</v>
      </c>
      <c r="E824" s="141" t="s">
        <v>222</v>
      </c>
      <c r="F824" s="141" t="s">
        <v>222</v>
      </c>
      <c r="G824" s="141" t="s">
        <v>222</v>
      </c>
      <c r="H824" s="141" t="s">
        <v>222</v>
      </c>
      <c r="I824" s="141" t="s">
        <v>222</v>
      </c>
      <c r="J824" s="141" t="s">
        <v>222</v>
      </c>
      <c r="K824" s="141" t="s">
        <v>222</v>
      </c>
      <c r="L824" s="141" t="s">
        <v>222</v>
      </c>
      <c r="M824" s="141" t="s">
        <v>222</v>
      </c>
      <c r="N824" s="141" t="s">
        <v>222</v>
      </c>
      <c r="O824" s="141" t="s">
        <v>222</v>
      </c>
      <c r="P824" s="141" t="s">
        <v>222</v>
      </c>
      <c r="Q824" s="141" t="s">
        <v>222</v>
      </c>
      <c r="R824" s="141" t="s">
        <v>222</v>
      </c>
      <c r="S824" s="141" t="s">
        <v>222</v>
      </c>
      <c r="T824" s="141" t="s">
        <v>222</v>
      </c>
      <c r="U824" s="141" t="s">
        <v>222</v>
      </c>
      <c r="V824" s="141" t="s">
        <v>222</v>
      </c>
      <c r="W824" s="141"/>
      <c r="X824" s="141"/>
      <c r="Y824" s="141"/>
      <c r="Z824" s="141"/>
    </row>
    <row r="825">
      <c r="A825" s="141"/>
      <c r="B825" s="141" t="s">
        <v>222</v>
      </c>
      <c r="C825" s="141" t="s">
        <v>222</v>
      </c>
      <c r="D825" s="141" t="s">
        <v>222</v>
      </c>
      <c r="E825" s="141" t="s">
        <v>222</v>
      </c>
      <c r="F825" s="141" t="s">
        <v>222</v>
      </c>
      <c r="G825" s="141" t="s">
        <v>222</v>
      </c>
      <c r="H825" s="141" t="s">
        <v>222</v>
      </c>
      <c r="I825" s="141" t="s">
        <v>222</v>
      </c>
      <c r="J825" s="141" t="s">
        <v>222</v>
      </c>
      <c r="K825" s="141" t="s">
        <v>222</v>
      </c>
      <c r="L825" s="141" t="s">
        <v>222</v>
      </c>
      <c r="M825" s="141" t="s">
        <v>222</v>
      </c>
      <c r="N825" s="141" t="s">
        <v>222</v>
      </c>
      <c r="O825" s="141" t="s">
        <v>222</v>
      </c>
      <c r="P825" s="141" t="s">
        <v>222</v>
      </c>
      <c r="Q825" s="141" t="s">
        <v>222</v>
      </c>
      <c r="R825" s="141" t="s">
        <v>222</v>
      </c>
      <c r="S825" s="141" t="s">
        <v>222</v>
      </c>
      <c r="T825" s="141" t="s">
        <v>222</v>
      </c>
      <c r="U825" s="141" t="s">
        <v>222</v>
      </c>
      <c r="V825" s="141" t="s">
        <v>222</v>
      </c>
      <c r="W825" s="141"/>
      <c r="X825" s="141"/>
      <c r="Y825" s="141"/>
      <c r="Z825" s="141"/>
    </row>
    <row r="826">
      <c r="A826" s="141"/>
      <c r="B826" s="141" t="s">
        <v>222</v>
      </c>
      <c r="C826" s="141" t="s">
        <v>222</v>
      </c>
      <c r="D826" s="141" t="s">
        <v>222</v>
      </c>
      <c r="E826" s="141" t="s">
        <v>222</v>
      </c>
      <c r="F826" s="141" t="s">
        <v>222</v>
      </c>
      <c r="G826" s="141" t="s">
        <v>222</v>
      </c>
      <c r="H826" s="141" t="s">
        <v>222</v>
      </c>
      <c r="I826" s="141" t="s">
        <v>222</v>
      </c>
      <c r="J826" s="141" t="s">
        <v>222</v>
      </c>
      <c r="K826" s="141" t="s">
        <v>222</v>
      </c>
      <c r="L826" s="141" t="s">
        <v>222</v>
      </c>
      <c r="M826" s="141" t="s">
        <v>222</v>
      </c>
      <c r="N826" s="141" t="s">
        <v>222</v>
      </c>
      <c r="O826" s="141" t="s">
        <v>222</v>
      </c>
      <c r="P826" s="141" t="s">
        <v>222</v>
      </c>
      <c r="Q826" s="141" t="s">
        <v>222</v>
      </c>
      <c r="R826" s="141" t="s">
        <v>222</v>
      </c>
      <c r="S826" s="141" t="s">
        <v>222</v>
      </c>
      <c r="T826" s="141" t="s">
        <v>222</v>
      </c>
      <c r="U826" s="141" t="s">
        <v>222</v>
      </c>
      <c r="V826" s="141" t="s">
        <v>222</v>
      </c>
      <c r="W826" s="141"/>
      <c r="X826" s="141"/>
      <c r="Y826" s="141"/>
      <c r="Z826" s="141"/>
    </row>
    <row r="827">
      <c r="A827" s="141"/>
      <c r="B827" s="141" t="s">
        <v>222</v>
      </c>
      <c r="C827" s="141" t="s">
        <v>222</v>
      </c>
      <c r="D827" s="141" t="s">
        <v>222</v>
      </c>
      <c r="E827" s="141" t="s">
        <v>222</v>
      </c>
      <c r="F827" s="141" t="s">
        <v>222</v>
      </c>
      <c r="G827" s="141" t="s">
        <v>222</v>
      </c>
      <c r="H827" s="141" t="s">
        <v>222</v>
      </c>
      <c r="I827" s="141" t="s">
        <v>222</v>
      </c>
      <c r="J827" s="141" t="s">
        <v>222</v>
      </c>
      <c r="K827" s="141" t="s">
        <v>222</v>
      </c>
      <c r="L827" s="141" t="s">
        <v>222</v>
      </c>
      <c r="M827" s="141" t="s">
        <v>222</v>
      </c>
      <c r="N827" s="141" t="s">
        <v>222</v>
      </c>
      <c r="O827" s="141" t="s">
        <v>222</v>
      </c>
      <c r="P827" s="141" t="s">
        <v>222</v>
      </c>
      <c r="Q827" s="141" t="s">
        <v>222</v>
      </c>
      <c r="R827" s="141" t="s">
        <v>222</v>
      </c>
      <c r="S827" s="141" t="s">
        <v>222</v>
      </c>
      <c r="T827" s="141" t="s">
        <v>222</v>
      </c>
      <c r="U827" s="141" t="s">
        <v>222</v>
      </c>
      <c r="V827" s="141" t="s">
        <v>222</v>
      </c>
      <c r="W827" s="141"/>
      <c r="X827" s="141"/>
      <c r="Y827" s="141"/>
      <c r="Z827" s="141"/>
    </row>
    <row r="828">
      <c r="A828" s="141"/>
      <c r="B828" s="141" t="s">
        <v>222</v>
      </c>
      <c r="C828" s="141" t="s">
        <v>222</v>
      </c>
      <c r="D828" s="141" t="s">
        <v>222</v>
      </c>
      <c r="E828" s="141" t="s">
        <v>222</v>
      </c>
      <c r="F828" s="141" t="s">
        <v>222</v>
      </c>
      <c r="G828" s="141" t="s">
        <v>222</v>
      </c>
      <c r="H828" s="141" t="s">
        <v>222</v>
      </c>
      <c r="I828" s="141" t="s">
        <v>222</v>
      </c>
      <c r="J828" s="141" t="s">
        <v>222</v>
      </c>
      <c r="K828" s="141" t="s">
        <v>222</v>
      </c>
      <c r="L828" s="141" t="s">
        <v>222</v>
      </c>
      <c r="M828" s="141" t="s">
        <v>222</v>
      </c>
      <c r="N828" s="141" t="s">
        <v>222</v>
      </c>
      <c r="O828" s="141" t="s">
        <v>222</v>
      </c>
      <c r="P828" s="141" t="s">
        <v>222</v>
      </c>
      <c r="Q828" s="141" t="s">
        <v>222</v>
      </c>
      <c r="R828" s="141" t="s">
        <v>222</v>
      </c>
      <c r="S828" s="141" t="s">
        <v>222</v>
      </c>
      <c r="T828" s="141" t="s">
        <v>222</v>
      </c>
      <c r="U828" s="141" t="s">
        <v>222</v>
      </c>
      <c r="V828" s="141" t="s">
        <v>222</v>
      </c>
      <c r="W828" s="141"/>
      <c r="X828" s="141"/>
      <c r="Y828" s="141"/>
      <c r="Z828" s="141"/>
    </row>
    <row r="829">
      <c r="A829" s="141"/>
      <c r="B829" s="141" t="s">
        <v>222</v>
      </c>
      <c r="C829" s="141" t="s">
        <v>222</v>
      </c>
      <c r="D829" s="141" t="s">
        <v>222</v>
      </c>
      <c r="E829" s="141" t="s">
        <v>222</v>
      </c>
      <c r="F829" s="141" t="s">
        <v>222</v>
      </c>
      <c r="G829" s="141" t="s">
        <v>222</v>
      </c>
      <c r="H829" s="141" t="s">
        <v>222</v>
      </c>
      <c r="I829" s="141" t="s">
        <v>222</v>
      </c>
      <c r="J829" s="141" t="s">
        <v>222</v>
      </c>
      <c r="K829" s="141" t="s">
        <v>222</v>
      </c>
      <c r="L829" s="141" t="s">
        <v>222</v>
      </c>
      <c r="M829" s="141" t="s">
        <v>222</v>
      </c>
      <c r="N829" s="141" t="s">
        <v>222</v>
      </c>
      <c r="O829" s="141" t="s">
        <v>222</v>
      </c>
      <c r="P829" s="141" t="s">
        <v>222</v>
      </c>
      <c r="Q829" s="141" t="s">
        <v>222</v>
      </c>
      <c r="R829" s="141" t="s">
        <v>222</v>
      </c>
      <c r="S829" s="141" t="s">
        <v>222</v>
      </c>
      <c r="T829" s="141" t="s">
        <v>222</v>
      </c>
      <c r="U829" s="141" t="s">
        <v>222</v>
      </c>
      <c r="V829" s="141" t="s">
        <v>222</v>
      </c>
      <c r="W829" s="141"/>
      <c r="X829" s="141"/>
      <c r="Y829" s="141"/>
      <c r="Z829" s="141"/>
    </row>
    <row r="830">
      <c r="A830" s="141"/>
      <c r="B830" s="141" t="s">
        <v>222</v>
      </c>
      <c r="C830" s="141" t="s">
        <v>222</v>
      </c>
      <c r="D830" s="141" t="s">
        <v>222</v>
      </c>
      <c r="E830" s="141" t="s">
        <v>222</v>
      </c>
      <c r="F830" s="141" t="s">
        <v>222</v>
      </c>
      <c r="G830" s="141" t="s">
        <v>222</v>
      </c>
      <c r="H830" s="141" t="s">
        <v>222</v>
      </c>
      <c r="I830" s="141" t="s">
        <v>222</v>
      </c>
      <c r="J830" s="141" t="s">
        <v>222</v>
      </c>
      <c r="K830" s="141" t="s">
        <v>222</v>
      </c>
      <c r="L830" s="141" t="s">
        <v>222</v>
      </c>
      <c r="M830" s="141" t="s">
        <v>222</v>
      </c>
      <c r="N830" s="141" t="s">
        <v>222</v>
      </c>
      <c r="O830" s="141" t="s">
        <v>222</v>
      </c>
      <c r="P830" s="141" t="s">
        <v>222</v>
      </c>
      <c r="Q830" s="141" t="s">
        <v>222</v>
      </c>
      <c r="R830" s="141" t="s">
        <v>222</v>
      </c>
      <c r="S830" s="141" t="s">
        <v>222</v>
      </c>
      <c r="T830" s="141" t="s">
        <v>222</v>
      </c>
      <c r="U830" s="141" t="s">
        <v>222</v>
      </c>
      <c r="V830" s="141" t="s">
        <v>222</v>
      </c>
      <c r="W830" s="141"/>
      <c r="X830" s="141"/>
      <c r="Y830" s="141"/>
      <c r="Z830" s="141"/>
    </row>
    <row r="831">
      <c r="A831" s="141"/>
      <c r="B831" s="141" t="s">
        <v>222</v>
      </c>
      <c r="C831" s="141" t="s">
        <v>222</v>
      </c>
      <c r="D831" s="141" t="s">
        <v>222</v>
      </c>
      <c r="E831" s="141" t="s">
        <v>222</v>
      </c>
      <c r="F831" s="141" t="s">
        <v>222</v>
      </c>
      <c r="G831" s="141" t="s">
        <v>222</v>
      </c>
      <c r="H831" s="141" t="s">
        <v>222</v>
      </c>
      <c r="I831" s="141" t="s">
        <v>222</v>
      </c>
      <c r="J831" s="141" t="s">
        <v>222</v>
      </c>
      <c r="K831" s="141" t="s">
        <v>222</v>
      </c>
      <c r="L831" s="141" t="s">
        <v>222</v>
      </c>
      <c r="M831" s="141" t="s">
        <v>222</v>
      </c>
      <c r="N831" s="141" t="s">
        <v>222</v>
      </c>
      <c r="O831" s="141" t="s">
        <v>222</v>
      </c>
      <c r="P831" s="141" t="s">
        <v>222</v>
      </c>
      <c r="Q831" s="141" t="s">
        <v>222</v>
      </c>
      <c r="R831" s="141" t="s">
        <v>222</v>
      </c>
      <c r="S831" s="141" t="s">
        <v>222</v>
      </c>
      <c r="T831" s="141" t="s">
        <v>222</v>
      </c>
      <c r="U831" s="141" t="s">
        <v>222</v>
      </c>
      <c r="V831" s="141" t="s">
        <v>222</v>
      </c>
      <c r="W831" s="141"/>
      <c r="X831" s="141"/>
      <c r="Y831" s="141"/>
      <c r="Z831" s="141"/>
    </row>
    <row r="832">
      <c r="A832" s="141"/>
      <c r="B832" s="141" t="s">
        <v>222</v>
      </c>
      <c r="C832" s="141" t="s">
        <v>222</v>
      </c>
      <c r="D832" s="141" t="s">
        <v>222</v>
      </c>
      <c r="E832" s="141" t="s">
        <v>222</v>
      </c>
      <c r="F832" s="141" t="s">
        <v>222</v>
      </c>
      <c r="G832" s="141" t="s">
        <v>222</v>
      </c>
      <c r="H832" s="141" t="s">
        <v>222</v>
      </c>
      <c r="I832" s="141" t="s">
        <v>222</v>
      </c>
      <c r="J832" s="141" t="s">
        <v>222</v>
      </c>
      <c r="K832" s="141" t="s">
        <v>222</v>
      </c>
      <c r="L832" s="141" t="s">
        <v>222</v>
      </c>
      <c r="M832" s="141" t="s">
        <v>222</v>
      </c>
      <c r="N832" s="141" t="s">
        <v>222</v>
      </c>
      <c r="O832" s="141" t="s">
        <v>222</v>
      </c>
      <c r="P832" s="141" t="s">
        <v>222</v>
      </c>
      <c r="Q832" s="141" t="s">
        <v>222</v>
      </c>
      <c r="R832" s="141" t="s">
        <v>222</v>
      </c>
      <c r="S832" s="141" t="s">
        <v>222</v>
      </c>
      <c r="T832" s="141" t="s">
        <v>222</v>
      </c>
      <c r="U832" s="141" t="s">
        <v>222</v>
      </c>
      <c r="V832" s="141" t="s">
        <v>222</v>
      </c>
      <c r="W832" s="141"/>
      <c r="X832" s="141"/>
      <c r="Y832" s="141"/>
      <c r="Z832" s="141"/>
    </row>
    <row r="833">
      <c r="A833" s="141"/>
      <c r="B833" s="141" t="s">
        <v>222</v>
      </c>
      <c r="C833" s="141" t="s">
        <v>222</v>
      </c>
      <c r="D833" s="141" t="s">
        <v>222</v>
      </c>
      <c r="E833" s="141" t="s">
        <v>222</v>
      </c>
      <c r="F833" s="141" t="s">
        <v>222</v>
      </c>
      <c r="G833" s="141" t="s">
        <v>222</v>
      </c>
      <c r="H833" s="141" t="s">
        <v>222</v>
      </c>
      <c r="I833" s="141" t="s">
        <v>222</v>
      </c>
      <c r="J833" s="141" t="s">
        <v>222</v>
      </c>
      <c r="K833" s="141" t="s">
        <v>222</v>
      </c>
      <c r="L833" s="141" t="s">
        <v>222</v>
      </c>
      <c r="M833" s="141" t="s">
        <v>222</v>
      </c>
      <c r="N833" s="141" t="s">
        <v>222</v>
      </c>
      <c r="O833" s="141" t="s">
        <v>222</v>
      </c>
      <c r="P833" s="141" t="s">
        <v>222</v>
      </c>
      <c r="Q833" s="141" t="s">
        <v>222</v>
      </c>
      <c r="R833" s="141" t="s">
        <v>222</v>
      </c>
      <c r="S833" s="141" t="s">
        <v>222</v>
      </c>
      <c r="T833" s="141" t="s">
        <v>222</v>
      </c>
      <c r="U833" s="141" t="s">
        <v>222</v>
      </c>
      <c r="V833" s="141" t="s">
        <v>222</v>
      </c>
      <c r="W833" s="141"/>
      <c r="X833" s="141"/>
      <c r="Y833" s="141"/>
      <c r="Z833" s="141"/>
    </row>
    <row r="834">
      <c r="A834" s="141"/>
      <c r="B834" s="141" t="s">
        <v>222</v>
      </c>
      <c r="C834" s="141" t="s">
        <v>222</v>
      </c>
      <c r="D834" s="141" t="s">
        <v>222</v>
      </c>
      <c r="E834" s="141" t="s">
        <v>222</v>
      </c>
      <c r="F834" s="141" t="s">
        <v>222</v>
      </c>
      <c r="G834" s="141" t="s">
        <v>222</v>
      </c>
      <c r="H834" s="141" t="s">
        <v>222</v>
      </c>
      <c r="I834" s="141" t="s">
        <v>222</v>
      </c>
      <c r="J834" s="141" t="s">
        <v>222</v>
      </c>
      <c r="K834" s="141" t="s">
        <v>222</v>
      </c>
      <c r="L834" s="141" t="s">
        <v>222</v>
      </c>
      <c r="M834" s="141" t="s">
        <v>222</v>
      </c>
      <c r="N834" s="141" t="s">
        <v>222</v>
      </c>
      <c r="O834" s="141" t="s">
        <v>222</v>
      </c>
      <c r="P834" s="141" t="s">
        <v>222</v>
      </c>
      <c r="Q834" s="141" t="s">
        <v>222</v>
      </c>
      <c r="R834" s="141" t="s">
        <v>222</v>
      </c>
      <c r="S834" s="141" t="s">
        <v>222</v>
      </c>
      <c r="T834" s="141" t="s">
        <v>222</v>
      </c>
      <c r="U834" s="141" t="s">
        <v>222</v>
      </c>
      <c r="V834" s="141" t="s">
        <v>222</v>
      </c>
      <c r="W834" s="141"/>
      <c r="X834" s="141"/>
      <c r="Y834" s="141"/>
      <c r="Z834" s="141"/>
    </row>
    <row r="835">
      <c r="A835" s="141"/>
      <c r="B835" s="141" t="s">
        <v>222</v>
      </c>
      <c r="C835" s="141" t="s">
        <v>222</v>
      </c>
      <c r="D835" s="141" t="s">
        <v>222</v>
      </c>
      <c r="E835" s="141" t="s">
        <v>222</v>
      </c>
      <c r="F835" s="141" t="s">
        <v>222</v>
      </c>
      <c r="G835" s="141" t="s">
        <v>222</v>
      </c>
      <c r="H835" s="141" t="s">
        <v>222</v>
      </c>
      <c r="I835" s="141" t="s">
        <v>222</v>
      </c>
      <c r="J835" s="141" t="s">
        <v>222</v>
      </c>
      <c r="K835" s="141" t="s">
        <v>222</v>
      </c>
      <c r="L835" s="141" t="s">
        <v>222</v>
      </c>
      <c r="M835" s="141" t="s">
        <v>222</v>
      </c>
      <c r="N835" s="141" t="s">
        <v>222</v>
      </c>
      <c r="O835" s="141" t="s">
        <v>222</v>
      </c>
      <c r="P835" s="141" t="s">
        <v>222</v>
      </c>
      <c r="Q835" s="141" t="s">
        <v>222</v>
      </c>
      <c r="R835" s="141" t="s">
        <v>222</v>
      </c>
      <c r="S835" s="141" t="s">
        <v>222</v>
      </c>
      <c r="T835" s="141" t="s">
        <v>222</v>
      </c>
      <c r="U835" s="141" t="s">
        <v>222</v>
      </c>
      <c r="V835" s="141" t="s">
        <v>222</v>
      </c>
      <c r="W835" s="141"/>
      <c r="X835" s="141"/>
      <c r="Y835" s="141"/>
      <c r="Z835" s="141"/>
    </row>
    <row r="836">
      <c r="A836" s="141"/>
      <c r="B836" s="141" t="s">
        <v>222</v>
      </c>
      <c r="C836" s="141" t="s">
        <v>222</v>
      </c>
      <c r="D836" s="141" t="s">
        <v>222</v>
      </c>
      <c r="E836" s="141" t="s">
        <v>222</v>
      </c>
      <c r="F836" s="141" t="s">
        <v>222</v>
      </c>
      <c r="G836" s="141" t="s">
        <v>222</v>
      </c>
      <c r="H836" s="141" t="s">
        <v>222</v>
      </c>
      <c r="I836" s="141" t="s">
        <v>222</v>
      </c>
      <c r="J836" s="141" t="s">
        <v>222</v>
      </c>
      <c r="K836" s="141" t="s">
        <v>222</v>
      </c>
      <c r="L836" s="141" t="s">
        <v>222</v>
      </c>
      <c r="M836" s="141" t="s">
        <v>222</v>
      </c>
      <c r="N836" s="141" t="s">
        <v>222</v>
      </c>
      <c r="O836" s="141" t="s">
        <v>222</v>
      </c>
      <c r="P836" s="141" t="s">
        <v>222</v>
      </c>
      <c r="Q836" s="141" t="s">
        <v>222</v>
      </c>
      <c r="R836" s="141" t="s">
        <v>222</v>
      </c>
      <c r="S836" s="141" t="s">
        <v>222</v>
      </c>
      <c r="T836" s="141" t="s">
        <v>222</v>
      </c>
      <c r="U836" s="141" t="s">
        <v>222</v>
      </c>
      <c r="V836" s="141" t="s">
        <v>222</v>
      </c>
      <c r="W836" s="141"/>
      <c r="X836" s="141"/>
      <c r="Y836" s="141"/>
      <c r="Z836" s="141"/>
    </row>
    <row r="837">
      <c r="A837" s="141"/>
      <c r="B837" s="141" t="s">
        <v>222</v>
      </c>
      <c r="C837" s="141" t="s">
        <v>222</v>
      </c>
      <c r="D837" s="141" t="s">
        <v>222</v>
      </c>
      <c r="E837" s="141" t="s">
        <v>222</v>
      </c>
      <c r="F837" s="141" t="s">
        <v>222</v>
      </c>
      <c r="G837" s="141" t="s">
        <v>222</v>
      </c>
      <c r="H837" s="141" t="s">
        <v>222</v>
      </c>
      <c r="I837" s="141" t="s">
        <v>222</v>
      </c>
      <c r="J837" s="141" t="s">
        <v>222</v>
      </c>
      <c r="K837" s="141" t="s">
        <v>222</v>
      </c>
      <c r="L837" s="141" t="s">
        <v>222</v>
      </c>
      <c r="M837" s="141" t="s">
        <v>222</v>
      </c>
      <c r="N837" s="141" t="s">
        <v>222</v>
      </c>
      <c r="O837" s="141" t="s">
        <v>222</v>
      </c>
      <c r="P837" s="141" t="s">
        <v>222</v>
      </c>
      <c r="Q837" s="141" t="s">
        <v>222</v>
      </c>
      <c r="R837" s="141" t="s">
        <v>222</v>
      </c>
      <c r="S837" s="141" t="s">
        <v>222</v>
      </c>
      <c r="T837" s="141" t="s">
        <v>222</v>
      </c>
      <c r="U837" s="141" t="s">
        <v>222</v>
      </c>
      <c r="V837" s="141" t="s">
        <v>222</v>
      </c>
      <c r="W837" s="141"/>
      <c r="X837" s="141"/>
      <c r="Y837" s="141"/>
      <c r="Z837" s="141"/>
    </row>
    <row r="838">
      <c r="A838" s="141"/>
      <c r="B838" s="141" t="s">
        <v>222</v>
      </c>
      <c r="C838" s="141" t="s">
        <v>222</v>
      </c>
      <c r="D838" s="141" t="s">
        <v>222</v>
      </c>
      <c r="E838" s="141" t="s">
        <v>222</v>
      </c>
      <c r="F838" s="141" t="s">
        <v>222</v>
      </c>
      <c r="G838" s="141" t="s">
        <v>222</v>
      </c>
      <c r="H838" s="141" t="s">
        <v>222</v>
      </c>
      <c r="I838" s="141" t="s">
        <v>222</v>
      </c>
      <c r="J838" s="141" t="s">
        <v>222</v>
      </c>
      <c r="K838" s="141" t="s">
        <v>222</v>
      </c>
      <c r="L838" s="141" t="s">
        <v>222</v>
      </c>
      <c r="M838" s="141" t="s">
        <v>222</v>
      </c>
      <c r="N838" s="141" t="s">
        <v>222</v>
      </c>
      <c r="O838" s="141" t="s">
        <v>222</v>
      </c>
      <c r="P838" s="141" t="s">
        <v>222</v>
      </c>
      <c r="Q838" s="141" t="s">
        <v>222</v>
      </c>
      <c r="R838" s="141" t="s">
        <v>222</v>
      </c>
      <c r="S838" s="141" t="s">
        <v>222</v>
      </c>
      <c r="T838" s="141" t="s">
        <v>222</v>
      </c>
      <c r="U838" s="141" t="s">
        <v>222</v>
      </c>
      <c r="V838" s="141" t="s">
        <v>222</v>
      </c>
      <c r="W838" s="141"/>
      <c r="X838" s="141"/>
      <c r="Y838" s="141"/>
      <c r="Z838" s="141"/>
    </row>
    <row r="839">
      <c r="A839" s="141"/>
      <c r="B839" s="141" t="s">
        <v>222</v>
      </c>
      <c r="C839" s="141" t="s">
        <v>222</v>
      </c>
      <c r="D839" s="141" t="s">
        <v>222</v>
      </c>
      <c r="E839" s="141" t="s">
        <v>222</v>
      </c>
      <c r="F839" s="141" t="s">
        <v>222</v>
      </c>
      <c r="G839" s="141" t="s">
        <v>222</v>
      </c>
      <c r="H839" s="141" t="s">
        <v>222</v>
      </c>
      <c r="I839" s="141" t="s">
        <v>222</v>
      </c>
      <c r="J839" s="141" t="s">
        <v>222</v>
      </c>
      <c r="K839" s="141" t="s">
        <v>222</v>
      </c>
      <c r="L839" s="141" t="s">
        <v>222</v>
      </c>
      <c r="M839" s="141" t="s">
        <v>222</v>
      </c>
      <c r="N839" s="141" t="s">
        <v>222</v>
      </c>
      <c r="O839" s="141" t="s">
        <v>222</v>
      </c>
      <c r="P839" s="141" t="s">
        <v>222</v>
      </c>
      <c r="Q839" s="141" t="s">
        <v>222</v>
      </c>
      <c r="R839" s="141" t="s">
        <v>222</v>
      </c>
      <c r="S839" s="141" t="s">
        <v>222</v>
      </c>
      <c r="T839" s="141" t="s">
        <v>222</v>
      </c>
      <c r="U839" s="141" t="s">
        <v>222</v>
      </c>
      <c r="V839" s="141" t="s">
        <v>222</v>
      </c>
      <c r="W839" s="141"/>
      <c r="X839" s="141"/>
      <c r="Y839" s="141"/>
      <c r="Z839" s="141"/>
    </row>
    <row r="840">
      <c r="A840" s="141"/>
      <c r="B840" s="141" t="s">
        <v>222</v>
      </c>
      <c r="C840" s="141" t="s">
        <v>222</v>
      </c>
      <c r="D840" s="141" t="s">
        <v>222</v>
      </c>
      <c r="E840" s="141" t="s">
        <v>222</v>
      </c>
      <c r="F840" s="141" t="s">
        <v>222</v>
      </c>
      <c r="G840" s="141" t="s">
        <v>222</v>
      </c>
      <c r="H840" s="141" t="s">
        <v>222</v>
      </c>
      <c r="I840" s="141" t="s">
        <v>222</v>
      </c>
      <c r="J840" s="141" t="s">
        <v>222</v>
      </c>
      <c r="K840" s="141" t="s">
        <v>222</v>
      </c>
      <c r="L840" s="141" t="s">
        <v>222</v>
      </c>
      <c r="M840" s="141" t="s">
        <v>222</v>
      </c>
      <c r="N840" s="141" t="s">
        <v>222</v>
      </c>
      <c r="O840" s="141" t="s">
        <v>222</v>
      </c>
      <c r="P840" s="141" t="s">
        <v>222</v>
      </c>
      <c r="Q840" s="141" t="s">
        <v>222</v>
      </c>
      <c r="R840" s="141" t="s">
        <v>222</v>
      </c>
      <c r="S840" s="141" t="s">
        <v>222</v>
      </c>
      <c r="T840" s="141" t="s">
        <v>222</v>
      </c>
      <c r="U840" s="141" t="s">
        <v>222</v>
      </c>
      <c r="V840" s="141" t="s">
        <v>222</v>
      </c>
      <c r="W840" s="141"/>
      <c r="X840" s="141"/>
      <c r="Y840" s="141"/>
      <c r="Z840" s="141"/>
    </row>
    <row r="841">
      <c r="A841" s="141"/>
      <c r="B841" s="141" t="s">
        <v>222</v>
      </c>
      <c r="C841" s="141" t="s">
        <v>222</v>
      </c>
      <c r="D841" s="141" t="s">
        <v>222</v>
      </c>
      <c r="E841" s="141" t="s">
        <v>222</v>
      </c>
      <c r="F841" s="141" t="s">
        <v>222</v>
      </c>
      <c r="G841" s="141" t="s">
        <v>222</v>
      </c>
      <c r="H841" s="141" t="s">
        <v>222</v>
      </c>
      <c r="I841" s="141" t="s">
        <v>222</v>
      </c>
      <c r="J841" s="141" t="s">
        <v>222</v>
      </c>
      <c r="K841" s="141" t="s">
        <v>222</v>
      </c>
      <c r="L841" s="141" t="s">
        <v>222</v>
      </c>
      <c r="M841" s="141" t="s">
        <v>222</v>
      </c>
      <c r="N841" s="141" t="s">
        <v>222</v>
      </c>
      <c r="O841" s="141" t="s">
        <v>222</v>
      </c>
      <c r="P841" s="141" t="s">
        <v>222</v>
      </c>
      <c r="Q841" s="141" t="s">
        <v>222</v>
      </c>
      <c r="R841" s="141" t="s">
        <v>222</v>
      </c>
      <c r="S841" s="141" t="s">
        <v>222</v>
      </c>
      <c r="T841" s="141" t="s">
        <v>222</v>
      </c>
      <c r="U841" s="141" t="s">
        <v>222</v>
      </c>
      <c r="V841" s="141" t="s">
        <v>222</v>
      </c>
      <c r="W841" s="141"/>
      <c r="X841" s="141"/>
      <c r="Y841" s="141"/>
      <c r="Z841" s="141"/>
    </row>
    <row r="842">
      <c r="A842" s="141"/>
      <c r="B842" s="141" t="s">
        <v>222</v>
      </c>
      <c r="C842" s="141" t="s">
        <v>222</v>
      </c>
      <c r="D842" s="141" t="s">
        <v>222</v>
      </c>
      <c r="E842" s="141" t="s">
        <v>222</v>
      </c>
      <c r="F842" s="141" t="s">
        <v>222</v>
      </c>
      <c r="G842" s="141" t="s">
        <v>222</v>
      </c>
      <c r="H842" s="141" t="s">
        <v>222</v>
      </c>
      <c r="I842" s="141" t="s">
        <v>222</v>
      </c>
      <c r="J842" s="141" t="s">
        <v>222</v>
      </c>
      <c r="K842" s="141" t="s">
        <v>222</v>
      </c>
      <c r="L842" s="141" t="s">
        <v>222</v>
      </c>
      <c r="M842" s="141" t="s">
        <v>222</v>
      </c>
      <c r="N842" s="141" t="s">
        <v>222</v>
      </c>
      <c r="O842" s="141" t="s">
        <v>222</v>
      </c>
      <c r="P842" s="141" t="s">
        <v>222</v>
      </c>
      <c r="Q842" s="141" t="s">
        <v>222</v>
      </c>
      <c r="R842" s="141" t="s">
        <v>222</v>
      </c>
      <c r="S842" s="141" t="s">
        <v>222</v>
      </c>
      <c r="T842" s="141" t="s">
        <v>222</v>
      </c>
      <c r="U842" s="141" t="s">
        <v>222</v>
      </c>
      <c r="V842" s="141" t="s">
        <v>222</v>
      </c>
      <c r="W842" s="141"/>
      <c r="X842" s="141"/>
      <c r="Y842" s="141"/>
      <c r="Z842" s="141"/>
    </row>
    <row r="843">
      <c r="A843" s="141"/>
      <c r="B843" s="141" t="s">
        <v>222</v>
      </c>
      <c r="C843" s="141" t="s">
        <v>222</v>
      </c>
      <c r="D843" s="141" t="s">
        <v>222</v>
      </c>
      <c r="E843" s="141" t="s">
        <v>222</v>
      </c>
      <c r="F843" s="141" t="s">
        <v>222</v>
      </c>
      <c r="G843" s="141" t="s">
        <v>222</v>
      </c>
      <c r="H843" s="141" t="s">
        <v>222</v>
      </c>
      <c r="I843" s="141" t="s">
        <v>222</v>
      </c>
      <c r="J843" s="141" t="s">
        <v>222</v>
      </c>
      <c r="K843" s="141" t="s">
        <v>222</v>
      </c>
      <c r="L843" s="141" t="s">
        <v>222</v>
      </c>
      <c r="M843" s="141" t="s">
        <v>222</v>
      </c>
      <c r="N843" s="141" t="s">
        <v>222</v>
      </c>
      <c r="O843" s="141" t="s">
        <v>222</v>
      </c>
      <c r="P843" s="141" t="s">
        <v>222</v>
      </c>
      <c r="Q843" s="141" t="s">
        <v>222</v>
      </c>
      <c r="R843" s="141" t="s">
        <v>222</v>
      </c>
      <c r="S843" s="141" t="s">
        <v>222</v>
      </c>
      <c r="T843" s="141" t="s">
        <v>222</v>
      </c>
      <c r="U843" s="141" t="s">
        <v>222</v>
      </c>
      <c r="V843" s="141" t="s">
        <v>222</v>
      </c>
      <c r="W843" s="141"/>
      <c r="X843" s="141"/>
      <c r="Y843" s="141"/>
      <c r="Z843" s="141"/>
    </row>
    <row r="844">
      <c r="A844" s="141"/>
      <c r="B844" s="141" t="s">
        <v>222</v>
      </c>
      <c r="C844" s="141" t="s">
        <v>222</v>
      </c>
      <c r="D844" s="141" t="s">
        <v>222</v>
      </c>
      <c r="E844" s="141" t="s">
        <v>222</v>
      </c>
      <c r="F844" s="141" t="s">
        <v>222</v>
      </c>
      <c r="G844" s="141" t="s">
        <v>222</v>
      </c>
      <c r="H844" s="141" t="s">
        <v>222</v>
      </c>
      <c r="I844" s="141" t="s">
        <v>222</v>
      </c>
      <c r="J844" s="141" t="s">
        <v>222</v>
      </c>
      <c r="K844" s="141" t="s">
        <v>222</v>
      </c>
      <c r="L844" s="141" t="s">
        <v>222</v>
      </c>
      <c r="M844" s="141" t="s">
        <v>222</v>
      </c>
      <c r="N844" s="141" t="s">
        <v>222</v>
      </c>
      <c r="O844" s="141" t="s">
        <v>222</v>
      </c>
      <c r="P844" s="141" t="s">
        <v>222</v>
      </c>
      <c r="Q844" s="141" t="s">
        <v>222</v>
      </c>
      <c r="R844" s="141" t="s">
        <v>222</v>
      </c>
      <c r="S844" s="141" t="s">
        <v>222</v>
      </c>
      <c r="T844" s="141" t="s">
        <v>222</v>
      </c>
      <c r="U844" s="141" t="s">
        <v>222</v>
      </c>
      <c r="V844" s="141" t="s">
        <v>222</v>
      </c>
      <c r="W844" s="141"/>
      <c r="X844" s="141"/>
      <c r="Y844" s="141"/>
      <c r="Z844" s="141"/>
    </row>
    <row r="845">
      <c r="A845" s="141"/>
      <c r="B845" s="141" t="s">
        <v>222</v>
      </c>
      <c r="C845" s="141" t="s">
        <v>222</v>
      </c>
      <c r="D845" s="141" t="s">
        <v>222</v>
      </c>
      <c r="E845" s="141" t="s">
        <v>222</v>
      </c>
      <c r="F845" s="141" t="s">
        <v>222</v>
      </c>
      <c r="G845" s="141" t="s">
        <v>222</v>
      </c>
      <c r="H845" s="141" t="s">
        <v>222</v>
      </c>
      <c r="I845" s="141" t="s">
        <v>222</v>
      </c>
      <c r="J845" s="141" t="s">
        <v>222</v>
      </c>
      <c r="K845" s="141" t="s">
        <v>222</v>
      </c>
      <c r="L845" s="141" t="s">
        <v>222</v>
      </c>
      <c r="M845" s="141" t="s">
        <v>222</v>
      </c>
      <c r="N845" s="141" t="s">
        <v>222</v>
      </c>
      <c r="O845" s="141" t="s">
        <v>222</v>
      </c>
      <c r="P845" s="141" t="s">
        <v>222</v>
      </c>
      <c r="Q845" s="141" t="s">
        <v>222</v>
      </c>
      <c r="R845" s="141" t="s">
        <v>222</v>
      </c>
      <c r="S845" s="141" t="s">
        <v>222</v>
      </c>
      <c r="T845" s="141" t="s">
        <v>222</v>
      </c>
      <c r="U845" s="141" t="s">
        <v>222</v>
      </c>
      <c r="V845" s="141" t="s">
        <v>222</v>
      </c>
      <c r="W845" s="141"/>
      <c r="X845" s="141"/>
      <c r="Y845" s="141"/>
      <c r="Z845" s="141"/>
    </row>
    <row r="846">
      <c r="A846" s="141"/>
      <c r="B846" s="141" t="s">
        <v>222</v>
      </c>
      <c r="C846" s="141" t="s">
        <v>222</v>
      </c>
      <c r="D846" s="141" t="s">
        <v>222</v>
      </c>
      <c r="E846" s="141" t="s">
        <v>222</v>
      </c>
      <c r="F846" s="141" t="s">
        <v>222</v>
      </c>
      <c r="G846" s="141" t="s">
        <v>222</v>
      </c>
      <c r="H846" s="141" t="s">
        <v>222</v>
      </c>
      <c r="I846" s="141" t="s">
        <v>222</v>
      </c>
      <c r="J846" s="141" t="s">
        <v>222</v>
      </c>
      <c r="K846" s="141" t="s">
        <v>222</v>
      </c>
      <c r="L846" s="141" t="s">
        <v>222</v>
      </c>
      <c r="M846" s="141" t="s">
        <v>222</v>
      </c>
      <c r="N846" s="141" t="s">
        <v>222</v>
      </c>
      <c r="O846" s="141" t="s">
        <v>222</v>
      </c>
      <c r="P846" s="141" t="s">
        <v>222</v>
      </c>
      <c r="Q846" s="141" t="s">
        <v>222</v>
      </c>
      <c r="R846" s="141" t="s">
        <v>222</v>
      </c>
      <c r="S846" s="141" t="s">
        <v>222</v>
      </c>
      <c r="T846" s="141" t="s">
        <v>222</v>
      </c>
      <c r="U846" s="141" t="s">
        <v>222</v>
      </c>
      <c r="V846" s="141" t="s">
        <v>222</v>
      </c>
      <c r="W846" s="141"/>
      <c r="X846" s="141"/>
      <c r="Y846" s="141"/>
      <c r="Z846" s="141"/>
    </row>
    <row r="847">
      <c r="A847" s="141"/>
      <c r="B847" s="141" t="s">
        <v>222</v>
      </c>
      <c r="C847" s="141" t="s">
        <v>222</v>
      </c>
      <c r="D847" s="141" t="s">
        <v>222</v>
      </c>
      <c r="E847" s="141" t="s">
        <v>222</v>
      </c>
      <c r="F847" s="141" t="s">
        <v>222</v>
      </c>
      <c r="G847" s="141" t="s">
        <v>222</v>
      </c>
      <c r="H847" s="141" t="s">
        <v>222</v>
      </c>
      <c r="I847" s="141" t="s">
        <v>222</v>
      </c>
      <c r="J847" s="141" t="s">
        <v>222</v>
      </c>
      <c r="K847" s="141" t="s">
        <v>222</v>
      </c>
      <c r="L847" s="141" t="s">
        <v>222</v>
      </c>
      <c r="M847" s="141" t="s">
        <v>222</v>
      </c>
      <c r="N847" s="141" t="s">
        <v>222</v>
      </c>
      <c r="O847" s="141" t="s">
        <v>222</v>
      </c>
      <c r="P847" s="141" t="s">
        <v>222</v>
      </c>
      <c r="Q847" s="141" t="s">
        <v>222</v>
      </c>
      <c r="R847" s="141" t="s">
        <v>222</v>
      </c>
      <c r="S847" s="141" t="s">
        <v>222</v>
      </c>
      <c r="T847" s="141" t="s">
        <v>222</v>
      </c>
      <c r="U847" s="141" t="s">
        <v>222</v>
      </c>
      <c r="V847" s="141" t="s">
        <v>222</v>
      </c>
      <c r="W847" s="141"/>
      <c r="X847" s="141"/>
      <c r="Y847" s="141"/>
      <c r="Z847" s="141"/>
    </row>
    <row r="848">
      <c r="A848" s="141"/>
      <c r="B848" s="141" t="s">
        <v>222</v>
      </c>
      <c r="C848" s="141" t="s">
        <v>222</v>
      </c>
      <c r="D848" s="141" t="s">
        <v>222</v>
      </c>
      <c r="E848" s="141" t="s">
        <v>222</v>
      </c>
      <c r="F848" s="141" t="s">
        <v>222</v>
      </c>
      <c r="G848" s="141" t="s">
        <v>222</v>
      </c>
      <c r="H848" s="141" t="s">
        <v>222</v>
      </c>
      <c r="I848" s="141" t="s">
        <v>222</v>
      </c>
      <c r="J848" s="141" t="s">
        <v>222</v>
      </c>
      <c r="K848" s="141" t="s">
        <v>222</v>
      </c>
      <c r="L848" s="141" t="s">
        <v>222</v>
      </c>
      <c r="M848" s="141" t="s">
        <v>222</v>
      </c>
      <c r="N848" s="141" t="s">
        <v>222</v>
      </c>
      <c r="O848" s="141" t="s">
        <v>222</v>
      </c>
      <c r="P848" s="141" t="s">
        <v>222</v>
      </c>
      <c r="Q848" s="141" t="s">
        <v>222</v>
      </c>
      <c r="R848" s="141" t="s">
        <v>222</v>
      </c>
      <c r="S848" s="141" t="s">
        <v>222</v>
      </c>
      <c r="T848" s="141" t="s">
        <v>222</v>
      </c>
      <c r="U848" s="141" t="s">
        <v>222</v>
      </c>
      <c r="V848" s="141" t="s">
        <v>222</v>
      </c>
      <c r="W848" s="141"/>
      <c r="X848" s="141"/>
      <c r="Y848" s="141"/>
      <c r="Z848" s="141"/>
    </row>
    <row r="849">
      <c r="A849" s="141"/>
      <c r="B849" s="141" t="s">
        <v>222</v>
      </c>
      <c r="C849" s="141" t="s">
        <v>222</v>
      </c>
      <c r="D849" s="141" t="s">
        <v>222</v>
      </c>
      <c r="E849" s="141" t="s">
        <v>222</v>
      </c>
      <c r="F849" s="141" t="s">
        <v>222</v>
      </c>
      <c r="G849" s="141" t="s">
        <v>222</v>
      </c>
      <c r="H849" s="141" t="s">
        <v>222</v>
      </c>
      <c r="I849" s="141" t="s">
        <v>222</v>
      </c>
      <c r="J849" s="141" t="s">
        <v>222</v>
      </c>
      <c r="K849" s="141" t="s">
        <v>222</v>
      </c>
      <c r="L849" s="141" t="s">
        <v>222</v>
      </c>
      <c r="M849" s="141" t="s">
        <v>222</v>
      </c>
      <c r="N849" s="141" t="s">
        <v>222</v>
      </c>
      <c r="O849" s="141" t="s">
        <v>222</v>
      </c>
      <c r="P849" s="141" t="s">
        <v>222</v>
      </c>
      <c r="Q849" s="141" t="s">
        <v>222</v>
      </c>
      <c r="R849" s="141" t="s">
        <v>222</v>
      </c>
      <c r="S849" s="141" t="s">
        <v>222</v>
      </c>
      <c r="T849" s="141" t="s">
        <v>222</v>
      </c>
      <c r="U849" s="141" t="s">
        <v>222</v>
      </c>
      <c r="V849" s="141" t="s">
        <v>222</v>
      </c>
      <c r="W849" s="141"/>
      <c r="X849" s="141"/>
      <c r="Y849" s="141"/>
      <c r="Z849" s="141"/>
    </row>
    <row r="850">
      <c r="A850" s="141"/>
      <c r="B850" s="141" t="s">
        <v>222</v>
      </c>
      <c r="C850" s="141" t="s">
        <v>222</v>
      </c>
      <c r="D850" s="141" t="s">
        <v>222</v>
      </c>
      <c r="E850" s="141" t="s">
        <v>222</v>
      </c>
      <c r="F850" s="141" t="s">
        <v>222</v>
      </c>
      <c r="G850" s="141" t="s">
        <v>222</v>
      </c>
      <c r="H850" s="141" t="s">
        <v>222</v>
      </c>
      <c r="I850" s="141" t="s">
        <v>222</v>
      </c>
      <c r="J850" s="141" t="s">
        <v>222</v>
      </c>
      <c r="K850" s="141" t="s">
        <v>222</v>
      </c>
      <c r="L850" s="141" t="s">
        <v>222</v>
      </c>
      <c r="M850" s="141" t="s">
        <v>222</v>
      </c>
      <c r="N850" s="141" t="s">
        <v>222</v>
      </c>
      <c r="O850" s="141" t="s">
        <v>222</v>
      </c>
      <c r="P850" s="141" t="s">
        <v>222</v>
      </c>
      <c r="Q850" s="141" t="s">
        <v>222</v>
      </c>
      <c r="R850" s="141" t="s">
        <v>222</v>
      </c>
      <c r="S850" s="141" t="s">
        <v>222</v>
      </c>
      <c r="T850" s="141" t="s">
        <v>222</v>
      </c>
      <c r="U850" s="141" t="s">
        <v>222</v>
      </c>
      <c r="V850" s="141" t="s">
        <v>222</v>
      </c>
      <c r="W850" s="141"/>
      <c r="X850" s="141"/>
      <c r="Y850" s="141"/>
      <c r="Z850" s="141"/>
    </row>
    <row r="851">
      <c r="A851" s="141"/>
      <c r="B851" s="141" t="s">
        <v>222</v>
      </c>
      <c r="C851" s="141" t="s">
        <v>222</v>
      </c>
      <c r="D851" s="141" t="s">
        <v>222</v>
      </c>
      <c r="E851" s="141" t="s">
        <v>222</v>
      </c>
      <c r="F851" s="141" t="s">
        <v>222</v>
      </c>
      <c r="G851" s="141" t="s">
        <v>222</v>
      </c>
      <c r="H851" s="141" t="s">
        <v>222</v>
      </c>
      <c r="I851" s="141" t="s">
        <v>222</v>
      </c>
      <c r="J851" s="141" t="s">
        <v>222</v>
      </c>
      <c r="K851" s="141" t="s">
        <v>222</v>
      </c>
      <c r="L851" s="141" t="s">
        <v>222</v>
      </c>
      <c r="M851" s="141" t="s">
        <v>222</v>
      </c>
      <c r="N851" s="141" t="s">
        <v>222</v>
      </c>
      <c r="O851" s="141" t="s">
        <v>222</v>
      </c>
      <c r="P851" s="141" t="s">
        <v>222</v>
      </c>
      <c r="Q851" s="141" t="s">
        <v>222</v>
      </c>
      <c r="R851" s="141" t="s">
        <v>222</v>
      </c>
      <c r="S851" s="141" t="s">
        <v>222</v>
      </c>
      <c r="T851" s="141" t="s">
        <v>222</v>
      </c>
      <c r="U851" s="141" t="s">
        <v>222</v>
      </c>
      <c r="V851" s="141" t="s">
        <v>222</v>
      </c>
      <c r="W851" s="141"/>
      <c r="X851" s="141"/>
      <c r="Y851" s="141"/>
      <c r="Z851" s="141"/>
    </row>
    <row r="852">
      <c r="A852" s="141"/>
      <c r="B852" s="141" t="s">
        <v>222</v>
      </c>
      <c r="C852" s="141" t="s">
        <v>222</v>
      </c>
      <c r="D852" s="141" t="s">
        <v>222</v>
      </c>
      <c r="E852" s="141" t="s">
        <v>222</v>
      </c>
      <c r="F852" s="141" t="s">
        <v>222</v>
      </c>
      <c r="G852" s="141" t="s">
        <v>222</v>
      </c>
      <c r="H852" s="141" t="s">
        <v>222</v>
      </c>
      <c r="I852" s="141" t="s">
        <v>222</v>
      </c>
      <c r="J852" s="141" t="s">
        <v>222</v>
      </c>
      <c r="K852" s="141" t="s">
        <v>222</v>
      </c>
      <c r="L852" s="141" t="s">
        <v>222</v>
      </c>
      <c r="M852" s="141" t="s">
        <v>222</v>
      </c>
      <c r="N852" s="141" t="s">
        <v>222</v>
      </c>
      <c r="O852" s="141" t="s">
        <v>222</v>
      </c>
      <c r="P852" s="141" t="s">
        <v>222</v>
      </c>
      <c r="Q852" s="141" t="s">
        <v>222</v>
      </c>
      <c r="R852" s="141" t="s">
        <v>222</v>
      </c>
      <c r="S852" s="141" t="s">
        <v>222</v>
      </c>
      <c r="T852" s="141" t="s">
        <v>222</v>
      </c>
      <c r="U852" s="141" t="s">
        <v>222</v>
      </c>
      <c r="V852" s="141" t="s">
        <v>222</v>
      </c>
      <c r="W852" s="141"/>
      <c r="X852" s="141"/>
      <c r="Y852" s="141"/>
      <c r="Z852" s="141"/>
    </row>
    <row r="853">
      <c r="A853" s="141"/>
      <c r="B853" s="141" t="s">
        <v>222</v>
      </c>
      <c r="C853" s="141" t="s">
        <v>222</v>
      </c>
      <c r="D853" s="141" t="s">
        <v>222</v>
      </c>
      <c r="E853" s="141" t="s">
        <v>222</v>
      </c>
      <c r="F853" s="141" t="s">
        <v>222</v>
      </c>
      <c r="G853" s="141" t="s">
        <v>222</v>
      </c>
      <c r="H853" s="141" t="s">
        <v>222</v>
      </c>
      <c r="I853" s="141" t="s">
        <v>222</v>
      </c>
      <c r="J853" s="141" t="s">
        <v>222</v>
      </c>
      <c r="K853" s="141" t="s">
        <v>222</v>
      </c>
      <c r="L853" s="141" t="s">
        <v>222</v>
      </c>
      <c r="M853" s="141" t="s">
        <v>222</v>
      </c>
      <c r="N853" s="141" t="s">
        <v>222</v>
      </c>
      <c r="O853" s="141" t="s">
        <v>222</v>
      </c>
      <c r="P853" s="141" t="s">
        <v>222</v>
      </c>
      <c r="Q853" s="141" t="s">
        <v>222</v>
      </c>
      <c r="R853" s="141" t="s">
        <v>222</v>
      </c>
      <c r="S853" s="141" t="s">
        <v>222</v>
      </c>
      <c r="T853" s="141" t="s">
        <v>222</v>
      </c>
      <c r="U853" s="141" t="s">
        <v>222</v>
      </c>
      <c r="V853" s="141" t="s">
        <v>222</v>
      </c>
      <c r="W853" s="141"/>
      <c r="X853" s="141"/>
      <c r="Y853" s="141"/>
      <c r="Z853" s="141"/>
    </row>
    <row r="854">
      <c r="A854" s="141"/>
      <c r="B854" s="141" t="s">
        <v>222</v>
      </c>
      <c r="C854" s="141" t="s">
        <v>222</v>
      </c>
      <c r="D854" s="141" t="s">
        <v>222</v>
      </c>
      <c r="E854" s="141" t="s">
        <v>222</v>
      </c>
      <c r="F854" s="141" t="s">
        <v>222</v>
      </c>
      <c r="G854" s="141" t="s">
        <v>222</v>
      </c>
      <c r="H854" s="141" t="s">
        <v>222</v>
      </c>
      <c r="I854" s="141" t="s">
        <v>222</v>
      </c>
      <c r="J854" s="141" t="s">
        <v>222</v>
      </c>
      <c r="K854" s="141" t="s">
        <v>222</v>
      </c>
      <c r="L854" s="141" t="s">
        <v>222</v>
      </c>
      <c r="M854" s="141" t="s">
        <v>222</v>
      </c>
      <c r="N854" s="141" t="s">
        <v>222</v>
      </c>
      <c r="O854" s="141" t="s">
        <v>222</v>
      </c>
      <c r="P854" s="141" t="s">
        <v>222</v>
      </c>
      <c r="Q854" s="141" t="s">
        <v>222</v>
      </c>
      <c r="R854" s="141" t="s">
        <v>222</v>
      </c>
      <c r="S854" s="141" t="s">
        <v>222</v>
      </c>
      <c r="T854" s="141" t="s">
        <v>222</v>
      </c>
      <c r="U854" s="141" t="s">
        <v>222</v>
      </c>
      <c r="V854" s="141" t="s">
        <v>222</v>
      </c>
      <c r="W854" s="141"/>
      <c r="X854" s="141"/>
      <c r="Y854" s="141"/>
      <c r="Z854" s="141"/>
    </row>
    <row r="855">
      <c r="A855" s="141"/>
      <c r="B855" s="141" t="s">
        <v>222</v>
      </c>
      <c r="C855" s="141" t="s">
        <v>222</v>
      </c>
      <c r="D855" s="141" t="s">
        <v>222</v>
      </c>
      <c r="E855" s="141" t="s">
        <v>222</v>
      </c>
      <c r="F855" s="141" t="s">
        <v>222</v>
      </c>
      <c r="G855" s="141" t="s">
        <v>222</v>
      </c>
      <c r="H855" s="141" t="s">
        <v>222</v>
      </c>
      <c r="I855" s="141" t="s">
        <v>222</v>
      </c>
      <c r="J855" s="141" t="s">
        <v>222</v>
      </c>
      <c r="K855" s="141" t="s">
        <v>222</v>
      </c>
      <c r="L855" s="141" t="s">
        <v>222</v>
      </c>
      <c r="M855" s="141" t="s">
        <v>222</v>
      </c>
      <c r="N855" s="141" t="s">
        <v>222</v>
      </c>
      <c r="O855" s="141" t="s">
        <v>222</v>
      </c>
      <c r="P855" s="141" t="s">
        <v>222</v>
      </c>
      <c r="Q855" s="141" t="s">
        <v>222</v>
      </c>
      <c r="R855" s="141" t="s">
        <v>222</v>
      </c>
      <c r="S855" s="141" t="s">
        <v>222</v>
      </c>
      <c r="T855" s="141" t="s">
        <v>222</v>
      </c>
      <c r="U855" s="141" t="s">
        <v>222</v>
      </c>
      <c r="V855" s="141" t="s">
        <v>222</v>
      </c>
      <c r="W855" s="141"/>
      <c r="X855" s="141"/>
      <c r="Y855" s="141"/>
      <c r="Z855" s="141"/>
    </row>
    <row r="856">
      <c r="A856" s="141"/>
      <c r="B856" s="141" t="s">
        <v>222</v>
      </c>
      <c r="C856" s="141" t="s">
        <v>222</v>
      </c>
      <c r="D856" s="141" t="s">
        <v>222</v>
      </c>
      <c r="E856" s="141" t="s">
        <v>222</v>
      </c>
      <c r="F856" s="141" t="s">
        <v>222</v>
      </c>
      <c r="G856" s="141" t="s">
        <v>222</v>
      </c>
      <c r="H856" s="141" t="s">
        <v>222</v>
      </c>
      <c r="I856" s="141" t="s">
        <v>222</v>
      </c>
      <c r="J856" s="141" t="s">
        <v>222</v>
      </c>
      <c r="K856" s="141" t="s">
        <v>222</v>
      </c>
      <c r="L856" s="141" t="s">
        <v>222</v>
      </c>
      <c r="M856" s="141" t="s">
        <v>222</v>
      </c>
      <c r="N856" s="141" t="s">
        <v>222</v>
      </c>
      <c r="O856" s="141" t="s">
        <v>222</v>
      </c>
      <c r="P856" s="141" t="s">
        <v>222</v>
      </c>
      <c r="Q856" s="141" t="s">
        <v>222</v>
      </c>
      <c r="R856" s="141" t="s">
        <v>222</v>
      </c>
      <c r="S856" s="141" t="s">
        <v>222</v>
      </c>
      <c r="T856" s="141" t="s">
        <v>222</v>
      </c>
      <c r="U856" s="141" t="s">
        <v>222</v>
      </c>
      <c r="V856" s="141" t="s">
        <v>222</v>
      </c>
      <c r="W856" s="141"/>
      <c r="X856" s="141"/>
      <c r="Y856" s="141"/>
      <c r="Z856" s="141"/>
    </row>
    <row r="857">
      <c r="A857" s="141"/>
      <c r="B857" s="141" t="s">
        <v>222</v>
      </c>
      <c r="C857" s="141" t="s">
        <v>222</v>
      </c>
      <c r="D857" s="141" t="s">
        <v>222</v>
      </c>
      <c r="E857" s="141" t="s">
        <v>222</v>
      </c>
      <c r="F857" s="141" t="s">
        <v>222</v>
      </c>
      <c r="G857" s="141" t="s">
        <v>222</v>
      </c>
      <c r="H857" s="141" t="s">
        <v>222</v>
      </c>
      <c r="I857" s="141" t="s">
        <v>222</v>
      </c>
      <c r="J857" s="141" t="s">
        <v>222</v>
      </c>
      <c r="K857" s="141" t="s">
        <v>222</v>
      </c>
      <c r="L857" s="141" t="s">
        <v>222</v>
      </c>
      <c r="M857" s="141" t="s">
        <v>222</v>
      </c>
      <c r="N857" s="141" t="s">
        <v>222</v>
      </c>
      <c r="O857" s="141" t="s">
        <v>222</v>
      </c>
      <c r="P857" s="141" t="s">
        <v>222</v>
      </c>
      <c r="Q857" s="141" t="s">
        <v>222</v>
      </c>
      <c r="R857" s="141" t="s">
        <v>222</v>
      </c>
      <c r="S857" s="141" t="s">
        <v>222</v>
      </c>
      <c r="T857" s="141" t="s">
        <v>222</v>
      </c>
      <c r="U857" s="141" t="s">
        <v>222</v>
      </c>
      <c r="V857" s="141" t="s">
        <v>222</v>
      </c>
      <c r="W857" s="141"/>
      <c r="X857" s="141"/>
      <c r="Y857" s="141"/>
      <c r="Z857" s="141"/>
    </row>
    <row r="858">
      <c r="A858" s="141"/>
      <c r="B858" s="141" t="s">
        <v>222</v>
      </c>
      <c r="C858" s="141" t="s">
        <v>222</v>
      </c>
      <c r="D858" s="141" t="s">
        <v>222</v>
      </c>
      <c r="E858" s="141" t="s">
        <v>222</v>
      </c>
      <c r="F858" s="141" t="s">
        <v>222</v>
      </c>
      <c r="G858" s="141" t="s">
        <v>222</v>
      </c>
      <c r="H858" s="141" t="s">
        <v>222</v>
      </c>
      <c r="I858" s="141" t="s">
        <v>222</v>
      </c>
      <c r="J858" s="141" t="s">
        <v>222</v>
      </c>
      <c r="K858" s="141" t="s">
        <v>222</v>
      </c>
      <c r="L858" s="141" t="s">
        <v>222</v>
      </c>
      <c r="M858" s="141" t="s">
        <v>222</v>
      </c>
      <c r="N858" s="141" t="s">
        <v>222</v>
      </c>
      <c r="O858" s="141" t="s">
        <v>222</v>
      </c>
      <c r="P858" s="141" t="s">
        <v>222</v>
      </c>
      <c r="Q858" s="141" t="s">
        <v>222</v>
      </c>
      <c r="R858" s="141" t="s">
        <v>222</v>
      </c>
      <c r="S858" s="141" t="s">
        <v>222</v>
      </c>
      <c r="T858" s="141" t="s">
        <v>222</v>
      </c>
      <c r="U858" s="141" t="s">
        <v>222</v>
      </c>
      <c r="V858" s="141" t="s">
        <v>222</v>
      </c>
      <c r="W858" s="141"/>
      <c r="X858" s="141"/>
      <c r="Y858" s="141"/>
      <c r="Z858" s="141"/>
    </row>
    <row r="859">
      <c r="A859" s="141"/>
      <c r="B859" s="141" t="s">
        <v>222</v>
      </c>
      <c r="C859" s="141" t="s">
        <v>222</v>
      </c>
      <c r="D859" s="141" t="s">
        <v>222</v>
      </c>
      <c r="E859" s="141" t="s">
        <v>222</v>
      </c>
      <c r="F859" s="141" t="s">
        <v>222</v>
      </c>
      <c r="G859" s="141" t="s">
        <v>222</v>
      </c>
      <c r="H859" s="141" t="s">
        <v>222</v>
      </c>
      <c r="I859" s="141" t="s">
        <v>222</v>
      </c>
      <c r="J859" s="141" t="s">
        <v>222</v>
      </c>
      <c r="K859" s="141" t="s">
        <v>222</v>
      </c>
      <c r="L859" s="141" t="s">
        <v>222</v>
      </c>
      <c r="M859" s="141" t="s">
        <v>222</v>
      </c>
      <c r="N859" s="141" t="s">
        <v>222</v>
      </c>
      <c r="O859" s="141" t="s">
        <v>222</v>
      </c>
      <c r="P859" s="141" t="s">
        <v>222</v>
      </c>
      <c r="Q859" s="141" t="s">
        <v>222</v>
      </c>
      <c r="R859" s="141" t="s">
        <v>222</v>
      </c>
      <c r="S859" s="141" t="s">
        <v>222</v>
      </c>
      <c r="T859" s="141" t="s">
        <v>222</v>
      </c>
      <c r="U859" s="141" t="s">
        <v>222</v>
      </c>
      <c r="V859" s="141" t="s">
        <v>222</v>
      </c>
      <c r="W859" s="141"/>
      <c r="X859" s="141"/>
      <c r="Y859" s="141"/>
      <c r="Z859" s="141"/>
    </row>
    <row r="860">
      <c r="A860" s="141"/>
      <c r="B860" s="141" t="s">
        <v>222</v>
      </c>
      <c r="C860" s="141" t="s">
        <v>222</v>
      </c>
      <c r="D860" s="141" t="s">
        <v>222</v>
      </c>
      <c r="E860" s="141" t="s">
        <v>222</v>
      </c>
      <c r="F860" s="141" t="s">
        <v>222</v>
      </c>
      <c r="G860" s="141" t="s">
        <v>222</v>
      </c>
      <c r="H860" s="141" t="s">
        <v>222</v>
      </c>
      <c r="I860" s="141" t="s">
        <v>222</v>
      </c>
      <c r="J860" s="141" t="s">
        <v>222</v>
      </c>
      <c r="K860" s="141" t="s">
        <v>222</v>
      </c>
      <c r="L860" s="141" t="s">
        <v>222</v>
      </c>
      <c r="M860" s="141" t="s">
        <v>222</v>
      </c>
      <c r="N860" s="141" t="s">
        <v>222</v>
      </c>
      <c r="O860" s="141" t="s">
        <v>222</v>
      </c>
      <c r="P860" s="141" t="s">
        <v>222</v>
      </c>
      <c r="Q860" s="141" t="s">
        <v>222</v>
      </c>
      <c r="R860" s="141" t="s">
        <v>222</v>
      </c>
      <c r="S860" s="141" t="s">
        <v>222</v>
      </c>
      <c r="T860" s="141" t="s">
        <v>222</v>
      </c>
      <c r="U860" s="141" t="s">
        <v>222</v>
      </c>
      <c r="V860" s="141" t="s">
        <v>222</v>
      </c>
      <c r="W860" s="141"/>
      <c r="X860" s="141"/>
      <c r="Y860" s="141"/>
      <c r="Z860" s="141"/>
    </row>
    <row r="861">
      <c r="A861" s="141"/>
      <c r="B861" s="141" t="s">
        <v>222</v>
      </c>
      <c r="C861" s="141" t="s">
        <v>222</v>
      </c>
      <c r="D861" s="141" t="s">
        <v>222</v>
      </c>
      <c r="E861" s="141" t="s">
        <v>222</v>
      </c>
      <c r="F861" s="141" t="s">
        <v>222</v>
      </c>
      <c r="G861" s="141" t="s">
        <v>222</v>
      </c>
      <c r="H861" s="141" t="s">
        <v>222</v>
      </c>
      <c r="I861" s="141" t="s">
        <v>222</v>
      </c>
      <c r="J861" s="141" t="s">
        <v>222</v>
      </c>
      <c r="K861" s="141" t="s">
        <v>222</v>
      </c>
      <c r="L861" s="141" t="s">
        <v>222</v>
      </c>
      <c r="M861" s="141" t="s">
        <v>222</v>
      </c>
      <c r="N861" s="141" t="s">
        <v>222</v>
      </c>
      <c r="O861" s="141" t="s">
        <v>222</v>
      </c>
      <c r="P861" s="141" t="s">
        <v>222</v>
      </c>
      <c r="Q861" s="141" t="s">
        <v>222</v>
      </c>
      <c r="R861" s="141" t="s">
        <v>222</v>
      </c>
      <c r="S861" s="141" t="s">
        <v>222</v>
      </c>
      <c r="T861" s="141" t="s">
        <v>222</v>
      </c>
      <c r="U861" s="141" t="s">
        <v>222</v>
      </c>
      <c r="V861" s="141" t="s">
        <v>222</v>
      </c>
      <c r="W861" s="141"/>
      <c r="X861" s="141"/>
      <c r="Y861" s="141"/>
      <c r="Z861" s="141"/>
    </row>
    <row r="862">
      <c r="A862" s="141"/>
      <c r="B862" s="141" t="s">
        <v>222</v>
      </c>
      <c r="C862" s="141" t="s">
        <v>222</v>
      </c>
      <c r="D862" s="141" t="s">
        <v>222</v>
      </c>
      <c r="E862" s="141" t="s">
        <v>222</v>
      </c>
      <c r="F862" s="141" t="s">
        <v>222</v>
      </c>
      <c r="G862" s="141" t="s">
        <v>222</v>
      </c>
      <c r="H862" s="141" t="s">
        <v>222</v>
      </c>
      <c r="I862" s="141" t="s">
        <v>222</v>
      </c>
      <c r="J862" s="141" t="s">
        <v>222</v>
      </c>
      <c r="K862" s="141" t="s">
        <v>222</v>
      </c>
      <c r="L862" s="141" t="s">
        <v>222</v>
      </c>
      <c r="M862" s="141" t="s">
        <v>222</v>
      </c>
      <c r="N862" s="141" t="s">
        <v>222</v>
      </c>
      <c r="O862" s="141" t="s">
        <v>222</v>
      </c>
      <c r="P862" s="141" t="s">
        <v>222</v>
      </c>
      <c r="Q862" s="141" t="s">
        <v>222</v>
      </c>
      <c r="R862" s="141" t="s">
        <v>222</v>
      </c>
      <c r="S862" s="141" t="s">
        <v>222</v>
      </c>
      <c r="T862" s="141" t="s">
        <v>222</v>
      </c>
      <c r="U862" s="141" t="s">
        <v>222</v>
      </c>
      <c r="V862" s="141" t="s">
        <v>222</v>
      </c>
      <c r="W862" s="141"/>
      <c r="X862" s="141"/>
      <c r="Y862" s="141"/>
      <c r="Z862" s="141"/>
    </row>
    <row r="863">
      <c r="A863" s="141"/>
      <c r="B863" s="141" t="s">
        <v>222</v>
      </c>
      <c r="C863" s="141" t="s">
        <v>222</v>
      </c>
      <c r="D863" s="141" t="s">
        <v>222</v>
      </c>
      <c r="E863" s="141" t="s">
        <v>222</v>
      </c>
      <c r="F863" s="141" t="s">
        <v>222</v>
      </c>
      <c r="G863" s="141" t="s">
        <v>222</v>
      </c>
      <c r="H863" s="141" t="s">
        <v>222</v>
      </c>
      <c r="I863" s="141" t="s">
        <v>222</v>
      </c>
      <c r="J863" s="141" t="s">
        <v>222</v>
      </c>
      <c r="K863" s="141" t="s">
        <v>222</v>
      </c>
      <c r="L863" s="141" t="s">
        <v>222</v>
      </c>
      <c r="M863" s="141" t="s">
        <v>222</v>
      </c>
      <c r="N863" s="141" t="s">
        <v>222</v>
      </c>
      <c r="O863" s="141" t="s">
        <v>222</v>
      </c>
      <c r="P863" s="141" t="s">
        <v>222</v>
      </c>
      <c r="Q863" s="141" t="s">
        <v>222</v>
      </c>
      <c r="R863" s="141" t="s">
        <v>222</v>
      </c>
      <c r="S863" s="141" t="s">
        <v>222</v>
      </c>
      <c r="T863" s="141" t="s">
        <v>222</v>
      </c>
      <c r="U863" s="141" t="s">
        <v>222</v>
      </c>
      <c r="V863" s="141" t="s">
        <v>222</v>
      </c>
      <c r="W863" s="141"/>
      <c r="X863" s="141"/>
      <c r="Y863" s="141"/>
      <c r="Z863" s="141"/>
    </row>
    <row r="864">
      <c r="A864" s="141"/>
      <c r="B864" s="141" t="s">
        <v>222</v>
      </c>
      <c r="C864" s="141" t="s">
        <v>222</v>
      </c>
      <c r="D864" s="141" t="s">
        <v>222</v>
      </c>
      <c r="E864" s="141" t="s">
        <v>222</v>
      </c>
      <c r="F864" s="141" t="s">
        <v>222</v>
      </c>
      <c r="G864" s="141" t="s">
        <v>222</v>
      </c>
      <c r="H864" s="141" t="s">
        <v>222</v>
      </c>
      <c r="I864" s="141" t="s">
        <v>222</v>
      </c>
      <c r="J864" s="141" t="s">
        <v>222</v>
      </c>
      <c r="K864" s="141" t="s">
        <v>222</v>
      </c>
      <c r="L864" s="141" t="s">
        <v>222</v>
      </c>
      <c r="M864" s="141" t="s">
        <v>222</v>
      </c>
      <c r="N864" s="141" t="s">
        <v>222</v>
      </c>
      <c r="O864" s="141" t="s">
        <v>222</v>
      </c>
      <c r="P864" s="141" t="s">
        <v>222</v>
      </c>
      <c r="Q864" s="141" t="s">
        <v>222</v>
      </c>
      <c r="R864" s="141" t="s">
        <v>222</v>
      </c>
      <c r="S864" s="141" t="s">
        <v>222</v>
      </c>
      <c r="T864" s="141" t="s">
        <v>222</v>
      </c>
      <c r="U864" s="141" t="s">
        <v>222</v>
      </c>
      <c r="V864" s="141" t="s">
        <v>222</v>
      </c>
      <c r="W864" s="141"/>
      <c r="X864" s="141"/>
      <c r="Y864" s="141"/>
      <c r="Z864" s="141"/>
    </row>
    <row r="865">
      <c r="A865" s="141"/>
      <c r="B865" s="141" t="s">
        <v>222</v>
      </c>
      <c r="C865" s="141" t="s">
        <v>222</v>
      </c>
      <c r="D865" s="141" t="s">
        <v>222</v>
      </c>
      <c r="E865" s="141" t="s">
        <v>222</v>
      </c>
      <c r="F865" s="141" t="s">
        <v>222</v>
      </c>
      <c r="G865" s="141" t="s">
        <v>222</v>
      </c>
      <c r="H865" s="141" t="s">
        <v>222</v>
      </c>
      <c r="I865" s="141" t="s">
        <v>222</v>
      </c>
      <c r="J865" s="141" t="s">
        <v>222</v>
      </c>
      <c r="K865" s="141" t="s">
        <v>222</v>
      </c>
      <c r="L865" s="141" t="s">
        <v>222</v>
      </c>
      <c r="M865" s="141" t="s">
        <v>222</v>
      </c>
      <c r="N865" s="141" t="s">
        <v>222</v>
      </c>
      <c r="O865" s="141" t="s">
        <v>222</v>
      </c>
      <c r="P865" s="141" t="s">
        <v>222</v>
      </c>
      <c r="Q865" s="141" t="s">
        <v>222</v>
      </c>
      <c r="R865" s="141" t="s">
        <v>222</v>
      </c>
      <c r="S865" s="141" t="s">
        <v>222</v>
      </c>
      <c r="T865" s="141" t="s">
        <v>222</v>
      </c>
      <c r="U865" s="141" t="s">
        <v>222</v>
      </c>
      <c r="V865" s="141" t="s">
        <v>222</v>
      </c>
      <c r="W865" s="141"/>
      <c r="X865" s="141"/>
      <c r="Y865" s="141"/>
      <c r="Z865" s="141"/>
    </row>
    <row r="866">
      <c r="A866" s="141"/>
      <c r="B866" s="141" t="s">
        <v>222</v>
      </c>
      <c r="C866" s="141" t="s">
        <v>222</v>
      </c>
      <c r="D866" s="141" t="s">
        <v>222</v>
      </c>
      <c r="E866" s="141" t="s">
        <v>222</v>
      </c>
      <c r="F866" s="141" t="s">
        <v>222</v>
      </c>
      <c r="G866" s="141" t="s">
        <v>222</v>
      </c>
      <c r="H866" s="141" t="s">
        <v>222</v>
      </c>
      <c r="I866" s="141" t="s">
        <v>222</v>
      </c>
      <c r="J866" s="141" t="s">
        <v>222</v>
      </c>
      <c r="K866" s="141" t="s">
        <v>222</v>
      </c>
      <c r="L866" s="141" t="s">
        <v>222</v>
      </c>
      <c r="M866" s="141" t="s">
        <v>222</v>
      </c>
      <c r="N866" s="141" t="s">
        <v>222</v>
      </c>
      <c r="O866" s="141" t="s">
        <v>222</v>
      </c>
      <c r="P866" s="141" t="s">
        <v>222</v>
      </c>
      <c r="Q866" s="141" t="s">
        <v>222</v>
      </c>
      <c r="R866" s="141" t="s">
        <v>222</v>
      </c>
      <c r="S866" s="141" t="s">
        <v>222</v>
      </c>
      <c r="T866" s="141" t="s">
        <v>222</v>
      </c>
      <c r="U866" s="141" t="s">
        <v>222</v>
      </c>
      <c r="V866" s="141" t="s">
        <v>222</v>
      </c>
      <c r="W866" s="141"/>
      <c r="X866" s="141"/>
      <c r="Y866" s="141"/>
      <c r="Z866" s="141"/>
    </row>
    <row r="867">
      <c r="A867" s="141"/>
      <c r="B867" s="141" t="s">
        <v>222</v>
      </c>
      <c r="C867" s="141" t="s">
        <v>222</v>
      </c>
      <c r="D867" s="141" t="s">
        <v>222</v>
      </c>
      <c r="E867" s="141" t="s">
        <v>222</v>
      </c>
      <c r="F867" s="141" t="s">
        <v>222</v>
      </c>
      <c r="G867" s="141" t="s">
        <v>222</v>
      </c>
      <c r="H867" s="141" t="s">
        <v>222</v>
      </c>
      <c r="I867" s="141" t="s">
        <v>222</v>
      </c>
      <c r="J867" s="141" t="s">
        <v>222</v>
      </c>
      <c r="K867" s="141" t="s">
        <v>222</v>
      </c>
      <c r="L867" s="141" t="s">
        <v>222</v>
      </c>
      <c r="M867" s="141" t="s">
        <v>222</v>
      </c>
      <c r="N867" s="141" t="s">
        <v>222</v>
      </c>
      <c r="O867" s="141" t="s">
        <v>222</v>
      </c>
      <c r="P867" s="141" t="s">
        <v>222</v>
      </c>
      <c r="Q867" s="141" t="s">
        <v>222</v>
      </c>
      <c r="R867" s="141" t="s">
        <v>222</v>
      </c>
      <c r="S867" s="141" t="s">
        <v>222</v>
      </c>
      <c r="T867" s="141" t="s">
        <v>222</v>
      </c>
      <c r="U867" s="141" t="s">
        <v>222</v>
      </c>
      <c r="V867" s="141" t="s">
        <v>222</v>
      </c>
      <c r="W867" s="141"/>
      <c r="X867" s="141"/>
      <c r="Y867" s="141"/>
      <c r="Z867" s="141"/>
    </row>
    <row r="868">
      <c r="A868" s="141"/>
      <c r="B868" s="141" t="s">
        <v>222</v>
      </c>
      <c r="C868" s="141" t="s">
        <v>222</v>
      </c>
      <c r="D868" s="141" t="s">
        <v>222</v>
      </c>
      <c r="E868" s="141" t="s">
        <v>222</v>
      </c>
      <c r="F868" s="141" t="s">
        <v>222</v>
      </c>
      <c r="G868" s="141" t="s">
        <v>222</v>
      </c>
      <c r="H868" s="141" t="s">
        <v>222</v>
      </c>
      <c r="I868" s="141" t="s">
        <v>222</v>
      </c>
      <c r="J868" s="141" t="s">
        <v>222</v>
      </c>
      <c r="K868" s="141" t="s">
        <v>222</v>
      </c>
      <c r="L868" s="141" t="s">
        <v>222</v>
      </c>
      <c r="M868" s="141" t="s">
        <v>222</v>
      </c>
      <c r="N868" s="141" t="s">
        <v>222</v>
      </c>
      <c r="O868" s="141" t="s">
        <v>222</v>
      </c>
      <c r="P868" s="141" t="s">
        <v>222</v>
      </c>
      <c r="Q868" s="141" t="s">
        <v>222</v>
      </c>
      <c r="R868" s="141" t="s">
        <v>222</v>
      </c>
      <c r="S868" s="141" t="s">
        <v>222</v>
      </c>
      <c r="T868" s="141" t="s">
        <v>222</v>
      </c>
      <c r="U868" s="141" t="s">
        <v>222</v>
      </c>
      <c r="V868" s="141" t="s">
        <v>222</v>
      </c>
      <c r="W868" s="141"/>
      <c r="X868" s="141"/>
      <c r="Y868" s="141"/>
      <c r="Z868" s="141"/>
    </row>
    <row r="869">
      <c r="A869" s="141"/>
      <c r="B869" s="141" t="s">
        <v>222</v>
      </c>
      <c r="C869" s="141" t="s">
        <v>222</v>
      </c>
      <c r="D869" s="141" t="s">
        <v>222</v>
      </c>
      <c r="E869" s="141" t="s">
        <v>222</v>
      </c>
      <c r="F869" s="141" t="s">
        <v>222</v>
      </c>
      <c r="G869" s="141" t="s">
        <v>222</v>
      </c>
      <c r="H869" s="141" t="s">
        <v>222</v>
      </c>
      <c r="I869" s="141" t="s">
        <v>222</v>
      </c>
      <c r="J869" s="141" t="s">
        <v>222</v>
      </c>
      <c r="K869" s="141" t="s">
        <v>222</v>
      </c>
      <c r="L869" s="141" t="s">
        <v>222</v>
      </c>
      <c r="M869" s="141" t="s">
        <v>222</v>
      </c>
      <c r="N869" s="141" t="s">
        <v>222</v>
      </c>
      <c r="O869" s="141" t="s">
        <v>222</v>
      </c>
      <c r="P869" s="141" t="s">
        <v>222</v>
      </c>
      <c r="Q869" s="141" t="s">
        <v>222</v>
      </c>
      <c r="R869" s="141" t="s">
        <v>222</v>
      </c>
      <c r="S869" s="141" t="s">
        <v>222</v>
      </c>
      <c r="T869" s="141" t="s">
        <v>222</v>
      </c>
      <c r="U869" s="141" t="s">
        <v>222</v>
      </c>
      <c r="V869" s="141" t="s">
        <v>222</v>
      </c>
      <c r="W869" s="141"/>
      <c r="X869" s="141"/>
      <c r="Y869" s="141"/>
      <c r="Z869" s="141"/>
    </row>
    <row r="870">
      <c r="A870" s="141"/>
      <c r="B870" s="141" t="s">
        <v>222</v>
      </c>
      <c r="C870" s="141" t="s">
        <v>222</v>
      </c>
      <c r="D870" s="141" t="s">
        <v>222</v>
      </c>
      <c r="E870" s="141" t="s">
        <v>222</v>
      </c>
      <c r="F870" s="141" t="s">
        <v>222</v>
      </c>
      <c r="G870" s="141" t="s">
        <v>222</v>
      </c>
      <c r="H870" s="141" t="s">
        <v>222</v>
      </c>
      <c r="I870" s="141" t="s">
        <v>222</v>
      </c>
      <c r="J870" s="141" t="s">
        <v>222</v>
      </c>
      <c r="K870" s="141" t="s">
        <v>222</v>
      </c>
      <c r="L870" s="141" t="s">
        <v>222</v>
      </c>
      <c r="M870" s="141" t="s">
        <v>222</v>
      </c>
      <c r="N870" s="141" t="s">
        <v>222</v>
      </c>
      <c r="O870" s="141" t="s">
        <v>222</v>
      </c>
      <c r="P870" s="141" t="s">
        <v>222</v>
      </c>
      <c r="Q870" s="141" t="s">
        <v>222</v>
      </c>
      <c r="R870" s="141" t="s">
        <v>222</v>
      </c>
      <c r="S870" s="141" t="s">
        <v>222</v>
      </c>
      <c r="T870" s="141" t="s">
        <v>222</v>
      </c>
      <c r="U870" s="141" t="s">
        <v>222</v>
      </c>
      <c r="V870" s="141" t="s">
        <v>222</v>
      </c>
      <c r="W870" s="141"/>
      <c r="X870" s="141"/>
      <c r="Y870" s="141"/>
      <c r="Z870" s="141"/>
    </row>
    <row r="871">
      <c r="A871" s="141"/>
      <c r="B871" s="141" t="s">
        <v>222</v>
      </c>
      <c r="C871" s="141" t="s">
        <v>222</v>
      </c>
      <c r="D871" s="141" t="s">
        <v>222</v>
      </c>
      <c r="E871" s="141" t="s">
        <v>222</v>
      </c>
      <c r="F871" s="141" t="s">
        <v>222</v>
      </c>
      <c r="G871" s="141" t="s">
        <v>222</v>
      </c>
      <c r="H871" s="141" t="s">
        <v>222</v>
      </c>
      <c r="I871" s="141" t="s">
        <v>222</v>
      </c>
      <c r="J871" s="141" t="s">
        <v>222</v>
      </c>
      <c r="K871" s="141" t="s">
        <v>222</v>
      </c>
      <c r="L871" s="141" t="s">
        <v>222</v>
      </c>
      <c r="M871" s="141" t="s">
        <v>222</v>
      </c>
      <c r="N871" s="141" t="s">
        <v>222</v>
      </c>
      <c r="O871" s="141" t="s">
        <v>222</v>
      </c>
      <c r="P871" s="141" t="s">
        <v>222</v>
      </c>
      <c r="Q871" s="141" t="s">
        <v>222</v>
      </c>
      <c r="R871" s="141" t="s">
        <v>222</v>
      </c>
      <c r="S871" s="141" t="s">
        <v>222</v>
      </c>
      <c r="T871" s="141" t="s">
        <v>222</v>
      </c>
      <c r="U871" s="141" t="s">
        <v>222</v>
      </c>
      <c r="V871" s="141" t="s">
        <v>222</v>
      </c>
      <c r="W871" s="141"/>
      <c r="X871" s="141"/>
      <c r="Y871" s="141"/>
      <c r="Z871" s="141"/>
    </row>
    <row r="872">
      <c r="A872" s="141"/>
      <c r="B872" s="141" t="s">
        <v>222</v>
      </c>
      <c r="C872" s="141" t="s">
        <v>222</v>
      </c>
      <c r="D872" s="141" t="s">
        <v>222</v>
      </c>
      <c r="E872" s="141" t="s">
        <v>222</v>
      </c>
      <c r="F872" s="141" t="s">
        <v>222</v>
      </c>
      <c r="G872" s="141" t="s">
        <v>222</v>
      </c>
      <c r="H872" s="141" t="s">
        <v>222</v>
      </c>
      <c r="I872" s="141" t="s">
        <v>222</v>
      </c>
      <c r="J872" s="141" t="s">
        <v>222</v>
      </c>
      <c r="K872" s="141" t="s">
        <v>222</v>
      </c>
      <c r="L872" s="141" t="s">
        <v>222</v>
      </c>
      <c r="M872" s="141" t="s">
        <v>222</v>
      </c>
      <c r="N872" s="141" t="s">
        <v>222</v>
      </c>
      <c r="O872" s="141" t="s">
        <v>222</v>
      </c>
      <c r="P872" s="141" t="s">
        <v>222</v>
      </c>
      <c r="Q872" s="141" t="s">
        <v>222</v>
      </c>
      <c r="R872" s="141" t="s">
        <v>222</v>
      </c>
      <c r="S872" s="141" t="s">
        <v>222</v>
      </c>
      <c r="T872" s="141" t="s">
        <v>222</v>
      </c>
      <c r="U872" s="141" t="s">
        <v>222</v>
      </c>
      <c r="V872" s="141" t="s">
        <v>222</v>
      </c>
      <c r="W872" s="141"/>
      <c r="X872" s="141"/>
      <c r="Y872" s="141"/>
      <c r="Z872" s="141"/>
    </row>
    <row r="873">
      <c r="A873" s="141"/>
      <c r="B873" s="141" t="s">
        <v>222</v>
      </c>
      <c r="C873" s="141" t="s">
        <v>222</v>
      </c>
      <c r="D873" s="141" t="s">
        <v>222</v>
      </c>
      <c r="E873" s="141" t="s">
        <v>222</v>
      </c>
      <c r="F873" s="141" t="s">
        <v>222</v>
      </c>
      <c r="G873" s="141" t="s">
        <v>222</v>
      </c>
      <c r="H873" s="141" t="s">
        <v>222</v>
      </c>
      <c r="I873" s="141" t="s">
        <v>222</v>
      </c>
      <c r="J873" s="141" t="s">
        <v>222</v>
      </c>
      <c r="K873" s="141" t="s">
        <v>222</v>
      </c>
      <c r="L873" s="141" t="s">
        <v>222</v>
      </c>
      <c r="M873" s="141" t="s">
        <v>222</v>
      </c>
      <c r="N873" s="141" t="s">
        <v>222</v>
      </c>
      <c r="O873" s="141" t="s">
        <v>222</v>
      </c>
      <c r="P873" s="141" t="s">
        <v>222</v>
      </c>
      <c r="Q873" s="141" t="s">
        <v>222</v>
      </c>
      <c r="R873" s="141" t="s">
        <v>222</v>
      </c>
      <c r="S873" s="141" t="s">
        <v>222</v>
      </c>
      <c r="T873" s="141" t="s">
        <v>222</v>
      </c>
      <c r="U873" s="141" t="s">
        <v>222</v>
      </c>
      <c r="V873" s="141" t="s">
        <v>222</v>
      </c>
      <c r="W873" s="141"/>
      <c r="X873" s="141"/>
      <c r="Y873" s="141"/>
      <c r="Z873" s="141"/>
    </row>
    <row r="874">
      <c r="A874" s="141"/>
      <c r="B874" s="141" t="s">
        <v>222</v>
      </c>
      <c r="C874" s="141" t="s">
        <v>222</v>
      </c>
      <c r="D874" s="141" t="s">
        <v>222</v>
      </c>
      <c r="E874" s="141" t="s">
        <v>222</v>
      </c>
      <c r="F874" s="141" t="s">
        <v>222</v>
      </c>
      <c r="G874" s="141" t="s">
        <v>222</v>
      </c>
      <c r="H874" s="141" t="s">
        <v>222</v>
      </c>
      <c r="I874" s="141" t="s">
        <v>222</v>
      </c>
      <c r="J874" s="141" t="s">
        <v>222</v>
      </c>
      <c r="K874" s="141" t="s">
        <v>222</v>
      </c>
      <c r="L874" s="141" t="s">
        <v>222</v>
      </c>
      <c r="M874" s="141" t="s">
        <v>222</v>
      </c>
      <c r="N874" s="141" t="s">
        <v>222</v>
      </c>
      <c r="O874" s="141" t="s">
        <v>222</v>
      </c>
      <c r="P874" s="141" t="s">
        <v>222</v>
      </c>
      <c r="Q874" s="141" t="s">
        <v>222</v>
      </c>
      <c r="R874" s="141" t="s">
        <v>222</v>
      </c>
      <c r="S874" s="141" t="s">
        <v>222</v>
      </c>
      <c r="T874" s="141" t="s">
        <v>222</v>
      </c>
      <c r="U874" s="141" t="s">
        <v>222</v>
      </c>
      <c r="V874" s="141" t="s">
        <v>222</v>
      </c>
      <c r="W874" s="141"/>
      <c r="X874" s="141"/>
      <c r="Y874" s="141"/>
      <c r="Z874" s="141"/>
    </row>
    <row r="875">
      <c r="A875" s="141"/>
      <c r="B875" s="141" t="s">
        <v>222</v>
      </c>
      <c r="C875" s="141" t="s">
        <v>222</v>
      </c>
      <c r="D875" s="141" t="s">
        <v>222</v>
      </c>
      <c r="E875" s="141" t="s">
        <v>222</v>
      </c>
      <c r="F875" s="141" t="s">
        <v>222</v>
      </c>
      <c r="G875" s="141" t="s">
        <v>222</v>
      </c>
      <c r="H875" s="141" t="s">
        <v>222</v>
      </c>
      <c r="I875" s="141" t="s">
        <v>222</v>
      </c>
      <c r="J875" s="141" t="s">
        <v>222</v>
      </c>
      <c r="K875" s="141" t="s">
        <v>222</v>
      </c>
      <c r="L875" s="141" t="s">
        <v>222</v>
      </c>
      <c r="M875" s="141" t="s">
        <v>222</v>
      </c>
      <c r="N875" s="141" t="s">
        <v>222</v>
      </c>
      <c r="O875" s="141" t="s">
        <v>222</v>
      </c>
      <c r="P875" s="141" t="s">
        <v>222</v>
      </c>
      <c r="Q875" s="141" t="s">
        <v>222</v>
      </c>
      <c r="R875" s="141" t="s">
        <v>222</v>
      </c>
      <c r="S875" s="141" t="s">
        <v>222</v>
      </c>
      <c r="T875" s="141" t="s">
        <v>222</v>
      </c>
      <c r="U875" s="141" t="s">
        <v>222</v>
      </c>
      <c r="V875" s="141" t="s">
        <v>222</v>
      </c>
      <c r="W875" s="141"/>
      <c r="X875" s="141"/>
      <c r="Y875" s="141"/>
      <c r="Z875" s="141"/>
    </row>
    <row r="876">
      <c r="A876" s="141"/>
      <c r="B876" s="141" t="s">
        <v>222</v>
      </c>
      <c r="C876" s="141" t="s">
        <v>222</v>
      </c>
      <c r="D876" s="141" t="s">
        <v>222</v>
      </c>
      <c r="E876" s="141" t="s">
        <v>222</v>
      </c>
      <c r="F876" s="141" t="s">
        <v>222</v>
      </c>
      <c r="G876" s="141" t="s">
        <v>222</v>
      </c>
      <c r="H876" s="141" t="s">
        <v>222</v>
      </c>
      <c r="I876" s="141" t="s">
        <v>222</v>
      </c>
      <c r="J876" s="141" t="s">
        <v>222</v>
      </c>
      <c r="K876" s="141" t="s">
        <v>222</v>
      </c>
      <c r="L876" s="141" t="s">
        <v>222</v>
      </c>
      <c r="M876" s="141" t="s">
        <v>222</v>
      </c>
      <c r="N876" s="141" t="s">
        <v>222</v>
      </c>
      <c r="O876" s="141" t="s">
        <v>222</v>
      </c>
      <c r="P876" s="141" t="s">
        <v>222</v>
      </c>
      <c r="Q876" s="141" t="s">
        <v>222</v>
      </c>
      <c r="R876" s="141" t="s">
        <v>222</v>
      </c>
      <c r="S876" s="141" t="s">
        <v>222</v>
      </c>
      <c r="T876" s="141" t="s">
        <v>222</v>
      </c>
      <c r="U876" s="141" t="s">
        <v>222</v>
      </c>
      <c r="V876" s="141" t="s">
        <v>222</v>
      </c>
      <c r="W876" s="141"/>
      <c r="X876" s="141"/>
      <c r="Y876" s="141"/>
      <c r="Z876" s="141"/>
    </row>
    <row r="877">
      <c r="A877" s="141"/>
      <c r="B877" s="141" t="s">
        <v>222</v>
      </c>
      <c r="C877" s="141" t="s">
        <v>222</v>
      </c>
      <c r="D877" s="141" t="s">
        <v>222</v>
      </c>
      <c r="E877" s="141" t="s">
        <v>222</v>
      </c>
      <c r="F877" s="141" t="s">
        <v>222</v>
      </c>
      <c r="G877" s="141" t="s">
        <v>222</v>
      </c>
      <c r="H877" s="141" t="s">
        <v>222</v>
      </c>
      <c r="I877" s="141" t="s">
        <v>222</v>
      </c>
      <c r="J877" s="141" t="s">
        <v>222</v>
      </c>
      <c r="K877" s="141" t="s">
        <v>222</v>
      </c>
      <c r="L877" s="141" t="s">
        <v>222</v>
      </c>
      <c r="M877" s="141" t="s">
        <v>222</v>
      </c>
      <c r="N877" s="141" t="s">
        <v>222</v>
      </c>
      <c r="O877" s="141" t="s">
        <v>222</v>
      </c>
      <c r="P877" s="141" t="s">
        <v>222</v>
      </c>
      <c r="Q877" s="141" t="s">
        <v>222</v>
      </c>
      <c r="R877" s="141" t="s">
        <v>222</v>
      </c>
      <c r="S877" s="141" t="s">
        <v>222</v>
      </c>
      <c r="T877" s="141" t="s">
        <v>222</v>
      </c>
      <c r="U877" s="141" t="s">
        <v>222</v>
      </c>
      <c r="V877" s="141" t="s">
        <v>222</v>
      </c>
      <c r="W877" s="141"/>
      <c r="X877" s="141"/>
      <c r="Y877" s="141"/>
      <c r="Z877" s="141"/>
    </row>
    <row r="878">
      <c r="A878" s="141"/>
      <c r="B878" s="141" t="s">
        <v>222</v>
      </c>
      <c r="C878" s="141" t="s">
        <v>222</v>
      </c>
      <c r="D878" s="141" t="s">
        <v>222</v>
      </c>
      <c r="E878" s="141" t="s">
        <v>222</v>
      </c>
      <c r="F878" s="141" t="s">
        <v>222</v>
      </c>
      <c r="G878" s="141" t="s">
        <v>222</v>
      </c>
      <c r="H878" s="141" t="s">
        <v>222</v>
      </c>
      <c r="I878" s="141" t="s">
        <v>222</v>
      </c>
      <c r="J878" s="141" t="s">
        <v>222</v>
      </c>
      <c r="K878" s="141" t="s">
        <v>222</v>
      </c>
      <c r="L878" s="141" t="s">
        <v>222</v>
      </c>
      <c r="M878" s="141" t="s">
        <v>222</v>
      </c>
      <c r="N878" s="141" t="s">
        <v>222</v>
      </c>
      <c r="O878" s="141" t="s">
        <v>222</v>
      </c>
      <c r="P878" s="141" t="s">
        <v>222</v>
      </c>
      <c r="Q878" s="141" t="s">
        <v>222</v>
      </c>
      <c r="R878" s="141" t="s">
        <v>222</v>
      </c>
      <c r="S878" s="141" t="s">
        <v>222</v>
      </c>
      <c r="T878" s="141" t="s">
        <v>222</v>
      </c>
      <c r="U878" s="141" t="s">
        <v>222</v>
      </c>
      <c r="V878" s="141" t="s">
        <v>222</v>
      </c>
      <c r="W878" s="141"/>
      <c r="X878" s="141"/>
      <c r="Y878" s="141"/>
      <c r="Z878" s="141"/>
    </row>
    <row r="879">
      <c r="A879" s="141"/>
      <c r="B879" s="141" t="s">
        <v>222</v>
      </c>
      <c r="C879" s="141" t="s">
        <v>222</v>
      </c>
      <c r="D879" s="141" t="s">
        <v>222</v>
      </c>
      <c r="E879" s="141" t="s">
        <v>222</v>
      </c>
      <c r="F879" s="141" t="s">
        <v>222</v>
      </c>
      <c r="G879" s="141" t="s">
        <v>222</v>
      </c>
      <c r="H879" s="141" t="s">
        <v>222</v>
      </c>
      <c r="I879" s="141" t="s">
        <v>222</v>
      </c>
      <c r="J879" s="141" t="s">
        <v>222</v>
      </c>
      <c r="K879" s="141" t="s">
        <v>222</v>
      </c>
      <c r="L879" s="141" t="s">
        <v>222</v>
      </c>
      <c r="M879" s="141" t="s">
        <v>222</v>
      </c>
      <c r="N879" s="141" t="s">
        <v>222</v>
      </c>
      <c r="O879" s="141" t="s">
        <v>222</v>
      </c>
      <c r="P879" s="141" t="s">
        <v>222</v>
      </c>
      <c r="Q879" s="141" t="s">
        <v>222</v>
      </c>
      <c r="R879" s="141" t="s">
        <v>222</v>
      </c>
      <c r="S879" s="141" t="s">
        <v>222</v>
      </c>
      <c r="T879" s="141" t="s">
        <v>222</v>
      </c>
      <c r="U879" s="141" t="s">
        <v>222</v>
      </c>
      <c r="V879" s="141" t="s">
        <v>222</v>
      </c>
      <c r="W879" s="141"/>
      <c r="X879" s="141"/>
      <c r="Y879" s="141"/>
      <c r="Z879" s="141"/>
    </row>
    <row r="880">
      <c r="A880" s="141"/>
      <c r="B880" s="141" t="s">
        <v>222</v>
      </c>
      <c r="C880" s="141" t="s">
        <v>222</v>
      </c>
      <c r="D880" s="141" t="s">
        <v>222</v>
      </c>
      <c r="E880" s="141" t="s">
        <v>222</v>
      </c>
      <c r="F880" s="141" t="s">
        <v>222</v>
      </c>
      <c r="G880" s="141" t="s">
        <v>222</v>
      </c>
      <c r="H880" s="141" t="s">
        <v>222</v>
      </c>
      <c r="I880" s="141" t="s">
        <v>222</v>
      </c>
      <c r="J880" s="141" t="s">
        <v>222</v>
      </c>
      <c r="K880" s="141" t="s">
        <v>222</v>
      </c>
      <c r="L880" s="141" t="s">
        <v>222</v>
      </c>
      <c r="M880" s="141" t="s">
        <v>222</v>
      </c>
      <c r="N880" s="141" t="s">
        <v>222</v>
      </c>
      <c r="O880" s="141" t="s">
        <v>222</v>
      </c>
      <c r="P880" s="141" t="s">
        <v>222</v>
      </c>
      <c r="Q880" s="141" t="s">
        <v>222</v>
      </c>
      <c r="R880" s="141" t="s">
        <v>222</v>
      </c>
      <c r="S880" s="141" t="s">
        <v>222</v>
      </c>
      <c r="T880" s="141" t="s">
        <v>222</v>
      </c>
      <c r="U880" s="141" t="s">
        <v>222</v>
      </c>
      <c r="V880" s="141" t="s">
        <v>222</v>
      </c>
      <c r="W880" s="141"/>
      <c r="X880" s="141"/>
      <c r="Y880" s="141"/>
      <c r="Z880" s="141"/>
    </row>
    <row r="881">
      <c r="A881" s="141"/>
      <c r="B881" s="141" t="s">
        <v>222</v>
      </c>
      <c r="C881" s="141" t="s">
        <v>222</v>
      </c>
      <c r="D881" s="141" t="s">
        <v>222</v>
      </c>
      <c r="E881" s="141" t="s">
        <v>222</v>
      </c>
      <c r="F881" s="141" t="s">
        <v>222</v>
      </c>
      <c r="G881" s="141" t="s">
        <v>222</v>
      </c>
      <c r="H881" s="141" t="s">
        <v>222</v>
      </c>
      <c r="I881" s="141" t="s">
        <v>222</v>
      </c>
      <c r="J881" s="141" t="s">
        <v>222</v>
      </c>
      <c r="K881" s="141" t="s">
        <v>222</v>
      </c>
      <c r="L881" s="141" t="s">
        <v>222</v>
      </c>
      <c r="M881" s="141" t="s">
        <v>222</v>
      </c>
      <c r="N881" s="141" t="s">
        <v>222</v>
      </c>
      <c r="O881" s="141" t="s">
        <v>222</v>
      </c>
      <c r="P881" s="141" t="s">
        <v>222</v>
      </c>
      <c r="Q881" s="141" t="s">
        <v>222</v>
      </c>
      <c r="R881" s="141" t="s">
        <v>222</v>
      </c>
      <c r="S881" s="141" t="s">
        <v>222</v>
      </c>
      <c r="T881" s="141" t="s">
        <v>222</v>
      </c>
      <c r="U881" s="141" t="s">
        <v>222</v>
      </c>
      <c r="V881" s="141" t="s">
        <v>222</v>
      </c>
      <c r="W881" s="141"/>
      <c r="X881" s="141"/>
      <c r="Y881" s="141"/>
      <c r="Z881" s="141"/>
    </row>
    <row r="882">
      <c r="A882" s="141"/>
      <c r="B882" s="141" t="s">
        <v>222</v>
      </c>
      <c r="C882" s="141" t="s">
        <v>222</v>
      </c>
      <c r="D882" s="141" t="s">
        <v>222</v>
      </c>
      <c r="E882" s="141" t="s">
        <v>222</v>
      </c>
      <c r="F882" s="141" t="s">
        <v>222</v>
      </c>
      <c r="G882" s="141" t="s">
        <v>222</v>
      </c>
      <c r="H882" s="141" t="s">
        <v>222</v>
      </c>
      <c r="I882" s="141" t="s">
        <v>222</v>
      </c>
      <c r="J882" s="141" t="s">
        <v>222</v>
      </c>
      <c r="K882" s="141" t="s">
        <v>222</v>
      </c>
      <c r="L882" s="141" t="s">
        <v>222</v>
      </c>
      <c r="M882" s="141" t="s">
        <v>222</v>
      </c>
      <c r="N882" s="141" t="s">
        <v>222</v>
      </c>
      <c r="O882" s="141" t="s">
        <v>222</v>
      </c>
      <c r="P882" s="141" t="s">
        <v>222</v>
      </c>
      <c r="Q882" s="141" t="s">
        <v>222</v>
      </c>
      <c r="R882" s="141" t="s">
        <v>222</v>
      </c>
      <c r="S882" s="141" t="s">
        <v>222</v>
      </c>
      <c r="T882" s="141" t="s">
        <v>222</v>
      </c>
      <c r="U882" s="141" t="s">
        <v>222</v>
      </c>
      <c r="V882" s="141" t="s">
        <v>222</v>
      </c>
      <c r="W882" s="141"/>
      <c r="X882" s="141"/>
      <c r="Y882" s="141"/>
      <c r="Z882" s="141"/>
    </row>
    <row r="883">
      <c r="A883" s="141"/>
      <c r="B883" s="141" t="s">
        <v>222</v>
      </c>
      <c r="C883" s="141" t="s">
        <v>222</v>
      </c>
      <c r="D883" s="141" t="s">
        <v>222</v>
      </c>
      <c r="E883" s="141" t="s">
        <v>222</v>
      </c>
      <c r="F883" s="141" t="s">
        <v>222</v>
      </c>
      <c r="G883" s="141" t="s">
        <v>222</v>
      </c>
      <c r="H883" s="141" t="s">
        <v>222</v>
      </c>
      <c r="I883" s="141" t="s">
        <v>222</v>
      </c>
      <c r="J883" s="141" t="s">
        <v>222</v>
      </c>
      <c r="K883" s="141" t="s">
        <v>222</v>
      </c>
      <c r="L883" s="141" t="s">
        <v>222</v>
      </c>
      <c r="M883" s="141" t="s">
        <v>222</v>
      </c>
      <c r="N883" s="141" t="s">
        <v>222</v>
      </c>
      <c r="O883" s="141" t="s">
        <v>222</v>
      </c>
      <c r="P883" s="141" t="s">
        <v>222</v>
      </c>
      <c r="Q883" s="141" t="s">
        <v>222</v>
      </c>
      <c r="R883" s="141" t="s">
        <v>222</v>
      </c>
      <c r="S883" s="141" t="s">
        <v>222</v>
      </c>
      <c r="T883" s="141" t="s">
        <v>222</v>
      </c>
      <c r="U883" s="141" t="s">
        <v>222</v>
      </c>
      <c r="V883" s="141" t="s">
        <v>222</v>
      </c>
      <c r="W883" s="141"/>
      <c r="X883" s="141"/>
      <c r="Y883" s="141"/>
      <c r="Z883" s="141"/>
    </row>
    <row r="884">
      <c r="A884" s="141"/>
      <c r="B884" s="141" t="s">
        <v>222</v>
      </c>
      <c r="C884" s="141" t="s">
        <v>222</v>
      </c>
      <c r="D884" s="141" t="s">
        <v>222</v>
      </c>
      <c r="E884" s="141" t="s">
        <v>222</v>
      </c>
      <c r="F884" s="141" t="s">
        <v>222</v>
      </c>
      <c r="G884" s="141" t="s">
        <v>222</v>
      </c>
      <c r="H884" s="141" t="s">
        <v>222</v>
      </c>
      <c r="I884" s="141" t="s">
        <v>222</v>
      </c>
      <c r="J884" s="141" t="s">
        <v>222</v>
      </c>
      <c r="K884" s="141" t="s">
        <v>222</v>
      </c>
      <c r="L884" s="141" t="s">
        <v>222</v>
      </c>
      <c r="M884" s="141" t="s">
        <v>222</v>
      </c>
      <c r="N884" s="141" t="s">
        <v>222</v>
      </c>
      <c r="O884" s="141" t="s">
        <v>222</v>
      </c>
      <c r="P884" s="141" t="s">
        <v>222</v>
      </c>
      <c r="Q884" s="141" t="s">
        <v>222</v>
      </c>
      <c r="R884" s="141" t="s">
        <v>222</v>
      </c>
      <c r="S884" s="141" t="s">
        <v>222</v>
      </c>
      <c r="T884" s="141" t="s">
        <v>222</v>
      </c>
      <c r="U884" s="141" t="s">
        <v>222</v>
      </c>
      <c r="V884" s="141" t="s">
        <v>222</v>
      </c>
      <c r="W884" s="141"/>
      <c r="X884" s="141"/>
      <c r="Y884" s="141"/>
      <c r="Z884" s="141"/>
    </row>
    <row r="885">
      <c r="A885" s="141"/>
      <c r="B885" s="141" t="s">
        <v>222</v>
      </c>
      <c r="C885" s="141" t="s">
        <v>222</v>
      </c>
      <c r="D885" s="141" t="s">
        <v>222</v>
      </c>
      <c r="E885" s="141" t="s">
        <v>222</v>
      </c>
      <c r="F885" s="141" t="s">
        <v>222</v>
      </c>
      <c r="G885" s="141" t="s">
        <v>222</v>
      </c>
      <c r="H885" s="141" t="s">
        <v>222</v>
      </c>
      <c r="I885" s="141" t="s">
        <v>222</v>
      </c>
      <c r="J885" s="141" t="s">
        <v>222</v>
      </c>
      <c r="K885" s="141" t="s">
        <v>222</v>
      </c>
      <c r="L885" s="141" t="s">
        <v>222</v>
      </c>
      <c r="M885" s="141" t="s">
        <v>222</v>
      </c>
      <c r="N885" s="141" t="s">
        <v>222</v>
      </c>
      <c r="O885" s="141" t="s">
        <v>222</v>
      </c>
      <c r="P885" s="141" t="s">
        <v>222</v>
      </c>
      <c r="Q885" s="141" t="s">
        <v>222</v>
      </c>
      <c r="R885" s="141" t="s">
        <v>222</v>
      </c>
      <c r="S885" s="141" t="s">
        <v>222</v>
      </c>
      <c r="T885" s="141" t="s">
        <v>222</v>
      </c>
      <c r="U885" s="141" t="s">
        <v>222</v>
      </c>
      <c r="V885" s="141" t="s">
        <v>222</v>
      </c>
      <c r="W885" s="141"/>
      <c r="X885" s="141"/>
      <c r="Y885" s="141"/>
      <c r="Z885" s="141"/>
    </row>
    <row r="886">
      <c r="A886" s="141"/>
      <c r="B886" s="141" t="s">
        <v>222</v>
      </c>
      <c r="C886" s="141" t="s">
        <v>222</v>
      </c>
      <c r="D886" s="141" t="s">
        <v>222</v>
      </c>
      <c r="E886" s="141" t="s">
        <v>222</v>
      </c>
      <c r="F886" s="141" t="s">
        <v>222</v>
      </c>
      <c r="G886" s="141" t="s">
        <v>222</v>
      </c>
      <c r="H886" s="141" t="s">
        <v>222</v>
      </c>
      <c r="I886" s="141" t="s">
        <v>222</v>
      </c>
      <c r="J886" s="141" t="s">
        <v>222</v>
      </c>
      <c r="K886" s="141" t="s">
        <v>222</v>
      </c>
      <c r="L886" s="141" t="s">
        <v>222</v>
      </c>
      <c r="M886" s="141" t="s">
        <v>222</v>
      </c>
      <c r="N886" s="141" t="s">
        <v>222</v>
      </c>
      <c r="O886" s="141" t="s">
        <v>222</v>
      </c>
      <c r="P886" s="141" t="s">
        <v>222</v>
      </c>
      <c r="Q886" s="141" t="s">
        <v>222</v>
      </c>
      <c r="R886" s="141" t="s">
        <v>222</v>
      </c>
      <c r="S886" s="141" t="s">
        <v>222</v>
      </c>
      <c r="T886" s="141" t="s">
        <v>222</v>
      </c>
      <c r="U886" s="141" t="s">
        <v>222</v>
      </c>
      <c r="V886" s="141" t="s">
        <v>222</v>
      </c>
      <c r="W886" s="141"/>
      <c r="X886" s="141"/>
      <c r="Y886" s="141"/>
      <c r="Z886" s="141"/>
    </row>
    <row r="887">
      <c r="A887" s="141"/>
      <c r="B887" s="141" t="s">
        <v>222</v>
      </c>
      <c r="C887" s="141" t="s">
        <v>222</v>
      </c>
      <c r="D887" s="141" t="s">
        <v>222</v>
      </c>
      <c r="E887" s="141" t="s">
        <v>222</v>
      </c>
      <c r="F887" s="141" t="s">
        <v>222</v>
      </c>
      <c r="G887" s="141" t="s">
        <v>222</v>
      </c>
      <c r="H887" s="141" t="s">
        <v>222</v>
      </c>
      <c r="I887" s="141" t="s">
        <v>222</v>
      </c>
      <c r="J887" s="141" t="s">
        <v>222</v>
      </c>
      <c r="K887" s="141" t="s">
        <v>222</v>
      </c>
      <c r="L887" s="141" t="s">
        <v>222</v>
      </c>
      <c r="M887" s="141" t="s">
        <v>222</v>
      </c>
      <c r="N887" s="141" t="s">
        <v>222</v>
      </c>
      <c r="O887" s="141" t="s">
        <v>222</v>
      </c>
      <c r="P887" s="141" t="s">
        <v>222</v>
      </c>
      <c r="Q887" s="141" t="s">
        <v>222</v>
      </c>
      <c r="R887" s="141" t="s">
        <v>222</v>
      </c>
      <c r="S887" s="141" t="s">
        <v>222</v>
      </c>
      <c r="T887" s="141" t="s">
        <v>222</v>
      </c>
      <c r="U887" s="141" t="s">
        <v>222</v>
      </c>
      <c r="V887" s="141" t="s">
        <v>222</v>
      </c>
      <c r="W887" s="141"/>
      <c r="X887" s="141"/>
      <c r="Y887" s="141"/>
      <c r="Z887" s="141"/>
    </row>
    <row r="888">
      <c r="A888" s="141"/>
      <c r="B888" s="141" t="s">
        <v>222</v>
      </c>
      <c r="C888" s="141" t="s">
        <v>222</v>
      </c>
      <c r="D888" s="141" t="s">
        <v>222</v>
      </c>
      <c r="E888" s="141" t="s">
        <v>222</v>
      </c>
      <c r="F888" s="141" t="s">
        <v>222</v>
      </c>
      <c r="G888" s="141" t="s">
        <v>222</v>
      </c>
      <c r="H888" s="141" t="s">
        <v>222</v>
      </c>
      <c r="I888" s="141" t="s">
        <v>222</v>
      </c>
      <c r="J888" s="141" t="s">
        <v>222</v>
      </c>
      <c r="K888" s="141" t="s">
        <v>222</v>
      </c>
      <c r="L888" s="141" t="s">
        <v>222</v>
      </c>
      <c r="M888" s="141" t="s">
        <v>222</v>
      </c>
      <c r="N888" s="141" t="s">
        <v>222</v>
      </c>
      <c r="O888" s="141" t="s">
        <v>222</v>
      </c>
      <c r="P888" s="141" t="s">
        <v>222</v>
      </c>
      <c r="Q888" s="141" t="s">
        <v>222</v>
      </c>
      <c r="R888" s="141" t="s">
        <v>222</v>
      </c>
      <c r="S888" s="141" t="s">
        <v>222</v>
      </c>
      <c r="T888" s="141" t="s">
        <v>222</v>
      </c>
      <c r="U888" s="141" t="s">
        <v>222</v>
      </c>
      <c r="V888" s="141" t="s">
        <v>222</v>
      </c>
      <c r="W888" s="141"/>
      <c r="X888" s="141"/>
      <c r="Y888" s="141"/>
      <c r="Z888" s="141"/>
    </row>
    <row r="889">
      <c r="A889" s="141"/>
      <c r="B889" s="141" t="s">
        <v>222</v>
      </c>
      <c r="C889" s="141" t="s">
        <v>222</v>
      </c>
      <c r="D889" s="141" t="s">
        <v>222</v>
      </c>
      <c r="E889" s="141" t="s">
        <v>222</v>
      </c>
      <c r="F889" s="141" t="s">
        <v>222</v>
      </c>
      <c r="G889" s="141" t="s">
        <v>222</v>
      </c>
      <c r="H889" s="141" t="s">
        <v>222</v>
      </c>
      <c r="I889" s="141" t="s">
        <v>222</v>
      </c>
      <c r="J889" s="141" t="s">
        <v>222</v>
      </c>
      <c r="K889" s="141" t="s">
        <v>222</v>
      </c>
      <c r="L889" s="141" t="s">
        <v>222</v>
      </c>
      <c r="M889" s="141" t="s">
        <v>222</v>
      </c>
      <c r="N889" s="141" t="s">
        <v>222</v>
      </c>
      <c r="O889" s="141" t="s">
        <v>222</v>
      </c>
      <c r="P889" s="141" t="s">
        <v>222</v>
      </c>
      <c r="Q889" s="141" t="s">
        <v>222</v>
      </c>
      <c r="R889" s="141" t="s">
        <v>222</v>
      </c>
      <c r="S889" s="141" t="s">
        <v>222</v>
      </c>
      <c r="T889" s="141" t="s">
        <v>222</v>
      </c>
      <c r="U889" s="141" t="s">
        <v>222</v>
      </c>
      <c r="V889" s="141" t="s">
        <v>222</v>
      </c>
      <c r="W889" s="141"/>
      <c r="X889" s="141"/>
      <c r="Y889" s="141"/>
      <c r="Z889" s="141"/>
    </row>
    <row r="890">
      <c r="A890" s="141"/>
      <c r="B890" s="141" t="s">
        <v>222</v>
      </c>
      <c r="C890" s="141" t="s">
        <v>222</v>
      </c>
      <c r="D890" s="141" t="s">
        <v>222</v>
      </c>
      <c r="E890" s="141" t="s">
        <v>222</v>
      </c>
      <c r="F890" s="141" t="s">
        <v>222</v>
      </c>
      <c r="G890" s="141" t="s">
        <v>222</v>
      </c>
      <c r="H890" s="141" t="s">
        <v>222</v>
      </c>
      <c r="I890" s="141" t="s">
        <v>222</v>
      </c>
      <c r="J890" s="141" t="s">
        <v>222</v>
      </c>
      <c r="K890" s="141" t="s">
        <v>222</v>
      </c>
      <c r="L890" s="141" t="s">
        <v>222</v>
      </c>
      <c r="M890" s="141" t="s">
        <v>222</v>
      </c>
      <c r="N890" s="141" t="s">
        <v>222</v>
      </c>
      <c r="O890" s="141" t="s">
        <v>222</v>
      </c>
      <c r="P890" s="141" t="s">
        <v>222</v>
      </c>
      <c r="Q890" s="141" t="s">
        <v>222</v>
      </c>
      <c r="R890" s="141" t="s">
        <v>222</v>
      </c>
      <c r="S890" s="141" t="s">
        <v>222</v>
      </c>
      <c r="T890" s="141" t="s">
        <v>222</v>
      </c>
      <c r="U890" s="141" t="s">
        <v>222</v>
      </c>
      <c r="V890" s="141" t="s">
        <v>222</v>
      </c>
      <c r="W890" s="141"/>
      <c r="X890" s="141"/>
      <c r="Y890" s="141"/>
      <c r="Z890" s="141"/>
    </row>
    <row r="891">
      <c r="A891" s="141"/>
      <c r="B891" s="141" t="s">
        <v>222</v>
      </c>
      <c r="C891" s="141" t="s">
        <v>222</v>
      </c>
      <c r="D891" s="141" t="s">
        <v>222</v>
      </c>
      <c r="E891" s="141" t="s">
        <v>222</v>
      </c>
      <c r="F891" s="141" t="s">
        <v>222</v>
      </c>
      <c r="G891" s="141" t="s">
        <v>222</v>
      </c>
      <c r="H891" s="141" t="s">
        <v>222</v>
      </c>
      <c r="I891" s="141" t="s">
        <v>222</v>
      </c>
      <c r="J891" s="141" t="s">
        <v>222</v>
      </c>
      <c r="K891" s="141" t="s">
        <v>222</v>
      </c>
      <c r="L891" s="141" t="s">
        <v>222</v>
      </c>
      <c r="M891" s="141" t="s">
        <v>222</v>
      </c>
      <c r="N891" s="141" t="s">
        <v>222</v>
      </c>
      <c r="O891" s="141" t="s">
        <v>222</v>
      </c>
      <c r="P891" s="141" t="s">
        <v>222</v>
      </c>
      <c r="Q891" s="141" t="s">
        <v>222</v>
      </c>
      <c r="R891" s="141" t="s">
        <v>222</v>
      </c>
      <c r="S891" s="141" t="s">
        <v>222</v>
      </c>
      <c r="T891" s="141" t="s">
        <v>222</v>
      </c>
      <c r="U891" s="141" t="s">
        <v>222</v>
      </c>
      <c r="V891" s="141" t="s">
        <v>222</v>
      </c>
      <c r="W891" s="141"/>
      <c r="X891" s="141"/>
      <c r="Y891" s="141"/>
      <c r="Z891" s="141"/>
    </row>
    <row r="892">
      <c r="A892" s="141"/>
      <c r="B892" s="141" t="s">
        <v>222</v>
      </c>
      <c r="C892" s="141" t="s">
        <v>222</v>
      </c>
      <c r="D892" s="141" t="s">
        <v>222</v>
      </c>
      <c r="E892" s="141" t="s">
        <v>222</v>
      </c>
      <c r="F892" s="141" t="s">
        <v>222</v>
      </c>
      <c r="G892" s="141" t="s">
        <v>222</v>
      </c>
      <c r="H892" s="141" t="s">
        <v>222</v>
      </c>
      <c r="I892" s="141" t="s">
        <v>222</v>
      </c>
      <c r="J892" s="141" t="s">
        <v>222</v>
      </c>
      <c r="K892" s="141" t="s">
        <v>222</v>
      </c>
      <c r="L892" s="141" t="s">
        <v>222</v>
      </c>
      <c r="M892" s="141" t="s">
        <v>222</v>
      </c>
      <c r="N892" s="141" t="s">
        <v>222</v>
      </c>
      <c r="O892" s="141" t="s">
        <v>222</v>
      </c>
      <c r="P892" s="141" t="s">
        <v>222</v>
      </c>
      <c r="Q892" s="141" t="s">
        <v>222</v>
      </c>
      <c r="R892" s="141" t="s">
        <v>222</v>
      </c>
      <c r="S892" s="141" t="s">
        <v>222</v>
      </c>
      <c r="T892" s="141" t="s">
        <v>222</v>
      </c>
      <c r="U892" s="141" t="s">
        <v>222</v>
      </c>
      <c r="V892" s="141" t="s">
        <v>222</v>
      </c>
      <c r="W892" s="141"/>
      <c r="X892" s="141"/>
      <c r="Y892" s="141"/>
      <c r="Z892" s="141"/>
    </row>
    <row r="893">
      <c r="A893" s="141"/>
      <c r="B893" s="141" t="s">
        <v>222</v>
      </c>
      <c r="C893" s="141" t="s">
        <v>222</v>
      </c>
      <c r="D893" s="141" t="s">
        <v>222</v>
      </c>
      <c r="E893" s="141" t="s">
        <v>222</v>
      </c>
      <c r="F893" s="141" t="s">
        <v>222</v>
      </c>
      <c r="G893" s="141" t="s">
        <v>222</v>
      </c>
      <c r="H893" s="141" t="s">
        <v>222</v>
      </c>
      <c r="I893" s="141" t="s">
        <v>222</v>
      </c>
      <c r="J893" s="141" t="s">
        <v>222</v>
      </c>
      <c r="K893" s="141" t="s">
        <v>222</v>
      </c>
      <c r="L893" s="141" t="s">
        <v>222</v>
      </c>
      <c r="M893" s="141" t="s">
        <v>222</v>
      </c>
      <c r="N893" s="141" t="s">
        <v>222</v>
      </c>
      <c r="O893" s="141" t="s">
        <v>222</v>
      </c>
      <c r="P893" s="141" t="s">
        <v>222</v>
      </c>
      <c r="Q893" s="141" t="s">
        <v>222</v>
      </c>
      <c r="R893" s="141" t="s">
        <v>222</v>
      </c>
      <c r="S893" s="141" t="s">
        <v>222</v>
      </c>
      <c r="T893" s="141" t="s">
        <v>222</v>
      </c>
      <c r="U893" s="141" t="s">
        <v>222</v>
      </c>
      <c r="V893" s="141" t="s">
        <v>222</v>
      </c>
      <c r="W893" s="141"/>
      <c r="X893" s="141"/>
      <c r="Y893" s="141"/>
      <c r="Z893" s="141"/>
    </row>
    <row r="894">
      <c r="A894" s="141"/>
      <c r="B894" s="141" t="s">
        <v>222</v>
      </c>
      <c r="C894" s="141" t="s">
        <v>222</v>
      </c>
      <c r="D894" s="141" t="s">
        <v>222</v>
      </c>
      <c r="E894" s="141" t="s">
        <v>222</v>
      </c>
      <c r="F894" s="141" t="s">
        <v>222</v>
      </c>
      <c r="G894" s="141" t="s">
        <v>222</v>
      </c>
      <c r="H894" s="141" t="s">
        <v>222</v>
      </c>
      <c r="I894" s="141" t="s">
        <v>222</v>
      </c>
      <c r="J894" s="141" t="s">
        <v>222</v>
      </c>
      <c r="K894" s="141" t="s">
        <v>222</v>
      </c>
      <c r="L894" s="141" t="s">
        <v>222</v>
      </c>
      <c r="M894" s="141" t="s">
        <v>222</v>
      </c>
      <c r="N894" s="141" t="s">
        <v>222</v>
      </c>
      <c r="O894" s="141" t="s">
        <v>222</v>
      </c>
      <c r="P894" s="141" t="s">
        <v>222</v>
      </c>
      <c r="Q894" s="141" t="s">
        <v>222</v>
      </c>
      <c r="R894" s="141" t="s">
        <v>222</v>
      </c>
      <c r="S894" s="141" t="s">
        <v>222</v>
      </c>
      <c r="T894" s="141" t="s">
        <v>222</v>
      </c>
      <c r="U894" s="141" t="s">
        <v>222</v>
      </c>
      <c r="V894" s="141" t="s">
        <v>222</v>
      </c>
      <c r="W894" s="141"/>
      <c r="X894" s="141"/>
      <c r="Y894" s="141"/>
      <c r="Z894" s="141"/>
    </row>
    <row r="895">
      <c r="A895" s="141"/>
      <c r="B895" s="141" t="s">
        <v>222</v>
      </c>
      <c r="C895" s="141" t="s">
        <v>222</v>
      </c>
      <c r="D895" s="141" t="s">
        <v>222</v>
      </c>
      <c r="E895" s="141" t="s">
        <v>222</v>
      </c>
      <c r="F895" s="141" t="s">
        <v>222</v>
      </c>
      <c r="G895" s="141" t="s">
        <v>222</v>
      </c>
      <c r="H895" s="141" t="s">
        <v>222</v>
      </c>
      <c r="I895" s="141" t="s">
        <v>222</v>
      </c>
      <c r="J895" s="141" t="s">
        <v>222</v>
      </c>
      <c r="K895" s="141" t="s">
        <v>222</v>
      </c>
      <c r="L895" s="141" t="s">
        <v>222</v>
      </c>
      <c r="M895" s="141" t="s">
        <v>222</v>
      </c>
      <c r="N895" s="141" t="s">
        <v>222</v>
      </c>
      <c r="O895" s="141" t="s">
        <v>222</v>
      </c>
      <c r="P895" s="141" t="s">
        <v>222</v>
      </c>
      <c r="Q895" s="141" t="s">
        <v>222</v>
      </c>
      <c r="R895" s="141" t="s">
        <v>222</v>
      </c>
      <c r="S895" s="141" t="s">
        <v>222</v>
      </c>
      <c r="T895" s="141" t="s">
        <v>222</v>
      </c>
      <c r="U895" s="141" t="s">
        <v>222</v>
      </c>
      <c r="V895" s="141" t="s">
        <v>222</v>
      </c>
      <c r="W895" s="141"/>
      <c r="X895" s="141"/>
      <c r="Y895" s="141"/>
      <c r="Z895" s="141"/>
    </row>
    <row r="896">
      <c r="A896" s="141"/>
      <c r="B896" s="141" t="s">
        <v>222</v>
      </c>
      <c r="C896" s="141" t="s">
        <v>222</v>
      </c>
      <c r="D896" s="141" t="s">
        <v>222</v>
      </c>
      <c r="E896" s="141" t="s">
        <v>222</v>
      </c>
      <c r="F896" s="141" t="s">
        <v>222</v>
      </c>
      <c r="G896" s="141" t="s">
        <v>222</v>
      </c>
      <c r="H896" s="141" t="s">
        <v>222</v>
      </c>
      <c r="I896" s="141" t="s">
        <v>222</v>
      </c>
      <c r="J896" s="141" t="s">
        <v>222</v>
      </c>
      <c r="K896" s="141" t="s">
        <v>222</v>
      </c>
      <c r="L896" s="141" t="s">
        <v>222</v>
      </c>
      <c r="M896" s="141" t="s">
        <v>222</v>
      </c>
      <c r="N896" s="141" t="s">
        <v>222</v>
      </c>
      <c r="O896" s="141" t="s">
        <v>222</v>
      </c>
      <c r="P896" s="141" t="s">
        <v>222</v>
      </c>
      <c r="Q896" s="141" t="s">
        <v>222</v>
      </c>
      <c r="R896" s="141" t="s">
        <v>222</v>
      </c>
      <c r="S896" s="141" t="s">
        <v>222</v>
      </c>
      <c r="T896" s="141" t="s">
        <v>222</v>
      </c>
      <c r="U896" s="141" t="s">
        <v>222</v>
      </c>
      <c r="V896" s="141" t="s">
        <v>222</v>
      </c>
      <c r="W896" s="141"/>
      <c r="X896" s="141"/>
      <c r="Y896" s="141"/>
      <c r="Z896" s="141"/>
    </row>
    <row r="897">
      <c r="A897" s="141"/>
      <c r="B897" s="141" t="s">
        <v>222</v>
      </c>
      <c r="C897" s="141" t="s">
        <v>222</v>
      </c>
      <c r="D897" s="141" t="s">
        <v>222</v>
      </c>
      <c r="E897" s="141" t="s">
        <v>222</v>
      </c>
      <c r="F897" s="141" t="s">
        <v>222</v>
      </c>
      <c r="G897" s="141" t="s">
        <v>222</v>
      </c>
      <c r="H897" s="141" t="s">
        <v>222</v>
      </c>
      <c r="I897" s="141" t="s">
        <v>222</v>
      </c>
      <c r="J897" s="141" t="s">
        <v>222</v>
      </c>
      <c r="K897" s="141" t="s">
        <v>222</v>
      </c>
      <c r="L897" s="141" t="s">
        <v>222</v>
      </c>
      <c r="M897" s="141" t="s">
        <v>222</v>
      </c>
      <c r="N897" s="141" t="s">
        <v>222</v>
      </c>
      <c r="O897" s="141" t="s">
        <v>222</v>
      </c>
      <c r="P897" s="141" t="s">
        <v>222</v>
      </c>
      <c r="Q897" s="141" t="s">
        <v>222</v>
      </c>
      <c r="R897" s="141" t="s">
        <v>222</v>
      </c>
      <c r="S897" s="141" t="s">
        <v>222</v>
      </c>
      <c r="T897" s="141" t="s">
        <v>222</v>
      </c>
      <c r="U897" s="141" t="s">
        <v>222</v>
      </c>
      <c r="V897" s="141" t="s">
        <v>222</v>
      </c>
      <c r="W897" s="141"/>
      <c r="X897" s="141"/>
      <c r="Y897" s="141"/>
      <c r="Z897" s="141"/>
    </row>
    <row r="898">
      <c r="A898" s="141"/>
      <c r="B898" s="141" t="s">
        <v>222</v>
      </c>
      <c r="C898" s="141" t="s">
        <v>222</v>
      </c>
      <c r="D898" s="141" t="s">
        <v>222</v>
      </c>
      <c r="E898" s="141" t="s">
        <v>222</v>
      </c>
      <c r="F898" s="141" t="s">
        <v>222</v>
      </c>
      <c r="G898" s="141" t="s">
        <v>222</v>
      </c>
      <c r="H898" s="141" t="s">
        <v>222</v>
      </c>
      <c r="I898" s="141" t="s">
        <v>222</v>
      </c>
      <c r="J898" s="141" t="s">
        <v>222</v>
      </c>
      <c r="K898" s="141" t="s">
        <v>222</v>
      </c>
      <c r="L898" s="141" t="s">
        <v>222</v>
      </c>
      <c r="M898" s="141" t="s">
        <v>222</v>
      </c>
      <c r="N898" s="141" t="s">
        <v>222</v>
      </c>
      <c r="O898" s="141" t="s">
        <v>222</v>
      </c>
      <c r="P898" s="141" t="s">
        <v>222</v>
      </c>
      <c r="Q898" s="141" t="s">
        <v>222</v>
      </c>
      <c r="R898" s="141" t="s">
        <v>222</v>
      </c>
      <c r="S898" s="141" t="s">
        <v>222</v>
      </c>
      <c r="T898" s="141" t="s">
        <v>222</v>
      </c>
      <c r="U898" s="141" t="s">
        <v>222</v>
      </c>
      <c r="V898" s="141" t="s">
        <v>222</v>
      </c>
      <c r="W898" s="141"/>
      <c r="X898" s="141"/>
      <c r="Y898" s="141"/>
      <c r="Z898" s="141"/>
    </row>
    <row r="899">
      <c r="A899" s="141"/>
      <c r="B899" s="141" t="s">
        <v>222</v>
      </c>
      <c r="C899" s="141" t="s">
        <v>222</v>
      </c>
      <c r="D899" s="141" t="s">
        <v>222</v>
      </c>
      <c r="E899" s="141" t="s">
        <v>222</v>
      </c>
      <c r="F899" s="141" t="s">
        <v>222</v>
      </c>
      <c r="G899" s="141" t="s">
        <v>222</v>
      </c>
      <c r="H899" s="141" t="s">
        <v>222</v>
      </c>
      <c r="I899" s="141" t="s">
        <v>222</v>
      </c>
      <c r="J899" s="141" t="s">
        <v>222</v>
      </c>
      <c r="K899" s="141" t="s">
        <v>222</v>
      </c>
      <c r="L899" s="141" t="s">
        <v>222</v>
      </c>
      <c r="M899" s="141" t="s">
        <v>222</v>
      </c>
      <c r="N899" s="141" t="s">
        <v>222</v>
      </c>
      <c r="O899" s="141" t="s">
        <v>222</v>
      </c>
      <c r="P899" s="141" t="s">
        <v>222</v>
      </c>
      <c r="Q899" s="141" t="s">
        <v>222</v>
      </c>
      <c r="R899" s="141" t="s">
        <v>222</v>
      </c>
      <c r="S899" s="141" t="s">
        <v>222</v>
      </c>
      <c r="T899" s="141" t="s">
        <v>222</v>
      </c>
      <c r="U899" s="141" t="s">
        <v>222</v>
      </c>
      <c r="V899" s="141" t="s">
        <v>222</v>
      </c>
      <c r="W899" s="141"/>
      <c r="X899" s="141"/>
      <c r="Y899" s="141"/>
      <c r="Z899" s="141"/>
    </row>
    <row r="900">
      <c r="A900" s="141"/>
      <c r="B900" s="141" t="s">
        <v>222</v>
      </c>
      <c r="C900" s="141" t="s">
        <v>222</v>
      </c>
      <c r="D900" s="141" t="s">
        <v>222</v>
      </c>
      <c r="E900" s="141" t="s">
        <v>222</v>
      </c>
      <c r="F900" s="141" t="s">
        <v>222</v>
      </c>
      <c r="G900" s="141" t="s">
        <v>222</v>
      </c>
      <c r="H900" s="141" t="s">
        <v>222</v>
      </c>
      <c r="I900" s="141" t="s">
        <v>222</v>
      </c>
      <c r="J900" s="141" t="s">
        <v>222</v>
      </c>
      <c r="K900" s="141" t="s">
        <v>222</v>
      </c>
      <c r="L900" s="141" t="s">
        <v>222</v>
      </c>
      <c r="M900" s="141" t="s">
        <v>222</v>
      </c>
      <c r="N900" s="141" t="s">
        <v>222</v>
      </c>
      <c r="O900" s="141" t="s">
        <v>222</v>
      </c>
      <c r="P900" s="141" t="s">
        <v>222</v>
      </c>
      <c r="Q900" s="141" t="s">
        <v>222</v>
      </c>
      <c r="R900" s="141" t="s">
        <v>222</v>
      </c>
      <c r="S900" s="141" t="s">
        <v>222</v>
      </c>
      <c r="T900" s="141" t="s">
        <v>222</v>
      </c>
      <c r="U900" s="141" t="s">
        <v>222</v>
      </c>
      <c r="V900" s="141" t="s">
        <v>222</v>
      </c>
      <c r="W900" s="141"/>
      <c r="X900" s="141"/>
      <c r="Y900" s="141"/>
      <c r="Z900" s="141"/>
    </row>
    <row r="901">
      <c r="A901" s="141"/>
      <c r="B901" s="141" t="s">
        <v>222</v>
      </c>
      <c r="C901" s="141" t="s">
        <v>222</v>
      </c>
      <c r="D901" s="141" t="s">
        <v>222</v>
      </c>
      <c r="E901" s="141" t="s">
        <v>222</v>
      </c>
      <c r="F901" s="141" t="s">
        <v>222</v>
      </c>
      <c r="G901" s="141" t="s">
        <v>222</v>
      </c>
      <c r="H901" s="141" t="s">
        <v>222</v>
      </c>
      <c r="I901" s="141" t="s">
        <v>222</v>
      </c>
      <c r="J901" s="141" t="s">
        <v>222</v>
      </c>
      <c r="K901" s="141" t="s">
        <v>222</v>
      </c>
      <c r="L901" s="141" t="s">
        <v>222</v>
      </c>
      <c r="M901" s="141" t="s">
        <v>222</v>
      </c>
      <c r="N901" s="141" t="s">
        <v>222</v>
      </c>
      <c r="O901" s="141" t="s">
        <v>222</v>
      </c>
      <c r="P901" s="141" t="s">
        <v>222</v>
      </c>
      <c r="Q901" s="141" t="s">
        <v>222</v>
      </c>
      <c r="R901" s="141" t="s">
        <v>222</v>
      </c>
      <c r="S901" s="141" t="s">
        <v>222</v>
      </c>
      <c r="T901" s="141" t="s">
        <v>222</v>
      </c>
      <c r="U901" s="141" t="s">
        <v>222</v>
      </c>
      <c r="V901" s="141" t="s">
        <v>222</v>
      </c>
      <c r="W901" s="141"/>
      <c r="X901" s="141"/>
      <c r="Y901" s="141"/>
      <c r="Z901" s="141"/>
    </row>
    <row r="902">
      <c r="A902" s="141"/>
      <c r="B902" s="141" t="s">
        <v>222</v>
      </c>
      <c r="C902" s="141" t="s">
        <v>222</v>
      </c>
      <c r="D902" s="141" t="s">
        <v>222</v>
      </c>
      <c r="E902" s="141" t="s">
        <v>222</v>
      </c>
      <c r="F902" s="141" t="s">
        <v>222</v>
      </c>
      <c r="G902" s="141" t="s">
        <v>222</v>
      </c>
      <c r="H902" s="141" t="s">
        <v>222</v>
      </c>
      <c r="I902" s="141" t="s">
        <v>222</v>
      </c>
      <c r="J902" s="141" t="s">
        <v>222</v>
      </c>
      <c r="K902" s="141" t="s">
        <v>222</v>
      </c>
      <c r="L902" s="141" t="s">
        <v>222</v>
      </c>
      <c r="M902" s="141" t="s">
        <v>222</v>
      </c>
      <c r="N902" s="141" t="s">
        <v>222</v>
      </c>
      <c r="O902" s="141" t="s">
        <v>222</v>
      </c>
      <c r="P902" s="141" t="s">
        <v>222</v>
      </c>
      <c r="Q902" s="141" t="s">
        <v>222</v>
      </c>
      <c r="R902" s="141" t="s">
        <v>222</v>
      </c>
      <c r="S902" s="141" t="s">
        <v>222</v>
      </c>
      <c r="T902" s="141" t="s">
        <v>222</v>
      </c>
      <c r="U902" s="141" t="s">
        <v>222</v>
      </c>
      <c r="V902" s="141" t="s">
        <v>222</v>
      </c>
      <c r="W902" s="141"/>
      <c r="X902" s="141"/>
      <c r="Y902" s="141"/>
      <c r="Z902" s="141"/>
    </row>
    <row r="903">
      <c r="A903" s="141"/>
      <c r="B903" s="141" t="s">
        <v>222</v>
      </c>
      <c r="C903" s="141" t="s">
        <v>222</v>
      </c>
      <c r="D903" s="141" t="s">
        <v>222</v>
      </c>
      <c r="E903" s="141" t="s">
        <v>222</v>
      </c>
      <c r="F903" s="141" t="s">
        <v>222</v>
      </c>
      <c r="G903" s="141" t="s">
        <v>222</v>
      </c>
      <c r="H903" s="141" t="s">
        <v>222</v>
      </c>
      <c r="I903" s="141" t="s">
        <v>222</v>
      </c>
      <c r="J903" s="141" t="s">
        <v>222</v>
      </c>
      <c r="K903" s="141" t="s">
        <v>222</v>
      </c>
      <c r="L903" s="141" t="s">
        <v>222</v>
      </c>
      <c r="M903" s="141" t="s">
        <v>222</v>
      </c>
      <c r="N903" s="141" t="s">
        <v>222</v>
      </c>
      <c r="O903" s="141" t="s">
        <v>222</v>
      </c>
      <c r="P903" s="141" t="s">
        <v>222</v>
      </c>
      <c r="Q903" s="141" t="s">
        <v>222</v>
      </c>
      <c r="R903" s="141" t="s">
        <v>222</v>
      </c>
      <c r="S903" s="141" t="s">
        <v>222</v>
      </c>
      <c r="T903" s="141" t="s">
        <v>222</v>
      </c>
      <c r="U903" s="141" t="s">
        <v>222</v>
      </c>
      <c r="V903" s="141" t="s">
        <v>222</v>
      </c>
      <c r="W903" s="141"/>
      <c r="X903" s="141"/>
      <c r="Y903" s="141"/>
      <c r="Z903" s="141"/>
    </row>
    <row r="904">
      <c r="A904" s="141"/>
      <c r="B904" s="141" t="s">
        <v>222</v>
      </c>
      <c r="C904" s="141" t="s">
        <v>222</v>
      </c>
      <c r="D904" s="141" t="s">
        <v>222</v>
      </c>
      <c r="E904" s="141" t="s">
        <v>222</v>
      </c>
      <c r="F904" s="141" t="s">
        <v>222</v>
      </c>
      <c r="G904" s="141" t="s">
        <v>222</v>
      </c>
      <c r="H904" s="141" t="s">
        <v>222</v>
      </c>
      <c r="I904" s="141" t="s">
        <v>222</v>
      </c>
      <c r="J904" s="141" t="s">
        <v>222</v>
      </c>
      <c r="K904" s="141" t="s">
        <v>222</v>
      </c>
      <c r="L904" s="141" t="s">
        <v>222</v>
      </c>
      <c r="M904" s="141" t="s">
        <v>222</v>
      </c>
      <c r="N904" s="141" t="s">
        <v>222</v>
      </c>
      <c r="O904" s="141" t="s">
        <v>222</v>
      </c>
      <c r="P904" s="141" t="s">
        <v>222</v>
      </c>
      <c r="Q904" s="141" t="s">
        <v>222</v>
      </c>
      <c r="R904" s="141" t="s">
        <v>222</v>
      </c>
      <c r="S904" s="141" t="s">
        <v>222</v>
      </c>
      <c r="T904" s="141" t="s">
        <v>222</v>
      </c>
      <c r="U904" s="141" t="s">
        <v>222</v>
      </c>
      <c r="V904" s="141" t="s">
        <v>222</v>
      </c>
      <c r="W904" s="141"/>
      <c r="X904" s="141"/>
      <c r="Y904" s="141"/>
      <c r="Z904" s="141"/>
    </row>
    <row r="905">
      <c r="A905" s="141"/>
      <c r="B905" s="141" t="s">
        <v>222</v>
      </c>
      <c r="C905" s="141" t="s">
        <v>222</v>
      </c>
      <c r="D905" s="141" t="s">
        <v>222</v>
      </c>
      <c r="E905" s="141" t="s">
        <v>222</v>
      </c>
      <c r="F905" s="141" t="s">
        <v>222</v>
      </c>
      <c r="G905" s="141" t="s">
        <v>222</v>
      </c>
      <c r="H905" s="141" t="s">
        <v>222</v>
      </c>
      <c r="I905" s="141" t="s">
        <v>222</v>
      </c>
      <c r="J905" s="141" t="s">
        <v>222</v>
      </c>
      <c r="K905" s="141" t="s">
        <v>222</v>
      </c>
      <c r="L905" s="141" t="s">
        <v>222</v>
      </c>
      <c r="M905" s="141" t="s">
        <v>222</v>
      </c>
      <c r="N905" s="141" t="s">
        <v>222</v>
      </c>
      <c r="O905" s="141" t="s">
        <v>222</v>
      </c>
      <c r="P905" s="141" t="s">
        <v>222</v>
      </c>
      <c r="Q905" s="141" t="s">
        <v>222</v>
      </c>
      <c r="R905" s="141" t="s">
        <v>222</v>
      </c>
      <c r="S905" s="141" t="s">
        <v>222</v>
      </c>
      <c r="T905" s="141" t="s">
        <v>222</v>
      </c>
      <c r="U905" s="141" t="s">
        <v>222</v>
      </c>
      <c r="V905" s="141" t="s">
        <v>222</v>
      </c>
      <c r="W905" s="141"/>
      <c r="X905" s="141"/>
      <c r="Y905" s="141"/>
      <c r="Z905" s="141"/>
    </row>
    <row r="906">
      <c r="A906" s="141"/>
      <c r="B906" s="141" t="s">
        <v>222</v>
      </c>
      <c r="C906" s="141" t="s">
        <v>222</v>
      </c>
      <c r="D906" s="141" t="s">
        <v>222</v>
      </c>
      <c r="E906" s="141" t="s">
        <v>222</v>
      </c>
      <c r="F906" s="141" t="s">
        <v>222</v>
      </c>
      <c r="G906" s="141" t="s">
        <v>222</v>
      </c>
      <c r="H906" s="141" t="s">
        <v>222</v>
      </c>
      <c r="I906" s="141" t="s">
        <v>222</v>
      </c>
      <c r="J906" s="141" t="s">
        <v>222</v>
      </c>
      <c r="K906" s="141" t="s">
        <v>222</v>
      </c>
      <c r="L906" s="141" t="s">
        <v>222</v>
      </c>
      <c r="M906" s="141" t="s">
        <v>222</v>
      </c>
      <c r="N906" s="141" t="s">
        <v>222</v>
      </c>
      <c r="O906" s="141" t="s">
        <v>222</v>
      </c>
      <c r="P906" s="141" t="s">
        <v>222</v>
      </c>
      <c r="Q906" s="141" t="s">
        <v>222</v>
      </c>
      <c r="R906" s="141" t="s">
        <v>222</v>
      </c>
      <c r="S906" s="141" t="s">
        <v>222</v>
      </c>
      <c r="T906" s="141" t="s">
        <v>222</v>
      </c>
      <c r="U906" s="141" t="s">
        <v>222</v>
      </c>
      <c r="V906" s="141" t="s">
        <v>222</v>
      </c>
      <c r="W906" s="141"/>
      <c r="X906" s="141"/>
      <c r="Y906" s="141"/>
      <c r="Z906" s="141"/>
    </row>
    <row r="907">
      <c r="A907" s="141"/>
      <c r="B907" s="141" t="s">
        <v>222</v>
      </c>
      <c r="C907" s="141" t="s">
        <v>222</v>
      </c>
      <c r="D907" s="141" t="s">
        <v>222</v>
      </c>
      <c r="E907" s="141" t="s">
        <v>222</v>
      </c>
      <c r="F907" s="141" t="s">
        <v>222</v>
      </c>
      <c r="G907" s="141" t="s">
        <v>222</v>
      </c>
      <c r="H907" s="141" t="s">
        <v>222</v>
      </c>
      <c r="I907" s="141" t="s">
        <v>222</v>
      </c>
      <c r="J907" s="141" t="s">
        <v>222</v>
      </c>
      <c r="K907" s="141" t="s">
        <v>222</v>
      </c>
      <c r="L907" s="141" t="s">
        <v>222</v>
      </c>
      <c r="M907" s="141" t="s">
        <v>222</v>
      </c>
      <c r="N907" s="141" t="s">
        <v>222</v>
      </c>
      <c r="O907" s="141" t="s">
        <v>222</v>
      </c>
      <c r="P907" s="141" t="s">
        <v>222</v>
      </c>
      <c r="Q907" s="141" t="s">
        <v>222</v>
      </c>
      <c r="R907" s="141" t="s">
        <v>222</v>
      </c>
      <c r="S907" s="141" t="s">
        <v>222</v>
      </c>
      <c r="T907" s="141" t="s">
        <v>222</v>
      </c>
      <c r="U907" s="141" t="s">
        <v>222</v>
      </c>
      <c r="V907" s="141" t="s">
        <v>222</v>
      </c>
      <c r="W907" s="141"/>
      <c r="X907" s="141"/>
      <c r="Y907" s="141"/>
      <c r="Z907" s="141"/>
    </row>
    <row r="908">
      <c r="A908" s="141"/>
      <c r="B908" s="141" t="s">
        <v>222</v>
      </c>
      <c r="C908" s="141" t="s">
        <v>222</v>
      </c>
      <c r="D908" s="141" t="s">
        <v>222</v>
      </c>
      <c r="E908" s="141" t="s">
        <v>222</v>
      </c>
      <c r="F908" s="141" t="s">
        <v>222</v>
      </c>
      <c r="G908" s="141" t="s">
        <v>222</v>
      </c>
      <c r="H908" s="141" t="s">
        <v>222</v>
      </c>
      <c r="I908" s="141" t="s">
        <v>222</v>
      </c>
      <c r="J908" s="141" t="s">
        <v>222</v>
      </c>
      <c r="K908" s="141" t="s">
        <v>222</v>
      </c>
      <c r="L908" s="141" t="s">
        <v>222</v>
      </c>
      <c r="M908" s="141" t="s">
        <v>222</v>
      </c>
      <c r="N908" s="141" t="s">
        <v>222</v>
      </c>
      <c r="O908" s="141" t="s">
        <v>222</v>
      </c>
      <c r="P908" s="141" t="s">
        <v>222</v>
      </c>
      <c r="Q908" s="141" t="s">
        <v>222</v>
      </c>
      <c r="R908" s="141" t="s">
        <v>222</v>
      </c>
      <c r="S908" s="141" t="s">
        <v>222</v>
      </c>
      <c r="T908" s="141" t="s">
        <v>222</v>
      </c>
      <c r="U908" s="141" t="s">
        <v>222</v>
      </c>
      <c r="V908" s="141" t="s">
        <v>222</v>
      </c>
      <c r="W908" s="141"/>
      <c r="X908" s="141"/>
      <c r="Y908" s="141"/>
      <c r="Z908" s="141"/>
    </row>
    <row r="909">
      <c r="A909" s="141"/>
      <c r="B909" s="141" t="s">
        <v>222</v>
      </c>
      <c r="C909" s="141" t="s">
        <v>222</v>
      </c>
      <c r="D909" s="141" t="s">
        <v>222</v>
      </c>
      <c r="E909" s="141" t="s">
        <v>222</v>
      </c>
      <c r="F909" s="141" t="s">
        <v>222</v>
      </c>
      <c r="G909" s="141" t="s">
        <v>222</v>
      </c>
      <c r="H909" s="141" t="s">
        <v>222</v>
      </c>
      <c r="I909" s="141" t="s">
        <v>222</v>
      </c>
      <c r="J909" s="141" t="s">
        <v>222</v>
      </c>
      <c r="K909" s="141" t="s">
        <v>222</v>
      </c>
      <c r="L909" s="141" t="s">
        <v>222</v>
      </c>
      <c r="M909" s="141" t="s">
        <v>222</v>
      </c>
      <c r="N909" s="141" t="s">
        <v>222</v>
      </c>
      <c r="O909" s="141" t="s">
        <v>222</v>
      </c>
      <c r="P909" s="141" t="s">
        <v>222</v>
      </c>
      <c r="Q909" s="141" t="s">
        <v>222</v>
      </c>
      <c r="R909" s="141" t="s">
        <v>222</v>
      </c>
      <c r="S909" s="141" t="s">
        <v>222</v>
      </c>
      <c r="T909" s="141" t="s">
        <v>222</v>
      </c>
      <c r="U909" s="141" t="s">
        <v>222</v>
      </c>
      <c r="V909" s="141" t="s">
        <v>222</v>
      </c>
      <c r="W909" s="141"/>
      <c r="X909" s="141"/>
      <c r="Y909" s="141"/>
      <c r="Z909" s="141"/>
    </row>
    <row r="910">
      <c r="A910" s="141"/>
      <c r="B910" s="141" t="s">
        <v>222</v>
      </c>
      <c r="C910" s="141" t="s">
        <v>222</v>
      </c>
      <c r="D910" s="141" t="s">
        <v>222</v>
      </c>
      <c r="E910" s="141" t="s">
        <v>222</v>
      </c>
      <c r="F910" s="141" t="s">
        <v>222</v>
      </c>
      <c r="G910" s="141" t="s">
        <v>222</v>
      </c>
      <c r="H910" s="141" t="s">
        <v>222</v>
      </c>
      <c r="I910" s="141" t="s">
        <v>222</v>
      </c>
      <c r="J910" s="141" t="s">
        <v>222</v>
      </c>
      <c r="K910" s="141" t="s">
        <v>222</v>
      </c>
      <c r="L910" s="141" t="s">
        <v>222</v>
      </c>
      <c r="M910" s="141" t="s">
        <v>222</v>
      </c>
      <c r="N910" s="141" t="s">
        <v>222</v>
      </c>
      <c r="O910" s="141" t="s">
        <v>222</v>
      </c>
      <c r="P910" s="141" t="s">
        <v>222</v>
      </c>
      <c r="Q910" s="141" t="s">
        <v>222</v>
      </c>
      <c r="R910" s="141" t="s">
        <v>222</v>
      </c>
      <c r="S910" s="141" t="s">
        <v>222</v>
      </c>
      <c r="T910" s="141" t="s">
        <v>222</v>
      </c>
      <c r="U910" s="141" t="s">
        <v>222</v>
      </c>
      <c r="V910" s="141" t="s">
        <v>222</v>
      </c>
      <c r="W910" s="141"/>
      <c r="X910" s="141"/>
      <c r="Y910" s="141"/>
      <c r="Z910" s="141"/>
    </row>
    <row r="911">
      <c r="A911" s="141"/>
      <c r="B911" s="141" t="s">
        <v>222</v>
      </c>
      <c r="C911" s="141" t="s">
        <v>222</v>
      </c>
      <c r="D911" s="141" t="s">
        <v>222</v>
      </c>
      <c r="E911" s="141" t="s">
        <v>222</v>
      </c>
      <c r="F911" s="141" t="s">
        <v>222</v>
      </c>
      <c r="G911" s="141" t="s">
        <v>222</v>
      </c>
      <c r="H911" s="141" t="s">
        <v>222</v>
      </c>
      <c r="I911" s="141" t="s">
        <v>222</v>
      </c>
      <c r="J911" s="141" t="s">
        <v>222</v>
      </c>
      <c r="K911" s="141" t="s">
        <v>222</v>
      </c>
      <c r="L911" s="141" t="s">
        <v>222</v>
      </c>
      <c r="M911" s="141" t="s">
        <v>222</v>
      </c>
      <c r="N911" s="141" t="s">
        <v>222</v>
      </c>
      <c r="O911" s="141" t="s">
        <v>222</v>
      </c>
      <c r="P911" s="141" t="s">
        <v>222</v>
      </c>
      <c r="Q911" s="141" t="s">
        <v>222</v>
      </c>
      <c r="R911" s="141" t="s">
        <v>222</v>
      </c>
      <c r="S911" s="141" t="s">
        <v>222</v>
      </c>
      <c r="T911" s="141" t="s">
        <v>222</v>
      </c>
      <c r="U911" s="141" t="s">
        <v>222</v>
      </c>
      <c r="V911" s="141" t="s">
        <v>222</v>
      </c>
      <c r="W911" s="141"/>
      <c r="X911" s="141"/>
      <c r="Y911" s="141"/>
      <c r="Z911" s="141"/>
    </row>
    <row r="912">
      <c r="A912" s="141"/>
      <c r="B912" s="141" t="s">
        <v>222</v>
      </c>
      <c r="C912" s="141" t="s">
        <v>222</v>
      </c>
      <c r="D912" s="141" t="s">
        <v>222</v>
      </c>
      <c r="E912" s="141" t="s">
        <v>222</v>
      </c>
      <c r="F912" s="141" t="s">
        <v>222</v>
      </c>
      <c r="G912" s="141" t="s">
        <v>222</v>
      </c>
      <c r="H912" s="141" t="s">
        <v>222</v>
      </c>
      <c r="I912" s="141" t="s">
        <v>222</v>
      </c>
      <c r="J912" s="141" t="s">
        <v>222</v>
      </c>
      <c r="K912" s="141" t="s">
        <v>222</v>
      </c>
      <c r="L912" s="141" t="s">
        <v>222</v>
      </c>
      <c r="M912" s="141" t="s">
        <v>222</v>
      </c>
      <c r="N912" s="141" t="s">
        <v>222</v>
      </c>
      <c r="O912" s="141" t="s">
        <v>222</v>
      </c>
      <c r="P912" s="141" t="s">
        <v>222</v>
      </c>
      <c r="Q912" s="141" t="s">
        <v>222</v>
      </c>
      <c r="R912" s="141" t="s">
        <v>222</v>
      </c>
      <c r="S912" s="141" t="s">
        <v>222</v>
      </c>
      <c r="T912" s="141" t="s">
        <v>222</v>
      </c>
      <c r="U912" s="141" t="s">
        <v>222</v>
      </c>
      <c r="V912" s="141" t="s">
        <v>222</v>
      </c>
      <c r="W912" s="141"/>
      <c r="X912" s="141"/>
      <c r="Y912" s="141"/>
      <c r="Z912" s="141"/>
    </row>
    <row r="913">
      <c r="A913" s="141"/>
      <c r="B913" s="141" t="s">
        <v>222</v>
      </c>
      <c r="C913" s="141" t="s">
        <v>222</v>
      </c>
      <c r="D913" s="141" t="s">
        <v>222</v>
      </c>
      <c r="E913" s="141" t="s">
        <v>222</v>
      </c>
      <c r="F913" s="141" t="s">
        <v>222</v>
      </c>
      <c r="G913" s="141" t="s">
        <v>222</v>
      </c>
      <c r="H913" s="141" t="s">
        <v>222</v>
      </c>
      <c r="I913" s="141" t="s">
        <v>222</v>
      </c>
      <c r="J913" s="141" t="s">
        <v>222</v>
      </c>
      <c r="K913" s="141" t="s">
        <v>222</v>
      </c>
      <c r="L913" s="141" t="s">
        <v>222</v>
      </c>
      <c r="M913" s="141" t="s">
        <v>222</v>
      </c>
      <c r="N913" s="141" t="s">
        <v>222</v>
      </c>
      <c r="O913" s="141" t="s">
        <v>222</v>
      </c>
      <c r="P913" s="141" t="s">
        <v>222</v>
      </c>
      <c r="Q913" s="141" t="s">
        <v>222</v>
      </c>
      <c r="R913" s="141" t="s">
        <v>222</v>
      </c>
      <c r="S913" s="141" t="s">
        <v>222</v>
      </c>
      <c r="T913" s="141" t="s">
        <v>222</v>
      </c>
      <c r="U913" s="141" t="s">
        <v>222</v>
      </c>
      <c r="V913" s="141" t="s">
        <v>222</v>
      </c>
      <c r="W913" s="141"/>
      <c r="X913" s="141"/>
      <c r="Y913" s="141"/>
      <c r="Z913" s="141"/>
    </row>
    <row r="914">
      <c r="A914" s="141"/>
      <c r="B914" s="141" t="s">
        <v>222</v>
      </c>
      <c r="C914" s="141" t="s">
        <v>222</v>
      </c>
      <c r="D914" s="141" t="s">
        <v>222</v>
      </c>
      <c r="E914" s="141" t="s">
        <v>222</v>
      </c>
      <c r="F914" s="141" t="s">
        <v>222</v>
      </c>
      <c r="G914" s="141" t="s">
        <v>222</v>
      </c>
      <c r="H914" s="141" t="s">
        <v>222</v>
      </c>
      <c r="I914" s="141" t="s">
        <v>222</v>
      </c>
      <c r="J914" s="141" t="s">
        <v>222</v>
      </c>
      <c r="K914" s="141" t="s">
        <v>222</v>
      </c>
      <c r="L914" s="141" t="s">
        <v>222</v>
      </c>
      <c r="M914" s="141" t="s">
        <v>222</v>
      </c>
      <c r="N914" s="141" t="s">
        <v>222</v>
      </c>
      <c r="O914" s="141" t="s">
        <v>222</v>
      </c>
      <c r="P914" s="141" t="s">
        <v>222</v>
      </c>
      <c r="Q914" s="141" t="s">
        <v>222</v>
      </c>
      <c r="R914" s="141" t="s">
        <v>222</v>
      </c>
      <c r="S914" s="141" t="s">
        <v>222</v>
      </c>
      <c r="T914" s="141" t="s">
        <v>222</v>
      </c>
      <c r="U914" s="141" t="s">
        <v>222</v>
      </c>
      <c r="V914" s="141" t="s">
        <v>222</v>
      </c>
      <c r="W914" s="141"/>
      <c r="X914" s="141"/>
      <c r="Y914" s="141"/>
      <c r="Z914" s="141"/>
    </row>
    <row r="915">
      <c r="A915" s="141"/>
      <c r="B915" s="141" t="s">
        <v>222</v>
      </c>
      <c r="C915" s="141" t="s">
        <v>222</v>
      </c>
      <c r="D915" s="141" t="s">
        <v>222</v>
      </c>
      <c r="E915" s="141" t="s">
        <v>222</v>
      </c>
      <c r="F915" s="141" t="s">
        <v>222</v>
      </c>
      <c r="G915" s="141" t="s">
        <v>222</v>
      </c>
      <c r="H915" s="141" t="s">
        <v>222</v>
      </c>
      <c r="I915" s="141" t="s">
        <v>222</v>
      </c>
      <c r="J915" s="141" t="s">
        <v>222</v>
      </c>
      <c r="K915" s="141" t="s">
        <v>222</v>
      </c>
      <c r="L915" s="141" t="s">
        <v>222</v>
      </c>
      <c r="M915" s="141" t="s">
        <v>222</v>
      </c>
      <c r="N915" s="141" t="s">
        <v>222</v>
      </c>
      <c r="O915" s="141" t="s">
        <v>222</v>
      </c>
      <c r="P915" s="141" t="s">
        <v>222</v>
      </c>
      <c r="Q915" s="141" t="s">
        <v>222</v>
      </c>
      <c r="R915" s="141" t="s">
        <v>222</v>
      </c>
      <c r="S915" s="141" t="s">
        <v>222</v>
      </c>
      <c r="T915" s="141" t="s">
        <v>222</v>
      </c>
      <c r="U915" s="141" t="s">
        <v>222</v>
      </c>
      <c r="V915" s="141" t="s">
        <v>222</v>
      </c>
      <c r="W915" s="141"/>
      <c r="X915" s="141"/>
      <c r="Y915" s="141"/>
      <c r="Z915" s="141"/>
    </row>
    <row r="916">
      <c r="A916" s="141"/>
      <c r="B916" s="141" t="s">
        <v>222</v>
      </c>
      <c r="C916" s="141" t="s">
        <v>222</v>
      </c>
      <c r="D916" s="141" t="s">
        <v>222</v>
      </c>
      <c r="E916" s="141" t="s">
        <v>222</v>
      </c>
      <c r="F916" s="141" t="s">
        <v>222</v>
      </c>
      <c r="G916" s="141" t="s">
        <v>222</v>
      </c>
      <c r="H916" s="141" t="s">
        <v>222</v>
      </c>
      <c r="I916" s="141" t="s">
        <v>222</v>
      </c>
      <c r="J916" s="141" t="s">
        <v>222</v>
      </c>
      <c r="K916" s="141" t="s">
        <v>222</v>
      </c>
      <c r="L916" s="141" t="s">
        <v>222</v>
      </c>
      <c r="M916" s="141" t="s">
        <v>222</v>
      </c>
      <c r="N916" s="141" t="s">
        <v>222</v>
      </c>
      <c r="O916" s="141" t="s">
        <v>222</v>
      </c>
      <c r="P916" s="141" t="s">
        <v>222</v>
      </c>
      <c r="Q916" s="141" t="s">
        <v>222</v>
      </c>
      <c r="R916" s="141" t="s">
        <v>222</v>
      </c>
      <c r="S916" s="141" t="s">
        <v>222</v>
      </c>
      <c r="T916" s="141" t="s">
        <v>222</v>
      </c>
      <c r="U916" s="141" t="s">
        <v>222</v>
      </c>
      <c r="V916" s="141" t="s">
        <v>222</v>
      </c>
      <c r="W916" s="141"/>
      <c r="X916" s="141"/>
      <c r="Y916" s="141"/>
      <c r="Z916" s="141"/>
    </row>
    <row r="917">
      <c r="A917" s="141"/>
      <c r="B917" s="141" t="s">
        <v>222</v>
      </c>
      <c r="C917" s="141" t="s">
        <v>222</v>
      </c>
      <c r="D917" s="141" t="s">
        <v>222</v>
      </c>
      <c r="E917" s="141" t="s">
        <v>222</v>
      </c>
      <c r="F917" s="141" t="s">
        <v>222</v>
      </c>
      <c r="G917" s="141" t="s">
        <v>222</v>
      </c>
      <c r="H917" s="141" t="s">
        <v>222</v>
      </c>
      <c r="I917" s="141" t="s">
        <v>222</v>
      </c>
      <c r="J917" s="141" t="s">
        <v>222</v>
      </c>
      <c r="K917" s="141" t="s">
        <v>222</v>
      </c>
      <c r="L917" s="141" t="s">
        <v>222</v>
      </c>
      <c r="M917" s="141" t="s">
        <v>222</v>
      </c>
      <c r="N917" s="141" t="s">
        <v>222</v>
      </c>
      <c r="O917" s="141" t="s">
        <v>222</v>
      </c>
      <c r="P917" s="141" t="s">
        <v>222</v>
      </c>
      <c r="Q917" s="141" t="s">
        <v>222</v>
      </c>
      <c r="R917" s="141" t="s">
        <v>222</v>
      </c>
      <c r="S917" s="141" t="s">
        <v>222</v>
      </c>
      <c r="T917" s="141" t="s">
        <v>222</v>
      </c>
      <c r="U917" s="141" t="s">
        <v>222</v>
      </c>
      <c r="V917" s="141" t="s">
        <v>222</v>
      </c>
      <c r="W917" s="141"/>
      <c r="X917" s="141"/>
      <c r="Y917" s="141"/>
      <c r="Z917" s="141"/>
    </row>
    <row r="918">
      <c r="A918" s="141"/>
      <c r="B918" s="141" t="s">
        <v>222</v>
      </c>
      <c r="C918" s="141" t="s">
        <v>222</v>
      </c>
      <c r="D918" s="141" t="s">
        <v>222</v>
      </c>
      <c r="E918" s="141" t="s">
        <v>222</v>
      </c>
      <c r="F918" s="141" t="s">
        <v>222</v>
      </c>
      <c r="G918" s="141" t="s">
        <v>222</v>
      </c>
      <c r="H918" s="141" t="s">
        <v>222</v>
      </c>
      <c r="I918" s="141" t="s">
        <v>222</v>
      </c>
      <c r="J918" s="141" t="s">
        <v>222</v>
      </c>
      <c r="K918" s="141" t="s">
        <v>222</v>
      </c>
      <c r="L918" s="141" t="s">
        <v>222</v>
      </c>
      <c r="M918" s="141" t="s">
        <v>222</v>
      </c>
      <c r="N918" s="141" t="s">
        <v>222</v>
      </c>
      <c r="O918" s="141" t="s">
        <v>222</v>
      </c>
      <c r="P918" s="141" t="s">
        <v>222</v>
      </c>
      <c r="Q918" s="141" t="s">
        <v>222</v>
      </c>
      <c r="R918" s="141" t="s">
        <v>222</v>
      </c>
      <c r="S918" s="141" t="s">
        <v>222</v>
      </c>
      <c r="T918" s="141" t="s">
        <v>222</v>
      </c>
      <c r="U918" s="141" t="s">
        <v>222</v>
      </c>
      <c r="V918" s="141" t="s">
        <v>222</v>
      </c>
      <c r="W918" s="141"/>
      <c r="X918" s="141"/>
      <c r="Y918" s="141"/>
      <c r="Z918" s="141"/>
    </row>
    <row r="919">
      <c r="A919" s="141"/>
      <c r="B919" s="141" t="s">
        <v>222</v>
      </c>
      <c r="C919" s="141" t="s">
        <v>222</v>
      </c>
      <c r="D919" s="141" t="s">
        <v>222</v>
      </c>
      <c r="E919" s="141" t="s">
        <v>222</v>
      </c>
      <c r="F919" s="141" t="s">
        <v>222</v>
      </c>
      <c r="G919" s="141" t="s">
        <v>222</v>
      </c>
      <c r="H919" s="141" t="s">
        <v>222</v>
      </c>
      <c r="I919" s="141" t="s">
        <v>222</v>
      </c>
      <c r="J919" s="141" t="s">
        <v>222</v>
      </c>
      <c r="K919" s="141" t="s">
        <v>222</v>
      </c>
      <c r="L919" s="141" t="s">
        <v>222</v>
      </c>
      <c r="M919" s="141" t="s">
        <v>222</v>
      </c>
      <c r="N919" s="141" t="s">
        <v>222</v>
      </c>
      <c r="O919" s="141" t="s">
        <v>222</v>
      </c>
      <c r="P919" s="141" t="s">
        <v>222</v>
      </c>
      <c r="Q919" s="141" t="s">
        <v>222</v>
      </c>
      <c r="R919" s="141" t="s">
        <v>222</v>
      </c>
      <c r="S919" s="141" t="s">
        <v>222</v>
      </c>
      <c r="T919" s="141" t="s">
        <v>222</v>
      </c>
      <c r="U919" s="141" t="s">
        <v>222</v>
      </c>
      <c r="V919" s="141" t="s">
        <v>222</v>
      </c>
      <c r="W919" s="141"/>
      <c r="X919" s="141"/>
      <c r="Y919" s="141"/>
      <c r="Z919" s="141"/>
    </row>
    <row r="920">
      <c r="A920" s="141"/>
      <c r="B920" s="141" t="s">
        <v>222</v>
      </c>
      <c r="C920" s="141" t="s">
        <v>222</v>
      </c>
      <c r="D920" s="141" t="s">
        <v>222</v>
      </c>
      <c r="E920" s="141" t="s">
        <v>222</v>
      </c>
      <c r="F920" s="141" t="s">
        <v>222</v>
      </c>
      <c r="G920" s="141" t="s">
        <v>222</v>
      </c>
      <c r="H920" s="141" t="s">
        <v>222</v>
      </c>
      <c r="I920" s="141" t="s">
        <v>222</v>
      </c>
      <c r="J920" s="141" t="s">
        <v>222</v>
      </c>
      <c r="K920" s="141" t="s">
        <v>222</v>
      </c>
      <c r="L920" s="141" t="s">
        <v>222</v>
      </c>
      <c r="M920" s="141" t="s">
        <v>222</v>
      </c>
      <c r="N920" s="141" t="s">
        <v>222</v>
      </c>
      <c r="O920" s="141" t="s">
        <v>222</v>
      </c>
      <c r="P920" s="141" t="s">
        <v>222</v>
      </c>
      <c r="Q920" s="141" t="s">
        <v>222</v>
      </c>
      <c r="R920" s="141" t="s">
        <v>222</v>
      </c>
      <c r="S920" s="141" t="s">
        <v>222</v>
      </c>
      <c r="T920" s="141" t="s">
        <v>222</v>
      </c>
      <c r="U920" s="141" t="s">
        <v>222</v>
      </c>
      <c r="V920" s="141" t="s">
        <v>222</v>
      </c>
      <c r="W920" s="141"/>
      <c r="X920" s="141"/>
      <c r="Y920" s="141"/>
      <c r="Z920" s="141"/>
    </row>
    <row r="921">
      <c r="A921" s="141"/>
      <c r="B921" s="141" t="s">
        <v>222</v>
      </c>
      <c r="C921" s="141" t="s">
        <v>222</v>
      </c>
      <c r="D921" s="141" t="s">
        <v>222</v>
      </c>
      <c r="E921" s="141" t="s">
        <v>222</v>
      </c>
      <c r="F921" s="141" t="s">
        <v>222</v>
      </c>
      <c r="G921" s="141" t="s">
        <v>222</v>
      </c>
      <c r="H921" s="141" t="s">
        <v>222</v>
      </c>
      <c r="I921" s="141" t="s">
        <v>222</v>
      </c>
      <c r="J921" s="141" t="s">
        <v>222</v>
      </c>
      <c r="K921" s="141" t="s">
        <v>222</v>
      </c>
      <c r="L921" s="141" t="s">
        <v>222</v>
      </c>
      <c r="M921" s="141" t="s">
        <v>222</v>
      </c>
      <c r="N921" s="141" t="s">
        <v>222</v>
      </c>
      <c r="O921" s="141" t="s">
        <v>222</v>
      </c>
      <c r="P921" s="141" t="s">
        <v>222</v>
      </c>
      <c r="Q921" s="141" t="s">
        <v>222</v>
      </c>
      <c r="R921" s="141" t="s">
        <v>222</v>
      </c>
      <c r="S921" s="141" t="s">
        <v>222</v>
      </c>
      <c r="T921" s="141" t="s">
        <v>222</v>
      </c>
      <c r="U921" s="141" t="s">
        <v>222</v>
      </c>
      <c r="V921" s="141" t="s">
        <v>222</v>
      </c>
      <c r="W921" s="141"/>
      <c r="X921" s="141"/>
      <c r="Y921" s="141"/>
      <c r="Z921" s="141"/>
    </row>
    <row r="922">
      <c r="A922" s="141"/>
      <c r="B922" s="141" t="s">
        <v>222</v>
      </c>
      <c r="C922" s="141" t="s">
        <v>222</v>
      </c>
      <c r="D922" s="141" t="s">
        <v>222</v>
      </c>
      <c r="E922" s="141" t="s">
        <v>222</v>
      </c>
      <c r="F922" s="141" t="s">
        <v>222</v>
      </c>
      <c r="G922" s="141" t="s">
        <v>222</v>
      </c>
      <c r="H922" s="141" t="s">
        <v>222</v>
      </c>
      <c r="I922" s="141" t="s">
        <v>222</v>
      </c>
      <c r="J922" s="141" t="s">
        <v>222</v>
      </c>
      <c r="K922" s="141" t="s">
        <v>222</v>
      </c>
      <c r="L922" s="141" t="s">
        <v>222</v>
      </c>
      <c r="M922" s="141" t="s">
        <v>222</v>
      </c>
      <c r="N922" s="141" t="s">
        <v>222</v>
      </c>
      <c r="O922" s="141" t="s">
        <v>222</v>
      </c>
      <c r="P922" s="141" t="s">
        <v>222</v>
      </c>
      <c r="Q922" s="141" t="s">
        <v>222</v>
      </c>
      <c r="R922" s="141" t="s">
        <v>222</v>
      </c>
      <c r="S922" s="141" t="s">
        <v>222</v>
      </c>
      <c r="T922" s="141" t="s">
        <v>222</v>
      </c>
      <c r="U922" s="141" t="s">
        <v>222</v>
      </c>
      <c r="V922" s="141" t="s">
        <v>222</v>
      </c>
      <c r="W922" s="141"/>
      <c r="X922" s="141"/>
      <c r="Y922" s="141"/>
      <c r="Z922" s="141"/>
    </row>
    <row r="923">
      <c r="A923" s="141"/>
      <c r="B923" s="141" t="s">
        <v>222</v>
      </c>
      <c r="C923" s="141" t="s">
        <v>222</v>
      </c>
      <c r="D923" s="141" t="s">
        <v>222</v>
      </c>
      <c r="E923" s="141" t="s">
        <v>222</v>
      </c>
      <c r="F923" s="141" t="s">
        <v>222</v>
      </c>
      <c r="G923" s="141" t="s">
        <v>222</v>
      </c>
      <c r="H923" s="141" t="s">
        <v>222</v>
      </c>
      <c r="I923" s="141" t="s">
        <v>222</v>
      </c>
      <c r="J923" s="141" t="s">
        <v>222</v>
      </c>
      <c r="K923" s="141" t="s">
        <v>222</v>
      </c>
      <c r="L923" s="141" t="s">
        <v>222</v>
      </c>
      <c r="M923" s="141" t="s">
        <v>222</v>
      </c>
      <c r="N923" s="141" t="s">
        <v>222</v>
      </c>
      <c r="O923" s="141" t="s">
        <v>222</v>
      </c>
      <c r="P923" s="141" t="s">
        <v>222</v>
      </c>
      <c r="Q923" s="141" t="s">
        <v>222</v>
      </c>
      <c r="R923" s="141" t="s">
        <v>222</v>
      </c>
      <c r="S923" s="141" t="s">
        <v>222</v>
      </c>
      <c r="T923" s="141" t="s">
        <v>222</v>
      </c>
      <c r="U923" s="141" t="s">
        <v>222</v>
      </c>
      <c r="V923" s="141" t="s">
        <v>222</v>
      </c>
      <c r="W923" s="141"/>
      <c r="X923" s="141"/>
      <c r="Y923" s="141"/>
      <c r="Z923" s="141"/>
    </row>
    <row r="924">
      <c r="A924" s="141"/>
      <c r="B924" s="141" t="s">
        <v>222</v>
      </c>
      <c r="C924" s="141" t="s">
        <v>222</v>
      </c>
      <c r="D924" s="141" t="s">
        <v>222</v>
      </c>
      <c r="E924" s="141" t="s">
        <v>222</v>
      </c>
      <c r="F924" s="141" t="s">
        <v>222</v>
      </c>
      <c r="G924" s="141" t="s">
        <v>222</v>
      </c>
      <c r="H924" s="141" t="s">
        <v>222</v>
      </c>
      <c r="I924" s="141" t="s">
        <v>222</v>
      </c>
      <c r="J924" s="141" t="s">
        <v>222</v>
      </c>
      <c r="K924" s="141" t="s">
        <v>222</v>
      </c>
      <c r="L924" s="141" t="s">
        <v>222</v>
      </c>
      <c r="M924" s="141" t="s">
        <v>222</v>
      </c>
      <c r="N924" s="141" t="s">
        <v>222</v>
      </c>
      <c r="O924" s="141" t="s">
        <v>222</v>
      </c>
      <c r="P924" s="141" t="s">
        <v>222</v>
      </c>
      <c r="Q924" s="141" t="s">
        <v>222</v>
      </c>
      <c r="R924" s="141" t="s">
        <v>222</v>
      </c>
      <c r="S924" s="141" t="s">
        <v>222</v>
      </c>
      <c r="T924" s="141" t="s">
        <v>222</v>
      </c>
      <c r="U924" s="141" t="s">
        <v>222</v>
      </c>
      <c r="V924" s="141" t="s">
        <v>222</v>
      </c>
      <c r="W924" s="141"/>
      <c r="X924" s="141"/>
      <c r="Y924" s="141"/>
      <c r="Z924" s="141"/>
    </row>
    <row r="925">
      <c r="A925" s="141"/>
      <c r="B925" s="141" t="s">
        <v>222</v>
      </c>
      <c r="C925" s="141" t="s">
        <v>222</v>
      </c>
      <c r="D925" s="141" t="s">
        <v>222</v>
      </c>
      <c r="E925" s="141" t="s">
        <v>222</v>
      </c>
      <c r="F925" s="141" t="s">
        <v>222</v>
      </c>
      <c r="G925" s="141" t="s">
        <v>222</v>
      </c>
      <c r="H925" s="141" t="s">
        <v>222</v>
      </c>
      <c r="I925" s="141" t="s">
        <v>222</v>
      </c>
      <c r="J925" s="141" t="s">
        <v>222</v>
      </c>
      <c r="K925" s="141" t="s">
        <v>222</v>
      </c>
      <c r="L925" s="141" t="s">
        <v>222</v>
      </c>
      <c r="M925" s="141" t="s">
        <v>222</v>
      </c>
      <c r="N925" s="141" t="s">
        <v>222</v>
      </c>
      <c r="O925" s="141" t="s">
        <v>222</v>
      </c>
      <c r="P925" s="141" t="s">
        <v>222</v>
      </c>
      <c r="Q925" s="141" t="s">
        <v>222</v>
      </c>
      <c r="R925" s="141" t="s">
        <v>222</v>
      </c>
      <c r="S925" s="141" t="s">
        <v>222</v>
      </c>
      <c r="T925" s="141" t="s">
        <v>222</v>
      </c>
      <c r="U925" s="141" t="s">
        <v>222</v>
      </c>
      <c r="V925" s="141" t="s">
        <v>222</v>
      </c>
      <c r="W925" s="141"/>
      <c r="X925" s="141"/>
      <c r="Y925" s="141"/>
      <c r="Z925" s="141"/>
    </row>
    <row r="926">
      <c r="A926" s="141"/>
      <c r="B926" s="141" t="s">
        <v>222</v>
      </c>
      <c r="C926" s="141" t="s">
        <v>222</v>
      </c>
      <c r="D926" s="141" t="s">
        <v>222</v>
      </c>
      <c r="E926" s="141" t="s">
        <v>222</v>
      </c>
      <c r="F926" s="141" t="s">
        <v>222</v>
      </c>
      <c r="G926" s="141" t="s">
        <v>222</v>
      </c>
      <c r="H926" s="141" t="s">
        <v>222</v>
      </c>
      <c r="I926" s="141" t="s">
        <v>222</v>
      </c>
      <c r="J926" s="141" t="s">
        <v>222</v>
      </c>
      <c r="K926" s="141" t="s">
        <v>222</v>
      </c>
      <c r="L926" s="141" t="s">
        <v>222</v>
      </c>
      <c r="M926" s="141" t="s">
        <v>222</v>
      </c>
      <c r="N926" s="141" t="s">
        <v>222</v>
      </c>
      <c r="O926" s="141" t="s">
        <v>222</v>
      </c>
      <c r="P926" s="141" t="s">
        <v>222</v>
      </c>
      <c r="Q926" s="141" t="s">
        <v>222</v>
      </c>
      <c r="R926" s="141" t="s">
        <v>222</v>
      </c>
      <c r="S926" s="141" t="s">
        <v>222</v>
      </c>
      <c r="T926" s="141" t="s">
        <v>222</v>
      </c>
      <c r="U926" s="141" t="s">
        <v>222</v>
      </c>
      <c r="V926" s="141" t="s">
        <v>222</v>
      </c>
      <c r="W926" s="141"/>
      <c r="X926" s="141"/>
      <c r="Y926" s="141"/>
      <c r="Z926" s="141"/>
    </row>
    <row r="927">
      <c r="A927" s="141"/>
      <c r="B927" s="141" t="s">
        <v>222</v>
      </c>
      <c r="C927" s="141" t="s">
        <v>222</v>
      </c>
      <c r="D927" s="141" t="s">
        <v>222</v>
      </c>
      <c r="E927" s="141" t="s">
        <v>222</v>
      </c>
      <c r="F927" s="141" t="s">
        <v>222</v>
      </c>
      <c r="G927" s="141" t="s">
        <v>222</v>
      </c>
      <c r="H927" s="141" t="s">
        <v>222</v>
      </c>
      <c r="I927" s="141" t="s">
        <v>222</v>
      </c>
      <c r="J927" s="141" t="s">
        <v>222</v>
      </c>
      <c r="K927" s="141" t="s">
        <v>222</v>
      </c>
      <c r="L927" s="141" t="s">
        <v>222</v>
      </c>
      <c r="M927" s="141" t="s">
        <v>222</v>
      </c>
      <c r="N927" s="141" t="s">
        <v>222</v>
      </c>
      <c r="O927" s="141" t="s">
        <v>222</v>
      </c>
      <c r="P927" s="141" t="s">
        <v>222</v>
      </c>
      <c r="Q927" s="141" t="s">
        <v>222</v>
      </c>
      <c r="R927" s="141" t="s">
        <v>222</v>
      </c>
      <c r="S927" s="141" t="s">
        <v>222</v>
      </c>
      <c r="T927" s="141" t="s">
        <v>222</v>
      </c>
      <c r="U927" s="141" t="s">
        <v>222</v>
      </c>
      <c r="V927" s="141" t="s">
        <v>222</v>
      </c>
      <c r="W927" s="141"/>
      <c r="X927" s="141"/>
      <c r="Y927" s="141"/>
      <c r="Z927" s="141"/>
    </row>
    <row r="928">
      <c r="A928" s="141"/>
      <c r="B928" s="141" t="s">
        <v>222</v>
      </c>
      <c r="C928" s="141" t="s">
        <v>222</v>
      </c>
      <c r="D928" s="141" t="s">
        <v>222</v>
      </c>
      <c r="E928" s="141" t="s">
        <v>222</v>
      </c>
      <c r="F928" s="141" t="s">
        <v>222</v>
      </c>
      <c r="G928" s="141" t="s">
        <v>222</v>
      </c>
      <c r="H928" s="141" t="s">
        <v>222</v>
      </c>
      <c r="I928" s="141" t="s">
        <v>222</v>
      </c>
      <c r="J928" s="141" t="s">
        <v>222</v>
      </c>
      <c r="K928" s="141" t="s">
        <v>222</v>
      </c>
      <c r="L928" s="141" t="s">
        <v>222</v>
      </c>
      <c r="M928" s="141" t="s">
        <v>222</v>
      </c>
      <c r="N928" s="141" t="s">
        <v>222</v>
      </c>
      <c r="O928" s="141" t="s">
        <v>222</v>
      </c>
      <c r="P928" s="141" t="s">
        <v>222</v>
      </c>
      <c r="Q928" s="141" t="s">
        <v>222</v>
      </c>
      <c r="R928" s="141" t="s">
        <v>222</v>
      </c>
      <c r="S928" s="141" t="s">
        <v>222</v>
      </c>
      <c r="T928" s="141" t="s">
        <v>222</v>
      </c>
      <c r="U928" s="141" t="s">
        <v>222</v>
      </c>
      <c r="V928" s="141" t="s">
        <v>222</v>
      </c>
      <c r="W928" s="141"/>
      <c r="X928" s="141"/>
      <c r="Y928" s="141"/>
      <c r="Z928" s="141"/>
    </row>
    <row r="929">
      <c r="A929" s="141"/>
      <c r="B929" s="141" t="s">
        <v>222</v>
      </c>
      <c r="C929" s="141" t="s">
        <v>222</v>
      </c>
      <c r="D929" s="141" t="s">
        <v>222</v>
      </c>
      <c r="E929" s="141" t="s">
        <v>222</v>
      </c>
      <c r="F929" s="141" t="s">
        <v>222</v>
      </c>
      <c r="G929" s="141" t="s">
        <v>222</v>
      </c>
      <c r="H929" s="141" t="s">
        <v>222</v>
      </c>
      <c r="I929" s="141" t="s">
        <v>222</v>
      </c>
      <c r="J929" s="141" t="s">
        <v>222</v>
      </c>
      <c r="K929" s="141" t="s">
        <v>222</v>
      </c>
      <c r="L929" s="141" t="s">
        <v>222</v>
      </c>
      <c r="M929" s="141" t="s">
        <v>222</v>
      </c>
      <c r="N929" s="141" t="s">
        <v>222</v>
      </c>
      <c r="O929" s="141" t="s">
        <v>222</v>
      </c>
      <c r="P929" s="141" t="s">
        <v>222</v>
      </c>
      <c r="Q929" s="141" t="s">
        <v>222</v>
      </c>
      <c r="R929" s="141" t="s">
        <v>222</v>
      </c>
      <c r="S929" s="141" t="s">
        <v>222</v>
      </c>
      <c r="T929" s="141" t="s">
        <v>222</v>
      </c>
      <c r="U929" s="141" t="s">
        <v>222</v>
      </c>
      <c r="V929" s="141" t="s">
        <v>222</v>
      </c>
      <c r="W929" s="141"/>
      <c r="X929" s="141"/>
      <c r="Y929" s="141"/>
      <c r="Z929" s="141"/>
    </row>
    <row r="930">
      <c r="A930" s="141"/>
      <c r="B930" s="141" t="s">
        <v>222</v>
      </c>
      <c r="C930" s="141" t="s">
        <v>222</v>
      </c>
      <c r="D930" s="141" t="s">
        <v>222</v>
      </c>
      <c r="E930" s="141" t="s">
        <v>222</v>
      </c>
      <c r="F930" s="141" t="s">
        <v>222</v>
      </c>
      <c r="G930" s="141" t="s">
        <v>222</v>
      </c>
      <c r="H930" s="141" t="s">
        <v>222</v>
      </c>
      <c r="I930" s="141" t="s">
        <v>222</v>
      </c>
      <c r="J930" s="141" t="s">
        <v>222</v>
      </c>
      <c r="K930" s="141" t="s">
        <v>222</v>
      </c>
      <c r="L930" s="141" t="s">
        <v>222</v>
      </c>
      <c r="M930" s="141" t="s">
        <v>222</v>
      </c>
      <c r="N930" s="141" t="s">
        <v>222</v>
      </c>
      <c r="O930" s="141" t="s">
        <v>222</v>
      </c>
      <c r="P930" s="141" t="s">
        <v>222</v>
      </c>
      <c r="Q930" s="141" t="s">
        <v>222</v>
      </c>
      <c r="R930" s="141" t="s">
        <v>222</v>
      </c>
      <c r="S930" s="141" t="s">
        <v>222</v>
      </c>
      <c r="T930" s="141" t="s">
        <v>222</v>
      </c>
      <c r="U930" s="141" t="s">
        <v>222</v>
      </c>
      <c r="V930" s="141" t="s">
        <v>222</v>
      </c>
      <c r="W930" s="141"/>
      <c r="X930" s="141"/>
      <c r="Y930" s="141"/>
      <c r="Z930" s="141"/>
    </row>
    <row r="931">
      <c r="A931" s="141"/>
      <c r="B931" s="141" t="s">
        <v>222</v>
      </c>
      <c r="C931" s="141" t="s">
        <v>222</v>
      </c>
      <c r="D931" s="141" t="s">
        <v>222</v>
      </c>
      <c r="E931" s="141" t="s">
        <v>222</v>
      </c>
      <c r="F931" s="141" t="s">
        <v>222</v>
      </c>
      <c r="G931" s="141" t="s">
        <v>222</v>
      </c>
      <c r="H931" s="141" t="s">
        <v>222</v>
      </c>
      <c r="I931" s="141" t="s">
        <v>222</v>
      </c>
      <c r="J931" s="141" t="s">
        <v>222</v>
      </c>
      <c r="K931" s="141" t="s">
        <v>222</v>
      </c>
      <c r="L931" s="141" t="s">
        <v>222</v>
      </c>
      <c r="M931" s="141" t="s">
        <v>222</v>
      </c>
      <c r="N931" s="141" t="s">
        <v>222</v>
      </c>
      <c r="O931" s="141" t="s">
        <v>222</v>
      </c>
      <c r="P931" s="141" t="s">
        <v>222</v>
      </c>
      <c r="Q931" s="141" t="s">
        <v>222</v>
      </c>
      <c r="R931" s="141" t="s">
        <v>222</v>
      </c>
      <c r="S931" s="141" t="s">
        <v>222</v>
      </c>
      <c r="T931" s="141" t="s">
        <v>222</v>
      </c>
      <c r="U931" s="141" t="s">
        <v>222</v>
      </c>
      <c r="V931" s="141" t="s">
        <v>222</v>
      </c>
      <c r="W931" s="141"/>
      <c r="X931" s="141"/>
      <c r="Y931" s="141"/>
      <c r="Z931" s="141"/>
    </row>
    <row r="932">
      <c r="A932" s="141"/>
      <c r="B932" s="141" t="s">
        <v>222</v>
      </c>
      <c r="C932" s="141" t="s">
        <v>222</v>
      </c>
      <c r="D932" s="141" t="s">
        <v>222</v>
      </c>
      <c r="E932" s="141" t="s">
        <v>222</v>
      </c>
      <c r="F932" s="141" t="s">
        <v>222</v>
      </c>
      <c r="G932" s="141" t="s">
        <v>222</v>
      </c>
      <c r="H932" s="141" t="s">
        <v>222</v>
      </c>
      <c r="I932" s="141" t="s">
        <v>222</v>
      </c>
      <c r="J932" s="141" t="s">
        <v>222</v>
      </c>
      <c r="K932" s="141" t="s">
        <v>222</v>
      </c>
      <c r="L932" s="141" t="s">
        <v>222</v>
      </c>
      <c r="M932" s="141" t="s">
        <v>222</v>
      </c>
      <c r="N932" s="141" t="s">
        <v>222</v>
      </c>
      <c r="O932" s="141" t="s">
        <v>222</v>
      </c>
      <c r="P932" s="141" t="s">
        <v>222</v>
      </c>
      <c r="Q932" s="141" t="s">
        <v>222</v>
      </c>
      <c r="R932" s="141" t="s">
        <v>222</v>
      </c>
      <c r="S932" s="141" t="s">
        <v>222</v>
      </c>
      <c r="T932" s="141" t="s">
        <v>222</v>
      </c>
      <c r="U932" s="141" t="s">
        <v>222</v>
      </c>
      <c r="V932" s="141" t="s">
        <v>222</v>
      </c>
      <c r="W932" s="141"/>
      <c r="X932" s="141"/>
      <c r="Y932" s="141"/>
      <c r="Z932" s="141"/>
    </row>
    <row r="933">
      <c r="A933" s="141"/>
      <c r="B933" s="141" t="s">
        <v>222</v>
      </c>
      <c r="C933" s="141" t="s">
        <v>222</v>
      </c>
      <c r="D933" s="141" t="s">
        <v>222</v>
      </c>
      <c r="E933" s="141" t="s">
        <v>222</v>
      </c>
      <c r="F933" s="141" t="s">
        <v>222</v>
      </c>
      <c r="G933" s="141" t="s">
        <v>222</v>
      </c>
      <c r="H933" s="141" t="s">
        <v>222</v>
      </c>
      <c r="I933" s="141" t="s">
        <v>222</v>
      </c>
      <c r="J933" s="141" t="s">
        <v>222</v>
      </c>
      <c r="K933" s="141" t="s">
        <v>222</v>
      </c>
      <c r="L933" s="141" t="s">
        <v>222</v>
      </c>
      <c r="M933" s="141" t="s">
        <v>222</v>
      </c>
      <c r="N933" s="141" t="s">
        <v>222</v>
      </c>
      <c r="O933" s="141" t="s">
        <v>222</v>
      </c>
      <c r="P933" s="141" t="s">
        <v>222</v>
      </c>
      <c r="Q933" s="141" t="s">
        <v>222</v>
      </c>
      <c r="R933" s="141" t="s">
        <v>222</v>
      </c>
      <c r="S933" s="141" t="s">
        <v>222</v>
      </c>
      <c r="T933" s="141" t="s">
        <v>222</v>
      </c>
      <c r="U933" s="141" t="s">
        <v>222</v>
      </c>
      <c r="V933" s="141" t="s">
        <v>222</v>
      </c>
      <c r="W933" s="141"/>
      <c r="X933" s="141"/>
      <c r="Y933" s="141"/>
      <c r="Z933" s="141"/>
    </row>
    <row r="934">
      <c r="A934" s="141"/>
      <c r="B934" s="141" t="s">
        <v>222</v>
      </c>
      <c r="C934" s="141" t="s">
        <v>222</v>
      </c>
      <c r="D934" s="141" t="s">
        <v>222</v>
      </c>
      <c r="E934" s="141" t="s">
        <v>222</v>
      </c>
      <c r="F934" s="141" t="s">
        <v>222</v>
      </c>
      <c r="G934" s="141" t="s">
        <v>222</v>
      </c>
      <c r="H934" s="141" t="s">
        <v>222</v>
      </c>
      <c r="I934" s="141" t="s">
        <v>222</v>
      </c>
      <c r="J934" s="141" t="s">
        <v>222</v>
      </c>
      <c r="K934" s="141" t="s">
        <v>222</v>
      </c>
      <c r="L934" s="141" t="s">
        <v>222</v>
      </c>
      <c r="M934" s="141" t="s">
        <v>222</v>
      </c>
      <c r="N934" s="141" t="s">
        <v>222</v>
      </c>
      <c r="O934" s="141" t="s">
        <v>222</v>
      </c>
      <c r="P934" s="141" t="s">
        <v>222</v>
      </c>
      <c r="Q934" s="141" t="s">
        <v>222</v>
      </c>
      <c r="R934" s="141" t="s">
        <v>222</v>
      </c>
      <c r="S934" s="141" t="s">
        <v>222</v>
      </c>
      <c r="T934" s="141" t="s">
        <v>222</v>
      </c>
      <c r="U934" s="141" t="s">
        <v>222</v>
      </c>
      <c r="V934" s="141" t="s">
        <v>222</v>
      </c>
      <c r="W934" s="141"/>
      <c r="X934" s="141"/>
      <c r="Y934" s="141"/>
      <c r="Z934" s="141"/>
    </row>
    <row r="935">
      <c r="A935" s="141"/>
      <c r="B935" s="141" t="s">
        <v>222</v>
      </c>
      <c r="C935" s="141" t="s">
        <v>222</v>
      </c>
      <c r="D935" s="141" t="s">
        <v>222</v>
      </c>
      <c r="E935" s="141" t="s">
        <v>222</v>
      </c>
      <c r="F935" s="141" t="s">
        <v>222</v>
      </c>
      <c r="G935" s="141" t="s">
        <v>222</v>
      </c>
      <c r="H935" s="141" t="s">
        <v>222</v>
      </c>
      <c r="I935" s="141" t="s">
        <v>222</v>
      </c>
      <c r="J935" s="141" t="s">
        <v>222</v>
      </c>
      <c r="K935" s="141" t="s">
        <v>222</v>
      </c>
      <c r="L935" s="141" t="s">
        <v>222</v>
      </c>
      <c r="M935" s="141" t="s">
        <v>222</v>
      </c>
      <c r="N935" s="141" t="s">
        <v>222</v>
      </c>
      <c r="O935" s="141" t="s">
        <v>222</v>
      </c>
      <c r="P935" s="141" t="s">
        <v>222</v>
      </c>
      <c r="Q935" s="141" t="s">
        <v>222</v>
      </c>
      <c r="R935" s="141" t="s">
        <v>222</v>
      </c>
      <c r="S935" s="141" t="s">
        <v>222</v>
      </c>
      <c r="T935" s="141" t="s">
        <v>222</v>
      </c>
      <c r="U935" s="141" t="s">
        <v>222</v>
      </c>
      <c r="V935" s="141" t="s">
        <v>222</v>
      </c>
      <c r="W935" s="141"/>
      <c r="X935" s="141"/>
      <c r="Y935" s="141"/>
      <c r="Z935" s="141"/>
    </row>
    <row r="936">
      <c r="A936" s="141"/>
      <c r="B936" s="141" t="s">
        <v>222</v>
      </c>
      <c r="C936" s="141" t="s">
        <v>222</v>
      </c>
      <c r="D936" s="141" t="s">
        <v>222</v>
      </c>
      <c r="E936" s="141" t="s">
        <v>222</v>
      </c>
      <c r="F936" s="141" t="s">
        <v>222</v>
      </c>
      <c r="G936" s="141" t="s">
        <v>222</v>
      </c>
      <c r="H936" s="141" t="s">
        <v>222</v>
      </c>
      <c r="I936" s="141" t="s">
        <v>222</v>
      </c>
      <c r="J936" s="141" t="s">
        <v>222</v>
      </c>
      <c r="K936" s="141" t="s">
        <v>222</v>
      </c>
      <c r="L936" s="141" t="s">
        <v>222</v>
      </c>
      <c r="M936" s="141" t="s">
        <v>222</v>
      </c>
      <c r="N936" s="141" t="s">
        <v>222</v>
      </c>
      <c r="O936" s="141" t="s">
        <v>222</v>
      </c>
      <c r="P936" s="141" t="s">
        <v>222</v>
      </c>
      <c r="Q936" s="141" t="s">
        <v>222</v>
      </c>
      <c r="R936" s="141" t="s">
        <v>222</v>
      </c>
      <c r="S936" s="141" t="s">
        <v>222</v>
      </c>
      <c r="T936" s="141" t="s">
        <v>222</v>
      </c>
      <c r="U936" s="141" t="s">
        <v>222</v>
      </c>
      <c r="V936" s="141" t="s">
        <v>222</v>
      </c>
      <c r="W936" s="141"/>
      <c r="X936" s="141"/>
      <c r="Y936" s="141"/>
      <c r="Z936" s="141"/>
    </row>
    <row r="937">
      <c r="A937" s="141"/>
      <c r="B937" s="141" t="s">
        <v>222</v>
      </c>
      <c r="C937" s="141" t="s">
        <v>222</v>
      </c>
      <c r="D937" s="141" t="s">
        <v>222</v>
      </c>
      <c r="E937" s="141" t="s">
        <v>222</v>
      </c>
      <c r="F937" s="141" t="s">
        <v>222</v>
      </c>
      <c r="G937" s="141" t="s">
        <v>222</v>
      </c>
      <c r="H937" s="141" t="s">
        <v>222</v>
      </c>
      <c r="I937" s="141" t="s">
        <v>222</v>
      </c>
      <c r="J937" s="141" t="s">
        <v>222</v>
      </c>
      <c r="K937" s="141" t="s">
        <v>222</v>
      </c>
      <c r="L937" s="141" t="s">
        <v>222</v>
      </c>
      <c r="M937" s="141" t="s">
        <v>222</v>
      </c>
      <c r="N937" s="141" t="s">
        <v>222</v>
      </c>
      <c r="O937" s="141" t="s">
        <v>222</v>
      </c>
      <c r="P937" s="141" t="s">
        <v>222</v>
      </c>
      <c r="Q937" s="141" t="s">
        <v>222</v>
      </c>
      <c r="R937" s="141" t="s">
        <v>222</v>
      </c>
      <c r="S937" s="141" t="s">
        <v>222</v>
      </c>
      <c r="T937" s="141" t="s">
        <v>222</v>
      </c>
      <c r="U937" s="141" t="s">
        <v>222</v>
      </c>
      <c r="V937" s="141" t="s">
        <v>222</v>
      </c>
      <c r="W937" s="141"/>
      <c r="X937" s="141"/>
      <c r="Y937" s="141"/>
      <c r="Z937" s="141"/>
    </row>
    <row r="938">
      <c r="A938" s="141"/>
      <c r="B938" s="141" t="s">
        <v>222</v>
      </c>
      <c r="C938" s="141" t="s">
        <v>222</v>
      </c>
      <c r="D938" s="141" t="s">
        <v>222</v>
      </c>
      <c r="E938" s="141" t="s">
        <v>222</v>
      </c>
      <c r="F938" s="141" t="s">
        <v>222</v>
      </c>
      <c r="G938" s="141" t="s">
        <v>222</v>
      </c>
      <c r="H938" s="141" t="s">
        <v>222</v>
      </c>
      <c r="I938" s="141" t="s">
        <v>222</v>
      </c>
      <c r="J938" s="141" t="s">
        <v>222</v>
      </c>
      <c r="K938" s="141" t="s">
        <v>222</v>
      </c>
      <c r="L938" s="141" t="s">
        <v>222</v>
      </c>
      <c r="M938" s="141" t="s">
        <v>222</v>
      </c>
      <c r="N938" s="141" t="s">
        <v>222</v>
      </c>
      <c r="O938" s="141" t="s">
        <v>222</v>
      </c>
      <c r="P938" s="141" t="s">
        <v>222</v>
      </c>
      <c r="Q938" s="141" t="s">
        <v>222</v>
      </c>
      <c r="R938" s="141" t="s">
        <v>222</v>
      </c>
      <c r="S938" s="141" t="s">
        <v>222</v>
      </c>
      <c r="T938" s="141" t="s">
        <v>222</v>
      </c>
      <c r="U938" s="141" t="s">
        <v>222</v>
      </c>
      <c r="V938" s="141" t="s">
        <v>222</v>
      </c>
      <c r="W938" s="141"/>
      <c r="X938" s="141"/>
      <c r="Y938" s="141"/>
      <c r="Z938" s="141"/>
    </row>
    <row r="939">
      <c r="A939" s="141"/>
      <c r="B939" s="141" t="s">
        <v>222</v>
      </c>
      <c r="C939" s="141" t="s">
        <v>222</v>
      </c>
      <c r="D939" s="141" t="s">
        <v>222</v>
      </c>
      <c r="E939" s="141" t="s">
        <v>222</v>
      </c>
      <c r="F939" s="141" t="s">
        <v>222</v>
      </c>
      <c r="G939" s="141" t="s">
        <v>222</v>
      </c>
      <c r="H939" s="141" t="s">
        <v>222</v>
      </c>
      <c r="I939" s="141" t="s">
        <v>222</v>
      </c>
      <c r="J939" s="141" t="s">
        <v>222</v>
      </c>
      <c r="K939" s="141" t="s">
        <v>222</v>
      </c>
      <c r="L939" s="141" t="s">
        <v>222</v>
      </c>
      <c r="M939" s="141" t="s">
        <v>222</v>
      </c>
      <c r="N939" s="141" t="s">
        <v>222</v>
      </c>
      <c r="O939" s="141" t="s">
        <v>222</v>
      </c>
      <c r="P939" s="141" t="s">
        <v>222</v>
      </c>
      <c r="Q939" s="141" t="s">
        <v>222</v>
      </c>
      <c r="R939" s="141" t="s">
        <v>222</v>
      </c>
      <c r="S939" s="141" t="s">
        <v>222</v>
      </c>
      <c r="T939" s="141" t="s">
        <v>222</v>
      </c>
      <c r="U939" s="141" t="s">
        <v>222</v>
      </c>
      <c r="V939" s="141" t="s">
        <v>222</v>
      </c>
      <c r="W939" s="141"/>
      <c r="X939" s="141"/>
      <c r="Y939" s="141"/>
      <c r="Z939" s="141"/>
    </row>
    <row r="940">
      <c r="A940" s="141"/>
      <c r="B940" s="141" t="s">
        <v>222</v>
      </c>
      <c r="C940" s="141" t="s">
        <v>222</v>
      </c>
      <c r="D940" s="141" t="s">
        <v>222</v>
      </c>
      <c r="E940" s="141" t="s">
        <v>222</v>
      </c>
      <c r="F940" s="141" t="s">
        <v>222</v>
      </c>
      <c r="G940" s="141" t="s">
        <v>222</v>
      </c>
      <c r="H940" s="141" t="s">
        <v>222</v>
      </c>
      <c r="I940" s="141" t="s">
        <v>222</v>
      </c>
      <c r="J940" s="141" t="s">
        <v>222</v>
      </c>
      <c r="K940" s="141" t="s">
        <v>222</v>
      </c>
      <c r="L940" s="141" t="s">
        <v>222</v>
      </c>
      <c r="M940" s="141" t="s">
        <v>222</v>
      </c>
      <c r="N940" s="141" t="s">
        <v>222</v>
      </c>
      <c r="O940" s="141" t="s">
        <v>222</v>
      </c>
      <c r="P940" s="141" t="s">
        <v>222</v>
      </c>
      <c r="Q940" s="141" t="s">
        <v>222</v>
      </c>
      <c r="R940" s="141" t="s">
        <v>222</v>
      </c>
      <c r="S940" s="141" t="s">
        <v>222</v>
      </c>
      <c r="T940" s="141" t="s">
        <v>222</v>
      </c>
      <c r="U940" s="141" t="s">
        <v>222</v>
      </c>
      <c r="V940" s="141" t="s">
        <v>222</v>
      </c>
      <c r="W940" s="141"/>
      <c r="X940" s="141"/>
      <c r="Y940" s="141"/>
      <c r="Z940" s="141"/>
    </row>
    <row r="941">
      <c r="A941" s="141"/>
      <c r="B941" s="141" t="s">
        <v>222</v>
      </c>
      <c r="C941" s="141" t="s">
        <v>222</v>
      </c>
      <c r="D941" s="141" t="s">
        <v>222</v>
      </c>
      <c r="E941" s="141" t="s">
        <v>222</v>
      </c>
      <c r="F941" s="141" t="s">
        <v>222</v>
      </c>
      <c r="G941" s="141" t="s">
        <v>222</v>
      </c>
      <c r="H941" s="141" t="s">
        <v>222</v>
      </c>
      <c r="I941" s="141" t="s">
        <v>222</v>
      </c>
      <c r="J941" s="141" t="s">
        <v>222</v>
      </c>
      <c r="K941" s="141" t="s">
        <v>222</v>
      </c>
      <c r="L941" s="141" t="s">
        <v>222</v>
      </c>
      <c r="M941" s="141" t="s">
        <v>222</v>
      </c>
      <c r="N941" s="141" t="s">
        <v>222</v>
      </c>
      <c r="O941" s="141" t="s">
        <v>222</v>
      </c>
      <c r="P941" s="141" t="s">
        <v>222</v>
      </c>
      <c r="Q941" s="141" t="s">
        <v>222</v>
      </c>
      <c r="R941" s="141" t="s">
        <v>222</v>
      </c>
      <c r="S941" s="141" t="s">
        <v>222</v>
      </c>
      <c r="T941" s="141" t="s">
        <v>222</v>
      </c>
      <c r="U941" s="141" t="s">
        <v>222</v>
      </c>
      <c r="V941" s="141" t="s">
        <v>222</v>
      </c>
      <c r="W941" s="141"/>
      <c r="X941" s="141"/>
      <c r="Y941" s="141"/>
      <c r="Z941" s="141"/>
    </row>
    <row r="942">
      <c r="A942" s="141"/>
      <c r="B942" s="141" t="s">
        <v>222</v>
      </c>
      <c r="C942" s="141" t="s">
        <v>222</v>
      </c>
      <c r="D942" s="141" t="s">
        <v>222</v>
      </c>
      <c r="E942" s="141" t="s">
        <v>222</v>
      </c>
      <c r="F942" s="141" t="s">
        <v>222</v>
      </c>
      <c r="G942" s="141" t="s">
        <v>222</v>
      </c>
      <c r="H942" s="141" t="s">
        <v>222</v>
      </c>
      <c r="I942" s="141" t="s">
        <v>222</v>
      </c>
      <c r="J942" s="141" t="s">
        <v>222</v>
      </c>
      <c r="K942" s="141" t="s">
        <v>222</v>
      </c>
      <c r="L942" s="141" t="s">
        <v>222</v>
      </c>
      <c r="M942" s="141" t="s">
        <v>222</v>
      </c>
      <c r="N942" s="141" t="s">
        <v>222</v>
      </c>
      <c r="O942" s="141" t="s">
        <v>222</v>
      </c>
      <c r="P942" s="141" t="s">
        <v>222</v>
      </c>
      <c r="Q942" s="141" t="s">
        <v>222</v>
      </c>
      <c r="R942" s="141" t="s">
        <v>222</v>
      </c>
      <c r="S942" s="141" t="s">
        <v>222</v>
      </c>
      <c r="T942" s="141" t="s">
        <v>222</v>
      </c>
      <c r="U942" s="141" t="s">
        <v>222</v>
      </c>
      <c r="V942" s="141" t="s">
        <v>222</v>
      </c>
      <c r="W942" s="141"/>
      <c r="X942" s="141"/>
      <c r="Y942" s="141"/>
      <c r="Z942" s="141"/>
    </row>
    <row r="943">
      <c r="A943" s="141"/>
      <c r="B943" s="141" t="s">
        <v>222</v>
      </c>
      <c r="C943" s="141" t="s">
        <v>222</v>
      </c>
      <c r="D943" s="141" t="s">
        <v>222</v>
      </c>
      <c r="E943" s="141" t="s">
        <v>222</v>
      </c>
      <c r="F943" s="141" t="s">
        <v>222</v>
      </c>
      <c r="G943" s="141" t="s">
        <v>222</v>
      </c>
      <c r="H943" s="141" t="s">
        <v>222</v>
      </c>
      <c r="I943" s="141" t="s">
        <v>222</v>
      </c>
      <c r="J943" s="141" t="s">
        <v>222</v>
      </c>
      <c r="K943" s="141" t="s">
        <v>222</v>
      </c>
      <c r="L943" s="141" t="s">
        <v>222</v>
      </c>
      <c r="M943" s="141" t="s">
        <v>222</v>
      </c>
      <c r="N943" s="141" t="s">
        <v>222</v>
      </c>
      <c r="O943" s="141" t="s">
        <v>222</v>
      </c>
      <c r="P943" s="141" t="s">
        <v>222</v>
      </c>
      <c r="Q943" s="141" t="s">
        <v>222</v>
      </c>
      <c r="R943" s="141" t="s">
        <v>222</v>
      </c>
      <c r="S943" s="141" t="s">
        <v>222</v>
      </c>
      <c r="T943" s="141" t="s">
        <v>222</v>
      </c>
      <c r="U943" s="141" t="s">
        <v>222</v>
      </c>
      <c r="V943" s="141" t="s">
        <v>222</v>
      </c>
      <c r="W943" s="141"/>
      <c r="X943" s="141"/>
      <c r="Y943" s="141"/>
      <c r="Z943" s="141"/>
    </row>
    <row r="944">
      <c r="A944" s="141"/>
      <c r="B944" s="141" t="s">
        <v>222</v>
      </c>
      <c r="C944" s="141" t="s">
        <v>222</v>
      </c>
      <c r="D944" s="141" t="s">
        <v>222</v>
      </c>
      <c r="E944" s="141" t="s">
        <v>222</v>
      </c>
      <c r="F944" s="141" t="s">
        <v>222</v>
      </c>
      <c r="G944" s="141" t="s">
        <v>222</v>
      </c>
      <c r="H944" s="141" t="s">
        <v>222</v>
      </c>
      <c r="I944" s="141" t="s">
        <v>222</v>
      </c>
      <c r="J944" s="141" t="s">
        <v>222</v>
      </c>
      <c r="K944" s="141" t="s">
        <v>222</v>
      </c>
      <c r="L944" s="141" t="s">
        <v>222</v>
      </c>
      <c r="M944" s="141" t="s">
        <v>222</v>
      </c>
      <c r="N944" s="141" t="s">
        <v>222</v>
      </c>
      <c r="O944" s="141" t="s">
        <v>222</v>
      </c>
      <c r="P944" s="141" t="s">
        <v>222</v>
      </c>
      <c r="Q944" s="141" t="s">
        <v>222</v>
      </c>
      <c r="R944" s="141" t="s">
        <v>222</v>
      </c>
      <c r="S944" s="141" t="s">
        <v>222</v>
      </c>
      <c r="T944" s="141" t="s">
        <v>222</v>
      </c>
      <c r="U944" s="141" t="s">
        <v>222</v>
      </c>
      <c r="V944" s="141" t="s">
        <v>222</v>
      </c>
      <c r="W944" s="141"/>
      <c r="X944" s="141"/>
      <c r="Y944" s="141"/>
      <c r="Z944" s="141"/>
    </row>
    <row r="945">
      <c r="A945" s="141"/>
      <c r="B945" s="141" t="s">
        <v>222</v>
      </c>
      <c r="C945" s="141" t="s">
        <v>222</v>
      </c>
      <c r="D945" s="141" t="s">
        <v>222</v>
      </c>
      <c r="E945" s="141" t="s">
        <v>222</v>
      </c>
      <c r="F945" s="141" t="s">
        <v>222</v>
      </c>
      <c r="G945" s="141" t="s">
        <v>222</v>
      </c>
      <c r="H945" s="141" t="s">
        <v>222</v>
      </c>
      <c r="I945" s="141" t="s">
        <v>222</v>
      </c>
      <c r="J945" s="141" t="s">
        <v>222</v>
      </c>
      <c r="K945" s="141" t="s">
        <v>222</v>
      </c>
      <c r="L945" s="141" t="s">
        <v>222</v>
      </c>
      <c r="M945" s="141" t="s">
        <v>222</v>
      </c>
      <c r="N945" s="141" t="s">
        <v>222</v>
      </c>
      <c r="O945" s="141" t="s">
        <v>222</v>
      </c>
      <c r="P945" s="141" t="s">
        <v>222</v>
      </c>
      <c r="Q945" s="141" t="s">
        <v>222</v>
      </c>
      <c r="R945" s="141" t="s">
        <v>222</v>
      </c>
      <c r="S945" s="141" t="s">
        <v>222</v>
      </c>
      <c r="T945" s="141" t="s">
        <v>222</v>
      </c>
      <c r="U945" s="141" t="s">
        <v>222</v>
      </c>
      <c r="V945" s="141" t="s">
        <v>222</v>
      </c>
      <c r="W945" s="141"/>
      <c r="X945" s="141"/>
      <c r="Y945" s="141"/>
      <c r="Z945" s="141"/>
    </row>
    <row r="946">
      <c r="A946" s="141"/>
      <c r="B946" s="141" t="s">
        <v>222</v>
      </c>
      <c r="C946" s="141" t="s">
        <v>222</v>
      </c>
      <c r="D946" s="141" t="s">
        <v>222</v>
      </c>
      <c r="E946" s="141" t="s">
        <v>222</v>
      </c>
      <c r="F946" s="141" t="s">
        <v>222</v>
      </c>
      <c r="G946" s="141" t="s">
        <v>222</v>
      </c>
      <c r="H946" s="141" t="s">
        <v>222</v>
      </c>
      <c r="I946" s="141" t="s">
        <v>222</v>
      </c>
      <c r="J946" s="141" t="s">
        <v>222</v>
      </c>
      <c r="K946" s="141" t="s">
        <v>222</v>
      </c>
      <c r="L946" s="141" t="s">
        <v>222</v>
      </c>
      <c r="M946" s="141" t="s">
        <v>222</v>
      </c>
      <c r="N946" s="141" t="s">
        <v>222</v>
      </c>
      <c r="O946" s="141" t="s">
        <v>222</v>
      </c>
      <c r="P946" s="141" t="s">
        <v>222</v>
      </c>
      <c r="Q946" s="141" t="s">
        <v>222</v>
      </c>
      <c r="R946" s="141" t="s">
        <v>222</v>
      </c>
      <c r="S946" s="141" t="s">
        <v>222</v>
      </c>
      <c r="T946" s="141" t="s">
        <v>222</v>
      </c>
      <c r="U946" s="141" t="s">
        <v>222</v>
      </c>
      <c r="V946" s="141" t="s">
        <v>222</v>
      </c>
      <c r="W946" s="141"/>
      <c r="X946" s="141"/>
      <c r="Y946" s="141"/>
      <c r="Z946" s="141"/>
    </row>
    <row r="947">
      <c r="A947" s="141"/>
      <c r="B947" s="141" t="s">
        <v>222</v>
      </c>
      <c r="C947" s="141" t="s">
        <v>222</v>
      </c>
      <c r="D947" s="141" t="s">
        <v>222</v>
      </c>
      <c r="E947" s="141" t="s">
        <v>222</v>
      </c>
      <c r="F947" s="141" t="s">
        <v>222</v>
      </c>
      <c r="G947" s="141" t="s">
        <v>222</v>
      </c>
      <c r="H947" s="141" t="s">
        <v>222</v>
      </c>
      <c r="I947" s="141" t="s">
        <v>222</v>
      </c>
      <c r="J947" s="141" t="s">
        <v>222</v>
      </c>
      <c r="K947" s="141" t="s">
        <v>222</v>
      </c>
      <c r="L947" s="141" t="s">
        <v>222</v>
      </c>
      <c r="M947" s="141" t="s">
        <v>222</v>
      </c>
      <c r="N947" s="141" t="s">
        <v>222</v>
      </c>
      <c r="O947" s="141" t="s">
        <v>222</v>
      </c>
      <c r="P947" s="141" t="s">
        <v>222</v>
      </c>
      <c r="Q947" s="141" t="s">
        <v>222</v>
      </c>
      <c r="R947" s="141" t="s">
        <v>222</v>
      </c>
      <c r="S947" s="141" t="s">
        <v>222</v>
      </c>
      <c r="T947" s="141" t="s">
        <v>222</v>
      </c>
      <c r="U947" s="141" t="s">
        <v>222</v>
      </c>
      <c r="V947" s="141" t="s">
        <v>222</v>
      </c>
      <c r="W947" s="141"/>
      <c r="X947" s="141"/>
      <c r="Y947" s="141"/>
      <c r="Z947" s="141"/>
    </row>
    <row r="948">
      <c r="A948" s="141"/>
      <c r="B948" s="141" t="s">
        <v>222</v>
      </c>
      <c r="C948" s="141" t="s">
        <v>222</v>
      </c>
      <c r="D948" s="141" t="s">
        <v>222</v>
      </c>
      <c r="E948" s="141" t="s">
        <v>222</v>
      </c>
      <c r="F948" s="141" t="s">
        <v>222</v>
      </c>
      <c r="G948" s="141" t="s">
        <v>222</v>
      </c>
      <c r="H948" s="141" t="s">
        <v>222</v>
      </c>
      <c r="I948" s="141" t="s">
        <v>222</v>
      </c>
      <c r="J948" s="141" t="s">
        <v>222</v>
      </c>
      <c r="K948" s="141" t="s">
        <v>222</v>
      </c>
      <c r="L948" s="141" t="s">
        <v>222</v>
      </c>
      <c r="M948" s="141" t="s">
        <v>222</v>
      </c>
      <c r="N948" s="141" t="s">
        <v>222</v>
      </c>
      <c r="O948" s="141" t="s">
        <v>222</v>
      </c>
      <c r="P948" s="141" t="s">
        <v>222</v>
      </c>
      <c r="Q948" s="141" t="s">
        <v>222</v>
      </c>
      <c r="R948" s="141" t="s">
        <v>222</v>
      </c>
      <c r="S948" s="141" t="s">
        <v>222</v>
      </c>
      <c r="T948" s="141" t="s">
        <v>222</v>
      </c>
      <c r="U948" s="141" t="s">
        <v>222</v>
      </c>
      <c r="V948" s="141" t="s">
        <v>222</v>
      </c>
      <c r="W948" s="141"/>
      <c r="X948" s="141"/>
      <c r="Y948" s="141"/>
      <c r="Z948" s="141"/>
    </row>
    <row r="949">
      <c r="A949" s="141"/>
      <c r="B949" s="141" t="s">
        <v>222</v>
      </c>
      <c r="C949" s="141" t="s">
        <v>222</v>
      </c>
      <c r="D949" s="141" t="s">
        <v>222</v>
      </c>
      <c r="E949" s="141" t="s">
        <v>222</v>
      </c>
      <c r="F949" s="141" t="s">
        <v>222</v>
      </c>
      <c r="G949" s="141" t="s">
        <v>222</v>
      </c>
      <c r="H949" s="141" t="s">
        <v>222</v>
      </c>
      <c r="I949" s="141" t="s">
        <v>222</v>
      </c>
      <c r="J949" s="141" t="s">
        <v>222</v>
      </c>
      <c r="K949" s="141" t="s">
        <v>222</v>
      </c>
      <c r="L949" s="141" t="s">
        <v>222</v>
      </c>
      <c r="M949" s="141" t="s">
        <v>222</v>
      </c>
      <c r="N949" s="141" t="s">
        <v>222</v>
      </c>
      <c r="O949" s="141" t="s">
        <v>222</v>
      </c>
      <c r="P949" s="141" t="s">
        <v>222</v>
      </c>
      <c r="Q949" s="141" t="s">
        <v>222</v>
      </c>
      <c r="R949" s="141" t="s">
        <v>222</v>
      </c>
      <c r="S949" s="141" t="s">
        <v>222</v>
      </c>
      <c r="T949" s="141" t="s">
        <v>222</v>
      </c>
      <c r="U949" s="141" t="s">
        <v>222</v>
      </c>
      <c r="V949" s="141" t="s">
        <v>222</v>
      </c>
      <c r="W949" s="141"/>
      <c r="X949" s="141"/>
      <c r="Y949" s="141"/>
      <c r="Z949" s="141"/>
    </row>
    <row r="950">
      <c r="A950" s="141"/>
      <c r="B950" s="141" t="s">
        <v>222</v>
      </c>
      <c r="C950" s="141" t="s">
        <v>222</v>
      </c>
      <c r="D950" s="141" t="s">
        <v>222</v>
      </c>
      <c r="E950" s="141" t="s">
        <v>222</v>
      </c>
      <c r="F950" s="141" t="s">
        <v>222</v>
      </c>
      <c r="G950" s="141" t="s">
        <v>222</v>
      </c>
      <c r="H950" s="141" t="s">
        <v>222</v>
      </c>
      <c r="I950" s="141" t="s">
        <v>222</v>
      </c>
      <c r="J950" s="141" t="s">
        <v>222</v>
      </c>
      <c r="K950" s="141" t="s">
        <v>222</v>
      </c>
      <c r="L950" s="141" t="s">
        <v>222</v>
      </c>
      <c r="M950" s="141" t="s">
        <v>222</v>
      </c>
      <c r="N950" s="141" t="s">
        <v>222</v>
      </c>
      <c r="O950" s="141" t="s">
        <v>222</v>
      </c>
      <c r="P950" s="141" t="s">
        <v>222</v>
      </c>
      <c r="Q950" s="141" t="s">
        <v>222</v>
      </c>
      <c r="R950" s="141" t="s">
        <v>222</v>
      </c>
      <c r="S950" s="141" t="s">
        <v>222</v>
      </c>
      <c r="T950" s="141" t="s">
        <v>222</v>
      </c>
      <c r="U950" s="141" t="s">
        <v>222</v>
      </c>
      <c r="V950" s="141" t="s">
        <v>222</v>
      </c>
      <c r="W950" s="141"/>
      <c r="X950" s="141"/>
      <c r="Y950" s="141"/>
      <c r="Z950" s="141"/>
    </row>
    <row r="951">
      <c r="A951" s="141"/>
      <c r="B951" s="141" t="s">
        <v>222</v>
      </c>
      <c r="C951" s="141" t="s">
        <v>222</v>
      </c>
      <c r="D951" s="141" t="s">
        <v>222</v>
      </c>
      <c r="E951" s="141" t="s">
        <v>222</v>
      </c>
      <c r="F951" s="141" t="s">
        <v>222</v>
      </c>
      <c r="G951" s="141" t="s">
        <v>222</v>
      </c>
      <c r="H951" s="141" t="s">
        <v>222</v>
      </c>
      <c r="I951" s="141" t="s">
        <v>222</v>
      </c>
      <c r="J951" s="141" t="s">
        <v>222</v>
      </c>
      <c r="K951" s="141" t="s">
        <v>222</v>
      </c>
      <c r="L951" s="141" t="s">
        <v>222</v>
      </c>
      <c r="M951" s="141" t="s">
        <v>222</v>
      </c>
      <c r="N951" s="141" t="s">
        <v>222</v>
      </c>
      <c r="O951" s="141" t="s">
        <v>222</v>
      </c>
      <c r="P951" s="141" t="s">
        <v>222</v>
      </c>
      <c r="Q951" s="141" t="s">
        <v>222</v>
      </c>
      <c r="R951" s="141" t="s">
        <v>222</v>
      </c>
      <c r="S951" s="141" t="s">
        <v>222</v>
      </c>
      <c r="T951" s="141" t="s">
        <v>222</v>
      </c>
      <c r="U951" s="141" t="s">
        <v>222</v>
      </c>
      <c r="V951" s="141" t="s">
        <v>222</v>
      </c>
      <c r="W951" s="141"/>
      <c r="X951" s="141"/>
      <c r="Y951" s="141"/>
      <c r="Z951" s="141"/>
    </row>
    <row r="952">
      <c r="A952" s="141"/>
      <c r="B952" s="141" t="s">
        <v>222</v>
      </c>
      <c r="C952" s="141" t="s">
        <v>222</v>
      </c>
      <c r="D952" s="141" t="s">
        <v>222</v>
      </c>
      <c r="E952" s="141" t="s">
        <v>222</v>
      </c>
      <c r="F952" s="141" t="s">
        <v>222</v>
      </c>
      <c r="G952" s="141" t="s">
        <v>222</v>
      </c>
      <c r="H952" s="141" t="s">
        <v>222</v>
      </c>
      <c r="I952" s="141" t="s">
        <v>222</v>
      </c>
      <c r="J952" s="141" t="s">
        <v>222</v>
      </c>
      <c r="K952" s="141" t="s">
        <v>222</v>
      </c>
      <c r="L952" s="141" t="s">
        <v>222</v>
      </c>
      <c r="M952" s="141" t="s">
        <v>222</v>
      </c>
      <c r="N952" s="141" t="s">
        <v>222</v>
      </c>
      <c r="O952" s="141" t="s">
        <v>222</v>
      </c>
      <c r="P952" s="141" t="s">
        <v>222</v>
      </c>
      <c r="Q952" s="141" t="s">
        <v>222</v>
      </c>
      <c r="R952" s="141" t="s">
        <v>222</v>
      </c>
      <c r="S952" s="141" t="s">
        <v>222</v>
      </c>
      <c r="T952" s="141" t="s">
        <v>222</v>
      </c>
      <c r="U952" s="141" t="s">
        <v>222</v>
      </c>
      <c r="V952" s="141" t="s">
        <v>222</v>
      </c>
      <c r="W952" s="141"/>
      <c r="X952" s="141"/>
      <c r="Y952" s="141"/>
      <c r="Z952" s="141"/>
    </row>
    <row r="953">
      <c r="A953" s="141"/>
      <c r="B953" s="141" t="s">
        <v>222</v>
      </c>
      <c r="C953" s="141" t="s">
        <v>222</v>
      </c>
      <c r="D953" s="141" t="s">
        <v>222</v>
      </c>
      <c r="E953" s="141" t="s">
        <v>222</v>
      </c>
      <c r="F953" s="141" t="s">
        <v>222</v>
      </c>
      <c r="G953" s="141" t="s">
        <v>222</v>
      </c>
      <c r="H953" s="141" t="s">
        <v>222</v>
      </c>
      <c r="I953" s="141" t="s">
        <v>222</v>
      </c>
      <c r="J953" s="141" t="s">
        <v>222</v>
      </c>
      <c r="K953" s="141" t="s">
        <v>222</v>
      </c>
      <c r="L953" s="141" t="s">
        <v>222</v>
      </c>
      <c r="M953" s="141" t="s">
        <v>222</v>
      </c>
      <c r="N953" s="141" t="s">
        <v>222</v>
      </c>
      <c r="O953" s="141" t="s">
        <v>222</v>
      </c>
      <c r="P953" s="141" t="s">
        <v>222</v>
      </c>
      <c r="Q953" s="141" t="s">
        <v>222</v>
      </c>
      <c r="R953" s="141" t="s">
        <v>222</v>
      </c>
      <c r="S953" s="141" t="s">
        <v>222</v>
      </c>
      <c r="T953" s="141" t="s">
        <v>222</v>
      </c>
      <c r="U953" s="141" t="s">
        <v>222</v>
      </c>
      <c r="V953" s="141" t="s">
        <v>222</v>
      </c>
      <c r="W953" s="141"/>
      <c r="X953" s="141"/>
      <c r="Y953" s="141"/>
      <c r="Z953" s="141"/>
    </row>
    <row r="954">
      <c r="A954" s="141"/>
      <c r="B954" s="141" t="s">
        <v>222</v>
      </c>
      <c r="C954" s="141" t="s">
        <v>222</v>
      </c>
      <c r="D954" s="141" t="s">
        <v>222</v>
      </c>
      <c r="E954" s="141" t="s">
        <v>222</v>
      </c>
      <c r="F954" s="141" t="s">
        <v>222</v>
      </c>
      <c r="G954" s="141" t="s">
        <v>222</v>
      </c>
      <c r="H954" s="141" t="s">
        <v>222</v>
      </c>
      <c r="I954" s="141" t="s">
        <v>222</v>
      </c>
      <c r="J954" s="141" t="s">
        <v>222</v>
      </c>
      <c r="K954" s="141" t="s">
        <v>222</v>
      </c>
      <c r="L954" s="141" t="s">
        <v>222</v>
      </c>
      <c r="M954" s="141" t="s">
        <v>222</v>
      </c>
      <c r="N954" s="141" t="s">
        <v>222</v>
      </c>
      <c r="O954" s="141" t="s">
        <v>222</v>
      </c>
      <c r="P954" s="141" t="s">
        <v>222</v>
      </c>
      <c r="Q954" s="141" t="s">
        <v>222</v>
      </c>
      <c r="R954" s="141" t="s">
        <v>222</v>
      </c>
      <c r="S954" s="141" t="s">
        <v>222</v>
      </c>
      <c r="T954" s="141" t="s">
        <v>222</v>
      </c>
      <c r="U954" s="141" t="s">
        <v>222</v>
      </c>
      <c r="V954" s="141" t="s">
        <v>222</v>
      </c>
      <c r="W954" s="141"/>
      <c r="X954" s="141"/>
      <c r="Y954" s="141"/>
      <c r="Z954" s="141"/>
    </row>
    <row r="955">
      <c r="A955" s="141"/>
      <c r="B955" s="141" t="s">
        <v>222</v>
      </c>
      <c r="C955" s="141" t="s">
        <v>222</v>
      </c>
      <c r="D955" s="141" t="s">
        <v>222</v>
      </c>
      <c r="E955" s="141" t="s">
        <v>222</v>
      </c>
      <c r="F955" s="141" t="s">
        <v>222</v>
      </c>
      <c r="G955" s="141" t="s">
        <v>222</v>
      </c>
      <c r="H955" s="141" t="s">
        <v>222</v>
      </c>
      <c r="I955" s="141" t="s">
        <v>222</v>
      </c>
      <c r="J955" s="141" t="s">
        <v>222</v>
      </c>
      <c r="K955" s="141" t="s">
        <v>222</v>
      </c>
      <c r="L955" s="141" t="s">
        <v>222</v>
      </c>
      <c r="M955" s="141" t="s">
        <v>222</v>
      </c>
      <c r="N955" s="141" t="s">
        <v>222</v>
      </c>
      <c r="O955" s="141" t="s">
        <v>222</v>
      </c>
      <c r="P955" s="141" t="s">
        <v>222</v>
      </c>
      <c r="Q955" s="141" t="s">
        <v>222</v>
      </c>
      <c r="R955" s="141" t="s">
        <v>222</v>
      </c>
      <c r="S955" s="141" t="s">
        <v>222</v>
      </c>
      <c r="T955" s="141" t="s">
        <v>222</v>
      </c>
      <c r="U955" s="141" t="s">
        <v>222</v>
      </c>
      <c r="V955" s="141" t="s">
        <v>222</v>
      </c>
      <c r="W955" s="141"/>
      <c r="X955" s="141"/>
      <c r="Y955" s="141"/>
      <c r="Z955" s="141"/>
    </row>
    <row r="956">
      <c r="A956" s="141"/>
      <c r="B956" s="141" t="s">
        <v>222</v>
      </c>
      <c r="C956" s="141" t="s">
        <v>222</v>
      </c>
      <c r="D956" s="141" t="s">
        <v>222</v>
      </c>
      <c r="E956" s="141" t="s">
        <v>222</v>
      </c>
      <c r="F956" s="141" t="s">
        <v>222</v>
      </c>
      <c r="G956" s="141" t="s">
        <v>222</v>
      </c>
      <c r="H956" s="141" t="s">
        <v>222</v>
      </c>
      <c r="I956" s="141" t="s">
        <v>222</v>
      </c>
      <c r="J956" s="141" t="s">
        <v>222</v>
      </c>
      <c r="K956" s="141" t="s">
        <v>222</v>
      </c>
      <c r="L956" s="141" t="s">
        <v>222</v>
      </c>
      <c r="M956" s="141" t="s">
        <v>222</v>
      </c>
      <c r="N956" s="141" t="s">
        <v>222</v>
      </c>
      <c r="O956" s="141" t="s">
        <v>222</v>
      </c>
      <c r="P956" s="141" t="s">
        <v>222</v>
      </c>
      <c r="Q956" s="141" t="s">
        <v>222</v>
      </c>
      <c r="R956" s="141" t="s">
        <v>222</v>
      </c>
      <c r="S956" s="141" t="s">
        <v>222</v>
      </c>
      <c r="T956" s="141" t="s">
        <v>222</v>
      </c>
      <c r="U956" s="141" t="s">
        <v>222</v>
      </c>
      <c r="V956" s="141" t="s">
        <v>222</v>
      </c>
      <c r="W956" s="141"/>
      <c r="X956" s="141"/>
      <c r="Y956" s="141"/>
      <c r="Z956" s="141"/>
    </row>
    <row r="957">
      <c r="A957" s="141"/>
      <c r="B957" s="141" t="s">
        <v>222</v>
      </c>
      <c r="C957" s="141" t="s">
        <v>222</v>
      </c>
      <c r="D957" s="141" t="s">
        <v>222</v>
      </c>
      <c r="E957" s="141" t="s">
        <v>222</v>
      </c>
      <c r="F957" s="141" t="s">
        <v>222</v>
      </c>
      <c r="G957" s="141" t="s">
        <v>222</v>
      </c>
      <c r="H957" s="141" t="s">
        <v>222</v>
      </c>
      <c r="I957" s="141" t="s">
        <v>222</v>
      </c>
      <c r="J957" s="141" t="s">
        <v>222</v>
      </c>
      <c r="K957" s="141" t="s">
        <v>222</v>
      </c>
      <c r="L957" s="141" t="s">
        <v>222</v>
      </c>
      <c r="M957" s="141" t="s">
        <v>222</v>
      </c>
      <c r="N957" s="141" t="s">
        <v>222</v>
      </c>
      <c r="O957" s="141" t="s">
        <v>222</v>
      </c>
      <c r="P957" s="141" t="s">
        <v>222</v>
      </c>
      <c r="Q957" s="141" t="s">
        <v>222</v>
      </c>
      <c r="R957" s="141" t="s">
        <v>222</v>
      </c>
      <c r="S957" s="141" t="s">
        <v>222</v>
      </c>
      <c r="T957" s="141" t="s">
        <v>222</v>
      </c>
      <c r="U957" s="141" t="s">
        <v>222</v>
      </c>
      <c r="V957" s="141" t="s">
        <v>222</v>
      </c>
      <c r="W957" s="141"/>
      <c r="X957" s="141"/>
      <c r="Y957" s="141"/>
      <c r="Z957" s="141"/>
    </row>
    <row r="958">
      <c r="A958" s="141"/>
      <c r="B958" s="141" t="s">
        <v>222</v>
      </c>
      <c r="C958" s="141" t="s">
        <v>222</v>
      </c>
      <c r="D958" s="141" t="s">
        <v>222</v>
      </c>
      <c r="E958" s="141" t="s">
        <v>222</v>
      </c>
      <c r="F958" s="141" t="s">
        <v>222</v>
      </c>
      <c r="G958" s="141" t="s">
        <v>222</v>
      </c>
      <c r="H958" s="141" t="s">
        <v>222</v>
      </c>
      <c r="I958" s="141" t="s">
        <v>222</v>
      </c>
      <c r="J958" s="141" t="s">
        <v>222</v>
      </c>
      <c r="K958" s="141" t="s">
        <v>222</v>
      </c>
      <c r="L958" s="141" t="s">
        <v>222</v>
      </c>
      <c r="M958" s="141" t="s">
        <v>222</v>
      </c>
      <c r="N958" s="141" t="s">
        <v>222</v>
      </c>
      <c r="O958" s="141" t="s">
        <v>222</v>
      </c>
      <c r="P958" s="141" t="s">
        <v>222</v>
      </c>
      <c r="Q958" s="141" t="s">
        <v>222</v>
      </c>
      <c r="R958" s="141" t="s">
        <v>222</v>
      </c>
      <c r="S958" s="141" t="s">
        <v>222</v>
      </c>
      <c r="T958" s="141" t="s">
        <v>222</v>
      </c>
      <c r="U958" s="141" t="s">
        <v>222</v>
      </c>
      <c r="V958" s="141" t="s">
        <v>222</v>
      </c>
      <c r="W958" s="141"/>
      <c r="X958" s="141"/>
      <c r="Y958" s="141"/>
      <c r="Z958" s="141"/>
    </row>
    <row r="959">
      <c r="A959" s="141"/>
      <c r="B959" s="141" t="s">
        <v>222</v>
      </c>
      <c r="C959" s="141" t="s">
        <v>222</v>
      </c>
      <c r="D959" s="141" t="s">
        <v>222</v>
      </c>
      <c r="E959" s="141" t="s">
        <v>222</v>
      </c>
      <c r="F959" s="141" t="s">
        <v>222</v>
      </c>
      <c r="G959" s="141" t="s">
        <v>222</v>
      </c>
      <c r="H959" s="141" t="s">
        <v>222</v>
      </c>
      <c r="I959" s="141" t="s">
        <v>222</v>
      </c>
      <c r="J959" s="141" t="s">
        <v>222</v>
      </c>
      <c r="K959" s="141" t="s">
        <v>222</v>
      </c>
      <c r="L959" s="141" t="s">
        <v>222</v>
      </c>
      <c r="M959" s="141" t="s">
        <v>222</v>
      </c>
      <c r="N959" s="141" t="s">
        <v>222</v>
      </c>
      <c r="O959" s="141" t="s">
        <v>222</v>
      </c>
      <c r="P959" s="141" t="s">
        <v>222</v>
      </c>
      <c r="Q959" s="141" t="s">
        <v>222</v>
      </c>
      <c r="R959" s="141" t="s">
        <v>222</v>
      </c>
      <c r="S959" s="141" t="s">
        <v>222</v>
      </c>
      <c r="T959" s="141" t="s">
        <v>222</v>
      </c>
      <c r="U959" s="141" t="s">
        <v>222</v>
      </c>
      <c r="V959" s="141" t="s">
        <v>222</v>
      </c>
      <c r="W959" s="141"/>
      <c r="X959" s="141"/>
      <c r="Y959" s="141"/>
      <c r="Z959" s="141"/>
    </row>
    <row r="960">
      <c r="A960" s="141"/>
      <c r="B960" s="141" t="s">
        <v>222</v>
      </c>
      <c r="C960" s="141" t="s">
        <v>222</v>
      </c>
      <c r="D960" s="141" t="s">
        <v>222</v>
      </c>
      <c r="E960" s="141" t="s">
        <v>222</v>
      </c>
      <c r="F960" s="141" t="s">
        <v>222</v>
      </c>
      <c r="G960" s="141" t="s">
        <v>222</v>
      </c>
      <c r="H960" s="141" t="s">
        <v>222</v>
      </c>
      <c r="I960" s="141" t="s">
        <v>222</v>
      </c>
      <c r="J960" s="141" t="s">
        <v>222</v>
      </c>
      <c r="K960" s="141" t="s">
        <v>222</v>
      </c>
      <c r="L960" s="141" t="s">
        <v>222</v>
      </c>
      <c r="M960" s="141" t="s">
        <v>222</v>
      </c>
      <c r="N960" s="141" t="s">
        <v>222</v>
      </c>
      <c r="O960" s="141" t="s">
        <v>222</v>
      </c>
      <c r="P960" s="141" t="s">
        <v>222</v>
      </c>
      <c r="Q960" s="141" t="s">
        <v>222</v>
      </c>
      <c r="R960" s="141" t="s">
        <v>222</v>
      </c>
      <c r="S960" s="141" t="s">
        <v>222</v>
      </c>
      <c r="T960" s="141" t="s">
        <v>222</v>
      </c>
      <c r="U960" s="141" t="s">
        <v>222</v>
      </c>
      <c r="V960" s="141" t="s">
        <v>222</v>
      </c>
      <c r="W960" s="141"/>
      <c r="X960" s="141"/>
      <c r="Y960" s="141"/>
      <c r="Z960" s="141"/>
    </row>
    <row r="961">
      <c r="A961" s="141"/>
      <c r="B961" s="141" t="s">
        <v>222</v>
      </c>
      <c r="C961" s="141" t="s">
        <v>222</v>
      </c>
      <c r="D961" s="141" t="s">
        <v>222</v>
      </c>
      <c r="E961" s="141" t="s">
        <v>222</v>
      </c>
      <c r="F961" s="141" t="s">
        <v>222</v>
      </c>
      <c r="G961" s="141" t="s">
        <v>222</v>
      </c>
      <c r="H961" s="141" t="s">
        <v>222</v>
      </c>
      <c r="I961" s="141" t="s">
        <v>222</v>
      </c>
      <c r="J961" s="141" t="s">
        <v>222</v>
      </c>
      <c r="K961" s="141" t="s">
        <v>222</v>
      </c>
      <c r="L961" s="141" t="s">
        <v>222</v>
      </c>
      <c r="M961" s="141" t="s">
        <v>222</v>
      </c>
      <c r="N961" s="141" t="s">
        <v>222</v>
      </c>
      <c r="O961" s="141" t="s">
        <v>222</v>
      </c>
      <c r="P961" s="141" t="s">
        <v>222</v>
      </c>
      <c r="Q961" s="141" t="s">
        <v>222</v>
      </c>
      <c r="R961" s="141" t="s">
        <v>222</v>
      </c>
      <c r="S961" s="141" t="s">
        <v>222</v>
      </c>
      <c r="T961" s="141" t="s">
        <v>222</v>
      </c>
      <c r="U961" s="141" t="s">
        <v>222</v>
      </c>
      <c r="V961" s="141" t="s">
        <v>222</v>
      </c>
      <c r="W961" s="141"/>
      <c r="X961" s="141"/>
      <c r="Y961" s="141"/>
      <c r="Z961" s="141"/>
    </row>
    <row r="962">
      <c r="A962" s="141"/>
      <c r="B962" s="141" t="s">
        <v>222</v>
      </c>
      <c r="C962" s="141" t="s">
        <v>222</v>
      </c>
      <c r="D962" s="141" t="s">
        <v>222</v>
      </c>
      <c r="E962" s="141" t="s">
        <v>222</v>
      </c>
      <c r="F962" s="141" t="s">
        <v>222</v>
      </c>
      <c r="G962" s="141" t="s">
        <v>222</v>
      </c>
      <c r="H962" s="141" t="s">
        <v>222</v>
      </c>
      <c r="I962" s="141" t="s">
        <v>222</v>
      </c>
      <c r="J962" s="141" t="s">
        <v>222</v>
      </c>
      <c r="K962" s="141" t="s">
        <v>222</v>
      </c>
      <c r="L962" s="141" t="s">
        <v>222</v>
      </c>
      <c r="M962" s="141" t="s">
        <v>222</v>
      </c>
      <c r="N962" s="141" t="s">
        <v>222</v>
      </c>
      <c r="O962" s="141" t="s">
        <v>222</v>
      </c>
      <c r="P962" s="141" t="s">
        <v>222</v>
      </c>
      <c r="Q962" s="141" t="s">
        <v>222</v>
      </c>
      <c r="R962" s="141" t="s">
        <v>222</v>
      </c>
      <c r="S962" s="141" t="s">
        <v>222</v>
      </c>
      <c r="T962" s="141" t="s">
        <v>222</v>
      </c>
      <c r="U962" s="141" t="s">
        <v>222</v>
      </c>
      <c r="V962" s="141" t="s">
        <v>222</v>
      </c>
      <c r="W962" s="141"/>
      <c r="X962" s="141"/>
      <c r="Y962" s="141"/>
      <c r="Z962" s="141"/>
    </row>
    <row r="963">
      <c r="A963" s="141"/>
      <c r="B963" s="141" t="s">
        <v>222</v>
      </c>
      <c r="C963" s="141" t="s">
        <v>222</v>
      </c>
      <c r="D963" s="141" t="s">
        <v>222</v>
      </c>
      <c r="E963" s="141" t="s">
        <v>222</v>
      </c>
      <c r="F963" s="141" t="s">
        <v>222</v>
      </c>
      <c r="G963" s="141" t="s">
        <v>222</v>
      </c>
      <c r="H963" s="141" t="s">
        <v>222</v>
      </c>
      <c r="I963" s="141" t="s">
        <v>222</v>
      </c>
      <c r="J963" s="141" t="s">
        <v>222</v>
      </c>
      <c r="K963" s="141" t="s">
        <v>222</v>
      </c>
      <c r="L963" s="141" t="s">
        <v>222</v>
      </c>
      <c r="M963" s="141" t="s">
        <v>222</v>
      </c>
      <c r="N963" s="141" t="s">
        <v>222</v>
      </c>
      <c r="O963" s="141" t="s">
        <v>222</v>
      </c>
      <c r="P963" s="141" t="s">
        <v>222</v>
      </c>
      <c r="Q963" s="141" t="s">
        <v>222</v>
      </c>
      <c r="R963" s="141" t="s">
        <v>222</v>
      </c>
      <c r="S963" s="141" t="s">
        <v>222</v>
      </c>
      <c r="T963" s="141" t="s">
        <v>222</v>
      </c>
      <c r="U963" s="141" t="s">
        <v>222</v>
      </c>
      <c r="V963" s="141" t="s">
        <v>222</v>
      </c>
      <c r="W963" s="141"/>
      <c r="X963" s="141"/>
      <c r="Y963" s="141"/>
      <c r="Z963" s="141"/>
    </row>
    <row r="964">
      <c r="A964" s="141"/>
      <c r="B964" s="141" t="s">
        <v>222</v>
      </c>
      <c r="C964" s="141" t="s">
        <v>222</v>
      </c>
      <c r="D964" s="141" t="s">
        <v>222</v>
      </c>
      <c r="E964" s="141" t="s">
        <v>222</v>
      </c>
      <c r="F964" s="141" t="s">
        <v>222</v>
      </c>
      <c r="G964" s="141" t="s">
        <v>222</v>
      </c>
      <c r="H964" s="141" t="s">
        <v>222</v>
      </c>
      <c r="I964" s="141" t="s">
        <v>222</v>
      </c>
      <c r="J964" s="141" t="s">
        <v>222</v>
      </c>
      <c r="K964" s="141" t="s">
        <v>222</v>
      </c>
      <c r="L964" s="141" t="s">
        <v>222</v>
      </c>
      <c r="M964" s="141" t="s">
        <v>222</v>
      </c>
      <c r="N964" s="141" t="s">
        <v>222</v>
      </c>
      <c r="O964" s="141" t="s">
        <v>222</v>
      </c>
      <c r="P964" s="141" t="s">
        <v>222</v>
      </c>
      <c r="Q964" s="141" t="s">
        <v>222</v>
      </c>
      <c r="R964" s="141" t="s">
        <v>222</v>
      </c>
      <c r="S964" s="141" t="s">
        <v>222</v>
      </c>
      <c r="T964" s="141" t="s">
        <v>222</v>
      </c>
      <c r="U964" s="141" t="s">
        <v>222</v>
      </c>
      <c r="V964" s="141" t="s">
        <v>222</v>
      </c>
      <c r="W964" s="141"/>
      <c r="X964" s="141"/>
      <c r="Y964" s="141"/>
      <c r="Z964" s="141"/>
    </row>
    <row r="965">
      <c r="A965" s="141"/>
      <c r="B965" s="141" t="s">
        <v>222</v>
      </c>
      <c r="C965" s="141" t="s">
        <v>222</v>
      </c>
      <c r="D965" s="141" t="s">
        <v>222</v>
      </c>
      <c r="E965" s="141" t="s">
        <v>222</v>
      </c>
      <c r="F965" s="141" t="s">
        <v>222</v>
      </c>
      <c r="G965" s="141" t="s">
        <v>222</v>
      </c>
      <c r="H965" s="141" t="s">
        <v>222</v>
      </c>
      <c r="I965" s="141" t="s">
        <v>222</v>
      </c>
      <c r="J965" s="141" t="s">
        <v>222</v>
      </c>
      <c r="K965" s="141" t="s">
        <v>222</v>
      </c>
      <c r="L965" s="141" t="s">
        <v>222</v>
      </c>
      <c r="M965" s="141" t="s">
        <v>222</v>
      </c>
      <c r="N965" s="141" t="s">
        <v>222</v>
      </c>
      <c r="O965" s="141" t="s">
        <v>222</v>
      </c>
      <c r="P965" s="141" t="s">
        <v>222</v>
      </c>
      <c r="Q965" s="141" t="s">
        <v>222</v>
      </c>
      <c r="R965" s="141" t="s">
        <v>222</v>
      </c>
      <c r="S965" s="141" t="s">
        <v>222</v>
      </c>
      <c r="T965" s="141" t="s">
        <v>222</v>
      </c>
      <c r="U965" s="141" t="s">
        <v>222</v>
      </c>
      <c r="V965" s="141" t="s">
        <v>222</v>
      </c>
      <c r="W965" s="141"/>
      <c r="X965" s="141"/>
      <c r="Y965" s="141"/>
      <c r="Z965" s="141"/>
    </row>
    <row r="966">
      <c r="A966" s="141"/>
      <c r="B966" s="141" t="s">
        <v>222</v>
      </c>
      <c r="C966" s="141" t="s">
        <v>222</v>
      </c>
      <c r="D966" s="141" t="s">
        <v>222</v>
      </c>
      <c r="E966" s="141" t="s">
        <v>222</v>
      </c>
      <c r="F966" s="141" t="s">
        <v>222</v>
      </c>
      <c r="G966" s="141" t="s">
        <v>222</v>
      </c>
      <c r="H966" s="141" t="s">
        <v>222</v>
      </c>
      <c r="I966" s="141" t="s">
        <v>222</v>
      </c>
      <c r="J966" s="141" t="s">
        <v>222</v>
      </c>
      <c r="K966" s="141" t="s">
        <v>222</v>
      </c>
      <c r="L966" s="141" t="s">
        <v>222</v>
      </c>
      <c r="M966" s="141" t="s">
        <v>222</v>
      </c>
      <c r="N966" s="141" t="s">
        <v>222</v>
      </c>
      <c r="O966" s="141" t="s">
        <v>222</v>
      </c>
      <c r="P966" s="141" t="s">
        <v>222</v>
      </c>
      <c r="Q966" s="141" t="s">
        <v>222</v>
      </c>
      <c r="R966" s="141" t="s">
        <v>222</v>
      </c>
      <c r="S966" s="141" t="s">
        <v>222</v>
      </c>
      <c r="T966" s="141" t="s">
        <v>222</v>
      </c>
      <c r="U966" s="141" t="s">
        <v>222</v>
      </c>
      <c r="V966" s="141" t="s">
        <v>222</v>
      </c>
      <c r="W966" s="141"/>
      <c r="X966" s="141"/>
      <c r="Y966" s="141"/>
      <c r="Z966" s="141"/>
    </row>
    <row r="967">
      <c r="A967" s="141"/>
      <c r="B967" s="141" t="s">
        <v>222</v>
      </c>
      <c r="C967" s="141" t="s">
        <v>222</v>
      </c>
      <c r="D967" s="141" t="s">
        <v>222</v>
      </c>
      <c r="E967" s="141" t="s">
        <v>222</v>
      </c>
      <c r="F967" s="141" t="s">
        <v>222</v>
      </c>
      <c r="G967" s="141" t="s">
        <v>222</v>
      </c>
      <c r="H967" s="141" t="s">
        <v>222</v>
      </c>
      <c r="I967" s="141" t="s">
        <v>222</v>
      </c>
      <c r="J967" s="141" t="s">
        <v>222</v>
      </c>
      <c r="K967" s="141" t="s">
        <v>222</v>
      </c>
      <c r="L967" s="141" t="s">
        <v>222</v>
      </c>
      <c r="M967" s="141" t="s">
        <v>222</v>
      </c>
      <c r="N967" s="141" t="s">
        <v>222</v>
      </c>
      <c r="O967" s="141" t="s">
        <v>222</v>
      </c>
      <c r="P967" s="141" t="s">
        <v>222</v>
      </c>
      <c r="Q967" s="141" t="s">
        <v>222</v>
      </c>
      <c r="R967" s="141" t="s">
        <v>222</v>
      </c>
      <c r="S967" s="141" t="s">
        <v>222</v>
      </c>
      <c r="T967" s="141" t="s">
        <v>222</v>
      </c>
      <c r="U967" s="141" t="s">
        <v>222</v>
      </c>
      <c r="V967" s="141" t="s">
        <v>222</v>
      </c>
      <c r="W967" s="141"/>
      <c r="X967" s="141"/>
      <c r="Y967" s="141"/>
      <c r="Z967" s="141"/>
    </row>
    <row r="968">
      <c r="A968" s="141"/>
      <c r="B968" s="141" t="s">
        <v>222</v>
      </c>
      <c r="C968" s="141" t="s">
        <v>222</v>
      </c>
      <c r="D968" s="141" t="s">
        <v>222</v>
      </c>
      <c r="E968" s="141" t="s">
        <v>222</v>
      </c>
      <c r="F968" s="141" t="s">
        <v>222</v>
      </c>
      <c r="G968" s="141" t="s">
        <v>222</v>
      </c>
      <c r="H968" s="141" t="s">
        <v>222</v>
      </c>
      <c r="I968" s="141" t="s">
        <v>222</v>
      </c>
      <c r="J968" s="141" t="s">
        <v>222</v>
      </c>
      <c r="K968" s="141" t="s">
        <v>222</v>
      </c>
      <c r="L968" s="141" t="s">
        <v>222</v>
      </c>
      <c r="M968" s="141" t="s">
        <v>222</v>
      </c>
      <c r="N968" s="141" t="s">
        <v>222</v>
      </c>
      <c r="O968" s="141" t="s">
        <v>222</v>
      </c>
      <c r="P968" s="141" t="s">
        <v>222</v>
      </c>
      <c r="Q968" s="141" t="s">
        <v>222</v>
      </c>
      <c r="R968" s="141" t="s">
        <v>222</v>
      </c>
      <c r="S968" s="141" t="s">
        <v>222</v>
      </c>
      <c r="T968" s="141" t="s">
        <v>222</v>
      </c>
      <c r="U968" s="141" t="s">
        <v>222</v>
      </c>
      <c r="V968" s="141" t="s">
        <v>222</v>
      </c>
      <c r="W968" s="141"/>
      <c r="X968" s="141"/>
      <c r="Y968" s="141"/>
      <c r="Z968" s="141"/>
    </row>
    <row r="969">
      <c r="A969" s="141"/>
      <c r="B969" s="141" t="s">
        <v>222</v>
      </c>
      <c r="C969" s="141" t="s">
        <v>222</v>
      </c>
      <c r="D969" s="141" t="s">
        <v>222</v>
      </c>
      <c r="E969" s="141" t="s">
        <v>222</v>
      </c>
      <c r="F969" s="141" t="s">
        <v>222</v>
      </c>
      <c r="G969" s="141" t="s">
        <v>222</v>
      </c>
      <c r="H969" s="141" t="s">
        <v>222</v>
      </c>
      <c r="I969" s="141" t="s">
        <v>222</v>
      </c>
      <c r="J969" s="141" t="s">
        <v>222</v>
      </c>
      <c r="K969" s="141" t="s">
        <v>222</v>
      </c>
      <c r="L969" s="141" t="s">
        <v>222</v>
      </c>
      <c r="M969" s="141" t="s">
        <v>222</v>
      </c>
      <c r="N969" s="141" t="s">
        <v>222</v>
      </c>
      <c r="O969" s="141" t="s">
        <v>222</v>
      </c>
      <c r="P969" s="141" t="s">
        <v>222</v>
      </c>
      <c r="Q969" s="141" t="s">
        <v>222</v>
      </c>
      <c r="R969" s="141" t="s">
        <v>222</v>
      </c>
      <c r="S969" s="141" t="s">
        <v>222</v>
      </c>
      <c r="T969" s="141" t="s">
        <v>222</v>
      </c>
      <c r="U969" s="141" t="s">
        <v>222</v>
      </c>
      <c r="V969" s="141" t="s">
        <v>222</v>
      </c>
      <c r="W969" s="141"/>
      <c r="X969" s="141"/>
      <c r="Y969" s="141"/>
      <c r="Z969" s="141"/>
    </row>
    <row r="970">
      <c r="A970" s="141"/>
      <c r="B970" s="141" t="s">
        <v>222</v>
      </c>
      <c r="C970" s="141" t="s">
        <v>222</v>
      </c>
      <c r="D970" s="141" t="s">
        <v>222</v>
      </c>
      <c r="E970" s="141" t="s">
        <v>222</v>
      </c>
      <c r="F970" s="141" t="s">
        <v>222</v>
      </c>
      <c r="G970" s="141" t="s">
        <v>222</v>
      </c>
      <c r="H970" s="141" t="s">
        <v>222</v>
      </c>
      <c r="I970" s="141" t="s">
        <v>222</v>
      </c>
      <c r="J970" s="141" t="s">
        <v>222</v>
      </c>
      <c r="K970" s="141" t="s">
        <v>222</v>
      </c>
      <c r="L970" s="141" t="s">
        <v>222</v>
      </c>
      <c r="M970" s="141" t="s">
        <v>222</v>
      </c>
      <c r="N970" s="141" t="s">
        <v>222</v>
      </c>
      <c r="O970" s="141" t="s">
        <v>222</v>
      </c>
      <c r="P970" s="141" t="s">
        <v>222</v>
      </c>
      <c r="Q970" s="141" t="s">
        <v>222</v>
      </c>
      <c r="R970" s="141" t="s">
        <v>222</v>
      </c>
      <c r="S970" s="141" t="s">
        <v>222</v>
      </c>
      <c r="T970" s="141" t="s">
        <v>222</v>
      </c>
      <c r="U970" s="141" t="s">
        <v>222</v>
      </c>
      <c r="V970" s="141" t="s">
        <v>222</v>
      </c>
      <c r="W970" s="141"/>
      <c r="X970" s="141"/>
      <c r="Y970" s="141"/>
      <c r="Z970" s="141"/>
    </row>
    <row r="971">
      <c r="A971" s="141"/>
      <c r="B971" s="141" t="s">
        <v>222</v>
      </c>
      <c r="C971" s="141" t="s">
        <v>222</v>
      </c>
      <c r="D971" s="141" t="s">
        <v>222</v>
      </c>
      <c r="E971" s="141" t="s">
        <v>222</v>
      </c>
      <c r="F971" s="141" t="s">
        <v>222</v>
      </c>
      <c r="G971" s="141" t="s">
        <v>222</v>
      </c>
      <c r="H971" s="141" t="s">
        <v>222</v>
      </c>
      <c r="I971" s="141" t="s">
        <v>222</v>
      </c>
      <c r="J971" s="141" t="s">
        <v>222</v>
      </c>
      <c r="K971" s="141" t="s">
        <v>222</v>
      </c>
      <c r="L971" s="141" t="s">
        <v>222</v>
      </c>
      <c r="M971" s="141" t="s">
        <v>222</v>
      </c>
      <c r="N971" s="141" t="s">
        <v>222</v>
      </c>
      <c r="O971" s="141" t="s">
        <v>222</v>
      </c>
      <c r="P971" s="141" t="s">
        <v>222</v>
      </c>
      <c r="Q971" s="141" t="s">
        <v>222</v>
      </c>
      <c r="R971" s="141" t="s">
        <v>222</v>
      </c>
      <c r="S971" s="141" t="s">
        <v>222</v>
      </c>
      <c r="T971" s="141" t="s">
        <v>222</v>
      </c>
      <c r="U971" s="141" t="s">
        <v>222</v>
      </c>
      <c r="V971" s="141" t="s">
        <v>222</v>
      </c>
      <c r="W971" s="141"/>
      <c r="X971" s="141"/>
      <c r="Y971" s="141"/>
      <c r="Z971" s="141"/>
    </row>
    <row r="972">
      <c r="A972" s="141"/>
      <c r="B972" s="141" t="s">
        <v>222</v>
      </c>
      <c r="C972" s="141" t="s">
        <v>222</v>
      </c>
      <c r="D972" s="141" t="s">
        <v>222</v>
      </c>
      <c r="E972" s="141" t="s">
        <v>222</v>
      </c>
      <c r="F972" s="141" t="s">
        <v>222</v>
      </c>
      <c r="G972" s="141" t="s">
        <v>222</v>
      </c>
      <c r="H972" s="141" t="s">
        <v>222</v>
      </c>
      <c r="I972" s="141" t="s">
        <v>222</v>
      </c>
      <c r="J972" s="141" t="s">
        <v>222</v>
      </c>
      <c r="K972" s="141" t="s">
        <v>222</v>
      </c>
      <c r="L972" s="141" t="s">
        <v>222</v>
      </c>
      <c r="M972" s="141" t="s">
        <v>222</v>
      </c>
      <c r="N972" s="141" t="s">
        <v>222</v>
      </c>
      <c r="O972" s="141" t="s">
        <v>222</v>
      </c>
      <c r="P972" s="141" t="s">
        <v>222</v>
      </c>
      <c r="Q972" s="141" t="s">
        <v>222</v>
      </c>
      <c r="R972" s="141" t="s">
        <v>222</v>
      </c>
      <c r="S972" s="141" t="s">
        <v>222</v>
      </c>
      <c r="T972" s="141" t="s">
        <v>222</v>
      </c>
      <c r="U972" s="141" t="s">
        <v>222</v>
      </c>
      <c r="V972" s="141" t="s">
        <v>222</v>
      </c>
      <c r="W972" s="141"/>
      <c r="X972" s="141"/>
      <c r="Y972" s="141"/>
      <c r="Z972" s="141"/>
    </row>
    <row r="973">
      <c r="A973" s="141"/>
      <c r="B973" s="141" t="s">
        <v>222</v>
      </c>
      <c r="C973" s="141" t="s">
        <v>222</v>
      </c>
      <c r="D973" s="141" t="s">
        <v>222</v>
      </c>
      <c r="E973" s="141" t="s">
        <v>222</v>
      </c>
      <c r="F973" s="141" t="s">
        <v>222</v>
      </c>
      <c r="G973" s="141" t="s">
        <v>222</v>
      </c>
      <c r="H973" s="141" t="s">
        <v>222</v>
      </c>
      <c r="I973" s="141" t="s">
        <v>222</v>
      </c>
      <c r="J973" s="141" t="s">
        <v>222</v>
      </c>
      <c r="K973" s="141" t="s">
        <v>222</v>
      </c>
      <c r="L973" s="141" t="s">
        <v>222</v>
      </c>
      <c r="M973" s="141" t="s">
        <v>222</v>
      </c>
      <c r="N973" s="141" t="s">
        <v>222</v>
      </c>
      <c r="O973" s="141" t="s">
        <v>222</v>
      </c>
      <c r="P973" s="141" t="s">
        <v>222</v>
      </c>
      <c r="Q973" s="141" t="s">
        <v>222</v>
      </c>
      <c r="R973" s="141" t="s">
        <v>222</v>
      </c>
      <c r="S973" s="141" t="s">
        <v>222</v>
      </c>
      <c r="T973" s="141" t="s">
        <v>222</v>
      </c>
      <c r="U973" s="141" t="s">
        <v>222</v>
      </c>
      <c r="V973" s="141" t="s">
        <v>222</v>
      </c>
      <c r="W973" s="141"/>
      <c r="X973" s="141"/>
      <c r="Y973" s="141"/>
      <c r="Z973" s="141"/>
    </row>
    <row r="974">
      <c r="A974" s="141"/>
      <c r="B974" s="141" t="s">
        <v>222</v>
      </c>
      <c r="C974" s="141" t="s">
        <v>222</v>
      </c>
      <c r="D974" s="141" t="s">
        <v>222</v>
      </c>
      <c r="E974" s="141" t="s">
        <v>222</v>
      </c>
      <c r="F974" s="141" t="s">
        <v>222</v>
      </c>
      <c r="G974" s="141" t="s">
        <v>222</v>
      </c>
      <c r="H974" s="141" t="s">
        <v>222</v>
      </c>
      <c r="I974" s="141" t="s">
        <v>222</v>
      </c>
      <c r="J974" s="141" t="s">
        <v>222</v>
      </c>
      <c r="K974" s="141" t="s">
        <v>222</v>
      </c>
      <c r="L974" s="141" t="s">
        <v>222</v>
      </c>
      <c r="M974" s="141" t="s">
        <v>222</v>
      </c>
      <c r="N974" s="141" t="s">
        <v>222</v>
      </c>
      <c r="O974" s="141" t="s">
        <v>222</v>
      </c>
      <c r="P974" s="141" t="s">
        <v>222</v>
      </c>
      <c r="Q974" s="141" t="s">
        <v>222</v>
      </c>
      <c r="R974" s="141" t="s">
        <v>222</v>
      </c>
      <c r="S974" s="141" t="s">
        <v>222</v>
      </c>
      <c r="T974" s="141" t="s">
        <v>222</v>
      </c>
      <c r="U974" s="141" t="s">
        <v>222</v>
      </c>
      <c r="V974" s="141" t="s">
        <v>222</v>
      </c>
      <c r="W974" s="141"/>
      <c r="X974" s="141"/>
      <c r="Y974" s="141"/>
      <c r="Z974" s="141"/>
    </row>
    <row r="975">
      <c r="A975" s="141"/>
      <c r="B975" s="141" t="s">
        <v>222</v>
      </c>
      <c r="C975" s="141" t="s">
        <v>222</v>
      </c>
      <c r="D975" s="141" t="s">
        <v>222</v>
      </c>
      <c r="E975" s="141" t="s">
        <v>222</v>
      </c>
      <c r="F975" s="141" t="s">
        <v>222</v>
      </c>
      <c r="G975" s="141" t="s">
        <v>222</v>
      </c>
      <c r="H975" s="141" t="s">
        <v>222</v>
      </c>
      <c r="I975" s="141" t="s">
        <v>222</v>
      </c>
      <c r="J975" s="141" t="s">
        <v>222</v>
      </c>
      <c r="K975" s="141" t="s">
        <v>222</v>
      </c>
      <c r="L975" s="141" t="s">
        <v>222</v>
      </c>
      <c r="M975" s="141" t="s">
        <v>222</v>
      </c>
      <c r="N975" s="141" t="s">
        <v>222</v>
      </c>
      <c r="O975" s="141" t="s">
        <v>222</v>
      </c>
      <c r="P975" s="141" t="s">
        <v>222</v>
      </c>
      <c r="Q975" s="141" t="s">
        <v>222</v>
      </c>
      <c r="R975" s="141" t="s">
        <v>222</v>
      </c>
      <c r="S975" s="141" t="s">
        <v>222</v>
      </c>
      <c r="T975" s="141" t="s">
        <v>222</v>
      </c>
      <c r="U975" s="141" t="s">
        <v>222</v>
      </c>
      <c r="V975" s="141" t="s">
        <v>222</v>
      </c>
      <c r="W975" s="141"/>
      <c r="X975" s="141"/>
      <c r="Y975" s="141"/>
      <c r="Z975" s="141"/>
    </row>
    <row r="976">
      <c r="A976" s="141"/>
      <c r="B976" s="141" t="s">
        <v>222</v>
      </c>
      <c r="C976" s="141" t="s">
        <v>222</v>
      </c>
      <c r="D976" s="141" t="s">
        <v>222</v>
      </c>
      <c r="E976" s="141" t="s">
        <v>222</v>
      </c>
      <c r="F976" s="141" t="s">
        <v>222</v>
      </c>
      <c r="G976" s="141" t="s">
        <v>222</v>
      </c>
      <c r="H976" s="141" t="s">
        <v>222</v>
      </c>
      <c r="I976" s="141" t="s">
        <v>222</v>
      </c>
      <c r="J976" s="141" t="s">
        <v>222</v>
      </c>
      <c r="K976" s="141" t="s">
        <v>222</v>
      </c>
      <c r="L976" s="141" t="s">
        <v>222</v>
      </c>
      <c r="M976" s="141" t="s">
        <v>222</v>
      </c>
      <c r="N976" s="141" t="s">
        <v>222</v>
      </c>
      <c r="O976" s="141" t="s">
        <v>222</v>
      </c>
      <c r="P976" s="141" t="s">
        <v>222</v>
      </c>
      <c r="Q976" s="141" t="s">
        <v>222</v>
      </c>
      <c r="R976" s="141" t="s">
        <v>222</v>
      </c>
      <c r="S976" s="141" t="s">
        <v>222</v>
      </c>
      <c r="T976" s="141" t="s">
        <v>222</v>
      </c>
      <c r="U976" s="141" t="s">
        <v>222</v>
      </c>
      <c r="V976" s="141" t="s">
        <v>222</v>
      </c>
      <c r="W976" s="141"/>
      <c r="X976" s="141"/>
      <c r="Y976" s="141"/>
      <c r="Z976" s="141"/>
    </row>
    <row r="977">
      <c r="A977" s="141"/>
      <c r="B977" s="141" t="s">
        <v>222</v>
      </c>
      <c r="C977" s="141" t="s">
        <v>222</v>
      </c>
      <c r="D977" s="141" t="s">
        <v>222</v>
      </c>
      <c r="E977" s="141" t="s">
        <v>222</v>
      </c>
      <c r="F977" s="141" t="s">
        <v>222</v>
      </c>
      <c r="G977" s="141" t="s">
        <v>222</v>
      </c>
      <c r="H977" s="141" t="s">
        <v>222</v>
      </c>
      <c r="I977" s="141" t="s">
        <v>222</v>
      </c>
      <c r="J977" s="141" t="s">
        <v>222</v>
      </c>
      <c r="K977" s="141" t="s">
        <v>222</v>
      </c>
      <c r="L977" s="141" t="s">
        <v>222</v>
      </c>
      <c r="M977" s="141" t="s">
        <v>222</v>
      </c>
      <c r="N977" s="141" t="s">
        <v>222</v>
      </c>
      <c r="O977" s="141" t="s">
        <v>222</v>
      </c>
      <c r="P977" s="141" t="s">
        <v>222</v>
      </c>
      <c r="Q977" s="141" t="s">
        <v>222</v>
      </c>
      <c r="R977" s="141" t="s">
        <v>222</v>
      </c>
      <c r="S977" s="141" t="s">
        <v>222</v>
      </c>
      <c r="T977" s="141" t="s">
        <v>222</v>
      </c>
      <c r="U977" s="141" t="s">
        <v>222</v>
      </c>
      <c r="V977" s="141" t="s">
        <v>222</v>
      </c>
      <c r="W977" s="141"/>
      <c r="X977" s="141"/>
      <c r="Y977" s="141"/>
      <c r="Z977" s="141"/>
    </row>
    <row r="978">
      <c r="A978" s="141"/>
      <c r="B978" s="141" t="s">
        <v>222</v>
      </c>
      <c r="C978" s="141" t="s">
        <v>222</v>
      </c>
      <c r="D978" s="141" t="s">
        <v>222</v>
      </c>
      <c r="E978" s="141" t="s">
        <v>222</v>
      </c>
      <c r="F978" s="141" t="s">
        <v>222</v>
      </c>
      <c r="G978" s="141" t="s">
        <v>222</v>
      </c>
      <c r="H978" s="141" t="s">
        <v>222</v>
      </c>
      <c r="I978" s="141" t="s">
        <v>222</v>
      </c>
      <c r="J978" s="141" t="s">
        <v>222</v>
      </c>
      <c r="K978" s="141" t="s">
        <v>222</v>
      </c>
      <c r="L978" s="141" t="s">
        <v>222</v>
      </c>
      <c r="M978" s="141" t="s">
        <v>222</v>
      </c>
      <c r="N978" s="141" t="s">
        <v>222</v>
      </c>
      <c r="O978" s="141" t="s">
        <v>222</v>
      </c>
      <c r="P978" s="141" t="s">
        <v>222</v>
      </c>
      <c r="Q978" s="141" t="s">
        <v>222</v>
      </c>
      <c r="R978" s="141" t="s">
        <v>222</v>
      </c>
      <c r="S978" s="141" t="s">
        <v>222</v>
      </c>
      <c r="T978" s="141" t="s">
        <v>222</v>
      </c>
      <c r="U978" s="141" t="s">
        <v>222</v>
      </c>
      <c r="V978" s="141" t="s">
        <v>222</v>
      </c>
      <c r="W978" s="141"/>
      <c r="X978" s="141"/>
      <c r="Y978" s="141"/>
      <c r="Z978" s="141"/>
    </row>
    <row r="979">
      <c r="A979" s="141"/>
      <c r="B979" s="141" t="s">
        <v>222</v>
      </c>
      <c r="C979" s="141" t="s">
        <v>222</v>
      </c>
      <c r="D979" s="141" t="s">
        <v>222</v>
      </c>
      <c r="E979" s="141" t="s">
        <v>222</v>
      </c>
      <c r="F979" s="141" t="s">
        <v>222</v>
      </c>
      <c r="G979" s="141" t="s">
        <v>222</v>
      </c>
      <c r="H979" s="141" t="s">
        <v>222</v>
      </c>
      <c r="I979" s="141" t="s">
        <v>222</v>
      </c>
      <c r="J979" s="141" t="s">
        <v>222</v>
      </c>
      <c r="K979" s="141" t="s">
        <v>222</v>
      </c>
      <c r="L979" s="141" t="s">
        <v>222</v>
      </c>
      <c r="M979" s="141" t="s">
        <v>222</v>
      </c>
      <c r="N979" s="141" t="s">
        <v>222</v>
      </c>
      <c r="O979" s="141" t="s">
        <v>222</v>
      </c>
      <c r="P979" s="141" t="s">
        <v>222</v>
      </c>
      <c r="Q979" s="141" t="s">
        <v>222</v>
      </c>
      <c r="R979" s="141" t="s">
        <v>222</v>
      </c>
      <c r="S979" s="141" t="s">
        <v>222</v>
      </c>
      <c r="T979" s="141" t="s">
        <v>222</v>
      </c>
      <c r="U979" s="141" t="s">
        <v>222</v>
      </c>
      <c r="V979" s="141" t="s">
        <v>222</v>
      </c>
      <c r="W979" s="141"/>
      <c r="X979" s="141"/>
      <c r="Y979" s="141"/>
      <c r="Z979" s="141"/>
    </row>
    <row r="980">
      <c r="A980" s="141"/>
      <c r="B980" s="141" t="s">
        <v>222</v>
      </c>
      <c r="C980" s="141" t="s">
        <v>222</v>
      </c>
      <c r="D980" s="141" t="s">
        <v>222</v>
      </c>
      <c r="E980" s="141" t="s">
        <v>222</v>
      </c>
      <c r="F980" s="141" t="s">
        <v>222</v>
      </c>
      <c r="G980" s="141" t="s">
        <v>222</v>
      </c>
      <c r="H980" s="141" t="s">
        <v>222</v>
      </c>
      <c r="I980" s="141" t="s">
        <v>222</v>
      </c>
      <c r="J980" s="141" t="s">
        <v>222</v>
      </c>
      <c r="K980" s="141" t="s">
        <v>222</v>
      </c>
      <c r="L980" s="141" t="s">
        <v>222</v>
      </c>
      <c r="M980" s="141" t="s">
        <v>222</v>
      </c>
      <c r="N980" s="141" t="s">
        <v>222</v>
      </c>
      <c r="O980" s="141" t="s">
        <v>222</v>
      </c>
      <c r="P980" s="141" t="s">
        <v>222</v>
      </c>
      <c r="Q980" s="141" t="s">
        <v>222</v>
      </c>
      <c r="R980" s="141" t="s">
        <v>222</v>
      </c>
      <c r="S980" s="141" t="s">
        <v>222</v>
      </c>
      <c r="T980" s="141" t="s">
        <v>222</v>
      </c>
      <c r="U980" s="141" t="s">
        <v>222</v>
      </c>
      <c r="V980" s="141" t="s">
        <v>222</v>
      </c>
      <c r="W980" s="141"/>
      <c r="X980" s="141"/>
      <c r="Y980" s="141"/>
      <c r="Z980" s="141"/>
    </row>
    <row r="981">
      <c r="A981" s="141"/>
      <c r="B981" s="141" t="s">
        <v>222</v>
      </c>
      <c r="C981" s="141" t="s">
        <v>222</v>
      </c>
      <c r="D981" s="141" t="s">
        <v>222</v>
      </c>
      <c r="E981" s="141" t="s">
        <v>222</v>
      </c>
      <c r="F981" s="141" t="s">
        <v>222</v>
      </c>
      <c r="G981" s="141" t="s">
        <v>222</v>
      </c>
      <c r="H981" s="141" t="s">
        <v>222</v>
      </c>
      <c r="I981" s="141" t="s">
        <v>222</v>
      </c>
      <c r="J981" s="141" t="s">
        <v>222</v>
      </c>
      <c r="K981" s="141" t="s">
        <v>222</v>
      </c>
      <c r="L981" s="141" t="s">
        <v>222</v>
      </c>
      <c r="M981" s="141" t="s">
        <v>222</v>
      </c>
      <c r="N981" s="141" t="s">
        <v>222</v>
      </c>
      <c r="O981" s="141" t="s">
        <v>222</v>
      </c>
      <c r="P981" s="141" t="s">
        <v>222</v>
      </c>
      <c r="Q981" s="141" t="s">
        <v>222</v>
      </c>
      <c r="R981" s="141" t="s">
        <v>222</v>
      </c>
      <c r="S981" s="141" t="s">
        <v>222</v>
      </c>
      <c r="T981" s="141" t="s">
        <v>222</v>
      </c>
      <c r="U981" s="141" t="s">
        <v>222</v>
      </c>
      <c r="V981" s="141" t="s">
        <v>222</v>
      </c>
      <c r="W981" s="141"/>
      <c r="X981" s="141"/>
      <c r="Y981" s="141"/>
      <c r="Z981" s="141"/>
    </row>
    <row r="982">
      <c r="A982" s="141"/>
      <c r="B982" s="141" t="s">
        <v>222</v>
      </c>
      <c r="C982" s="141" t="s">
        <v>222</v>
      </c>
      <c r="D982" s="141" t="s">
        <v>222</v>
      </c>
      <c r="E982" s="141" t="s">
        <v>222</v>
      </c>
      <c r="F982" s="141" t="s">
        <v>222</v>
      </c>
      <c r="G982" s="141" t="s">
        <v>222</v>
      </c>
      <c r="H982" s="141" t="s">
        <v>222</v>
      </c>
      <c r="I982" s="141" t="s">
        <v>222</v>
      </c>
      <c r="J982" s="141" t="s">
        <v>222</v>
      </c>
      <c r="K982" s="141" t="s">
        <v>222</v>
      </c>
      <c r="L982" s="141" t="s">
        <v>222</v>
      </c>
      <c r="M982" s="141" t="s">
        <v>222</v>
      </c>
      <c r="N982" s="141" t="s">
        <v>222</v>
      </c>
      <c r="O982" s="141" t="s">
        <v>222</v>
      </c>
      <c r="P982" s="141" t="s">
        <v>222</v>
      </c>
      <c r="Q982" s="141" t="s">
        <v>222</v>
      </c>
      <c r="R982" s="141" t="s">
        <v>222</v>
      </c>
      <c r="S982" s="141" t="s">
        <v>222</v>
      </c>
      <c r="T982" s="141" t="s">
        <v>222</v>
      </c>
      <c r="U982" s="141" t="s">
        <v>222</v>
      </c>
      <c r="V982" s="141" t="s">
        <v>222</v>
      </c>
      <c r="W982" s="141"/>
      <c r="X982" s="141"/>
      <c r="Y982" s="141"/>
      <c r="Z982" s="141"/>
    </row>
    <row r="983">
      <c r="A983" s="141"/>
      <c r="B983" s="141" t="s">
        <v>222</v>
      </c>
      <c r="C983" s="141" t="s">
        <v>222</v>
      </c>
      <c r="D983" s="141" t="s">
        <v>222</v>
      </c>
      <c r="E983" s="141" t="s">
        <v>222</v>
      </c>
      <c r="F983" s="141" t="s">
        <v>222</v>
      </c>
      <c r="G983" s="141" t="s">
        <v>222</v>
      </c>
      <c r="H983" s="141" t="s">
        <v>222</v>
      </c>
      <c r="I983" s="141" t="s">
        <v>222</v>
      </c>
      <c r="J983" s="141" t="s">
        <v>222</v>
      </c>
      <c r="K983" s="141" t="s">
        <v>222</v>
      </c>
      <c r="L983" s="141" t="s">
        <v>222</v>
      </c>
      <c r="M983" s="141" t="s">
        <v>222</v>
      </c>
      <c r="N983" s="141" t="s">
        <v>222</v>
      </c>
      <c r="O983" s="141" t="s">
        <v>222</v>
      </c>
      <c r="P983" s="141" t="s">
        <v>222</v>
      </c>
      <c r="Q983" s="141" t="s">
        <v>222</v>
      </c>
      <c r="R983" s="141" t="s">
        <v>222</v>
      </c>
      <c r="S983" s="141" t="s">
        <v>222</v>
      </c>
      <c r="T983" s="141" t="s">
        <v>222</v>
      </c>
      <c r="U983" s="141" t="s">
        <v>222</v>
      </c>
      <c r="V983" s="141" t="s">
        <v>222</v>
      </c>
      <c r="W983" s="141"/>
      <c r="X983" s="141"/>
      <c r="Y983" s="141"/>
      <c r="Z983" s="141"/>
    </row>
    <row r="984">
      <c r="A984" s="141"/>
      <c r="B984" s="141" t="s">
        <v>222</v>
      </c>
      <c r="C984" s="141" t="s">
        <v>222</v>
      </c>
      <c r="D984" s="141" t="s">
        <v>222</v>
      </c>
      <c r="E984" s="141" t="s">
        <v>222</v>
      </c>
      <c r="F984" s="141" t="s">
        <v>222</v>
      </c>
      <c r="G984" s="141" t="s">
        <v>222</v>
      </c>
      <c r="H984" s="141" t="s">
        <v>222</v>
      </c>
      <c r="I984" s="141" t="s">
        <v>222</v>
      </c>
      <c r="J984" s="141" t="s">
        <v>222</v>
      </c>
      <c r="K984" s="141" t="s">
        <v>222</v>
      </c>
      <c r="L984" s="141" t="s">
        <v>222</v>
      </c>
      <c r="M984" s="141" t="s">
        <v>222</v>
      </c>
      <c r="N984" s="141" t="s">
        <v>222</v>
      </c>
      <c r="O984" s="141" t="s">
        <v>222</v>
      </c>
      <c r="P984" s="141" t="s">
        <v>222</v>
      </c>
      <c r="Q984" s="141" t="s">
        <v>222</v>
      </c>
      <c r="R984" s="141" t="s">
        <v>222</v>
      </c>
      <c r="S984" s="141" t="s">
        <v>222</v>
      </c>
      <c r="T984" s="141" t="s">
        <v>222</v>
      </c>
      <c r="U984" s="141" t="s">
        <v>222</v>
      </c>
      <c r="V984" s="141" t="s">
        <v>222</v>
      </c>
      <c r="W984" s="141"/>
      <c r="X984" s="141"/>
      <c r="Y984" s="141"/>
      <c r="Z984" s="141"/>
    </row>
    <row r="985">
      <c r="A985" s="141"/>
      <c r="B985" s="141" t="s">
        <v>222</v>
      </c>
      <c r="C985" s="141" t="s">
        <v>222</v>
      </c>
      <c r="D985" s="141" t="s">
        <v>222</v>
      </c>
      <c r="E985" s="141" t="s">
        <v>222</v>
      </c>
      <c r="F985" s="141" t="s">
        <v>222</v>
      </c>
      <c r="G985" s="141" t="s">
        <v>222</v>
      </c>
      <c r="H985" s="141" t="s">
        <v>222</v>
      </c>
      <c r="I985" s="141" t="s">
        <v>222</v>
      </c>
      <c r="J985" s="141" t="s">
        <v>222</v>
      </c>
      <c r="K985" s="141" t="s">
        <v>222</v>
      </c>
      <c r="L985" s="141" t="s">
        <v>222</v>
      </c>
      <c r="M985" s="141" t="s">
        <v>222</v>
      </c>
      <c r="N985" s="141" t="s">
        <v>222</v>
      </c>
      <c r="O985" s="141" t="s">
        <v>222</v>
      </c>
      <c r="P985" s="141" t="s">
        <v>222</v>
      </c>
      <c r="Q985" s="141" t="s">
        <v>222</v>
      </c>
      <c r="R985" s="141" t="s">
        <v>222</v>
      </c>
      <c r="S985" s="141" t="s">
        <v>222</v>
      </c>
      <c r="T985" s="141" t="s">
        <v>222</v>
      </c>
      <c r="U985" s="141" t="s">
        <v>222</v>
      </c>
      <c r="V985" s="141" t="s">
        <v>222</v>
      </c>
      <c r="W985" s="141"/>
      <c r="X985" s="141"/>
      <c r="Y985" s="141"/>
      <c r="Z985" s="141"/>
    </row>
    <row r="986">
      <c r="A986" s="141"/>
      <c r="B986" s="141" t="s">
        <v>222</v>
      </c>
      <c r="C986" s="141" t="s">
        <v>222</v>
      </c>
      <c r="D986" s="141" t="s">
        <v>222</v>
      </c>
      <c r="E986" s="141" t="s">
        <v>222</v>
      </c>
      <c r="F986" s="141" t="s">
        <v>222</v>
      </c>
      <c r="G986" s="141" t="s">
        <v>222</v>
      </c>
      <c r="H986" s="141" t="s">
        <v>222</v>
      </c>
      <c r="I986" s="141" t="s">
        <v>222</v>
      </c>
      <c r="J986" s="141" t="s">
        <v>222</v>
      </c>
      <c r="K986" s="141" t="s">
        <v>222</v>
      </c>
      <c r="L986" s="141" t="s">
        <v>222</v>
      </c>
      <c r="M986" s="141" t="s">
        <v>222</v>
      </c>
      <c r="N986" s="141" t="s">
        <v>222</v>
      </c>
      <c r="O986" s="141" t="s">
        <v>222</v>
      </c>
      <c r="P986" s="141" t="s">
        <v>222</v>
      </c>
      <c r="Q986" s="141" t="s">
        <v>222</v>
      </c>
      <c r="R986" s="141" t="s">
        <v>222</v>
      </c>
      <c r="S986" s="141" t="s">
        <v>222</v>
      </c>
      <c r="T986" s="141" t="s">
        <v>222</v>
      </c>
      <c r="U986" s="141" t="s">
        <v>222</v>
      </c>
      <c r="V986" s="141" t="s">
        <v>222</v>
      </c>
      <c r="W986" s="141"/>
      <c r="X986" s="141"/>
      <c r="Y986" s="141"/>
      <c r="Z986" s="141"/>
    </row>
    <row r="987">
      <c r="A987" s="141"/>
      <c r="B987" s="141" t="s">
        <v>222</v>
      </c>
      <c r="C987" s="141" t="s">
        <v>222</v>
      </c>
      <c r="D987" s="141" t="s">
        <v>222</v>
      </c>
      <c r="E987" s="141" t="s">
        <v>222</v>
      </c>
      <c r="F987" s="141" t="s">
        <v>222</v>
      </c>
      <c r="G987" s="141" t="s">
        <v>222</v>
      </c>
      <c r="H987" s="141" t="s">
        <v>222</v>
      </c>
      <c r="I987" s="141" t="s">
        <v>222</v>
      </c>
      <c r="J987" s="141" t="s">
        <v>222</v>
      </c>
      <c r="K987" s="141" t="s">
        <v>222</v>
      </c>
      <c r="L987" s="141" t="s">
        <v>222</v>
      </c>
      <c r="M987" s="141" t="s">
        <v>222</v>
      </c>
      <c r="N987" s="141" t="s">
        <v>222</v>
      </c>
      <c r="O987" s="141" t="s">
        <v>222</v>
      </c>
      <c r="P987" s="141" t="s">
        <v>222</v>
      </c>
      <c r="Q987" s="141" t="s">
        <v>222</v>
      </c>
      <c r="R987" s="141" t="s">
        <v>222</v>
      </c>
      <c r="S987" s="141" t="s">
        <v>222</v>
      </c>
      <c r="T987" s="141" t="s">
        <v>222</v>
      </c>
      <c r="U987" s="141" t="s">
        <v>222</v>
      </c>
      <c r="V987" s="141" t="s">
        <v>222</v>
      </c>
      <c r="W987" s="141"/>
      <c r="X987" s="141"/>
      <c r="Y987" s="141"/>
      <c r="Z987" s="141"/>
    </row>
    <row r="988">
      <c r="A988" s="141"/>
      <c r="B988" s="141" t="s">
        <v>222</v>
      </c>
      <c r="C988" s="141" t="s">
        <v>222</v>
      </c>
      <c r="D988" s="141" t="s">
        <v>222</v>
      </c>
      <c r="E988" s="141" t="s">
        <v>222</v>
      </c>
      <c r="F988" s="141" t="s">
        <v>222</v>
      </c>
      <c r="G988" s="141" t="s">
        <v>222</v>
      </c>
      <c r="H988" s="141" t="s">
        <v>222</v>
      </c>
      <c r="I988" s="141" t="s">
        <v>222</v>
      </c>
      <c r="J988" s="141" t="s">
        <v>222</v>
      </c>
      <c r="K988" s="141" t="s">
        <v>222</v>
      </c>
      <c r="L988" s="141" t="s">
        <v>222</v>
      </c>
      <c r="M988" s="141" t="s">
        <v>222</v>
      </c>
      <c r="N988" s="141" t="s">
        <v>222</v>
      </c>
      <c r="O988" s="141" t="s">
        <v>222</v>
      </c>
      <c r="P988" s="141" t="s">
        <v>222</v>
      </c>
      <c r="Q988" s="141" t="s">
        <v>222</v>
      </c>
      <c r="R988" s="141" t="s">
        <v>222</v>
      </c>
      <c r="S988" s="141" t="s">
        <v>222</v>
      </c>
      <c r="T988" s="141" t="s">
        <v>222</v>
      </c>
      <c r="U988" s="141" t="s">
        <v>222</v>
      </c>
      <c r="V988" s="141" t="s">
        <v>222</v>
      </c>
      <c r="W988" s="141"/>
      <c r="X988" s="141"/>
      <c r="Y988" s="141"/>
      <c r="Z988" s="141"/>
    </row>
    <row r="989">
      <c r="A989" s="141"/>
      <c r="B989" s="141" t="s">
        <v>222</v>
      </c>
      <c r="C989" s="141" t="s">
        <v>222</v>
      </c>
      <c r="D989" s="141" t="s">
        <v>222</v>
      </c>
      <c r="E989" s="141" t="s">
        <v>222</v>
      </c>
      <c r="F989" s="141" t="s">
        <v>222</v>
      </c>
      <c r="G989" s="141" t="s">
        <v>222</v>
      </c>
      <c r="H989" s="141" t="s">
        <v>222</v>
      </c>
      <c r="I989" s="141" t="s">
        <v>222</v>
      </c>
      <c r="J989" s="141" t="s">
        <v>222</v>
      </c>
      <c r="K989" s="141" t="s">
        <v>222</v>
      </c>
      <c r="L989" s="141" t="s">
        <v>222</v>
      </c>
      <c r="M989" s="141" t="s">
        <v>222</v>
      </c>
      <c r="N989" s="141" t="s">
        <v>222</v>
      </c>
      <c r="O989" s="141" t="s">
        <v>222</v>
      </c>
      <c r="P989" s="141" t="s">
        <v>222</v>
      </c>
      <c r="Q989" s="141" t="s">
        <v>222</v>
      </c>
      <c r="R989" s="141" t="s">
        <v>222</v>
      </c>
      <c r="S989" s="141" t="s">
        <v>222</v>
      </c>
      <c r="T989" s="141" t="s">
        <v>222</v>
      </c>
      <c r="U989" s="141" t="s">
        <v>222</v>
      </c>
      <c r="V989" s="141" t="s">
        <v>222</v>
      </c>
      <c r="W989" s="141"/>
      <c r="X989" s="141"/>
      <c r="Y989" s="141"/>
      <c r="Z989" s="141"/>
    </row>
    <row r="990">
      <c r="A990" s="141"/>
      <c r="B990" s="141" t="s">
        <v>222</v>
      </c>
      <c r="C990" s="141" t="s">
        <v>222</v>
      </c>
      <c r="D990" s="141" t="s">
        <v>222</v>
      </c>
      <c r="E990" s="141" t="s">
        <v>222</v>
      </c>
      <c r="F990" s="141" t="s">
        <v>222</v>
      </c>
      <c r="G990" s="141" t="s">
        <v>222</v>
      </c>
      <c r="H990" s="141" t="s">
        <v>222</v>
      </c>
      <c r="I990" s="141" t="s">
        <v>222</v>
      </c>
      <c r="J990" s="141" t="s">
        <v>222</v>
      </c>
      <c r="K990" s="141" t="s">
        <v>222</v>
      </c>
      <c r="L990" s="141" t="s">
        <v>222</v>
      </c>
      <c r="M990" s="141" t="s">
        <v>222</v>
      </c>
      <c r="N990" s="141" t="s">
        <v>222</v>
      </c>
      <c r="O990" s="141" t="s">
        <v>222</v>
      </c>
      <c r="P990" s="141" t="s">
        <v>222</v>
      </c>
      <c r="Q990" s="141" t="s">
        <v>222</v>
      </c>
      <c r="R990" s="141" t="s">
        <v>222</v>
      </c>
      <c r="S990" s="141" t="s">
        <v>222</v>
      </c>
      <c r="T990" s="141" t="s">
        <v>222</v>
      </c>
      <c r="U990" s="141" t="s">
        <v>222</v>
      </c>
      <c r="V990" s="141" t="s">
        <v>222</v>
      </c>
      <c r="W990" s="141"/>
      <c r="X990" s="141"/>
      <c r="Y990" s="141"/>
      <c r="Z990" s="141"/>
    </row>
    <row r="991">
      <c r="A991" s="141"/>
      <c r="B991" s="141" t="s">
        <v>222</v>
      </c>
      <c r="C991" s="141" t="s">
        <v>222</v>
      </c>
      <c r="D991" s="141" t="s">
        <v>222</v>
      </c>
      <c r="E991" s="141" t="s">
        <v>222</v>
      </c>
      <c r="F991" s="141" t="s">
        <v>222</v>
      </c>
      <c r="G991" s="141" t="s">
        <v>222</v>
      </c>
      <c r="H991" s="141" t="s">
        <v>222</v>
      </c>
      <c r="I991" s="141" t="s">
        <v>222</v>
      </c>
      <c r="J991" s="141" t="s">
        <v>222</v>
      </c>
      <c r="K991" s="141" t="s">
        <v>222</v>
      </c>
      <c r="L991" s="141" t="s">
        <v>222</v>
      </c>
      <c r="M991" s="141" t="s">
        <v>222</v>
      </c>
      <c r="N991" s="141" t="s">
        <v>222</v>
      </c>
      <c r="O991" s="141" t="s">
        <v>222</v>
      </c>
      <c r="P991" s="141" t="s">
        <v>222</v>
      </c>
      <c r="Q991" s="141" t="s">
        <v>222</v>
      </c>
      <c r="R991" s="141" t="s">
        <v>222</v>
      </c>
      <c r="S991" s="141" t="s">
        <v>222</v>
      </c>
      <c r="T991" s="141" t="s">
        <v>222</v>
      </c>
      <c r="U991" s="141" t="s">
        <v>222</v>
      </c>
      <c r="V991" s="141" t="s">
        <v>222</v>
      </c>
      <c r="W991" s="141"/>
      <c r="X991" s="141"/>
      <c r="Y991" s="141"/>
      <c r="Z991" s="141"/>
    </row>
    <row r="992">
      <c r="A992" s="141"/>
      <c r="B992" s="141" t="s">
        <v>222</v>
      </c>
      <c r="C992" s="141" t="s">
        <v>222</v>
      </c>
      <c r="D992" s="141" t="s">
        <v>222</v>
      </c>
      <c r="E992" s="141" t="s">
        <v>222</v>
      </c>
      <c r="F992" s="141" t="s">
        <v>222</v>
      </c>
      <c r="G992" s="141" t="s">
        <v>222</v>
      </c>
      <c r="H992" s="141" t="s">
        <v>222</v>
      </c>
      <c r="I992" s="141" t="s">
        <v>222</v>
      </c>
      <c r="J992" s="141" t="s">
        <v>222</v>
      </c>
      <c r="K992" s="141" t="s">
        <v>222</v>
      </c>
      <c r="L992" s="141" t="s">
        <v>222</v>
      </c>
      <c r="M992" s="141" t="s">
        <v>222</v>
      </c>
      <c r="N992" s="141" t="s">
        <v>222</v>
      </c>
      <c r="O992" s="141" t="s">
        <v>222</v>
      </c>
      <c r="P992" s="141" t="s">
        <v>222</v>
      </c>
      <c r="Q992" s="141" t="s">
        <v>222</v>
      </c>
      <c r="R992" s="141" t="s">
        <v>222</v>
      </c>
      <c r="S992" s="141" t="s">
        <v>222</v>
      </c>
      <c r="T992" s="141" t="s">
        <v>222</v>
      </c>
      <c r="U992" s="141" t="s">
        <v>222</v>
      </c>
      <c r="V992" s="141" t="s">
        <v>222</v>
      </c>
      <c r="W992" s="141"/>
      <c r="X992" s="141"/>
      <c r="Y992" s="141"/>
      <c r="Z992" s="141"/>
    </row>
    <row r="993">
      <c r="A993" s="141"/>
      <c r="B993" s="141" t="s">
        <v>222</v>
      </c>
      <c r="C993" s="141" t="s">
        <v>222</v>
      </c>
      <c r="D993" s="141" t="s">
        <v>222</v>
      </c>
      <c r="E993" s="141" t="s">
        <v>222</v>
      </c>
      <c r="F993" s="141" t="s">
        <v>222</v>
      </c>
      <c r="G993" s="141" t="s">
        <v>222</v>
      </c>
      <c r="H993" s="141" t="s">
        <v>222</v>
      </c>
      <c r="I993" s="141" t="s">
        <v>222</v>
      </c>
      <c r="J993" s="141" t="s">
        <v>222</v>
      </c>
      <c r="K993" s="141" t="s">
        <v>222</v>
      </c>
      <c r="L993" s="141" t="s">
        <v>222</v>
      </c>
      <c r="M993" s="141" t="s">
        <v>222</v>
      </c>
      <c r="N993" s="141" t="s">
        <v>222</v>
      </c>
      <c r="O993" s="141" t="s">
        <v>222</v>
      </c>
      <c r="P993" s="141" t="s">
        <v>222</v>
      </c>
      <c r="Q993" s="141" t="s">
        <v>222</v>
      </c>
      <c r="R993" s="141" t="s">
        <v>222</v>
      </c>
      <c r="S993" s="141" t="s">
        <v>222</v>
      </c>
      <c r="T993" s="141" t="s">
        <v>222</v>
      </c>
      <c r="U993" s="141" t="s">
        <v>222</v>
      </c>
      <c r="V993" s="141" t="s">
        <v>222</v>
      </c>
      <c r="W993" s="141"/>
      <c r="X993" s="141"/>
      <c r="Y993" s="141"/>
      <c r="Z993" s="141"/>
    </row>
    <row r="994">
      <c r="A994" s="141"/>
      <c r="B994" s="141" t="s">
        <v>222</v>
      </c>
      <c r="C994" s="141" t="s">
        <v>222</v>
      </c>
      <c r="D994" s="141" t="s">
        <v>222</v>
      </c>
      <c r="E994" s="141" t="s">
        <v>222</v>
      </c>
      <c r="F994" s="141" t="s">
        <v>222</v>
      </c>
      <c r="G994" s="141" t="s">
        <v>222</v>
      </c>
      <c r="H994" s="141" t="s">
        <v>222</v>
      </c>
      <c r="I994" s="141" t="s">
        <v>222</v>
      </c>
      <c r="J994" s="141" t="s">
        <v>222</v>
      </c>
      <c r="K994" s="141" t="s">
        <v>222</v>
      </c>
      <c r="L994" s="141" t="s">
        <v>222</v>
      </c>
      <c r="M994" s="141" t="s">
        <v>222</v>
      </c>
      <c r="N994" s="141" t="s">
        <v>222</v>
      </c>
      <c r="O994" s="141" t="s">
        <v>222</v>
      </c>
      <c r="P994" s="141" t="s">
        <v>222</v>
      </c>
      <c r="Q994" s="141" t="s">
        <v>222</v>
      </c>
      <c r="R994" s="141" t="s">
        <v>222</v>
      </c>
      <c r="S994" s="141" t="s">
        <v>222</v>
      </c>
      <c r="T994" s="141" t="s">
        <v>222</v>
      </c>
      <c r="U994" s="141" t="s">
        <v>222</v>
      </c>
      <c r="V994" s="141" t="s">
        <v>222</v>
      </c>
      <c r="W994" s="141"/>
      <c r="X994" s="141"/>
      <c r="Y994" s="141"/>
      <c r="Z994" s="141"/>
    </row>
    <row r="995">
      <c r="A995" s="141"/>
      <c r="B995" s="141" t="s">
        <v>222</v>
      </c>
      <c r="C995" s="141" t="s">
        <v>222</v>
      </c>
      <c r="D995" s="141" t="s">
        <v>222</v>
      </c>
      <c r="E995" s="141" t="s">
        <v>222</v>
      </c>
      <c r="F995" s="141" t="s">
        <v>222</v>
      </c>
      <c r="G995" s="141" t="s">
        <v>222</v>
      </c>
      <c r="H995" s="141" t="s">
        <v>222</v>
      </c>
      <c r="I995" s="141" t="s">
        <v>222</v>
      </c>
      <c r="J995" s="141" t="s">
        <v>222</v>
      </c>
      <c r="K995" s="141" t="s">
        <v>222</v>
      </c>
      <c r="L995" s="141" t="s">
        <v>222</v>
      </c>
      <c r="M995" s="141" t="s">
        <v>222</v>
      </c>
      <c r="N995" s="141" t="s">
        <v>222</v>
      </c>
      <c r="O995" s="141" t="s">
        <v>222</v>
      </c>
      <c r="P995" s="141" t="s">
        <v>222</v>
      </c>
      <c r="Q995" s="141" t="s">
        <v>222</v>
      </c>
      <c r="R995" s="141" t="s">
        <v>222</v>
      </c>
      <c r="S995" s="141" t="s">
        <v>222</v>
      </c>
      <c r="T995" s="141" t="s">
        <v>222</v>
      </c>
      <c r="U995" s="141" t="s">
        <v>222</v>
      </c>
      <c r="V995" s="141" t="s">
        <v>222</v>
      </c>
      <c r="W995" s="141"/>
      <c r="X995" s="141"/>
      <c r="Y995" s="141"/>
      <c r="Z995" s="141"/>
    </row>
    <row r="996">
      <c r="A996" s="141"/>
      <c r="B996" s="141" t="s">
        <v>222</v>
      </c>
      <c r="C996" s="141" t="s">
        <v>222</v>
      </c>
      <c r="D996" s="141" t="s">
        <v>222</v>
      </c>
      <c r="E996" s="141" t="s">
        <v>222</v>
      </c>
      <c r="F996" s="141" t="s">
        <v>222</v>
      </c>
      <c r="G996" s="141" t="s">
        <v>222</v>
      </c>
      <c r="H996" s="141" t="s">
        <v>222</v>
      </c>
      <c r="I996" s="141" t="s">
        <v>222</v>
      </c>
      <c r="J996" s="141" t="s">
        <v>222</v>
      </c>
      <c r="K996" s="141" t="s">
        <v>222</v>
      </c>
      <c r="L996" s="141" t="s">
        <v>222</v>
      </c>
      <c r="M996" s="141" t="s">
        <v>222</v>
      </c>
      <c r="N996" s="141" t="s">
        <v>222</v>
      </c>
      <c r="O996" s="141" t="s">
        <v>222</v>
      </c>
      <c r="P996" s="141" t="s">
        <v>222</v>
      </c>
      <c r="Q996" s="141" t="s">
        <v>222</v>
      </c>
      <c r="R996" s="141" t="s">
        <v>222</v>
      </c>
      <c r="S996" s="141" t="s">
        <v>222</v>
      </c>
      <c r="T996" s="141" t="s">
        <v>222</v>
      </c>
      <c r="U996" s="141" t="s">
        <v>222</v>
      </c>
      <c r="V996" s="141" t="s">
        <v>222</v>
      </c>
      <c r="W996" s="141"/>
      <c r="X996" s="141"/>
      <c r="Y996" s="141"/>
      <c r="Z996" s="141"/>
    </row>
    <row r="997">
      <c r="A997" s="141"/>
      <c r="B997" s="141" t="s">
        <v>222</v>
      </c>
      <c r="C997" s="141" t="s">
        <v>222</v>
      </c>
      <c r="D997" s="141" t="s">
        <v>222</v>
      </c>
      <c r="E997" s="141" t="s">
        <v>222</v>
      </c>
      <c r="F997" s="141" t="s">
        <v>222</v>
      </c>
      <c r="G997" s="141" t="s">
        <v>222</v>
      </c>
      <c r="H997" s="141" t="s">
        <v>222</v>
      </c>
      <c r="I997" s="141" t="s">
        <v>222</v>
      </c>
      <c r="J997" s="141" t="s">
        <v>222</v>
      </c>
      <c r="K997" s="141" t="s">
        <v>222</v>
      </c>
      <c r="L997" s="141" t="s">
        <v>222</v>
      </c>
      <c r="M997" s="141" t="s">
        <v>222</v>
      </c>
      <c r="N997" s="141" t="s">
        <v>222</v>
      </c>
      <c r="O997" s="141" t="s">
        <v>222</v>
      </c>
      <c r="P997" s="141" t="s">
        <v>222</v>
      </c>
      <c r="Q997" s="141" t="s">
        <v>222</v>
      </c>
      <c r="R997" s="141" t="s">
        <v>222</v>
      </c>
      <c r="S997" s="141" t="s">
        <v>222</v>
      </c>
      <c r="T997" s="141" t="s">
        <v>222</v>
      </c>
      <c r="U997" s="141" t="s">
        <v>222</v>
      </c>
      <c r="V997" s="141" t="s">
        <v>222</v>
      </c>
      <c r="W997" s="141"/>
      <c r="X997" s="141"/>
      <c r="Y997" s="141"/>
      <c r="Z997" s="141"/>
    </row>
    <row r="998">
      <c r="A998" s="141"/>
      <c r="B998" s="141" t="s">
        <v>222</v>
      </c>
      <c r="C998" s="141" t="s">
        <v>222</v>
      </c>
      <c r="D998" s="141" t="s">
        <v>222</v>
      </c>
      <c r="E998" s="141" t="s">
        <v>222</v>
      </c>
      <c r="F998" s="141" t="s">
        <v>222</v>
      </c>
      <c r="G998" s="141" t="s">
        <v>222</v>
      </c>
      <c r="H998" s="141" t="s">
        <v>222</v>
      </c>
      <c r="I998" s="141" t="s">
        <v>222</v>
      </c>
      <c r="J998" s="141" t="s">
        <v>222</v>
      </c>
      <c r="K998" s="141" t="s">
        <v>222</v>
      </c>
      <c r="L998" s="141" t="s">
        <v>222</v>
      </c>
      <c r="M998" s="141" t="s">
        <v>222</v>
      </c>
      <c r="N998" s="141" t="s">
        <v>222</v>
      </c>
      <c r="O998" s="141" t="s">
        <v>222</v>
      </c>
      <c r="P998" s="141" t="s">
        <v>222</v>
      </c>
      <c r="Q998" s="141" t="s">
        <v>222</v>
      </c>
      <c r="R998" s="141" t="s">
        <v>222</v>
      </c>
      <c r="S998" s="141" t="s">
        <v>222</v>
      </c>
      <c r="T998" s="141" t="s">
        <v>222</v>
      </c>
      <c r="U998" s="141" t="s">
        <v>222</v>
      </c>
      <c r="V998" s="141" t="s">
        <v>222</v>
      </c>
      <c r="W998" s="141"/>
      <c r="X998" s="141"/>
      <c r="Y998" s="141"/>
      <c r="Z998" s="141"/>
    </row>
    <row r="999">
      <c r="A999" s="141"/>
      <c r="B999" s="141" t="s">
        <v>222</v>
      </c>
      <c r="C999" s="141" t="s">
        <v>222</v>
      </c>
      <c r="D999" s="141" t="s">
        <v>222</v>
      </c>
      <c r="E999" s="141" t="s">
        <v>222</v>
      </c>
      <c r="F999" s="141" t="s">
        <v>222</v>
      </c>
      <c r="G999" s="141" t="s">
        <v>222</v>
      </c>
      <c r="H999" s="141" t="s">
        <v>222</v>
      </c>
      <c r="I999" s="141" t="s">
        <v>222</v>
      </c>
      <c r="J999" s="141" t="s">
        <v>222</v>
      </c>
      <c r="K999" s="141" t="s">
        <v>222</v>
      </c>
      <c r="L999" s="141" t="s">
        <v>222</v>
      </c>
      <c r="M999" s="141" t="s">
        <v>222</v>
      </c>
      <c r="N999" s="141" t="s">
        <v>222</v>
      </c>
      <c r="O999" s="141" t="s">
        <v>222</v>
      </c>
      <c r="P999" s="141" t="s">
        <v>222</v>
      </c>
      <c r="Q999" s="141" t="s">
        <v>222</v>
      </c>
      <c r="R999" s="141" t="s">
        <v>222</v>
      </c>
      <c r="S999" s="141" t="s">
        <v>222</v>
      </c>
      <c r="T999" s="141" t="s">
        <v>222</v>
      </c>
      <c r="U999" s="141" t="s">
        <v>222</v>
      </c>
      <c r="V999" s="141" t="s">
        <v>222</v>
      </c>
      <c r="W999" s="141"/>
      <c r="X999" s="141"/>
      <c r="Y999" s="141"/>
      <c r="Z999" s="141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7.0"/>
    <col customWidth="1" min="3" max="3" width="15.86"/>
    <col customWidth="1" min="9" max="9" width="24.14"/>
    <col customWidth="1" min="10" max="10" width="19.71"/>
    <col customWidth="1" min="12" max="12" width="18.29"/>
  </cols>
  <sheetData>
    <row r="1">
      <c r="A1" s="142"/>
      <c r="B1" s="142" t="str">
        <f>IFERROR(__xludf.DUMMYFUNCTION("LET( ten_nv, 'Báo Cáo'!$A$2:$A17538, dong_thang, 'Báo Cáo'!$B$1:$Z$1, vung_so_lieu, 'Báo Cáo'!$B$2:$Z17538, vi_tri_thang_moi_nhat, COUNTA(dong_thang), thang_ten, INDEX(dong_thang, 1, vi_tri_thang_moi_nhat), cot_doanh_thu, INDEX(vung_so_lieu,, vi_tri_thang"&amp;"_moi_nhat), danh_sach_loc, FILTER( {ten_nv, cot_doanh_thu}, (cot_doanh_thu &gt; 0) * (ten_nv &lt;&gt; """") * (ten_nv &lt;&gt; ""Đoàn Lê Bách"") ), xep_hang, SORT(danh_sach_loc, 2, FALSE), { ""TOP DOANH THU "" &amp; thang_ten , """" ; ""Nhân viên"" , ""Doanh thu"" ; xep_han"&amp;"g } )"),"TOP DOANH THU 2026-T06")</f>
        <v>TOP DOANH THU 2026-T06</v>
      </c>
      <c r="C1" s="142" t="str">
        <f>IFERROR(__xludf.DUMMYFUNCTION("""COMPUTED_VALUE"""),"")</f>
        <v/>
      </c>
      <c r="I1" s="143" t="s">
        <v>305</v>
      </c>
    </row>
    <row r="2">
      <c r="A2" s="144" t="s">
        <v>306</v>
      </c>
      <c r="B2" s="142" t="str">
        <f>IFERROR(__xludf.DUMMYFUNCTION("""COMPUTED_VALUE"""),"Nhân viên")</f>
        <v>Nhân viên</v>
      </c>
      <c r="C2" s="142" t="str">
        <f>IFERROR(__xludf.DUMMYFUNCTION("""COMPUTED_VALUE"""),"Doanh thu")</f>
        <v>Doanh thu</v>
      </c>
      <c r="I2" s="145"/>
      <c r="J2" s="146"/>
      <c r="K2" s="147"/>
      <c r="L2" s="147"/>
    </row>
    <row r="3">
      <c r="A3" s="142">
        <f t="array" ref="A3:A17538">IF(B3:B17538="", "", RANK(C3:C17538, C3:C17538))</f>
        <v>1</v>
      </c>
      <c r="B3" s="141" t="str">
        <f>IFERROR(__xludf.DUMMYFUNCTION("""COMPUTED_VALUE"""),"Châu Thị Kim Ngân")</f>
        <v>Châu Thị Kim Ngân</v>
      </c>
      <c r="C3" s="141">
        <f>IFERROR(__xludf.DUMMYFUNCTION("""COMPUTED_VALUE"""),2.1826381045E8)</f>
        <v>218263810.5</v>
      </c>
      <c r="I3" s="148" t="s">
        <v>307</v>
      </c>
      <c r="J3" s="149"/>
      <c r="K3" s="147"/>
      <c r="L3" s="147"/>
    </row>
    <row r="4">
      <c r="A4" s="142">
        <v>2.0</v>
      </c>
      <c r="B4" s="141" t="str">
        <f>IFERROR(__xludf.DUMMYFUNCTION("""COMPUTED_VALUE"""),"Đinh Viết Hân")</f>
        <v>Đinh Viết Hân</v>
      </c>
      <c r="C4" s="141">
        <f>IFERROR(__xludf.DUMMYFUNCTION("""COMPUTED_VALUE"""),2.093466596E8)</f>
        <v>209346659.6</v>
      </c>
      <c r="I4" s="150" t="s">
        <v>308</v>
      </c>
      <c r="J4" s="151">
        <v>30.0</v>
      </c>
      <c r="K4" s="147"/>
      <c r="L4" s="147"/>
    </row>
    <row r="5">
      <c r="A5" s="142">
        <v>3.0</v>
      </c>
      <c r="B5" s="141" t="str">
        <f>IFERROR(__xludf.DUMMYFUNCTION("""COMPUTED_VALUE"""),"Bùi Thị Kiểu Chi")</f>
        <v>Bùi Thị Kiểu Chi</v>
      </c>
      <c r="C5" s="141">
        <f>IFERROR(__xludf.DUMMYFUNCTION("""COMPUTED_VALUE"""),1.9321517636363634E8)</f>
        <v>193215176.4</v>
      </c>
      <c r="I5" s="150" t="s">
        <v>309</v>
      </c>
      <c r="J5" s="152">
        <v>1.5E10</v>
      </c>
      <c r="K5" s="147"/>
      <c r="L5" s="147"/>
    </row>
    <row r="6">
      <c r="A6" s="142" t="s">
        <v>222</v>
      </c>
      <c r="B6" s="142"/>
      <c r="C6" s="142"/>
      <c r="I6" s="150" t="s">
        <v>310</v>
      </c>
      <c r="J6" s="153">
        <v>5.0E8</v>
      </c>
      <c r="K6" s="147"/>
      <c r="L6" s="147"/>
    </row>
    <row r="7">
      <c r="A7" s="142" t="s">
        <v>222</v>
      </c>
      <c r="B7" s="142"/>
      <c r="C7" s="142"/>
      <c r="I7" s="150" t="s">
        <v>311</v>
      </c>
      <c r="J7" s="153">
        <v>1.2E8</v>
      </c>
      <c r="K7" s="147"/>
      <c r="L7" s="147"/>
    </row>
    <row r="8">
      <c r="A8" s="142" t="s">
        <v>222</v>
      </c>
      <c r="B8" s="142"/>
      <c r="C8" s="142"/>
      <c r="I8" s="145"/>
      <c r="J8" s="146"/>
      <c r="K8" s="147"/>
      <c r="L8" s="147"/>
    </row>
    <row r="9">
      <c r="A9" s="142" t="s">
        <v>222</v>
      </c>
      <c r="B9" s="142"/>
      <c r="C9" s="142"/>
      <c r="I9" s="154" t="s">
        <v>312</v>
      </c>
    </row>
    <row r="10">
      <c r="A10" s="142" t="s">
        <v>222</v>
      </c>
      <c r="B10" s="142"/>
      <c r="C10" s="142"/>
      <c r="I10" s="155" t="s">
        <v>8</v>
      </c>
      <c r="J10" s="156" t="s">
        <v>313</v>
      </c>
      <c r="K10" s="157" t="s">
        <v>314</v>
      </c>
      <c r="L10" s="157" t="s">
        <v>315</v>
      </c>
    </row>
    <row r="11">
      <c r="A11" s="142" t="s">
        <v>222</v>
      </c>
      <c r="B11" s="142"/>
      <c r="C11" s="142"/>
      <c r="I11" s="158" t="s">
        <v>316</v>
      </c>
      <c r="J11" s="159">
        <v>3.0E9</v>
      </c>
      <c r="K11" s="160">
        <f t="shared" ref="K11:K22" si="1">J11/$J$7</f>
        <v>25</v>
      </c>
      <c r="L11" s="160">
        <f t="shared" ref="L11:L22" si="2">K11/12</f>
        <v>2.083333333</v>
      </c>
    </row>
    <row r="12">
      <c r="A12" s="142" t="s">
        <v>222</v>
      </c>
      <c r="B12" s="142"/>
      <c r="C12" s="142"/>
      <c r="I12" s="161" t="s">
        <v>317</v>
      </c>
      <c r="J12" s="162">
        <v>8.0E8</v>
      </c>
      <c r="K12" s="160">
        <f t="shared" si="1"/>
        <v>6.666666667</v>
      </c>
      <c r="L12" s="160">
        <f t="shared" si="2"/>
        <v>0.5555555556</v>
      </c>
    </row>
    <row r="13">
      <c r="A13" s="142" t="s">
        <v>222</v>
      </c>
      <c r="B13" s="142"/>
      <c r="C13" s="142"/>
      <c r="I13" s="158" t="s">
        <v>318</v>
      </c>
      <c r="J13" s="159">
        <v>8.0E8</v>
      </c>
      <c r="K13" s="160">
        <f t="shared" si="1"/>
        <v>6.666666667</v>
      </c>
      <c r="L13" s="160">
        <f t="shared" si="2"/>
        <v>0.5555555556</v>
      </c>
    </row>
    <row r="14">
      <c r="A14" s="142" t="s">
        <v>222</v>
      </c>
      <c r="B14" s="142"/>
      <c r="C14" s="142"/>
      <c r="I14" s="161" t="s">
        <v>319</v>
      </c>
      <c r="J14" s="162">
        <v>1.0E9</v>
      </c>
      <c r="K14" s="160">
        <f t="shared" si="1"/>
        <v>8.333333333</v>
      </c>
      <c r="L14" s="160">
        <f t="shared" si="2"/>
        <v>0.6944444444</v>
      </c>
    </row>
    <row r="15">
      <c r="A15" s="163" t="s">
        <v>222</v>
      </c>
      <c r="B15" s="163"/>
      <c r="C15" s="163"/>
      <c r="I15" s="158" t="s">
        <v>320</v>
      </c>
      <c r="J15" s="159">
        <v>1.6E9</v>
      </c>
      <c r="K15" s="160">
        <f t="shared" si="1"/>
        <v>13.33333333</v>
      </c>
      <c r="L15" s="160">
        <f t="shared" si="2"/>
        <v>1.111111111</v>
      </c>
    </row>
    <row r="16">
      <c r="A16" s="163" t="s">
        <v>222</v>
      </c>
      <c r="B16" s="163"/>
      <c r="C16" s="163"/>
      <c r="I16" s="161" t="s">
        <v>321</v>
      </c>
      <c r="J16" s="162">
        <v>2.0E9</v>
      </c>
      <c r="K16" s="160">
        <f t="shared" si="1"/>
        <v>16.66666667</v>
      </c>
      <c r="L16" s="160">
        <f t="shared" si="2"/>
        <v>1.388888889</v>
      </c>
    </row>
    <row r="17">
      <c r="A17" s="163" t="s">
        <v>222</v>
      </c>
      <c r="B17" s="163"/>
      <c r="C17" s="163"/>
      <c r="I17" s="158" t="s">
        <v>322</v>
      </c>
      <c r="J17" s="159">
        <v>1.2E9</v>
      </c>
      <c r="K17" s="160">
        <f t="shared" si="1"/>
        <v>10</v>
      </c>
      <c r="L17" s="160">
        <f t="shared" si="2"/>
        <v>0.8333333333</v>
      </c>
    </row>
    <row r="18">
      <c r="A18" s="163" t="s">
        <v>222</v>
      </c>
      <c r="B18" s="163"/>
      <c r="C18" s="163"/>
      <c r="I18" s="161" t="s">
        <v>323</v>
      </c>
      <c r="J18" s="162">
        <v>1.2E9</v>
      </c>
      <c r="K18" s="160">
        <f t="shared" si="1"/>
        <v>10</v>
      </c>
      <c r="L18" s="160">
        <f t="shared" si="2"/>
        <v>0.8333333333</v>
      </c>
    </row>
    <row r="19">
      <c r="A19" s="163" t="s">
        <v>222</v>
      </c>
      <c r="B19" s="163"/>
      <c r="C19" s="163"/>
      <c r="I19" s="164" t="s">
        <v>324</v>
      </c>
      <c r="J19" s="162">
        <v>2.0E9</v>
      </c>
      <c r="K19" s="160">
        <f t="shared" si="1"/>
        <v>16.66666667</v>
      </c>
      <c r="L19" s="160">
        <f t="shared" si="2"/>
        <v>1.388888889</v>
      </c>
    </row>
    <row r="20">
      <c r="A20" s="163" t="s">
        <v>222</v>
      </c>
      <c r="B20" s="163"/>
      <c r="C20" s="163"/>
      <c r="I20" s="164" t="s">
        <v>325</v>
      </c>
      <c r="J20" s="159">
        <v>1.6E9</v>
      </c>
      <c r="K20" s="160">
        <f t="shared" si="1"/>
        <v>13.33333333</v>
      </c>
      <c r="L20" s="160">
        <f t="shared" si="2"/>
        <v>1.111111111</v>
      </c>
    </row>
    <row r="21">
      <c r="A21" s="163" t="s">
        <v>222</v>
      </c>
      <c r="B21" s="163"/>
      <c r="C21" s="163"/>
      <c r="I21" s="158" t="s">
        <v>83</v>
      </c>
      <c r="J21" s="159">
        <v>3.0E9</v>
      </c>
      <c r="K21" s="160">
        <f t="shared" si="1"/>
        <v>25</v>
      </c>
      <c r="L21" s="160">
        <f t="shared" si="2"/>
        <v>2.083333333</v>
      </c>
    </row>
    <row r="22">
      <c r="A22" s="163" t="s">
        <v>222</v>
      </c>
      <c r="B22" s="163"/>
      <c r="C22" s="163"/>
      <c r="I22" s="161" t="s">
        <v>326</v>
      </c>
      <c r="J22" s="162">
        <f>SUM(J10:J21)</f>
        <v>18200000000</v>
      </c>
      <c r="K22" s="160">
        <f t="shared" si="1"/>
        <v>151.6666667</v>
      </c>
      <c r="L22" s="160">
        <f t="shared" si="2"/>
        <v>12.63888889</v>
      </c>
    </row>
    <row r="23">
      <c r="A23" s="163" t="s">
        <v>222</v>
      </c>
      <c r="B23" s="163"/>
      <c r="C23" s="163"/>
      <c r="J23" s="165"/>
      <c r="K23" s="166"/>
      <c r="L23" s="166"/>
    </row>
    <row r="24">
      <c r="A24" s="163" t="s">
        <v>222</v>
      </c>
      <c r="B24" s="163"/>
      <c r="C24" s="163"/>
      <c r="J24" s="165"/>
      <c r="K24" s="166"/>
      <c r="L24" s="166"/>
    </row>
    <row r="25">
      <c r="A25" s="163" t="s">
        <v>222</v>
      </c>
      <c r="B25" s="163"/>
      <c r="C25" s="163"/>
      <c r="J25" s="165"/>
      <c r="K25" s="166"/>
      <c r="L25" s="166"/>
    </row>
    <row r="26">
      <c r="A26" s="163" t="s">
        <v>222</v>
      </c>
      <c r="B26" s="163"/>
      <c r="C26" s="163"/>
      <c r="J26" s="165"/>
      <c r="K26" s="166"/>
      <c r="L26" s="166"/>
    </row>
    <row r="27">
      <c r="A27" s="163" t="s">
        <v>222</v>
      </c>
      <c r="B27" s="163"/>
      <c r="C27" s="163"/>
      <c r="J27" s="165"/>
      <c r="K27" s="166"/>
      <c r="L27" s="166"/>
    </row>
    <row r="28">
      <c r="A28" s="163" t="s">
        <v>222</v>
      </c>
      <c r="B28" s="163"/>
      <c r="C28" s="163"/>
      <c r="J28" s="165"/>
      <c r="K28" s="166"/>
      <c r="L28" s="166"/>
    </row>
    <row r="29">
      <c r="A29" s="163" t="s">
        <v>222</v>
      </c>
      <c r="B29" s="163"/>
      <c r="C29" s="163"/>
      <c r="J29" s="165"/>
      <c r="K29" s="166"/>
      <c r="L29" s="166"/>
    </row>
    <row r="30">
      <c r="A30" s="163" t="s">
        <v>222</v>
      </c>
      <c r="B30" s="163"/>
      <c r="C30" s="163"/>
      <c r="J30" s="165"/>
      <c r="K30" s="166"/>
      <c r="L30" s="166"/>
    </row>
    <row r="31">
      <c r="A31" s="163" t="s">
        <v>222</v>
      </c>
      <c r="B31" s="163"/>
      <c r="C31" s="163"/>
      <c r="J31" s="165"/>
      <c r="K31" s="166"/>
      <c r="L31" s="166"/>
    </row>
    <row r="32">
      <c r="A32" s="163" t="s">
        <v>222</v>
      </c>
      <c r="B32" s="163"/>
      <c r="C32" s="163"/>
      <c r="J32" s="165"/>
      <c r="K32" s="166"/>
      <c r="L32" s="166"/>
    </row>
    <row r="33">
      <c r="A33" s="163" t="s">
        <v>222</v>
      </c>
      <c r="B33" s="163"/>
      <c r="C33" s="163"/>
      <c r="J33" s="165"/>
      <c r="K33" s="166"/>
      <c r="L33" s="166"/>
    </row>
    <row r="34">
      <c r="A34" s="163" t="s">
        <v>222</v>
      </c>
      <c r="B34" s="163"/>
      <c r="C34" s="163"/>
      <c r="J34" s="165"/>
      <c r="K34" s="166"/>
      <c r="L34" s="166"/>
    </row>
    <row r="35">
      <c r="A35" s="163" t="s">
        <v>222</v>
      </c>
      <c r="B35" s="163"/>
      <c r="C35" s="163"/>
      <c r="J35" s="165"/>
      <c r="K35" s="166"/>
      <c r="L35" s="166"/>
    </row>
    <row r="36">
      <c r="A36" s="163" t="s">
        <v>222</v>
      </c>
      <c r="B36" s="163"/>
      <c r="C36" s="163"/>
      <c r="J36" s="165"/>
      <c r="K36" s="166"/>
      <c r="L36" s="166"/>
    </row>
    <row r="37">
      <c r="A37" s="163" t="s">
        <v>222</v>
      </c>
      <c r="B37" s="163"/>
      <c r="C37" s="163"/>
      <c r="J37" s="165"/>
      <c r="K37" s="166"/>
      <c r="L37" s="166"/>
    </row>
    <row r="38">
      <c r="A38" s="163" t="s">
        <v>222</v>
      </c>
      <c r="B38" s="163"/>
      <c r="C38" s="163"/>
      <c r="J38" s="165"/>
      <c r="K38" s="166"/>
      <c r="L38" s="166"/>
    </row>
    <row r="39">
      <c r="A39" s="163" t="s">
        <v>222</v>
      </c>
      <c r="B39" s="163"/>
      <c r="C39" s="163"/>
      <c r="J39" s="165"/>
      <c r="K39" s="166"/>
      <c r="L39" s="166"/>
    </row>
    <row r="40">
      <c r="A40" s="163" t="s">
        <v>222</v>
      </c>
      <c r="B40" s="163"/>
      <c r="C40" s="163"/>
      <c r="J40" s="165"/>
      <c r="K40" s="166"/>
      <c r="L40" s="166"/>
    </row>
    <row r="41">
      <c r="A41" s="163" t="s">
        <v>222</v>
      </c>
      <c r="B41" s="163"/>
      <c r="C41" s="163"/>
      <c r="J41" s="165"/>
      <c r="K41" s="166"/>
      <c r="L41" s="166"/>
    </row>
    <row r="42">
      <c r="A42" s="163" t="s">
        <v>222</v>
      </c>
      <c r="B42" s="163"/>
      <c r="C42" s="163"/>
      <c r="J42" s="165"/>
      <c r="K42" s="166"/>
      <c r="L42" s="166"/>
    </row>
    <row r="43">
      <c r="A43" s="163" t="s">
        <v>222</v>
      </c>
      <c r="B43" s="163"/>
      <c r="C43" s="163"/>
      <c r="J43" s="165"/>
      <c r="K43" s="166"/>
      <c r="L43" s="166"/>
    </row>
    <row r="44">
      <c r="A44" s="163" t="s">
        <v>222</v>
      </c>
      <c r="B44" s="163"/>
      <c r="C44" s="163"/>
      <c r="J44" s="165"/>
      <c r="K44" s="166"/>
      <c r="L44" s="166"/>
    </row>
    <row r="45">
      <c r="A45" s="163" t="s">
        <v>222</v>
      </c>
      <c r="B45" s="163"/>
      <c r="C45" s="163"/>
      <c r="J45" s="165"/>
      <c r="K45" s="166"/>
      <c r="L45" s="166"/>
    </row>
    <row r="46">
      <c r="A46" s="163" t="s">
        <v>222</v>
      </c>
      <c r="B46" s="163"/>
      <c r="C46" s="163"/>
      <c r="J46" s="165"/>
      <c r="K46" s="166"/>
      <c r="L46" s="166"/>
    </row>
    <row r="47">
      <c r="A47" s="163" t="s">
        <v>222</v>
      </c>
      <c r="B47" s="163"/>
      <c r="C47" s="163"/>
      <c r="J47" s="165"/>
      <c r="K47" s="166"/>
      <c r="L47" s="166"/>
    </row>
    <row r="48">
      <c r="A48" s="163" t="s">
        <v>222</v>
      </c>
      <c r="B48" s="163"/>
      <c r="C48" s="163"/>
      <c r="J48" s="165"/>
      <c r="K48" s="166"/>
      <c r="L48" s="166"/>
    </row>
    <row r="49">
      <c r="A49" s="163" t="s">
        <v>222</v>
      </c>
      <c r="B49" s="163"/>
      <c r="C49" s="163"/>
      <c r="J49" s="165"/>
      <c r="K49" s="166"/>
      <c r="L49" s="166"/>
    </row>
    <row r="50">
      <c r="A50" s="163" t="s">
        <v>222</v>
      </c>
      <c r="B50" s="163"/>
      <c r="C50" s="163"/>
      <c r="J50" s="165"/>
      <c r="K50" s="166"/>
      <c r="L50" s="166"/>
    </row>
    <row r="51">
      <c r="A51" s="163" t="s">
        <v>222</v>
      </c>
      <c r="B51" s="163"/>
      <c r="C51" s="163"/>
      <c r="J51" s="165"/>
      <c r="K51" s="166"/>
      <c r="L51" s="166"/>
    </row>
    <row r="52">
      <c r="A52" s="163" t="s">
        <v>222</v>
      </c>
      <c r="B52" s="163"/>
      <c r="C52" s="163"/>
      <c r="J52" s="165"/>
      <c r="K52" s="166"/>
      <c r="L52" s="166"/>
    </row>
    <row r="53">
      <c r="A53" s="163" t="s">
        <v>222</v>
      </c>
      <c r="B53" s="163"/>
      <c r="C53" s="163"/>
      <c r="J53" s="165"/>
      <c r="K53" s="166"/>
      <c r="L53" s="166"/>
    </row>
    <row r="54">
      <c r="A54" s="163" t="s">
        <v>222</v>
      </c>
      <c r="B54" s="163"/>
      <c r="C54" s="163"/>
      <c r="J54" s="165"/>
      <c r="K54" s="166"/>
      <c r="L54" s="166"/>
    </row>
    <row r="55">
      <c r="A55" s="163" t="s">
        <v>222</v>
      </c>
      <c r="B55" s="163"/>
      <c r="C55" s="163"/>
      <c r="J55" s="165"/>
      <c r="K55" s="166"/>
      <c r="L55" s="166"/>
    </row>
    <row r="56">
      <c r="A56" s="163" t="s">
        <v>222</v>
      </c>
      <c r="B56" s="163"/>
      <c r="C56" s="163"/>
      <c r="J56" s="165"/>
      <c r="K56" s="166"/>
      <c r="L56" s="166"/>
    </row>
    <row r="57">
      <c r="A57" s="163" t="s">
        <v>222</v>
      </c>
      <c r="B57" s="163"/>
      <c r="C57" s="163"/>
      <c r="J57" s="165"/>
      <c r="K57" s="166"/>
      <c r="L57" s="166"/>
    </row>
    <row r="58">
      <c r="A58" s="163" t="s">
        <v>222</v>
      </c>
      <c r="B58" s="163"/>
      <c r="C58" s="163"/>
      <c r="J58" s="165"/>
      <c r="K58" s="166"/>
      <c r="L58" s="166"/>
    </row>
    <row r="59">
      <c r="A59" s="163" t="s">
        <v>222</v>
      </c>
      <c r="B59" s="163"/>
      <c r="C59" s="163"/>
      <c r="J59" s="165"/>
      <c r="K59" s="166"/>
      <c r="L59" s="166"/>
    </row>
    <row r="60">
      <c r="A60" s="163" t="s">
        <v>222</v>
      </c>
      <c r="B60" s="163"/>
      <c r="C60" s="163"/>
      <c r="J60" s="165"/>
      <c r="K60" s="166"/>
      <c r="L60" s="166"/>
    </row>
    <row r="61">
      <c r="A61" s="163" t="s">
        <v>222</v>
      </c>
      <c r="B61" s="163"/>
      <c r="C61" s="163"/>
      <c r="J61" s="165"/>
      <c r="K61" s="166"/>
      <c r="L61" s="166"/>
    </row>
    <row r="62">
      <c r="A62" s="163" t="s">
        <v>222</v>
      </c>
      <c r="B62" s="163"/>
      <c r="C62" s="163"/>
      <c r="J62" s="165"/>
      <c r="K62" s="166"/>
      <c r="L62" s="166"/>
    </row>
    <row r="63">
      <c r="A63" s="163" t="s">
        <v>222</v>
      </c>
      <c r="B63" s="163"/>
      <c r="C63" s="163"/>
      <c r="J63" s="165"/>
      <c r="K63" s="166"/>
      <c r="L63" s="166"/>
    </row>
    <row r="64">
      <c r="A64" s="163" t="s">
        <v>222</v>
      </c>
      <c r="B64" s="163"/>
      <c r="C64" s="163"/>
      <c r="J64" s="165"/>
      <c r="K64" s="166"/>
      <c r="L64" s="166"/>
    </row>
    <row r="65">
      <c r="A65" s="163" t="s">
        <v>222</v>
      </c>
      <c r="B65" s="163"/>
      <c r="C65" s="163"/>
      <c r="J65" s="165"/>
      <c r="K65" s="166"/>
      <c r="L65" s="166"/>
    </row>
    <row r="66">
      <c r="A66" s="163" t="s">
        <v>222</v>
      </c>
      <c r="B66" s="163"/>
      <c r="C66" s="163"/>
      <c r="J66" s="165"/>
      <c r="K66" s="166"/>
      <c r="L66" s="166"/>
    </row>
    <row r="67">
      <c r="A67" s="163" t="s">
        <v>222</v>
      </c>
      <c r="B67" s="163"/>
      <c r="C67" s="163"/>
      <c r="J67" s="165"/>
      <c r="K67" s="166"/>
      <c r="L67" s="166"/>
    </row>
    <row r="68">
      <c r="A68" s="163" t="s">
        <v>222</v>
      </c>
      <c r="B68" s="163"/>
      <c r="C68" s="163"/>
      <c r="J68" s="165"/>
      <c r="K68" s="166"/>
      <c r="L68" s="166"/>
    </row>
    <row r="69">
      <c r="A69" s="163" t="s">
        <v>222</v>
      </c>
      <c r="B69" s="163"/>
      <c r="C69" s="163"/>
      <c r="J69" s="165"/>
      <c r="K69" s="166"/>
      <c r="L69" s="166"/>
    </row>
    <row r="70">
      <c r="A70" s="163" t="s">
        <v>222</v>
      </c>
      <c r="B70" s="163"/>
      <c r="C70" s="163"/>
      <c r="J70" s="165"/>
      <c r="K70" s="166"/>
      <c r="L70" s="166"/>
    </row>
    <row r="71">
      <c r="A71" s="163" t="s">
        <v>222</v>
      </c>
      <c r="B71" s="163"/>
      <c r="C71" s="163"/>
      <c r="J71" s="165"/>
      <c r="K71" s="166"/>
      <c r="L71" s="166"/>
    </row>
    <row r="72">
      <c r="A72" s="163" t="s">
        <v>222</v>
      </c>
      <c r="B72" s="163"/>
      <c r="C72" s="163"/>
      <c r="J72" s="165"/>
      <c r="K72" s="166"/>
      <c r="L72" s="166"/>
    </row>
    <row r="73">
      <c r="A73" s="163" t="s">
        <v>222</v>
      </c>
      <c r="B73" s="163"/>
      <c r="C73" s="163"/>
      <c r="J73" s="165"/>
      <c r="K73" s="166"/>
      <c r="L73" s="166"/>
    </row>
    <row r="74">
      <c r="A74" s="163" t="s">
        <v>222</v>
      </c>
      <c r="B74" s="163"/>
      <c r="C74" s="163"/>
      <c r="J74" s="165"/>
      <c r="K74" s="166"/>
      <c r="L74" s="166"/>
    </row>
    <row r="75">
      <c r="A75" s="163" t="s">
        <v>222</v>
      </c>
      <c r="B75" s="163"/>
      <c r="C75" s="163"/>
      <c r="J75" s="165"/>
      <c r="K75" s="166"/>
      <c r="L75" s="166"/>
    </row>
    <row r="76">
      <c r="A76" s="163" t="s">
        <v>222</v>
      </c>
      <c r="B76" s="163"/>
      <c r="C76" s="163"/>
      <c r="J76" s="165"/>
      <c r="K76" s="166"/>
      <c r="L76" s="166"/>
    </row>
    <row r="77">
      <c r="A77" s="163" t="s">
        <v>222</v>
      </c>
      <c r="B77" s="163"/>
      <c r="C77" s="163"/>
      <c r="J77" s="165"/>
      <c r="K77" s="166"/>
      <c r="L77" s="166"/>
    </row>
    <row r="78">
      <c r="A78" s="163" t="s">
        <v>222</v>
      </c>
      <c r="B78" s="163"/>
      <c r="C78" s="163"/>
      <c r="J78" s="165"/>
      <c r="K78" s="166"/>
      <c r="L78" s="166"/>
    </row>
    <row r="79">
      <c r="A79" s="163" t="s">
        <v>222</v>
      </c>
      <c r="B79" s="163"/>
      <c r="C79" s="163"/>
      <c r="J79" s="165"/>
      <c r="K79" s="166"/>
      <c r="L79" s="166"/>
    </row>
    <row r="80">
      <c r="A80" s="163" t="s">
        <v>222</v>
      </c>
      <c r="B80" s="163"/>
      <c r="C80" s="163"/>
      <c r="J80" s="165"/>
      <c r="K80" s="166"/>
      <c r="L80" s="166"/>
    </row>
    <row r="81">
      <c r="A81" s="163" t="s">
        <v>222</v>
      </c>
      <c r="B81" s="163"/>
      <c r="C81" s="163"/>
      <c r="J81" s="165"/>
      <c r="K81" s="166"/>
      <c r="L81" s="166"/>
    </row>
    <row r="82">
      <c r="A82" s="163" t="s">
        <v>222</v>
      </c>
      <c r="B82" s="163"/>
      <c r="C82" s="163"/>
      <c r="J82" s="165"/>
      <c r="K82" s="166"/>
      <c r="L82" s="166"/>
    </row>
    <row r="83">
      <c r="A83" s="163" t="s">
        <v>222</v>
      </c>
      <c r="B83" s="163"/>
      <c r="C83" s="163"/>
      <c r="J83" s="165"/>
      <c r="K83" s="166"/>
      <c r="L83" s="166"/>
    </row>
    <row r="84">
      <c r="A84" s="163" t="s">
        <v>222</v>
      </c>
      <c r="B84" s="163"/>
      <c r="C84" s="163"/>
      <c r="J84" s="165"/>
      <c r="K84" s="166"/>
      <c r="L84" s="166"/>
    </row>
    <row r="85">
      <c r="A85" s="163" t="s">
        <v>222</v>
      </c>
      <c r="B85" s="163"/>
      <c r="C85" s="163"/>
      <c r="J85" s="165"/>
      <c r="K85" s="166"/>
      <c r="L85" s="166"/>
    </row>
    <row r="86">
      <c r="A86" s="163" t="s">
        <v>222</v>
      </c>
      <c r="B86" s="163"/>
      <c r="C86" s="163"/>
      <c r="J86" s="165"/>
      <c r="K86" s="166"/>
      <c r="L86" s="166"/>
    </row>
    <row r="87">
      <c r="A87" s="163" t="s">
        <v>222</v>
      </c>
      <c r="B87" s="163"/>
      <c r="C87" s="163"/>
      <c r="J87" s="165"/>
      <c r="K87" s="166"/>
      <c r="L87" s="166"/>
    </row>
    <row r="88">
      <c r="A88" s="163" t="s">
        <v>222</v>
      </c>
      <c r="B88" s="163"/>
      <c r="C88" s="163"/>
      <c r="J88" s="165"/>
      <c r="K88" s="166"/>
      <c r="L88" s="166"/>
    </row>
    <row r="89">
      <c r="A89" s="163" t="s">
        <v>222</v>
      </c>
      <c r="B89" s="163"/>
      <c r="C89" s="163"/>
      <c r="J89" s="165"/>
      <c r="K89" s="166"/>
      <c r="L89" s="166"/>
    </row>
    <row r="90">
      <c r="A90" s="163" t="s">
        <v>222</v>
      </c>
      <c r="B90" s="163"/>
      <c r="C90" s="163"/>
      <c r="J90" s="165"/>
      <c r="K90" s="166"/>
      <c r="L90" s="166"/>
    </row>
    <row r="91">
      <c r="A91" s="163" t="s">
        <v>222</v>
      </c>
      <c r="B91" s="163"/>
      <c r="C91" s="163"/>
      <c r="J91" s="165"/>
      <c r="K91" s="166"/>
      <c r="L91" s="166"/>
    </row>
    <row r="92">
      <c r="A92" s="163" t="s">
        <v>222</v>
      </c>
      <c r="B92" s="163"/>
      <c r="C92" s="163"/>
      <c r="J92" s="165"/>
      <c r="K92" s="166"/>
      <c r="L92" s="166"/>
    </row>
    <row r="93">
      <c r="A93" s="163" t="s">
        <v>222</v>
      </c>
      <c r="B93" s="163"/>
      <c r="C93" s="163"/>
      <c r="J93" s="165"/>
      <c r="K93" s="166"/>
      <c r="L93" s="166"/>
    </row>
    <row r="94">
      <c r="A94" s="163" t="s">
        <v>222</v>
      </c>
      <c r="B94" s="163"/>
      <c r="C94" s="163"/>
      <c r="J94" s="165"/>
      <c r="K94" s="166"/>
      <c r="L94" s="166"/>
    </row>
    <row r="95">
      <c r="A95" s="163" t="s">
        <v>222</v>
      </c>
      <c r="B95" s="163"/>
      <c r="C95" s="163"/>
      <c r="J95" s="165"/>
      <c r="K95" s="166"/>
      <c r="L95" s="166"/>
    </row>
    <row r="96">
      <c r="A96" s="163" t="s">
        <v>222</v>
      </c>
      <c r="B96" s="163"/>
      <c r="C96" s="163"/>
      <c r="J96" s="165"/>
      <c r="K96" s="166"/>
      <c r="L96" s="166"/>
    </row>
    <row r="97">
      <c r="A97" s="163" t="s">
        <v>222</v>
      </c>
      <c r="B97" s="163"/>
      <c r="C97" s="163"/>
      <c r="J97" s="165"/>
      <c r="K97" s="166"/>
      <c r="L97" s="166"/>
    </row>
    <row r="98">
      <c r="A98" s="163" t="s">
        <v>222</v>
      </c>
      <c r="B98" s="163"/>
      <c r="C98" s="163"/>
      <c r="J98" s="165"/>
      <c r="K98" s="166"/>
      <c r="L98" s="166"/>
    </row>
    <row r="99">
      <c r="A99" s="163" t="s">
        <v>222</v>
      </c>
      <c r="B99" s="163"/>
      <c r="C99" s="163"/>
      <c r="J99" s="165"/>
      <c r="K99" s="166"/>
      <c r="L99" s="166"/>
    </row>
    <row r="100">
      <c r="A100" s="163" t="s">
        <v>222</v>
      </c>
      <c r="B100" s="163"/>
      <c r="C100" s="163"/>
      <c r="J100" s="165"/>
      <c r="K100" s="166"/>
      <c r="L100" s="166"/>
    </row>
    <row r="101">
      <c r="A101" s="163" t="s">
        <v>222</v>
      </c>
      <c r="B101" s="163"/>
      <c r="C101" s="163"/>
      <c r="J101" s="165"/>
      <c r="K101" s="166"/>
      <c r="L101" s="166"/>
    </row>
    <row r="102">
      <c r="A102" s="163" t="s">
        <v>222</v>
      </c>
      <c r="B102" s="163"/>
      <c r="C102" s="163"/>
      <c r="J102" s="165"/>
      <c r="K102" s="166"/>
      <c r="L102" s="166"/>
    </row>
    <row r="103">
      <c r="A103" s="163" t="s">
        <v>222</v>
      </c>
      <c r="B103" s="163"/>
      <c r="C103" s="163"/>
      <c r="J103" s="165"/>
      <c r="K103" s="166"/>
      <c r="L103" s="166"/>
    </row>
    <row r="104">
      <c r="A104" s="163" t="s">
        <v>222</v>
      </c>
      <c r="B104" s="163"/>
      <c r="C104" s="163"/>
      <c r="J104" s="165"/>
      <c r="K104" s="166"/>
      <c r="L104" s="166"/>
    </row>
    <row r="105">
      <c r="A105" s="163" t="s">
        <v>222</v>
      </c>
      <c r="B105" s="163"/>
      <c r="C105" s="163"/>
      <c r="J105" s="165"/>
      <c r="K105" s="166"/>
      <c r="L105" s="166"/>
    </row>
    <row r="106">
      <c r="A106" s="163" t="s">
        <v>222</v>
      </c>
      <c r="B106" s="163"/>
      <c r="C106" s="163"/>
      <c r="J106" s="165"/>
      <c r="K106" s="166"/>
      <c r="L106" s="166"/>
    </row>
    <row r="107">
      <c r="A107" s="163" t="s">
        <v>222</v>
      </c>
      <c r="B107" s="163"/>
      <c r="C107" s="163"/>
      <c r="J107" s="165"/>
      <c r="K107" s="166"/>
      <c r="L107" s="166"/>
    </row>
    <row r="108">
      <c r="A108" s="163" t="s">
        <v>222</v>
      </c>
      <c r="B108" s="163"/>
      <c r="C108" s="163"/>
      <c r="J108" s="165"/>
      <c r="K108" s="166"/>
      <c r="L108" s="166"/>
    </row>
    <row r="109">
      <c r="A109" s="163" t="s">
        <v>222</v>
      </c>
      <c r="B109" s="163"/>
      <c r="C109" s="163"/>
      <c r="J109" s="165"/>
      <c r="K109" s="166"/>
      <c r="L109" s="166"/>
    </row>
    <row r="110">
      <c r="A110" s="163" t="s">
        <v>222</v>
      </c>
      <c r="B110" s="163"/>
      <c r="C110" s="163"/>
      <c r="J110" s="165"/>
      <c r="K110" s="166"/>
      <c r="L110" s="166"/>
    </row>
    <row r="111">
      <c r="A111" s="163" t="s">
        <v>222</v>
      </c>
      <c r="B111" s="163"/>
      <c r="C111" s="163"/>
      <c r="J111" s="165"/>
      <c r="K111" s="166"/>
      <c r="L111" s="166"/>
    </row>
    <row r="112">
      <c r="A112" s="163" t="s">
        <v>222</v>
      </c>
      <c r="B112" s="163"/>
      <c r="C112" s="163"/>
      <c r="J112" s="165"/>
      <c r="K112" s="166"/>
      <c r="L112" s="166"/>
    </row>
    <row r="113">
      <c r="A113" s="163" t="s">
        <v>222</v>
      </c>
      <c r="B113" s="163"/>
      <c r="C113" s="163"/>
      <c r="J113" s="165"/>
      <c r="K113" s="166"/>
      <c r="L113" s="166"/>
    </row>
    <row r="114">
      <c r="A114" s="163" t="s">
        <v>222</v>
      </c>
      <c r="B114" s="163"/>
      <c r="C114" s="163"/>
      <c r="J114" s="165"/>
      <c r="K114" s="166"/>
      <c r="L114" s="166"/>
    </row>
    <row r="115">
      <c r="A115" s="163" t="s">
        <v>222</v>
      </c>
      <c r="B115" s="163"/>
      <c r="C115" s="163"/>
      <c r="J115" s="165"/>
      <c r="K115" s="166"/>
      <c r="L115" s="166"/>
    </row>
    <row r="116">
      <c r="A116" s="163" t="s">
        <v>222</v>
      </c>
      <c r="B116" s="163"/>
      <c r="C116" s="163"/>
      <c r="J116" s="165"/>
      <c r="K116" s="166"/>
      <c r="L116" s="166"/>
    </row>
    <row r="117">
      <c r="A117" s="163" t="s">
        <v>222</v>
      </c>
      <c r="B117" s="163"/>
      <c r="C117" s="163"/>
      <c r="J117" s="165"/>
      <c r="K117" s="166"/>
      <c r="L117" s="166"/>
    </row>
    <row r="118">
      <c r="A118" s="163" t="s">
        <v>222</v>
      </c>
      <c r="B118" s="163"/>
      <c r="C118" s="163"/>
      <c r="J118" s="165"/>
      <c r="K118" s="166"/>
      <c r="L118" s="166"/>
    </row>
    <row r="119">
      <c r="A119" s="163" t="s">
        <v>222</v>
      </c>
      <c r="B119" s="163"/>
      <c r="C119" s="163"/>
      <c r="J119" s="165"/>
      <c r="K119" s="166"/>
      <c r="L119" s="166"/>
    </row>
    <row r="120">
      <c r="A120" s="163" t="s">
        <v>222</v>
      </c>
      <c r="B120" s="163"/>
      <c r="C120" s="163"/>
      <c r="J120" s="165"/>
      <c r="K120" s="166"/>
      <c r="L120" s="166"/>
    </row>
    <row r="121">
      <c r="A121" s="163" t="s">
        <v>222</v>
      </c>
      <c r="B121" s="163"/>
      <c r="C121" s="163"/>
      <c r="J121" s="165"/>
      <c r="K121" s="166"/>
      <c r="L121" s="166"/>
    </row>
    <row r="122">
      <c r="A122" s="163" t="s">
        <v>222</v>
      </c>
      <c r="B122" s="163"/>
      <c r="C122" s="163"/>
      <c r="J122" s="165"/>
      <c r="K122" s="166"/>
      <c r="L122" s="166"/>
    </row>
    <row r="123">
      <c r="A123" s="163" t="s">
        <v>222</v>
      </c>
      <c r="B123" s="163"/>
      <c r="C123" s="163"/>
      <c r="J123" s="165"/>
      <c r="K123" s="166"/>
      <c r="L123" s="166"/>
    </row>
    <row r="124">
      <c r="A124" s="163" t="s">
        <v>222</v>
      </c>
      <c r="B124" s="163"/>
      <c r="C124" s="163"/>
      <c r="J124" s="165"/>
      <c r="K124" s="166"/>
      <c r="L124" s="166"/>
    </row>
    <row r="125">
      <c r="A125" s="163" t="s">
        <v>222</v>
      </c>
      <c r="B125" s="163"/>
      <c r="C125" s="163"/>
      <c r="J125" s="165"/>
      <c r="K125" s="166"/>
      <c r="L125" s="166"/>
    </row>
    <row r="126">
      <c r="A126" s="163" t="s">
        <v>222</v>
      </c>
      <c r="B126" s="163"/>
      <c r="C126" s="163"/>
      <c r="J126" s="165"/>
      <c r="K126" s="166"/>
      <c r="L126" s="166"/>
    </row>
    <row r="127">
      <c r="A127" s="163" t="s">
        <v>222</v>
      </c>
      <c r="B127" s="163"/>
      <c r="C127" s="163"/>
      <c r="J127" s="165"/>
      <c r="K127" s="166"/>
      <c r="L127" s="166"/>
    </row>
    <row r="128">
      <c r="A128" s="163" t="s">
        <v>222</v>
      </c>
      <c r="B128" s="163"/>
      <c r="C128" s="163"/>
      <c r="J128" s="165"/>
      <c r="K128" s="166"/>
      <c r="L128" s="166"/>
    </row>
    <row r="129">
      <c r="A129" s="163" t="s">
        <v>222</v>
      </c>
      <c r="B129" s="163"/>
      <c r="C129" s="163"/>
      <c r="J129" s="165"/>
      <c r="K129" s="166"/>
      <c r="L129" s="166"/>
    </row>
    <row r="130">
      <c r="A130" s="163" t="s">
        <v>222</v>
      </c>
      <c r="B130" s="163"/>
      <c r="C130" s="163"/>
      <c r="J130" s="165"/>
      <c r="K130" s="166"/>
      <c r="L130" s="166"/>
    </row>
    <row r="131">
      <c r="A131" s="163" t="s">
        <v>222</v>
      </c>
      <c r="B131" s="163"/>
      <c r="C131" s="163"/>
      <c r="J131" s="165"/>
      <c r="K131" s="166"/>
      <c r="L131" s="166"/>
    </row>
    <row r="132">
      <c r="A132" s="163" t="s">
        <v>222</v>
      </c>
      <c r="B132" s="163"/>
      <c r="C132" s="163"/>
      <c r="J132" s="165"/>
      <c r="K132" s="166"/>
      <c r="L132" s="166"/>
    </row>
    <row r="133">
      <c r="A133" s="163" t="s">
        <v>222</v>
      </c>
      <c r="B133" s="163"/>
      <c r="C133" s="163"/>
      <c r="J133" s="165"/>
      <c r="K133" s="166"/>
      <c r="L133" s="166"/>
    </row>
    <row r="134">
      <c r="A134" s="163" t="s">
        <v>222</v>
      </c>
      <c r="B134" s="163"/>
      <c r="C134" s="163"/>
      <c r="J134" s="165"/>
      <c r="K134" s="166"/>
      <c r="L134" s="166"/>
    </row>
    <row r="135">
      <c r="A135" s="163" t="s">
        <v>222</v>
      </c>
      <c r="B135" s="163"/>
      <c r="C135" s="163"/>
      <c r="J135" s="165"/>
      <c r="K135" s="166"/>
      <c r="L135" s="166"/>
    </row>
    <row r="136">
      <c r="A136" s="163" t="s">
        <v>222</v>
      </c>
      <c r="B136" s="163"/>
      <c r="C136" s="163"/>
      <c r="J136" s="165"/>
      <c r="K136" s="166"/>
      <c r="L136" s="166"/>
    </row>
    <row r="137">
      <c r="A137" s="163" t="s">
        <v>222</v>
      </c>
      <c r="B137" s="163"/>
      <c r="C137" s="163"/>
      <c r="J137" s="165"/>
      <c r="K137" s="166"/>
      <c r="L137" s="166"/>
    </row>
    <row r="138">
      <c r="A138" s="163" t="s">
        <v>222</v>
      </c>
      <c r="B138" s="163"/>
      <c r="C138" s="163"/>
      <c r="J138" s="165"/>
      <c r="K138" s="166"/>
      <c r="L138" s="166"/>
    </row>
    <row r="139">
      <c r="A139" s="163" t="s">
        <v>222</v>
      </c>
      <c r="B139" s="163"/>
      <c r="C139" s="163"/>
      <c r="J139" s="165"/>
      <c r="K139" s="166"/>
      <c r="L139" s="166"/>
    </row>
    <row r="140">
      <c r="A140" s="163" t="s">
        <v>222</v>
      </c>
      <c r="B140" s="163"/>
      <c r="C140" s="163"/>
      <c r="J140" s="165"/>
      <c r="K140" s="166"/>
      <c r="L140" s="166"/>
    </row>
    <row r="141">
      <c r="A141" s="163" t="s">
        <v>222</v>
      </c>
      <c r="B141" s="163"/>
      <c r="C141" s="163"/>
      <c r="J141" s="165"/>
      <c r="K141" s="166"/>
      <c r="L141" s="166"/>
    </row>
    <row r="142">
      <c r="A142" s="163" t="s">
        <v>222</v>
      </c>
      <c r="B142" s="163"/>
      <c r="C142" s="163"/>
      <c r="J142" s="165"/>
      <c r="K142" s="166"/>
      <c r="L142" s="166"/>
    </row>
    <row r="143">
      <c r="A143" s="163" t="s">
        <v>222</v>
      </c>
      <c r="B143" s="163"/>
      <c r="C143" s="163"/>
      <c r="J143" s="165"/>
      <c r="K143" s="166"/>
      <c r="L143" s="166"/>
    </row>
    <row r="144">
      <c r="A144" s="163" t="s">
        <v>222</v>
      </c>
      <c r="B144" s="163"/>
      <c r="C144" s="163"/>
      <c r="J144" s="165"/>
      <c r="K144" s="166"/>
      <c r="L144" s="166"/>
    </row>
    <row r="145">
      <c r="A145" s="163" t="s">
        <v>222</v>
      </c>
      <c r="B145" s="163"/>
      <c r="C145" s="163"/>
      <c r="J145" s="165"/>
      <c r="K145" s="166"/>
      <c r="L145" s="166"/>
    </row>
    <row r="146">
      <c r="A146" s="163" t="s">
        <v>222</v>
      </c>
      <c r="B146" s="163"/>
      <c r="C146" s="163"/>
      <c r="J146" s="165"/>
      <c r="K146" s="166"/>
      <c r="L146" s="166"/>
    </row>
    <row r="147">
      <c r="A147" s="163" t="s">
        <v>222</v>
      </c>
      <c r="B147" s="163"/>
      <c r="C147" s="163"/>
      <c r="J147" s="165"/>
      <c r="K147" s="166"/>
      <c r="L147" s="166"/>
    </row>
    <row r="148">
      <c r="A148" s="163" t="s">
        <v>222</v>
      </c>
      <c r="B148" s="163"/>
      <c r="C148" s="163"/>
      <c r="J148" s="165"/>
      <c r="K148" s="166"/>
      <c r="L148" s="166"/>
    </row>
    <row r="149">
      <c r="A149" s="163" t="s">
        <v>222</v>
      </c>
      <c r="B149" s="163"/>
      <c r="C149" s="163"/>
      <c r="J149" s="165"/>
      <c r="K149" s="166"/>
      <c r="L149" s="166"/>
    </row>
    <row r="150">
      <c r="A150" s="163" t="s">
        <v>222</v>
      </c>
      <c r="B150" s="163"/>
      <c r="C150" s="163"/>
      <c r="J150" s="165"/>
      <c r="K150" s="166"/>
      <c r="L150" s="166"/>
    </row>
    <row r="151">
      <c r="A151" s="163" t="s">
        <v>222</v>
      </c>
      <c r="B151" s="163"/>
      <c r="C151" s="163"/>
      <c r="J151" s="165"/>
      <c r="K151" s="166"/>
      <c r="L151" s="166"/>
    </row>
    <row r="152">
      <c r="A152" s="163" t="s">
        <v>222</v>
      </c>
      <c r="B152" s="163"/>
      <c r="C152" s="163"/>
      <c r="J152" s="165"/>
      <c r="K152" s="166"/>
      <c r="L152" s="166"/>
    </row>
    <row r="153">
      <c r="A153" s="163" t="s">
        <v>222</v>
      </c>
      <c r="B153" s="163"/>
      <c r="C153" s="163"/>
      <c r="J153" s="165"/>
      <c r="K153" s="166"/>
      <c r="L153" s="166"/>
    </row>
    <row r="154">
      <c r="A154" s="163" t="s">
        <v>222</v>
      </c>
      <c r="B154" s="163"/>
      <c r="C154" s="163"/>
      <c r="J154" s="165"/>
      <c r="K154" s="166"/>
      <c r="L154" s="166"/>
    </row>
    <row r="155">
      <c r="A155" s="163" t="s">
        <v>222</v>
      </c>
      <c r="B155" s="163"/>
      <c r="C155" s="163"/>
      <c r="J155" s="165"/>
      <c r="K155" s="166"/>
      <c r="L155" s="166"/>
    </row>
    <row r="156">
      <c r="A156" s="163" t="s">
        <v>222</v>
      </c>
      <c r="B156" s="163"/>
      <c r="C156" s="163"/>
      <c r="J156" s="165"/>
      <c r="K156" s="166"/>
      <c r="L156" s="166"/>
    </row>
    <row r="157">
      <c r="A157" s="163" t="s">
        <v>222</v>
      </c>
      <c r="B157" s="163"/>
      <c r="C157" s="163"/>
      <c r="J157" s="165"/>
      <c r="K157" s="166"/>
      <c r="L157" s="166"/>
    </row>
    <row r="158">
      <c r="A158" s="163" t="s">
        <v>222</v>
      </c>
      <c r="B158" s="163"/>
      <c r="C158" s="163"/>
      <c r="J158" s="165"/>
      <c r="K158" s="166"/>
      <c r="L158" s="166"/>
    </row>
    <row r="159">
      <c r="A159" s="163" t="s">
        <v>222</v>
      </c>
      <c r="B159" s="163"/>
      <c r="C159" s="163"/>
      <c r="J159" s="165"/>
      <c r="K159" s="166"/>
      <c r="L159" s="166"/>
    </row>
    <row r="160">
      <c r="A160" s="163" t="s">
        <v>222</v>
      </c>
      <c r="B160" s="163"/>
      <c r="C160" s="163"/>
      <c r="J160" s="165"/>
      <c r="K160" s="166"/>
      <c r="L160" s="166"/>
    </row>
    <row r="161">
      <c r="A161" s="163" t="s">
        <v>222</v>
      </c>
      <c r="B161" s="163"/>
      <c r="C161" s="163"/>
      <c r="J161" s="165"/>
      <c r="K161" s="166"/>
      <c r="L161" s="166"/>
    </row>
    <row r="162">
      <c r="A162" s="163" t="s">
        <v>222</v>
      </c>
      <c r="B162" s="163"/>
      <c r="C162" s="163"/>
      <c r="J162" s="165"/>
      <c r="K162" s="166"/>
      <c r="L162" s="166"/>
    </row>
    <row r="163">
      <c r="A163" s="163" t="s">
        <v>222</v>
      </c>
      <c r="B163" s="163"/>
      <c r="C163" s="163"/>
      <c r="J163" s="165"/>
      <c r="K163" s="166"/>
      <c r="L163" s="166"/>
    </row>
    <row r="164">
      <c r="A164" s="163" t="s">
        <v>222</v>
      </c>
      <c r="B164" s="163"/>
      <c r="C164" s="163"/>
      <c r="J164" s="165"/>
      <c r="K164" s="166"/>
      <c r="L164" s="166"/>
    </row>
    <row r="165">
      <c r="A165" s="163" t="s">
        <v>222</v>
      </c>
      <c r="B165" s="163"/>
      <c r="C165" s="163"/>
      <c r="J165" s="165"/>
      <c r="K165" s="166"/>
      <c r="L165" s="166"/>
    </row>
    <row r="166">
      <c r="A166" s="163" t="s">
        <v>222</v>
      </c>
      <c r="B166" s="163"/>
      <c r="C166" s="163"/>
      <c r="J166" s="165"/>
      <c r="K166" s="166"/>
      <c r="L166" s="166"/>
    </row>
    <row r="167">
      <c r="A167" s="163" t="s">
        <v>222</v>
      </c>
      <c r="B167" s="163"/>
      <c r="C167" s="163"/>
      <c r="J167" s="165"/>
      <c r="K167" s="166"/>
      <c r="L167" s="166"/>
    </row>
    <row r="168">
      <c r="A168" s="163" t="s">
        <v>222</v>
      </c>
      <c r="B168" s="163"/>
      <c r="C168" s="163"/>
      <c r="J168" s="165"/>
      <c r="K168" s="166"/>
      <c r="L168" s="166"/>
    </row>
    <row r="169">
      <c r="A169" s="163" t="s">
        <v>222</v>
      </c>
      <c r="B169" s="163"/>
      <c r="C169" s="163"/>
      <c r="J169" s="165"/>
      <c r="K169" s="166"/>
      <c r="L169" s="166"/>
    </row>
    <row r="170">
      <c r="A170" s="163" t="s">
        <v>222</v>
      </c>
      <c r="B170" s="163"/>
      <c r="C170" s="163"/>
      <c r="J170" s="165"/>
      <c r="K170" s="166"/>
      <c r="L170" s="166"/>
    </row>
    <row r="171">
      <c r="A171" s="163" t="s">
        <v>222</v>
      </c>
      <c r="B171" s="163"/>
      <c r="C171" s="163"/>
      <c r="J171" s="165"/>
      <c r="K171" s="166"/>
      <c r="L171" s="166"/>
    </row>
    <row r="172">
      <c r="A172" s="163" t="s">
        <v>222</v>
      </c>
      <c r="B172" s="163"/>
      <c r="C172" s="163"/>
      <c r="J172" s="165"/>
      <c r="K172" s="166"/>
      <c r="L172" s="166"/>
    </row>
    <row r="173">
      <c r="A173" s="163" t="s">
        <v>222</v>
      </c>
      <c r="B173" s="163"/>
      <c r="C173" s="163"/>
      <c r="J173" s="165"/>
      <c r="K173" s="166"/>
      <c r="L173" s="166"/>
    </row>
    <row r="174">
      <c r="A174" s="163" t="s">
        <v>222</v>
      </c>
      <c r="B174" s="163"/>
      <c r="C174" s="163"/>
      <c r="J174" s="165"/>
      <c r="K174" s="166"/>
      <c r="L174" s="166"/>
    </row>
    <row r="175">
      <c r="A175" s="163" t="s">
        <v>222</v>
      </c>
      <c r="B175" s="163"/>
      <c r="C175" s="163"/>
      <c r="J175" s="165"/>
      <c r="K175" s="166"/>
      <c r="L175" s="166"/>
    </row>
    <row r="176">
      <c r="A176" s="163" t="s">
        <v>222</v>
      </c>
      <c r="B176" s="163"/>
      <c r="C176" s="163"/>
      <c r="J176" s="165"/>
      <c r="K176" s="166"/>
      <c r="L176" s="166"/>
    </row>
    <row r="177">
      <c r="A177" s="163" t="s">
        <v>222</v>
      </c>
      <c r="B177" s="163"/>
      <c r="C177" s="163"/>
      <c r="J177" s="165"/>
      <c r="K177" s="166"/>
      <c r="L177" s="166"/>
    </row>
    <row r="178">
      <c r="A178" s="163" t="s">
        <v>222</v>
      </c>
      <c r="B178" s="163"/>
      <c r="C178" s="163"/>
      <c r="J178" s="165"/>
      <c r="K178" s="166"/>
      <c r="L178" s="166"/>
    </row>
    <row r="179">
      <c r="A179" s="163" t="s">
        <v>222</v>
      </c>
      <c r="B179" s="163"/>
      <c r="C179" s="163"/>
      <c r="J179" s="165"/>
      <c r="K179" s="166"/>
      <c r="L179" s="166"/>
    </row>
    <row r="180">
      <c r="A180" s="163" t="s">
        <v>222</v>
      </c>
      <c r="B180" s="163"/>
      <c r="C180" s="163"/>
      <c r="J180" s="165"/>
      <c r="K180" s="166"/>
      <c r="L180" s="166"/>
    </row>
    <row r="181">
      <c r="A181" s="163" t="s">
        <v>222</v>
      </c>
      <c r="B181" s="163"/>
      <c r="C181" s="163"/>
      <c r="J181" s="165"/>
      <c r="K181" s="166"/>
      <c r="L181" s="166"/>
    </row>
    <row r="182">
      <c r="A182" s="163" t="s">
        <v>222</v>
      </c>
      <c r="B182" s="163"/>
      <c r="C182" s="163"/>
      <c r="J182" s="165"/>
      <c r="K182" s="166"/>
      <c r="L182" s="166"/>
    </row>
    <row r="183">
      <c r="A183" s="163" t="s">
        <v>222</v>
      </c>
      <c r="B183" s="163"/>
      <c r="C183" s="163"/>
      <c r="J183" s="165"/>
      <c r="K183" s="166"/>
      <c r="L183" s="166"/>
    </row>
    <row r="184">
      <c r="A184" s="163" t="s">
        <v>222</v>
      </c>
      <c r="B184" s="163"/>
      <c r="C184" s="163"/>
      <c r="J184" s="165"/>
      <c r="K184" s="166"/>
      <c r="L184" s="166"/>
    </row>
    <row r="185">
      <c r="A185" s="163" t="s">
        <v>222</v>
      </c>
      <c r="B185" s="163"/>
      <c r="C185" s="163"/>
      <c r="J185" s="165"/>
      <c r="K185" s="166"/>
      <c r="L185" s="166"/>
    </row>
    <row r="186">
      <c r="A186" s="163" t="s">
        <v>222</v>
      </c>
      <c r="B186" s="163"/>
      <c r="C186" s="163"/>
      <c r="J186" s="165"/>
      <c r="K186" s="166"/>
      <c r="L186" s="166"/>
    </row>
    <row r="187">
      <c r="A187" s="163" t="s">
        <v>222</v>
      </c>
      <c r="B187" s="163"/>
      <c r="C187" s="163"/>
      <c r="J187" s="165"/>
      <c r="K187" s="166"/>
      <c r="L187" s="166"/>
    </row>
    <row r="188">
      <c r="A188" s="163" t="s">
        <v>222</v>
      </c>
      <c r="B188" s="163"/>
      <c r="C188" s="163"/>
      <c r="J188" s="165"/>
      <c r="K188" s="166"/>
      <c r="L188" s="166"/>
    </row>
    <row r="189">
      <c r="A189" s="163" t="s">
        <v>222</v>
      </c>
      <c r="B189" s="163"/>
      <c r="C189" s="163"/>
      <c r="J189" s="165"/>
      <c r="K189" s="166"/>
      <c r="L189" s="166"/>
    </row>
    <row r="190">
      <c r="A190" s="163" t="s">
        <v>222</v>
      </c>
      <c r="B190" s="163"/>
      <c r="C190" s="163"/>
      <c r="J190" s="165"/>
      <c r="K190" s="166"/>
      <c r="L190" s="166"/>
    </row>
    <row r="191">
      <c r="A191" s="163" t="s">
        <v>222</v>
      </c>
      <c r="B191" s="163"/>
      <c r="C191" s="163"/>
      <c r="J191" s="165"/>
      <c r="K191" s="166"/>
      <c r="L191" s="166"/>
    </row>
    <row r="192">
      <c r="A192" s="163" t="s">
        <v>222</v>
      </c>
      <c r="B192" s="163"/>
      <c r="C192" s="163"/>
      <c r="J192" s="165"/>
      <c r="K192" s="166"/>
      <c r="L192" s="166"/>
    </row>
    <row r="193">
      <c r="A193" s="163" t="s">
        <v>222</v>
      </c>
      <c r="B193" s="163"/>
      <c r="C193" s="163"/>
      <c r="J193" s="165"/>
      <c r="K193" s="166"/>
      <c r="L193" s="166"/>
    </row>
    <row r="194">
      <c r="A194" s="163" t="s">
        <v>222</v>
      </c>
      <c r="B194" s="163"/>
      <c r="C194" s="163"/>
      <c r="J194" s="165"/>
      <c r="K194" s="166"/>
      <c r="L194" s="166"/>
    </row>
    <row r="195">
      <c r="A195" s="163" t="s">
        <v>222</v>
      </c>
      <c r="B195" s="163"/>
      <c r="C195" s="163"/>
      <c r="J195" s="165"/>
      <c r="K195" s="166"/>
      <c r="L195" s="166"/>
    </row>
    <row r="196">
      <c r="A196" s="163" t="s">
        <v>222</v>
      </c>
      <c r="B196" s="163"/>
      <c r="C196" s="163"/>
      <c r="J196" s="165"/>
      <c r="K196" s="166"/>
      <c r="L196" s="166"/>
    </row>
    <row r="197">
      <c r="A197" s="163" t="s">
        <v>222</v>
      </c>
      <c r="B197" s="163"/>
      <c r="C197" s="163"/>
      <c r="J197" s="165"/>
      <c r="K197" s="166"/>
      <c r="L197" s="166"/>
    </row>
    <row r="198">
      <c r="A198" s="163" t="s">
        <v>222</v>
      </c>
      <c r="B198" s="163"/>
      <c r="C198" s="163"/>
      <c r="J198" s="165"/>
      <c r="K198" s="166"/>
      <c r="L198" s="166"/>
    </row>
    <row r="199">
      <c r="A199" s="163" t="s">
        <v>222</v>
      </c>
      <c r="B199" s="163"/>
      <c r="C199" s="163"/>
      <c r="J199" s="165"/>
      <c r="K199" s="166"/>
      <c r="L199" s="166"/>
    </row>
    <row r="200">
      <c r="A200" s="163" t="s">
        <v>222</v>
      </c>
      <c r="B200" s="163"/>
      <c r="C200" s="163"/>
      <c r="J200" s="165"/>
      <c r="K200" s="166"/>
      <c r="L200" s="166"/>
    </row>
    <row r="201">
      <c r="A201" s="163" t="s">
        <v>222</v>
      </c>
      <c r="B201" s="163"/>
      <c r="C201" s="163"/>
      <c r="J201" s="165"/>
      <c r="K201" s="166"/>
      <c r="L201" s="166"/>
    </row>
    <row r="202">
      <c r="A202" s="163" t="s">
        <v>222</v>
      </c>
      <c r="B202" s="163"/>
      <c r="C202" s="163"/>
      <c r="J202" s="165"/>
      <c r="K202" s="166"/>
      <c r="L202" s="166"/>
    </row>
    <row r="203">
      <c r="A203" s="163" t="s">
        <v>222</v>
      </c>
      <c r="B203" s="163"/>
      <c r="C203" s="163"/>
      <c r="J203" s="165"/>
      <c r="K203" s="166"/>
      <c r="L203" s="166"/>
    </row>
    <row r="204">
      <c r="A204" s="163" t="s">
        <v>222</v>
      </c>
      <c r="B204" s="163"/>
      <c r="C204" s="163"/>
      <c r="J204" s="165"/>
      <c r="K204" s="166"/>
      <c r="L204" s="166"/>
    </row>
    <row r="205">
      <c r="A205" s="163" t="s">
        <v>222</v>
      </c>
      <c r="B205" s="163"/>
      <c r="C205" s="163"/>
      <c r="J205" s="165"/>
      <c r="K205" s="166"/>
      <c r="L205" s="166"/>
    </row>
    <row r="206">
      <c r="A206" s="163" t="s">
        <v>222</v>
      </c>
      <c r="B206" s="163"/>
      <c r="C206" s="163"/>
      <c r="J206" s="165"/>
      <c r="K206" s="166"/>
      <c r="L206" s="166"/>
    </row>
    <row r="207">
      <c r="A207" s="163" t="s">
        <v>222</v>
      </c>
      <c r="B207" s="163"/>
      <c r="C207" s="163"/>
      <c r="J207" s="165"/>
      <c r="K207" s="166"/>
      <c r="L207" s="166"/>
    </row>
    <row r="208">
      <c r="A208" s="163" t="s">
        <v>222</v>
      </c>
      <c r="B208" s="163"/>
      <c r="C208" s="163"/>
      <c r="J208" s="165"/>
      <c r="K208" s="166"/>
      <c r="L208" s="166"/>
    </row>
    <row r="209">
      <c r="A209" s="163" t="s">
        <v>222</v>
      </c>
      <c r="B209" s="163"/>
      <c r="C209" s="163"/>
      <c r="J209" s="165"/>
      <c r="K209" s="166"/>
      <c r="L209" s="166"/>
    </row>
    <row r="210">
      <c r="A210" s="163" t="s">
        <v>222</v>
      </c>
      <c r="B210" s="163"/>
      <c r="C210" s="163"/>
      <c r="J210" s="165"/>
      <c r="K210" s="166"/>
      <c r="L210" s="166"/>
    </row>
    <row r="211">
      <c r="A211" s="163" t="s">
        <v>222</v>
      </c>
      <c r="B211" s="163"/>
      <c r="C211" s="163"/>
      <c r="J211" s="165"/>
      <c r="K211" s="166"/>
      <c r="L211" s="166"/>
    </row>
    <row r="212">
      <c r="A212" s="163" t="s">
        <v>222</v>
      </c>
      <c r="B212" s="163"/>
      <c r="C212" s="163"/>
      <c r="J212" s="165"/>
      <c r="K212" s="166"/>
      <c r="L212" s="166"/>
    </row>
    <row r="213">
      <c r="A213" s="163" t="s">
        <v>222</v>
      </c>
      <c r="B213" s="163"/>
      <c r="C213" s="163"/>
      <c r="J213" s="165"/>
      <c r="K213" s="166"/>
      <c r="L213" s="166"/>
    </row>
    <row r="214">
      <c r="A214" s="163" t="s">
        <v>222</v>
      </c>
      <c r="B214" s="163"/>
      <c r="C214" s="163"/>
      <c r="J214" s="165"/>
      <c r="K214" s="166"/>
      <c r="L214" s="166"/>
    </row>
    <row r="215">
      <c r="A215" s="163" t="s">
        <v>222</v>
      </c>
      <c r="B215" s="163"/>
      <c r="C215" s="163"/>
      <c r="J215" s="165"/>
      <c r="K215" s="166"/>
      <c r="L215" s="166"/>
    </row>
    <row r="216">
      <c r="A216" s="163" t="s">
        <v>222</v>
      </c>
      <c r="B216" s="163"/>
      <c r="C216" s="163"/>
      <c r="J216" s="165"/>
      <c r="K216" s="166"/>
      <c r="L216" s="166"/>
    </row>
    <row r="217">
      <c r="A217" s="163" t="s">
        <v>222</v>
      </c>
      <c r="B217" s="163"/>
      <c r="C217" s="163"/>
      <c r="J217" s="165"/>
      <c r="K217" s="166"/>
      <c r="L217" s="166"/>
    </row>
    <row r="218">
      <c r="A218" s="163" t="s">
        <v>222</v>
      </c>
      <c r="B218" s="163"/>
      <c r="C218" s="163"/>
      <c r="J218" s="165"/>
      <c r="K218" s="166"/>
      <c r="L218" s="166"/>
    </row>
    <row r="219">
      <c r="A219" s="163" t="s">
        <v>222</v>
      </c>
      <c r="B219" s="163"/>
      <c r="C219" s="163"/>
      <c r="J219" s="165"/>
      <c r="K219" s="166"/>
      <c r="L219" s="166"/>
    </row>
    <row r="220">
      <c r="A220" s="163" t="s">
        <v>222</v>
      </c>
      <c r="B220" s="163"/>
      <c r="C220" s="163"/>
      <c r="J220" s="165"/>
      <c r="K220" s="166"/>
      <c r="L220" s="166"/>
    </row>
    <row r="221">
      <c r="A221" s="163" t="s">
        <v>222</v>
      </c>
      <c r="B221" s="163"/>
      <c r="C221" s="163"/>
      <c r="J221" s="165"/>
      <c r="K221" s="166"/>
      <c r="L221" s="166"/>
    </row>
    <row r="222">
      <c r="A222" s="163" t="s">
        <v>222</v>
      </c>
      <c r="B222" s="163"/>
      <c r="C222" s="163"/>
      <c r="J222" s="165"/>
      <c r="K222" s="166"/>
      <c r="L222" s="166"/>
    </row>
    <row r="223">
      <c r="A223" s="163" t="s">
        <v>222</v>
      </c>
      <c r="B223" s="163"/>
      <c r="C223" s="163"/>
      <c r="J223" s="165"/>
      <c r="K223" s="166"/>
      <c r="L223" s="166"/>
    </row>
    <row r="224">
      <c r="A224" s="163" t="s">
        <v>222</v>
      </c>
      <c r="B224" s="163"/>
      <c r="C224" s="163"/>
      <c r="J224" s="165"/>
      <c r="K224" s="166"/>
      <c r="L224" s="166"/>
    </row>
    <row r="225">
      <c r="A225" s="163" t="s">
        <v>222</v>
      </c>
      <c r="B225" s="163"/>
      <c r="C225" s="163"/>
      <c r="J225" s="165"/>
      <c r="K225" s="166"/>
      <c r="L225" s="166"/>
    </row>
    <row r="226">
      <c r="A226" s="163" t="s">
        <v>222</v>
      </c>
      <c r="B226" s="163"/>
      <c r="C226" s="163"/>
      <c r="J226" s="165"/>
      <c r="K226" s="166"/>
      <c r="L226" s="166"/>
    </row>
    <row r="227">
      <c r="A227" s="163" t="s">
        <v>222</v>
      </c>
      <c r="B227" s="163"/>
      <c r="C227" s="163"/>
      <c r="J227" s="165"/>
      <c r="K227" s="166"/>
      <c r="L227" s="166"/>
    </row>
    <row r="228">
      <c r="A228" s="163" t="s">
        <v>222</v>
      </c>
      <c r="B228" s="163"/>
      <c r="C228" s="163"/>
      <c r="J228" s="165"/>
      <c r="K228" s="166"/>
      <c r="L228" s="166"/>
    </row>
    <row r="229">
      <c r="A229" s="163" t="s">
        <v>222</v>
      </c>
      <c r="B229" s="163"/>
      <c r="C229" s="163"/>
      <c r="J229" s="165"/>
      <c r="K229" s="166"/>
      <c r="L229" s="166"/>
    </row>
    <row r="230">
      <c r="A230" s="163" t="s">
        <v>222</v>
      </c>
      <c r="B230" s="163"/>
      <c r="C230" s="163"/>
      <c r="J230" s="165"/>
      <c r="K230" s="166"/>
      <c r="L230" s="166"/>
    </row>
    <row r="231">
      <c r="A231" s="163" t="s">
        <v>222</v>
      </c>
      <c r="B231" s="163"/>
      <c r="C231" s="163"/>
      <c r="J231" s="165"/>
      <c r="K231" s="166"/>
      <c r="L231" s="166"/>
    </row>
    <row r="232">
      <c r="A232" s="163" t="s">
        <v>222</v>
      </c>
      <c r="B232" s="163"/>
      <c r="C232" s="163"/>
      <c r="J232" s="165"/>
      <c r="K232" s="166"/>
      <c r="L232" s="166"/>
    </row>
    <row r="233">
      <c r="A233" s="163" t="s">
        <v>222</v>
      </c>
      <c r="B233" s="163"/>
      <c r="C233" s="163"/>
      <c r="J233" s="165"/>
      <c r="K233" s="166"/>
      <c r="L233" s="166"/>
    </row>
    <row r="234">
      <c r="A234" s="163" t="s">
        <v>222</v>
      </c>
      <c r="B234" s="163"/>
      <c r="C234" s="163"/>
      <c r="J234" s="165"/>
      <c r="K234" s="166"/>
      <c r="L234" s="166"/>
    </row>
    <row r="235">
      <c r="A235" s="163" t="s">
        <v>222</v>
      </c>
      <c r="B235" s="163"/>
      <c r="C235" s="163"/>
      <c r="J235" s="165"/>
      <c r="K235" s="166"/>
      <c r="L235" s="166"/>
    </row>
    <row r="236">
      <c r="A236" s="163" t="s">
        <v>222</v>
      </c>
      <c r="B236" s="163"/>
      <c r="C236" s="163"/>
      <c r="J236" s="165"/>
      <c r="K236" s="166"/>
      <c r="L236" s="166"/>
    </row>
    <row r="237">
      <c r="A237" s="163" t="s">
        <v>222</v>
      </c>
      <c r="B237" s="163"/>
      <c r="C237" s="163"/>
      <c r="J237" s="165"/>
      <c r="K237" s="166"/>
      <c r="L237" s="166"/>
    </row>
    <row r="238">
      <c r="A238" s="163" t="s">
        <v>222</v>
      </c>
      <c r="B238" s="163"/>
      <c r="C238" s="163"/>
      <c r="J238" s="165"/>
      <c r="K238" s="166"/>
      <c r="L238" s="166"/>
    </row>
    <row r="239">
      <c r="A239" s="163" t="s">
        <v>222</v>
      </c>
      <c r="B239" s="163"/>
      <c r="C239" s="163"/>
      <c r="J239" s="165"/>
      <c r="K239" s="166"/>
      <c r="L239" s="166"/>
    </row>
    <row r="240">
      <c r="A240" s="163" t="s">
        <v>222</v>
      </c>
      <c r="B240" s="163"/>
      <c r="C240" s="163"/>
      <c r="J240" s="165"/>
      <c r="K240" s="166"/>
      <c r="L240" s="166"/>
    </row>
    <row r="241">
      <c r="A241" s="163" t="s">
        <v>222</v>
      </c>
      <c r="B241" s="163"/>
      <c r="C241" s="163"/>
      <c r="J241" s="165"/>
      <c r="K241" s="166"/>
      <c r="L241" s="166"/>
    </row>
    <row r="242">
      <c r="A242" s="163" t="s">
        <v>222</v>
      </c>
      <c r="B242" s="163"/>
      <c r="C242" s="163"/>
      <c r="J242" s="165"/>
      <c r="K242" s="166"/>
      <c r="L242" s="166"/>
    </row>
    <row r="243">
      <c r="A243" s="163" t="s">
        <v>222</v>
      </c>
      <c r="B243" s="163"/>
      <c r="C243" s="163"/>
      <c r="J243" s="165"/>
      <c r="K243" s="166"/>
      <c r="L243" s="166"/>
    </row>
    <row r="244">
      <c r="A244" s="163" t="s">
        <v>222</v>
      </c>
      <c r="B244" s="163"/>
      <c r="C244" s="163"/>
      <c r="J244" s="165"/>
      <c r="K244" s="166"/>
      <c r="L244" s="166"/>
    </row>
    <row r="245">
      <c r="A245" s="163" t="s">
        <v>222</v>
      </c>
      <c r="B245" s="163"/>
      <c r="C245" s="163"/>
      <c r="J245" s="165"/>
      <c r="K245" s="166"/>
      <c r="L245" s="166"/>
    </row>
    <row r="246">
      <c r="A246" s="163" t="s">
        <v>222</v>
      </c>
      <c r="B246" s="163"/>
      <c r="C246" s="163"/>
      <c r="J246" s="165"/>
      <c r="K246" s="166"/>
      <c r="L246" s="166"/>
    </row>
    <row r="247">
      <c r="A247" s="163" t="s">
        <v>222</v>
      </c>
      <c r="B247" s="163"/>
      <c r="C247" s="163"/>
      <c r="J247" s="165"/>
      <c r="K247" s="166"/>
      <c r="L247" s="166"/>
    </row>
    <row r="248">
      <c r="A248" s="163" t="s">
        <v>222</v>
      </c>
      <c r="B248" s="163"/>
      <c r="C248" s="163"/>
      <c r="J248" s="165"/>
      <c r="K248" s="166"/>
      <c r="L248" s="166"/>
    </row>
    <row r="249">
      <c r="A249" s="163" t="s">
        <v>222</v>
      </c>
      <c r="B249" s="163"/>
      <c r="C249" s="163"/>
      <c r="J249" s="165"/>
      <c r="K249" s="166"/>
      <c r="L249" s="166"/>
    </row>
    <row r="250">
      <c r="A250" s="163" t="s">
        <v>222</v>
      </c>
      <c r="B250" s="163"/>
      <c r="C250" s="163"/>
      <c r="J250" s="165"/>
      <c r="K250" s="166"/>
      <c r="L250" s="166"/>
    </row>
    <row r="251">
      <c r="A251" s="163" t="s">
        <v>222</v>
      </c>
      <c r="B251" s="163"/>
      <c r="C251" s="163"/>
      <c r="J251" s="165"/>
      <c r="K251" s="166"/>
      <c r="L251" s="166"/>
    </row>
    <row r="252">
      <c r="A252" s="163" t="s">
        <v>222</v>
      </c>
      <c r="B252" s="163"/>
      <c r="C252" s="163"/>
      <c r="J252" s="165"/>
      <c r="K252" s="166"/>
      <c r="L252" s="166"/>
    </row>
    <row r="253">
      <c r="A253" s="163" t="s">
        <v>222</v>
      </c>
      <c r="B253" s="163"/>
      <c r="C253" s="163"/>
      <c r="J253" s="165"/>
      <c r="K253" s="166"/>
      <c r="L253" s="166"/>
    </row>
    <row r="254">
      <c r="A254" s="163" t="s">
        <v>222</v>
      </c>
      <c r="B254" s="163"/>
      <c r="C254" s="163"/>
      <c r="J254" s="165"/>
      <c r="K254" s="166"/>
      <c r="L254" s="166"/>
    </row>
    <row r="255">
      <c r="A255" s="163" t="s">
        <v>222</v>
      </c>
      <c r="B255" s="163"/>
      <c r="C255" s="163"/>
      <c r="J255" s="165"/>
      <c r="K255" s="166"/>
      <c r="L255" s="166"/>
    </row>
    <row r="256">
      <c r="A256" s="163" t="s">
        <v>222</v>
      </c>
      <c r="B256" s="163"/>
      <c r="C256" s="163"/>
      <c r="J256" s="165"/>
      <c r="K256" s="166"/>
      <c r="L256" s="166"/>
    </row>
    <row r="257">
      <c r="A257" s="163" t="s">
        <v>222</v>
      </c>
      <c r="B257" s="163"/>
      <c r="C257" s="163"/>
      <c r="J257" s="165"/>
      <c r="K257" s="166"/>
      <c r="L257" s="166"/>
    </row>
    <row r="258">
      <c r="A258" s="163" t="s">
        <v>222</v>
      </c>
      <c r="B258" s="163"/>
      <c r="C258" s="163"/>
      <c r="J258" s="165"/>
      <c r="K258" s="166"/>
      <c r="L258" s="166"/>
    </row>
    <row r="259">
      <c r="A259" s="163" t="s">
        <v>222</v>
      </c>
      <c r="B259" s="163"/>
      <c r="C259" s="163"/>
      <c r="J259" s="165"/>
      <c r="K259" s="166"/>
      <c r="L259" s="166"/>
    </row>
    <row r="260">
      <c r="A260" s="163" t="s">
        <v>222</v>
      </c>
      <c r="B260" s="163"/>
      <c r="C260" s="163"/>
      <c r="J260" s="165"/>
      <c r="K260" s="166"/>
      <c r="L260" s="166"/>
    </row>
    <row r="261">
      <c r="A261" s="163" t="s">
        <v>222</v>
      </c>
      <c r="B261" s="163"/>
      <c r="C261" s="163"/>
      <c r="J261" s="165"/>
      <c r="K261" s="166"/>
      <c r="L261" s="166"/>
    </row>
    <row r="262">
      <c r="A262" s="163" t="s">
        <v>222</v>
      </c>
      <c r="B262" s="163"/>
      <c r="C262" s="163"/>
      <c r="J262" s="165"/>
      <c r="K262" s="166"/>
      <c r="L262" s="166"/>
    </row>
    <row r="263">
      <c r="A263" s="163" t="s">
        <v>222</v>
      </c>
      <c r="B263" s="163"/>
      <c r="C263" s="163"/>
      <c r="J263" s="165"/>
      <c r="K263" s="166"/>
      <c r="L263" s="166"/>
    </row>
    <row r="264">
      <c r="A264" s="163" t="s">
        <v>222</v>
      </c>
      <c r="B264" s="163"/>
      <c r="C264" s="163"/>
      <c r="J264" s="165"/>
      <c r="K264" s="166"/>
      <c r="L264" s="166"/>
    </row>
    <row r="265">
      <c r="A265" s="163" t="s">
        <v>222</v>
      </c>
      <c r="B265" s="163"/>
      <c r="C265" s="163"/>
      <c r="J265" s="165"/>
      <c r="K265" s="166"/>
      <c r="L265" s="166"/>
    </row>
    <row r="266">
      <c r="A266" s="163" t="s">
        <v>222</v>
      </c>
      <c r="B266" s="163"/>
      <c r="C266" s="163"/>
      <c r="J266" s="165"/>
      <c r="K266" s="166"/>
      <c r="L266" s="166"/>
    </row>
    <row r="267">
      <c r="A267" s="163" t="s">
        <v>222</v>
      </c>
      <c r="B267" s="163"/>
      <c r="C267" s="163"/>
      <c r="J267" s="165"/>
      <c r="K267" s="166"/>
      <c r="L267" s="166"/>
    </row>
    <row r="268">
      <c r="A268" s="163" t="s">
        <v>222</v>
      </c>
      <c r="B268" s="163"/>
      <c r="C268" s="163"/>
      <c r="J268" s="165"/>
      <c r="K268" s="166"/>
      <c r="L268" s="166"/>
    </row>
    <row r="269">
      <c r="A269" s="163" t="s">
        <v>222</v>
      </c>
      <c r="B269" s="163"/>
      <c r="C269" s="163"/>
      <c r="J269" s="165"/>
      <c r="K269" s="166"/>
      <c r="L269" s="166"/>
    </row>
    <row r="270">
      <c r="A270" s="163" t="s">
        <v>222</v>
      </c>
      <c r="B270" s="163"/>
      <c r="C270" s="163"/>
      <c r="J270" s="165"/>
      <c r="K270" s="166"/>
      <c r="L270" s="166"/>
    </row>
    <row r="271">
      <c r="A271" s="163" t="s">
        <v>222</v>
      </c>
      <c r="B271" s="163"/>
      <c r="C271" s="163"/>
      <c r="J271" s="165"/>
      <c r="K271" s="166"/>
      <c r="L271" s="166"/>
    </row>
    <row r="272">
      <c r="A272" s="163" t="s">
        <v>222</v>
      </c>
      <c r="B272" s="163"/>
      <c r="C272" s="163"/>
      <c r="J272" s="165"/>
      <c r="K272" s="166"/>
      <c r="L272" s="166"/>
    </row>
    <row r="273">
      <c r="A273" s="163" t="s">
        <v>222</v>
      </c>
      <c r="B273" s="163"/>
      <c r="C273" s="163"/>
      <c r="J273" s="165"/>
      <c r="K273" s="166"/>
      <c r="L273" s="166"/>
    </row>
    <row r="274">
      <c r="A274" s="163" t="s">
        <v>222</v>
      </c>
      <c r="B274" s="163"/>
      <c r="C274" s="163"/>
      <c r="J274" s="165"/>
      <c r="K274" s="166"/>
      <c r="L274" s="166"/>
    </row>
    <row r="275">
      <c r="A275" s="163" t="s">
        <v>222</v>
      </c>
      <c r="B275" s="163"/>
      <c r="C275" s="163"/>
      <c r="J275" s="165"/>
      <c r="K275" s="166"/>
      <c r="L275" s="166"/>
    </row>
    <row r="276">
      <c r="A276" s="163" t="s">
        <v>222</v>
      </c>
      <c r="B276" s="163"/>
      <c r="C276" s="163"/>
      <c r="J276" s="165"/>
      <c r="K276" s="166"/>
      <c r="L276" s="166"/>
    </row>
    <row r="277">
      <c r="A277" s="163" t="s">
        <v>222</v>
      </c>
      <c r="B277" s="163"/>
      <c r="C277" s="163"/>
      <c r="J277" s="165"/>
      <c r="K277" s="166"/>
      <c r="L277" s="166"/>
    </row>
    <row r="278">
      <c r="A278" s="163" t="s">
        <v>222</v>
      </c>
      <c r="B278" s="163"/>
      <c r="C278" s="163"/>
      <c r="J278" s="165"/>
      <c r="K278" s="166"/>
      <c r="L278" s="166"/>
    </row>
    <row r="279">
      <c r="A279" s="163" t="s">
        <v>222</v>
      </c>
      <c r="B279" s="163"/>
      <c r="C279" s="163"/>
      <c r="J279" s="165"/>
      <c r="K279" s="166"/>
      <c r="L279" s="166"/>
    </row>
    <row r="280">
      <c r="A280" s="163" t="s">
        <v>222</v>
      </c>
      <c r="B280" s="163"/>
      <c r="C280" s="163"/>
      <c r="J280" s="165"/>
      <c r="K280" s="166"/>
      <c r="L280" s="166"/>
    </row>
    <row r="281">
      <c r="A281" s="163" t="s">
        <v>222</v>
      </c>
      <c r="B281" s="163"/>
      <c r="C281" s="163"/>
      <c r="J281" s="165"/>
      <c r="K281" s="166"/>
      <c r="L281" s="166"/>
    </row>
    <row r="282">
      <c r="A282" s="163" t="s">
        <v>222</v>
      </c>
      <c r="B282" s="163"/>
      <c r="C282" s="163"/>
      <c r="J282" s="165"/>
      <c r="K282" s="166"/>
      <c r="L282" s="166"/>
    </row>
    <row r="283">
      <c r="A283" s="163" t="s">
        <v>222</v>
      </c>
      <c r="B283" s="163"/>
      <c r="C283" s="163"/>
      <c r="J283" s="165"/>
      <c r="K283" s="166"/>
      <c r="L283" s="166"/>
    </row>
    <row r="284">
      <c r="A284" s="163" t="s">
        <v>222</v>
      </c>
      <c r="B284" s="163"/>
      <c r="C284" s="163"/>
      <c r="J284" s="165"/>
      <c r="K284" s="166"/>
      <c r="L284" s="166"/>
    </row>
    <row r="285">
      <c r="A285" s="163" t="s">
        <v>222</v>
      </c>
      <c r="B285" s="163"/>
      <c r="C285" s="163"/>
      <c r="J285" s="165"/>
      <c r="K285" s="166"/>
      <c r="L285" s="166"/>
    </row>
    <row r="286">
      <c r="A286" s="163" t="s">
        <v>222</v>
      </c>
      <c r="B286" s="163"/>
      <c r="C286" s="163"/>
      <c r="J286" s="165"/>
      <c r="K286" s="166"/>
      <c r="L286" s="166"/>
    </row>
    <row r="287">
      <c r="A287" s="163" t="s">
        <v>222</v>
      </c>
      <c r="B287" s="163"/>
      <c r="C287" s="163"/>
      <c r="J287" s="165"/>
      <c r="K287" s="166"/>
      <c r="L287" s="166"/>
    </row>
    <row r="288">
      <c r="A288" s="163" t="s">
        <v>222</v>
      </c>
      <c r="B288" s="163"/>
      <c r="C288" s="163"/>
      <c r="J288" s="165"/>
      <c r="K288" s="166"/>
      <c r="L288" s="166"/>
    </row>
    <row r="289">
      <c r="A289" s="163" t="s">
        <v>222</v>
      </c>
      <c r="B289" s="163"/>
      <c r="C289" s="163"/>
      <c r="J289" s="165"/>
      <c r="K289" s="166"/>
      <c r="L289" s="166"/>
    </row>
    <row r="290">
      <c r="A290" s="163" t="s">
        <v>222</v>
      </c>
      <c r="B290" s="163"/>
      <c r="C290" s="163"/>
      <c r="J290" s="165"/>
      <c r="K290" s="166"/>
      <c r="L290" s="166"/>
    </row>
    <row r="291">
      <c r="A291" s="163" t="s">
        <v>222</v>
      </c>
      <c r="B291" s="163"/>
      <c r="C291" s="163"/>
      <c r="J291" s="165"/>
      <c r="K291" s="166"/>
      <c r="L291" s="166"/>
    </row>
    <row r="292">
      <c r="A292" s="163" t="s">
        <v>222</v>
      </c>
      <c r="B292" s="163"/>
      <c r="C292" s="163"/>
      <c r="J292" s="165"/>
      <c r="K292" s="166"/>
      <c r="L292" s="166"/>
    </row>
    <row r="293">
      <c r="A293" s="163" t="s">
        <v>222</v>
      </c>
      <c r="B293" s="163"/>
      <c r="C293" s="163"/>
      <c r="J293" s="165"/>
      <c r="K293" s="166"/>
      <c r="L293" s="166"/>
    </row>
    <row r="294">
      <c r="A294" s="163" t="s">
        <v>222</v>
      </c>
      <c r="B294" s="163"/>
      <c r="C294" s="163"/>
      <c r="J294" s="165"/>
      <c r="K294" s="166"/>
      <c r="L294" s="166"/>
    </row>
    <row r="295">
      <c r="A295" s="163" t="s">
        <v>222</v>
      </c>
      <c r="B295" s="163"/>
      <c r="C295" s="163"/>
      <c r="J295" s="165"/>
      <c r="K295" s="166"/>
      <c r="L295" s="166"/>
    </row>
    <row r="296">
      <c r="A296" s="163" t="s">
        <v>222</v>
      </c>
      <c r="B296" s="163"/>
      <c r="C296" s="163"/>
      <c r="J296" s="165"/>
      <c r="K296" s="166"/>
      <c r="L296" s="166"/>
    </row>
    <row r="297">
      <c r="A297" s="163" t="s">
        <v>222</v>
      </c>
      <c r="B297" s="163"/>
      <c r="C297" s="163"/>
      <c r="J297" s="165"/>
      <c r="K297" s="166"/>
      <c r="L297" s="166"/>
    </row>
    <row r="298">
      <c r="A298" s="163" t="s">
        <v>222</v>
      </c>
      <c r="B298" s="163"/>
      <c r="C298" s="163"/>
      <c r="J298" s="165"/>
      <c r="K298" s="166"/>
      <c r="L298" s="166"/>
    </row>
    <row r="299">
      <c r="A299" s="163" t="s">
        <v>222</v>
      </c>
      <c r="B299" s="163"/>
      <c r="C299" s="163"/>
      <c r="J299" s="165"/>
      <c r="K299" s="166"/>
      <c r="L299" s="166"/>
    </row>
    <row r="300">
      <c r="A300" s="163" t="s">
        <v>222</v>
      </c>
      <c r="B300" s="163"/>
      <c r="C300" s="163"/>
      <c r="J300" s="165"/>
      <c r="K300" s="166"/>
      <c r="L300" s="166"/>
    </row>
    <row r="301">
      <c r="A301" s="163" t="s">
        <v>222</v>
      </c>
      <c r="B301" s="163"/>
      <c r="C301" s="163"/>
      <c r="J301" s="165"/>
      <c r="K301" s="166"/>
      <c r="L301" s="166"/>
    </row>
    <row r="302">
      <c r="A302" s="163" t="s">
        <v>222</v>
      </c>
      <c r="B302" s="163"/>
      <c r="C302" s="163"/>
      <c r="J302" s="165"/>
      <c r="K302" s="166"/>
      <c r="L302" s="166"/>
    </row>
    <row r="303">
      <c r="A303" s="163" t="s">
        <v>222</v>
      </c>
      <c r="B303" s="163"/>
      <c r="C303" s="163"/>
      <c r="J303" s="165"/>
      <c r="K303" s="166"/>
      <c r="L303" s="166"/>
    </row>
    <row r="304">
      <c r="A304" s="163" t="s">
        <v>222</v>
      </c>
      <c r="B304" s="163"/>
      <c r="C304" s="163"/>
      <c r="J304" s="165"/>
      <c r="K304" s="166"/>
      <c r="L304" s="166"/>
    </row>
    <row r="305">
      <c r="A305" s="163" t="s">
        <v>222</v>
      </c>
      <c r="B305" s="163"/>
      <c r="C305" s="163"/>
      <c r="J305" s="165"/>
      <c r="K305" s="166"/>
      <c r="L305" s="166"/>
    </row>
    <row r="306">
      <c r="A306" s="163" t="s">
        <v>222</v>
      </c>
      <c r="B306" s="163"/>
      <c r="C306" s="163"/>
      <c r="J306" s="165"/>
      <c r="K306" s="166"/>
      <c r="L306" s="166"/>
    </row>
    <row r="307">
      <c r="A307" s="163" t="s">
        <v>222</v>
      </c>
      <c r="B307" s="163"/>
      <c r="C307" s="163"/>
      <c r="J307" s="165"/>
      <c r="K307" s="166"/>
      <c r="L307" s="166"/>
    </row>
    <row r="308">
      <c r="A308" s="163" t="s">
        <v>222</v>
      </c>
      <c r="B308" s="163"/>
      <c r="C308" s="163"/>
      <c r="J308" s="165"/>
      <c r="K308" s="166"/>
      <c r="L308" s="166"/>
    </row>
    <row r="309">
      <c r="A309" s="163" t="s">
        <v>222</v>
      </c>
      <c r="B309" s="163"/>
      <c r="C309" s="163"/>
      <c r="J309" s="165"/>
      <c r="K309" s="166"/>
      <c r="L309" s="166"/>
    </row>
    <row r="310">
      <c r="A310" s="163" t="s">
        <v>222</v>
      </c>
      <c r="B310" s="163"/>
      <c r="C310" s="163"/>
      <c r="J310" s="165"/>
      <c r="K310" s="166"/>
      <c r="L310" s="166"/>
    </row>
    <row r="311">
      <c r="A311" s="163" t="s">
        <v>222</v>
      </c>
      <c r="B311" s="163"/>
      <c r="C311" s="163"/>
      <c r="J311" s="165"/>
      <c r="K311" s="166"/>
      <c r="L311" s="166"/>
    </row>
    <row r="312">
      <c r="A312" s="163" t="s">
        <v>222</v>
      </c>
      <c r="B312" s="163"/>
      <c r="C312" s="163"/>
      <c r="J312" s="165"/>
      <c r="K312" s="166"/>
      <c r="L312" s="166"/>
    </row>
    <row r="313">
      <c r="A313" s="163" t="s">
        <v>222</v>
      </c>
      <c r="B313" s="163"/>
      <c r="C313" s="163"/>
      <c r="J313" s="165"/>
      <c r="K313" s="166"/>
      <c r="L313" s="166"/>
    </row>
    <row r="314">
      <c r="A314" s="163" t="s">
        <v>222</v>
      </c>
      <c r="B314" s="163"/>
      <c r="C314" s="163"/>
      <c r="J314" s="165"/>
      <c r="K314" s="166"/>
      <c r="L314" s="166"/>
    </row>
    <row r="315">
      <c r="A315" s="163" t="s">
        <v>222</v>
      </c>
      <c r="B315" s="163"/>
      <c r="C315" s="163"/>
      <c r="J315" s="165"/>
      <c r="K315" s="166"/>
      <c r="L315" s="166"/>
    </row>
    <row r="316">
      <c r="A316" s="163" t="s">
        <v>222</v>
      </c>
      <c r="B316" s="163"/>
      <c r="C316" s="163"/>
      <c r="J316" s="165"/>
      <c r="K316" s="166"/>
      <c r="L316" s="166"/>
    </row>
    <row r="317">
      <c r="A317" s="163" t="s">
        <v>222</v>
      </c>
      <c r="B317" s="163"/>
      <c r="C317" s="163"/>
      <c r="J317" s="165"/>
      <c r="K317" s="166"/>
      <c r="L317" s="166"/>
    </row>
    <row r="318">
      <c r="A318" s="163" t="s">
        <v>222</v>
      </c>
      <c r="B318" s="163"/>
      <c r="C318" s="163"/>
      <c r="J318" s="165"/>
      <c r="K318" s="166"/>
      <c r="L318" s="166"/>
    </row>
    <row r="319">
      <c r="A319" s="163" t="s">
        <v>222</v>
      </c>
      <c r="B319" s="163"/>
      <c r="C319" s="163"/>
      <c r="J319" s="165"/>
      <c r="K319" s="166"/>
      <c r="L319" s="166"/>
    </row>
    <row r="320">
      <c r="A320" s="163" t="s">
        <v>222</v>
      </c>
      <c r="B320" s="163"/>
      <c r="C320" s="163"/>
      <c r="J320" s="165"/>
      <c r="K320" s="166"/>
      <c r="L320" s="166"/>
    </row>
    <row r="321">
      <c r="A321" s="163" t="s">
        <v>222</v>
      </c>
      <c r="B321" s="163"/>
      <c r="C321" s="163"/>
      <c r="J321" s="165"/>
      <c r="K321" s="166"/>
      <c r="L321" s="166"/>
    </row>
    <row r="322">
      <c r="A322" s="163" t="s">
        <v>222</v>
      </c>
      <c r="B322" s="163"/>
      <c r="C322" s="163"/>
      <c r="J322" s="165"/>
      <c r="K322" s="166"/>
      <c r="L322" s="166"/>
    </row>
    <row r="323">
      <c r="A323" s="163" t="s">
        <v>222</v>
      </c>
      <c r="B323" s="163"/>
      <c r="C323" s="163"/>
      <c r="J323" s="165"/>
      <c r="K323" s="166"/>
      <c r="L323" s="166"/>
    </row>
    <row r="324">
      <c r="A324" s="163" t="s">
        <v>222</v>
      </c>
      <c r="B324" s="163"/>
      <c r="C324" s="163"/>
      <c r="J324" s="165"/>
      <c r="K324" s="166"/>
      <c r="L324" s="166"/>
    </row>
    <row r="325">
      <c r="A325" s="163" t="s">
        <v>222</v>
      </c>
      <c r="B325" s="163"/>
      <c r="C325" s="163"/>
      <c r="J325" s="165"/>
      <c r="K325" s="166"/>
      <c r="L325" s="166"/>
    </row>
    <row r="326">
      <c r="A326" s="163" t="s">
        <v>222</v>
      </c>
      <c r="B326" s="163"/>
      <c r="C326" s="163"/>
      <c r="J326" s="165"/>
      <c r="K326" s="166"/>
      <c r="L326" s="166"/>
    </row>
    <row r="327">
      <c r="A327" s="163" t="s">
        <v>222</v>
      </c>
      <c r="B327" s="163"/>
      <c r="C327" s="163"/>
      <c r="J327" s="165"/>
      <c r="K327" s="166"/>
      <c r="L327" s="166"/>
    </row>
    <row r="328">
      <c r="A328" s="163" t="s">
        <v>222</v>
      </c>
      <c r="B328" s="163"/>
      <c r="C328" s="163"/>
      <c r="J328" s="165"/>
      <c r="K328" s="166"/>
      <c r="L328" s="166"/>
    </row>
    <row r="329">
      <c r="A329" s="163" t="s">
        <v>222</v>
      </c>
      <c r="B329" s="163"/>
      <c r="C329" s="163"/>
      <c r="J329" s="165"/>
      <c r="K329" s="166"/>
      <c r="L329" s="166"/>
    </row>
    <row r="330">
      <c r="A330" s="163" t="s">
        <v>222</v>
      </c>
      <c r="B330" s="163"/>
      <c r="C330" s="163"/>
      <c r="J330" s="165"/>
      <c r="K330" s="166"/>
      <c r="L330" s="166"/>
    </row>
    <row r="331">
      <c r="A331" s="163" t="s">
        <v>222</v>
      </c>
      <c r="B331" s="163"/>
      <c r="C331" s="163"/>
      <c r="J331" s="165"/>
      <c r="K331" s="166"/>
      <c r="L331" s="166"/>
    </row>
    <row r="332">
      <c r="A332" s="163" t="s">
        <v>222</v>
      </c>
      <c r="B332" s="163"/>
      <c r="C332" s="163"/>
      <c r="J332" s="165"/>
      <c r="K332" s="166"/>
      <c r="L332" s="166"/>
    </row>
    <row r="333">
      <c r="A333" s="163" t="s">
        <v>222</v>
      </c>
      <c r="B333" s="163"/>
      <c r="C333" s="163"/>
      <c r="J333" s="165"/>
      <c r="K333" s="166"/>
      <c r="L333" s="166"/>
    </row>
    <row r="334">
      <c r="A334" s="163" t="s">
        <v>222</v>
      </c>
      <c r="B334" s="163"/>
      <c r="C334" s="163"/>
      <c r="J334" s="165"/>
      <c r="K334" s="166"/>
      <c r="L334" s="166"/>
    </row>
    <row r="335">
      <c r="A335" s="163" t="s">
        <v>222</v>
      </c>
      <c r="B335" s="163"/>
      <c r="C335" s="163"/>
      <c r="J335" s="165"/>
      <c r="K335" s="166"/>
      <c r="L335" s="166"/>
    </row>
    <row r="336">
      <c r="A336" s="163" t="s">
        <v>222</v>
      </c>
      <c r="B336" s="163"/>
      <c r="C336" s="163"/>
      <c r="J336" s="165"/>
      <c r="K336" s="166"/>
      <c r="L336" s="166"/>
    </row>
    <row r="337">
      <c r="A337" s="163" t="s">
        <v>222</v>
      </c>
      <c r="B337" s="163"/>
      <c r="C337" s="163"/>
      <c r="J337" s="165"/>
      <c r="K337" s="166"/>
      <c r="L337" s="166"/>
    </row>
    <row r="338">
      <c r="A338" s="163" t="s">
        <v>222</v>
      </c>
      <c r="B338" s="163"/>
      <c r="C338" s="163"/>
      <c r="J338" s="165"/>
      <c r="K338" s="166"/>
      <c r="L338" s="166"/>
    </row>
    <row r="339">
      <c r="A339" s="163" t="s">
        <v>222</v>
      </c>
      <c r="B339" s="163"/>
      <c r="C339" s="163"/>
      <c r="J339" s="165"/>
      <c r="K339" s="166"/>
      <c r="L339" s="166"/>
    </row>
    <row r="340">
      <c r="A340" s="163" t="s">
        <v>222</v>
      </c>
      <c r="B340" s="163"/>
      <c r="C340" s="163"/>
      <c r="J340" s="165"/>
      <c r="K340" s="166"/>
      <c r="L340" s="166"/>
    </row>
    <row r="341">
      <c r="A341" s="163" t="s">
        <v>222</v>
      </c>
      <c r="B341" s="163"/>
      <c r="C341" s="163"/>
      <c r="J341" s="165"/>
      <c r="K341" s="166"/>
      <c r="L341" s="166"/>
    </row>
    <row r="342">
      <c r="A342" s="163" t="s">
        <v>222</v>
      </c>
      <c r="B342" s="163"/>
      <c r="C342" s="163"/>
      <c r="J342" s="165"/>
      <c r="K342" s="166"/>
      <c r="L342" s="166"/>
    </row>
    <row r="343">
      <c r="A343" s="163" t="s">
        <v>222</v>
      </c>
      <c r="B343" s="163"/>
      <c r="C343" s="163"/>
      <c r="J343" s="165"/>
      <c r="K343" s="166"/>
      <c r="L343" s="166"/>
    </row>
    <row r="344">
      <c r="A344" s="163" t="s">
        <v>222</v>
      </c>
      <c r="B344" s="163"/>
      <c r="C344" s="163"/>
      <c r="J344" s="165"/>
      <c r="K344" s="166"/>
      <c r="L344" s="166"/>
    </row>
    <row r="345">
      <c r="A345" s="163" t="s">
        <v>222</v>
      </c>
      <c r="B345" s="163"/>
      <c r="C345" s="163"/>
      <c r="J345" s="165"/>
      <c r="K345" s="166"/>
      <c r="L345" s="166"/>
    </row>
    <row r="346">
      <c r="A346" s="163" t="s">
        <v>222</v>
      </c>
      <c r="B346" s="163"/>
      <c r="C346" s="163"/>
      <c r="J346" s="165"/>
      <c r="K346" s="166"/>
      <c r="L346" s="166"/>
    </row>
    <row r="347">
      <c r="A347" s="163" t="s">
        <v>222</v>
      </c>
      <c r="B347" s="163"/>
      <c r="C347" s="163"/>
      <c r="J347" s="165"/>
      <c r="K347" s="166"/>
      <c r="L347" s="166"/>
    </row>
    <row r="348">
      <c r="A348" s="163" t="s">
        <v>222</v>
      </c>
      <c r="B348" s="163"/>
      <c r="C348" s="163"/>
      <c r="J348" s="165"/>
      <c r="K348" s="166"/>
      <c r="L348" s="166"/>
    </row>
    <row r="349">
      <c r="A349" s="163" t="s">
        <v>222</v>
      </c>
      <c r="B349" s="163"/>
      <c r="C349" s="163"/>
      <c r="J349" s="165"/>
      <c r="K349" s="166"/>
      <c r="L349" s="166"/>
    </row>
    <row r="350">
      <c r="A350" s="163" t="s">
        <v>222</v>
      </c>
      <c r="B350" s="163"/>
      <c r="C350" s="163"/>
      <c r="J350" s="165"/>
      <c r="K350" s="166"/>
      <c r="L350" s="166"/>
    </row>
    <row r="351">
      <c r="A351" s="163" t="s">
        <v>222</v>
      </c>
      <c r="B351" s="163"/>
      <c r="C351" s="163"/>
      <c r="J351" s="165"/>
      <c r="K351" s="166"/>
      <c r="L351" s="166"/>
    </row>
    <row r="352">
      <c r="A352" s="163" t="s">
        <v>222</v>
      </c>
      <c r="B352" s="163"/>
      <c r="C352" s="163"/>
      <c r="J352" s="165"/>
      <c r="K352" s="166"/>
      <c r="L352" s="166"/>
    </row>
    <row r="353">
      <c r="A353" s="163" t="s">
        <v>222</v>
      </c>
      <c r="B353" s="163"/>
      <c r="C353" s="163"/>
      <c r="J353" s="165"/>
      <c r="K353" s="166"/>
      <c r="L353" s="166"/>
    </row>
    <row r="354">
      <c r="A354" s="163" t="s">
        <v>222</v>
      </c>
      <c r="B354" s="163"/>
      <c r="C354" s="163"/>
      <c r="J354" s="165"/>
      <c r="K354" s="166"/>
      <c r="L354" s="166"/>
    </row>
    <row r="355">
      <c r="A355" s="163" t="s">
        <v>222</v>
      </c>
      <c r="B355" s="163"/>
      <c r="C355" s="163"/>
      <c r="J355" s="165"/>
      <c r="K355" s="166"/>
      <c r="L355" s="166"/>
    </row>
    <row r="356">
      <c r="A356" s="163" t="s">
        <v>222</v>
      </c>
      <c r="B356" s="163"/>
      <c r="C356" s="163"/>
      <c r="J356" s="165"/>
      <c r="K356" s="166"/>
      <c r="L356" s="166"/>
    </row>
    <row r="357">
      <c r="A357" s="163" t="s">
        <v>222</v>
      </c>
      <c r="B357" s="163"/>
      <c r="C357" s="163"/>
      <c r="J357" s="165"/>
      <c r="K357" s="166"/>
      <c r="L357" s="166"/>
    </row>
    <row r="358">
      <c r="A358" s="163" t="s">
        <v>222</v>
      </c>
      <c r="B358" s="163"/>
      <c r="C358" s="163"/>
      <c r="J358" s="165"/>
      <c r="K358" s="166"/>
      <c r="L358" s="166"/>
    </row>
    <row r="359">
      <c r="A359" s="163" t="s">
        <v>222</v>
      </c>
      <c r="B359" s="163"/>
      <c r="C359" s="163"/>
      <c r="J359" s="165"/>
      <c r="K359" s="166"/>
      <c r="L359" s="166"/>
    </row>
    <row r="360">
      <c r="A360" s="163" t="s">
        <v>222</v>
      </c>
      <c r="B360" s="163"/>
      <c r="C360" s="163"/>
      <c r="J360" s="165"/>
      <c r="K360" s="166"/>
      <c r="L360" s="166"/>
    </row>
    <row r="361">
      <c r="A361" s="163" t="s">
        <v>222</v>
      </c>
      <c r="B361" s="163"/>
      <c r="C361" s="163"/>
      <c r="J361" s="165"/>
      <c r="K361" s="166"/>
      <c r="L361" s="166"/>
    </row>
    <row r="362">
      <c r="A362" s="163" t="s">
        <v>222</v>
      </c>
      <c r="B362" s="163"/>
      <c r="C362" s="163"/>
      <c r="J362" s="165"/>
      <c r="K362" s="166"/>
      <c r="L362" s="166"/>
    </row>
    <row r="363">
      <c r="A363" s="163" t="s">
        <v>222</v>
      </c>
      <c r="B363" s="163"/>
      <c r="C363" s="163"/>
      <c r="J363" s="165"/>
      <c r="K363" s="166"/>
      <c r="L363" s="166"/>
    </row>
    <row r="364">
      <c r="A364" s="163" t="s">
        <v>222</v>
      </c>
      <c r="B364" s="163"/>
      <c r="C364" s="163"/>
      <c r="J364" s="165"/>
      <c r="K364" s="166"/>
      <c r="L364" s="166"/>
    </row>
    <row r="365">
      <c r="A365" s="163" t="s">
        <v>222</v>
      </c>
      <c r="B365" s="163"/>
      <c r="C365" s="163"/>
      <c r="J365" s="165"/>
      <c r="K365" s="166"/>
      <c r="L365" s="166"/>
    </row>
    <row r="366">
      <c r="A366" s="163" t="s">
        <v>222</v>
      </c>
      <c r="B366" s="163"/>
      <c r="C366" s="163"/>
      <c r="J366" s="165"/>
      <c r="K366" s="166"/>
      <c r="L366" s="166"/>
    </row>
    <row r="367">
      <c r="A367" s="163" t="s">
        <v>222</v>
      </c>
      <c r="B367" s="163"/>
      <c r="C367" s="163"/>
      <c r="J367" s="165"/>
      <c r="K367" s="166"/>
      <c r="L367" s="166"/>
    </row>
    <row r="368">
      <c r="A368" s="163" t="s">
        <v>222</v>
      </c>
      <c r="B368" s="163"/>
      <c r="C368" s="163"/>
      <c r="J368" s="165"/>
      <c r="K368" s="166"/>
      <c r="L368" s="166"/>
    </row>
    <row r="369">
      <c r="A369" s="163" t="s">
        <v>222</v>
      </c>
      <c r="B369" s="163"/>
      <c r="C369" s="163"/>
      <c r="J369" s="165"/>
      <c r="K369" s="166"/>
      <c r="L369" s="166"/>
    </row>
    <row r="370">
      <c r="A370" s="163" t="s">
        <v>222</v>
      </c>
      <c r="B370" s="163"/>
      <c r="C370" s="163"/>
      <c r="J370" s="165"/>
      <c r="K370" s="166"/>
      <c r="L370" s="166"/>
    </row>
    <row r="371">
      <c r="A371" s="163" t="s">
        <v>222</v>
      </c>
      <c r="B371" s="163"/>
      <c r="C371" s="163"/>
      <c r="J371" s="165"/>
      <c r="K371" s="166"/>
      <c r="L371" s="166"/>
    </row>
    <row r="372">
      <c r="A372" s="163" t="s">
        <v>222</v>
      </c>
      <c r="B372" s="163"/>
      <c r="C372" s="163"/>
      <c r="J372" s="165"/>
      <c r="K372" s="166"/>
      <c r="L372" s="166"/>
    </row>
    <row r="373">
      <c r="A373" s="163" t="s">
        <v>222</v>
      </c>
      <c r="B373" s="163"/>
      <c r="C373" s="163"/>
      <c r="J373" s="165"/>
      <c r="K373" s="166"/>
      <c r="L373" s="166"/>
    </row>
    <row r="374">
      <c r="A374" s="163" t="s">
        <v>222</v>
      </c>
      <c r="B374" s="163"/>
      <c r="C374" s="163"/>
      <c r="J374" s="165"/>
      <c r="K374" s="166"/>
      <c r="L374" s="166"/>
    </row>
    <row r="375">
      <c r="A375" s="163" t="s">
        <v>222</v>
      </c>
      <c r="B375" s="163"/>
      <c r="C375" s="163"/>
      <c r="J375" s="165"/>
      <c r="K375" s="166"/>
      <c r="L375" s="166"/>
    </row>
    <row r="376">
      <c r="A376" s="163" t="s">
        <v>222</v>
      </c>
      <c r="B376" s="163"/>
      <c r="C376" s="163"/>
      <c r="J376" s="165"/>
      <c r="K376" s="166"/>
      <c r="L376" s="166"/>
    </row>
    <row r="377">
      <c r="A377" s="163" t="s">
        <v>222</v>
      </c>
      <c r="B377" s="163"/>
      <c r="C377" s="163"/>
      <c r="J377" s="165"/>
      <c r="K377" s="166"/>
      <c r="L377" s="166"/>
    </row>
    <row r="378">
      <c r="A378" s="163" t="s">
        <v>222</v>
      </c>
      <c r="B378" s="163"/>
      <c r="C378" s="163"/>
      <c r="J378" s="165"/>
      <c r="K378" s="166"/>
      <c r="L378" s="166"/>
    </row>
    <row r="379">
      <c r="A379" s="163" t="s">
        <v>222</v>
      </c>
      <c r="B379" s="163"/>
      <c r="C379" s="163"/>
      <c r="J379" s="165"/>
      <c r="K379" s="166"/>
      <c r="L379" s="166"/>
    </row>
    <row r="380">
      <c r="A380" s="163" t="s">
        <v>222</v>
      </c>
      <c r="B380" s="163"/>
      <c r="C380" s="163"/>
      <c r="J380" s="165"/>
      <c r="K380" s="166"/>
      <c r="L380" s="166"/>
    </row>
    <row r="381">
      <c r="A381" s="163" t="s">
        <v>222</v>
      </c>
      <c r="B381" s="163"/>
      <c r="C381" s="163"/>
      <c r="J381" s="165"/>
      <c r="K381" s="166"/>
      <c r="L381" s="166"/>
    </row>
    <row r="382">
      <c r="A382" s="163" t="s">
        <v>222</v>
      </c>
      <c r="B382" s="163"/>
      <c r="C382" s="163"/>
      <c r="J382" s="165"/>
      <c r="K382" s="166"/>
      <c r="L382" s="166"/>
    </row>
    <row r="383">
      <c r="A383" s="163" t="s">
        <v>222</v>
      </c>
      <c r="B383" s="163"/>
      <c r="C383" s="163"/>
      <c r="J383" s="165"/>
      <c r="K383" s="166"/>
      <c r="L383" s="166"/>
    </row>
    <row r="384">
      <c r="A384" s="163" t="s">
        <v>222</v>
      </c>
      <c r="B384" s="163"/>
      <c r="C384" s="163"/>
      <c r="J384" s="165"/>
      <c r="K384" s="166"/>
      <c r="L384" s="166"/>
    </row>
    <row r="385">
      <c r="A385" s="163" t="s">
        <v>222</v>
      </c>
      <c r="B385" s="163"/>
      <c r="C385" s="163"/>
      <c r="J385" s="165"/>
      <c r="K385" s="166"/>
      <c r="L385" s="166"/>
    </row>
    <row r="386">
      <c r="A386" s="163" t="s">
        <v>222</v>
      </c>
      <c r="B386" s="163"/>
      <c r="C386" s="163"/>
      <c r="J386" s="165"/>
      <c r="K386" s="166"/>
      <c r="L386" s="166"/>
    </row>
    <row r="387">
      <c r="A387" s="163" t="s">
        <v>222</v>
      </c>
      <c r="B387" s="163"/>
      <c r="C387" s="163"/>
      <c r="J387" s="165"/>
      <c r="K387" s="166"/>
      <c r="L387" s="166"/>
    </row>
    <row r="388">
      <c r="A388" s="163" t="s">
        <v>222</v>
      </c>
      <c r="B388" s="163"/>
      <c r="C388" s="163"/>
      <c r="J388" s="165"/>
      <c r="K388" s="166"/>
      <c r="L388" s="166"/>
    </row>
    <row r="389">
      <c r="A389" s="163" t="s">
        <v>222</v>
      </c>
      <c r="B389" s="163"/>
      <c r="C389" s="163"/>
      <c r="J389" s="165"/>
      <c r="K389" s="166"/>
      <c r="L389" s="166"/>
    </row>
    <row r="390">
      <c r="A390" s="163" t="s">
        <v>222</v>
      </c>
      <c r="B390" s="163"/>
      <c r="C390" s="163"/>
      <c r="J390" s="165"/>
      <c r="K390" s="166"/>
      <c r="L390" s="166"/>
    </row>
    <row r="391">
      <c r="A391" s="163" t="s">
        <v>222</v>
      </c>
      <c r="B391" s="163"/>
      <c r="C391" s="163"/>
      <c r="J391" s="165"/>
      <c r="K391" s="166"/>
      <c r="L391" s="166"/>
    </row>
    <row r="392">
      <c r="A392" s="163" t="s">
        <v>222</v>
      </c>
      <c r="B392" s="163"/>
      <c r="C392" s="163"/>
      <c r="J392" s="165"/>
      <c r="K392" s="166"/>
      <c r="L392" s="166"/>
    </row>
    <row r="393">
      <c r="A393" s="163" t="s">
        <v>222</v>
      </c>
      <c r="B393" s="163"/>
      <c r="C393" s="163"/>
      <c r="J393" s="165"/>
      <c r="K393" s="166"/>
      <c r="L393" s="166"/>
    </row>
    <row r="394">
      <c r="A394" s="163" t="s">
        <v>222</v>
      </c>
      <c r="B394" s="163"/>
      <c r="C394" s="163"/>
      <c r="J394" s="165"/>
      <c r="K394" s="166"/>
      <c r="L394" s="166"/>
    </row>
    <row r="395">
      <c r="A395" s="163" t="s">
        <v>222</v>
      </c>
      <c r="B395" s="163"/>
      <c r="C395" s="163"/>
      <c r="J395" s="165"/>
      <c r="K395" s="166"/>
      <c r="L395" s="166"/>
    </row>
    <row r="396">
      <c r="A396" s="163" t="s">
        <v>222</v>
      </c>
      <c r="B396" s="163"/>
      <c r="C396" s="163"/>
      <c r="J396" s="165"/>
      <c r="K396" s="166"/>
      <c r="L396" s="166"/>
    </row>
    <row r="397">
      <c r="A397" s="163" t="s">
        <v>222</v>
      </c>
      <c r="B397" s="163"/>
      <c r="C397" s="163"/>
      <c r="J397" s="165"/>
      <c r="K397" s="166"/>
      <c r="L397" s="166"/>
    </row>
    <row r="398">
      <c r="A398" s="163" t="s">
        <v>222</v>
      </c>
      <c r="B398" s="163"/>
      <c r="C398" s="163"/>
      <c r="J398" s="165"/>
      <c r="K398" s="166"/>
      <c r="L398" s="166"/>
    </row>
    <row r="399">
      <c r="A399" s="163" t="s">
        <v>222</v>
      </c>
      <c r="B399" s="163"/>
      <c r="C399" s="163"/>
      <c r="J399" s="165"/>
      <c r="K399" s="166"/>
      <c r="L399" s="166"/>
    </row>
    <row r="400">
      <c r="A400" s="163" t="s">
        <v>222</v>
      </c>
      <c r="B400" s="163"/>
      <c r="C400" s="163"/>
      <c r="J400" s="165"/>
      <c r="K400" s="166"/>
      <c r="L400" s="166"/>
    </row>
    <row r="401">
      <c r="A401" s="163" t="s">
        <v>222</v>
      </c>
      <c r="B401" s="163"/>
      <c r="C401" s="163"/>
      <c r="J401" s="165"/>
      <c r="K401" s="166"/>
      <c r="L401" s="166"/>
    </row>
    <row r="402">
      <c r="A402" s="163" t="s">
        <v>222</v>
      </c>
      <c r="B402" s="163"/>
      <c r="C402" s="163"/>
      <c r="J402" s="165"/>
      <c r="K402" s="166"/>
      <c r="L402" s="166"/>
    </row>
    <row r="403">
      <c r="A403" s="163" t="s">
        <v>222</v>
      </c>
      <c r="B403" s="163"/>
      <c r="C403" s="163"/>
      <c r="J403" s="165"/>
      <c r="K403" s="166"/>
      <c r="L403" s="166"/>
    </row>
    <row r="404">
      <c r="A404" s="163" t="s">
        <v>222</v>
      </c>
      <c r="B404" s="163"/>
      <c r="C404" s="163"/>
      <c r="J404" s="165"/>
      <c r="K404" s="166"/>
      <c r="L404" s="166"/>
    </row>
    <row r="405">
      <c r="A405" s="163" t="s">
        <v>222</v>
      </c>
      <c r="B405" s="163"/>
      <c r="C405" s="163"/>
      <c r="J405" s="165"/>
      <c r="K405" s="166"/>
      <c r="L405" s="166"/>
    </row>
    <row r="406">
      <c r="A406" s="163" t="s">
        <v>222</v>
      </c>
      <c r="B406" s="163"/>
      <c r="C406" s="163"/>
      <c r="J406" s="165"/>
      <c r="K406" s="166"/>
      <c r="L406" s="166"/>
    </row>
    <row r="407">
      <c r="A407" s="163" t="s">
        <v>222</v>
      </c>
      <c r="B407" s="163"/>
      <c r="C407" s="163"/>
      <c r="J407" s="165"/>
      <c r="K407" s="166"/>
      <c r="L407" s="166"/>
    </row>
    <row r="408">
      <c r="A408" s="163" t="s">
        <v>222</v>
      </c>
      <c r="B408" s="163"/>
      <c r="C408" s="163"/>
      <c r="J408" s="165"/>
      <c r="K408" s="166"/>
      <c r="L408" s="166"/>
    </row>
    <row r="409">
      <c r="A409" s="163" t="s">
        <v>222</v>
      </c>
      <c r="B409" s="163"/>
      <c r="C409" s="163"/>
      <c r="J409" s="165"/>
      <c r="K409" s="166"/>
      <c r="L409" s="166"/>
    </row>
    <row r="410">
      <c r="A410" s="163" t="s">
        <v>222</v>
      </c>
      <c r="B410" s="163"/>
      <c r="C410" s="163"/>
      <c r="J410" s="165"/>
      <c r="K410" s="166"/>
      <c r="L410" s="166"/>
    </row>
    <row r="411">
      <c r="A411" s="163" t="s">
        <v>222</v>
      </c>
      <c r="B411" s="163"/>
      <c r="C411" s="163"/>
      <c r="J411" s="165"/>
      <c r="K411" s="166"/>
      <c r="L411" s="166"/>
    </row>
    <row r="412">
      <c r="A412" s="163" t="s">
        <v>222</v>
      </c>
      <c r="B412" s="163"/>
      <c r="C412" s="163"/>
      <c r="J412" s="165"/>
      <c r="K412" s="166"/>
      <c r="L412" s="166"/>
    </row>
    <row r="413">
      <c r="A413" s="163" t="s">
        <v>222</v>
      </c>
      <c r="B413" s="163"/>
      <c r="C413" s="163"/>
      <c r="J413" s="165"/>
      <c r="K413" s="166"/>
      <c r="L413" s="166"/>
    </row>
    <row r="414">
      <c r="A414" s="163" t="s">
        <v>222</v>
      </c>
      <c r="B414" s="163"/>
      <c r="C414" s="163"/>
      <c r="J414" s="165"/>
      <c r="K414" s="166"/>
      <c r="L414" s="166"/>
    </row>
    <row r="415">
      <c r="A415" s="163" t="s">
        <v>222</v>
      </c>
      <c r="B415" s="163"/>
      <c r="C415" s="163"/>
      <c r="J415" s="165"/>
      <c r="K415" s="166"/>
      <c r="L415" s="166"/>
    </row>
    <row r="416">
      <c r="A416" s="163" t="s">
        <v>222</v>
      </c>
      <c r="B416" s="163"/>
      <c r="C416" s="163"/>
      <c r="J416" s="165"/>
      <c r="K416" s="166"/>
      <c r="L416" s="166"/>
    </row>
    <row r="417">
      <c r="A417" s="163" t="s">
        <v>222</v>
      </c>
      <c r="B417" s="163"/>
      <c r="C417" s="163"/>
      <c r="J417" s="165"/>
      <c r="K417" s="166"/>
      <c r="L417" s="166"/>
    </row>
    <row r="418">
      <c r="A418" s="163" t="s">
        <v>222</v>
      </c>
      <c r="B418" s="163"/>
      <c r="C418" s="163"/>
      <c r="J418" s="165"/>
      <c r="K418" s="166"/>
      <c r="L418" s="166"/>
    </row>
    <row r="419">
      <c r="A419" s="163" t="s">
        <v>222</v>
      </c>
      <c r="B419" s="163"/>
      <c r="C419" s="163"/>
      <c r="J419" s="165"/>
      <c r="K419" s="166"/>
      <c r="L419" s="166"/>
    </row>
    <row r="420">
      <c r="A420" s="163" t="s">
        <v>222</v>
      </c>
      <c r="B420" s="163"/>
      <c r="C420" s="163"/>
      <c r="J420" s="165"/>
      <c r="K420" s="166"/>
      <c r="L420" s="166"/>
    </row>
    <row r="421">
      <c r="A421" s="163" t="s">
        <v>222</v>
      </c>
      <c r="B421" s="163"/>
      <c r="C421" s="163"/>
      <c r="J421" s="165"/>
      <c r="K421" s="166"/>
      <c r="L421" s="166"/>
    </row>
    <row r="422">
      <c r="A422" s="163" t="s">
        <v>222</v>
      </c>
      <c r="B422" s="163"/>
      <c r="C422" s="163"/>
      <c r="J422" s="165"/>
      <c r="K422" s="166"/>
      <c r="L422" s="166"/>
    </row>
    <row r="423">
      <c r="A423" s="163" t="s">
        <v>222</v>
      </c>
      <c r="B423" s="163"/>
      <c r="C423" s="163"/>
      <c r="J423" s="165"/>
      <c r="K423" s="166"/>
      <c r="L423" s="166"/>
    </row>
    <row r="424">
      <c r="A424" s="163" t="s">
        <v>222</v>
      </c>
      <c r="B424" s="163"/>
      <c r="C424" s="163"/>
      <c r="J424" s="165"/>
      <c r="K424" s="166"/>
      <c r="L424" s="166"/>
    </row>
    <row r="425">
      <c r="A425" s="163" t="s">
        <v>222</v>
      </c>
      <c r="B425" s="163"/>
      <c r="C425" s="163"/>
      <c r="J425" s="165"/>
      <c r="K425" s="166"/>
      <c r="L425" s="166"/>
    </row>
    <row r="426">
      <c r="A426" s="163" t="s">
        <v>222</v>
      </c>
      <c r="B426" s="163"/>
      <c r="C426" s="163"/>
      <c r="J426" s="165"/>
      <c r="K426" s="166"/>
      <c r="L426" s="166"/>
    </row>
    <row r="427">
      <c r="A427" s="163" t="s">
        <v>222</v>
      </c>
      <c r="B427" s="163"/>
      <c r="C427" s="163"/>
      <c r="J427" s="165"/>
      <c r="K427" s="166"/>
      <c r="L427" s="166"/>
    </row>
    <row r="428">
      <c r="A428" s="163" t="s">
        <v>222</v>
      </c>
      <c r="B428" s="163"/>
      <c r="C428" s="163"/>
      <c r="J428" s="165"/>
      <c r="K428" s="166"/>
      <c r="L428" s="166"/>
    </row>
    <row r="429">
      <c r="A429" s="163" t="s">
        <v>222</v>
      </c>
      <c r="B429" s="163"/>
      <c r="C429" s="163"/>
      <c r="J429" s="165"/>
      <c r="K429" s="166"/>
      <c r="L429" s="166"/>
    </row>
    <row r="430">
      <c r="A430" s="163" t="s">
        <v>222</v>
      </c>
      <c r="B430" s="163"/>
      <c r="C430" s="163"/>
      <c r="J430" s="165"/>
      <c r="K430" s="166"/>
      <c r="L430" s="166"/>
    </row>
    <row r="431">
      <c r="A431" s="163" t="s">
        <v>222</v>
      </c>
      <c r="B431" s="163"/>
      <c r="C431" s="163"/>
      <c r="J431" s="165"/>
      <c r="K431" s="166"/>
      <c r="L431" s="166"/>
    </row>
    <row r="432">
      <c r="A432" s="163" t="s">
        <v>222</v>
      </c>
      <c r="B432" s="163"/>
      <c r="C432" s="163"/>
      <c r="J432" s="165"/>
      <c r="K432" s="166"/>
      <c r="L432" s="166"/>
    </row>
    <row r="433">
      <c r="A433" s="163" t="s">
        <v>222</v>
      </c>
      <c r="B433" s="163"/>
      <c r="C433" s="163"/>
      <c r="J433" s="165"/>
      <c r="K433" s="166"/>
      <c r="L433" s="166"/>
    </row>
    <row r="434">
      <c r="A434" s="163" t="s">
        <v>222</v>
      </c>
      <c r="B434" s="163"/>
      <c r="C434" s="163"/>
      <c r="J434" s="165"/>
      <c r="K434" s="166"/>
      <c r="L434" s="166"/>
    </row>
    <row r="435">
      <c r="A435" s="163" t="s">
        <v>222</v>
      </c>
      <c r="B435" s="163"/>
      <c r="C435" s="163"/>
      <c r="J435" s="165"/>
      <c r="K435" s="166"/>
      <c r="L435" s="166"/>
    </row>
    <row r="436">
      <c r="A436" s="163" t="s">
        <v>222</v>
      </c>
      <c r="B436" s="163"/>
      <c r="C436" s="163"/>
      <c r="J436" s="165"/>
      <c r="K436" s="166"/>
      <c r="L436" s="166"/>
    </row>
    <row r="437">
      <c r="A437" s="163" t="s">
        <v>222</v>
      </c>
      <c r="B437" s="163"/>
      <c r="C437" s="163"/>
      <c r="J437" s="165"/>
      <c r="K437" s="166"/>
      <c r="L437" s="166"/>
    </row>
    <row r="438">
      <c r="A438" s="163" t="s">
        <v>222</v>
      </c>
      <c r="B438" s="163"/>
      <c r="C438" s="163"/>
      <c r="J438" s="165"/>
      <c r="K438" s="166"/>
      <c r="L438" s="166"/>
    </row>
    <row r="439">
      <c r="A439" s="163" t="s">
        <v>222</v>
      </c>
      <c r="B439" s="163"/>
      <c r="C439" s="163"/>
      <c r="J439" s="165"/>
      <c r="K439" s="166"/>
      <c r="L439" s="166"/>
    </row>
    <row r="440">
      <c r="A440" s="163" t="s">
        <v>222</v>
      </c>
      <c r="B440" s="163"/>
      <c r="C440" s="163"/>
      <c r="J440" s="165"/>
      <c r="K440" s="166"/>
      <c r="L440" s="166"/>
    </row>
    <row r="441">
      <c r="A441" s="163" t="s">
        <v>222</v>
      </c>
      <c r="B441" s="163"/>
      <c r="C441" s="163"/>
      <c r="J441" s="165"/>
      <c r="K441" s="166"/>
      <c r="L441" s="166"/>
    </row>
    <row r="442">
      <c r="A442" s="163" t="s">
        <v>222</v>
      </c>
      <c r="B442" s="163"/>
      <c r="C442" s="163"/>
      <c r="J442" s="165"/>
      <c r="K442" s="166"/>
      <c r="L442" s="166"/>
    </row>
    <row r="443">
      <c r="A443" s="163" t="s">
        <v>222</v>
      </c>
      <c r="B443" s="163"/>
      <c r="C443" s="163"/>
      <c r="J443" s="165"/>
      <c r="K443" s="166"/>
      <c r="L443" s="166"/>
    </row>
    <row r="444">
      <c r="A444" s="163" t="s">
        <v>222</v>
      </c>
      <c r="B444" s="163"/>
      <c r="C444" s="163"/>
      <c r="J444" s="165"/>
      <c r="K444" s="166"/>
      <c r="L444" s="166"/>
    </row>
    <row r="445">
      <c r="A445" s="163" t="s">
        <v>222</v>
      </c>
      <c r="B445" s="163"/>
      <c r="C445" s="163"/>
      <c r="J445" s="165"/>
      <c r="K445" s="166"/>
      <c r="L445" s="166"/>
    </row>
    <row r="446">
      <c r="A446" s="163" t="s">
        <v>222</v>
      </c>
      <c r="B446" s="163"/>
      <c r="C446" s="163"/>
      <c r="J446" s="165"/>
      <c r="K446" s="166"/>
      <c r="L446" s="166"/>
    </row>
    <row r="447">
      <c r="A447" s="163" t="s">
        <v>222</v>
      </c>
      <c r="B447" s="163"/>
      <c r="C447" s="163"/>
      <c r="J447" s="165"/>
      <c r="K447" s="166"/>
      <c r="L447" s="166"/>
    </row>
    <row r="448">
      <c r="A448" s="163" t="s">
        <v>222</v>
      </c>
      <c r="B448" s="163"/>
      <c r="C448" s="163"/>
      <c r="J448" s="165"/>
      <c r="K448" s="166"/>
      <c r="L448" s="166"/>
    </row>
    <row r="449">
      <c r="A449" s="163" t="s">
        <v>222</v>
      </c>
      <c r="B449" s="163"/>
      <c r="C449" s="163"/>
      <c r="J449" s="165"/>
      <c r="K449" s="166"/>
      <c r="L449" s="166"/>
    </row>
    <row r="450">
      <c r="A450" s="163" t="s">
        <v>222</v>
      </c>
      <c r="B450" s="163"/>
      <c r="C450" s="163"/>
      <c r="J450" s="165"/>
      <c r="K450" s="166"/>
      <c r="L450" s="166"/>
    </row>
    <row r="451">
      <c r="A451" s="163" t="s">
        <v>222</v>
      </c>
      <c r="B451" s="163"/>
      <c r="C451" s="163"/>
      <c r="J451" s="165"/>
      <c r="K451" s="166"/>
      <c r="L451" s="166"/>
    </row>
    <row r="452">
      <c r="A452" s="163" t="s">
        <v>222</v>
      </c>
      <c r="B452" s="163"/>
      <c r="C452" s="163"/>
      <c r="J452" s="165"/>
      <c r="K452" s="166"/>
      <c r="L452" s="166"/>
    </row>
    <row r="453">
      <c r="A453" s="163" t="s">
        <v>222</v>
      </c>
      <c r="B453" s="163"/>
      <c r="C453" s="163"/>
      <c r="J453" s="165"/>
      <c r="K453" s="166"/>
      <c r="L453" s="166"/>
    </row>
    <row r="454">
      <c r="A454" s="163" t="s">
        <v>222</v>
      </c>
      <c r="B454" s="163"/>
      <c r="C454" s="163"/>
      <c r="J454" s="165"/>
      <c r="K454" s="166"/>
      <c r="L454" s="166"/>
    </row>
    <row r="455">
      <c r="A455" s="163" t="s">
        <v>222</v>
      </c>
      <c r="B455" s="163"/>
      <c r="C455" s="163"/>
      <c r="J455" s="165"/>
      <c r="K455" s="166"/>
      <c r="L455" s="166"/>
    </row>
    <row r="456">
      <c r="A456" s="163" t="s">
        <v>222</v>
      </c>
      <c r="B456" s="163"/>
      <c r="C456" s="163"/>
      <c r="J456" s="165"/>
      <c r="K456" s="166"/>
      <c r="L456" s="166"/>
    </row>
    <row r="457">
      <c r="A457" s="163" t="s">
        <v>222</v>
      </c>
      <c r="B457" s="163"/>
      <c r="C457" s="163"/>
      <c r="J457" s="165"/>
      <c r="K457" s="166"/>
      <c r="L457" s="166"/>
    </row>
    <row r="458">
      <c r="A458" s="163" t="s">
        <v>222</v>
      </c>
      <c r="B458" s="163"/>
      <c r="C458" s="163"/>
      <c r="J458" s="165"/>
      <c r="K458" s="166"/>
      <c r="L458" s="166"/>
    </row>
    <row r="459">
      <c r="A459" s="163" t="s">
        <v>222</v>
      </c>
      <c r="B459" s="163"/>
      <c r="C459" s="163"/>
      <c r="J459" s="165"/>
      <c r="K459" s="166"/>
      <c r="L459" s="166"/>
    </row>
    <row r="460">
      <c r="A460" s="163" t="s">
        <v>222</v>
      </c>
      <c r="B460" s="163"/>
      <c r="C460" s="163"/>
      <c r="J460" s="165"/>
      <c r="K460" s="166"/>
      <c r="L460" s="166"/>
    </row>
    <row r="461">
      <c r="A461" s="163" t="s">
        <v>222</v>
      </c>
      <c r="B461" s="163"/>
      <c r="C461" s="163"/>
      <c r="J461" s="165"/>
      <c r="K461" s="166"/>
      <c r="L461" s="166"/>
    </row>
    <row r="462">
      <c r="A462" s="163" t="s">
        <v>222</v>
      </c>
      <c r="B462" s="163"/>
      <c r="C462" s="163"/>
      <c r="J462" s="165"/>
      <c r="K462" s="166"/>
      <c r="L462" s="166"/>
    </row>
    <row r="463">
      <c r="A463" s="163" t="s">
        <v>222</v>
      </c>
      <c r="B463" s="163"/>
      <c r="C463" s="163"/>
      <c r="J463" s="165"/>
      <c r="K463" s="166"/>
      <c r="L463" s="166"/>
    </row>
    <row r="464">
      <c r="A464" s="163" t="s">
        <v>222</v>
      </c>
      <c r="B464" s="163"/>
      <c r="C464" s="163"/>
      <c r="J464" s="165"/>
      <c r="K464" s="166"/>
      <c r="L464" s="166"/>
    </row>
    <row r="465">
      <c r="A465" s="163" t="s">
        <v>222</v>
      </c>
      <c r="B465" s="163"/>
      <c r="C465" s="163"/>
      <c r="J465" s="165"/>
      <c r="K465" s="166"/>
      <c r="L465" s="166"/>
    </row>
    <row r="466">
      <c r="A466" s="163" t="s">
        <v>222</v>
      </c>
      <c r="B466" s="163"/>
      <c r="C466" s="163"/>
      <c r="J466" s="165"/>
      <c r="K466" s="166"/>
      <c r="L466" s="166"/>
    </row>
    <row r="467">
      <c r="A467" s="163" t="s">
        <v>222</v>
      </c>
      <c r="B467" s="163"/>
      <c r="C467" s="163"/>
      <c r="J467" s="165"/>
      <c r="K467" s="166"/>
      <c r="L467" s="166"/>
    </row>
    <row r="468">
      <c r="A468" s="163" t="s">
        <v>222</v>
      </c>
      <c r="B468" s="163"/>
      <c r="C468" s="163"/>
      <c r="J468" s="165"/>
      <c r="K468" s="166"/>
      <c r="L468" s="166"/>
    </row>
    <row r="469">
      <c r="A469" s="163" t="s">
        <v>222</v>
      </c>
      <c r="B469" s="163"/>
      <c r="C469" s="163"/>
      <c r="J469" s="165"/>
      <c r="K469" s="166"/>
      <c r="L469" s="166"/>
    </row>
    <row r="470">
      <c r="A470" s="163" t="s">
        <v>222</v>
      </c>
      <c r="B470" s="163"/>
      <c r="C470" s="163"/>
      <c r="J470" s="165"/>
      <c r="K470" s="166"/>
      <c r="L470" s="166"/>
    </row>
    <row r="471">
      <c r="A471" s="163" t="s">
        <v>222</v>
      </c>
      <c r="B471" s="163"/>
      <c r="C471" s="163"/>
      <c r="J471" s="165"/>
      <c r="K471" s="166"/>
      <c r="L471" s="166"/>
    </row>
    <row r="472">
      <c r="A472" s="163" t="s">
        <v>222</v>
      </c>
      <c r="B472" s="163"/>
      <c r="C472" s="163"/>
      <c r="J472" s="165"/>
      <c r="K472" s="166"/>
      <c r="L472" s="166"/>
    </row>
    <row r="473">
      <c r="A473" s="163" t="s">
        <v>222</v>
      </c>
      <c r="B473" s="163"/>
      <c r="C473" s="163"/>
      <c r="J473" s="165"/>
      <c r="K473" s="166"/>
      <c r="L473" s="166"/>
    </row>
    <row r="474">
      <c r="A474" s="163" t="s">
        <v>222</v>
      </c>
      <c r="B474" s="163"/>
      <c r="C474" s="163"/>
      <c r="J474" s="165"/>
      <c r="K474" s="166"/>
      <c r="L474" s="166"/>
    </row>
    <row r="475">
      <c r="A475" s="163" t="s">
        <v>222</v>
      </c>
      <c r="B475" s="163"/>
      <c r="C475" s="163"/>
      <c r="J475" s="165"/>
      <c r="K475" s="166"/>
      <c r="L475" s="166"/>
    </row>
    <row r="476">
      <c r="A476" s="163" t="s">
        <v>222</v>
      </c>
      <c r="B476" s="163"/>
      <c r="C476" s="163"/>
      <c r="J476" s="165"/>
      <c r="K476" s="166"/>
      <c r="L476" s="166"/>
    </row>
    <row r="477">
      <c r="A477" s="163" t="s">
        <v>222</v>
      </c>
      <c r="B477" s="163"/>
      <c r="C477" s="163"/>
      <c r="J477" s="165"/>
      <c r="K477" s="166"/>
      <c r="L477" s="166"/>
    </row>
    <row r="478">
      <c r="A478" s="163" t="s">
        <v>222</v>
      </c>
      <c r="B478" s="163"/>
      <c r="C478" s="163"/>
      <c r="J478" s="165"/>
      <c r="K478" s="166"/>
      <c r="L478" s="166"/>
    </row>
    <row r="479">
      <c r="A479" s="163" t="s">
        <v>222</v>
      </c>
      <c r="B479" s="163"/>
      <c r="C479" s="163"/>
      <c r="J479" s="165"/>
      <c r="K479" s="166"/>
      <c r="L479" s="166"/>
    </row>
    <row r="480">
      <c r="A480" s="163" t="s">
        <v>222</v>
      </c>
      <c r="B480" s="163"/>
      <c r="C480" s="163"/>
      <c r="J480" s="165"/>
      <c r="K480" s="166"/>
      <c r="L480" s="166"/>
    </row>
    <row r="481">
      <c r="A481" s="163" t="s">
        <v>222</v>
      </c>
      <c r="B481" s="163"/>
      <c r="C481" s="163"/>
      <c r="J481" s="165"/>
      <c r="K481" s="166"/>
      <c r="L481" s="166"/>
    </row>
    <row r="482">
      <c r="A482" s="163" t="s">
        <v>222</v>
      </c>
      <c r="B482" s="163"/>
      <c r="C482" s="163"/>
      <c r="J482" s="165"/>
      <c r="K482" s="166"/>
      <c r="L482" s="166"/>
    </row>
    <row r="483">
      <c r="A483" s="163" t="s">
        <v>222</v>
      </c>
      <c r="B483" s="163"/>
      <c r="C483" s="163"/>
      <c r="J483" s="165"/>
      <c r="K483" s="166"/>
      <c r="L483" s="166"/>
    </row>
    <row r="484">
      <c r="A484" s="163" t="s">
        <v>222</v>
      </c>
      <c r="B484" s="163"/>
      <c r="C484" s="163"/>
      <c r="J484" s="165"/>
      <c r="K484" s="166"/>
      <c r="L484" s="166"/>
    </row>
    <row r="485">
      <c r="A485" s="163" t="s">
        <v>222</v>
      </c>
      <c r="B485" s="163"/>
      <c r="C485" s="163"/>
      <c r="J485" s="165"/>
      <c r="K485" s="166"/>
      <c r="L485" s="166"/>
    </row>
    <row r="486">
      <c r="A486" s="163" t="s">
        <v>222</v>
      </c>
      <c r="B486" s="163"/>
      <c r="C486" s="163"/>
      <c r="J486" s="165"/>
      <c r="K486" s="166"/>
      <c r="L486" s="166"/>
    </row>
    <row r="487">
      <c r="A487" s="163" t="s">
        <v>222</v>
      </c>
      <c r="B487" s="163"/>
      <c r="C487" s="163"/>
      <c r="J487" s="165"/>
      <c r="K487" s="166"/>
      <c r="L487" s="166"/>
    </row>
    <row r="488">
      <c r="A488" s="163" t="s">
        <v>222</v>
      </c>
      <c r="B488" s="163"/>
      <c r="C488" s="163"/>
      <c r="J488" s="165"/>
      <c r="K488" s="166"/>
      <c r="L488" s="166"/>
    </row>
    <row r="489">
      <c r="A489" s="163" t="s">
        <v>222</v>
      </c>
      <c r="B489" s="163"/>
      <c r="C489" s="163"/>
      <c r="J489" s="165"/>
      <c r="K489" s="166"/>
      <c r="L489" s="166"/>
    </row>
    <row r="490">
      <c r="A490" s="163" t="s">
        <v>222</v>
      </c>
      <c r="B490" s="163"/>
      <c r="C490" s="163"/>
      <c r="J490" s="165"/>
      <c r="K490" s="166"/>
      <c r="L490" s="166"/>
    </row>
    <row r="491">
      <c r="A491" s="163" t="s">
        <v>222</v>
      </c>
      <c r="B491" s="163"/>
      <c r="C491" s="163"/>
      <c r="J491" s="165"/>
      <c r="K491" s="166"/>
      <c r="L491" s="166"/>
    </row>
    <row r="492">
      <c r="A492" s="163" t="s">
        <v>222</v>
      </c>
      <c r="B492" s="163"/>
      <c r="C492" s="163"/>
      <c r="J492" s="165"/>
      <c r="K492" s="166"/>
      <c r="L492" s="166"/>
    </row>
    <row r="493">
      <c r="A493" s="163" t="s">
        <v>222</v>
      </c>
      <c r="B493" s="163"/>
      <c r="C493" s="163"/>
      <c r="J493" s="165"/>
      <c r="K493" s="166"/>
      <c r="L493" s="166"/>
    </row>
    <row r="494">
      <c r="A494" s="163" t="s">
        <v>222</v>
      </c>
      <c r="B494" s="163"/>
      <c r="C494" s="163"/>
      <c r="J494" s="165"/>
      <c r="K494" s="166"/>
      <c r="L494" s="166"/>
    </row>
    <row r="495">
      <c r="A495" s="163" t="s">
        <v>222</v>
      </c>
      <c r="B495" s="163"/>
      <c r="C495" s="163"/>
      <c r="J495" s="165"/>
      <c r="K495" s="166"/>
      <c r="L495" s="166"/>
    </row>
    <row r="496">
      <c r="A496" s="163" t="s">
        <v>222</v>
      </c>
      <c r="B496" s="163"/>
      <c r="C496" s="163"/>
      <c r="J496" s="165"/>
      <c r="K496" s="166"/>
      <c r="L496" s="166"/>
    </row>
    <row r="497">
      <c r="A497" s="163" t="s">
        <v>222</v>
      </c>
      <c r="B497" s="163"/>
      <c r="C497" s="163"/>
      <c r="J497" s="165"/>
      <c r="K497" s="166"/>
      <c r="L497" s="166"/>
    </row>
    <row r="498">
      <c r="A498" s="163" t="s">
        <v>222</v>
      </c>
      <c r="B498" s="163"/>
      <c r="C498" s="163"/>
      <c r="J498" s="165"/>
      <c r="K498" s="166"/>
      <c r="L498" s="166"/>
    </row>
    <row r="499">
      <c r="A499" s="163" t="s">
        <v>222</v>
      </c>
      <c r="B499" s="163"/>
      <c r="C499" s="163"/>
      <c r="J499" s="165"/>
      <c r="K499" s="166"/>
      <c r="L499" s="166"/>
    </row>
    <row r="500">
      <c r="A500" s="163" t="s">
        <v>222</v>
      </c>
      <c r="B500" s="163"/>
      <c r="C500" s="163"/>
      <c r="J500" s="165"/>
      <c r="K500" s="166"/>
      <c r="L500" s="166"/>
    </row>
    <row r="501">
      <c r="A501" s="163" t="s">
        <v>222</v>
      </c>
      <c r="B501" s="163"/>
      <c r="C501" s="163"/>
      <c r="J501" s="165"/>
      <c r="K501" s="166"/>
      <c r="L501" s="166"/>
    </row>
    <row r="502">
      <c r="A502" s="163" t="s">
        <v>222</v>
      </c>
      <c r="B502" s="163"/>
      <c r="C502" s="163"/>
      <c r="J502" s="165"/>
      <c r="K502" s="166"/>
      <c r="L502" s="166"/>
    </row>
    <row r="503">
      <c r="A503" s="163" t="s">
        <v>222</v>
      </c>
      <c r="B503" s="163"/>
      <c r="C503" s="163"/>
      <c r="J503" s="165"/>
      <c r="K503" s="166"/>
      <c r="L503" s="166"/>
    </row>
    <row r="504">
      <c r="A504" s="163" t="s">
        <v>222</v>
      </c>
      <c r="B504" s="163"/>
      <c r="C504" s="163"/>
      <c r="J504" s="165"/>
      <c r="K504" s="166"/>
      <c r="L504" s="166"/>
    </row>
    <row r="505">
      <c r="A505" s="163" t="s">
        <v>222</v>
      </c>
      <c r="B505" s="163"/>
      <c r="C505" s="163"/>
      <c r="J505" s="165"/>
      <c r="K505" s="166"/>
      <c r="L505" s="166"/>
    </row>
    <row r="506">
      <c r="A506" s="163" t="s">
        <v>222</v>
      </c>
      <c r="B506" s="163"/>
      <c r="C506" s="163"/>
      <c r="J506" s="165"/>
      <c r="K506" s="166"/>
      <c r="L506" s="166"/>
    </row>
    <row r="507">
      <c r="A507" s="163" t="s">
        <v>222</v>
      </c>
      <c r="B507" s="163"/>
      <c r="C507" s="163"/>
      <c r="J507" s="165"/>
      <c r="K507" s="166"/>
      <c r="L507" s="166"/>
    </row>
    <row r="508">
      <c r="A508" s="163" t="s">
        <v>222</v>
      </c>
      <c r="B508" s="163"/>
      <c r="C508" s="163"/>
      <c r="J508" s="165"/>
      <c r="K508" s="166"/>
      <c r="L508" s="166"/>
    </row>
    <row r="509">
      <c r="A509" s="163" t="s">
        <v>222</v>
      </c>
      <c r="B509" s="163"/>
      <c r="C509" s="163"/>
      <c r="J509" s="165"/>
      <c r="K509" s="166"/>
      <c r="L509" s="166"/>
    </row>
    <row r="510">
      <c r="A510" s="163" t="s">
        <v>222</v>
      </c>
      <c r="B510" s="163"/>
      <c r="C510" s="163"/>
      <c r="J510" s="165"/>
      <c r="K510" s="166"/>
      <c r="L510" s="166"/>
    </row>
    <row r="511">
      <c r="A511" s="163" t="s">
        <v>222</v>
      </c>
      <c r="B511" s="163"/>
      <c r="C511" s="163"/>
      <c r="J511" s="165"/>
      <c r="K511" s="166"/>
      <c r="L511" s="166"/>
    </row>
    <row r="512">
      <c r="A512" s="163" t="s">
        <v>222</v>
      </c>
      <c r="B512" s="163"/>
      <c r="C512" s="163"/>
      <c r="J512" s="165"/>
      <c r="K512" s="166"/>
      <c r="L512" s="166"/>
    </row>
    <row r="513">
      <c r="A513" s="163" t="s">
        <v>222</v>
      </c>
      <c r="B513" s="163"/>
      <c r="C513" s="163"/>
      <c r="J513" s="165"/>
      <c r="K513" s="166"/>
      <c r="L513" s="166"/>
    </row>
    <row r="514">
      <c r="A514" s="163" t="s">
        <v>222</v>
      </c>
      <c r="B514" s="163"/>
      <c r="C514" s="163"/>
      <c r="J514" s="165"/>
      <c r="K514" s="166"/>
      <c r="L514" s="166"/>
    </row>
    <row r="515">
      <c r="A515" s="163" t="s">
        <v>222</v>
      </c>
      <c r="B515" s="163"/>
      <c r="C515" s="163"/>
      <c r="J515" s="165"/>
      <c r="K515" s="166"/>
      <c r="L515" s="166"/>
    </row>
    <row r="516">
      <c r="A516" s="163" t="s">
        <v>222</v>
      </c>
      <c r="B516" s="163"/>
      <c r="C516" s="163"/>
      <c r="J516" s="165"/>
      <c r="K516" s="166"/>
      <c r="L516" s="166"/>
    </row>
    <row r="517">
      <c r="A517" s="163" t="s">
        <v>222</v>
      </c>
      <c r="B517" s="163"/>
      <c r="C517" s="163"/>
      <c r="J517" s="165"/>
      <c r="K517" s="166"/>
      <c r="L517" s="166"/>
    </row>
    <row r="518">
      <c r="A518" s="163" t="s">
        <v>222</v>
      </c>
      <c r="B518" s="163"/>
      <c r="C518" s="163"/>
      <c r="J518" s="165"/>
      <c r="K518" s="166"/>
      <c r="L518" s="166"/>
    </row>
    <row r="519">
      <c r="A519" s="163" t="s">
        <v>222</v>
      </c>
      <c r="B519" s="163"/>
      <c r="C519" s="163"/>
      <c r="J519" s="165"/>
      <c r="K519" s="166"/>
      <c r="L519" s="166"/>
    </row>
    <row r="520">
      <c r="A520" s="163" t="s">
        <v>222</v>
      </c>
      <c r="B520" s="163"/>
      <c r="C520" s="163"/>
      <c r="J520" s="165"/>
      <c r="K520" s="166"/>
      <c r="L520" s="166"/>
    </row>
    <row r="521">
      <c r="A521" s="163" t="s">
        <v>222</v>
      </c>
      <c r="B521" s="163"/>
      <c r="C521" s="163"/>
      <c r="J521" s="165"/>
      <c r="K521" s="166"/>
      <c r="L521" s="166"/>
    </row>
    <row r="522">
      <c r="A522" s="163" t="s">
        <v>222</v>
      </c>
      <c r="B522" s="163"/>
      <c r="C522" s="163"/>
      <c r="J522" s="165"/>
      <c r="K522" s="166"/>
      <c r="L522" s="166"/>
    </row>
    <row r="523">
      <c r="A523" s="163" t="s">
        <v>222</v>
      </c>
      <c r="B523" s="163"/>
      <c r="C523" s="163"/>
      <c r="J523" s="165"/>
      <c r="K523" s="166"/>
      <c r="L523" s="166"/>
    </row>
    <row r="524">
      <c r="A524" s="163" t="s">
        <v>222</v>
      </c>
      <c r="B524" s="163"/>
      <c r="C524" s="163"/>
      <c r="J524" s="165"/>
      <c r="K524" s="166"/>
      <c r="L524" s="166"/>
    </row>
    <row r="525">
      <c r="A525" s="163" t="s">
        <v>222</v>
      </c>
      <c r="B525" s="163"/>
      <c r="C525" s="163"/>
      <c r="J525" s="165"/>
      <c r="K525" s="166"/>
      <c r="L525" s="166"/>
    </row>
    <row r="526">
      <c r="A526" s="163" t="s">
        <v>222</v>
      </c>
      <c r="B526" s="163"/>
      <c r="C526" s="163"/>
      <c r="J526" s="165"/>
      <c r="K526" s="166"/>
      <c r="L526" s="166"/>
    </row>
    <row r="527">
      <c r="A527" s="163" t="s">
        <v>222</v>
      </c>
      <c r="B527" s="163"/>
      <c r="C527" s="163"/>
      <c r="J527" s="165"/>
      <c r="K527" s="166"/>
      <c r="L527" s="166"/>
    </row>
    <row r="528">
      <c r="A528" s="163" t="s">
        <v>222</v>
      </c>
      <c r="B528" s="163"/>
      <c r="C528" s="163"/>
      <c r="J528" s="165"/>
      <c r="K528" s="166"/>
      <c r="L528" s="166"/>
    </row>
    <row r="529">
      <c r="A529" s="163" t="s">
        <v>222</v>
      </c>
      <c r="B529" s="163"/>
      <c r="C529" s="163"/>
      <c r="J529" s="165"/>
      <c r="K529" s="166"/>
      <c r="L529" s="166"/>
    </row>
    <row r="530">
      <c r="A530" s="163" t="s">
        <v>222</v>
      </c>
      <c r="B530" s="163"/>
      <c r="C530" s="163"/>
      <c r="J530" s="165"/>
      <c r="K530" s="166"/>
      <c r="L530" s="166"/>
    </row>
    <row r="531">
      <c r="A531" s="163" t="s">
        <v>222</v>
      </c>
      <c r="B531" s="163"/>
      <c r="C531" s="163"/>
      <c r="J531" s="165"/>
      <c r="K531" s="166"/>
      <c r="L531" s="166"/>
    </row>
    <row r="532">
      <c r="A532" s="163" t="s">
        <v>222</v>
      </c>
      <c r="B532" s="163"/>
      <c r="C532" s="163"/>
      <c r="J532" s="165"/>
      <c r="K532" s="166"/>
      <c r="L532" s="166"/>
    </row>
    <row r="533">
      <c r="A533" s="163" t="s">
        <v>222</v>
      </c>
      <c r="B533" s="163"/>
      <c r="C533" s="163"/>
      <c r="J533" s="165"/>
      <c r="K533" s="166"/>
      <c r="L533" s="166"/>
    </row>
    <row r="534">
      <c r="A534" s="163" t="s">
        <v>222</v>
      </c>
      <c r="B534" s="163"/>
      <c r="C534" s="163"/>
      <c r="J534" s="165"/>
      <c r="K534" s="166"/>
      <c r="L534" s="166"/>
    </row>
    <row r="535">
      <c r="A535" s="163" t="s">
        <v>222</v>
      </c>
      <c r="B535" s="163"/>
      <c r="C535" s="163"/>
      <c r="J535" s="165"/>
      <c r="K535" s="166"/>
      <c r="L535" s="166"/>
    </row>
    <row r="536">
      <c r="A536" s="163" t="s">
        <v>222</v>
      </c>
      <c r="B536" s="163"/>
      <c r="C536" s="163"/>
      <c r="J536" s="165"/>
      <c r="K536" s="166"/>
      <c r="L536" s="166"/>
    </row>
    <row r="537">
      <c r="A537" s="163" t="s">
        <v>222</v>
      </c>
      <c r="B537" s="163"/>
      <c r="C537" s="163"/>
      <c r="J537" s="165"/>
      <c r="K537" s="166"/>
      <c r="L537" s="166"/>
    </row>
    <row r="538">
      <c r="A538" s="163" t="s">
        <v>222</v>
      </c>
      <c r="B538" s="163"/>
      <c r="C538" s="163"/>
      <c r="J538" s="165"/>
      <c r="K538" s="166"/>
      <c r="L538" s="166"/>
    </row>
    <row r="539">
      <c r="A539" s="163" t="s">
        <v>222</v>
      </c>
      <c r="B539" s="163"/>
      <c r="C539" s="163"/>
      <c r="J539" s="165"/>
      <c r="K539" s="166"/>
      <c r="L539" s="166"/>
    </row>
    <row r="540">
      <c r="A540" s="163" t="s">
        <v>222</v>
      </c>
      <c r="B540" s="163"/>
      <c r="C540" s="163"/>
      <c r="J540" s="165"/>
      <c r="K540" s="166"/>
      <c r="L540" s="166"/>
    </row>
    <row r="541">
      <c r="A541" s="163" t="s">
        <v>222</v>
      </c>
      <c r="B541" s="163"/>
      <c r="C541" s="163"/>
      <c r="J541" s="165"/>
      <c r="K541" s="166"/>
      <c r="L541" s="166"/>
    </row>
    <row r="542">
      <c r="A542" s="163" t="s">
        <v>222</v>
      </c>
      <c r="B542" s="163"/>
      <c r="C542" s="163"/>
      <c r="J542" s="165"/>
      <c r="K542" s="166"/>
      <c r="L542" s="166"/>
    </row>
    <row r="543">
      <c r="A543" s="163" t="s">
        <v>222</v>
      </c>
      <c r="B543" s="163"/>
      <c r="C543" s="163"/>
      <c r="J543" s="165"/>
      <c r="K543" s="166"/>
      <c r="L543" s="166"/>
    </row>
    <row r="544">
      <c r="A544" s="163" t="s">
        <v>222</v>
      </c>
      <c r="B544" s="163"/>
      <c r="C544" s="163"/>
      <c r="J544" s="165"/>
      <c r="K544" s="166"/>
      <c r="L544" s="166"/>
    </row>
    <row r="545">
      <c r="A545" s="163" t="s">
        <v>222</v>
      </c>
      <c r="B545" s="163"/>
      <c r="C545" s="163"/>
      <c r="J545" s="165"/>
      <c r="K545" s="166"/>
      <c r="L545" s="166"/>
    </row>
    <row r="546">
      <c r="A546" s="163" t="s">
        <v>222</v>
      </c>
      <c r="B546" s="163"/>
      <c r="C546" s="163"/>
      <c r="J546" s="165"/>
      <c r="K546" s="166"/>
      <c r="L546" s="166"/>
    </row>
    <row r="547">
      <c r="A547" s="163" t="s">
        <v>222</v>
      </c>
      <c r="B547" s="163"/>
      <c r="C547" s="163"/>
      <c r="J547" s="165"/>
      <c r="K547" s="166"/>
      <c r="L547" s="166"/>
    </row>
    <row r="548">
      <c r="A548" s="163" t="s">
        <v>222</v>
      </c>
      <c r="B548" s="163"/>
      <c r="C548" s="163"/>
      <c r="J548" s="165"/>
      <c r="K548" s="166"/>
      <c r="L548" s="166"/>
    </row>
    <row r="549">
      <c r="A549" s="163" t="s">
        <v>222</v>
      </c>
      <c r="B549" s="163"/>
      <c r="C549" s="163"/>
      <c r="J549" s="165"/>
      <c r="K549" s="166"/>
      <c r="L549" s="166"/>
    </row>
    <row r="550">
      <c r="A550" s="163" t="s">
        <v>222</v>
      </c>
      <c r="B550" s="163"/>
      <c r="C550" s="163"/>
      <c r="J550" s="165"/>
      <c r="K550" s="166"/>
      <c r="L550" s="166"/>
    </row>
    <row r="551">
      <c r="A551" s="163" t="s">
        <v>222</v>
      </c>
      <c r="B551" s="163"/>
      <c r="C551" s="163"/>
      <c r="J551" s="165"/>
      <c r="K551" s="166"/>
      <c r="L551" s="166"/>
    </row>
    <row r="552">
      <c r="A552" s="163" t="s">
        <v>222</v>
      </c>
      <c r="B552" s="163"/>
      <c r="C552" s="163"/>
      <c r="J552" s="165"/>
      <c r="K552" s="166"/>
      <c r="L552" s="166"/>
    </row>
    <row r="553">
      <c r="A553" s="163" t="s">
        <v>222</v>
      </c>
      <c r="B553" s="163"/>
      <c r="C553" s="163"/>
      <c r="J553" s="165"/>
      <c r="K553" s="166"/>
      <c r="L553" s="166"/>
    </row>
    <row r="554">
      <c r="A554" s="163" t="s">
        <v>222</v>
      </c>
      <c r="B554" s="163"/>
      <c r="C554" s="163"/>
      <c r="J554" s="165"/>
      <c r="K554" s="166"/>
      <c r="L554" s="166"/>
    </row>
    <row r="555">
      <c r="A555" s="163" t="s">
        <v>222</v>
      </c>
      <c r="B555" s="163"/>
      <c r="C555" s="163"/>
      <c r="J555" s="165"/>
      <c r="K555" s="166"/>
      <c r="L555" s="166"/>
    </row>
    <row r="556">
      <c r="A556" s="163" t="s">
        <v>222</v>
      </c>
      <c r="B556" s="163"/>
      <c r="C556" s="163"/>
      <c r="J556" s="165"/>
      <c r="K556" s="166"/>
      <c r="L556" s="166"/>
    </row>
    <row r="557">
      <c r="A557" s="163" t="s">
        <v>222</v>
      </c>
      <c r="B557" s="163"/>
      <c r="C557" s="163"/>
      <c r="J557" s="165"/>
      <c r="K557" s="166"/>
      <c r="L557" s="166"/>
    </row>
    <row r="558">
      <c r="A558" s="163" t="s">
        <v>222</v>
      </c>
      <c r="B558" s="163"/>
      <c r="C558" s="163"/>
      <c r="J558" s="165"/>
      <c r="K558" s="166"/>
      <c r="L558" s="166"/>
    </row>
    <row r="559">
      <c r="A559" s="163" t="s">
        <v>222</v>
      </c>
      <c r="B559" s="163"/>
      <c r="C559" s="163"/>
      <c r="J559" s="165"/>
      <c r="K559" s="166"/>
      <c r="L559" s="166"/>
    </row>
    <row r="560">
      <c r="A560" s="163" t="s">
        <v>222</v>
      </c>
      <c r="B560" s="163"/>
      <c r="C560" s="163"/>
      <c r="J560" s="165"/>
      <c r="K560" s="166"/>
      <c r="L560" s="166"/>
    </row>
    <row r="561">
      <c r="A561" s="163" t="s">
        <v>222</v>
      </c>
      <c r="B561" s="163"/>
      <c r="C561" s="163"/>
      <c r="J561" s="165"/>
      <c r="K561" s="166"/>
      <c r="L561" s="166"/>
    </row>
    <row r="562">
      <c r="A562" s="163" t="s">
        <v>222</v>
      </c>
      <c r="B562" s="163"/>
      <c r="C562" s="163"/>
      <c r="J562" s="165"/>
      <c r="K562" s="166"/>
      <c r="L562" s="166"/>
    </row>
    <row r="563">
      <c r="A563" s="163" t="s">
        <v>222</v>
      </c>
      <c r="B563" s="163"/>
      <c r="C563" s="163"/>
      <c r="J563" s="165"/>
      <c r="K563" s="166"/>
      <c r="L563" s="166"/>
    </row>
    <row r="564">
      <c r="A564" s="163" t="s">
        <v>222</v>
      </c>
      <c r="B564" s="163"/>
      <c r="C564" s="163"/>
      <c r="J564" s="165"/>
      <c r="K564" s="166"/>
      <c r="L564" s="166"/>
    </row>
    <row r="565">
      <c r="A565" s="163" t="s">
        <v>222</v>
      </c>
      <c r="B565" s="163"/>
      <c r="C565" s="163"/>
      <c r="J565" s="165"/>
      <c r="K565" s="166"/>
      <c r="L565" s="166"/>
    </row>
    <row r="566">
      <c r="A566" s="163" t="s">
        <v>222</v>
      </c>
      <c r="B566" s="163"/>
      <c r="C566" s="163"/>
      <c r="J566" s="165"/>
      <c r="K566" s="166"/>
      <c r="L566" s="166"/>
    </row>
    <row r="567">
      <c r="A567" s="163" t="s">
        <v>222</v>
      </c>
      <c r="B567" s="163"/>
      <c r="C567" s="163"/>
      <c r="J567" s="165"/>
      <c r="K567" s="166"/>
      <c r="L567" s="166"/>
    </row>
    <row r="568">
      <c r="A568" s="163" t="s">
        <v>222</v>
      </c>
      <c r="B568" s="163"/>
      <c r="C568" s="163"/>
      <c r="J568" s="165"/>
      <c r="K568" s="166"/>
      <c r="L568" s="166"/>
    </row>
    <row r="569">
      <c r="A569" s="163" t="s">
        <v>222</v>
      </c>
      <c r="B569" s="163"/>
      <c r="C569" s="163"/>
      <c r="J569" s="165"/>
      <c r="K569" s="166"/>
      <c r="L569" s="166"/>
    </row>
    <row r="570">
      <c r="A570" s="163" t="s">
        <v>222</v>
      </c>
      <c r="B570" s="163"/>
      <c r="C570" s="163"/>
      <c r="J570" s="165"/>
      <c r="K570" s="166"/>
      <c r="L570" s="166"/>
    </row>
    <row r="571">
      <c r="A571" s="163" t="s">
        <v>222</v>
      </c>
      <c r="B571" s="163"/>
      <c r="C571" s="163"/>
      <c r="J571" s="165"/>
      <c r="K571" s="166"/>
      <c r="L571" s="166"/>
    </row>
    <row r="572">
      <c r="A572" s="163" t="s">
        <v>222</v>
      </c>
      <c r="B572" s="163"/>
      <c r="C572" s="163"/>
      <c r="J572" s="165"/>
      <c r="K572" s="166"/>
      <c r="L572" s="166"/>
    </row>
    <row r="573">
      <c r="A573" s="163" t="s">
        <v>222</v>
      </c>
      <c r="B573" s="163"/>
      <c r="C573" s="163"/>
      <c r="J573" s="165"/>
      <c r="K573" s="166"/>
      <c r="L573" s="166"/>
    </row>
    <row r="574">
      <c r="A574" s="163" t="s">
        <v>222</v>
      </c>
      <c r="B574" s="163"/>
      <c r="C574" s="163"/>
      <c r="J574" s="165"/>
      <c r="K574" s="166"/>
      <c r="L574" s="166"/>
    </row>
    <row r="575">
      <c r="A575" s="163" t="s">
        <v>222</v>
      </c>
      <c r="B575" s="163"/>
      <c r="C575" s="163"/>
      <c r="J575" s="165"/>
      <c r="K575" s="166"/>
      <c r="L575" s="166"/>
    </row>
    <row r="576">
      <c r="A576" s="163" t="s">
        <v>222</v>
      </c>
      <c r="B576" s="163"/>
      <c r="C576" s="163"/>
      <c r="J576" s="165"/>
      <c r="K576" s="166"/>
      <c r="L576" s="166"/>
    </row>
    <row r="577">
      <c r="A577" s="163" t="s">
        <v>222</v>
      </c>
      <c r="B577" s="163"/>
      <c r="C577" s="163"/>
      <c r="J577" s="165"/>
      <c r="K577" s="166"/>
      <c r="L577" s="166"/>
    </row>
    <row r="578">
      <c r="A578" s="163" t="s">
        <v>222</v>
      </c>
      <c r="B578" s="163"/>
      <c r="C578" s="163"/>
      <c r="J578" s="165"/>
      <c r="K578" s="166"/>
      <c r="L578" s="166"/>
    </row>
    <row r="579">
      <c r="A579" s="163" t="s">
        <v>222</v>
      </c>
      <c r="B579" s="163"/>
      <c r="C579" s="163"/>
      <c r="J579" s="165"/>
      <c r="K579" s="166"/>
      <c r="L579" s="166"/>
    </row>
    <row r="580">
      <c r="A580" s="163" t="s">
        <v>222</v>
      </c>
      <c r="B580" s="163"/>
      <c r="C580" s="163"/>
      <c r="J580" s="165"/>
      <c r="K580" s="166"/>
      <c r="L580" s="166"/>
    </row>
    <row r="581">
      <c r="A581" s="163" t="s">
        <v>222</v>
      </c>
      <c r="B581" s="163"/>
      <c r="C581" s="163"/>
      <c r="J581" s="165"/>
      <c r="K581" s="166"/>
      <c r="L581" s="166"/>
    </row>
    <row r="582">
      <c r="A582" s="163" t="s">
        <v>222</v>
      </c>
      <c r="B582" s="163"/>
      <c r="C582" s="163"/>
      <c r="J582" s="165"/>
      <c r="K582" s="166"/>
      <c r="L582" s="166"/>
    </row>
    <row r="583">
      <c r="A583" s="163" t="s">
        <v>222</v>
      </c>
      <c r="B583" s="163"/>
      <c r="C583" s="163"/>
      <c r="J583" s="165"/>
      <c r="K583" s="166"/>
      <c r="L583" s="166"/>
    </row>
    <row r="584">
      <c r="A584" s="163" t="s">
        <v>222</v>
      </c>
      <c r="B584" s="163"/>
      <c r="C584" s="163"/>
      <c r="J584" s="165"/>
      <c r="K584" s="166"/>
      <c r="L584" s="166"/>
    </row>
    <row r="585">
      <c r="A585" s="163" t="s">
        <v>222</v>
      </c>
      <c r="B585" s="163"/>
      <c r="C585" s="163"/>
      <c r="J585" s="165"/>
      <c r="K585" s="166"/>
      <c r="L585" s="166"/>
    </row>
    <row r="586">
      <c r="A586" s="163" t="s">
        <v>222</v>
      </c>
      <c r="B586" s="163"/>
      <c r="C586" s="163"/>
      <c r="J586" s="165"/>
      <c r="K586" s="166"/>
      <c r="L586" s="166"/>
    </row>
    <row r="587">
      <c r="A587" s="163" t="s">
        <v>222</v>
      </c>
      <c r="B587" s="163"/>
      <c r="C587" s="163"/>
      <c r="J587" s="165"/>
      <c r="K587" s="166"/>
      <c r="L587" s="166"/>
    </row>
    <row r="588">
      <c r="A588" s="163" t="s">
        <v>222</v>
      </c>
      <c r="B588" s="163"/>
      <c r="C588" s="163"/>
      <c r="J588" s="165"/>
      <c r="K588" s="166"/>
      <c r="L588" s="166"/>
    </row>
    <row r="589">
      <c r="A589" s="163" t="s">
        <v>222</v>
      </c>
      <c r="B589" s="163"/>
      <c r="C589" s="163"/>
      <c r="J589" s="165"/>
      <c r="K589" s="166"/>
      <c r="L589" s="166"/>
    </row>
    <row r="590">
      <c r="A590" s="163" t="s">
        <v>222</v>
      </c>
      <c r="B590" s="163"/>
      <c r="C590" s="163"/>
      <c r="J590" s="165"/>
      <c r="K590" s="166"/>
      <c r="L590" s="166"/>
    </row>
    <row r="591">
      <c r="A591" s="163" t="s">
        <v>222</v>
      </c>
      <c r="B591" s="163"/>
      <c r="C591" s="163"/>
      <c r="J591" s="165"/>
      <c r="K591" s="166"/>
      <c r="L591" s="166"/>
    </row>
    <row r="592">
      <c r="A592" s="163" t="s">
        <v>222</v>
      </c>
      <c r="B592" s="163"/>
      <c r="C592" s="163"/>
      <c r="J592" s="165"/>
      <c r="K592" s="166"/>
      <c r="L592" s="166"/>
    </row>
    <row r="593">
      <c r="A593" s="163" t="s">
        <v>222</v>
      </c>
      <c r="B593" s="163"/>
      <c r="C593" s="163"/>
      <c r="J593" s="165"/>
      <c r="K593" s="166"/>
      <c r="L593" s="166"/>
    </row>
    <row r="594">
      <c r="A594" s="163" t="s">
        <v>222</v>
      </c>
      <c r="B594" s="163"/>
      <c r="C594" s="163"/>
      <c r="J594" s="165"/>
      <c r="K594" s="166"/>
      <c r="L594" s="166"/>
    </row>
    <row r="595">
      <c r="A595" s="163" t="s">
        <v>222</v>
      </c>
      <c r="B595" s="163"/>
      <c r="C595" s="163"/>
      <c r="J595" s="165"/>
      <c r="K595" s="166"/>
      <c r="L595" s="166"/>
    </row>
    <row r="596">
      <c r="A596" s="163" t="s">
        <v>222</v>
      </c>
      <c r="B596" s="163"/>
      <c r="C596" s="163"/>
      <c r="J596" s="165"/>
      <c r="K596" s="166"/>
      <c r="L596" s="166"/>
    </row>
    <row r="597">
      <c r="A597" s="163" t="s">
        <v>222</v>
      </c>
      <c r="B597" s="163"/>
      <c r="C597" s="163"/>
      <c r="J597" s="165"/>
      <c r="K597" s="166"/>
      <c r="L597" s="166"/>
    </row>
    <row r="598">
      <c r="A598" s="163" t="s">
        <v>222</v>
      </c>
      <c r="B598" s="163"/>
      <c r="C598" s="163"/>
      <c r="J598" s="165"/>
      <c r="K598" s="166"/>
      <c r="L598" s="166"/>
    </row>
    <row r="599">
      <c r="A599" s="163" t="s">
        <v>222</v>
      </c>
      <c r="B599" s="163"/>
      <c r="C599" s="163"/>
      <c r="J599" s="165"/>
      <c r="K599" s="166"/>
      <c r="L599" s="166"/>
    </row>
    <row r="600">
      <c r="A600" s="163" t="s">
        <v>222</v>
      </c>
      <c r="B600" s="163"/>
      <c r="C600" s="163"/>
      <c r="J600" s="165"/>
      <c r="K600" s="166"/>
      <c r="L600" s="166"/>
    </row>
    <row r="601">
      <c r="A601" s="163" t="s">
        <v>222</v>
      </c>
      <c r="B601" s="163"/>
      <c r="C601" s="163"/>
      <c r="J601" s="165"/>
      <c r="K601" s="166"/>
      <c r="L601" s="166"/>
    </row>
    <row r="602">
      <c r="A602" s="163" t="s">
        <v>222</v>
      </c>
      <c r="B602" s="163"/>
      <c r="C602" s="163"/>
      <c r="J602" s="165"/>
      <c r="K602" s="166"/>
      <c r="L602" s="166"/>
    </row>
    <row r="603">
      <c r="A603" s="163" t="s">
        <v>222</v>
      </c>
      <c r="B603" s="163"/>
      <c r="C603" s="163"/>
      <c r="J603" s="165"/>
      <c r="K603" s="166"/>
      <c r="L603" s="166"/>
    </row>
    <row r="604">
      <c r="A604" s="163" t="s">
        <v>222</v>
      </c>
      <c r="B604" s="163"/>
      <c r="C604" s="163"/>
      <c r="J604" s="165"/>
      <c r="K604" s="166"/>
      <c r="L604" s="166"/>
    </row>
    <row r="605">
      <c r="A605" s="163" t="s">
        <v>222</v>
      </c>
      <c r="B605" s="163"/>
      <c r="C605" s="163"/>
      <c r="J605" s="165"/>
      <c r="K605" s="166"/>
      <c r="L605" s="166"/>
    </row>
    <row r="606">
      <c r="A606" s="163" t="s">
        <v>222</v>
      </c>
      <c r="B606" s="163"/>
      <c r="C606" s="163"/>
      <c r="J606" s="165"/>
      <c r="K606" s="166"/>
      <c r="L606" s="166"/>
    </row>
    <row r="607">
      <c r="A607" s="163" t="s">
        <v>222</v>
      </c>
      <c r="B607" s="163"/>
      <c r="C607" s="163"/>
      <c r="J607" s="165"/>
      <c r="K607" s="166"/>
      <c r="L607" s="166"/>
    </row>
    <row r="608">
      <c r="A608" s="163" t="s">
        <v>222</v>
      </c>
      <c r="B608" s="163"/>
      <c r="C608" s="163"/>
      <c r="J608" s="165"/>
      <c r="K608" s="166"/>
      <c r="L608" s="166"/>
    </row>
    <row r="609">
      <c r="A609" s="163" t="s">
        <v>222</v>
      </c>
      <c r="B609" s="163"/>
      <c r="C609" s="163"/>
      <c r="J609" s="165"/>
      <c r="K609" s="166"/>
      <c r="L609" s="166"/>
    </row>
    <row r="610">
      <c r="A610" s="163" t="s">
        <v>222</v>
      </c>
      <c r="B610" s="163"/>
      <c r="C610" s="163"/>
      <c r="J610" s="165"/>
      <c r="K610" s="166"/>
      <c r="L610" s="166"/>
    </row>
    <row r="611">
      <c r="A611" s="163" t="s">
        <v>222</v>
      </c>
      <c r="B611" s="163"/>
      <c r="C611" s="163"/>
      <c r="J611" s="165"/>
      <c r="K611" s="166"/>
      <c r="L611" s="166"/>
    </row>
    <row r="612">
      <c r="A612" s="163" t="s">
        <v>222</v>
      </c>
      <c r="B612" s="163"/>
      <c r="C612" s="163"/>
      <c r="J612" s="165"/>
      <c r="K612" s="166"/>
      <c r="L612" s="166"/>
    </row>
    <row r="613">
      <c r="A613" s="163" t="s">
        <v>222</v>
      </c>
      <c r="B613" s="163"/>
      <c r="C613" s="163"/>
      <c r="J613" s="165"/>
      <c r="K613" s="166"/>
      <c r="L613" s="166"/>
    </row>
    <row r="614">
      <c r="A614" s="163" t="s">
        <v>222</v>
      </c>
      <c r="B614" s="163"/>
      <c r="C614" s="163"/>
      <c r="J614" s="165"/>
      <c r="K614" s="166"/>
      <c r="L614" s="166"/>
    </row>
    <row r="615">
      <c r="A615" s="163" t="s">
        <v>222</v>
      </c>
      <c r="B615" s="163"/>
      <c r="C615" s="163"/>
      <c r="J615" s="165"/>
      <c r="K615" s="166"/>
      <c r="L615" s="166"/>
    </row>
    <row r="616">
      <c r="A616" s="163" t="s">
        <v>222</v>
      </c>
      <c r="B616" s="163"/>
      <c r="C616" s="163"/>
      <c r="J616" s="165"/>
      <c r="K616" s="166"/>
      <c r="L616" s="166"/>
    </row>
    <row r="617">
      <c r="A617" s="163" t="s">
        <v>222</v>
      </c>
      <c r="B617" s="163"/>
      <c r="C617" s="163"/>
      <c r="J617" s="165"/>
      <c r="K617" s="166"/>
      <c r="L617" s="166"/>
    </row>
    <row r="618">
      <c r="A618" s="163" t="s">
        <v>222</v>
      </c>
      <c r="B618" s="163"/>
      <c r="C618" s="163"/>
      <c r="J618" s="165"/>
      <c r="K618" s="166"/>
      <c r="L618" s="166"/>
    </row>
    <row r="619">
      <c r="A619" s="163" t="s">
        <v>222</v>
      </c>
      <c r="B619" s="163"/>
      <c r="C619" s="163"/>
      <c r="J619" s="165"/>
      <c r="K619" s="166"/>
      <c r="L619" s="166"/>
    </row>
    <row r="620">
      <c r="A620" s="163" t="s">
        <v>222</v>
      </c>
      <c r="B620" s="163"/>
      <c r="C620" s="163"/>
      <c r="J620" s="165"/>
      <c r="K620" s="166"/>
      <c r="L620" s="166"/>
    </row>
    <row r="621">
      <c r="A621" s="163" t="s">
        <v>222</v>
      </c>
      <c r="B621" s="163"/>
      <c r="C621" s="163"/>
      <c r="J621" s="165"/>
      <c r="K621" s="166"/>
      <c r="L621" s="166"/>
    </row>
    <row r="622">
      <c r="A622" s="163" t="s">
        <v>222</v>
      </c>
      <c r="B622" s="163"/>
      <c r="C622" s="163"/>
      <c r="J622" s="165"/>
      <c r="K622" s="166"/>
      <c r="L622" s="166"/>
    </row>
    <row r="623">
      <c r="A623" s="163" t="s">
        <v>222</v>
      </c>
      <c r="B623" s="163"/>
      <c r="C623" s="163"/>
      <c r="J623" s="165"/>
      <c r="K623" s="166"/>
      <c r="L623" s="166"/>
    </row>
    <row r="624">
      <c r="A624" s="163" t="s">
        <v>222</v>
      </c>
      <c r="B624" s="163"/>
      <c r="C624" s="163"/>
      <c r="J624" s="165"/>
      <c r="K624" s="166"/>
      <c r="L624" s="166"/>
    </row>
    <row r="625">
      <c r="A625" s="163" t="s">
        <v>222</v>
      </c>
      <c r="B625" s="163"/>
      <c r="C625" s="163"/>
      <c r="J625" s="165"/>
      <c r="K625" s="166"/>
      <c r="L625" s="166"/>
    </row>
    <row r="626">
      <c r="A626" s="163" t="s">
        <v>222</v>
      </c>
      <c r="B626" s="163"/>
      <c r="C626" s="163"/>
      <c r="J626" s="165"/>
      <c r="K626" s="166"/>
      <c r="L626" s="166"/>
    </row>
    <row r="627">
      <c r="A627" s="163" t="s">
        <v>222</v>
      </c>
      <c r="B627" s="163"/>
      <c r="C627" s="163"/>
      <c r="J627" s="165"/>
      <c r="K627" s="166"/>
      <c r="L627" s="166"/>
    </row>
    <row r="628">
      <c r="A628" s="163" t="s">
        <v>222</v>
      </c>
      <c r="B628" s="163"/>
      <c r="C628" s="163"/>
      <c r="J628" s="165"/>
      <c r="K628" s="166"/>
      <c r="L628" s="166"/>
    </row>
    <row r="629">
      <c r="A629" s="163" t="s">
        <v>222</v>
      </c>
      <c r="B629" s="163"/>
      <c r="C629" s="163"/>
      <c r="J629" s="165"/>
      <c r="K629" s="166"/>
      <c r="L629" s="166"/>
    </row>
    <row r="630">
      <c r="A630" s="163" t="s">
        <v>222</v>
      </c>
      <c r="B630" s="163"/>
      <c r="C630" s="163"/>
      <c r="J630" s="165"/>
      <c r="K630" s="166"/>
      <c r="L630" s="166"/>
    </row>
    <row r="631">
      <c r="A631" s="163" t="s">
        <v>222</v>
      </c>
      <c r="B631" s="163"/>
      <c r="C631" s="163"/>
      <c r="J631" s="165"/>
      <c r="K631" s="166"/>
      <c r="L631" s="166"/>
    </row>
    <row r="632">
      <c r="A632" s="163" t="s">
        <v>222</v>
      </c>
      <c r="B632" s="163"/>
      <c r="C632" s="163"/>
      <c r="J632" s="165"/>
      <c r="K632" s="166"/>
      <c r="L632" s="166"/>
    </row>
    <row r="633">
      <c r="A633" s="163" t="s">
        <v>222</v>
      </c>
      <c r="B633" s="163"/>
      <c r="C633" s="163"/>
      <c r="J633" s="165"/>
      <c r="K633" s="166"/>
      <c r="L633" s="166"/>
    </row>
    <row r="634">
      <c r="A634" s="163" t="s">
        <v>222</v>
      </c>
      <c r="B634" s="163"/>
      <c r="C634" s="163"/>
      <c r="J634" s="165"/>
      <c r="K634" s="166"/>
      <c r="L634" s="166"/>
    </row>
    <row r="635">
      <c r="A635" s="163" t="s">
        <v>222</v>
      </c>
      <c r="B635" s="163"/>
      <c r="C635" s="163"/>
      <c r="J635" s="165"/>
      <c r="K635" s="166"/>
      <c r="L635" s="166"/>
    </row>
    <row r="636">
      <c r="A636" s="163" t="s">
        <v>222</v>
      </c>
      <c r="B636" s="163"/>
      <c r="C636" s="163"/>
      <c r="J636" s="165"/>
      <c r="K636" s="166"/>
      <c r="L636" s="166"/>
    </row>
    <row r="637">
      <c r="A637" s="163" t="s">
        <v>222</v>
      </c>
      <c r="B637" s="163"/>
      <c r="C637" s="163"/>
      <c r="J637" s="165"/>
      <c r="K637" s="166"/>
      <c r="L637" s="166"/>
    </row>
    <row r="638">
      <c r="A638" s="163" t="s">
        <v>222</v>
      </c>
      <c r="B638" s="163"/>
      <c r="C638" s="163"/>
      <c r="J638" s="165"/>
      <c r="K638" s="166"/>
      <c r="L638" s="166"/>
    </row>
    <row r="639">
      <c r="A639" s="163" t="s">
        <v>222</v>
      </c>
      <c r="B639" s="163"/>
      <c r="C639" s="163"/>
      <c r="J639" s="165"/>
      <c r="K639" s="166"/>
      <c r="L639" s="166"/>
    </row>
    <row r="640">
      <c r="A640" s="163" t="s">
        <v>222</v>
      </c>
      <c r="B640" s="163"/>
      <c r="C640" s="163"/>
      <c r="J640" s="165"/>
      <c r="K640" s="166"/>
      <c r="L640" s="166"/>
    </row>
    <row r="641">
      <c r="A641" s="163" t="s">
        <v>222</v>
      </c>
      <c r="B641" s="163"/>
      <c r="C641" s="163"/>
      <c r="J641" s="165"/>
      <c r="K641" s="166"/>
      <c r="L641" s="166"/>
    </row>
    <row r="642">
      <c r="A642" s="163" t="s">
        <v>222</v>
      </c>
      <c r="B642" s="163"/>
      <c r="C642" s="163"/>
      <c r="J642" s="165"/>
      <c r="K642" s="166"/>
      <c r="L642" s="166"/>
    </row>
    <row r="643">
      <c r="A643" s="163" t="s">
        <v>222</v>
      </c>
      <c r="B643" s="163"/>
      <c r="C643" s="163"/>
      <c r="J643" s="165"/>
      <c r="K643" s="166"/>
      <c r="L643" s="166"/>
    </row>
    <row r="644">
      <c r="A644" s="163" t="s">
        <v>222</v>
      </c>
      <c r="B644" s="163"/>
      <c r="C644" s="163"/>
      <c r="J644" s="165"/>
      <c r="K644" s="166"/>
      <c r="L644" s="166"/>
    </row>
    <row r="645">
      <c r="A645" s="163" t="s">
        <v>222</v>
      </c>
      <c r="B645" s="163"/>
      <c r="C645" s="163"/>
      <c r="J645" s="165"/>
      <c r="K645" s="166"/>
      <c r="L645" s="166"/>
    </row>
    <row r="646">
      <c r="A646" s="163" t="s">
        <v>222</v>
      </c>
      <c r="B646" s="163"/>
      <c r="C646" s="163"/>
      <c r="J646" s="165"/>
      <c r="K646" s="166"/>
      <c r="L646" s="166"/>
    </row>
    <row r="647">
      <c r="A647" s="163" t="s">
        <v>222</v>
      </c>
      <c r="B647" s="163"/>
      <c r="C647" s="163"/>
      <c r="J647" s="165"/>
      <c r="K647" s="166"/>
      <c r="L647" s="166"/>
    </row>
    <row r="648">
      <c r="A648" s="163" t="s">
        <v>222</v>
      </c>
      <c r="B648" s="163"/>
      <c r="C648" s="163"/>
      <c r="J648" s="165"/>
      <c r="K648" s="166"/>
      <c r="L648" s="166"/>
    </row>
    <row r="649">
      <c r="A649" s="163" t="s">
        <v>222</v>
      </c>
      <c r="B649" s="163"/>
      <c r="C649" s="163"/>
      <c r="J649" s="165"/>
      <c r="K649" s="166"/>
      <c r="L649" s="166"/>
    </row>
    <row r="650">
      <c r="A650" s="163" t="s">
        <v>222</v>
      </c>
      <c r="B650" s="163"/>
      <c r="C650" s="163"/>
      <c r="J650" s="165"/>
      <c r="K650" s="166"/>
      <c r="L650" s="166"/>
    </row>
    <row r="651">
      <c r="A651" s="163" t="s">
        <v>222</v>
      </c>
      <c r="B651" s="163"/>
      <c r="C651" s="163"/>
      <c r="J651" s="165"/>
      <c r="K651" s="166"/>
      <c r="L651" s="166"/>
    </row>
    <row r="652">
      <c r="A652" s="163" t="s">
        <v>222</v>
      </c>
      <c r="B652" s="163"/>
      <c r="C652" s="163"/>
      <c r="J652" s="165"/>
      <c r="K652" s="166"/>
      <c r="L652" s="166"/>
    </row>
    <row r="653">
      <c r="A653" s="163" t="s">
        <v>222</v>
      </c>
      <c r="B653" s="163"/>
      <c r="C653" s="163"/>
      <c r="J653" s="165"/>
      <c r="K653" s="166"/>
      <c r="L653" s="166"/>
    </row>
    <row r="654">
      <c r="A654" s="163" t="s">
        <v>222</v>
      </c>
      <c r="B654" s="163"/>
      <c r="C654" s="163"/>
      <c r="J654" s="165"/>
      <c r="K654" s="166"/>
      <c r="L654" s="166"/>
    </row>
    <row r="655">
      <c r="A655" s="163" t="s">
        <v>222</v>
      </c>
      <c r="B655" s="163"/>
      <c r="C655" s="163"/>
      <c r="J655" s="165"/>
      <c r="K655" s="166"/>
      <c r="L655" s="166"/>
    </row>
    <row r="656">
      <c r="A656" s="163" t="s">
        <v>222</v>
      </c>
      <c r="B656" s="163"/>
      <c r="C656" s="163"/>
      <c r="J656" s="165"/>
      <c r="K656" s="166"/>
      <c r="L656" s="166"/>
    </row>
    <row r="657">
      <c r="A657" s="163" t="s">
        <v>222</v>
      </c>
      <c r="B657" s="163"/>
      <c r="C657" s="163"/>
      <c r="J657" s="165"/>
      <c r="K657" s="166"/>
      <c r="L657" s="166"/>
    </row>
    <row r="658">
      <c r="A658" s="163" t="s">
        <v>222</v>
      </c>
      <c r="B658" s="163"/>
      <c r="C658" s="163"/>
      <c r="J658" s="165"/>
      <c r="K658" s="166"/>
      <c r="L658" s="166"/>
    </row>
    <row r="659">
      <c r="A659" s="163" t="s">
        <v>222</v>
      </c>
      <c r="B659" s="163"/>
      <c r="C659" s="163"/>
      <c r="J659" s="165"/>
      <c r="K659" s="166"/>
      <c r="L659" s="166"/>
    </row>
    <row r="660">
      <c r="A660" s="163" t="s">
        <v>222</v>
      </c>
      <c r="B660" s="163"/>
      <c r="C660" s="163"/>
      <c r="J660" s="165"/>
      <c r="K660" s="166"/>
      <c r="L660" s="166"/>
    </row>
    <row r="661">
      <c r="A661" s="163" t="s">
        <v>222</v>
      </c>
      <c r="B661" s="163"/>
      <c r="C661" s="163"/>
      <c r="J661" s="165"/>
      <c r="K661" s="166"/>
      <c r="L661" s="166"/>
    </row>
    <row r="662">
      <c r="A662" s="163" t="s">
        <v>222</v>
      </c>
      <c r="B662" s="163"/>
      <c r="C662" s="163"/>
      <c r="J662" s="165"/>
      <c r="K662" s="166"/>
      <c r="L662" s="166"/>
    </row>
    <row r="663">
      <c r="A663" s="163" t="s">
        <v>222</v>
      </c>
      <c r="B663" s="163"/>
      <c r="C663" s="163"/>
      <c r="J663" s="165"/>
      <c r="K663" s="166"/>
      <c r="L663" s="166"/>
    </row>
    <row r="664">
      <c r="A664" s="163" t="s">
        <v>222</v>
      </c>
      <c r="B664" s="163"/>
      <c r="C664" s="163"/>
      <c r="J664" s="165"/>
      <c r="K664" s="166"/>
      <c r="L664" s="166"/>
    </row>
    <row r="665">
      <c r="A665" s="163" t="s">
        <v>222</v>
      </c>
      <c r="B665" s="163"/>
      <c r="C665" s="163"/>
      <c r="J665" s="165"/>
      <c r="K665" s="166"/>
      <c r="L665" s="166"/>
    </row>
    <row r="666">
      <c r="A666" s="163" t="s">
        <v>222</v>
      </c>
      <c r="B666" s="163"/>
      <c r="C666" s="163"/>
      <c r="J666" s="165"/>
      <c r="K666" s="166"/>
      <c r="L666" s="166"/>
    </row>
    <row r="667">
      <c r="A667" s="163" t="s">
        <v>222</v>
      </c>
      <c r="B667" s="163"/>
      <c r="C667" s="163"/>
      <c r="J667" s="165"/>
      <c r="K667" s="166"/>
      <c r="L667" s="166"/>
    </row>
    <row r="668">
      <c r="A668" s="163" t="s">
        <v>222</v>
      </c>
      <c r="B668" s="163"/>
      <c r="C668" s="163"/>
      <c r="J668" s="165"/>
      <c r="K668" s="166"/>
      <c r="L668" s="166"/>
    </row>
    <row r="669">
      <c r="A669" s="163" t="s">
        <v>222</v>
      </c>
      <c r="B669" s="163"/>
      <c r="C669" s="163"/>
      <c r="J669" s="165"/>
      <c r="K669" s="166"/>
      <c r="L669" s="166"/>
    </row>
    <row r="670">
      <c r="A670" s="163" t="s">
        <v>222</v>
      </c>
      <c r="B670" s="163"/>
      <c r="C670" s="163"/>
      <c r="J670" s="165"/>
      <c r="K670" s="166"/>
      <c r="L670" s="166"/>
    </row>
    <row r="671">
      <c r="A671" s="163" t="s">
        <v>222</v>
      </c>
      <c r="B671" s="163"/>
      <c r="C671" s="163"/>
      <c r="J671" s="165"/>
      <c r="K671" s="166"/>
      <c r="L671" s="166"/>
    </row>
    <row r="672">
      <c r="A672" s="163" t="s">
        <v>222</v>
      </c>
      <c r="B672" s="163"/>
      <c r="C672" s="163"/>
      <c r="J672" s="165"/>
      <c r="K672" s="166"/>
      <c r="L672" s="166"/>
    </row>
    <row r="673">
      <c r="A673" s="163" t="s">
        <v>222</v>
      </c>
      <c r="B673" s="163"/>
      <c r="C673" s="163"/>
      <c r="J673" s="165"/>
      <c r="K673" s="166"/>
      <c r="L673" s="166"/>
    </row>
    <row r="674">
      <c r="A674" s="163" t="s">
        <v>222</v>
      </c>
      <c r="B674" s="163"/>
      <c r="C674" s="163"/>
      <c r="J674" s="165"/>
      <c r="K674" s="166"/>
      <c r="L674" s="166"/>
    </row>
    <row r="675">
      <c r="A675" s="163" t="s">
        <v>222</v>
      </c>
      <c r="B675" s="163"/>
      <c r="C675" s="163"/>
      <c r="J675" s="165"/>
      <c r="K675" s="166"/>
      <c r="L675" s="166"/>
    </row>
    <row r="676">
      <c r="A676" s="163" t="s">
        <v>222</v>
      </c>
      <c r="B676" s="163"/>
      <c r="C676" s="163"/>
      <c r="J676" s="165"/>
      <c r="K676" s="166"/>
      <c r="L676" s="166"/>
    </row>
    <row r="677">
      <c r="A677" s="163" t="s">
        <v>222</v>
      </c>
      <c r="B677" s="163"/>
      <c r="C677" s="163"/>
      <c r="J677" s="165"/>
      <c r="K677" s="166"/>
      <c r="L677" s="166"/>
    </row>
    <row r="678">
      <c r="A678" s="163" t="s">
        <v>222</v>
      </c>
      <c r="B678" s="163"/>
      <c r="C678" s="163"/>
      <c r="J678" s="165"/>
      <c r="K678" s="166"/>
      <c r="L678" s="166"/>
    </row>
    <row r="679">
      <c r="A679" s="163" t="s">
        <v>222</v>
      </c>
      <c r="B679" s="163"/>
      <c r="C679" s="163"/>
      <c r="J679" s="165"/>
      <c r="K679" s="166"/>
      <c r="L679" s="166"/>
    </row>
    <row r="680">
      <c r="A680" s="163" t="s">
        <v>222</v>
      </c>
      <c r="B680" s="163"/>
      <c r="C680" s="163"/>
      <c r="J680" s="165"/>
      <c r="K680" s="166"/>
      <c r="L680" s="166"/>
    </row>
    <row r="681">
      <c r="A681" s="163" t="s">
        <v>222</v>
      </c>
      <c r="B681" s="163"/>
      <c r="C681" s="163"/>
      <c r="J681" s="165"/>
      <c r="K681" s="166"/>
      <c r="L681" s="166"/>
    </row>
    <row r="682">
      <c r="A682" s="163" t="s">
        <v>222</v>
      </c>
      <c r="B682" s="163"/>
      <c r="C682" s="163"/>
      <c r="J682" s="165"/>
      <c r="K682" s="166"/>
      <c r="L682" s="166"/>
    </row>
    <row r="683">
      <c r="A683" s="163" t="s">
        <v>222</v>
      </c>
      <c r="B683" s="163"/>
      <c r="C683" s="163"/>
      <c r="J683" s="165"/>
      <c r="K683" s="166"/>
      <c r="L683" s="166"/>
    </row>
    <row r="684">
      <c r="A684" s="163" t="s">
        <v>222</v>
      </c>
      <c r="B684" s="163"/>
      <c r="C684" s="163"/>
      <c r="J684" s="165"/>
      <c r="K684" s="166"/>
      <c r="L684" s="166"/>
    </row>
    <row r="685">
      <c r="A685" s="163" t="s">
        <v>222</v>
      </c>
      <c r="B685" s="163"/>
      <c r="C685" s="163"/>
      <c r="J685" s="165"/>
      <c r="K685" s="166"/>
      <c r="L685" s="166"/>
    </row>
    <row r="686">
      <c r="A686" s="163" t="s">
        <v>222</v>
      </c>
      <c r="B686" s="163"/>
      <c r="C686" s="163"/>
      <c r="J686" s="165"/>
      <c r="K686" s="166"/>
      <c r="L686" s="166"/>
    </row>
    <row r="687">
      <c r="A687" s="163" t="s">
        <v>222</v>
      </c>
      <c r="B687" s="163"/>
      <c r="C687" s="163"/>
      <c r="J687" s="165"/>
      <c r="K687" s="166"/>
      <c r="L687" s="166"/>
    </row>
    <row r="688">
      <c r="A688" s="163" t="s">
        <v>222</v>
      </c>
      <c r="B688" s="163"/>
      <c r="C688" s="163"/>
      <c r="J688" s="165"/>
      <c r="K688" s="166"/>
      <c r="L688" s="166"/>
    </row>
    <row r="689">
      <c r="A689" s="163" t="s">
        <v>222</v>
      </c>
      <c r="B689" s="163"/>
      <c r="C689" s="163"/>
      <c r="J689" s="165"/>
      <c r="K689" s="166"/>
      <c r="L689" s="166"/>
    </row>
    <row r="690">
      <c r="A690" s="163" t="s">
        <v>222</v>
      </c>
      <c r="B690" s="163"/>
      <c r="C690" s="163"/>
      <c r="J690" s="165"/>
      <c r="K690" s="166"/>
      <c r="L690" s="166"/>
    </row>
    <row r="691">
      <c r="A691" s="163" t="s">
        <v>222</v>
      </c>
      <c r="B691" s="163"/>
      <c r="C691" s="163"/>
      <c r="J691" s="165"/>
      <c r="K691" s="166"/>
      <c r="L691" s="166"/>
    </row>
    <row r="692">
      <c r="A692" s="163" t="s">
        <v>222</v>
      </c>
      <c r="B692" s="163"/>
      <c r="C692" s="163"/>
      <c r="J692" s="165"/>
      <c r="K692" s="166"/>
      <c r="L692" s="166"/>
    </row>
    <row r="693">
      <c r="A693" s="163" t="s">
        <v>222</v>
      </c>
      <c r="B693" s="163"/>
      <c r="C693" s="163"/>
      <c r="J693" s="165"/>
      <c r="K693" s="166"/>
      <c r="L693" s="166"/>
    </row>
    <row r="694">
      <c r="A694" s="163" t="s">
        <v>222</v>
      </c>
      <c r="B694" s="163"/>
      <c r="C694" s="163"/>
      <c r="J694" s="165"/>
      <c r="K694" s="166"/>
      <c r="L694" s="166"/>
    </row>
    <row r="695">
      <c r="A695" s="163" t="s">
        <v>222</v>
      </c>
      <c r="B695" s="163"/>
      <c r="C695" s="163"/>
      <c r="J695" s="165"/>
      <c r="K695" s="166"/>
      <c r="L695" s="166"/>
    </row>
    <row r="696">
      <c r="A696" s="163" t="s">
        <v>222</v>
      </c>
      <c r="B696" s="163"/>
      <c r="C696" s="163"/>
      <c r="J696" s="165"/>
      <c r="K696" s="166"/>
      <c r="L696" s="166"/>
    </row>
    <row r="697">
      <c r="A697" s="163" t="s">
        <v>222</v>
      </c>
      <c r="B697" s="163"/>
      <c r="C697" s="163"/>
      <c r="J697" s="165"/>
      <c r="K697" s="166"/>
      <c r="L697" s="166"/>
    </row>
    <row r="698">
      <c r="A698" s="163" t="s">
        <v>222</v>
      </c>
      <c r="B698" s="163"/>
      <c r="C698" s="163"/>
      <c r="J698" s="165"/>
      <c r="K698" s="166"/>
      <c r="L698" s="166"/>
    </row>
    <row r="699">
      <c r="A699" s="163" t="s">
        <v>222</v>
      </c>
      <c r="B699" s="163"/>
      <c r="C699" s="163"/>
      <c r="J699" s="165"/>
      <c r="K699" s="166"/>
      <c r="L699" s="166"/>
    </row>
    <row r="700">
      <c r="A700" s="163" t="s">
        <v>222</v>
      </c>
      <c r="B700" s="163"/>
      <c r="C700" s="163"/>
      <c r="J700" s="165"/>
      <c r="K700" s="166"/>
      <c r="L700" s="166"/>
    </row>
    <row r="701">
      <c r="A701" s="163" t="s">
        <v>222</v>
      </c>
      <c r="B701" s="163"/>
      <c r="C701" s="163"/>
      <c r="J701" s="165"/>
      <c r="K701" s="166"/>
      <c r="L701" s="166"/>
    </row>
    <row r="702">
      <c r="A702" s="163" t="s">
        <v>222</v>
      </c>
      <c r="B702" s="163"/>
      <c r="C702" s="163"/>
      <c r="J702" s="165"/>
      <c r="K702" s="166"/>
      <c r="L702" s="166"/>
    </row>
    <row r="703">
      <c r="A703" s="163" t="s">
        <v>222</v>
      </c>
      <c r="B703" s="163"/>
      <c r="C703" s="163"/>
      <c r="J703" s="165"/>
      <c r="K703" s="166"/>
      <c r="L703" s="166"/>
    </row>
    <row r="704">
      <c r="A704" s="163" t="s">
        <v>222</v>
      </c>
      <c r="B704" s="163"/>
      <c r="C704" s="163"/>
      <c r="J704" s="165"/>
      <c r="K704" s="166"/>
      <c r="L704" s="166"/>
    </row>
    <row r="705">
      <c r="A705" s="163" t="s">
        <v>222</v>
      </c>
      <c r="B705" s="163"/>
      <c r="C705" s="163"/>
      <c r="J705" s="165"/>
      <c r="K705" s="166"/>
      <c r="L705" s="166"/>
    </row>
    <row r="706">
      <c r="A706" s="163" t="s">
        <v>222</v>
      </c>
      <c r="B706" s="163"/>
      <c r="C706" s="163"/>
      <c r="J706" s="165"/>
      <c r="K706" s="166"/>
      <c r="L706" s="166"/>
    </row>
    <row r="707">
      <c r="A707" s="163" t="s">
        <v>222</v>
      </c>
      <c r="B707" s="163"/>
      <c r="C707" s="163"/>
      <c r="J707" s="165"/>
      <c r="K707" s="166"/>
      <c r="L707" s="166"/>
    </row>
    <row r="708">
      <c r="A708" s="163" t="s">
        <v>222</v>
      </c>
      <c r="B708" s="163"/>
      <c r="C708" s="163"/>
      <c r="J708" s="165"/>
      <c r="K708" s="166"/>
      <c r="L708" s="166"/>
    </row>
    <row r="709">
      <c r="A709" s="163" t="s">
        <v>222</v>
      </c>
      <c r="B709" s="163"/>
      <c r="C709" s="163"/>
      <c r="J709" s="165"/>
      <c r="K709" s="166"/>
      <c r="L709" s="166"/>
    </row>
    <row r="710">
      <c r="A710" s="163" t="s">
        <v>222</v>
      </c>
      <c r="B710" s="163"/>
      <c r="C710" s="163"/>
      <c r="J710" s="165"/>
      <c r="K710" s="166"/>
      <c r="L710" s="166"/>
    </row>
    <row r="711">
      <c r="A711" s="163" t="s">
        <v>222</v>
      </c>
      <c r="B711" s="163"/>
      <c r="C711" s="163"/>
      <c r="J711" s="165"/>
      <c r="K711" s="166"/>
      <c r="L711" s="166"/>
    </row>
    <row r="712">
      <c r="A712" s="163" t="s">
        <v>222</v>
      </c>
      <c r="B712" s="163"/>
      <c r="C712" s="163"/>
      <c r="J712" s="165"/>
      <c r="K712" s="166"/>
      <c r="L712" s="166"/>
    </row>
    <row r="713">
      <c r="A713" s="163" t="s">
        <v>222</v>
      </c>
      <c r="B713" s="163"/>
      <c r="C713" s="163"/>
      <c r="J713" s="165"/>
      <c r="K713" s="166"/>
      <c r="L713" s="166"/>
    </row>
    <row r="714">
      <c r="A714" s="163" t="s">
        <v>222</v>
      </c>
      <c r="B714" s="163"/>
      <c r="C714" s="163"/>
      <c r="J714" s="165"/>
      <c r="K714" s="166"/>
      <c r="L714" s="166"/>
    </row>
    <row r="715">
      <c r="A715" s="163" t="s">
        <v>222</v>
      </c>
      <c r="B715" s="163"/>
      <c r="C715" s="163"/>
      <c r="J715" s="165"/>
      <c r="K715" s="166"/>
      <c r="L715" s="166"/>
    </row>
    <row r="716">
      <c r="A716" s="163" t="s">
        <v>222</v>
      </c>
      <c r="B716" s="163"/>
      <c r="C716" s="163"/>
      <c r="J716" s="165"/>
      <c r="K716" s="166"/>
      <c r="L716" s="166"/>
    </row>
    <row r="717">
      <c r="A717" s="163" t="s">
        <v>222</v>
      </c>
      <c r="B717" s="163"/>
      <c r="C717" s="163"/>
      <c r="J717" s="165"/>
      <c r="K717" s="166"/>
      <c r="L717" s="166"/>
    </row>
    <row r="718">
      <c r="A718" s="163" t="s">
        <v>222</v>
      </c>
      <c r="B718" s="163"/>
      <c r="C718" s="163"/>
      <c r="J718" s="165"/>
      <c r="K718" s="166"/>
      <c r="L718" s="166"/>
    </row>
    <row r="719">
      <c r="A719" s="163" t="s">
        <v>222</v>
      </c>
      <c r="B719" s="163"/>
      <c r="C719" s="163"/>
      <c r="J719" s="165"/>
      <c r="K719" s="166"/>
      <c r="L719" s="166"/>
    </row>
    <row r="720">
      <c r="A720" s="163" t="s">
        <v>222</v>
      </c>
      <c r="B720" s="163"/>
      <c r="C720" s="163"/>
      <c r="J720" s="165"/>
      <c r="K720" s="166"/>
      <c r="L720" s="166"/>
    </row>
    <row r="721">
      <c r="A721" s="163" t="s">
        <v>222</v>
      </c>
      <c r="B721" s="163"/>
      <c r="C721" s="163"/>
      <c r="J721" s="165"/>
      <c r="K721" s="166"/>
      <c r="L721" s="166"/>
    </row>
    <row r="722">
      <c r="A722" s="163" t="s">
        <v>222</v>
      </c>
      <c r="B722" s="163"/>
      <c r="C722" s="163"/>
      <c r="J722" s="165"/>
      <c r="K722" s="166"/>
      <c r="L722" s="166"/>
    </row>
    <row r="723">
      <c r="A723" s="163" t="s">
        <v>222</v>
      </c>
      <c r="B723" s="163"/>
      <c r="C723" s="163"/>
      <c r="J723" s="165"/>
      <c r="K723" s="166"/>
      <c r="L723" s="166"/>
    </row>
    <row r="724">
      <c r="A724" s="163" t="s">
        <v>222</v>
      </c>
      <c r="B724" s="163"/>
      <c r="C724" s="163"/>
      <c r="J724" s="165"/>
      <c r="K724" s="166"/>
      <c r="L724" s="166"/>
    </row>
    <row r="725">
      <c r="A725" s="163" t="s">
        <v>222</v>
      </c>
      <c r="B725" s="163"/>
      <c r="C725" s="163"/>
      <c r="J725" s="165"/>
      <c r="K725" s="166"/>
      <c r="L725" s="166"/>
    </row>
    <row r="726">
      <c r="A726" s="163" t="s">
        <v>222</v>
      </c>
      <c r="B726" s="163"/>
      <c r="C726" s="163"/>
      <c r="J726" s="165"/>
      <c r="K726" s="166"/>
      <c r="L726" s="166"/>
    </row>
    <row r="727">
      <c r="A727" s="163" t="s">
        <v>222</v>
      </c>
      <c r="B727" s="163"/>
      <c r="C727" s="163"/>
      <c r="J727" s="165"/>
      <c r="K727" s="166"/>
      <c r="L727" s="166"/>
    </row>
    <row r="728">
      <c r="A728" s="163" t="s">
        <v>222</v>
      </c>
      <c r="B728" s="163"/>
      <c r="C728" s="163"/>
      <c r="J728" s="165"/>
      <c r="K728" s="166"/>
      <c r="L728" s="166"/>
    </row>
    <row r="729">
      <c r="A729" s="163" t="s">
        <v>222</v>
      </c>
      <c r="B729" s="163"/>
      <c r="C729" s="163"/>
      <c r="J729" s="165"/>
      <c r="K729" s="166"/>
      <c r="L729" s="166"/>
    </row>
    <row r="730">
      <c r="A730" s="163" t="s">
        <v>222</v>
      </c>
      <c r="B730" s="163"/>
      <c r="C730" s="163"/>
      <c r="J730" s="165"/>
      <c r="K730" s="166"/>
      <c r="L730" s="166"/>
    </row>
    <row r="731">
      <c r="A731" s="163" t="s">
        <v>222</v>
      </c>
      <c r="B731" s="163"/>
      <c r="C731" s="163"/>
      <c r="J731" s="165"/>
      <c r="K731" s="166"/>
      <c r="L731" s="166"/>
    </row>
    <row r="732">
      <c r="A732" s="163" t="s">
        <v>222</v>
      </c>
      <c r="B732" s="163"/>
      <c r="C732" s="163"/>
      <c r="J732" s="165"/>
      <c r="K732" s="166"/>
      <c r="L732" s="166"/>
    </row>
    <row r="733">
      <c r="A733" s="163" t="s">
        <v>222</v>
      </c>
      <c r="B733" s="163"/>
      <c r="C733" s="163"/>
      <c r="J733" s="165"/>
      <c r="K733" s="166"/>
      <c r="L733" s="166"/>
    </row>
    <row r="734">
      <c r="A734" s="163" t="s">
        <v>222</v>
      </c>
      <c r="B734" s="163"/>
      <c r="C734" s="163"/>
      <c r="J734" s="165"/>
      <c r="K734" s="166"/>
      <c r="L734" s="166"/>
    </row>
    <row r="735">
      <c r="A735" s="163" t="s">
        <v>222</v>
      </c>
      <c r="B735" s="163"/>
      <c r="C735" s="163"/>
      <c r="J735" s="165"/>
      <c r="K735" s="166"/>
      <c r="L735" s="166"/>
    </row>
    <row r="736">
      <c r="A736" s="163" t="s">
        <v>222</v>
      </c>
      <c r="B736" s="163"/>
      <c r="C736" s="163"/>
      <c r="J736" s="165"/>
      <c r="K736" s="166"/>
      <c r="L736" s="166"/>
    </row>
    <row r="737">
      <c r="A737" s="163" t="s">
        <v>222</v>
      </c>
      <c r="B737" s="163"/>
      <c r="C737" s="163"/>
      <c r="J737" s="165"/>
      <c r="K737" s="166"/>
      <c r="L737" s="166"/>
    </row>
    <row r="738">
      <c r="A738" s="163" t="s">
        <v>222</v>
      </c>
      <c r="B738" s="163"/>
      <c r="C738" s="163"/>
      <c r="J738" s="165"/>
      <c r="K738" s="166"/>
      <c r="L738" s="166"/>
    </row>
    <row r="739">
      <c r="A739" s="163" t="s">
        <v>222</v>
      </c>
      <c r="B739" s="163"/>
      <c r="C739" s="163"/>
      <c r="J739" s="165"/>
      <c r="K739" s="166"/>
      <c r="L739" s="166"/>
    </row>
    <row r="740">
      <c r="A740" s="163" t="s">
        <v>222</v>
      </c>
      <c r="B740" s="163"/>
      <c r="C740" s="163"/>
      <c r="J740" s="165"/>
      <c r="K740" s="166"/>
      <c r="L740" s="166"/>
    </row>
    <row r="741">
      <c r="A741" s="163" t="s">
        <v>222</v>
      </c>
      <c r="B741" s="163"/>
      <c r="C741" s="163"/>
      <c r="J741" s="165"/>
      <c r="K741" s="166"/>
      <c r="L741" s="166"/>
    </row>
    <row r="742">
      <c r="A742" s="163" t="s">
        <v>222</v>
      </c>
      <c r="B742" s="163"/>
      <c r="C742" s="163"/>
      <c r="J742" s="165"/>
      <c r="K742" s="166"/>
      <c r="L742" s="166"/>
    </row>
    <row r="743">
      <c r="A743" s="163" t="s">
        <v>222</v>
      </c>
      <c r="B743" s="163"/>
      <c r="C743" s="163"/>
      <c r="J743" s="165"/>
      <c r="K743" s="166"/>
      <c r="L743" s="166"/>
    </row>
    <row r="744">
      <c r="A744" s="163" t="s">
        <v>222</v>
      </c>
      <c r="B744" s="163"/>
      <c r="C744" s="163"/>
      <c r="J744" s="165"/>
      <c r="K744" s="166"/>
      <c r="L744" s="166"/>
    </row>
    <row r="745">
      <c r="A745" s="163" t="s">
        <v>222</v>
      </c>
      <c r="B745" s="163"/>
      <c r="C745" s="163"/>
      <c r="J745" s="165"/>
      <c r="K745" s="166"/>
      <c r="L745" s="166"/>
    </row>
    <row r="746">
      <c r="A746" s="163" t="s">
        <v>222</v>
      </c>
      <c r="B746" s="163"/>
      <c r="C746" s="163"/>
      <c r="J746" s="165"/>
      <c r="K746" s="166"/>
      <c r="L746" s="166"/>
    </row>
    <row r="747">
      <c r="A747" s="163" t="s">
        <v>222</v>
      </c>
      <c r="B747" s="163"/>
      <c r="C747" s="163"/>
      <c r="J747" s="165"/>
      <c r="K747" s="166"/>
      <c r="L747" s="166"/>
    </row>
    <row r="748">
      <c r="A748" s="163" t="s">
        <v>222</v>
      </c>
      <c r="B748" s="163"/>
      <c r="C748" s="163"/>
      <c r="J748" s="165"/>
      <c r="K748" s="166"/>
      <c r="L748" s="166"/>
    </row>
    <row r="749">
      <c r="A749" s="163" t="s">
        <v>222</v>
      </c>
      <c r="B749" s="163"/>
      <c r="C749" s="163"/>
      <c r="J749" s="165"/>
      <c r="K749" s="166"/>
      <c r="L749" s="166"/>
    </row>
    <row r="750">
      <c r="A750" s="163" t="s">
        <v>222</v>
      </c>
      <c r="B750" s="163"/>
      <c r="C750" s="163"/>
      <c r="J750" s="165"/>
      <c r="K750" s="166"/>
      <c r="L750" s="166"/>
    </row>
    <row r="751">
      <c r="A751" s="163" t="s">
        <v>222</v>
      </c>
      <c r="B751" s="163"/>
      <c r="C751" s="163"/>
      <c r="J751" s="165"/>
      <c r="K751" s="166"/>
      <c r="L751" s="166"/>
    </row>
    <row r="752">
      <c r="A752" s="163" t="s">
        <v>222</v>
      </c>
      <c r="B752" s="163"/>
      <c r="C752" s="163"/>
      <c r="J752" s="165"/>
      <c r="K752" s="166"/>
      <c r="L752" s="166"/>
    </row>
    <row r="753">
      <c r="A753" s="163" t="s">
        <v>222</v>
      </c>
      <c r="B753" s="163"/>
      <c r="C753" s="163"/>
      <c r="J753" s="165"/>
      <c r="K753" s="166"/>
      <c r="L753" s="166"/>
    </row>
    <row r="754">
      <c r="A754" s="163" t="s">
        <v>222</v>
      </c>
      <c r="B754" s="163"/>
      <c r="C754" s="163"/>
      <c r="J754" s="165"/>
      <c r="K754" s="166"/>
      <c r="L754" s="166"/>
    </row>
    <row r="755">
      <c r="A755" s="163" t="s">
        <v>222</v>
      </c>
      <c r="B755" s="163"/>
      <c r="C755" s="163"/>
      <c r="J755" s="165"/>
      <c r="K755" s="166"/>
      <c r="L755" s="166"/>
    </row>
    <row r="756">
      <c r="A756" s="163" t="s">
        <v>222</v>
      </c>
      <c r="B756" s="163"/>
      <c r="C756" s="163"/>
      <c r="J756" s="165"/>
      <c r="K756" s="166"/>
      <c r="L756" s="166"/>
    </row>
    <row r="757">
      <c r="A757" s="163" t="s">
        <v>222</v>
      </c>
      <c r="B757" s="163"/>
      <c r="C757" s="163"/>
      <c r="J757" s="165"/>
      <c r="K757" s="166"/>
      <c r="L757" s="166"/>
    </row>
    <row r="758">
      <c r="A758" s="163" t="s">
        <v>222</v>
      </c>
      <c r="B758" s="163"/>
      <c r="C758" s="163"/>
      <c r="J758" s="165"/>
      <c r="K758" s="166"/>
      <c r="L758" s="166"/>
    </row>
    <row r="759">
      <c r="A759" s="163" t="s">
        <v>222</v>
      </c>
      <c r="B759" s="163"/>
      <c r="C759" s="163"/>
      <c r="J759" s="165"/>
      <c r="K759" s="166"/>
      <c r="L759" s="166"/>
    </row>
    <row r="760">
      <c r="A760" s="163" t="s">
        <v>222</v>
      </c>
      <c r="B760" s="163"/>
      <c r="C760" s="163"/>
      <c r="J760" s="165"/>
      <c r="K760" s="166"/>
      <c r="L760" s="166"/>
    </row>
    <row r="761">
      <c r="A761" s="163" t="s">
        <v>222</v>
      </c>
      <c r="B761" s="163"/>
      <c r="C761" s="163"/>
      <c r="J761" s="165"/>
      <c r="K761" s="166"/>
      <c r="L761" s="166"/>
    </row>
    <row r="762">
      <c r="A762" s="163" t="s">
        <v>222</v>
      </c>
      <c r="B762" s="163"/>
      <c r="C762" s="163"/>
      <c r="J762" s="165"/>
      <c r="K762" s="166"/>
      <c r="L762" s="166"/>
    </row>
    <row r="763">
      <c r="A763" s="163" t="s">
        <v>222</v>
      </c>
      <c r="B763" s="163"/>
      <c r="C763" s="163"/>
      <c r="J763" s="165"/>
      <c r="K763" s="166"/>
      <c r="L763" s="166"/>
    </row>
    <row r="764">
      <c r="A764" s="163" t="s">
        <v>222</v>
      </c>
      <c r="B764" s="163"/>
      <c r="C764" s="163"/>
      <c r="J764" s="165"/>
      <c r="K764" s="166"/>
      <c r="L764" s="166"/>
    </row>
    <row r="765">
      <c r="A765" s="163" t="s">
        <v>222</v>
      </c>
      <c r="B765" s="163"/>
      <c r="C765" s="163"/>
      <c r="J765" s="165"/>
      <c r="K765" s="166"/>
      <c r="L765" s="166"/>
    </row>
    <row r="766">
      <c r="A766" s="163" t="s">
        <v>222</v>
      </c>
      <c r="B766" s="163"/>
      <c r="C766" s="163"/>
      <c r="J766" s="165"/>
      <c r="K766" s="166"/>
      <c r="L766" s="166"/>
    </row>
    <row r="767">
      <c r="A767" s="163" t="s">
        <v>222</v>
      </c>
      <c r="B767" s="163"/>
      <c r="C767" s="163"/>
      <c r="J767" s="165"/>
      <c r="K767" s="166"/>
      <c r="L767" s="166"/>
    </row>
    <row r="768">
      <c r="A768" s="163" t="s">
        <v>222</v>
      </c>
      <c r="B768" s="163"/>
      <c r="C768" s="163"/>
      <c r="J768" s="165"/>
      <c r="K768" s="166"/>
      <c r="L768" s="166"/>
    </row>
    <row r="769">
      <c r="A769" s="163" t="s">
        <v>222</v>
      </c>
      <c r="B769" s="163"/>
      <c r="C769" s="163"/>
      <c r="J769" s="165"/>
      <c r="K769" s="166"/>
      <c r="L769" s="166"/>
    </row>
    <row r="770">
      <c r="A770" s="163" t="s">
        <v>222</v>
      </c>
      <c r="B770" s="163"/>
      <c r="C770" s="163"/>
      <c r="J770" s="165"/>
      <c r="K770" s="166"/>
      <c r="L770" s="166"/>
    </row>
    <row r="771">
      <c r="A771" s="163" t="s">
        <v>222</v>
      </c>
      <c r="B771" s="163"/>
      <c r="C771" s="163"/>
      <c r="J771" s="165"/>
      <c r="K771" s="166"/>
      <c r="L771" s="166"/>
    </row>
    <row r="772">
      <c r="A772" s="163" t="s">
        <v>222</v>
      </c>
      <c r="B772" s="163"/>
      <c r="C772" s="163"/>
      <c r="J772" s="165"/>
      <c r="K772" s="166"/>
      <c r="L772" s="166"/>
    </row>
    <row r="773">
      <c r="A773" s="163" t="s">
        <v>222</v>
      </c>
      <c r="B773" s="163"/>
      <c r="C773" s="163"/>
      <c r="J773" s="165"/>
      <c r="K773" s="166"/>
      <c r="L773" s="166"/>
    </row>
    <row r="774">
      <c r="A774" s="163" t="s">
        <v>222</v>
      </c>
      <c r="B774" s="163"/>
      <c r="C774" s="163"/>
      <c r="J774" s="165"/>
      <c r="K774" s="166"/>
      <c r="L774" s="166"/>
    </row>
    <row r="775">
      <c r="A775" s="163" t="s">
        <v>222</v>
      </c>
      <c r="B775" s="163"/>
      <c r="C775" s="163"/>
      <c r="J775" s="165"/>
      <c r="K775" s="166"/>
      <c r="L775" s="166"/>
    </row>
    <row r="776">
      <c r="A776" s="163" t="s">
        <v>222</v>
      </c>
      <c r="B776" s="163"/>
      <c r="C776" s="163"/>
      <c r="J776" s="165"/>
      <c r="K776" s="166"/>
      <c r="L776" s="166"/>
    </row>
    <row r="777">
      <c r="A777" s="163" t="s">
        <v>222</v>
      </c>
      <c r="B777" s="163"/>
      <c r="C777" s="163"/>
      <c r="J777" s="165"/>
      <c r="K777" s="166"/>
      <c r="L777" s="166"/>
    </row>
    <row r="778">
      <c r="A778" s="163" t="s">
        <v>222</v>
      </c>
      <c r="B778" s="163"/>
      <c r="C778" s="163"/>
      <c r="J778" s="165"/>
      <c r="K778" s="166"/>
      <c r="L778" s="166"/>
    </row>
    <row r="779">
      <c r="A779" s="163" t="s">
        <v>222</v>
      </c>
      <c r="B779" s="163"/>
      <c r="C779" s="163"/>
      <c r="J779" s="165"/>
      <c r="K779" s="166"/>
      <c r="L779" s="166"/>
    </row>
    <row r="780">
      <c r="A780" s="163" t="s">
        <v>222</v>
      </c>
      <c r="B780" s="163"/>
      <c r="C780" s="163"/>
      <c r="J780" s="165"/>
      <c r="K780" s="166"/>
      <c r="L780" s="166"/>
    </row>
    <row r="781">
      <c r="A781" s="163" t="s">
        <v>222</v>
      </c>
      <c r="B781" s="163"/>
      <c r="C781" s="163"/>
      <c r="J781" s="165"/>
      <c r="K781" s="166"/>
      <c r="L781" s="166"/>
    </row>
    <row r="782">
      <c r="A782" s="163" t="s">
        <v>222</v>
      </c>
      <c r="B782" s="163"/>
      <c r="C782" s="163"/>
      <c r="J782" s="165"/>
      <c r="K782" s="166"/>
      <c r="L782" s="166"/>
    </row>
    <row r="783">
      <c r="A783" s="163" t="s">
        <v>222</v>
      </c>
      <c r="B783" s="163"/>
      <c r="C783" s="163"/>
      <c r="J783" s="165"/>
      <c r="K783" s="166"/>
      <c r="L783" s="166"/>
    </row>
    <row r="784">
      <c r="A784" s="163" t="s">
        <v>222</v>
      </c>
      <c r="B784" s="163"/>
      <c r="C784" s="163"/>
      <c r="J784" s="165"/>
      <c r="K784" s="166"/>
      <c r="L784" s="166"/>
    </row>
    <row r="785">
      <c r="A785" s="163" t="s">
        <v>222</v>
      </c>
      <c r="B785" s="163"/>
      <c r="C785" s="163"/>
      <c r="J785" s="165"/>
      <c r="K785" s="166"/>
      <c r="L785" s="166"/>
    </row>
    <row r="786">
      <c r="A786" s="163" t="s">
        <v>222</v>
      </c>
      <c r="B786" s="163"/>
      <c r="C786" s="163"/>
      <c r="J786" s="165"/>
      <c r="K786" s="166"/>
      <c r="L786" s="166"/>
    </row>
    <row r="787">
      <c r="A787" s="163" t="s">
        <v>222</v>
      </c>
      <c r="B787" s="163"/>
      <c r="C787" s="163"/>
      <c r="J787" s="165"/>
      <c r="K787" s="166"/>
      <c r="L787" s="166"/>
    </row>
    <row r="788">
      <c r="A788" s="163" t="s">
        <v>222</v>
      </c>
      <c r="B788" s="163"/>
      <c r="C788" s="163"/>
      <c r="J788" s="165"/>
      <c r="K788" s="166"/>
      <c r="L788" s="166"/>
    </row>
    <row r="789">
      <c r="A789" s="163" t="s">
        <v>222</v>
      </c>
      <c r="B789" s="163"/>
      <c r="C789" s="163"/>
      <c r="J789" s="165"/>
      <c r="K789" s="166"/>
      <c r="L789" s="166"/>
    </row>
    <row r="790">
      <c r="A790" s="163" t="s">
        <v>222</v>
      </c>
      <c r="B790" s="163"/>
      <c r="C790" s="163"/>
      <c r="J790" s="165"/>
      <c r="K790" s="166"/>
      <c r="L790" s="166"/>
    </row>
    <row r="791">
      <c r="A791" s="163" t="s">
        <v>222</v>
      </c>
      <c r="B791" s="163"/>
      <c r="C791" s="163"/>
      <c r="J791" s="165"/>
      <c r="K791" s="166"/>
      <c r="L791" s="166"/>
    </row>
    <row r="792">
      <c r="A792" s="163" t="s">
        <v>222</v>
      </c>
      <c r="B792" s="163"/>
      <c r="C792" s="163"/>
      <c r="J792" s="165"/>
      <c r="K792" s="166"/>
      <c r="L792" s="166"/>
    </row>
    <row r="793">
      <c r="A793" s="163" t="s">
        <v>222</v>
      </c>
      <c r="B793" s="163"/>
      <c r="C793" s="163"/>
      <c r="J793" s="165"/>
      <c r="K793" s="166"/>
      <c r="L793" s="166"/>
    </row>
    <row r="794">
      <c r="A794" s="163" t="s">
        <v>222</v>
      </c>
      <c r="B794" s="163"/>
      <c r="C794" s="163"/>
      <c r="J794" s="165"/>
      <c r="K794" s="166"/>
      <c r="L794" s="166"/>
    </row>
    <row r="795">
      <c r="A795" s="163" t="s">
        <v>222</v>
      </c>
      <c r="B795" s="163"/>
      <c r="C795" s="163"/>
      <c r="J795" s="165"/>
      <c r="K795" s="166"/>
      <c r="L795" s="166"/>
    </row>
    <row r="796">
      <c r="A796" s="163" t="s">
        <v>222</v>
      </c>
      <c r="B796" s="163"/>
      <c r="C796" s="163"/>
      <c r="J796" s="165"/>
      <c r="K796" s="166"/>
      <c r="L796" s="166"/>
    </row>
    <row r="797">
      <c r="A797" s="163" t="s">
        <v>222</v>
      </c>
      <c r="B797" s="163"/>
      <c r="C797" s="163"/>
      <c r="J797" s="165"/>
      <c r="K797" s="166"/>
      <c r="L797" s="166"/>
    </row>
    <row r="798">
      <c r="A798" s="163" t="s">
        <v>222</v>
      </c>
      <c r="B798" s="163"/>
      <c r="C798" s="163"/>
      <c r="J798" s="165"/>
      <c r="K798" s="166"/>
      <c r="L798" s="166"/>
    </row>
    <row r="799">
      <c r="A799" s="163" t="s">
        <v>222</v>
      </c>
      <c r="B799" s="163"/>
      <c r="C799" s="163"/>
      <c r="J799" s="165"/>
      <c r="K799" s="166"/>
      <c r="L799" s="166"/>
    </row>
    <row r="800">
      <c r="A800" s="163" t="s">
        <v>222</v>
      </c>
      <c r="B800" s="163"/>
      <c r="C800" s="163"/>
      <c r="J800" s="165"/>
      <c r="K800" s="166"/>
      <c r="L800" s="166"/>
    </row>
    <row r="801">
      <c r="A801" s="163" t="s">
        <v>222</v>
      </c>
      <c r="B801" s="163"/>
      <c r="C801" s="163"/>
      <c r="J801" s="165"/>
      <c r="K801" s="166"/>
      <c r="L801" s="166"/>
    </row>
    <row r="802">
      <c r="A802" s="163" t="s">
        <v>222</v>
      </c>
      <c r="B802" s="163"/>
      <c r="C802" s="163"/>
      <c r="J802" s="165"/>
      <c r="K802" s="166"/>
      <c r="L802" s="166"/>
    </row>
    <row r="803">
      <c r="A803" s="163" t="s">
        <v>222</v>
      </c>
      <c r="B803" s="163"/>
      <c r="C803" s="163"/>
      <c r="J803" s="165"/>
      <c r="K803" s="166"/>
      <c r="L803" s="166"/>
    </row>
    <row r="804">
      <c r="A804" s="163" t="s">
        <v>222</v>
      </c>
      <c r="B804" s="163"/>
      <c r="C804" s="163"/>
      <c r="J804" s="165"/>
      <c r="K804" s="166"/>
      <c r="L804" s="166"/>
    </row>
    <row r="805">
      <c r="A805" s="163" t="s">
        <v>222</v>
      </c>
      <c r="B805" s="163"/>
      <c r="C805" s="163"/>
      <c r="J805" s="165"/>
      <c r="K805" s="166"/>
      <c r="L805" s="166"/>
    </row>
    <row r="806">
      <c r="A806" s="163" t="s">
        <v>222</v>
      </c>
      <c r="B806" s="163"/>
      <c r="C806" s="163"/>
      <c r="J806" s="165"/>
      <c r="K806" s="166"/>
      <c r="L806" s="166"/>
    </row>
    <row r="807">
      <c r="A807" s="163" t="s">
        <v>222</v>
      </c>
      <c r="B807" s="163"/>
      <c r="C807" s="163"/>
      <c r="J807" s="165"/>
      <c r="K807" s="166"/>
      <c r="L807" s="166"/>
    </row>
    <row r="808">
      <c r="A808" s="163" t="s">
        <v>222</v>
      </c>
      <c r="B808" s="163"/>
      <c r="C808" s="163"/>
      <c r="J808" s="165"/>
      <c r="K808" s="166"/>
      <c r="L808" s="166"/>
    </row>
    <row r="809">
      <c r="A809" s="163" t="s">
        <v>222</v>
      </c>
      <c r="B809" s="163"/>
      <c r="C809" s="163"/>
      <c r="J809" s="165"/>
      <c r="K809" s="166"/>
      <c r="L809" s="166"/>
    </row>
    <row r="810">
      <c r="A810" s="163" t="s">
        <v>222</v>
      </c>
      <c r="B810" s="163"/>
      <c r="C810" s="163"/>
      <c r="J810" s="165"/>
      <c r="K810" s="166"/>
      <c r="L810" s="166"/>
    </row>
    <row r="811">
      <c r="A811" s="163" t="s">
        <v>222</v>
      </c>
      <c r="B811" s="163"/>
      <c r="C811" s="163"/>
      <c r="J811" s="165"/>
      <c r="K811" s="166"/>
      <c r="L811" s="166"/>
    </row>
    <row r="812">
      <c r="A812" s="163" t="s">
        <v>222</v>
      </c>
      <c r="B812" s="163"/>
      <c r="C812" s="163"/>
      <c r="J812" s="165"/>
      <c r="K812" s="166"/>
      <c r="L812" s="166"/>
    </row>
    <row r="813">
      <c r="A813" s="163" t="s">
        <v>222</v>
      </c>
      <c r="B813" s="163"/>
      <c r="C813" s="163"/>
      <c r="J813" s="165"/>
      <c r="K813" s="166"/>
      <c r="L813" s="166"/>
    </row>
    <row r="814">
      <c r="A814" s="163" t="s">
        <v>222</v>
      </c>
      <c r="B814" s="163"/>
      <c r="C814" s="163"/>
      <c r="J814" s="165"/>
      <c r="K814" s="166"/>
      <c r="L814" s="166"/>
    </row>
    <row r="815">
      <c r="A815" s="163" t="s">
        <v>222</v>
      </c>
      <c r="B815" s="163"/>
      <c r="C815" s="163"/>
      <c r="J815" s="165"/>
      <c r="K815" s="166"/>
      <c r="L815" s="166"/>
    </row>
    <row r="816">
      <c r="A816" s="163" t="s">
        <v>222</v>
      </c>
      <c r="B816" s="163"/>
      <c r="C816" s="163"/>
      <c r="J816" s="165"/>
      <c r="K816" s="166"/>
      <c r="L816" s="166"/>
    </row>
    <row r="817">
      <c r="A817" s="163" t="s">
        <v>222</v>
      </c>
      <c r="B817" s="163"/>
      <c r="C817" s="163"/>
      <c r="J817" s="165"/>
      <c r="K817" s="166"/>
      <c r="L817" s="166"/>
    </row>
    <row r="818">
      <c r="A818" s="163" t="s">
        <v>222</v>
      </c>
      <c r="B818" s="163"/>
      <c r="C818" s="163"/>
      <c r="J818" s="165"/>
      <c r="K818" s="166"/>
      <c r="L818" s="166"/>
    </row>
    <row r="819">
      <c r="A819" s="163" t="s">
        <v>222</v>
      </c>
      <c r="B819" s="163"/>
      <c r="C819" s="163"/>
      <c r="J819" s="165"/>
      <c r="K819" s="166"/>
      <c r="L819" s="166"/>
    </row>
    <row r="820">
      <c r="A820" s="163" t="s">
        <v>222</v>
      </c>
      <c r="B820" s="163"/>
      <c r="C820" s="163"/>
      <c r="J820" s="165"/>
      <c r="K820" s="166"/>
      <c r="L820" s="166"/>
    </row>
    <row r="821">
      <c r="A821" s="163" t="s">
        <v>222</v>
      </c>
      <c r="B821" s="163"/>
      <c r="C821" s="163"/>
      <c r="J821" s="165"/>
      <c r="K821" s="166"/>
      <c r="L821" s="166"/>
    </row>
    <row r="822">
      <c r="A822" s="163" t="s">
        <v>222</v>
      </c>
      <c r="B822" s="163"/>
      <c r="C822" s="163"/>
      <c r="J822" s="165"/>
      <c r="K822" s="166"/>
      <c r="L822" s="166"/>
    </row>
    <row r="823">
      <c r="A823" s="163" t="s">
        <v>222</v>
      </c>
      <c r="B823" s="163"/>
      <c r="C823" s="163"/>
      <c r="J823" s="165"/>
      <c r="K823" s="166"/>
      <c r="L823" s="166"/>
    </row>
    <row r="824">
      <c r="A824" s="163" t="s">
        <v>222</v>
      </c>
      <c r="B824" s="163"/>
      <c r="C824" s="163"/>
      <c r="J824" s="165"/>
      <c r="K824" s="166"/>
      <c r="L824" s="166"/>
    </row>
    <row r="825">
      <c r="A825" s="163" t="s">
        <v>222</v>
      </c>
      <c r="B825" s="163"/>
      <c r="C825" s="163"/>
      <c r="J825" s="165"/>
      <c r="K825" s="166"/>
      <c r="L825" s="166"/>
    </row>
    <row r="826">
      <c r="A826" s="163" t="s">
        <v>222</v>
      </c>
      <c r="B826" s="163"/>
      <c r="C826" s="163"/>
      <c r="J826" s="165"/>
      <c r="K826" s="166"/>
      <c r="L826" s="166"/>
    </row>
    <row r="827">
      <c r="A827" s="163" t="s">
        <v>222</v>
      </c>
      <c r="B827" s="163"/>
      <c r="C827" s="163"/>
      <c r="J827" s="165"/>
      <c r="K827" s="166"/>
      <c r="L827" s="166"/>
    </row>
    <row r="828">
      <c r="A828" s="163" t="s">
        <v>222</v>
      </c>
      <c r="B828" s="163"/>
      <c r="C828" s="163"/>
      <c r="J828" s="165"/>
      <c r="K828" s="166"/>
      <c r="L828" s="166"/>
    </row>
    <row r="829">
      <c r="A829" s="163" t="s">
        <v>222</v>
      </c>
      <c r="B829" s="163"/>
      <c r="C829" s="163"/>
      <c r="J829" s="165"/>
      <c r="K829" s="166"/>
      <c r="L829" s="166"/>
    </row>
    <row r="830">
      <c r="A830" s="163" t="s">
        <v>222</v>
      </c>
      <c r="B830" s="163"/>
      <c r="C830" s="163"/>
      <c r="J830" s="165"/>
      <c r="K830" s="166"/>
      <c r="L830" s="166"/>
    </row>
    <row r="831">
      <c r="A831" s="163" t="s">
        <v>222</v>
      </c>
      <c r="B831" s="163"/>
      <c r="C831" s="163"/>
      <c r="J831" s="165"/>
      <c r="K831" s="166"/>
      <c r="L831" s="166"/>
    </row>
    <row r="832">
      <c r="A832" s="163" t="s">
        <v>222</v>
      </c>
      <c r="B832" s="163"/>
      <c r="C832" s="163"/>
      <c r="J832" s="165"/>
      <c r="K832" s="166"/>
      <c r="L832" s="166"/>
    </row>
    <row r="833">
      <c r="A833" s="163" t="s">
        <v>222</v>
      </c>
      <c r="B833" s="163"/>
      <c r="C833" s="163"/>
      <c r="J833" s="165"/>
      <c r="K833" s="166"/>
      <c r="L833" s="166"/>
    </row>
    <row r="834">
      <c r="A834" s="163" t="s">
        <v>222</v>
      </c>
      <c r="B834" s="163"/>
      <c r="C834" s="163"/>
      <c r="J834" s="165"/>
      <c r="K834" s="166"/>
      <c r="L834" s="166"/>
    </row>
    <row r="835">
      <c r="A835" s="163" t="s">
        <v>222</v>
      </c>
      <c r="B835" s="163"/>
      <c r="C835" s="163"/>
      <c r="J835" s="165"/>
      <c r="K835" s="166"/>
      <c r="L835" s="166"/>
    </row>
    <row r="836">
      <c r="A836" s="163" t="s">
        <v>222</v>
      </c>
      <c r="B836" s="163"/>
      <c r="C836" s="163"/>
      <c r="J836" s="165"/>
      <c r="K836" s="166"/>
      <c r="L836" s="166"/>
    </row>
    <row r="837">
      <c r="A837" s="163" t="s">
        <v>222</v>
      </c>
      <c r="B837" s="163"/>
      <c r="C837" s="163"/>
      <c r="J837" s="165"/>
      <c r="K837" s="166"/>
      <c r="L837" s="166"/>
    </row>
    <row r="838">
      <c r="A838" s="163" t="s">
        <v>222</v>
      </c>
      <c r="B838" s="163"/>
      <c r="C838" s="163"/>
      <c r="J838" s="165"/>
      <c r="K838" s="166"/>
      <c r="L838" s="166"/>
    </row>
    <row r="839">
      <c r="A839" s="163" t="s">
        <v>222</v>
      </c>
      <c r="B839" s="163"/>
      <c r="C839" s="163"/>
      <c r="J839" s="165"/>
      <c r="K839" s="166"/>
      <c r="L839" s="166"/>
    </row>
    <row r="840">
      <c r="A840" s="163" t="s">
        <v>222</v>
      </c>
      <c r="B840" s="163"/>
      <c r="C840" s="163"/>
      <c r="J840" s="165"/>
      <c r="K840" s="166"/>
      <c r="L840" s="166"/>
    </row>
    <row r="841">
      <c r="A841" s="163" t="s">
        <v>222</v>
      </c>
      <c r="B841" s="163"/>
      <c r="C841" s="163"/>
      <c r="J841" s="165"/>
      <c r="K841" s="166"/>
      <c r="L841" s="166"/>
    </row>
    <row r="842">
      <c r="A842" s="163" t="s">
        <v>222</v>
      </c>
      <c r="B842" s="163"/>
      <c r="C842" s="163"/>
      <c r="J842" s="165"/>
      <c r="K842" s="166"/>
      <c r="L842" s="166"/>
    </row>
    <row r="843">
      <c r="A843" s="163" t="s">
        <v>222</v>
      </c>
      <c r="B843" s="163"/>
      <c r="C843" s="163"/>
      <c r="J843" s="165"/>
      <c r="K843" s="166"/>
      <c r="L843" s="166"/>
    </row>
    <row r="844">
      <c r="A844" s="163" t="s">
        <v>222</v>
      </c>
      <c r="B844" s="163"/>
      <c r="C844" s="163"/>
      <c r="J844" s="165"/>
      <c r="K844" s="166"/>
      <c r="L844" s="166"/>
    </row>
    <row r="845">
      <c r="A845" s="163" t="s">
        <v>222</v>
      </c>
      <c r="B845" s="163"/>
      <c r="C845" s="163"/>
      <c r="J845" s="165"/>
      <c r="K845" s="166"/>
      <c r="L845" s="166"/>
    </row>
    <row r="846">
      <c r="A846" s="163" t="s">
        <v>222</v>
      </c>
      <c r="B846" s="163"/>
      <c r="C846" s="163"/>
      <c r="J846" s="165"/>
      <c r="K846" s="166"/>
      <c r="L846" s="166"/>
    </row>
    <row r="847">
      <c r="A847" s="163" t="s">
        <v>222</v>
      </c>
      <c r="B847" s="163"/>
      <c r="C847" s="163"/>
      <c r="J847" s="165"/>
      <c r="K847" s="166"/>
      <c r="L847" s="166"/>
    </row>
    <row r="848">
      <c r="A848" s="163" t="s">
        <v>222</v>
      </c>
      <c r="B848" s="163"/>
      <c r="C848" s="163"/>
      <c r="J848" s="165"/>
      <c r="K848" s="166"/>
      <c r="L848" s="166"/>
    </row>
    <row r="849">
      <c r="A849" s="163" t="s">
        <v>222</v>
      </c>
      <c r="B849" s="163"/>
      <c r="C849" s="163"/>
      <c r="J849" s="165"/>
      <c r="K849" s="166"/>
      <c r="L849" s="166"/>
    </row>
    <row r="850">
      <c r="A850" s="163" t="s">
        <v>222</v>
      </c>
      <c r="B850" s="163"/>
      <c r="C850" s="163"/>
      <c r="J850" s="165"/>
      <c r="K850" s="166"/>
      <c r="L850" s="166"/>
    </row>
    <row r="851">
      <c r="A851" s="163" t="s">
        <v>222</v>
      </c>
      <c r="B851" s="163"/>
      <c r="C851" s="163"/>
      <c r="J851" s="165"/>
      <c r="K851" s="166"/>
      <c r="L851" s="166"/>
    </row>
    <row r="852">
      <c r="A852" s="163" t="s">
        <v>222</v>
      </c>
      <c r="B852" s="163"/>
      <c r="C852" s="163"/>
      <c r="J852" s="165"/>
      <c r="K852" s="166"/>
      <c r="L852" s="166"/>
    </row>
    <row r="853">
      <c r="A853" s="163" t="s">
        <v>222</v>
      </c>
      <c r="B853" s="163"/>
      <c r="C853" s="163"/>
      <c r="J853" s="165"/>
      <c r="K853" s="166"/>
      <c r="L853" s="166"/>
    </row>
    <row r="854">
      <c r="A854" s="163" t="s">
        <v>222</v>
      </c>
      <c r="B854" s="163"/>
      <c r="C854" s="163"/>
      <c r="J854" s="165"/>
      <c r="K854" s="166"/>
      <c r="L854" s="166"/>
    </row>
    <row r="855">
      <c r="A855" s="163" t="s">
        <v>222</v>
      </c>
      <c r="B855" s="163"/>
      <c r="C855" s="163"/>
      <c r="J855" s="165"/>
      <c r="K855" s="166"/>
      <c r="L855" s="166"/>
    </row>
    <row r="856">
      <c r="A856" s="163" t="s">
        <v>222</v>
      </c>
      <c r="B856" s="163"/>
      <c r="C856" s="163"/>
      <c r="J856" s="165"/>
      <c r="K856" s="166"/>
      <c r="L856" s="166"/>
    </row>
    <row r="857">
      <c r="A857" s="163" t="s">
        <v>222</v>
      </c>
      <c r="B857" s="163"/>
      <c r="C857" s="163"/>
      <c r="J857" s="165"/>
      <c r="K857" s="166"/>
      <c r="L857" s="166"/>
    </row>
    <row r="858">
      <c r="A858" s="163" t="s">
        <v>222</v>
      </c>
      <c r="B858" s="163"/>
      <c r="C858" s="163"/>
      <c r="J858" s="165"/>
      <c r="K858" s="166"/>
      <c r="L858" s="166"/>
    </row>
    <row r="859">
      <c r="A859" s="163" t="s">
        <v>222</v>
      </c>
      <c r="B859" s="163"/>
      <c r="C859" s="163"/>
      <c r="J859" s="165"/>
      <c r="K859" s="166"/>
      <c r="L859" s="166"/>
    </row>
    <row r="860">
      <c r="A860" s="163" t="s">
        <v>222</v>
      </c>
      <c r="B860" s="163"/>
      <c r="C860" s="163"/>
      <c r="J860" s="165"/>
      <c r="K860" s="166"/>
      <c r="L860" s="166"/>
    </row>
    <row r="861">
      <c r="A861" s="163" t="s">
        <v>222</v>
      </c>
      <c r="B861" s="163"/>
      <c r="C861" s="163"/>
      <c r="J861" s="165"/>
      <c r="K861" s="166"/>
      <c r="L861" s="166"/>
    </row>
    <row r="862">
      <c r="A862" s="163" t="s">
        <v>222</v>
      </c>
      <c r="B862" s="163"/>
      <c r="C862" s="163"/>
      <c r="J862" s="165"/>
      <c r="K862" s="166"/>
      <c r="L862" s="166"/>
    </row>
    <row r="863">
      <c r="A863" s="163" t="s">
        <v>222</v>
      </c>
      <c r="B863" s="163"/>
      <c r="C863" s="163"/>
      <c r="J863" s="165"/>
      <c r="K863" s="166"/>
      <c r="L863" s="166"/>
    </row>
    <row r="864">
      <c r="A864" s="163" t="s">
        <v>222</v>
      </c>
      <c r="B864" s="163"/>
      <c r="C864" s="163"/>
      <c r="J864" s="165"/>
      <c r="K864" s="166"/>
      <c r="L864" s="166"/>
    </row>
    <row r="865">
      <c r="A865" s="163" t="s">
        <v>222</v>
      </c>
      <c r="B865" s="163"/>
      <c r="C865" s="163"/>
      <c r="J865" s="165"/>
      <c r="K865" s="166"/>
      <c r="L865" s="166"/>
    </row>
    <row r="866">
      <c r="A866" s="163" t="s">
        <v>222</v>
      </c>
      <c r="B866" s="163"/>
      <c r="C866" s="163"/>
      <c r="J866" s="165"/>
      <c r="K866" s="166"/>
      <c r="L866" s="166"/>
    </row>
    <row r="867">
      <c r="A867" s="163" t="s">
        <v>222</v>
      </c>
      <c r="B867" s="163"/>
      <c r="C867" s="163"/>
      <c r="J867" s="165"/>
      <c r="K867" s="166"/>
      <c r="L867" s="166"/>
    </row>
    <row r="868">
      <c r="A868" s="163" t="s">
        <v>222</v>
      </c>
      <c r="B868" s="163"/>
      <c r="C868" s="163"/>
      <c r="J868" s="165"/>
      <c r="K868" s="166"/>
      <c r="L868" s="166"/>
    </row>
    <row r="869">
      <c r="A869" s="163" t="s">
        <v>222</v>
      </c>
      <c r="B869" s="163"/>
      <c r="C869" s="163"/>
      <c r="J869" s="165"/>
      <c r="K869" s="166"/>
      <c r="L869" s="166"/>
    </row>
    <row r="870">
      <c r="A870" s="163" t="s">
        <v>222</v>
      </c>
      <c r="B870" s="163"/>
      <c r="C870" s="163"/>
      <c r="J870" s="165"/>
      <c r="K870" s="166"/>
      <c r="L870" s="166"/>
    </row>
    <row r="871">
      <c r="A871" s="163" t="s">
        <v>222</v>
      </c>
      <c r="B871" s="163"/>
      <c r="C871" s="163"/>
      <c r="J871" s="165"/>
      <c r="K871" s="166"/>
      <c r="L871" s="166"/>
    </row>
    <row r="872">
      <c r="A872" s="163" t="s">
        <v>222</v>
      </c>
      <c r="B872" s="163"/>
      <c r="C872" s="163"/>
      <c r="J872" s="165"/>
      <c r="K872" s="166"/>
      <c r="L872" s="166"/>
    </row>
    <row r="873">
      <c r="A873" s="163" t="s">
        <v>222</v>
      </c>
      <c r="B873" s="163"/>
      <c r="C873" s="163"/>
      <c r="J873" s="165"/>
      <c r="K873" s="166"/>
      <c r="L873" s="166"/>
    </row>
    <row r="874">
      <c r="A874" s="163" t="s">
        <v>222</v>
      </c>
      <c r="B874" s="163"/>
      <c r="C874" s="163"/>
      <c r="J874" s="165"/>
      <c r="K874" s="166"/>
      <c r="L874" s="166"/>
    </row>
    <row r="875">
      <c r="A875" s="163" t="s">
        <v>222</v>
      </c>
      <c r="B875" s="163"/>
      <c r="C875" s="163"/>
      <c r="J875" s="165"/>
      <c r="K875" s="166"/>
      <c r="L875" s="166"/>
    </row>
    <row r="876">
      <c r="A876" s="163" t="s">
        <v>222</v>
      </c>
      <c r="B876" s="163"/>
      <c r="C876" s="163"/>
      <c r="J876" s="165"/>
      <c r="K876" s="166"/>
      <c r="L876" s="166"/>
    </row>
    <row r="877">
      <c r="A877" s="163" t="s">
        <v>222</v>
      </c>
      <c r="B877" s="163"/>
      <c r="C877" s="163"/>
      <c r="J877" s="165"/>
      <c r="K877" s="166"/>
      <c r="L877" s="166"/>
    </row>
    <row r="878">
      <c r="A878" s="163" t="s">
        <v>222</v>
      </c>
      <c r="B878" s="163"/>
      <c r="C878" s="163"/>
      <c r="J878" s="165"/>
      <c r="K878" s="166"/>
      <c r="L878" s="166"/>
    </row>
    <row r="879">
      <c r="A879" s="163" t="s">
        <v>222</v>
      </c>
      <c r="B879" s="163"/>
      <c r="C879" s="163"/>
      <c r="J879" s="165"/>
      <c r="K879" s="166"/>
      <c r="L879" s="166"/>
    </row>
    <row r="880">
      <c r="A880" s="163" t="s">
        <v>222</v>
      </c>
      <c r="B880" s="163"/>
      <c r="C880" s="163"/>
      <c r="J880" s="165"/>
      <c r="K880" s="166"/>
      <c r="L880" s="166"/>
    </row>
    <row r="881">
      <c r="A881" s="163" t="s">
        <v>222</v>
      </c>
      <c r="B881" s="163"/>
      <c r="C881" s="163"/>
      <c r="J881" s="165"/>
      <c r="K881" s="166"/>
      <c r="L881" s="166"/>
    </row>
    <row r="882">
      <c r="A882" s="163" t="s">
        <v>222</v>
      </c>
      <c r="B882" s="163"/>
      <c r="C882" s="163"/>
      <c r="J882" s="165"/>
      <c r="K882" s="166"/>
      <c r="L882" s="166"/>
    </row>
    <row r="883">
      <c r="A883" s="163" t="s">
        <v>222</v>
      </c>
      <c r="B883" s="163"/>
      <c r="C883" s="163"/>
      <c r="J883" s="165"/>
      <c r="K883" s="166"/>
      <c r="L883" s="166"/>
    </row>
    <row r="884">
      <c r="A884" s="163" t="s">
        <v>222</v>
      </c>
      <c r="B884" s="163"/>
      <c r="C884" s="163"/>
      <c r="J884" s="165"/>
      <c r="K884" s="166"/>
      <c r="L884" s="166"/>
    </row>
    <row r="885">
      <c r="A885" s="163" t="s">
        <v>222</v>
      </c>
      <c r="B885" s="163"/>
      <c r="C885" s="163"/>
      <c r="J885" s="165"/>
      <c r="K885" s="166"/>
      <c r="L885" s="166"/>
    </row>
    <row r="886">
      <c r="A886" s="163" t="s">
        <v>222</v>
      </c>
      <c r="B886" s="163"/>
      <c r="C886" s="163"/>
      <c r="J886" s="165"/>
      <c r="K886" s="166"/>
      <c r="L886" s="166"/>
    </row>
    <row r="887">
      <c r="A887" s="163" t="s">
        <v>222</v>
      </c>
      <c r="B887" s="163"/>
      <c r="C887" s="163"/>
      <c r="J887" s="165"/>
      <c r="K887" s="166"/>
      <c r="L887" s="166"/>
    </row>
    <row r="888">
      <c r="A888" s="163" t="s">
        <v>222</v>
      </c>
      <c r="B888" s="163"/>
      <c r="C888" s="163"/>
      <c r="J888" s="165"/>
      <c r="K888" s="166"/>
      <c r="L888" s="166"/>
    </row>
    <row r="889">
      <c r="A889" s="163" t="s">
        <v>222</v>
      </c>
      <c r="B889" s="163"/>
      <c r="C889" s="163"/>
      <c r="J889" s="165"/>
      <c r="K889" s="166"/>
      <c r="L889" s="166"/>
    </row>
    <row r="890">
      <c r="A890" s="163" t="s">
        <v>222</v>
      </c>
      <c r="B890" s="163"/>
      <c r="C890" s="163"/>
      <c r="J890" s="165"/>
      <c r="K890" s="166"/>
      <c r="L890" s="166"/>
    </row>
    <row r="891">
      <c r="A891" s="163" t="s">
        <v>222</v>
      </c>
      <c r="B891" s="163"/>
      <c r="C891" s="163"/>
      <c r="J891" s="165"/>
      <c r="K891" s="166"/>
      <c r="L891" s="166"/>
    </row>
    <row r="892">
      <c r="A892" s="163" t="s">
        <v>222</v>
      </c>
      <c r="B892" s="163"/>
      <c r="C892" s="163"/>
      <c r="J892" s="165"/>
      <c r="K892" s="166"/>
      <c r="L892" s="166"/>
    </row>
    <row r="893">
      <c r="A893" s="163" t="s">
        <v>222</v>
      </c>
      <c r="B893" s="163"/>
      <c r="C893" s="163"/>
      <c r="J893" s="165"/>
      <c r="K893" s="166"/>
      <c r="L893" s="166"/>
    </row>
    <row r="894">
      <c r="A894" s="163" t="s">
        <v>222</v>
      </c>
      <c r="B894" s="163"/>
      <c r="C894" s="163"/>
      <c r="J894" s="165"/>
      <c r="K894" s="166"/>
      <c r="L894" s="166"/>
    </row>
    <row r="895">
      <c r="A895" s="163" t="s">
        <v>222</v>
      </c>
      <c r="B895" s="163"/>
      <c r="C895" s="163"/>
      <c r="J895" s="165"/>
      <c r="K895" s="166"/>
      <c r="L895" s="166"/>
    </row>
    <row r="896">
      <c r="A896" s="163" t="s">
        <v>222</v>
      </c>
      <c r="B896" s="163"/>
      <c r="C896" s="163"/>
      <c r="J896" s="165"/>
      <c r="K896" s="166"/>
      <c r="L896" s="166"/>
    </row>
    <row r="897">
      <c r="A897" s="163" t="s">
        <v>222</v>
      </c>
      <c r="B897" s="163"/>
      <c r="C897" s="163"/>
      <c r="J897" s="165"/>
      <c r="K897" s="166"/>
      <c r="L897" s="166"/>
    </row>
    <row r="898">
      <c r="A898" s="163" t="s">
        <v>222</v>
      </c>
      <c r="B898" s="163"/>
      <c r="C898" s="163"/>
      <c r="J898" s="165"/>
      <c r="K898" s="166"/>
      <c r="L898" s="166"/>
    </row>
    <row r="899">
      <c r="A899" s="163" t="s">
        <v>222</v>
      </c>
      <c r="B899" s="163"/>
      <c r="C899" s="163"/>
      <c r="J899" s="165"/>
      <c r="K899" s="166"/>
      <c r="L899" s="166"/>
    </row>
    <row r="900">
      <c r="A900" s="163" t="s">
        <v>222</v>
      </c>
      <c r="B900" s="163"/>
      <c r="C900" s="163"/>
      <c r="J900" s="165"/>
      <c r="K900" s="166"/>
      <c r="L900" s="166"/>
    </row>
    <row r="901">
      <c r="A901" s="163" t="s">
        <v>222</v>
      </c>
      <c r="B901" s="163"/>
      <c r="C901" s="163"/>
      <c r="J901" s="165"/>
      <c r="K901" s="166"/>
      <c r="L901" s="166"/>
    </row>
    <row r="902">
      <c r="A902" s="163" t="s">
        <v>222</v>
      </c>
      <c r="B902" s="163"/>
      <c r="C902" s="163"/>
      <c r="J902" s="165"/>
      <c r="K902" s="166"/>
      <c r="L902" s="166"/>
    </row>
    <row r="903">
      <c r="A903" s="163" t="s">
        <v>222</v>
      </c>
      <c r="B903" s="163"/>
      <c r="C903" s="163"/>
      <c r="J903" s="165"/>
      <c r="K903" s="166"/>
      <c r="L903" s="166"/>
    </row>
    <row r="904">
      <c r="A904" s="163" t="s">
        <v>222</v>
      </c>
      <c r="B904" s="163"/>
      <c r="C904" s="163"/>
      <c r="J904" s="165"/>
      <c r="K904" s="166"/>
      <c r="L904" s="166"/>
    </row>
    <row r="905">
      <c r="A905" s="163" t="s">
        <v>222</v>
      </c>
      <c r="B905" s="163"/>
      <c r="C905" s="163"/>
      <c r="J905" s="165"/>
      <c r="K905" s="166"/>
      <c r="L905" s="166"/>
    </row>
    <row r="906">
      <c r="A906" s="163" t="s">
        <v>222</v>
      </c>
      <c r="B906" s="163"/>
      <c r="C906" s="163"/>
      <c r="J906" s="165"/>
      <c r="K906" s="166"/>
      <c r="L906" s="166"/>
    </row>
    <row r="907">
      <c r="A907" s="163" t="s">
        <v>222</v>
      </c>
      <c r="B907" s="163"/>
      <c r="C907" s="163"/>
      <c r="J907" s="165"/>
      <c r="K907" s="166"/>
      <c r="L907" s="166"/>
    </row>
    <row r="908">
      <c r="A908" s="163" t="s">
        <v>222</v>
      </c>
      <c r="B908" s="163"/>
      <c r="C908" s="163"/>
      <c r="J908" s="165"/>
      <c r="K908" s="166"/>
      <c r="L908" s="166"/>
    </row>
    <row r="909">
      <c r="A909" s="163" t="s">
        <v>222</v>
      </c>
      <c r="B909" s="163"/>
      <c r="C909" s="163"/>
      <c r="J909" s="165"/>
      <c r="K909" s="166"/>
      <c r="L909" s="166"/>
    </row>
    <row r="910">
      <c r="A910" s="163" t="s">
        <v>222</v>
      </c>
      <c r="B910" s="163"/>
      <c r="C910" s="163"/>
      <c r="J910" s="165"/>
      <c r="K910" s="166"/>
      <c r="L910" s="166"/>
    </row>
    <row r="911">
      <c r="A911" s="163" t="s">
        <v>222</v>
      </c>
      <c r="B911" s="163"/>
      <c r="C911" s="163"/>
      <c r="J911" s="165"/>
      <c r="K911" s="166"/>
      <c r="L911" s="166"/>
    </row>
    <row r="912">
      <c r="A912" s="163" t="s">
        <v>222</v>
      </c>
      <c r="B912" s="163"/>
      <c r="C912" s="163"/>
      <c r="J912" s="165"/>
      <c r="K912" s="166"/>
      <c r="L912" s="166"/>
    </row>
    <row r="913">
      <c r="A913" s="163" t="s">
        <v>222</v>
      </c>
      <c r="B913" s="163"/>
      <c r="C913" s="163"/>
      <c r="J913" s="165"/>
      <c r="K913" s="166"/>
      <c r="L913" s="166"/>
    </row>
    <row r="914">
      <c r="A914" s="163" t="s">
        <v>222</v>
      </c>
      <c r="B914" s="163"/>
      <c r="C914" s="163"/>
      <c r="J914" s="165"/>
      <c r="K914" s="166"/>
      <c r="L914" s="166"/>
    </row>
    <row r="915">
      <c r="A915" s="163" t="s">
        <v>222</v>
      </c>
      <c r="B915" s="163"/>
      <c r="C915" s="163"/>
      <c r="J915" s="165"/>
      <c r="K915" s="166"/>
      <c r="L915" s="166"/>
    </row>
    <row r="916">
      <c r="A916" s="163" t="s">
        <v>222</v>
      </c>
      <c r="B916" s="163"/>
      <c r="C916" s="163"/>
      <c r="J916" s="165"/>
      <c r="K916" s="166"/>
      <c r="L916" s="166"/>
    </row>
    <row r="917">
      <c r="A917" s="163" t="s">
        <v>222</v>
      </c>
      <c r="B917" s="163"/>
      <c r="C917" s="163"/>
      <c r="J917" s="165"/>
      <c r="K917" s="166"/>
      <c r="L917" s="166"/>
    </row>
    <row r="918">
      <c r="A918" s="163" t="s">
        <v>222</v>
      </c>
      <c r="B918" s="163"/>
      <c r="C918" s="163"/>
      <c r="J918" s="165"/>
      <c r="K918" s="166"/>
      <c r="L918" s="166"/>
    </row>
    <row r="919">
      <c r="A919" s="163" t="s">
        <v>222</v>
      </c>
      <c r="B919" s="163"/>
      <c r="C919" s="163"/>
      <c r="J919" s="165"/>
      <c r="K919" s="166"/>
      <c r="L919" s="166"/>
    </row>
    <row r="920">
      <c r="A920" s="163" t="s">
        <v>222</v>
      </c>
      <c r="B920" s="163"/>
      <c r="C920" s="163"/>
      <c r="J920" s="165"/>
      <c r="K920" s="166"/>
      <c r="L920" s="166"/>
    </row>
    <row r="921">
      <c r="A921" s="163" t="s">
        <v>222</v>
      </c>
      <c r="B921" s="163"/>
      <c r="C921" s="163"/>
      <c r="J921" s="165"/>
      <c r="K921" s="166"/>
      <c r="L921" s="166"/>
    </row>
    <row r="922">
      <c r="A922" s="163" t="s">
        <v>222</v>
      </c>
      <c r="B922" s="163"/>
      <c r="C922" s="163"/>
      <c r="J922" s="165"/>
      <c r="K922" s="166"/>
      <c r="L922" s="166"/>
    </row>
    <row r="923">
      <c r="A923" s="163" t="s">
        <v>222</v>
      </c>
      <c r="B923" s="163"/>
      <c r="C923" s="163"/>
      <c r="J923" s="165"/>
      <c r="K923" s="166"/>
      <c r="L923" s="166"/>
    </row>
    <row r="924">
      <c r="A924" s="163" t="s">
        <v>222</v>
      </c>
      <c r="B924" s="163"/>
      <c r="C924" s="163"/>
      <c r="J924" s="165"/>
      <c r="K924" s="166"/>
      <c r="L924" s="166"/>
    </row>
    <row r="925">
      <c r="A925" s="163" t="s">
        <v>222</v>
      </c>
      <c r="B925" s="163"/>
      <c r="C925" s="163"/>
      <c r="J925" s="165"/>
      <c r="K925" s="166"/>
      <c r="L925" s="166"/>
    </row>
    <row r="926">
      <c r="A926" s="163" t="s">
        <v>222</v>
      </c>
      <c r="B926" s="163"/>
      <c r="C926" s="163"/>
      <c r="J926" s="165"/>
      <c r="K926" s="166"/>
      <c r="L926" s="166"/>
    </row>
    <row r="927">
      <c r="A927" s="163" t="s">
        <v>222</v>
      </c>
      <c r="B927" s="163"/>
      <c r="C927" s="163"/>
      <c r="J927" s="165"/>
      <c r="K927" s="166"/>
      <c r="L927" s="166"/>
    </row>
    <row r="928">
      <c r="A928" s="163" t="s">
        <v>222</v>
      </c>
      <c r="B928" s="163"/>
      <c r="C928" s="163"/>
      <c r="J928" s="165"/>
      <c r="K928" s="166"/>
      <c r="L928" s="166"/>
    </row>
    <row r="929">
      <c r="A929" s="163" t="s">
        <v>222</v>
      </c>
      <c r="B929" s="163"/>
      <c r="C929" s="163"/>
      <c r="J929" s="165"/>
      <c r="K929" s="166"/>
      <c r="L929" s="166"/>
    </row>
    <row r="930">
      <c r="A930" s="163" t="s">
        <v>222</v>
      </c>
      <c r="B930" s="163"/>
      <c r="C930" s="163"/>
      <c r="J930" s="165"/>
      <c r="K930" s="166"/>
      <c r="L930" s="166"/>
    </row>
    <row r="931">
      <c r="A931" s="163" t="s">
        <v>222</v>
      </c>
      <c r="B931" s="163"/>
      <c r="C931" s="163"/>
      <c r="J931" s="165"/>
      <c r="K931" s="166"/>
      <c r="L931" s="166"/>
    </row>
    <row r="932">
      <c r="A932" s="163" t="s">
        <v>222</v>
      </c>
      <c r="B932" s="163"/>
      <c r="C932" s="163"/>
      <c r="J932" s="165"/>
      <c r="K932" s="166"/>
      <c r="L932" s="166"/>
    </row>
    <row r="933">
      <c r="A933" s="163" t="s">
        <v>222</v>
      </c>
      <c r="B933" s="163"/>
      <c r="C933" s="163"/>
      <c r="J933" s="165"/>
      <c r="K933" s="166"/>
      <c r="L933" s="166"/>
    </row>
    <row r="934">
      <c r="A934" s="163" t="s">
        <v>222</v>
      </c>
      <c r="B934" s="163"/>
      <c r="C934" s="163"/>
      <c r="J934" s="165"/>
      <c r="K934" s="166"/>
      <c r="L934" s="166"/>
    </row>
    <row r="935">
      <c r="A935" s="163" t="s">
        <v>222</v>
      </c>
      <c r="B935" s="163"/>
      <c r="C935" s="163"/>
      <c r="J935" s="165"/>
      <c r="K935" s="166"/>
      <c r="L935" s="166"/>
    </row>
    <row r="936">
      <c r="A936" s="163" t="s">
        <v>222</v>
      </c>
      <c r="B936" s="163"/>
      <c r="C936" s="163"/>
      <c r="J936" s="165"/>
      <c r="K936" s="166"/>
      <c r="L936" s="166"/>
    </row>
    <row r="937">
      <c r="A937" s="163" t="s">
        <v>222</v>
      </c>
      <c r="B937" s="163"/>
      <c r="C937" s="163"/>
      <c r="J937" s="165"/>
      <c r="K937" s="166"/>
      <c r="L937" s="166"/>
    </row>
    <row r="938">
      <c r="A938" s="163" t="s">
        <v>222</v>
      </c>
      <c r="B938" s="163"/>
      <c r="C938" s="163"/>
      <c r="J938" s="165"/>
      <c r="K938" s="166"/>
      <c r="L938" s="166"/>
    </row>
    <row r="939">
      <c r="A939" s="163" t="s">
        <v>222</v>
      </c>
      <c r="B939" s="163"/>
      <c r="C939" s="163"/>
      <c r="J939" s="165"/>
      <c r="K939" s="166"/>
      <c r="L939" s="166"/>
    </row>
    <row r="940">
      <c r="A940" s="163" t="s">
        <v>222</v>
      </c>
      <c r="B940" s="163"/>
      <c r="C940" s="163"/>
      <c r="J940" s="165"/>
      <c r="K940" s="166"/>
      <c r="L940" s="166"/>
    </row>
    <row r="941">
      <c r="A941" s="163" t="s">
        <v>222</v>
      </c>
      <c r="B941" s="163"/>
      <c r="C941" s="163"/>
      <c r="J941" s="165"/>
      <c r="K941" s="166"/>
      <c r="L941" s="166"/>
    </row>
    <row r="942">
      <c r="A942" s="163" t="s">
        <v>222</v>
      </c>
      <c r="B942" s="163"/>
      <c r="C942" s="163"/>
      <c r="J942" s="165"/>
      <c r="K942" s="166"/>
      <c r="L942" s="166"/>
    </row>
    <row r="943">
      <c r="A943" s="163" t="s">
        <v>222</v>
      </c>
      <c r="B943" s="163"/>
      <c r="C943" s="163"/>
      <c r="J943" s="165"/>
      <c r="K943" s="166"/>
      <c r="L943" s="166"/>
    </row>
    <row r="944">
      <c r="A944" s="163" t="s">
        <v>222</v>
      </c>
      <c r="B944" s="163"/>
      <c r="C944" s="163"/>
      <c r="J944" s="165"/>
      <c r="K944" s="166"/>
      <c r="L944" s="166"/>
    </row>
    <row r="945">
      <c r="A945" s="163" t="s">
        <v>222</v>
      </c>
      <c r="B945" s="163"/>
      <c r="C945" s="163"/>
      <c r="J945" s="165"/>
      <c r="K945" s="166"/>
      <c r="L945" s="166"/>
    </row>
    <row r="946">
      <c r="A946" s="163" t="s">
        <v>222</v>
      </c>
      <c r="B946" s="163"/>
      <c r="C946" s="163"/>
      <c r="J946" s="165"/>
      <c r="K946" s="166"/>
      <c r="L946" s="166"/>
    </row>
    <row r="947">
      <c r="A947" s="163" t="s">
        <v>222</v>
      </c>
      <c r="B947" s="163"/>
      <c r="C947" s="163"/>
      <c r="J947" s="165"/>
      <c r="K947" s="166"/>
      <c r="L947" s="166"/>
    </row>
    <row r="948">
      <c r="A948" s="163" t="s">
        <v>222</v>
      </c>
      <c r="B948" s="163"/>
      <c r="C948" s="163"/>
      <c r="J948" s="165"/>
      <c r="K948" s="166"/>
      <c r="L948" s="166"/>
    </row>
    <row r="949">
      <c r="A949" s="163" t="s">
        <v>222</v>
      </c>
      <c r="B949" s="163"/>
      <c r="C949" s="163"/>
      <c r="J949" s="165"/>
      <c r="K949" s="166"/>
      <c r="L949" s="166"/>
    </row>
    <row r="950">
      <c r="A950" s="163" t="s">
        <v>222</v>
      </c>
      <c r="B950" s="163"/>
      <c r="C950" s="163"/>
      <c r="J950" s="165"/>
      <c r="K950" s="166"/>
      <c r="L950" s="166"/>
    </row>
    <row r="951">
      <c r="A951" s="163" t="s">
        <v>222</v>
      </c>
      <c r="B951" s="163"/>
      <c r="C951" s="163"/>
      <c r="J951" s="165"/>
      <c r="K951" s="166"/>
      <c r="L951" s="166"/>
    </row>
    <row r="952">
      <c r="A952" s="163" t="s">
        <v>222</v>
      </c>
      <c r="B952" s="163"/>
      <c r="C952" s="163"/>
      <c r="J952" s="165"/>
      <c r="K952" s="166"/>
      <c r="L952" s="166"/>
    </row>
    <row r="953">
      <c r="A953" s="163" t="s">
        <v>222</v>
      </c>
      <c r="B953" s="163"/>
      <c r="C953" s="163"/>
      <c r="J953" s="165"/>
      <c r="K953" s="166"/>
      <c r="L953" s="166"/>
    </row>
    <row r="954">
      <c r="A954" s="163" t="s">
        <v>222</v>
      </c>
      <c r="B954" s="163"/>
      <c r="C954" s="163"/>
      <c r="J954" s="165"/>
      <c r="K954" s="166"/>
      <c r="L954" s="166"/>
    </row>
    <row r="955">
      <c r="A955" s="163" t="s">
        <v>222</v>
      </c>
      <c r="B955" s="163"/>
      <c r="C955" s="163"/>
      <c r="J955" s="165"/>
      <c r="K955" s="166"/>
      <c r="L955" s="166"/>
    </row>
    <row r="956">
      <c r="A956" s="163" t="s">
        <v>222</v>
      </c>
      <c r="B956" s="163"/>
      <c r="C956" s="163"/>
      <c r="J956" s="165"/>
      <c r="K956" s="166"/>
      <c r="L956" s="166"/>
    </row>
    <row r="957">
      <c r="A957" s="163" t="s">
        <v>222</v>
      </c>
      <c r="B957" s="163"/>
      <c r="C957" s="163"/>
      <c r="J957" s="165"/>
      <c r="K957" s="166"/>
      <c r="L957" s="166"/>
    </row>
    <row r="958">
      <c r="A958" s="163" t="s">
        <v>222</v>
      </c>
      <c r="B958" s="163"/>
      <c r="C958" s="163"/>
      <c r="J958" s="165"/>
      <c r="K958" s="166"/>
      <c r="L958" s="166"/>
    </row>
    <row r="959">
      <c r="A959" s="163" t="s">
        <v>222</v>
      </c>
      <c r="B959" s="163"/>
      <c r="C959" s="163"/>
      <c r="J959" s="165"/>
      <c r="K959" s="166"/>
      <c r="L959" s="166"/>
    </row>
    <row r="960">
      <c r="A960" s="163" t="s">
        <v>222</v>
      </c>
      <c r="B960" s="163"/>
      <c r="C960" s="163"/>
      <c r="J960" s="165"/>
      <c r="K960" s="166"/>
      <c r="L960" s="166"/>
    </row>
    <row r="961">
      <c r="A961" s="163" t="s">
        <v>222</v>
      </c>
      <c r="B961" s="163"/>
      <c r="C961" s="163"/>
      <c r="J961" s="165"/>
      <c r="K961" s="166"/>
      <c r="L961" s="166"/>
    </row>
    <row r="962">
      <c r="A962" s="163" t="s">
        <v>222</v>
      </c>
      <c r="B962" s="163"/>
      <c r="C962" s="163"/>
      <c r="J962" s="165"/>
      <c r="K962" s="166"/>
      <c r="L962" s="166"/>
    </row>
    <row r="963">
      <c r="A963" s="163" t="s">
        <v>222</v>
      </c>
      <c r="B963" s="163"/>
      <c r="C963" s="163"/>
      <c r="J963" s="165"/>
      <c r="K963" s="166"/>
      <c r="L963" s="166"/>
    </row>
    <row r="964">
      <c r="A964" s="163" t="s">
        <v>222</v>
      </c>
      <c r="B964" s="163"/>
      <c r="C964" s="163"/>
      <c r="J964" s="165"/>
      <c r="K964" s="166"/>
      <c r="L964" s="166"/>
    </row>
    <row r="965">
      <c r="A965" s="163" t="s">
        <v>222</v>
      </c>
      <c r="B965" s="163"/>
      <c r="C965" s="163"/>
      <c r="J965" s="165"/>
      <c r="K965" s="166"/>
      <c r="L965" s="166"/>
    </row>
    <row r="966">
      <c r="A966" s="163" t="s">
        <v>222</v>
      </c>
      <c r="B966" s="163"/>
      <c r="C966" s="163"/>
      <c r="J966" s="165"/>
      <c r="K966" s="166"/>
      <c r="L966" s="166"/>
    </row>
    <row r="967">
      <c r="A967" s="163" t="s">
        <v>222</v>
      </c>
      <c r="B967" s="163"/>
      <c r="C967" s="163"/>
      <c r="J967" s="165"/>
      <c r="K967" s="166"/>
      <c r="L967" s="166"/>
    </row>
    <row r="968">
      <c r="A968" s="163" t="s">
        <v>222</v>
      </c>
      <c r="B968" s="163"/>
      <c r="C968" s="163"/>
      <c r="J968" s="165"/>
      <c r="K968" s="166"/>
      <c r="L968" s="166"/>
    </row>
    <row r="969">
      <c r="A969" s="163" t="s">
        <v>222</v>
      </c>
      <c r="B969" s="163"/>
      <c r="C969" s="163"/>
      <c r="J969" s="165"/>
      <c r="K969" s="166"/>
      <c r="L969" s="166"/>
    </row>
    <row r="970">
      <c r="A970" s="163" t="s">
        <v>222</v>
      </c>
      <c r="B970" s="163"/>
      <c r="C970" s="163"/>
      <c r="J970" s="165"/>
      <c r="K970" s="166"/>
      <c r="L970" s="166"/>
    </row>
    <row r="971">
      <c r="A971" s="163" t="s">
        <v>222</v>
      </c>
      <c r="B971" s="163"/>
      <c r="C971" s="163"/>
      <c r="J971" s="165"/>
      <c r="K971" s="166"/>
      <c r="L971" s="166"/>
    </row>
    <row r="972">
      <c r="A972" s="163" t="s">
        <v>222</v>
      </c>
      <c r="B972" s="163"/>
      <c r="C972" s="163"/>
      <c r="J972" s="165"/>
      <c r="K972" s="166"/>
      <c r="L972" s="166"/>
    </row>
    <row r="973">
      <c r="A973" s="163" t="s">
        <v>222</v>
      </c>
      <c r="B973" s="163"/>
      <c r="C973" s="163"/>
      <c r="J973" s="165"/>
      <c r="K973" s="166"/>
      <c r="L973" s="166"/>
    </row>
    <row r="974">
      <c r="A974" s="163" t="s">
        <v>222</v>
      </c>
      <c r="B974" s="163"/>
      <c r="C974" s="163"/>
      <c r="J974" s="165"/>
      <c r="K974" s="166"/>
      <c r="L974" s="166"/>
    </row>
    <row r="975">
      <c r="A975" s="163" t="s">
        <v>222</v>
      </c>
      <c r="B975" s="163"/>
      <c r="C975" s="163"/>
      <c r="J975" s="165"/>
      <c r="K975" s="166"/>
      <c r="L975" s="166"/>
    </row>
    <row r="976">
      <c r="A976" s="163" t="s">
        <v>222</v>
      </c>
      <c r="B976" s="163"/>
      <c r="C976" s="163"/>
      <c r="J976" s="165"/>
      <c r="K976" s="166"/>
      <c r="L976" s="166"/>
    </row>
    <row r="977">
      <c r="A977" s="163" t="s">
        <v>222</v>
      </c>
      <c r="B977" s="163"/>
      <c r="C977" s="163"/>
      <c r="J977" s="165"/>
      <c r="K977" s="166"/>
      <c r="L977" s="166"/>
    </row>
    <row r="978">
      <c r="A978" s="163" t="s">
        <v>222</v>
      </c>
      <c r="B978" s="163"/>
      <c r="C978" s="163"/>
      <c r="J978" s="165"/>
      <c r="K978" s="166"/>
      <c r="L978" s="166"/>
    </row>
    <row r="979">
      <c r="A979" s="163" t="s">
        <v>222</v>
      </c>
      <c r="B979" s="163"/>
      <c r="C979" s="163"/>
      <c r="J979" s="165"/>
      <c r="K979" s="166"/>
      <c r="L979" s="166"/>
    </row>
    <row r="980">
      <c r="A980" s="163" t="s">
        <v>222</v>
      </c>
      <c r="B980" s="163"/>
      <c r="C980" s="163"/>
      <c r="J980" s="165"/>
      <c r="K980" s="166"/>
      <c r="L980" s="166"/>
    </row>
    <row r="981">
      <c r="A981" s="163" t="s">
        <v>222</v>
      </c>
      <c r="B981" s="163"/>
      <c r="C981" s="163"/>
      <c r="J981" s="165"/>
      <c r="K981" s="166"/>
      <c r="L981" s="166"/>
    </row>
    <row r="982">
      <c r="A982" s="163" t="s">
        <v>222</v>
      </c>
      <c r="B982" s="163"/>
      <c r="C982" s="163"/>
      <c r="J982" s="165"/>
      <c r="K982" s="166"/>
      <c r="L982" s="166"/>
    </row>
    <row r="983">
      <c r="A983" s="163" t="s">
        <v>222</v>
      </c>
      <c r="B983" s="163"/>
      <c r="C983" s="163"/>
      <c r="J983" s="165"/>
      <c r="K983" s="166"/>
      <c r="L983" s="166"/>
    </row>
    <row r="984">
      <c r="A984" s="163" t="s">
        <v>222</v>
      </c>
      <c r="B984" s="163"/>
      <c r="C984" s="163"/>
      <c r="J984" s="165"/>
      <c r="K984" s="166"/>
      <c r="L984" s="166"/>
    </row>
    <row r="985">
      <c r="A985" s="163" t="s">
        <v>222</v>
      </c>
      <c r="B985" s="163"/>
      <c r="C985" s="163"/>
      <c r="J985" s="165"/>
      <c r="K985" s="166"/>
      <c r="L985" s="166"/>
    </row>
    <row r="986">
      <c r="A986" s="163" t="s">
        <v>222</v>
      </c>
      <c r="B986" s="163"/>
      <c r="C986" s="163"/>
      <c r="J986" s="165"/>
      <c r="K986" s="166"/>
      <c r="L986" s="166"/>
    </row>
    <row r="987">
      <c r="A987" s="163" t="s">
        <v>222</v>
      </c>
      <c r="B987" s="163"/>
      <c r="C987" s="163"/>
      <c r="J987" s="165"/>
      <c r="K987" s="166"/>
      <c r="L987" s="166"/>
    </row>
    <row r="988">
      <c r="A988" s="163" t="s">
        <v>222</v>
      </c>
      <c r="B988" s="163"/>
      <c r="C988" s="163"/>
      <c r="J988" s="165"/>
      <c r="K988" s="166"/>
      <c r="L988" s="166"/>
    </row>
    <row r="989">
      <c r="A989" s="163" t="s">
        <v>222</v>
      </c>
      <c r="B989" s="163"/>
      <c r="C989" s="163"/>
      <c r="J989" s="165"/>
      <c r="K989" s="166"/>
      <c r="L989" s="166"/>
    </row>
    <row r="990">
      <c r="A990" s="163" t="s">
        <v>222</v>
      </c>
      <c r="B990" s="163"/>
      <c r="C990" s="163"/>
      <c r="J990" s="165"/>
      <c r="K990" s="166"/>
      <c r="L990" s="166"/>
    </row>
    <row r="991">
      <c r="A991" s="163" t="s">
        <v>222</v>
      </c>
      <c r="B991" s="163"/>
      <c r="C991" s="163"/>
      <c r="J991" s="165"/>
      <c r="K991" s="166"/>
      <c r="L991" s="166"/>
    </row>
    <row r="992">
      <c r="A992" s="163" t="s">
        <v>222</v>
      </c>
      <c r="B992" s="163"/>
      <c r="C992" s="163"/>
      <c r="J992" s="165"/>
      <c r="K992" s="166"/>
      <c r="L992" s="166"/>
    </row>
    <row r="993">
      <c r="A993" s="163" t="s">
        <v>222</v>
      </c>
      <c r="B993" s="163"/>
      <c r="C993" s="163"/>
      <c r="J993" s="165"/>
      <c r="K993" s="166"/>
      <c r="L993" s="166"/>
    </row>
    <row r="994">
      <c r="A994" s="163" t="s">
        <v>222</v>
      </c>
      <c r="B994" s="163"/>
      <c r="C994" s="163"/>
      <c r="J994" s="165"/>
      <c r="K994" s="166"/>
      <c r="L994" s="166"/>
    </row>
    <row r="995">
      <c r="A995" s="163" t="s">
        <v>222</v>
      </c>
      <c r="B995" s="163"/>
      <c r="C995" s="163"/>
      <c r="J995" s="165"/>
      <c r="K995" s="166"/>
      <c r="L995" s="166"/>
    </row>
    <row r="996">
      <c r="A996" s="163" t="s">
        <v>222</v>
      </c>
      <c r="B996" s="163"/>
      <c r="C996" s="163"/>
      <c r="J996" s="165"/>
      <c r="K996" s="166"/>
      <c r="L996" s="166"/>
    </row>
    <row r="997">
      <c r="A997" s="163" t="s">
        <v>222</v>
      </c>
      <c r="B997" s="163"/>
      <c r="C997" s="163"/>
      <c r="J997" s="165"/>
      <c r="K997" s="166"/>
      <c r="L997" s="166"/>
    </row>
    <row r="998">
      <c r="A998" s="163" t="s">
        <v>222</v>
      </c>
      <c r="B998" s="163"/>
      <c r="C998" s="163"/>
      <c r="J998" s="165"/>
      <c r="K998" s="166"/>
      <c r="L998" s="166"/>
    </row>
    <row r="999">
      <c r="A999" s="163" t="s">
        <v>222</v>
      </c>
      <c r="B999" s="163"/>
      <c r="C999" s="163"/>
      <c r="J999" s="165"/>
      <c r="K999" s="166"/>
      <c r="L999" s="166"/>
    </row>
    <row r="1000">
      <c r="A1000" s="163" t="s">
        <v>222</v>
      </c>
      <c r="B1000" s="163"/>
      <c r="C1000" s="163"/>
      <c r="J1000" s="165"/>
      <c r="K1000" s="166"/>
      <c r="L1000" s="166"/>
    </row>
    <row r="1001">
      <c r="A1001" s="163" t="s">
        <v>222</v>
      </c>
      <c r="B1001" s="163"/>
      <c r="C1001" s="163"/>
      <c r="J1001" s="165"/>
      <c r="K1001" s="166"/>
      <c r="L1001" s="166"/>
    </row>
    <row r="1002">
      <c r="A1002" s="163" t="s">
        <v>222</v>
      </c>
      <c r="B1002" s="163"/>
      <c r="C1002" s="163"/>
      <c r="J1002" s="165"/>
      <c r="K1002" s="166"/>
      <c r="L1002" s="166"/>
    </row>
    <row r="1003">
      <c r="A1003" s="163" t="s">
        <v>222</v>
      </c>
      <c r="B1003" s="163"/>
      <c r="C1003" s="163"/>
      <c r="J1003" s="165"/>
      <c r="K1003" s="166"/>
      <c r="L1003" s="166"/>
    </row>
    <row r="1004">
      <c r="A1004" s="163" t="s">
        <v>222</v>
      </c>
      <c r="B1004" s="163"/>
      <c r="C1004" s="163"/>
      <c r="J1004" s="165"/>
      <c r="K1004" s="166"/>
      <c r="L1004" s="166"/>
    </row>
    <row r="1005">
      <c r="A1005" s="163" t="s">
        <v>222</v>
      </c>
      <c r="B1005" s="163"/>
      <c r="C1005" s="163"/>
      <c r="J1005" s="165"/>
      <c r="K1005" s="166"/>
      <c r="L1005" s="166"/>
    </row>
    <row r="1006">
      <c r="A1006" s="163" t="s">
        <v>222</v>
      </c>
      <c r="B1006" s="163"/>
      <c r="C1006" s="163"/>
      <c r="J1006" s="165"/>
      <c r="K1006" s="166"/>
      <c r="L1006" s="166"/>
    </row>
    <row r="1007">
      <c r="A1007" s="163" t="s">
        <v>222</v>
      </c>
      <c r="B1007" s="163"/>
      <c r="C1007" s="163"/>
      <c r="J1007" s="165"/>
      <c r="K1007" s="166"/>
      <c r="L1007" s="166"/>
    </row>
    <row r="1008">
      <c r="A1008" s="163" t="s">
        <v>222</v>
      </c>
      <c r="B1008" s="163"/>
      <c r="C1008" s="163"/>
      <c r="J1008" s="165"/>
      <c r="K1008" s="166"/>
      <c r="L1008" s="166"/>
    </row>
    <row r="1009">
      <c r="A1009" s="163" t="s">
        <v>222</v>
      </c>
      <c r="B1009" s="163"/>
      <c r="C1009" s="163"/>
      <c r="J1009" s="165"/>
      <c r="K1009" s="166"/>
      <c r="L1009" s="166"/>
    </row>
    <row r="1010">
      <c r="A1010" s="163" t="s">
        <v>222</v>
      </c>
      <c r="B1010" s="163"/>
      <c r="C1010" s="163"/>
      <c r="J1010" s="165"/>
      <c r="K1010" s="166"/>
      <c r="L1010" s="166"/>
    </row>
    <row r="1011">
      <c r="A1011" s="163" t="s">
        <v>222</v>
      </c>
      <c r="B1011" s="163"/>
      <c r="C1011" s="163"/>
      <c r="J1011" s="165"/>
      <c r="K1011" s="166"/>
      <c r="L1011" s="166"/>
    </row>
    <row r="1012">
      <c r="A1012" s="163" t="s">
        <v>222</v>
      </c>
      <c r="B1012" s="163"/>
      <c r="C1012" s="163"/>
      <c r="J1012" s="165"/>
      <c r="K1012" s="166"/>
      <c r="L1012" s="166"/>
    </row>
    <row r="1013">
      <c r="A1013" s="163" t="s">
        <v>222</v>
      </c>
      <c r="B1013" s="163"/>
      <c r="C1013" s="163"/>
      <c r="J1013" s="165"/>
      <c r="K1013" s="166"/>
      <c r="L1013" s="166"/>
    </row>
    <row r="1014">
      <c r="A1014" s="163" t="s">
        <v>222</v>
      </c>
      <c r="B1014" s="163"/>
      <c r="C1014" s="163"/>
      <c r="J1014" s="165"/>
      <c r="K1014" s="166"/>
      <c r="L1014" s="166"/>
    </row>
    <row r="1015">
      <c r="A1015" s="163" t="s">
        <v>222</v>
      </c>
      <c r="B1015" s="163"/>
      <c r="C1015" s="163"/>
      <c r="J1015" s="165"/>
      <c r="K1015" s="166"/>
      <c r="L1015" s="166"/>
    </row>
    <row r="1016">
      <c r="A1016" s="163" t="s">
        <v>222</v>
      </c>
      <c r="B1016" s="163"/>
      <c r="C1016" s="163"/>
      <c r="J1016" s="165"/>
      <c r="K1016" s="166"/>
      <c r="L1016" s="166"/>
    </row>
    <row r="1017">
      <c r="A1017" s="163" t="s">
        <v>222</v>
      </c>
      <c r="B1017" s="163"/>
      <c r="C1017" s="163"/>
      <c r="J1017" s="165"/>
      <c r="K1017" s="166"/>
      <c r="L1017" s="166"/>
    </row>
    <row r="1018">
      <c r="A1018" s="163" t="s">
        <v>222</v>
      </c>
      <c r="B1018" s="163"/>
      <c r="C1018" s="163"/>
      <c r="J1018" s="165"/>
      <c r="K1018" s="166"/>
      <c r="L1018" s="166"/>
    </row>
    <row r="1019">
      <c r="A1019" s="163" t="s">
        <v>222</v>
      </c>
      <c r="B1019" s="163"/>
      <c r="C1019" s="163"/>
      <c r="J1019" s="165"/>
      <c r="K1019" s="166"/>
      <c r="L1019" s="166"/>
    </row>
    <row r="1020">
      <c r="A1020" s="163" t="s">
        <v>222</v>
      </c>
      <c r="B1020" s="163"/>
      <c r="C1020" s="163"/>
      <c r="J1020" s="165"/>
      <c r="K1020" s="166"/>
      <c r="L1020" s="166"/>
    </row>
    <row r="1021">
      <c r="A1021" s="163" t="s">
        <v>222</v>
      </c>
      <c r="B1021" s="163"/>
      <c r="C1021" s="163"/>
      <c r="J1021" s="165"/>
      <c r="K1021" s="166"/>
      <c r="L1021" s="166"/>
    </row>
    <row r="1022">
      <c r="A1022" s="163" t="s">
        <v>222</v>
      </c>
      <c r="B1022" s="163"/>
      <c r="C1022" s="163"/>
      <c r="J1022" s="165"/>
      <c r="K1022" s="166"/>
      <c r="L1022" s="166"/>
    </row>
    <row r="1023">
      <c r="A1023" s="163" t="s">
        <v>222</v>
      </c>
      <c r="B1023" s="163"/>
      <c r="C1023" s="163"/>
      <c r="J1023" s="165"/>
      <c r="K1023" s="166"/>
      <c r="L1023" s="166"/>
    </row>
    <row r="1024">
      <c r="A1024" s="163" t="s">
        <v>222</v>
      </c>
      <c r="B1024" s="163"/>
      <c r="C1024" s="163"/>
      <c r="J1024" s="165"/>
      <c r="K1024" s="166"/>
      <c r="L1024" s="166"/>
    </row>
    <row r="1025">
      <c r="A1025" s="163" t="s">
        <v>222</v>
      </c>
      <c r="B1025" s="163"/>
      <c r="C1025" s="163"/>
      <c r="J1025" s="165"/>
      <c r="K1025" s="166"/>
      <c r="L1025" s="166"/>
    </row>
    <row r="1026">
      <c r="A1026" s="163" t="s">
        <v>222</v>
      </c>
      <c r="B1026" s="163"/>
      <c r="C1026" s="163"/>
      <c r="J1026" s="165"/>
      <c r="K1026" s="166"/>
      <c r="L1026" s="166"/>
    </row>
    <row r="1027">
      <c r="A1027" s="163" t="s">
        <v>222</v>
      </c>
      <c r="B1027" s="163"/>
      <c r="C1027" s="163"/>
      <c r="J1027" s="165"/>
      <c r="K1027" s="166"/>
      <c r="L1027" s="166"/>
    </row>
    <row r="1028">
      <c r="A1028" s="163" t="s">
        <v>222</v>
      </c>
      <c r="B1028" s="163"/>
      <c r="C1028" s="163"/>
      <c r="J1028" s="165"/>
      <c r="K1028" s="166"/>
      <c r="L1028" s="166"/>
    </row>
    <row r="1029">
      <c r="A1029" s="163" t="s">
        <v>222</v>
      </c>
      <c r="B1029" s="163"/>
      <c r="C1029" s="163"/>
      <c r="J1029" s="165"/>
      <c r="K1029" s="166"/>
      <c r="L1029" s="166"/>
    </row>
    <row r="1030">
      <c r="A1030" s="163" t="s">
        <v>222</v>
      </c>
      <c r="B1030" s="163"/>
      <c r="C1030" s="163"/>
      <c r="J1030" s="165"/>
      <c r="K1030" s="166"/>
      <c r="L1030" s="166"/>
    </row>
    <row r="1031">
      <c r="A1031" s="163" t="s">
        <v>222</v>
      </c>
      <c r="B1031" s="163"/>
      <c r="C1031" s="163"/>
      <c r="J1031" s="165"/>
      <c r="K1031" s="166"/>
      <c r="L1031" s="166"/>
    </row>
    <row r="1032">
      <c r="A1032" s="163" t="s">
        <v>222</v>
      </c>
      <c r="B1032" s="163"/>
      <c r="C1032" s="163"/>
      <c r="J1032" s="165"/>
      <c r="K1032" s="166"/>
      <c r="L1032" s="166"/>
    </row>
    <row r="1033">
      <c r="A1033" s="163" t="s">
        <v>222</v>
      </c>
      <c r="B1033" s="163"/>
      <c r="C1033" s="163"/>
      <c r="J1033" s="165"/>
      <c r="K1033" s="166"/>
      <c r="L1033" s="166"/>
    </row>
    <row r="1034">
      <c r="A1034" s="163" t="s">
        <v>222</v>
      </c>
      <c r="B1034" s="163"/>
      <c r="C1034" s="163"/>
      <c r="J1034" s="165"/>
      <c r="K1034" s="166"/>
      <c r="L1034" s="166"/>
    </row>
    <row r="1035">
      <c r="A1035" s="163" t="s">
        <v>222</v>
      </c>
      <c r="B1035" s="163"/>
      <c r="C1035" s="163"/>
      <c r="J1035" s="165"/>
      <c r="K1035" s="166"/>
      <c r="L1035" s="166"/>
    </row>
    <row r="1036">
      <c r="A1036" s="163" t="s">
        <v>222</v>
      </c>
      <c r="B1036" s="163"/>
      <c r="C1036" s="163"/>
      <c r="J1036" s="165"/>
      <c r="K1036" s="166"/>
      <c r="L1036" s="166"/>
    </row>
    <row r="1037">
      <c r="A1037" s="163" t="s">
        <v>222</v>
      </c>
      <c r="B1037" s="163"/>
      <c r="C1037" s="163"/>
      <c r="J1037" s="165"/>
      <c r="K1037" s="166"/>
      <c r="L1037" s="166"/>
    </row>
    <row r="1038">
      <c r="A1038" s="163" t="s">
        <v>222</v>
      </c>
      <c r="B1038" s="163"/>
      <c r="C1038" s="163"/>
      <c r="J1038" s="165"/>
      <c r="K1038" s="166"/>
      <c r="L1038" s="166"/>
    </row>
    <row r="1039">
      <c r="A1039" s="163" t="s">
        <v>222</v>
      </c>
      <c r="B1039" s="163"/>
      <c r="C1039" s="163"/>
      <c r="J1039" s="165"/>
      <c r="K1039" s="166"/>
      <c r="L1039" s="166"/>
    </row>
    <row r="1040">
      <c r="A1040" s="163" t="s">
        <v>222</v>
      </c>
      <c r="B1040" s="163"/>
      <c r="C1040" s="163"/>
      <c r="J1040" s="165"/>
      <c r="K1040" s="166"/>
      <c r="L1040" s="166"/>
    </row>
    <row r="1041">
      <c r="A1041" s="163" t="s">
        <v>222</v>
      </c>
      <c r="B1041" s="163"/>
      <c r="C1041" s="163"/>
      <c r="J1041" s="165"/>
      <c r="K1041" s="166"/>
      <c r="L1041" s="166"/>
    </row>
    <row r="1042">
      <c r="A1042" s="163" t="s">
        <v>222</v>
      </c>
      <c r="B1042" s="163"/>
      <c r="C1042" s="163"/>
      <c r="J1042" s="165"/>
      <c r="K1042" s="166"/>
      <c r="L1042" s="166"/>
    </row>
    <row r="1043">
      <c r="A1043" s="163" t="s">
        <v>222</v>
      </c>
      <c r="B1043" s="163"/>
      <c r="C1043" s="163"/>
      <c r="J1043" s="165"/>
      <c r="K1043" s="166"/>
      <c r="L1043" s="166"/>
    </row>
    <row r="1044">
      <c r="A1044" s="163" t="s">
        <v>222</v>
      </c>
      <c r="B1044" s="163"/>
      <c r="C1044" s="163"/>
      <c r="J1044" s="165"/>
      <c r="K1044" s="166"/>
      <c r="L1044" s="166"/>
    </row>
    <row r="1045">
      <c r="A1045" s="163" t="s">
        <v>222</v>
      </c>
      <c r="B1045" s="163"/>
      <c r="C1045" s="163"/>
      <c r="J1045" s="165"/>
      <c r="K1045" s="166"/>
      <c r="L1045" s="166"/>
    </row>
    <row r="1046">
      <c r="A1046" s="163" t="s">
        <v>222</v>
      </c>
      <c r="B1046" s="163"/>
      <c r="C1046" s="163"/>
      <c r="J1046" s="165"/>
      <c r="K1046" s="166"/>
      <c r="L1046" s="166"/>
    </row>
    <row r="1047">
      <c r="A1047" s="163" t="s">
        <v>222</v>
      </c>
      <c r="B1047" s="163"/>
      <c r="C1047" s="163"/>
      <c r="J1047" s="165"/>
      <c r="K1047" s="166"/>
      <c r="L1047" s="166"/>
    </row>
    <row r="1048">
      <c r="A1048" s="163" t="s">
        <v>222</v>
      </c>
      <c r="B1048" s="163"/>
      <c r="C1048" s="163"/>
      <c r="J1048" s="165"/>
      <c r="K1048" s="166"/>
      <c r="L1048" s="166"/>
    </row>
    <row r="1049">
      <c r="A1049" s="163" t="s">
        <v>222</v>
      </c>
      <c r="B1049" s="163"/>
      <c r="C1049" s="163"/>
      <c r="J1049" s="165"/>
      <c r="K1049" s="166"/>
      <c r="L1049" s="166"/>
    </row>
    <row r="1050">
      <c r="A1050" s="163" t="s">
        <v>222</v>
      </c>
      <c r="B1050" s="163"/>
      <c r="C1050" s="163"/>
      <c r="J1050" s="165"/>
      <c r="K1050" s="166"/>
      <c r="L1050" s="166"/>
    </row>
    <row r="1051">
      <c r="A1051" s="163" t="s">
        <v>222</v>
      </c>
      <c r="B1051" s="163"/>
      <c r="C1051" s="163"/>
      <c r="J1051" s="165"/>
      <c r="K1051" s="166"/>
      <c r="L1051" s="166"/>
    </row>
    <row r="1052">
      <c r="A1052" s="163" t="s">
        <v>222</v>
      </c>
      <c r="B1052" s="163"/>
      <c r="C1052" s="163"/>
      <c r="J1052" s="165"/>
      <c r="K1052" s="166"/>
      <c r="L1052" s="166"/>
    </row>
    <row r="1053">
      <c r="A1053" s="163" t="s">
        <v>222</v>
      </c>
      <c r="B1053" s="163"/>
      <c r="C1053" s="163"/>
      <c r="J1053" s="165"/>
      <c r="K1053" s="166"/>
      <c r="L1053" s="166"/>
    </row>
    <row r="1054">
      <c r="A1054" s="163" t="s">
        <v>222</v>
      </c>
      <c r="B1054" s="163"/>
      <c r="C1054" s="163"/>
      <c r="J1054" s="165"/>
      <c r="K1054" s="166"/>
      <c r="L1054" s="166"/>
    </row>
    <row r="1055">
      <c r="A1055" s="163" t="s">
        <v>222</v>
      </c>
      <c r="B1055" s="163"/>
      <c r="C1055" s="163"/>
      <c r="J1055" s="165"/>
      <c r="K1055" s="166"/>
      <c r="L1055" s="166"/>
    </row>
    <row r="1056">
      <c r="A1056" s="163" t="s">
        <v>222</v>
      </c>
      <c r="B1056" s="163"/>
      <c r="C1056" s="163"/>
      <c r="J1056" s="165"/>
      <c r="K1056" s="166"/>
      <c r="L1056" s="166"/>
    </row>
    <row r="1057">
      <c r="A1057" s="163" t="s">
        <v>222</v>
      </c>
      <c r="B1057" s="163"/>
      <c r="C1057" s="163"/>
      <c r="J1057" s="165"/>
      <c r="K1057" s="166"/>
      <c r="L1057" s="166"/>
    </row>
    <row r="1058">
      <c r="A1058" s="163" t="s">
        <v>222</v>
      </c>
      <c r="B1058" s="163"/>
      <c r="C1058" s="163"/>
      <c r="J1058" s="165"/>
      <c r="K1058" s="166"/>
      <c r="L1058" s="166"/>
    </row>
    <row r="1059">
      <c r="A1059" s="163" t="s">
        <v>222</v>
      </c>
      <c r="B1059" s="163"/>
      <c r="C1059" s="163"/>
      <c r="J1059" s="165"/>
      <c r="K1059" s="166"/>
      <c r="L1059" s="166"/>
    </row>
    <row r="1060">
      <c r="A1060" s="163" t="s">
        <v>222</v>
      </c>
      <c r="B1060" s="163"/>
      <c r="C1060" s="163"/>
      <c r="J1060" s="165"/>
      <c r="K1060" s="166"/>
      <c r="L1060" s="166"/>
    </row>
    <row r="1061">
      <c r="A1061" s="163" t="s">
        <v>222</v>
      </c>
      <c r="B1061" s="163"/>
      <c r="C1061" s="163"/>
      <c r="J1061" s="165"/>
      <c r="K1061" s="166"/>
      <c r="L1061" s="166"/>
    </row>
    <row r="1062">
      <c r="A1062" s="163" t="s">
        <v>222</v>
      </c>
      <c r="B1062" s="163"/>
      <c r="C1062" s="163"/>
      <c r="J1062" s="165"/>
      <c r="K1062" s="166"/>
      <c r="L1062" s="166"/>
    </row>
    <row r="1063">
      <c r="A1063" s="163" t="s">
        <v>222</v>
      </c>
      <c r="B1063" s="163"/>
      <c r="C1063" s="163"/>
      <c r="J1063" s="165"/>
      <c r="K1063" s="166"/>
      <c r="L1063" s="166"/>
    </row>
    <row r="1064">
      <c r="A1064" s="163" t="s">
        <v>222</v>
      </c>
      <c r="B1064" s="163"/>
      <c r="C1064" s="163"/>
      <c r="J1064" s="165"/>
      <c r="K1064" s="166"/>
      <c r="L1064" s="166"/>
    </row>
    <row r="1065">
      <c r="A1065" s="163" t="s">
        <v>222</v>
      </c>
      <c r="B1065" s="163"/>
      <c r="C1065" s="163"/>
      <c r="J1065" s="165"/>
      <c r="K1065" s="166"/>
      <c r="L1065" s="166"/>
    </row>
    <row r="1066">
      <c r="A1066" s="163" t="s">
        <v>222</v>
      </c>
      <c r="B1066" s="163"/>
      <c r="C1066" s="163"/>
      <c r="J1066" s="165"/>
      <c r="K1066" s="166"/>
      <c r="L1066" s="166"/>
    </row>
    <row r="1067">
      <c r="A1067" s="163" t="s">
        <v>222</v>
      </c>
      <c r="B1067" s="163"/>
      <c r="C1067" s="163"/>
      <c r="J1067" s="165"/>
      <c r="K1067" s="166"/>
      <c r="L1067" s="166"/>
    </row>
    <row r="1068">
      <c r="A1068" s="163" t="s">
        <v>222</v>
      </c>
      <c r="B1068" s="163"/>
      <c r="C1068" s="163"/>
      <c r="J1068" s="165"/>
      <c r="K1068" s="166"/>
      <c r="L1068" s="166"/>
    </row>
    <row r="1069">
      <c r="A1069" s="163" t="s">
        <v>222</v>
      </c>
      <c r="B1069" s="163"/>
      <c r="C1069" s="163"/>
      <c r="J1069" s="165"/>
      <c r="K1069" s="166"/>
      <c r="L1069" s="166"/>
    </row>
    <row r="1070">
      <c r="A1070" s="163" t="s">
        <v>222</v>
      </c>
      <c r="B1070" s="163"/>
      <c r="C1070" s="163"/>
      <c r="J1070" s="165"/>
      <c r="K1070" s="166"/>
      <c r="L1070" s="166"/>
    </row>
    <row r="1071">
      <c r="A1071" s="163" t="s">
        <v>222</v>
      </c>
      <c r="B1071" s="163"/>
      <c r="C1071" s="163"/>
      <c r="J1071" s="165"/>
      <c r="K1071" s="166"/>
      <c r="L1071" s="166"/>
    </row>
    <row r="1072">
      <c r="A1072" s="163" t="s">
        <v>222</v>
      </c>
      <c r="B1072" s="163"/>
      <c r="C1072" s="163"/>
      <c r="J1072" s="165"/>
      <c r="K1072" s="166"/>
      <c r="L1072" s="166"/>
    </row>
    <row r="1073">
      <c r="A1073" s="163" t="s">
        <v>222</v>
      </c>
      <c r="B1073" s="163"/>
      <c r="C1073" s="163"/>
      <c r="J1073" s="165"/>
      <c r="K1073" s="166"/>
      <c r="L1073" s="166"/>
    </row>
    <row r="1074">
      <c r="A1074" s="163" t="s">
        <v>222</v>
      </c>
      <c r="B1074" s="163"/>
      <c r="C1074" s="163"/>
      <c r="J1074" s="165"/>
      <c r="K1074" s="166"/>
      <c r="L1074" s="166"/>
    </row>
    <row r="1075">
      <c r="A1075" s="163" t="s">
        <v>222</v>
      </c>
      <c r="B1075" s="163"/>
      <c r="C1075" s="163"/>
      <c r="J1075" s="165"/>
      <c r="K1075" s="166"/>
      <c r="L1075" s="166"/>
    </row>
    <row r="1076">
      <c r="A1076" s="163" t="s">
        <v>222</v>
      </c>
      <c r="B1076" s="163"/>
      <c r="C1076" s="163"/>
      <c r="J1076" s="165"/>
      <c r="K1076" s="166"/>
      <c r="L1076" s="166"/>
    </row>
    <row r="1077">
      <c r="A1077" s="163" t="s">
        <v>222</v>
      </c>
      <c r="B1077" s="163"/>
      <c r="C1077" s="163"/>
      <c r="J1077" s="165"/>
      <c r="K1077" s="166"/>
      <c r="L1077" s="166"/>
    </row>
    <row r="1078">
      <c r="A1078" s="163" t="s">
        <v>222</v>
      </c>
      <c r="B1078" s="163"/>
      <c r="C1078" s="163"/>
      <c r="J1078" s="165"/>
      <c r="K1078" s="166"/>
      <c r="L1078" s="166"/>
    </row>
    <row r="1079">
      <c r="A1079" s="163" t="s">
        <v>222</v>
      </c>
      <c r="B1079" s="163"/>
      <c r="C1079" s="163"/>
      <c r="J1079" s="165"/>
      <c r="K1079" s="166"/>
      <c r="L1079" s="166"/>
    </row>
    <row r="1080">
      <c r="A1080" s="163" t="s">
        <v>222</v>
      </c>
      <c r="B1080" s="163"/>
      <c r="C1080" s="163"/>
      <c r="J1080" s="165"/>
      <c r="K1080" s="166"/>
      <c r="L1080" s="166"/>
    </row>
    <row r="1081">
      <c r="A1081" s="163" t="s">
        <v>222</v>
      </c>
      <c r="B1081" s="163"/>
      <c r="C1081" s="163"/>
      <c r="J1081" s="165"/>
      <c r="K1081" s="166"/>
      <c r="L1081" s="166"/>
    </row>
    <row r="1082">
      <c r="A1082" s="163" t="s">
        <v>222</v>
      </c>
      <c r="B1082" s="163"/>
      <c r="C1082" s="163"/>
      <c r="J1082" s="165"/>
      <c r="K1082" s="166"/>
      <c r="L1082" s="166"/>
    </row>
    <row r="1083">
      <c r="A1083" s="163" t="s">
        <v>222</v>
      </c>
      <c r="B1083" s="163"/>
      <c r="C1083" s="163"/>
      <c r="J1083" s="165"/>
      <c r="K1083" s="166"/>
      <c r="L1083" s="166"/>
    </row>
    <row r="1084">
      <c r="A1084" s="163" t="s">
        <v>222</v>
      </c>
      <c r="B1084" s="163"/>
      <c r="C1084" s="163"/>
      <c r="J1084" s="165"/>
      <c r="K1084" s="166"/>
      <c r="L1084" s="166"/>
    </row>
    <row r="1085">
      <c r="A1085" s="163" t="s">
        <v>222</v>
      </c>
      <c r="B1085" s="163"/>
      <c r="C1085" s="163"/>
      <c r="J1085" s="165"/>
      <c r="K1085" s="166"/>
      <c r="L1085" s="166"/>
    </row>
    <row r="1086">
      <c r="A1086" s="163" t="s">
        <v>222</v>
      </c>
      <c r="B1086" s="163"/>
      <c r="C1086" s="163"/>
      <c r="J1086" s="165"/>
      <c r="K1086" s="166"/>
      <c r="L1086" s="166"/>
    </row>
    <row r="1087">
      <c r="A1087" s="163" t="s">
        <v>222</v>
      </c>
      <c r="B1087" s="163"/>
      <c r="C1087" s="163"/>
      <c r="J1087" s="165"/>
      <c r="K1087" s="166"/>
      <c r="L1087" s="166"/>
    </row>
    <row r="1088">
      <c r="A1088" s="163" t="s">
        <v>222</v>
      </c>
      <c r="B1088" s="163"/>
      <c r="C1088" s="163"/>
      <c r="J1088" s="165"/>
      <c r="K1088" s="166"/>
      <c r="L1088" s="166"/>
    </row>
    <row r="1089">
      <c r="A1089" s="163" t="s">
        <v>222</v>
      </c>
      <c r="B1089" s="163"/>
      <c r="C1089" s="163"/>
      <c r="J1089" s="165"/>
      <c r="K1089" s="166"/>
      <c r="L1089" s="166"/>
    </row>
    <row r="1090">
      <c r="A1090" s="163" t="s">
        <v>222</v>
      </c>
      <c r="B1090" s="163"/>
      <c r="C1090" s="163"/>
      <c r="J1090" s="165"/>
      <c r="K1090" s="166"/>
      <c r="L1090" s="166"/>
    </row>
    <row r="1091">
      <c r="A1091" s="163" t="s">
        <v>222</v>
      </c>
      <c r="B1091" s="163"/>
      <c r="C1091" s="163"/>
      <c r="J1091" s="165"/>
      <c r="K1091" s="166"/>
      <c r="L1091" s="166"/>
    </row>
    <row r="1092">
      <c r="A1092" s="163" t="s">
        <v>222</v>
      </c>
      <c r="B1092" s="163"/>
      <c r="C1092" s="163"/>
      <c r="J1092" s="165"/>
      <c r="K1092" s="166"/>
      <c r="L1092" s="166"/>
    </row>
    <row r="1093">
      <c r="A1093" s="163" t="s">
        <v>222</v>
      </c>
      <c r="B1093" s="163"/>
      <c r="C1093" s="163"/>
      <c r="J1093" s="165"/>
      <c r="K1093" s="166"/>
      <c r="L1093" s="166"/>
    </row>
    <row r="1094">
      <c r="A1094" s="163" t="s">
        <v>222</v>
      </c>
      <c r="B1094" s="163"/>
      <c r="C1094" s="163"/>
      <c r="J1094" s="165"/>
      <c r="K1094" s="166"/>
      <c r="L1094" s="166"/>
    </row>
    <row r="1095">
      <c r="A1095" s="163" t="s">
        <v>222</v>
      </c>
      <c r="B1095" s="163"/>
      <c r="C1095" s="163"/>
      <c r="J1095" s="165"/>
      <c r="K1095" s="166"/>
      <c r="L1095" s="166"/>
    </row>
    <row r="1096">
      <c r="A1096" s="163" t="s">
        <v>222</v>
      </c>
      <c r="B1096" s="163"/>
      <c r="C1096" s="163"/>
      <c r="J1096" s="165"/>
      <c r="K1096" s="166"/>
      <c r="L1096" s="166"/>
    </row>
    <row r="1097">
      <c r="A1097" s="163" t="s">
        <v>222</v>
      </c>
      <c r="B1097" s="163"/>
      <c r="C1097" s="163"/>
      <c r="J1097" s="165"/>
      <c r="K1097" s="166"/>
      <c r="L1097" s="166"/>
    </row>
    <row r="1098">
      <c r="A1098" s="163" t="s">
        <v>222</v>
      </c>
      <c r="B1098" s="163"/>
      <c r="C1098" s="163"/>
      <c r="J1098" s="165"/>
      <c r="K1098" s="166"/>
      <c r="L1098" s="166"/>
    </row>
    <row r="1099">
      <c r="A1099" s="163" t="s">
        <v>222</v>
      </c>
      <c r="B1099" s="163"/>
      <c r="C1099" s="163"/>
      <c r="J1099" s="165"/>
      <c r="K1099" s="166"/>
      <c r="L1099" s="166"/>
    </row>
    <row r="1100">
      <c r="A1100" s="163" t="s">
        <v>222</v>
      </c>
      <c r="B1100" s="163"/>
      <c r="C1100" s="163"/>
      <c r="J1100" s="165"/>
      <c r="K1100" s="166"/>
      <c r="L1100" s="166"/>
    </row>
    <row r="1101">
      <c r="A1101" s="163" t="s">
        <v>222</v>
      </c>
      <c r="B1101" s="163"/>
      <c r="C1101" s="163"/>
      <c r="J1101" s="165"/>
      <c r="K1101" s="166"/>
      <c r="L1101" s="166"/>
    </row>
    <row r="1102">
      <c r="A1102" s="163" t="s">
        <v>222</v>
      </c>
      <c r="B1102" s="163"/>
      <c r="C1102" s="163"/>
      <c r="J1102" s="165"/>
      <c r="K1102" s="166"/>
      <c r="L1102" s="166"/>
    </row>
    <row r="1103">
      <c r="A1103" s="163" t="s">
        <v>222</v>
      </c>
      <c r="B1103" s="163"/>
      <c r="C1103" s="163"/>
      <c r="J1103" s="165"/>
      <c r="K1103" s="166"/>
      <c r="L1103" s="166"/>
    </row>
    <row r="1104">
      <c r="A1104" s="163" t="s">
        <v>222</v>
      </c>
      <c r="B1104" s="163"/>
      <c r="C1104" s="163"/>
      <c r="J1104" s="165"/>
      <c r="K1104" s="166"/>
      <c r="L1104" s="166"/>
    </row>
    <row r="1105">
      <c r="A1105" s="163" t="s">
        <v>222</v>
      </c>
      <c r="B1105" s="163"/>
      <c r="C1105" s="163"/>
      <c r="J1105" s="165"/>
      <c r="K1105" s="166"/>
      <c r="L1105" s="166"/>
    </row>
    <row r="1106">
      <c r="A1106" s="163" t="s">
        <v>222</v>
      </c>
      <c r="B1106" s="163"/>
      <c r="C1106" s="163"/>
      <c r="J1106" s="165"/>
      <c r="K1106" s="166"/>
      <c r="L1106" s="166"/>
    </row>
    <row r="1107">
      <c r="A1107" s="163" t="s">
        <v>222</v>
      </c>
      <c r="B1107" s="163"/>
      <c r="C1107" s="163"/>
      <c r="J1107" s="165"/>
      <c r="K1107" s="166"/>
      <c r="L1107" s="166"/>
    </row>
    <row r="1108">
      <c r="A1108" s="163" t="s">
        <v>222</v>
      </c>
      <c r="B1108" s="163"/>
      <c r="C1108" s="163"/>
      <c r="J1108" s="165"/>
      <c r="K1108" s="166"/>
      <c r="L1108" s="166"/>
    </row>
    <row r="1109">
      <c r="A1109" s="163" t="s">
        <v>222</v>
      </c>
      <c r="B1109" s="163"/>
      <c r="C1109" s="163"/>
      <c r="J1109" s="165"/>
      <c r="K1109" s="166"/>
      <c r="L1109" s="166"/>
    </row>
    <row r="1110">
      <c r="A1110" s="163" t="s">
        <v>222</v>
      </c>
      <c r="B1110" s="163"/>
      <c r="C1110" s="163"/>
      <c r="J1110" s="165"/>
      <c r="K1110" s="166"/>
      <c r="L1110" s="166"/>
    </row>
    <row r="1111">
      <c r="A1111" s="163" t="s">
        <v>222</v>
      </c>
      <c r="B1111" s="163"/>
      <c r="C1111" s="163"/>
      <c r="J1111" s="165"/>
      <c r="K1111" s="166"/>
      <c r="L1111" s="166"/>
    </row>
    <row r="1112">
      <c r="A1112" s="163" t="s">
        <v>222</v>
      </c>
      <c r="B1112" s="163"/>
      <c r="C1112" s="163"/>
      <c r="J1112" s="165"/>
      <c r="K1112" s="166"/>
      <c r="L1112" s="166"/>
    </row>
    <row r="1113">
      <c r="A1113" s="163" t="s">
        <v>222</v>
      </c>
      <c r="B1113" s="163"/>
      <c r="C1113" s="163"/>
      <c r="J1113" s="165"/>
      <c r="K1113" s="166"/>
      <c r="L1113" s="166"/>
    </row>
    <row r="1114">
      <c r="A1114" s="163" t="s">
        <v>222</v>
      </c>
      <c r="B1114" s="163"/>
      <c r="C1114" s="163"/>
      <c r="J1114" s="165"/>
      <c r="K1114" s="166"/>
      <c r="L1114" s="166"/>
    </row>
    <row r="1115">
      <c r="A1115" s="163" t="s">
        <v>222</v>
      </c>
      <c r="B1115" s="163"/>
      <c r="C1115" s="163"/>
      <c r="J1115" s="165"/>
      <c r="K1115" s="166"/>
      <c r="L1115" s="166"/>
    </row>
    <row r="1116">
      <c r="A1116" s="163" t="s">
        <v>222</v>
      </c>
      <c r="B1116" s="163"/>
      <c r="C1116" s="163"/>
      <c r="J1116" s="165"/>
      <c r="K1116" s="166"/>
      <c r="L1116" s="166"/>
    </row>
    <row r="1117">
      <c r="A1117" s="163" t="s">
        <v>222</v>
      </c>
      <c r="B1117" s="163"/>
      <c r="C1117" s="163"/>
      <c r="J1117" s="165"/>
      <c r="K1117" s="166"/>
      <c r="L1117" s="166"/>
    </row>
    <row r="1118">
      <c r="A1118" s="163" t="s">
        <v>222</v>
      </c>
      <c r="B1118" s="163"/>
      <c r="C1118" s="163"/>
      <c r="J1118" s="165"/>
      <c r="K1118" s="166"/>
      <c r="L1118" s="166"/>
    </row>
    <row r="1119">
      <c r="A1119" s="163" t="s">
        <v>222</v>
      </c>
      <c r="B1119" s="163"/>
      <c r="C1119" s="163"/>
      <c r="J1119" s="165"/>
      <c r="K1119" s="166"/>
      <c r="L1119" s="166"/>
    </row>
    <row r="1120">
      <c r="A1120" s="163" t="s">
        <v>222</v>
      </c>
      <c r="B1120" s="163"/>
      <c r="C1120" s="163"/>
      <c r="J1120" s="165"/>
      <c r="K1120" s="166"/>
      <c r="L1120" s="166"/>
    </row>
    <row r="1121">
      <c r="A1121" s="163" t="s">
        <v>222</v>
      </c>
      <c r="B1121" s="163"/>
      <c r="C1121" s="163"/>
      <c r="J1121" s="165"/>
      <c r="K1121" s="166"/>
      <c r="L1121" s="166"/>
    </row>
    <row r="1122">
      <c r="A1122" s="163" t="s">
        <v>222</v>
      </c>
      <c r="B1122" s="163"/>
      <c r="C1122" s="163"/>
      <c r="J1122" s="165"/>
      <c r="K1122" s="166"/>
      <c r="L1122" s="166"/>
    </row>
    <row r="1123">
      <c r="A1123" s="163" t="s">
        <v>222</v>
      </c>
      <c r="B1123" s="163"/>
      <c r="C1123" s="163"/>
      <c r="J1123" s="165"/>
      <c r="K1123" s="166"/>
      <c r="L1123" s="166"/>
    </row>
    <row r="1124">
      <c r="A1124" s="163" t="s">
        <v>222</v>
      </c>
      <c r="B1124" s="163"/>
      <c r="C1124" s="163"/>
      <c r="J1124" s="165"/>
      <c r="K1124" s="166"/>
      <c r="L1124" s="166"/>
    </row>
    <row r="1125">
      <c r="A1125" s="163" t="s">
        <v>222</v>
      </c>
      <c r="B1125" s="163"/>
      <c r="C1125" s="163"/>
      <c r="J1125" s="165"/>
      <c r="K1125" s="166"/>
      <c r="L1125" s="166"/>
    </row>
    <row r="1126">
      <c r="A1126" s="163" t="s">
        <v>222</v>
      </c>
      <c r="B1126" s="163"/>
      <c r="C1126" s="163"/>
      <c r="J1126" s="165"/>
      <c r="K1126" s="166"/>
      <c r="L1126" s="166"/>
    </row>
    <row r="1127">
      <c r="A1127" s="163" t="s">
        <v>222</v>
      </c>
      <c r="B1127" s="163"/>
      <c r="C1127" s="163"/>
      <c r="J1127" s="165"/>
      <c r="K1127" s="166"/>
      <c r="L1127" s="166"/>
    </row>
    <row r="1128">
      <c r="A1128" s="163" t="s">
        <v>222</v>
      </c>
      <c r="B1128" s="163"/>
      <c r="C1128" s="163"/>
      <c r="J1128" s="165"/>
      <c r="K1128" s="166"/>
      <c r="L1128" s="166"/>
    </row>
    <row r="1129">
      <c r="A1129" s="163" t="s">
        <v>222</v>
      </c>
      <c r="B1129" s="163"/>
      <c r="C1129" s="163"/>
      <c r="J1129" s="165"/>
      <c r="K1129" s="166"/>
      <c r="L1129" s="166"/>
    </row>
    <row r="1130">
      <c r="A1130" s="163" t="s">
        <v>222</v>
      </c>
      <c r="B1130" s="163"/>
      <c r="C1130" s="163"/>
      <c r="J1130" s="165"/>
      <c r="K1130" s="166"/>
      <c r="L1130" s="166"/>
    </row>
    <row r="1131">
      <c r="A1131" s="163" t="s">
        <v>222</v>
      </c>
      <c r="B1131" s="163"/>
      <c r="C1131" s="163"/>
      <c r="J1131" s="165"/>
      <c r="K1131" s="166"/>
      <c r="L1131" s="166"/>
    </row>
    <row r="1132">
      <c r="A1132" s="163" t="s">
        <v>222</v>
      </c>
      <c r="B1132" s="163"/>
      <c r="C1132" s="163"/>
      <c r="J1132" s="165"/>
      <c r="K1132" s="166"/>
      <c r="L1132" s="166"/>
    </row>
    <row r="1133">
      <c r="A1133" s="163" t="s">
        <v>222</v>
      </c>
      <c r="B1133" s="163"/>
      <c r="C1133" s="163"/>
      <c r="J1133" s="165"/>
      <c r="K1133" s="166"/>
      <c r="L1133" s="166"/>
    </row>
    <row r="1134">
      <c r="A1134" s="163" t="s">
        <v>222</v>
      </c>
      <c r="B1134" s="163"/>
      <c r="C1134" s="163"/>
      <c r="J1134" s="165"/>
      <c r="K1134" s="166"/>
      <c r="L1134" s="166"/>
    </row>
    <row r="1135">
      <c r="A1135" s="163" t="s">
        <v>222</v>
      </c>
      <c r="B1135" s="163"/>
      <c r="C1135" s="163"/>
      <c r="J1135" s="165"/>
      <c r="K1135" s="166"/>
      <c r="L1135" s="166"/>
    </row>
    <row r="1136">
      <c r="A1136" s="163" t="s">
        <v>222</v>
      </c>
      <c r="B1136" s="163"/>
      <c r="C1136" s="163"/>
      <c r="J1136" s="165"/>
      <c r="K1136" s="166"/>
      <c r="L1136" s="166"/>
    </row>
    <row r="1137">
      <c r="A1137" s="163" t="s">
        <v>222</v>
      </c>
      <c r="B1137" s="163"/>
      <c r="C1137" s="163"/>
      <c r="J1137" s="165"/>
      <c r="K1137" s="166"/>
      <c r="L1137" s="166"/>
    </row>
    <row r="1138">
      <c r="A1138" s="163" t="s">
        <v>222</v>
      </c>
      <c r="B1138" s="163"/>
      <c r="C1138" s="163"/>
      <c r="J1138" s="165"/>
      <c r="K1138" s="166"/>
      <c r="L1138" s="166"/>
    </row>
    <row r="1139">
      <c r="A1139" s="163" t="s">
        <v>222</v>
      </c>
      <c r="B1139" s="163"/>
      <c r="C1139" s="163"/>
      <c r="J1139" s="165"/>
      <c r="K1139" s="166"/>
      <c r="L1139" s="166"/>
    </row>
    <row r="1140">
      <c r="A1140" s="163" t="s">
        <v>222</v>
      </c>
      <c r="B1140" s="163"/>
      <c r="C1140" s="163"/>
      <c r="J1140" s="165"/>
      <c r="K1140" s="166"/>
      <c r="L1140" s="166"/>
    </row>
    <row r="1141">
      <c r="A1141" s="163" t="s">
        <v>222</v>
      </c>
      <c r="B1141" s="163"/>
      <c r="C1141" s="163"/>
      <c r="J1141" s="165"/>
      <c r="K1141" s="166"/>
      <c r="L1141" s="166"/>
    </row>
    <row r="1142">
      <c r="A1142" s="163" t="s">
        <v>222</v>
      </c>
      <c r="B1142" s="163"/>
      <c r="C1142" s="163"/>
      <c r="J1142" s="165"/>
      <c r="K1142" s="166"/>
      <c r="L1142" s="166"/>
    </row>
    <row r="1143">
      <c r="A1143" s="163" t="s">
        <v>222</v>
      </c>
      <c r="B1143" s="163"/>
      <c r="C1143" s="163"/>
      <c r="J1143" s="165"/>
      <c r="K1143" s="166"/>
      <c r="L1143" s="166"/>
    </row>
    <row r="1144">
      <c r="A1144" s="163" t="s">
        <v>222</v>
      </c>
      <c r="B1144" s="163"/>
      <c r="C1144" s="163"/>
      <c r="J1144" s="165"/>
      <c r="K1144" s="166"/>
      <c r="L1144" s="166"/>
    </row>
    <row r="1145">
      <c r="A1145" s="163" t="s">
        <v>222</v>
      </c>
      <c r="B1145" s="163"/>
      <c r="C1145" s="163"/>
      <c r="J1145" s="165"/>
      <c r="K1145" s="166"/>
      <c r="L1145" s="166"/>
    </row>
    <row r="1146">
      <c r="A1146" s="163" t="s">
        <v>222</v>
      </c>
      <c r="B1146" s="163"/>
      <c r="C1146" s="163"/>
      <c r="J1146" s="165"/>
      <c r="K1146" s="166"/>
      <c r="L1146" s="166"/>
    </row>
    <row r="1147">
      <c r="A1147" s="163" t="s">
        <v>222</v>
      </c>
      <c r="B1147" s="163"/>
      <c r="C1147" s="163"/>
      <c r="J1147" s="165"/>
      <c r="K1147" s="166"/>
      <c r="L1147" s="166"/>
    </row>
    <row r="1148">
      <c r="A1148" s="163" t="s">
        <v>222</v>
      </c>
      <c r="B1148" s="163"/>
      <c r="C1148" s="163"/>
      <c r="J1148" s="165"/>
      <c r="K1148" s="166"/>
      <c r="L1148" s="166"/>
    </row>
    <row r="1149">
      <c r="A1149" s="163" t="s">
        <v>222</v>
      </c>
      <c r="B1149" s="163"/>
      <c r="C1149" s="163"/>
      <c r="J1149" s="165"/>
      <c r="K1149" s="166"/>
      <c r="L1149" s="166"/>
    </row>
    <row r="1150">
      <c r="A1150" s="163" t="s">
        <v>222</v>
      </c>
      <c r="B1150" s="163"/>
      <c r="C1150" s="163"/>
      <c r="J1150" s="165"/>
      <c r="K1150" s="166"/>
      <c r="L1150" s="166"/>
    </row>
    <row r="1151">
      <c r="A1151" s="163" t="s">
        <v>222</v>
      </c>
      <c r="B1151" s="163"/>
      <c r="C1151" s="163"/>
      <c r="J1151" s="165"/>
      <c r="K1151" s="166"/>
      <c r="L1151" s="166"/>
    </row>
    <row r="1152">
      <c r="A1152" s="163" t="s">
        <v>222</v>
      </c>
      <c r="B1152" s="163"/>
      <c r="C1152" s="163"/>
      <c r="J1152" s="165"/>
      <c r="K1152" s="166"/>
      <c r="L1152" s="166"/>
    </row>
    <row r="1153">
      <c r="A1153" s="163" t="s">
        <v>222</v>
      </c>
      <c r="B1153" s="163"/>
      <c r="C1153" s="163"/>
      <c r="J1153" s="165"/>
      <c r="K1153" s="166"/>
      <c r="L1153" s="166"/>
    </row>
    <row r="1154">
      <c r="A1154" s="163" t="s">
        <v>222</v>
      </c>
      <c r="B1154" s="163"/>
      <c r="C1154" s="163"/>
      <c r="J1154" s="165"/>
      <c r="K1154" s="166"/>
      <c r="L1154" s="166"/>
    </row>
    <row r="1155">
      <c r="A1155" s="163" t="s">
        <v>222</v>
      </c>
      <c r="B1155" s="163"/>
      <c r="C1155" s="163"/>
      <c r="J1155" s="165"/>
      <c r="K1155" s="166"/>
      <c r="L1155" s="166"/>
    </row>
    <row r="1156">
      <c r="A1156" s="163" t="s">
        <v>222</v>
      </c>
      <c r="B1156" s="163"/>
      <c r="C1156" s="163"/>
      <c r="J1156" s="165"/>
      <c r="K1156" s="166"/>
      <c r="L1156" s="166"/>
    </row>
    <row r="1157">
      <c r="A1157" s="163" t="s">
        <v>222</v>
      </c>
      <c r="B1157" s="163"/>
      <c r="C1157" s="163"/>
      <c r="J1157" s="165"/>
      <c r="K1157" s="166"/>
      <c r="L1157" s="166"/>
    </row>
    <row r="1158">
      <c r="A1158" s="163" t="s">
        <v>222</v>
      </c>
      <c r="B1158" s="163"/>
      <c r="C1158" s="163"/>
      <c r="J1158" s="165"/>
      <c r="K1158" s="166"/>
      <c r="L1158" s="166"/>
    </row>
    <row r="1159">
      <c r="A1159" s="163" t="s">
        <v>222</v>
      </c>
      <c r="B1159" s="163"/>
      <c r="C1159" s="163"/>
      <c r="J1159" s="165"/>
      <c r="K1159" s="166"/>
      <c r="L1159" s="166"/>
    </row>
    <row r="1160">
      <c r="A1160" s="163" t="s">
        <v>222</v>
      </c>
      <c r="B1160" s="163"/>
      <c r="C1160" s="163"/>
      <c r="J1160" s="165"/>
      <c r="K1160" s="166"/>
      <c r="L1160" s="166"/>
    </row>
    <row r="1161">
      <c r="A1161" s="163" t="s">
        <v>222</v>
      </c>
      <c r="B1161" s="163"/>
      <c r="C1161" s="163"/>
      <c r="J1161" s="165"/>
      <c r="K1161" s="166"/>
      <c r="L1161" s="166"/>
    </row>
    <row r="1162">
      <c r="A1162" s="163" t="s">
        <v>222</v>
      </c>
      <c r="B1162" s="163"/>
      <c r="C1162" s="163"/>
      <c r="J1162" s="165"/>
      <c r="K1162" s="166"/>
      <c r="L1162" s="166"/>
    </row>
    <row r="1163">
      <c r="A1163" s="163" t="s">
        <v>222</v>
      </c>
      <c r="B1163" s="163"/>
      <c r="C1163" s="163"/>
      <c r="J1163" s="165"/>
      <c r="K1163" s="166"/>
      <c r="L1163" s="166"/>
    </row>
    <row r="1164">
      <c r="A1164" s="163" t="s">
        <v>222</v>
      </c>
      <c r="B1164" s="163"/>
      <c r="C1164" s="163"/>
      <c r="J1164" s="165"/>
      <c r="K1164" s="166"/>
      <c r="L1164" s="166"/>
    </row>
    <row r="1165">
      <c r="A1165" s="163" t="s">
        <v>222</v>
      </c>
      <c r="B1165" s="163"/>
      <c r="C1165" s="163"/>
      <c r="J1165" s="165"/>
      <c r="K1165" s="166"/>
      <c r="L1165" s="166"/>
    </row>
    <row r="1166">
      <c r="A1166" s="163" t="s">
        <v>222</v>
      </c>
      <c r="B1166" s="163"/>
      <c r="C1166" s="163"/>
      <c r="J1166" s="165"/>
      <c r="K1166" s="166"/>
      <c r="L1166" s="166"/>
    </row>
    <row r="1167">
      <c r="A1167" s="163" t="s">
        <v>222</v>
      </c>
      <c r="B1167" s="163"/>
      <c r="C1167" s="163"/>
      <c r="J1167" s="165"/>
      <c r="K1167" s="166"/>
      <c r="L1167" s="166"/>
    </row>
    <row r="1168">
      <c r="A1168" s="163" t="s">
        <v>222</v>
      </c>
      <c r="B1168" s="163"/>
      <c r="C1168" s="163"/>
      <c r="J1168" s="165"/>
      <c r="K1168" s="166"/>
      <c r="L1168" s="166"/>
    </row>
    <row r="1169">
      <c r="A1169" s="163" t="s">
        <v>222</v>
      </c>
      <c r="B1169" s="163"/>
      <c r="C1169" s="163"/>
      <c r="J1169" s="165"/>
      <c r="K1169" s="166"/>
      <c r="L1169" s="166"/>
    </row>
    <row r="1170">
      <c r="A1170" s="163" t="s">
        <v>222</v>
      </c>
      <c r="B1170" s="163"/>
      <c r="C1170" s="163"/>
      <c r="J1170" s="165"/>
      <c r="K1170" s="166"/>
      <c r="L1170" s="166"/>
    </row>
    <row r="1171">
      <c r="A1171" s="163" t="s">
        <v>222</v>
      </c>
      <c r="B1171" s="163"/>
      <c r="C1171" s="163"/>
      <c r="J1171" s="165"/>
      <c r="K1171" s="166"/>
      <c r="L1171" s="166"/>
    </row>
    <row r="1172">
      <c r="A1172" s="163" t="s">
        <v>222</v>
      </c>
      <c r="B1172" s="163"/>
      <c r="C1172" s="163"/>
      <c r="J1172" s="165"/>
      <c r="K1172" s="166"/>
      <c r="L1172" s="166"/>
    </row>
    <row r="1173">
      <c r="A1173" s="163" t="s">
        <v>222</v>
      </c>
      <c r="B1173" s="163"/>
      <c r="C1173" s="163"/>
      <c r="J1173" s="165"/>
      <c r="K1173" s="166"/>
      <c r="L1173" s="166"/>
    </row>
    <row r="1174">
      <c r="A1174" s="163" t="s">
        <v>222</v>
      </c>
      <c r="B1174" s="163"/>
      <c r="C1174" s="163"/>
      <c r="J1174" s="165"/>
      <c r="K1174" s="166"/>
      <c r="L1174" s="166"/>
    </row>
    <row r="1175">
      <c r="A1175" s="163" t="s">
        <v>222</v>
      </c>
      <c r="B1175" s="163"/>
      <c r="C1175" s="163"/>
      <c r="J1175" s="165"/>
      <c r="K1175" s="166"/>
      <c r="L1175" s="166"/>
    </row>
    <row r="1176">
      <c r="A1176" s="163" t="s">
        <v>222</v>
      </c>
      <c r="B1176" s="163"/>
      <c r="C1176" s="163"/>
      <c r="J1176" s="165"/>
      <c r="K1176" s="166"/>
      <c r="L1176" s="166"/>
    </row>
    <row r="1177">
      <c r="A1177" s="163" t="s">
        <v>222</v>
      </c>
      <c r="B1177" s="163"/>
      <c r="C1177" s="163"/>
      <c r="J1177" s="165"/>
      <c r="K1177" s="166"/>
      <c r="L1177" s="166"/>
    </row>
    <row r="1178">
      <c r="A1178" s="163" t="s">
        <v>222</v>
      </c>
      <c r="B1178" s="163"/>
      <c r="C1178" s="163"/>
      <c r="J1178" s="165"/>
      <c r="K1178" s="166"/>
      <c r="L1178" s="166"/>
    </row>
    <row r="1179">
      <c r="A1179" s="163" t="s">
        <v>222</v>
      </c>
      <c r="B1179" s="163"/>
      <c r="C1179" s="163"/>
      <c r="J1179" s="165"/>
      <c r="K1179" s="166"/>
      <c r="L1179" s="166"/>
    </row>
    <row r="1180">
      <c r="A1180" s="163" t="s">
        <v>222</v>
      </c>
      <c r="B1180" s="163"/>
      <c r="C1180" s="163"/>
      <c r="J1180" s="165"/>
      <c r="K1180" s="166"/>
      <c r="L1180" s="166"/>
    </row>
    <row r="1181">
      <c r="A1181" s="163" t="s">
        <v>222</v>
      </c>
      <c r="B1181" s="163"/>
      <c r="C1181" s="163"/>
      <c r="J1181" s="165"/>
      <c r="K1181" s="166"/>
      <c r="L1181" s="166"/>
    </row>
    <row r="1182">
      <c r="A1182" s="163" t="s">
        <v>222</v>
      </c>
      <c r="B1182" s="163"/>
      <c r="C1182" s="163"/>
      <c r="J1182" s="165"/>
      <c r="K1182" s="166"/>
      <c r="L1182" s="166"/>
    </row>
    <row r="1183">
      <c r="A1183" s="163" t="s">
        <v>222</v>
      </c>
      <c r="B1183" s="163"/>
      <c r="C1183" s="163"/>
      <c r="J1183" s="165"/>
      <c r="K1183" s="166"/>
      <c r="L1183" s="166"/>
    </row>
    <row r="1184">
      <c r="A1184" s="163" t="s">
        <v>222</v>
      </c>
      <c r="B1184" s="163"/>
      <c r="C1184" s="163"/>
      <c r="J1184" s="165"/>
      <c r="K1184" s="166"/>
      <c r="L1184" s="166"/>
    </row>
    <row r="1185">
      <c r="A1185" s="163" t="s">
        <v>222</v>
      </c>
      <c r="B1185" s="163"/>
      <c r="C1185" s="163"/>
      <c r="J1185" s="165"/>
      <c r="K1185" s="166"/>
      <c r="L1185" s="166"/>
    </row>
    <row r="1186">
      <c r="A1186" s="163" t="s">
        <v>222</v>
      </c>
      <c r="B1186" s="163"/>
      <c r="C1186" s="163"/>
      <c r="J1186" s="165"/>
      <c r="K1186" s="166"/>
      <c r="L1186" s="166"/>
    </row>
    <row r="1187">
      <c r="A1187" s="163" t="s">
        <v>222</v>
      </c>
      <c r="B1187" s="163"/>
      <c r="C1187" s="163"/>
      <c r="J1187" s="165"/>
      <c r="K1187" s="166"/>
      <c r="L1187" s="166"/>
    </row>
    <row r="1188">
      <c r="A1188" s="163" t="s">
        <v>222</v>
      </c>
      <c r="B1188" s="163"/>
      <c r="C1188" s="163"/>
      <c r="J1188" s="165"/>
      <c r="K1188" s="166"/>
      <c r="L1188" s="166"/>
    </row>
    <row r="1189">
      <c r="A1189" s="163" t="s">
        <v>222</v>
      </c>
      <c r="B1189" s="163"/>
      <c r="C1189" s="163"/>
      <c r="J1189" s="165"/>
      <c r="K1189" s="166"/>
      <c r="L1189" s="166"/>
    </row>
    <row r="1190">
      <c r="A1190" s="163" t="s">
        <v>222</v>
      </c>
      <c r="B1190" s="163"/>
      <c r="C1190" s="163"/>
      <c r="J1190" s="165"/>
      <c r="K1190" s="166"/>
      <c r="L1190" s="166"/>
    </row>
    <row r="1191">
      <c r="A1191" s="163" t="s">
        <v>222</v>
      </c>
      <c r="B1191" s="163"/>
      <c r="C1191" s="163"/>
      <c r="J1191" s="165"/>
      <c r="K1191" s="166"/>
      <c r="L1191" s="166"/>
    </row>
    <row r="1192">
      <c r="A1192" s="163" t="s">
        <v>222</v>
      </c>
      <c r="B1192" s="163"/>
      <c r="C1192" s="163"/>
      <c r="J1192" s="165"/>
      <c r="K1192" s="166"/>
      <c r="L1192" s="166"/>
    </row>
    <row r="1193">
      <c r="A1193" s="163" t="s">
        <v>222</v>
      </c>
      <c r="B1193" s="163"/>
      <c r="C1193" s="163"/>
      <c r="J1193" s="165"/>
      <c r="K1193" s="166"/>
      <c r="L1193" s="166"/>
    </row>
    <row r="1194">
      <c r="A1194" s="163" t="s">
        <v>222</v>
      </c>
      <c r="B1194" s="163"/>
      <c r="C1194" s="163"/>
      <c r="J1194" s="165"/>
      <c r="K1194" s="166"/>
      <c r="L1194" s="166"/>
    </row>
    <row r="1195">
      <c r="A1195" s="163" t="s">
        <v>222</v>
      </c>
      <c r="B1195" s="163"/>
      <c r="C1195" s="163"/>
      <c r="J1195" s="165"/>
      <c r="K1195" s="166"/>
      <c r="L1195" s="166"/>
    </row>
    <row r="1196">
      <c r="A1196" s="163" t="s">
        <v>222</v>
      </c>
      <c r="B1196" s="163"/>
      <c r="C1196" s="163"/>
      <c r="J1196" s="165"/>
      <c r="K1196" s="166"/>
      <c r="L1196" s="166"/>
    </row>
    <row r="1197">
      <c r="A1197" s="163" t="s">
        <v>222</v>
      </c>
      <c r="B1197" s="163"/>
      <c r="C1197" s="163"/>
      <c r="J1197" s="165"/>
      <c r="K1197" s="166"/>
      <c r="L1197" s="166"/>
    </row>
    <row r="1198">
      <c r="A1198" s="163" t="s">
        <v>222</v>
      </c>
      <c r="B1198" s="163"/>
      <c r="C1198" s="163"/>
      <c r="J1198" s="165"/>
      <c r="K1198" s="166"/>
      <c r="L1198" s="166"/>
    </row>
    <row r="1199">
      <c r="A1199" s="163" t="s">
        <v>222</v>
      </c>
      <c r="B1199" s="163"/>
      <c r="C1199" s="163"/>
      <c r="J1199" s="165"/>
      <c r="K1199" s="166"/>
      <c r="L1199" s="166"/>
    </row>
    <row r="1200">
      <c r="A1200" s="163" t="s">
        <v>222</v>
      </c>
      <c r="B1200" s="163"/>
      <c r="C1200" s="163"/>
      <c r="J1200" s="165"/>
      <c r="K1200" s="166"/>
      <c r="L1200" s="166"/>
    </row>
    <row r="1201">
      <c r="A1201" s="163" t="s">
        <v>222</v>
      </c>
      <c r="B1201" s="163"/>
      <c r="C1201" s="163"/>
      <c r="J1201" s="165"/>
      <c r="K1201" s="166"/>
      <c r="L1201" s="166"/>
    </row>
    <row r="1202">
      <c r="A1202" s="163" t="s">
        <v>222</v>
      </c>
      <c r="B1202" s="163"/>
      <c r="C1202" s="163"/>
      <c r="J1202" s="165"/>
      <c r="K1202" s="166"/>
      <c r="L1202" s="166"/>
    </row>
    <row r="1203">
      <c r="A1203" s="163" t="s">
        <v>222</v>
      </c>
      <c r="B1203" s="163"/>
      <c r="C1203" s="163"/>
      <c r="J1203" s="165"/>
      <c r="K1203" s="166"/>
      <c r="L1203" s="166"/>
    </row>
    <row r="1204">
      <c r="A1204" s="163" t="s">
        <v>222</v>
      </c>
      <c r="B1204" s="163"/>
      <c r="C1204" s="163"/>
      <c r="J1204" s="165"/>
      <c r="K1204" s="166"/>
      <c r="L1204" s="166"/>
    </row>
    <row r="1205">
      <c r="A1205" s="163" t="s">
        <v>222</v>
      </c>
      <c r="B1205" s="163"/>
      <c r="C1205" s="163"/>
      <c r="J1205" s="165"/>
      <c r="K1205" s="166"/>
      <c r="L1205" s="166"/>
    </row>
    <row r="1206">
      <c r="A1206" s="163" t="s">
        <v>222</v>
      </c>
      <c r="B1206" s="163"/>
      <c r="C1206" s="163"/>
      <c r="J1206" s="165"/>
      <c r="K1206" s="166"/>
      <c r="L1206" s="166"/>
    </row>
    <row r="1207">
      <c r="A1207" s="163" t="s">
        <v>222</v>
      </c>
      <c r="B1207" s="163"/>
      <c r="C1207" s="163"/>
      <c r="J1207" s="165"/>
      <c r="K1207" s="166"/>
      <c r="L1207" s="166"/>
    </row>
    <row r="1208">
      <c r="A1208" s="163" t="s">
        <v>222</v>
      </c>
      <c r="B1208" s="163"/>
      <c r="C1208" s="163"/>
      <c r="J1208" s="165"/>
      <c r="K1208" s="166"/>
      <c r="L1208" s="166"/>
    </row>
    <row r="1209">
      <c r="A1209" s="163" t="s">
        <v>222</v>
      </c>
      <c r="B1209" s="163"/>
      <c r="C1209" s="163"/>
      <c r="J1209" s="165"/>
      <c r="K1209" s="166"/>
      <c r="L1209" s="166"/>
    </row>
    <row r="1210">
      <c r="A1210" s="163" t="s">
        <v>222</v>
      </c>
      <c r="B1210" s="163"/>
      <c r="C1210" s="163"/>
      <c r="J1210" s="165"/>
      <c r="K1210" s="166"/>
      <c r="L1210" s="166"/>
    </row>
    <row r="1211">
      <c r="A1211" s="163" t="s">
        <v>222</v>
      </c>
      <c r="B1211" s="163"/>
      <c r="C1211" s="163"/>
      <c r="J1211" s="165"/>
      <c r="K1211" s="166"/>
      <c r="L1211" s="166"/>
    </row>
    <row r="1212">
      <c r="A1212" s="163" t="s">
        <v>222</v>
      </c>
      <c r="B1212" s="163"/>
      <c r="C1212" s="163"/>
      <c r="J1212" s="165"/>
      <c r="K1212" s="166"/>
      <c r="L1212" s="166"/>
    </row>
    <row r="1213">
      <c r="A1213" s="163" t="s">
        <v>222</v>
      </c>
      <c r="B1213" s="163"/>
      <c r="C1213" s="163"/>
      <c r="J1213" s="165"/>
      <c r="K1213" s="166"/>
      <c r="L1213" s="166"/>
    </row>
    <row r="1214">
      <c r="A1214" s="163" t="s">
        <v>222</v>
      </c>
      <c r="B1214" s="163"/>
      <c r="C1214" s="163"/>
      <c r="J1214" s="165"/>
      <c r="K1214" s="166"/>
      <c r="L1214" s="166"/>
    </row>
    <row r="1215">
      <c r="A1215" s="163" t="s">
        <v>222</v>
      </c>
      <c r="B1215" s="163"/>
      <c r="C1215" s="163"/>
      <c r="J1215" s="165"/>
      <c r="K1215" s="166"/>
      <c r="L1215" s="166"/>
    </row>
    <row r="1216">
      <c r="A1216" s="163" t="s">
        <v>222</v>
      </c>
      <c r="B1216" s="163"/>
      <c r="C1216" s="163"/>
      <c r="J1216" s="165"/>
      <c r="K1216" s="166"/>
      <c r="L1216" s="166"/>
    </row>
    <row r="1217">
      <c r="A1217" s="163" t="s">
        <v>222</v>
      </c>
      <c r="B1217" s="163"/>
      <c r="C1217" s="163"/>
      <c r="J1217" s="165"/>
      <c r="K1217" s="166"/>
      <c r="L1217" s="166"/>
    </row>
    <row r="1218">
      <c r="A1218" s="163" t="s">
        <v>222</v>
      </c>
      <c r="B1218" s="163"/>
      <c r="C1218" s="163"/>
      <c r="J1218" s="165"/>
      <c r="K1218" s="166"/>
      <c r="L1218" s="166"/>
    </row>
    <row r="1219">
      <c r="A1219" s="163" t="s">
        <v>222</v>
      </c>
      <c r="B1219" s="163"/>
      <c r="C1219" s="163"/>
      <c r="J1219" s="165"/>
      <c r="K1219" s="166"/>
      <c r="L1219" s="166"/>
    </row>
    <row r="1220">
      <c r="A1220" s="163" t="s">
        <v>222</v>
      </c>
      <c r="B1220" s="163"/>
      <c r="C1220" s="163"/>
      <c r="J1220" s="165"/>
      <c r="K1220" s="166"/>
      <c r="L1220" s="166"/>
    </row>
    <row r="1221">
      <c r="A1221" s="163" t="s">
        <v>222</v>
      </c>
      <c r="B1221" s="163"/>
      <c r="C1221" s="163"/>
      <c r="J1221" s="165"/>
      <c r="K1221" s="166"/>
      <c r="L1221" s="166"/>
    </row>
    <row r="1222">
      <c r="A1222" s="163" t="s">
        <v>222</v>
      </c>
      <c r="B1222" s="163"/>
      <c r="C1222" s="163"/>
      <c r="J1222" s="165"/>
      <c r="K1222" s="166"/>
      <c r="L1222" s="166"/>
    </row>
    <row r="1223">
      <c r="A1223" s="163" t="s">
        <v>222</v>
      </c>
      <c r="B1223" s="163"/>
      <c r="C1223" s="163"/>
      <c r="J1223" s="165"/>
      <c r="K1223" s="166"/>
      <c r="L1223" s="166"/>
    </row>
    <row r="1224">
      <c r="A1224" s="163" t="s">
        <v>222</v>
      </c>
      <c r="B1224" s="163"/>
      <c r="C1224" s="163"/>
      <c r="J1224" s="165"/>
      <c r="K1224" s="166"/>
      <c r="L1224" s="166"/>
    </row>
    <row r="1225">
      <c r="A1225" s="163" t="s">
        <v>222</v>
      </c>
      <c r="B1225" s="163"/>
      <c r="C1225" s="163"/>
      <c r="J1225" s="165"/>
      <c r="K1225" s="166"/>
      <c r="L1225" s="166"/>
    </row>
    <row r="1226">
      <c r="A1226" s="163" t="s">
        <v>222</v>
      </c>
      <c r="B1226" s="163"/>
      <c r="C1226" s="163"/>
      <c r="J1226" s="165"/>
      <c r="K1226" s="166"/>
      <c r="L1226" s="166"/>
    </row>
    <row r="1227">
      <c r="A1227" s="163" t="s">
        <v>222</v>
      </c>
      <c r="B1227" s="163"/>
      <c r="C1227" s="163"/>
      <c r="J1227" s="165"/>
      <c r="K1227" s="166"/>
      <c r="L1227" s="166"/>
    </row>
    <row r="1228">
      <c r="A1228" s="163" t="s">
        <v>222</v>
      </c>
      <c r="B1228" s="163"/>
      <c r="C1228" s="163"/>
      <c r="J1228" s="165"/>
      <c r="K1228" s="166"/>
      <c r="L1228" s="166"/>
    </row>
    <row r="1229">
      <c r="A1229" s="163" t="s">
        <v>222</v>
      </c>
      <c r="B1229" s="163"/>
      <c r="C1229" s="163"/>
      <c r="J1229" s="165"/>
      <c r="K1229" s="166"/>
      <c r="L1229" s="166"/>
    </row>
    <row r="1230">
      <c r="A1230" s="163" t="s">
        <v>222</v>
      </c>
      <c r="B1230" s="163"/>
      <c r="C1230" s="163"/>
      <c r="J1230" s="165"/>
      <c r="K1230" s="166"/>
      <c r="L1230" s="166"/>
    </row>
    <row r="1231">
      <c r="A1231" s="163" t="s">
        <v>222</v>
      </c>
      <c r="B1231" s="163"/>
      <c r="C1231" s="163"/>
      <c r="J1231" s="165"/>
      <c r="K1231" s="166"/>
      <c r="L1231" s="166"/>
    </row>
    <row r="1232">
      <c r="A1232" s="163" t="s">
        <v>222</v>
      </c>
      <c r="B1232" s="163"/>
      <c r="C1232" s="163"/>
      <c r="J1232" s="165"/>
      <c r="K1232" s="166"/>
      <c r="L1232" s="166"/>
    </row>
    <row r="1233">
      <c r="A1233" s="163" t="s">
        <v>222</v>
      </c>
      <c r="B1233" s="163"/>
      <c r="C1233" s="163"/>
      <c r="J1233" s="165"/>
      <c r="K1233" s="166"/>
      <c r="L1233" s="166"/>
    </row>
    <row r="1234">
      <c r="A1234" s="163" t="s">
        <v>222</v>
      </c>
      <c r="B1234" s="163"/>
      <c r="C1234" s="163"/>
      <c r="J1234" s="165"/>
      <c r="K1234" s="166"/>
      <c r="L1234" s="166"/>
    </row>
    <row r="1235">
      <c r="A1235" s="163" t="s">
        <v>222</v>
      </c>
      <c r="B1235" s="163"/>
      <c r="C1235" s="163"/>
      <c r="J1235" s="165"/>
      <c r="K1235" s="166"/>
      <c r="L1235" s="166"/>
    </row>
    <row r="1236">
      <c r="A1236" s="163" t="s">
        <v>222</v>
      </c>
      <c r="B1236" s="163"/>
      <c r="C1236" s="163"/>
      <c r="J1236" s="165"/>
      <c r="K1236" s="166"/>
      <c r="L1236" s="166"/>
    </row>
    <row r="1237">
      <c r="A1237" s="163" t="s">
        <v>222</v>
      </c>
      <c r="B1237" s="163"/>
      <c r="C1237" s="163"/>
      <c r="J1237" s="165"/>
      <c r="K1237" s="166"/>
      <c r="L1237" s="166"/>
    </row>
    <row r="1238">
      <c r="A1238" s="163" t="s">
        <v>222</v>
      </c>
      <c r="B1238" s="163"/>
      <c r="C1238" s="163"/>
      <c r="J1238" s="165"/>
      <c r="K1238" s="166"/>
      <c r="L1238" s="166"/>
    </row>
    <row r="1239">
      <c r="A1239" s="163" t="s">
        <v>222</v>
      </c>
      <c r="B1239" s="163"/>
      <c r="C1239" s="163"/>
      <c r="J1239" s="165"/>
      <c r="K1239" s="166"/>
      <c r="L1239" s="166"/>
    </row>
    <row r="1240">
      <c r="A1240" s="163" t="s">
        <v>222</v>
      </c>
      <c r="B1240" s="163"/>
      <c r="C1240" s="163"/>
      <c r="J1240" s="165"/>
      <c r="K1240" s="166"/>
      <c r="L1240" s="166"/>
    </row>
    <row r="1241">
      <c r="A1241" s="163" t="s">
        <v>222</v>
      </c>
      <c r="B1241" s="163"/>
      <c r="C1241" s="163"/>
      <c r="J1241" s="165"/>
      <c r="K1241" s="166"/>
      <c r="L1241" s="166"/>
    </row>
    <row r="1242">
      <c r="A1242" s="163" t="s">
        <v>222</v>
      </c>
      <c r="B1242" s="163"/>
      <c r="C1242" s="163"/>
      <c r="J1242" s="165"/>
      <c r="K1242" s="166"/>
      <c r="L1242" s="166"/>
    </row>
    <row r="1243">
      <c r="A1243" s="163" t="s">
        <v>222</v>
      </c>
      <c r="B1243" s="163"/>
      <c r="C1243" s="163"/>
      <c r="J1243" s="165"/>
      <c r="K1243" s="166"/>
      <c r="L1243" s="166"/>
    </row>
    <row r="1244">
      <c r="A1244" s="163" t="s">
        <v>222</v>
      </c>
      <c r="B1244" s="163"/>
      <c r="C1244" s="163"/>
      <c r="J1244" s="165"/>
      <c r="K1244" s="166"/>
      <c r="L1244" s="166"/>
    </row>
    <row r="1245">
      <c r="A1245" s="163" t="s">
        <v>222</v>
      </c>
      <c r="B1245" s="163"/>
      <c r="C1245" s="163"/>
      <c r="J1245" s="165"/>
      <c r="K1245" s="166"/>
      <c r="L1245" s="166"/>
    </row>
    <row r="1246">
      <c r="A1246" s="163" t="s">
        <v>222</v>
      </c>
      <c r="B1246" s="163"/>
      <c r="C1246" s="163"/>
      <c r="J1246" s="165"/>
      <c r="K1246" s="166"/>
      <c r="L1246" s="166"/>
    </row>
    <row r="1247">
      <c r="A1247" s="163" t="s">
        <v>222</v>
      </c>
      <c r="B1247" s="163"/>
      <c r="C1247" s="163"/>
      <c r="J1247" s="165"/>
      <c r="K1247" s="166"/>
      <c r="L1247" s="166"/>
    </row>
    <row r="1248">
      <c r="A1248" s="163" t="s">
        <v>222</v>
      </c>
      <c r="B1248" s="163"/>
      <c r="C1248" s="163"/>
      <c r="J1248" s="165"/>
      <c r="K1248" s="166"/>
      <c r="L1248" s="166"/>
    </row>
    <row r="1249">
      <c r="A1249" s="163" t="s">
        <v>222</v>
      </c>
      <c r="B1249" s="163"/>
      <c r="C1249" s="163"/>
      <c r="J1249" s="165"/>
      <c r="K1249" s="166"/>
      <c r="L1249" s="166"/>
    </row>
    <row r="1250">
      <c r="A1250" s="163" t="s">
        <v>222</v>
      </c>
      <c r="B1250" s="163"/>
      <c r="C1250" s="163"/>
      <c r="J1250" s="165"/>
      <c r="K1250" s="166"/>
      <c r="L1250" s="166"/>
    </row>
    <row r="1251">
      <c r="A1251" s="163" t="s">
        <v>222</v>
      </c>
      <c r="B1251" s="163"/>
      <c r="C1251" s="163"/>
      <c r="J1251" s="165"/>
      <c r="K1251" s="166"/>
      <c r="L1251" s="166"/>
    </row>
    <row r="1252">
      <c r="A1252" s="163" t="s">
        <v>222</v>
      </c>
      <c r="B1252" s="163"/>
      <c r="C1252" s="163"/>
      <c r="J1252" s="165"/>
      <c r="K1252" s="166"/>
      <c r="L1252" s="166"/>
    </row>
    <row r="1253">
      <c r="A1253" s="163" t="s">
        <v>222</v>
      </c>
      <c r="B1253" s="163"/>
      <c r="C1253" s="163"/>
      <c r="J1253" s="165"/>
      <c r="K1253" s="166"/>
      <c r="L1253" s="166"/>
    </row>
    <row r="1254">
      <c r="A1254" s="163" t="s">
        <v>222</v>
      </c>
      <c r="B1254" s="163"/>
      <c r="C1254" s="163"/>
      <c r="J1254" s="165"/>
      <c r="K1254" s="166"/>
      <c r="L1254" s="166"/>
    </row>
    <row r="1255">
      <c r="A1255" s="163" t="s">
        <v>222</v>
      </c>
      <c r="B1255" s="163"/>
      <c r="C1255" s="163"/>
      <c r="J1255" s="165"/>
      <c r="K1255" s="166"/>
      <c r="L1255" s="166"/>
    </row>
    <row r="1256">
      <c r="A1256" s="163" t="s">
        <v>222</v>
      </c>
      <c r="B1256" s="163"/>
      <c r="C1256" s="163"/>
      <c r="J1256" s="165"/>
      <c r="K1256" s="166"/>
      <c r="L1256" s="166"/>
    </row>
    <row r="1257">
      <c r="A1257" s="163" t="s">
        <v>222</v>
      </c>
      <c r="B1257" s="163"/>
      <c r="C1257" s="163"/>
      <c r="J1257" s="165"/>
      <c r="K1257" s="166"/>
      <c r="L1257" s="166"/>
    </row>
    <row r="1258">
      <c r="A1258" s="163" t="s">
        <v>222</v>
      </c>
      <c r="B1258" s="163"/>
      <c r="C1258" s="163"/>
      <c r="J1258" s="165"/>
      <c r="K1258" s="166"/>
      <c r="L1258" s="166"/>
    </row>
    <row r="1259">
      <c r="A1259" s="163" t="s">
        <v>222</v>
      </c>
      <c r="B1259" s="163"/>
      <c r="C1259" s="163"/>
      <c r="J1259" s="165"/>
      <c r="K1259" s="166"/>
      <c r="L1259" s="166"/>
    </row>
    <row r="1260">
      <c r="A1260" s="163" t="s">
        <v>222</v>
      </c>
      <c r="B1260" s="163"/>
      <c r="C1260" s="163"/>
      <c r="J1260" s="165"/>
      <c r="K1260" s="166"/>
      <c r="L1260" s="166"/>
    </row>
    <row r="1261">
      <c r="A1261" s="163" t="s">
        <v>222</v>
      </c>
      <c r="B1261" s="163"/>
      <c r="C1261" s="163"/>
      <c r="J1261" s="165"/>
      <c r="K1261" s="166"/>
      <c r="L1261" s="166"/>
    </row>
    <row r="1262">
      <c r="A1262" s="163" t="s">
        <v>222</v>
      </c>
      <c r="B1262" s="163"/>
      <c r="C1262" s="163"/>
      <c r="J1262" s="165"/>
      <c r="K1262" s="166"/>
      <c r="L1262" s="166"/>
    </row>
    <row r="1263">
      <c r="A1263" s="163" t="s">
        <v>222</v>
      </c>
      <c r="B1263" s="163"/>
      <c r="C1263" s="163"/>
      <c r="J1263" s="165"/>
      <c r="K1263" s="166"/>
      <c r="L1263" s="166"/>
    </row>
    <row r="1264">
      <c r="A1264" s="163" t="s">
        <v>222</v>
      </c>
      <c r="B1264" s="163"/>
      <c r="C1264" s="163"/>
      <c r="J1264" s="165"/>
      <c r="K1264" s="166"/>
      <c r="L1264" s="166"/>
    </row>
    <row r="1265">
      <c r="A1265" s="163" t="s">
        <v>222</v>
      </c>
      <c r="B1265" s="163"/>
      <c r="C1265" s="163"/>
      <c r="J1265" s="165"/>
      <c r="K1265" s="166"/>
      <c r="L1265" s="166"/>
    </row>
    <row r="1266">
      <c r="A1266" s="163" t="s">
        <v>222</v>
      </c>
      <c r="B1266" s="163"/>
      <c r="C1266" s="163"/>
      <c r="J1266" s="165"/>
      <c r="K1266" s="166"/>
      <c r="L1266" s="166"/>
    </row>
    <row r="1267">
      <c r="A1267" s="163" t="s">
        <v>222</v>
      </c>
      <c r="B1267" s="163"/>
      <c r="C1267" s="163"/>
      <c r="J1267" s="165"/>
      <c r="K1267" s="166"/>
      <c r="L1267" s="166"/>
    </row>
    <row r="1268">
      <c r="A1268" s="163" t="s">
        <v>222</v>
      </c>
      <c r="B1268" s="163"/>
      <c r="C1268" s="163"/>
      <c r="J1268" s="165"/>
      <c r="K1268" s="166"/>
      <c r="L1268" s="166"/>
    </row>
    <row r="1269">
      <c r="A1269" s="163" t="s">
        <v>222</v>
      </c>
      <c r="B1269" s="163"/>
      <c r="C1269" s="163"/>
      <c r="J1269" s="165"/>
      <c r="K1269" s="166"/>
      <c r="L1269" s="166"/>
    </row>
    <row r="1270">
      <c r="A1270" s="163" t="s">
        <v>222</v>
      </c>
      <c r="B1270" s="163"/>
      <c r="C1270" s="163"/>
      <c r="J1270" s="165"/>
      <c r="K1270" s="166"/>
      <c r="L1270" s="166"/>
    </row>
    <row r="1271">
      <c r="A1271" s="163" t="s">
        <v>222</v>
      </c>
      <c r="B1271" s="163"/>
      <c r="C1271" s="163"/>
      <c r="J1271" s="165"/>
      <c r="K1271" s="166"/>
      <c r="L1271" s="166"/>
    </row>
    <row r="1272">
      <c r="A1272" s="163" t="s">
        <v>222</v>
      </c>
      <c r="B1272" s="163"/>
      <c r="C1272" s="163"/>
      <c r="J1272" s="165"/>
      <c r="K1272" s="166"/>
      <c r="L1272" s="166"/>
    </row>
    <row r="1273">
      <c r="A1273" s="163" t="s">
        <v>222</v>
      </c>
      <c r="B1273" s="163"/>
      <c r="C1273" s="163"/>
      <c r="J1273" s="165"/>
      <c r="K1273" s="166"/>
      <c r="L1273" s="166"/>
    </row>
    <row r="1274">
      <c r="A1274" s="163" t="s">
        <v>222</v>
      </c>
      <c r="B1274" s="163"/>
      <c r="C1274" s="163"/>
      <c r="J1274" s="165"/>
      <c r="K1274" s="166"/>
      <c r="L1274" s="166"/>
    </row>
    <row r="1275">
      <c r="A1275" s="163" t="s">
        <v>222</v>
      </c>
      <c r="B1275" s="163"/>
      <c r="C1275" s="163"/>
      <c r="J1275" s="165"/>
      <c r="K1275" s="166"/>
      <c r="L1275" s="166"/>
    </row>
    <row r="1276">
      <c r="A1276" s="163" t="s">
        <v>222</v>
      </c>
      <c r="B1276" s="163"/>
      <c r="C1276" s="163"/>
      <c r="J1276" s="165"/>
      <c r="K1276" s="166"/>
      <c r="L1276" s="166"/>
    </row>
    <row r="1277">
      <c r="A1277" s="163" t="s">
        <v>222</v>
      </c>
      <c r="B1277" s="163"/>
      <c r="C1277" s="163"/>
      <c r="J1277" s="165"/>
      <c r="K1277" s="166"/>
      <c r="L1277" s="166"/>
    </row>
    <row r="1278">
      <c r="A1278" s="163" t="s">
        <v>222</v>
      </c>
      <c r="B1278" s="163"/>
      <c r="C1278" s="163"/>
      <c r="J1278" s="165"/>
      <c r="K1278" s="166"/>
      <c r="L1278" s="166"/>
    </row>
    <row r="1279">
      <c r="A1279" s="163" t="s">
        <v>222</v>
      </c>
      <c r="B1279" s="163"/>
      <c r="C1279" s="163"/>
      <c r="J1279" s="165"/>
      <c r="K1279" s="166"/>
      <c r="L1279" s="166"/>
    </row>
    <row r="1280">
      <c r="A1280" s="163" t="s">
        <v>222</v>
      </c>
      <c r="B1280" s="163"/>
      <c r="C1280" s="163"/>
      <c r="J1280" s="165"/>
      <c r="K1280" s="166"/>
      <c r="L1280" s="166"/>
    </row>
    <row r="1281">
      <c r="A1281" s="163" t="s">
        <v>222</v>
      </c>
      <c r="B1281" s="163"/>
      <c r="C1281" s="163"/>
      <c r="J1281" s="165"/>
      <c r="K1281" s="166"/>
      <c r="L1281" s="166"/>
    </row>
    <row r="1282">
      <c r="A1282" s="163" t="s">
        <v>222</v>
      </c>
      <c r="B1282" s="163"/>
      <c r="C1282" s="163"/>
      <c r="J1282" s="165"/>
      <c r="K1282" s="166"/>
      <c r="L1282" s="166"/>
    </row>
    <row r="1283">
      <c r="A1283" s="163" t="s">
        <v>222</v>
      </c>
      <c r="B1283" s="163"/>
      <c r="C1283" s="163"/>
      <c r="J1283" s="165"/>
      <c r="K1283" s="166"/>
      <c r="L1283" s="166"/>
    </row>
    <row r="1284">
      <c r="A1284" s="163" t="s">
        <v>222</v>
      </c>
      <c r="B1284" s="163"/>
      <c r="C1284" s="163"/>
      <c r="J1284" s="165"/>
      <c r="K1284" s="166"/>
      <c r="L1284" s="166"/>
    </row>
    <row r="1285">
      <c r="A1285" s="163" t="s">
        <v>222</v>
      </c>
      <c r="B1285" s="163"/>
      <c r="C1285" s="163"/>
      <c r="J1285" s="165"/>
      <c r="K1285" s="166"/>
      <c r="L1285" s="166"/>
    </row>
    <row r="1286">
      <c r="A1286" s="163" t="s">
        <v>222</v>
      </c>
      <c r="B1286" s="163"/>
      <c r="C1286" s="163"/>
      <c r="J1286" s="165"/>
      <c r="K1286" s="166"/>
      <c r="L1286" s="166"/>
    </row>
    <row r="1287">
      <c r="A1287" s="163" t="s">
        <v>222</v>
      </c>
      <c r="B1287" s="163"/>
      <c r="C1287" s="163"/>
      <c r="J1287" s="165"/>
      <c r="K1287" s="166"/>
      <c r="L1287" s="166"/>
    </row>
    <row r="1288">
      <c r="A1288" s="163" t="s">
        <v>222</v>
      </c>
      <c r="B1288" s="163"/>
      <c r="C1288" s="163"/>
      <c r="J1288" s="165"/>
      <c r="K1288" s="166"/>
      <c r="L1288" s="166"/>
    </row>
    <row r="1289">
      <c r="A1289" s="163" t="s">
        <v>222</v>
      </c>
      <c r="B1289" s="163"/>
      <c r="C1289" s="163"/>
      <c r="J1289" s="165"/>
      <c r="K1289" s="166"/>
      <c r="L1289" s="166"/>
    </row>
    <row r="1290">
      <c r="A1290" s="163" t="s">
        <v>222</v>
      </c>
      <c r="B1290" s="163"/>
      <c r="C1290" s="163"/>
      <c r="J1290" s="165"/>
      <c r="K1290" s="166"/>
      <c r="L1290" s="166"/>
    </row>
    <row r="1291">
      <c r="A1291" s="163" t="s">
        <v>222</v>
      </c>
      <c r="B1291" s="163"/>
      <c r="C1291" s="163"/>
      <c r="J1291" s="165"/>
      <c r="K1291" s="166"/>
      <c r="L1291" s="166"/>
    </row>
    <row r="1292">
      <c r="A1292" s="163" t="s">
        <v>222</v>
      </c>
      <c r="B1292" s="163"/>
      <c r="C1292" s="163"/>
      <c r="J1292" s="165"/>
      <c r="K1292" s="166"/>
      <c r="L1292" s="166"/>
    </row>
    <row r="1293">
      <c r="A1293" s="163" t="s">
        <v>222</v>
      </c>
      <c r="B1293" s="163"/>
      <c r="C1293" s="163"/>
      <c r="J1293" s="165"/>
      <c r="K1293" s="166"/>
      <c r="L1293" s="166"/>
    </row>
    <row r="1294">
      <c r="A1294" s="163" t="s">
        <v>222</v>
      </c>
      <c r="B1294" s="163"/>
      <c r="C1294" s="163"/>
      <c r="J1294" s="165"/>
      <c r="K1294" s="166"/>
      <c r="L1294" s="166"/>
    </row>
    <row r="1295">
      <c r="A1295" s="163" t="s">
        <v>222</v>
      </c>
      <c r="B1295" s="163"/>
      <c r="C1295" s="163"/>
      <c r="J1295" s="165"/>
      <c r="K1295" s="166"/>
      <c r="L1295" s="166"/>
    </row>
    <row r="1296">
      <c r="A1296" s="163" t="s">
        <v>222</v>
      </c>
      <c r="B1296" s="163"/>
      <c r="C1296" s="163"/>
      <c r="J1296" s="165"/>
      <c r="K1296" s="166"/>
      <c r="L1296" s="166"/>
    </row>
    <row r="1297">
      <c r="A1297" s="163" t="s">
        <v>222</v>
      </c>
      <c r="B1297" s="163"/>
      <c r="C1297" s="163"/>
      <c r="J1297" s="165"/>
      <c r="K1297" s="166"/>
      <c r="L1297" s="166"/>
    </row>
    <row r="1298">
      <c r="A1298" s="163" t="s">
        <v>222</v>
      </c>
      <c r="B1298" s="163"/>
      <c r="C1298" s="163"/>
      <c r="J1298" s="165"/>
      <c r="K1298" s="166"/>
      <c r="L1298" s="166"/>
    </row>
    <row r="1299">
      <c r="A1299" s="163" t="s">
        <v>222</v>
      </c>
      <c r="B1299" s="163"/>
      <c r="C1299" s="163"/>
      <c r="J1299" s="165"/>
      <c r="K1299" s="166"/>
      <c r="L1299" s="166"/>
    </row>
    <row r="1300">
      <c r="A1300" s="163" t="s">
        <v>222</v>
      </c>
      <c r="B1300" s="163"/>
      <c r="C1300" s="163"/>
      <c r="J1300" s="165"/>
      <c r="K1300" s="166"/>
      <c r="L1300" s="166"/>
    </row>
    <row r="1301">
      <c r="A1301" s="163" t="s">
        <v>222</v>
      </c>
      <c r="B1301" s="163"/>
      <c r="C1301" s="163"/>
      <c r="J1301" s="165"/>
      <c r="K1301" s="166"/>
      <c r="L1301" s="166"/>
    </row>
    <row r="1302">
      <c r="A1302" s="163" t="s">
        <v>222</v>
      </c>
      <c r="B1302" s="163"/>
      <c r="C1302" s="163"/>
      <c r="J1302" s="165"/>
      <c r="K1302" s="166"/>
      <c r="L1302" s="166"/>
    </row>
    <row r="1303">
      <c r="A1303" s="163" t="s">
        <v>222</v>
      </c>
      <c r="B1303" s="163"/>
      <c r="C1303" s="163"/>
      <c r="J1303" s="165"/>
      <c r="K1303" s="166"/>
      <c r="L1303" s="166"/>
    </row>
    <row r="1304">
      <c r="A1304" s="163" t="s">
        <v>222</v>
      </c>
      <c r="B1304" s="163"/>
      <c r="C1304" s="163"/>
      <c r="J1304" s="165"/>
      <c r="K1304" s="166"/>
      <c r="L1304" s="166"/>
    </row>
    <row r="1305">
      <c r="A1305" s="163" t="s">
        <v>222</v>
      </c>
      <c r="B1305" s="163"/>
      <c r="C1305" s="163"/>
      <c r="J1305" s="165"/>
      <c r="K1305" s="166"/>
      <c r="L1305" s="166"/>
    </row>
    <row r="1306">
      <c r="A1306" s="163" t="s">
        <v>222</v>
      </c>
      <c r="B1306" s="163"/>
      <c r="C1306" s="163"/>
      <c r="J1306" s="165"/>
      <c r="K1306" s="166"/>
      <c r="L1306" s="166"/>
    </row>
    <row r="1307">
      <c r="A1307" s="163" t="s">
        <v>222</v>
      </c>
      <c r="B1307" s="163"/>
      <c r="C1307" s="163"/>
      <c r="J1307" s="165"/>
      <c r="K1307" s="166"/>
      <c r="L1307" s="166"/>
    </row>
    <row r="1308">
      <c r="A1308" s="163" t="s">
        <v>222</v>
      </c>
      <c r="B1308" s="163"/>
      <c r="C1308" s="163"/>
      <c r="J1308" s="165"/>
      <c r="K1308" s="166"/>
      <c r="L1308" s="166"/>
    </row>
    <row r="1309">
      <c r="A1309" s="163" t="s">
        <v>222</v>
      </c>
      <c r="B1309" s="163"/>
      <c r="C1309" s="163"/>
      <c r="J1309" s="165"/>
      <c r="K1309" s="166"/>
      <c r="L1309" s="166"/>
    </row>
    <row r="1310">
      <c r="A1310" s="163" t="s">
        <v>222</v>
      </c>
      <c r="B1310" s="163"/>
      <c r="C1310" s="163"/>
      <c r="J1310" s="165"/>
      <c r="K1310" s="166"/>
      <c r="L1310" s="166"/>
    </row>
    <row r="1311">
      <c r="A1311" s="163" t="s">
        <v>222</v>
      </c>
      <c r="B1311" s="163"/>
      <c r="C1311" s="163"/>
      <c r="J1311" s="165"/>
      <c r="K1311" s="166"/>
      <c r="L1311" s="166"/>
    </row>
    <row r="1312">
      <c r="A1312" s="163" t="s">
        <v>222</v>
      </c>
      <c r="B1312" s="163"/>
      <c r="C1312" s="163"/>
      <c r="J1312" s="165"/>
      <c r="K1312" s="166"/>
      <c r="L1312" s="166"/>
    </row>
    <row r="1313">
      <c r="A1313" s="163" t="s">
        <v>222</v>
      </c>
      <c r="B1313" s="163"/>
      <c r="C1313" s="163"/>
      <c r="J1313" s="165"/>
      <c r="K1313" s="166"/>
      <c r="L1313" s="166"/>
    </row>
    <row r="1314">
      <c r="A1314" s="163" t="s">
        <v>222</v>
      </c>
      <c r="B1314" s="163"/>
      <c r="C1314" s="163"/>
      <c r="J1314" s="165"/>
      <c r="K1314" s="166"/>
      <c r="L1314" s="166"/>
    </row>
    <row r="1315">
      <c r="A1315" s="163" t="s">
        <v>222</v>
      </c>
      <c r="B1315" s="163"/>
      <c r="C1315" s="163"/>
      <c r="J1315" s="165"/>
      <c r="K1315" s="166"/>
      <c r="L1315" s="166"/>
    </row>
    <row r="1316">
      <c r="A1316" s="163" t="s">
        <v>222</v>
      </c>
      <c r="B1316" s="163"/>
      <c r="C1316" s="163"/>
      <c r="J1316" s="165"/>
      <c r="K1316" s="166"/>
      <c r="L1316" s="166"/>
    </row>
    <row r="1317">
      <c r="A1317" s="163" t="s">
        <v>222</v>
      </c>
      <c r="B1317" s="163"/>
      <c r="C1317" s="163"/>
      <c r="J1317" s="165"/>
      <c r="K1317" s="166"/>
      <c r="L1317" s="166"/>
    </row>
    <row r="1318">
      <c r="A1318" s="163" t="s">
        <v>222</v>
      </c>
      <c r="B1318" s="163"/>
      <c r="C1318" s="163"/>
      <c r="J1318" s="165"/>
      <c r="K1318" s="166"/>
      <c r="L1318" s="166"/>
    </row>
    <row r="1319">
      <c r="A1319" s="163" t="s">
        <v>222</v>
      </c>
      <c r="B1319" s="163"/>
      <c r="C1319" s="163"/>
      <c r="J1319" s="165"/>
      <c r="K1319" s="166"/>
      <c r="L1319" s="166"/>
    </row>
    <row r="1320">
      <c r="A1320" s="163" t="s">
        <v>222</v>
      </c>
      <c r="B1320" s="163"/>
      <c r="C1320" s="163"/>
      <c r="J1320" s="165"/>
      <c r="K1320" s="166"/>
      <c r="L1320" s="166"/>
    </row>
    <row r="1321">
      <c r="A1321" s="163" t="s">
        <v>222</v>
      </c>
      <c r="B1321" s="163"/>
      <c r="C1321" s="163"/>
      <c r="J1321" s="165"/>
      <c r="K1321" s="166"/>
      <c r="L1321" s="166"/>
    </row>
    <row r="1322">
      <c r="A1322" s="163" t="s">
        <v>222</v>
      </c>
      <c r="B1322" s="163"/>
      <c r="C1322" s="163"/>
      <c r="J1322" s="165"/>
      <c r="K1322" s="166"/>
      <c r="L1322" s="166"/>
    </row>
    <row r="1323">
      <c r="A1323" s="163" t="s">
        <v>222</v>
      </c>
      <c r="B1323" s="163"/>
      <c r="C1323" s="163"/>
      <c r="J1323" s="165"/>
      <c r="K1323" s="166"/>
      <c r="L1323" s="166"/>
    </row>
    <row r="1324">
      <c r="A1324" s="163" t="s">
        <v>222</v>
      </c>
      <c r="B1324" s="163"/>
      <c r="C1324" s="163"/>
      <c r="J1324" s="165"/>
      <c r="K1324" s="166"/>
      <c r="L1324" s="166"/>
    </row>
    <row r="1325">
      <c r="A1325" s="163" t="s">
        <v>222</v>
      </c>
      <c r="B1325" s="163"/>
      <c r="C1325" s="163"/>
      <c r="J1325" s="165"/>
      <c r="K1325" s="166"/>
      <c r="L1325" s="166"/>
    </row>
    <row r="1326">
      <c r="A1326" s="163" t="s">
        <v>222</v>
      </c>
      <c r="B1326" s="163"/>
      <c r="C1326" s="163"/>
      <c r="J1326" s="165"/>
      <c r="K1326" s="166"/>
      <c r="L1326" s="166"/>
    </row>
    <row r="1327">
      <c r="A1327" s="163" t="s">
        <v>222</v>
      </c>
      <c r="B1327" s="163"/>
      <c r="C1327" s="163"/>
      <c r="J1327" s="165"/>
      <c r="K1327" s="166"/>
      <c r="L1327" s="166"/>
    </row>
    <row r="1328">
      <c r="A1328" s="163" t="s">
        <v>222</v>
      </c>
      <c r="B1328" s="163"/>
      <c r="C1328" s="163"/>
      <c r="J1328" s="165"/>
      <c r="K1328" s="166"/>
      <c r="L1328" s="166"/>
    </row>
    <row r="1329">
      <c r="A1329" s="163" t="s">
        <v>222</v>
      </c>
      <c r="B1329" s="163"/>
      <c r="C1329" s="163"/>
      <c r="J1329" s="165"/>
      <c r="K1329" s="166"/>
      <c r="L1329" s="166"/>
    </row>
    <row r="1330">
      <c r="A1330" s="163" t="s">
        <v>222</v>
      </c>
      <c r="B1330" s="163"/>
      <c r="C1330" s="163"/>
      <c r="J1330" s="165"/>
      <c r="K1330" s="166"/>
      <c r="L1330" s="166"/>
    </row>
    <row r="1331">
      <c r="A1331" s="163" t="s">
        <v>222</v>
      </c>
      <c r="B1331" s="163"/>
      <c r="C1331" s="163"/>
      <c r="J1331" s="165"/>
      <c r="K1331" s="166"/>
      <c r="L1331" s="166"/>
    </row>
    <row r="1332">
      <c r="A1332" s="163" t="s">
        <v>222</v>
      </c>
      <c r="B1332" s="163"/>
      <c r="C1332" s="163"/>
      <c r="J1332" s="165"/>
      <c r="K1332" s="166"/>
      <c r="L1332" s="166"/>
    </row>
    <row r="1333">
      <c r="A1333" s="163" t="s">
        <v>222</v>
      </c>
      <c r="B1333" s="163"/>
      <c r="C1333" s="163"/>
      <c r="J1333" s="165"/>
      <c r="K1333" s="166"/>
      <c r="L1333" s="166"/>
    </row>
    <row r="1334">
      <c r="A1334" s="163" t="s">
        <v>222</v>
      </c>
      <c r="B1334" s="163"/>
      <c r="C1334" s="163"/>
      <c r="J1334" s="165"/>
      <c r="K1334" s="166"/>
      <c r="L1334" s="166"/>
    </row>
    <row r="1335">
      <c r="A1335" s="163" t="s">
        <v>222</v>
      </c>
      <c r="B1335" s="163"/>
      <c r="C1335" s="163"/>
      <c r="J1335" s="165"/>
      <c r="K1335" s="166"/>
      <c r="L1335" s="166"/>
    </row>
    <row r="1336">
      <c r="A1336" s="163" t="s">
        <v>222</v>
      </c>
      <c r="B1336" s="163"/>
      <c r="C1336" s="163"/>
      <c r="J1336" s="165"/>
      <c r="K1336" s="166"/>
      <c r="L1336" s="166"/>
    </row>
    <row r="1337">
      <c r="A1337" s="163" t="s">
        <v>222</v>
      </c>
      <c r="B1337" s="163"/>
      <c r="C1337" s="163"/>
      <c r="J1337" s="165"/>
      <c r="K1337" s="166"/>
      <c r="L1337" s="166"/>
    </row>
    <row r="1338">
      <c r="A1338" s="163" t="s">
        <v>222</v>
      </c>
      <c r="B1338" s="163"/>
      <c r="C1338" s="163"/>
      <c r="J1338" s="165"/>
      <c r="K1338" s="166"/>
      <c r="L1338" s="166"/>
    </row>
    <row r="1339">
      <c r="A1339" s="163" t="s">
        <v>222</v>
      </c>
      <c r="B1339" s="163"/>
      <c r="C1339" s="163"/>
      <c r="J1339" s="165"/>
      <c r="K1339" s="166"/>
      <c r="L1339" s="166"/>
    </row>
    <row r="1340">
      <c r="A1340" s="163" t="s">
        <v>222</v>
      </c>
      <c r="B1340" s="163"/>
      <c r="C1340" s="163"/>
      <c r="J1340" s="165"/>
      <c r="K1340" s="166"/>
      <c r="L1340" s="166"/>
    </row>
    <row r="1341">
      <c r="A1341" s="163" t="s">
        <v>222</v>
      </c>
      <c r="B1341" s="163"/>
      <c r="C1341" s="163"/>
      <c r="J1341" s="165"/>
      <c r="K1341" s="166"/>
      <c r="L1341" s="166"/>
    </row>
    <row r="1342">
      <c r="A1342" s="163" t="s">
        <v>222</v>
      </c>
      <c r="B1342" s="163"/>
      <c r="C1342" s="163"/>
      <c r="J1342" s="165"/>
      <c r="K1342" s="166"/>
      <c r="L1342" s="166"/>
    </row>
    <row r="1343">
      <c r="A1343" s="163" t="s">
        <v>222</v>
      </c>
      <c r="B1343" s="163"/>
      <c r="C1343" s="163"/>
      <c r="J1343" s="165"/>
      <c r="K1343" s="166"/>
      <c r="L1343" s="166"/>
    </row>
    <row r="1344">
      <c r="A1344" s="163" t="s">
        <v>222</v>
      </c>
      <c r="B1344" s="163"/>
      <c r="C1344" s="163"/>
      <c r="J1344" s="165"/>
      <c r="K1344" s="166"/>
      <c r="L1344" s="166"/>
    </row>
    <row r="1345">
      <c r="A1345" s="163" t="s">
        <v>222</v>
      </c>
      <c r="B1345" s="163"/>
      <c r="C1345" s="163"/>
      <c r="J1345" s="165"/>
      <c r="K1345" s="166"/>
      <c r="L1345" s="166"/>
    </row>
    <row r="1346">
      <c r="A1346" s="163" t="s">
        <v>222</v>
      </c>
      <c r="B1346" s="163"/>
      <c r="C1346" s="163"/>
      <c r="J1346" s="165"/>
      <c r="K1346" s="166"/>
      <c r="L1346" s="166"/>
    </row>
    <row r="1347">
      <c r="A1347" s="163" t="s">
        <v>222</v>
      </c>
      <c r="B1347" s="163"/>
      <c r="C1347" s="163"/>
      <c r="J1347" s="165"/>
      <c r="K1347" s="166"/>
      <c r="L1347" s="166"/>
    </row>
    <row r="1348">
      <c r="A1348" s="163" t="s">
        <v>222</v>
      </c>
      <c r="B1348" s="163"/>
      <c r="C1348" s="163"/>
      <c r="J1348" s="165"/>
      <c r="K1348" s="166"/>
      <c r="L1348" s="166"/>
    </row>
    <row r="1349">
      <c r="A1349" s="163" t="s">
        <v>222</v>
      </c>
      <c r="B1349" s="163"/>
      <c r="C1349" s="163"/>
      <c r="J1349" s="165"/>
      <c r="K1349" s="166"/>
      <c r="L1349" s="166"/>
    </row>
    <row r="1350">
      <c r="A1350" s="163" t="s">
        <v>222</v>
      </c>
      <c r="B1350" s="163"/>
      <c r="C1350" s="163"/>
      <c r="J1350" s="165"/>
      <c r="K1350" s="166"/>
      <c r="L1350" s="166"/>
    </row>
    <row r="1351">
      <c r="A1351" s="163" t="s">
        <v>222</v>
      </c>
      <c r="B1351" s="163"/>
      <c r="C1351" s="163"/>
      <c r="J1351" s="165"/>
      <c r="K1351" s="166"/>
      <c r="L1351" s="166"/>
    </row>
    <row r="1352">
      <c r="A1352" s="163" t="s">
        <v>222</v>
      </c>
      <c r="B1352" s="163"/>
      <c r="C1352" s="163"/>
      <c r="J1352" s="165"/>
      <c r="K1352" s="166"/>
      <c r="L1352" s="166"/>
    </row>
    <row r="1353">
      <c r="A1353" s="163" t="s">
        <v>222</v>
      </c>
      <c r="B1353" s="163"/>
      <c r="C1353" s="163"/>
      <c r="J1353" s="165"/>
      <c r="K1353" s="166"/>
      <c r="L1353" s="166"/>
    </row>
    <row r="1354">
      <c r="A1354" s="163" t="s">
        <v>222</v>
      </c>
      <c r="B1354" s="163"/>
      <c r="C1354" s="163"/>
      <c r="J1354" s="165"/>
      <c r="K1354" s="166"/>
      <c r="L1354" s="166"/>
    </row>
    <row r="1355">
      <c r="A1355" s="163" t="s">
        <v>222</v>
      </c>
      <c r="B1355" s="163"/>
      <c r="C1355" s="163"/>
      <c r="J1355" s="165"/>
      <c r="K1355" s="166"/>
      <c r="L1355" s="166"/>
    </row>
    <row r="1356">
      <c r="A1356" s="163" t="s">
        <v>222</v>
      </c>
      <c r="B1356" s="163"/>
      <c r="C1356" s="163"/>
      <c r="J1356" s="165"/>
      <c r="K1356" s="166"/>
      <c r="L1356" s="166"/>
    </row>
    <row r="1357">
      <c r="A1357" s="163" t="s">
        <v>222</v>
      </c>
      <c r="B1357" s="163"/>
      <c r="C1357" s="163"/>
      <c r="J1357" s="165"/>
      <c r="K1357" s="166"/>
      <c r="L1357" s="166"/>
    </row>
    <row r="1358">
      <c r="A1358" s="163" t="s">
        <v>222</v>
      </c>
      <c r="B1358" s="163"/>
      <c r="C1358" s="163"/>
      <c r="J1358" s="165"/>
      <c r="K1358" s="166"/>
      <c r="L1358" s="166"/>
    </row>
    <row r="1359">
      <c r="A1359" s="163" t="s">
        <v>222</v>
      </c>
      <c r="B1359" s="163"/>
      <c r="C1359" s="163"/>
      <c r="J1359" s="165"/>
      <c r="K1359" s="166"/>
      <c r="L1359" s="166"/>
    </row>
    <row r="1360">
      <c r="A1360" s="163" t="s">
        <v>222</v>
      </c>
      <c r="B1360" s="163"/>
      <c r="C1360" s="163"/>
      <c r="J1360" s="165"/>
      <c r="K1360" s="166"/>
      <c r="L1360" s="166"/>
    </row>
    <row r="1361">
      <c r="A1361" s="163" t="s">
        <v>222</v>
      </c>
      <c r="B1361" s="163"/>
      <c r="C1361" s="163"/>
      <c r="J1361" s="165"/>
      <c r="K1361" s="166"/>
      <c r="L1361" s="166"/>
    </row>
    <row r="1362">
      <c r="A1362" s="163" t="s">
        <v>222</v>
      </c>
      <c r="B1362" s="163"/>
      <c r="C1362" s="163"/>
      <c r="J1362" s="165"/>
      <c r="K1362" s="166"/>
      <c r="L1362" s="166"/>
    </row>
    <row r="1363">
      <c r="A1363" s="163" t="s">
        <v>222</v>
      </c>
      <c r="B1363" s="163"/>
      <c r="C1363" s="163"/>
      <c r="J1363" s="165"/>
      <c r="K1363" s="166"/>
      <c r="L1363" s="166"/>
    </row>
    <row r="1364">
      <c r="A1364" s="163" t="s">
        <v>222</v>
      </c>
      <c r="B1364" s="163"/>
      <c r="C1364" s="163"/>
      <c r="J1364" s="165"/>
      <c r="K1364" s="166"/>
      <c r="L1364" s="166"/>
    </row>
    <row r="1365">
      <c r="A1365" s="163" t="s">
        <v>222</v>
      </c>
      <c r="B1365" s="163"/>
      <c r="C1365" s="163"/>
      <c r="J1365" s="165"/>
      <c r="K1365" s="166"/>
      <c r="L1365" s="166"/>
    </row>
    <row r="1366">
      <c r="A1366" s="163" t="s">
        <v>222</v>
      </c>
      <c r="B1366" s="163"/>
      <c r="C1366" s="163"/>
      <c r="J1366" s="165"/>
      <c r="K1366" s="166"/>
      <c r="L1366" s="166"/>
    </row>
    <row r="1367">
      <c r="A1367" s="163" t="s">
        <v>222</v>
      </c>
      <c r="B1367" s="163"/>
      <c r="C1367" s="163"/>
      <c r="J1367" s="165"/>
      <c r="K1367" s="166"/>
      <c r="L1367" s="166"/>
    </row>
    <row r="1368">
      <c r="A1368" s="163" t="s">
        <v>222</v>
      </c>
      <c r="B1368" s="163"/>
      <c r="C1368" s="163"/>
      <c r="J1368" s="165"/>
      <c r="K1368" s="166"/>
      <c r="L1368" s="166"/>
    </row>
    <row r="1369">
      <c r="A1369" s="163" t="s">
        <v>222</v>
      </c>
      <c r="B1369" s="163"/>
      <c r="C1369" s="163"/>
      <c r="J1369" s="165"/>
      <c r="K1369" s="166"/>
      <c r="L1369" s="166"/>
    </row>
    <row r="1370">
      <c r="A1370" s="163" t="s">
        <v>222</v>
      </c>
      <c r="B1370" s="163"/>
      <c r="C1370" s="163"/>
      <c r="J1370" s="165"/>
      <c r="K1370" s="166"/>
      <c r="L1370" s="166"/>
    </row>
    <row r="1371">
      <c r="A1371" s="163" t="s">
        <v>222</v>
      </c>
      <c r="B1371" s="163"/>
      <c r="C1371" s="163"/>
      <c r="J1371" s="165"/>
      <c r="K1371" s="166"/>
      <c r="L1371" s="166"/>
    </row>
    <row r="1372">
      <c r="A1372" s="163" t="s">
        <v>222</v>
      </c>
      <c r="B1372" s="163"/>
      <c r="C1372" s="163"/>
      <c r="J1372" s="165"/>
      <c r="K1372" s="166"/>
      <c r="L1372" s="166"/>
    </row>
    <row r="1373">
      <c r="A1373" s="163" t="s">
        <v>222</v>
      </c>
      <c r="B1373" s="163"/>
      <c r="C1373" s="163"/>
      <c r="J1373" s="165"/>
      <c r="K1373" s="166"/>
      <c r="L1373" s="166"/>
    </row>
    <row r="1374">
      <c r="A1374" s="163" t="s">
        <v>222</v>
      </c>
      <c r="B1374" s="163"/>
      <c r="C1374" s="163"/>
      <c r="J1374" s="165"/>
      <c r="K1374" s="166"/>
      <c r="L1374" s="166"/>
    </row>
    <row r="1375">
      <c r="A1375" s="163" t="s">
        <v>222</v>
      </c>
      <c r="B1375" s="163"/>
      <c r="C1375" s="163"/>
      <c r="J1375" s="165"/>
      <c r="K1375" s="166"/>
      <c r="L1375" s="166"/>
    </row>
    <row r="1376">
      <c r="A1376" s="163" t="s">
        <v>222</v>
      </c>
      <c r="B1376" s="163"/>
      <c r="C1376" s="163"/>
      <c r="J1376" s="165"/>
      <c r="K1376" s="166"/>
      <c r="L1376" s="166"/>
    </row>
    <row r="1377">
      <c r="A1377" s="163" t="s">
        <v>222</v>
      </c>
      <c r="B1377" s="163"/>
      <c r="C1377" s="163"/>
      <c r="J1377" s="165"/>
      <c r="K1377" s="166"/>
      <c r="L1377" s="166"/>
    </row>
    <row r="1378">
      <c r="A1378" s="163" t="s">
        <v>222</v>
      </c>
      <c r="B1378" s="163"/>
      <c r="C1378" s="163"/>
      <c r="J1378" s="165"/>
      <c r="K1378" s="166"/>
      <c r="L1378" s="166"/>
    </row>
    <row r="1379">
      <c r="A1379" s="163" t="s">
        <v>222</v>
      </c>
      <c r="B1379" s="163"/>
      <c r="C1379" s="163"/>
      <c r="J1379" s="165"/>
      <c r="K1379" s="166"/>
      <c r="L1379" s="166"/>
    </row>
    <row r="1380">
      <c r="A1380" s="163" t="s">
        <v>222</v>
      </c>
      <c r="B1380" s="163"/>
      <c r="C1380" s="163"/>
      <c r="J1380" s="165"/>
      <c r="K1380" s="166"/>
      <c r="L1380" s="166"/>
    </row>
    <row r="1381">
      <c r="A1381" s="163" t="s">
        <v>222</v>
      </c>
      <c r="B1381" s="163"/>
      <c r="C1381" s="163"/>
      <c r="J1381" s="165"/>
      <c r="K1381" s="166"/>
      <c r="L1381" s="166"/>
    </row>
    <row r="1382">
      <c r="A1382" s="163" t="s">
        <v>222</v>
      </c>
      <c r="B1382" s="163"/>
      <c r="C1382" s="163"/>
      <c r="J1382" s="165"/>
      <c r="K1382" s="166"/>
      <c r="L1382" s="166"/>
    </row>
    <row r="1383">
      <c r="A1383" s="163" t="s">
        <v>222</v>
      </c>
      <c r="B1383" s="163"/>
      <c r="C1383" s="163"/>
      <c r="J1383" s="165"/>
      <c r="K1383" s="166"/>
      <c r="L1383" s="166"/>
    </row>
    <row r="1384">
      <c r="A1384" s="163" t="s">
        <v>222</v>
      </c>
      <c r="B1384" s="163"/>
      <c r="C1384" s="163"/>
      <c r="J1384" s="165"/>
      <c r="K1384" s="166"/>
      <c r="L1384" s="166"/>
    </row>
    <row r="1385">
      <c r="A1385" s="163" t="s">
        <v>222</v>
      </c>
      <c r="B1385" s="163"/>
      <c r="C1385" s="163"/>
      <c r="J1385" s="165"/>
      <c r="K1385" s="166"/>
      <c r="L1385" s="166"/>
    </row>
    <row r="1386">
      <c r="A1386" s="163" t="s">
        <v>222</v>
      </c>
      <c r="B1386" s="163"/>
      <c r="C1386" s="163"/>
      <c r="J1386" s="165"/>
      <c r="K1386" s="166"/>
      <c r="L1386" s="166"/>
    </row>
    <row r="1387">
      <c r="A1387" s="163" t="s">
        <v>222</v>
      </c>
      <c r="B1387" s="163"/>
      <c r="C1387" s="163"/>
      <c r="J1387" s="165"/>
      <c r="K1387" s="166"/>
      <c r="L1387" s="166"/>
    </row>
    <row r="1388">
      <c r="A1388" s="163" t="s">
        <v>222</v>
      </c>
      <c r="B1388" s="163"/>
      <c r="C1388" s="163"/>
      <c r="J1388" s="165"/>
      <c r="K1388" s="166"/>
      <c r="L1388" s="166"/>
    </row>
    <row r="1389">
      <c r="A1389" s="163" t="s">
        <v>222</v>
      </c>
      <c r="B1389" s="163"/>
      <c r="C1389" s="163"/>
      <c r="J1389" s="165"/>
      <c r="K1389" s="166"/>
      <c r="L1389" s="166"/>
    </row>
    <row r="1390">
      <c r="A1390" s="163" t="s">
        <v>222</v>
      </c>
      <c r="B1390" s="163"/>
      <c r="C1390" s="163"/>
      <c r="J1390" s="165"/>
      <c r="K1390" s="166"/>
      <c r="L1390" s="166"/>
    </row>
    <row r="1391">
      <c r="A1391" s="163" t="s">
        <v>222</v>
      </c>
      <c r="B1391" s="163"/>
      <c r="C1391" s="163"/>
      <c r="J1391" s="165"/>
      <c r="K1391" s="166"/>
      <c r="L1391" s="166"/>
    </row>
    <row r="1392">
      <c r="A1392" s="163" t="s">
        <v>222</v>
      </c>
      <c r="B1392" s="163"/>
      <c r="C1392" s="163"/>
      <c r="J1392" s="165"/>
      <c r="K1392" s="166"/>
      <c r="L1392" s="166"/>
    </row>
    <row r="1393">
      <c r="A1393" s="163" t="s">
        <v>222</v>
      </c>
      <c r="B1393" s="163"/>
      <c r="C1393" s="163"/>
      <c r="J1393" s="165"/>
      <c r="K1393" s="166"/>
      <c r="L1393" s="166"/>
    </row>
    <row r="1394">
      <c r="A1394" s="163" t="s">
        <v>222</v>
      </c>
      <c r="B1394" s="163"/>
      <c r="C1394" s="163"/>
      <c r="J1394" s="165"/>
      <c r="K1394" s="166"/>
      <c r="L1394" s="166"/>
    </row>
    <row r="1395">
      <c r="A1395" s="163" t="s">
        <v>222</v>
      </c>
      <c r="B1395" s="163"/>
      <c r="C1395" s="163"/>
      <c r="J1395" s="165"/>
      <c r="K1395" s="166"/>
      <c r="L1395" s="166"/>
    </row>
    <row r="1396">
      <c r="A1396" s="163" t="s">
        <v>222</v>
      </c>
      <c r="B1396" s="163"/>
      <c r="C1396" s="163"/>
      <c r="J1396" s="165"/>
      <c r="K1396" s="166"/>
      <c r="L1396" s="166"/>
    </row>
    <row r="1397">
      <c r="A1397" s="163" t="s">
        <v>222</v>
      </c>
      <c r="B1397" s="163"/>
      <c r="C1397" s="163"/>
      <c r="J1397" s="165"/>
      <c r="K1397" s="166"/>
      <c r="L1397" s="166"/>
    </row>
    <row r="1398">
      <c r="A1398" s="163" t="s">
        <v>222</v>
      </c>
      <c r="B1398" s="163"/>
      <c r="C1398" s="163"/>
      <c r="J1398" s="165"/>
      <c r="K1398" s="166"/>
      <c r="L1398" s="166"/>
    </row>
    <row r="1399">
      <c r="A1399" s="163" t="s">
        <v>222</v>
      </c>
      <c r="B1399" s="163"/>
      <c r="C1399" s="163"/>
      <c r="J1399" s="165"/>
      <c r="K1399" s="166"/>
      <c r="L1399" s="166"/>
    </row>
    <row r="1400">
      <c r="A1400" s="163" t="s">
        <v>222</v>
      </c>
      <c r="B1400" s="163"/>
      <c r="C1400" s="163"/>
      <c r="J1400" s="165"/>
      <c r="K1400" s="166"/>
      <c r="L1400" s="166"/>
    </row>
    <row r="1401">
      <c r="A1401" s="163" t="s">
        <v>222</v>
      </c>
      <c r="B1401" s="163"/>
      <c r="C1401" s="163"/>
      <c r="J1401" s="165"/>
      <c r="K1401" s="166"/>
      <c r="L1401" s="166"/>
    </row>
    <row r="1402">
      <c r="A1402" s="163" t="s">
        <v>222</v>
      </c>
      <c r="B1402" s="163"/>
      <c r="C1402" s="163"/>
      <c r="J1402" s="165"/>
      <c r="K1402" s="166"/>
      <c r="L1402" s="166"/>
    </row>
    <row r="1403">
      <c r="A1403" s="163" t="s">
        <v>222</v>
      </c>
      <c r="B1403" s="163"/>
      <c r="C1403" s="163"/>
      <c r="J1403" s="165"/>
      <c r="K1403" s="166"/>
      <c r="L1403" s="166"/>
    </row>
    <row r="1404">
      <c r="A1404" s="163" t="s">
        <v>222</v>
      </c>
      <c r="B1404" s="163"/>
      <c r="C1404" s="163"/>
      <c r="J1404" s="165"/>
      <c r="K1404" s="166"/>
      <c r="L1404" s="166"/>
    </row>
    <row r="1405">
      <c r="A1405" s="163" t="s">
        <v>222</v>
      </c>
      <c r="B1405" s="163"/>
      <c r="C1405" s="163"/>
      <c r="J1405" s="165"/>
      <c r="K1405" s="166"/>
      <c r="L1405" s="166"/>
    </row>
    <row r="1406">
      <c r="A1406" s="163" t="s">
        <v>222</v>
      </c>
      <c r="B1406" s="163"/>
      <c r="C1406" s="163"/>
      <c r="J1406" s="165"/>
      <c r="K1406" s="166"/>
      <c r="L1406" s="166"/>
    </row>
    <row r="1407">
      <c r="A1407" s="163" t="s">
        <v>222</v>
      </c>
      <c r="B1407" s="163"/>
      <c r="C1407" s="163"/>
      <c r="J1407" s="165"/>
      <c r="K1407" s="166"/>
      <c r="L1407" s="166"/>
    </row>
    <row r="1408">
      <c r="A1408" s="163" t="s">
        <v>222</v>
      </c>
      <c r="B1408" s="163"/>
      <c r="C1408" s="163"/>
      <c r="J1408" s="165"/>
      <c r="K1408" s="166"/>
      <c r="L1408" s="166"/>
    </row>
    <row r="1409">
      <c r="A1409" s="163" t="s">
        <v>222</v>
      </c>
      <c r="B1409" s="163"/>
      <c r="C1409" s="163"/>
      <c r="J1409" s="165"/>
      <c r="K1409" s="166"/>
      <c r="L1409" s="166"/>
    </row>
    <row r="1410">
      <c r="A1410" s="163" t="s">
        <v>222</v>
      </c>
      <c r="B1410" s="163"/>
      <c r="C1410" s="163"/>
      <c r="J1410" s="165"/>
      <c r="K1410" s="166"/>
      <c r="L1410" s="166"/>
    </row>
    <row r="1411">
      <c r="A1411" s="163" t="s">
        <v>222</v>
      </c>
      <c r="B1411" s="163"/>
      <c r="C1411" s="163"/>
      <c r="J1411" s="165"/>
      <c r="K1411" s="166"/>
      <c r="L1411" s="166"/>
    </row>
    <row r="1412">
      <c r="A1412" s="163" t="s">
        <v>222</v>
      </c>
      <c r="B1412" s="163"/>
      <c r="C1412" s="163"/>
      <c r="J1412" s="165"/>
      <c r="K1412" s="166"/>
      <c r="L1412" s="166"/>
    </row>
    <row r="1413">
      <c r="A1413" s="163" t="s">
        <v>222</v>
      </c>
      <c r="B1413" s="163"/>
      <c r="C1413" s="163"/>
      <c r="J1413" s="165"/>
      <c r="K1413" s="166"/>
      <c r="L1413" s="166"/>
    </row>
    <row r="1414">
      <c r="A1414" s="163" t="s">
        <v>222</v>
      </c>
      <c r="B1414" s="163"/>
      <c r="C1414" s="163"/>
      <c r="J1414" s="165"/>
      <c r="K1414" s="166"/>
      <c r="L1414" s="166"/>
    </row>
    <row r="1415">
      <c r="A1415" s="163" t="s">
        <v>222</v>
      </c>
      <c r="B1415" s="163"/>
      <c r="C1415" s="163"/>
      <c r="J1415" s="165"/>
      <c r="K1415" s="166"/>
      <c r="L1415" s="166"/>
    </row>
    <row r="1416">
      <c r="A1416" s="163" t="s">
        <v>222</v>
      </c>
      <c r="B1416" s="163"/>
      <c r="C1416" s="163"/>
      <c r="J1416" s="165"/>
      <c r="K1416" s="166"/>
      <c r="L1416" s="166"/>
    </row>
    <row r="1417">
      <c r="A1417" s="163" t="s">
        <v>222</v>
      </c>
      <c r="B1417" s="163"/>
      <c r="C1417" s="163"/>
      <c r="J1417" s="165"/>
      <c r="K1417" s="166"/>
      <c r="L1417" s="166"/>
    </row>
    <row r="1418">
      <c r="A1418" s="163" t="s">
        <v>222</v>
      </c>
      <c r="B1418" s="163"/>
      <c r="C1418" s="163"/>
      <c r="J1418" s="165"/>
      <c r="K1418" s="166"/>
      <c r="L1418" s="166"/>
    </row>
    <row r="1419">
      <c r="A1419" s="163" t="s">
        <v>222</v>
      </c>
      <c r="B1419" s="163"/>
      <c r="C1419" s="163"/>
      <c r="J1419" s="165"/>
      <c r="K1419" s="166"/>
      <c r="L1419" s="166"/>
    </row>
    <row r="1420">
      <c r="A1420" s="163" t="s">
        <v>222</v>
      </c>
      <c r="B1420" s="163"/>
      <c r="C1420" s="163"/>
      <c r="J1420" s="165"/>
      <c r="K1420" s="166"/>
      <c r="L1420" s="166"/>
    </row>
    <row r="1421">
      <c r="A1421" s="163" t="s">
        <v>222</v>
      </c>
      <c r="B1421" s="163"/>
      <c r="C1421" s="163"/>
      <c r="J1421" s="165"/>
      <c r="K1421" s="166"/>
      <c r="L1421" s="166"/>
    </row>
    <row r="1422">
      <c r="A1422" s="163" t="s">
        <v>222</v>
      </c>
      <c r="B1422" s="163"/>
      <c r="C1422" s="163"/>
      <c r="J1422" s="165"/>
      <c r="K1422" s="166"/>
      <c r="L1422" s="166"/>
    </row>
    <row r="1423">
      <c r="A1423" s="163" t="s">
        <v>222</v>
      </c>
      <c r="B1423" s="163"/>
      <c r="C1423" s="163"/>
      <c r="J1423" s="165"/>
      <c r="K1423" s="166"/>
      <c r="L1423" s="166"/>
    </row>
    <row r="1424">
      <c r="A1424" s="163" t="s">
        <v>222</v>
      </c>
      <c r="B1424" s="163"/>
      <c r="C1424" s="163"/>
      <c r="J1424" s="165"/>
      <c r="K1424" s="166"/>
      <c r="L1424" s="166"/>
    </row>
    <row r="1425">
      <c r="A1425" s="163" t="s">
        <v>222</v>
      </c>
      <c r="B1425" s="163"/>
      <c r="C1425" s="163"/>
      <c r="J1425" s="165"/>
      <c r="K1425" s="166"/>
      <c r="L1425" s="166"/>
    </row>
    <row r="1426">
      <c r="A1426" s="163" t="s">
        <v>222</v>
      </c>
      <c r="B1426" s="163"/>
      <c r="C1426" s="163"/>
      <c r="J1426" s="165"/>
      <c r="K1426" s="166"/>
      <c r="L1426" s="166"/>
    </row>
    <row r="1427">
      <c r="A1427" s="163" t="s">
        <v>222</v>
      </c>
      <c r="B1427" s="163"/>
      <c r="C1427" s="163"/>
      <c r="J1427" s="165"/>
      <c r="K1427" s="166"/>
      <c r="L1427" s="166"/>
    </row>
    <row r="1428">
      <c r="A1428" s="163" t="s">
        <v>222</v>
      </c>
      <c r="B1428" s="163"/>
      <c r="C1428" s="163"/>
      <c r="J1428" s="165"/>
      <c r="K1428" s="166"/>
      <c r="L1428" s="166"/>
    </row>
    <row r="1429">
      <c r="A1429" s="163" t="s">
        <v>222</v>
      </c>
      <c r="B1429" s="163"/>
      <c r="C1429" s="163"/>
      <c r="J1429" s="165"/>
      <c r="K1429" s="166"/>
      <c r="L1429" s="166"/>
    </row>
    <row r="1430">
      <c r="A1430" s="163" t="s">
        <v>222</v>
      </c>
      <c r="B1430" s="163"/>
      <c r="C1430" s="163"/>
      <c r="J1430" s="165"/>
      <c r="K1430" s="166"/>
      <c r="L1430" s="166"/>
    </row>
    <row r="1431">
      <c r="A1431" s="163" t="s">
        <v>222</v>
      </c>
      <c r="B1431" s="163"/>
      <c r="C1431" s="163"/>
      <c r="J1431" s="165"/>
      <c r="K1431" s="166"/>
      <c r="L1431" s="166"/>
    </row>
    <row r="1432">
      <c r="A1432" s="163" t="s">
        <v>222</v>
      </c>
      <c r="B1432" s="163"/>
      <c r="C1432" s="163"/>
      <c r="J1432" s="165"/>
      <c r="K1432" s="166"/>
      <c r="L1432" s="166"/>
    </row>
    <row r="1433">
      <c r="A1433" s="163" t="s">
        <v>222</v>
      </c>
      <c r="B1433" s="163"/>
      <c r="C1433" s="163"/>
      <c r="J1433" s="165"/>
      <c r="K1433" s="166"/>
      <c r="L1433" s="166"/>
    </row>
    <row r="1434">
      <c r="A1434" s="163" t="s">
        <v>222</v>
      </c>
      <c r="B1434" s="163"/>
      <c r="C1434" s="163"/>
      <c r="J1434" s="165"/>
      <c r="K1434" s="166"/>
      <c r="L1434" s="166"/>
    </row>
    <row r="1435">
      <c r="A1435" s="163" t="s">
        <v>222</v>
      </c>
      <c r="B1435" s="163"/>
      <c r="C1435" s="163"/>
      <c r="J1435" s="165"/>
      <c r="K1435" s="166"/>
      <c r="L1435" s="166"/>
    </row>
    <row r="1436">
      <c r="A1436" s="163" t="s">
        <v>222</v>
      </c>
      <c r="B1436" s="163"/>
      <c r="C1436" s="163"/>
      <c r="J1436" s="165"/>
      <c r="K1436" s="166"/>
      <c r="L1436" s="166"/>
    </row>
    <row r="1437">
      <c r="A1437" s="163" t="s">
        <v>222</v>
      </c>
      <c r="B1437" s="163"/>
      <c r="C1437" s="163"/>
      <c r="J1437" s="165"/>
      <c r="K1437" s="166"/>
      <c r="L1437" s="166"/>
    </row>
    <row r="1438">
      <c r="A1438" s="163" t="s">
        <v>222</v>
      </c>
      <c r="B1438" s="163"/>
      <c r="C1438" s="163"/>
      <c r="J1438" s="165"/>
      <c r="K1438" s="166"/>
      <c r="L1438" s="166"/>
    </row>
    <row r="1439">
      <c r="A1439" s="163" t="s">
        <v>222</v>
      </c>
      <c r="B1439" s="163"/>
      <c r="C1439" s="163"/>
      <c r="J1439" s="165"/>
      <c r="K1439" s="166"/>
      <c r="L1439" s="166"/>
    </row>
    <row r="1440">
      <c r="A1440" s="163" t="s">
        <v>222</v>
      </c>
      <c r="B1440" s="163"/>
      <c r="C1440" s="163"/>
      <c r="J1440" s="165"/>
      <c r="K1440" s="166"/>
      <c r="L1440" s="166"/>
    </row>
    <row r="1441">
      <c r="A1441" s="163" t="s">
        <v>222</v>
      </c>
      <c r="B1441" s="163"/>
      <c r="C1441" s="163"/>
      <c r="J1441" s="165"/>
      <c r="K1441" s="166"/>
      <c r="L1441" s="166"/>
    </row>
    <row r="1442">
      <c r="A1442" s="163" t="s">
        <v>222</v>
      </c>
      <c r="B1442" s="163"/>
      <c r="C1442" s="163"/>
      <c r="J1442" s="165"/>
      <c r="K1442" s="166"/>
      <c r="L1442" s="166"/>
    </row>
    <row r="1443">
      <c r="A1443" s="163" t="s">
        <v>222</v>
      </c>
      <c r="B1443" s="163"/>
      <c r="C1443" s="163"/>
      <c r="J1443" s="165"/>
      <c r="K1443" s="166"/>
      <c r="L1443" s="166"/>
    </row>
    <row r="1444">
      <c r="A1444" s="163" t="s">
        <v>222</v>
      </c>
      <c r="B1444" s="163"/>
      <c r="C1444" s="163"/>
      <c r="J1444" s="165"/>
      <c r="K1444" s="166"/>
      <c r="L1444" s="166"/>
    </row>
    <row r="1445">
      <c r="A1445" s="163" t="s">
        <v>222</v>
      </c>
      <c r="B1445" s="163"/>
      <c r="C1445" s="163"/>
      <c r="J1445" s="165"/>
      <c r="K1445" s="166"/>
      <c r="L1445" s="166"/>
    </row>
    <row r="1446">
      <c r="A1446" s="163" t="s">
        <v>222</v>
      </c>
      <c r="B1446" s="163"/>
      <c r="C1446" s="163"/>
      <c r="J1446" s="165"/>
      <c r="K1446" s="166"/>
      <c r="L1446" s="166"/>
    </row>
    <row r="1447">
      <c r="A1447" s="163" t="s">
        <v>222</v>
      </c>
      <c r="B1447" s="163"/>
      <c r="C1447" s="163"/>
      <c r="J1447" s="165"/>
      <c r="K1447" s="166"/>
      <c r="L1447" s="166"/>
    </row>
    <row r="1448">
      <c r="A1448" s="163" t="s">
        <v>222</v>
      </c>
      <c r="B1448" s="163"/>
      <c r="C1448" s="163"/>
      <c r="J1448" s="165"/>
      <c r="K1448" s="166"/>
      <c r="L1448" s="166"/>
    </row>
    <row r="1449">
      <c r="A1449" s="163" t="s">
        <v>222</v>
      </c>
      <c r="B1449" s="163"/>
      <c r="C1449" s="163"/>
      <c r="J1449" s="165"/>
      <c r="K1449" s="166"/>
      <c r="L1449" s="166"/>
    </row>
    <row r="1450">
      <c r="A1450" s="163" t="s">
        <v>222</v>
      </c>
      <c r="B1450" s="163"/>
      <c r="C1450" s="163"/>
      <c r="J1450" s="165"/>
      <c r="K1450" s="166"/>
      <c r="L1450" s="166"/>
    </row>
    <row r="1451">
      <c r="A1451" s="163" t="s">
        <v>222</v>
      </c>
      <c r="B1451" s="163"/>
      <c r="C1451" s="163"/>
      <c r="J1451" s="165"/>
      <c r="K1451" s="166"/>
      <c r="L1451" s="166"/>
    </row>
    <row r="1452">
      <c r="A1452" s="163" t="s">
        <v>222</v>
      </c>
      <c r="B1452" s="163"/>
      <c r="C1452" s="163"/>
      <c r="J1452" s="165"/>
      <c r="K1452" s="166"/>
      <c r="L1452" s="166"/>
    </row>
    <row r="1453">
      <c r="A1453" s="163" t="s">
        <v>222</v>
      </c>
      <c r="B1453" s="163"/>
      <c r="C1453" s="163"/>
      <c r="J1453" s="165"/>
      <c r="K1453" s="166"/>
      <c r="L1453" s="166"/>
    </row>
    <row r="1454">
      <c r="A1454" s="163" t="s">
        <v>222</v>
      </c>
      <c r="B1454" s="163"/>
      <c r="C1454" s="163"/>
      <c r="J1454" s="165"/>
      <c r="K1454" s="166"/>
      <c r="L1454" s="166"/>
    </row>
    <row r="1455">
      <c r="A1455" s="163" t="s">
        <v>222</v>
      </c>
      <c r="B1455" s="163"/>
      <c r="C1455" s="163"/>
      <c r="J1455" s="165"/>
      <c r="K1455" s="166"/>
      <c r="L1455" s="166"/>
    </row>
    <row r="1456">
      <c r="A1456" s="163" t="s">
        <v>222</v>
      </c>
      <c r="B1456" s="163"/>
      <c r="C1456" s="163"/>
      <c r="J1456" s="165"/>
      <c r="K1456" s="166"/>
      <c r="L1456" s="166"/>
    </row>
    <row r="1457">
      <c r="A1457" s="163" t="s">
        <v>222</v>
      </c>
      <c r="B1457" s="163"/>
      <c r="C1457" s="163"/>
      <c r="J1457" s="165"/>
      <c r="K1457" s="166"/>
      <c r="L1457" s="166"/>
    </row>
    <row r="1458">
      <c r="A1458" s="163" t="s">
        <v>222</v>
      </c>
      <c r="B1458" s="163"/>
      <c r="C1458" s="163"/>
      <c r="J1458" s="165"/>
      <c r="K1458" s="166"/>
      <c r="L1458" s="166"/>
    </row>
    <row r="1459">
      <c r="A1459" s="163" t="s">
        <v>222</v>
      </c>
      <c r="B1459" s="163"/>
      <c r="C1459" s="163"/>
      <c r="J1459" s="165"/>
      <c r="K1459" s="166"/>
      <c r="L1459" s="166"/>
    </row>
    <row r="1460">
      <c r="A1460" s="163" t="s">
        <v>222</v>
      </c>
      <c r="B1460" s="163"/>
      <c r="C1460" s="163"/>
      <c r="J1460" s="165"/>
      <c r="K1460" s="166"/>
      <c r="L1460" s="166"/>
    </row>
    <row r="1461">
      <c r="A1461" s="163" t="s">
        <v>222</v>
      </c>
      <c r="B1461" s="163"/>
      <c r="C1461" s="163"/>
      <c r="J1461" s="165"/>
      <c r="K1461" s="166"/>
      <c r="L1461" s="166"/>
    </row>
    <row r="1462">
      <c r="A1462" s="163" t="s">
        <v>222</v>
      </c>
      <c r="B1462" s="163"/>
      <c r="C1462" s="163"/>
      <c r="J1462" s="165"/>
      <c r="K1462" s="166"/>
      <c r="L1462" s="166"/>
    </row>
    <row r="1463">
      <c r="A1463" s="163" t="s">
        <v>222</v>
      </c>
      <c r="B1463" s="163"/>
      <c r="C1463" s="163"/>
      <c r="J1463" s="165"/>
      <c r="K1463" s="166"/>
      <c r="L1463" s="166"/>
    </row>
    <row r="1464">
      <c r="A1464" s="163" t="s">
        <v>222</v>
      </c>
      <c r="B1464" s="163"/>
      <c r="C1464" s="163"/>
      <c r="J1464" s="165"/>
      <c r="K1464" s="166"/>
      <c r="L1464" s="166"/>
    </row>
    <row r="1465">
      <c r="A1465" s="163" t="s">
        <v>222</v>
      </c>
      <c r="B1465" s="163"/>
      <c r="C1465" s="163"/>
      <c r="J1465" s="165"/>
      <c r="K1465" s="166"/>
      <c r="L1465" s="166"/>
    </row>
    <row r="1466">
      <c r="A1466" s="163" t="s">
        <v>222</v>
      </c>
      <c r="B1466" s="163"/>
      <c r="C1466" s="163"/>
      <c r="J1466" s="165"/>
      <c r="K1466" s="166"/>
      <c r="L1466" s="166"/>
    </row>
    <row r="1467">
      <c r="A1467" s="163" t="s">
        <v>222</v>
      </c>
      <c r="B1467" s="163"/>
      <c r="C1467" s="163"/>
      <c r="J1467" s="165"/>
      <c r="K1467" s="166"/>
      <c r="L1467" s="166"/>
    </row>
    <row r="1468">
      <c r="A1468" s="163" t="s">
        <v>222</v>
      </c>
      <c r="B1468" s="163"/>
      <c r="C1468" s="163"/>
      <c r="J1468" s="165"/>
      <c r="K1468" s="166"/>
      <c r="L1468" s="166"/>
    </row>
    <row r="1469">
      <c r="A1469" s="163" t="s">
        <v>222</v>
      </c>
      <c r="B1469" s="163"/>
      <c r="C1469" s="163"/>
      <c r="J1469" s="165"/>
      <c r="K1469" s="166"/>
      <c r="L1469" s="166"/>
    </row>
    <row r="1470">
      <c r="A1470" s="163" t="s">
        <v>222</v>
      </c>
      <c r="B1470" s="163"/>
      <c r="C1470" s="163"/>
      <c r="J1470" s="165"/>
      <c r="K1470" s="166"/>
      <c r="L1470" s="166"/>
    </row>
    <row r="1471">
      <c r="A1471" s="163" t="s">
        <v>222</v>
      </c>
      <c r="B1471" s="163"/>
      <c r="C1471" s="163"/>
      <c r="J1471" s="165"/>
      <c r="K1471" s="166"/>
      <c r="L1471" s="166"/>
    </row>
    <row r="1472">
      <c r="A1472" s="163" t="s">
        <v>222</v>
      </c>
      <c r="B1472" s="163"/>
      <c r="C1472" s="163"/>
      <c r="J1472" s="165"/>
      <c r="K1472" s="166"/>
      <c r="L1472" s="166"/>
    </row>
    <row r="1473">
      <c r="A1473" s="163" t="s">
        <v>222</v>
      </c>
      <c r="B1473" s="163"/>
      <c r="C1473" s="163"/>
      <c r="J1473" s="165"/>
      <c r="K1473" s="166"/>
      <c r="L1473" s="166"/>
    </row>
    <row r="1474">
      <c r="A1474" s="163" t="s">
        <v>222</v>
      </c>
      <c r="B1474" s="163"/>
      <c r="C1474" s="163"/>
      <c r="J1474" s="165"/>
      <c r="K1474" s="166"/>
      <c r="L1474" s="166"/>
    </row>
    <row r="1475">
      <c r="A1475" s="163" t="s">
        <v>222</v>
      </c>
      <c r="B1475" s="163"/>
      <c r="C1475" s="163"/>
      <c r="J1475" s="165"/>
      <c r="K1475" s="166"/>
      <c r="L1475" s="166"/>
    </row>
    <row r="1476">
      <c r="A1476" s="163" t="s">
        <v>222</v>
      </c>
      <c r="B1476" s="163"/>
      <c r="C1476" s="163"/>
      <c r="J1476" s="165"/>
      <c r="K1476" s="166"/>
      <c r="L1476" s="166"/>
    </row>
    <row r="1477">
      <c r="A1477" s="163" t="s">
        <v>222</v>
      </c>
      <c r="B1477" s="163"/>
      <c r="C1477" s="163"/>
      <c r="J1477" s="165"/>
      <c r="K1477" s="166"/>
      <c r="L1477" s="166"/>
    </row>
    <row r="1478">
      <c r="A1478" s="163" t="s">
        <v>222</v>
      </c>
      <c r="B1478" s="163"/>
      <c r="C1478" s="163"/>
      <c r="J1478" s="165"/>
      <c r="K1478" s="166"/>
      <c r="L1478" s="166"/>
    </row>
    <row r="1479">
      <c r="A1479" s="163" t="s">
        <v>222</v>
      </c>
      <c r="B1479" s="163"/>
      <c r="C1479" s="163"/>
      <c r="J1479" s="165"/>
      <c r="K1479" s="166"/>
      <c r="L1479" s="166"/>
    </row>
    <row r="1480">
      <c r="A1480" s="163" t="s">
        <v>222</v>
      </c>
      <c r="B1480" s="163"/>
      <c r="C1480" s="163"/>
      <c r="J1480" s="165"/>
      <c r="K1480" s="166"/>
      <c r="L1480" s="166"/>
    </row>
    <row r="1481">
      <c r="A1481" s="163" t="s">
        <v>222</v>
      </c>
      <c r="B1481" s="163"/>
      <c r="C1481" s="163"/>
      <c r="J1481" s="165"/>
      <c r="K1481" s="166"/>
      <c r="L1481" s="166"/>
    </row>
    <row r="1482">
      <c r="A1482" s="163" t="s">
        <v>222</v>
      </c>
      <c r="B1482" s="163"/>
      <c r="C1482" s="163"/>
      <c r="J1482" s="165"/>
      <c r="K1482" s="166"/>
      <c r="L1482" s="166"/>
    </row>
    <row r="1483">
      <c r="A1483" s="163" t="s">
        <v>222</v>
      </c>
      <c r="B1483" s="163"/>
      <c r="C1483" s="163"/>
      <c r="J1483" s="165"/>
      <c r="K1483" s="166"/>
      <c r="L1483" s="166"/>
    </row>
    <row r="1484">
      <c r="A1484" s="163" t="s">
        <v>222</v>
      </c>
      <c r="B1484" s="163"/>
      <c r="C1484" s="163"/>
      <c r="J1484" s="165"/>
      <c r="K1484" s="166"/>
      <c r="L1484" s="166"/>
    </row>
    <row r="1485">
      <c r="A1485" s="163" t="s">
        <v>222</v>
      </c>
      <c r="B1485" s="163"/>
      <c r="C1485" s="163"/>
      <c r="J1485" s="165"/>
      <c r="K1485" s="166"/>
      <c r="L1485" s="166"/>
    </row>
    <row r="1486">
      <c r="A1486" s="163" t="s">
        <v>222</v>
      </c>
      <c r="B1486" s="163"/>
      <c r="C1486" s="163"/>
      <c r="J1486" s="165"/>
      <c r="K1486" s="166"/>
      <c r="L1486" s="166"/>
    </row>
    <row r="1487">
      <c r="A1487" s="163" t="s">
        <v>222</v>
      </c>
      <c r="B1487" s="163"/>
      <c r="C1487" s="163"/>
      <c r="J1487" s="165"/>
      <c r="K1487" s="166"/>
      <c r="L1487" s="166"/>
    </row>
    <row r="1488">
      <c r="A1488" s="163" t="s">
        <v>222</v>
      </c>
      <c r="B1488" s="163"/>
      <c r="C1488" s="163"/>
      <c r="J1488" s="165"/>
      <c r="K1488" s="166"/>
      <c r="L1488" s="166"/>
    </row>
    <row r="1489">
      <c r="A1489" s="163" t="s">
        <v>222</v>
      </c>
      <c r="B1489" s="163"/>
      <c r="C1489" s="163"/>
      <c r="J1489" s="165"/>
      <c r="K1489" s="166"/>
      <c r="L1489" s="166"/>
    </row>
    <row r="1490">
      <c r="A1490" s="163" t="s">
        <v>222</v>
      </c>
      <c r="B1490" s="163"/>
      <c r="C1490" s="163"/>
      <c r="J1490" s="165"/>
      <c r="K1490" s="166"/>
      <c r="L1490" s="166"/>
    </row>
    <row r="1491">
      <c r="A1491" s="163" t="s">
        <v>222</v>
      </c>
      <c r="B1491" s="163"/>
      <c r="C1491" s="163"/>
      <c r="J1491" s="165"/>
      <c r="K1491" s="166"/>
      <c r="L1491" s="166"/>
    </row>
    <row r="1492">
      <c r="A1492" s="163" t="s">
        <v>222</v>
      </c>
      <c r="B1492" s="163"/>
      <c r="C1492" s="163"/>
      <c r="J1492" s="165"/>
      <c r="K1492" s="166"/>
      <c r="L1492" s="166"/>
    </row>
    <row r="1493">
      <c r="A1493" s="163" t="s">
        <v>222</v>
      </c>
      <c r="B1493" s="163"/>
      <c r="C1493" s="163"/>
      <c r="J1493" s="165"/>
      <c r="K1493" s="166"/>
      <c r="L1493" s="166"/>
    </row>
    <row r="1494">
      <c r="A1494" s="163" t="s">
        <v>222</v>
      </c>
      <c r="B1494" s="163"/>
      <c r="C1494" s="163"/>
      <c r="J1494" s="165"/>
      <c r="K1494" s="166"/>
      <c r="L1494" s="166"/>
    </row>
    <row r="1495">
      <c r="A1495" s="163" t="s">
        <v>222</v>
      </c>
      <c r="B1495" s="163"/>
      <c r="C1495" s="163"/>
      <c r="J1495" s="165"/>
      <c r="K1495" s="166"/>
      <c r="L1495" s="166"/>
    </row>
    <row r="1496">
      <c r="A1496" s="163" t="s">
        <v>222</v>
      </c>
      <c r="B1496" s="163"/>
      <c r="C1496" s="163"/>
      <c r="J1496" s="165"/>
      <c r="K1496" s="166"/>
      <c r="L1496" s="166"/>
    </row>
    <row r="1497">
      <c r="A1497" s="163" t="s">
        <v>222</v>
      </c>
      <c r="B1497" s="163"/>
      <c r="C1497" s="163"/>
      <c r="J1497" s="165"/>
      <c r="K1497" s="166"/>
      <c r="L1497" s="166"/>
    </row>
    <row r="1498">
      <c r="A1498" s="163" t="s">
        <v>222</v>
      </c>
      <c r="B1498" s="163"/>
      <c r="C1498" s="163"/>
      <c r="J1498" s="165"/>
      <c r="K1498" s="166"/>
      <c r="L1498" s="166"/>
    </row>
    <row r="1499">
      <c r="A1499" s="163" t="s">
        <v>222</v>
      </c>
      <c r="B1499" s="163"/>
      <c r="C1499" s="163"/>
      <c r="J1499" s="165"/>
      <c r="K1499" s="166"/>
      <c r="L1499" s="166"/>
    </row>
    <row r="1500">
      <c r="A1500" s="163" t="s">
        <v>222</v>
      </c>
      <c r="B1500" s="163"/>
      <c r="C1500" s="163"/>
      <c r="J1500" s="165"/>
      <c r="K1500" s="166"/>
      <c r="L1500" s="166"/>
    </row>
    <row r="1501">
      <c r="A1501" s="163" t="s">
        <v>222</v>
      </c>
      <c r="B1501" s="163"/>
      <c r="C1501" s="163"/>
      <c r="J1501" s="165"/>
      <c r="K1501" s="166"/>
      <c r="L1501" s="166"/>
    </row>
    <row r="1502">
      <c r="A1502" s="163" t="s">
        <v>222</v>
      </c>
      <c r="B1502" s="163"/>
      <c r="C1502" s="163"/>
      <c r="J1502" s="165"/>
      <c r="K1502" s="166"/>
      <c r="L1502" s="166"/>
    </row>
    <row r="1503">
      <c r="A1503" s="163" t="s">
        <v>222</v>
      </c>
      <c r="B1503" s="163"/>
      <c r="C1503" s="163"/>
      <c r="J1503" s="165"/>
      <c r="K1503" s="166"/>
      <c r="L1503" s="166"/>
    </row>
    <row r="1504">
      <c r="A1504" s="163" t="s">
        <v>222</v>
      </c>
      <c r="B1504" s="163"/>
      <c r="C1504" s="163"/>
      <c r="J1504" s="165"/>
      <c r="K1504" s="166"/>
      <c r="L1504" s="166"/>
    </row>
    <row r="1505">
      <c r="A1505" s="163" t="s">
        <v>222</v>
      </c>
      <c r="B1505" s="163"/>
      <c r="C1505" s="163"/>
      <c r="J1505" s="165"/>
      <c r="K1505" s="166"/>
      <c r="L1505" s="166"/>
    </row>
    <row r="1506">
      <c r="A1506" s="163" t="s">
        <v>222</v>
      </c>
      <c r="B1506" s="163"/>
      <c r="C1506" s="163"/>
      <c r="J1506" s="165"/>
      <c r="K1506" s="166"/>
      <c r="L1506" s="166"/>
    </row>
    <row r="1507">
      <c r="A1507" s="163" t="s">
        <v>222</v>
      </c>
      <c r="B1507" s="163"/>
      <c r="C1507" s="163"/>
      <c r="J1507" s="165"/>
      <c r="K1507" s="166"/>
      <c r="L1507" s="166"/>
    </row>
    <row r="1508">
      <c r="A1508" s="163" t="s">
        <v>222</v>
      </c>
      <c r="B1508" s="163"/>
      <c r="C1508" s="163"/>
      <c r="J1508" s="165"/>
      <c r="K1508" s="166"/>
      <c r="L1508" s="166"/>
    </row>
    <row r="1509">
      <c r="A1509" s="163" t="s">
        <v>222</v>
      </c>
      <c r="B1509" s="163"/>
      <c r="C1509" s="163"/>
      <c r="J1509" s="165"/>
      <c r="K1509" s="166"/>
      <c r="L1509" s="166"/>
    </row>
    <row r="1510">
      <c r="A1510" s="163" t="s">
        <v>222</v>
      </c>
      <c r="B1510" s="163"/>
      <c r="C1510" s="163"/>
      <c r="J1510" s="165"/>
      <c r="K1510" s="166"/>
      <c r="L1510" s="166"/>
    </row>
    <row r="1511">
      <c r="A1511" s="163" t="s">
        <v>222</v>
      </c>
      <c r="B1511" s="163"/>
      <c r="C1511" s="163"/>
      <c r="J1511" s="165"/>
      <c r="K1511" s="166"/>
      <c r="L1511" s="166"/>
    </row>
    <row r="1512">
      <c r="A1512" s="163" t="s">
        <v>222</v>
      </c>
      <c r="B1512" s="163"/>
      <c r="C1512" s="163"/>
      <c r="J1512" s="165"/>
      <c r="K1512" s="166"/>
      <c r="L1512" s="166"/>
    </row>
    <row r="1513">
      <c r="A1513" s="163" t="s">
        <v>222</v>
      </c>
      <c r="B1513" s="163"/>
      <c r="C1513" s="163"/>
      <c r="J1513" s="165"/>
      <c r="K1513" s="166"/>
      <c r="L1513" s="166"/>
    </row>
    <row r="1514">
      <c r="A1514" s="163" t="s">
        <v>222</v>
      </c>
      <c r="B1514" s="163"/>
      <c r="C1514" s="163"/>
      <c r="J1514" s="165"/>
      <c r="K1514" s="166"/>
      <c r="L1514" s="166"/>
    </row>
    <row r="1515">
      <c r="A1515" s="163" t="s">
        <v>222</v>
      </c>
      <c r="B1515" s="163"/>
      <c r="C1515" s="163"/>
      <c r="J1515" s="165"/>
      <c r="K1515" s="166"/>
      <c r="L1515" s="166"/>
    </row>
    <row r="1516">
      <c r="A1516" s="163" t="s">
        <v>222</v>
      </c>
      <c r="B1516" s="163"/>
      <c r="C1516" s="163"/>
      <c r="J1516" s="165"/>
      <c r="K1516" s="166"/>
      <c r="L1516" s="166"/>
    </row>
    <row r="1517">
      <c r="A1517" s="163" t="s">
        <v>222</v>
      </c>
      <c r="B1517" s="163"/>
      <c r="C1517" s="163"/>
      <c r="J1517" s="165"/>
      <c r="K1517" s="166"/>
      <c r="L1517" s="166"/>
    </row>
    <row r="1518">
      <c r="A1518" s="163" t="s">
        <v>222</v>
      </c>
      <c r="B1518" s="163"/>
      <c r="C1518" s="163"/>
      <c r="J1518" s="165"/>
      <c r="K1518" s="166"/>
      <c r="L1518" s="166"/>
    </row>
    <row r="1519">
      <c r="A1519" s="163" t="s">
        <v>222</v>
      </c>
      <c r="B1519" s="163"/>
      <c r="C1519" s="163"/>
      <c r="J1519" s="165"/>
      <c r="K1519" s="166"/>
      <c r="L1519" s="166"/>
    </row>
    <row r="1520">
      <c r="A1520" s="163" t="s">
        <v>222</v>
      </c>
      <c r="B1520" s="163"/>
      <c r="C1520" s="163"/>
      <c r="J1520" s="165"/>
      <c r="K1520" s="166"/>
      <c r="L1520" s="166"/>
    </row>
    <row r="1521">
      <c r="A1521" s="163" t="s">
        <v>222</v>
      </c>
      <c r="B1521" s="163"/>
      <c r="C1521" s="163"/>
      <c r="J1521" s="165"/>
      <c r="K1521" s="166"/>
      <c r="L1521" s="166"/>
    </row>
    <row r="1522">
      <c r="A1522" s="163" t="s">
        <v>222</v>
      </c>
      <c r="B1522" s="163"/>
      <c r="C1522" s="163"/>
      <c r="J1522" s="165"/>
      <c r="K1522" s="166"/>
      <c r="L1522" s="166"/>
    </row>
    <row r="1523">
      <c r="A1523" s="163" t="s">
        <v>222</v>
      </c>
      <c r="B1523" s="163"/>
      <c r="C1523" s="163"/>
      <c r="J1523" s="165"/>
      <c r="K1523" s="166"/>
      <c r="L1523" s="166"/>
    </row>
    <row r="1524">
      <c r="A1524" s="163" t="s">
        <v>222</v>
      </c>
      <c r="B1524" s="163"/>
      <c r="C1524" s="163"/>
      <c r="J1524" s="165"/>
      <c r="K1524" s="166"/>
      <c r="L1524" s="166"/>
    </row>
    <row r="1525">
      <c r="A1525" s="163" t="s">
        <v>222</v>
      </c>
      <c r="B1525" s="163"/>
      <c r="C1525" s="163"/>
      <c r="J1525" s="165"/>
      <c r="K1525" s="166"/>
      <c r="L1525" s="166"/>
    </row>
    <row r="1526">
      <c r="A1526" s="163" t="s">
        <v>222</v>
      </c>
      <c r="B1526" s="163"/>
      <c r="C1526" s="163"/>
      <c r="J1526" s="165"/>
      <c r="K1526" s="166"/>
      <c r="L1526" s="166"/>
    </row>
    <row r="1527">
      <c r="A1527" s="163" t="s">
        <v>222</v>
      </c>
      <c r="B1527" s="163"/>
      <c r="C1527" s="163"/>
      <c r="J1527" s="165"/>
      <c r="K1527" s="166"/>
      <c r="L1527" s="166"/>
    </row>
    <row r="1528">
      <c r="A1528" s="163" t="s">
        <v>222</v>
      </c>
      <c r="B1528" s="163"/>
      <c r="C1528" s="163"/>
      <c r="J1528" s="165"/>
      <c r="K1528" s="166"/>
      <c r="L1528" s="166"/>
    </row>
    <row r="1529">
      <c r="A1529" s="163" t="s">
        <v>222</v>
      </c>
      <c r="B1529" s="163"/>
      <c r="C1529" s="163"/>
      <c r="J1529" s="165"/>
      <c r="K1529" s="166"/>
      <c r="L1529" s="166"/>
    </row>
    <row r="1530">
      <c r="A1530" s="163" t="s">
        <v>222</v>
      </c>
      <c r="B1530" s="163"/>
      <c r="C1530" s="163"/>
      <c r="J1530" s="165"/>
      <c r="K1530" s="166"/>
      <c r="L1530" s="166"/>
    </row>
    <row r="1531">
      <c r="A1531" s="163" t="s">
        <v>222</v>
      </c>
      <c r="B1531" s="163"/>
      <c r="C1531" s="163"/>
      <c r="J1531" s="165"/>
      <c r="K1531" s="166"/>
      <c r="L1531" s="166"/>
    </row>
    <row r="1532">
      <c r="A1532" s="163" t="s">
        <v>222</v>
      </c>
      <c r="B1532" s="163"/>
      <c r="C1532" s="163"/>
      <c r="J1532" s="165"/>
      <c r="K1532" s="166"/>
      <c r="L1532" s="166"/>
    </row>
    <row r="1533">
      <c r="A1533" s="163" t="s">
        <v>222</v>
      </c>
      <c r="B1533" s="163"/>
      <c r="C1533" s="163"/>
      <c r="J1533" s="165"/>
      <c r="K1533" s="166"/>
      <c r="L1533" s="166"/>
    </row>
    <row r="1534">
      <c r="A1534" s="163" t="s">
        <v>222</v>
      </c>
      <c r="B1534" s="163"/>
      <c r="C1534" s="163"/>
      <c r="J1534" s="165"/>
      <c r="K1534" s="166"/>
      <c r="L1534" s="166"/>
    </row>
    <row r="1535">
      <c r="A1535" s="163" t="s">
        <v>222</v>
      </c>
      <c r="B1535" s="163"/>
      <c r="C1535" s="163"/>
      <c r="J1535" s="165"/>
      <c r="K1535" s="166"/>
      <c r="L1535" s="166"/>
    </row>
    <row r="1536">
      <c r="A1536" s="163" t="s">
        <v>222</v>
      </c>
      <c r="B1536" s="163"/>
      <c r="C1536" s="163"/>
      <c r="J1536" s="165"/>
      <c r="K1536" s="166"/>
      <c r="L1536" s="166"/>
    </row>
    <row r="1537">
      <c r="A1537" s="163" t="s">
        <v>222</v>
      </c>
      <c r="B1537" s="163"/>
      <c r="C1537" s="163"/>
      <c r="J1537" s="165"/>
      <c r="K1537" s="166"/>
      <c r="L1537" s="166"/>
    </row>
    <row r="1538">
      <c r="A1538" s="163" t="s">
        <v>222</v>
      </c>
      <c r="B1538" s="163"/>
      <c r="C1538" s="163"/>
      <c r="J1538" s="165"/>
      <c r="K1538" s="166"/>
      <c r="L1538" s="166"/>
    </row>
    <row r="1539">
      <c r="A1539" s="163" t="s">
        <v>222</v>
      </c>
      <c r="B1539" s="163"/>
      <c r="C1539" s="163"/>
      <c r="J1539" s="165"/>
      <c r="K1539" s="166"/>
      <c r="L1539" s="166"/>
    </row>
    <row r="1540">
      <c r="A1540" s="163" t="s">
        <v>222</v>
      </c>
      <c r="B1540" s="163"/>
      <c r="C1540" s="163"/>
      <c r="J1540" s="165"/>
      <c r="K1540" s="166"/>
      <c r="L1540" s="166"/>
    </row>
    <row r="1541">
      <c r="A1541" s="163" t="s">
        <v>222</v>
      </c>
      <c r="B1541" s="163"/>
      <c r="C1541" s="163"/>
      <c r="J1541" s="165"/>
      <c r="K1541" s="166"/>
      <c r="L1541" s="166"/>
    </row>
    <row r="1542">
      <c r="A1542" s="163" t="s">
        <v>222</v>
      </c>
      <c r="B1542" s="163"/>
      <c r="C1542" s="163"/>
      <c r="J1542" s="165"/>
      <c r="K1542" s="166"/>
      <c r="L1542" s="166"/>
    </row>
    <row r="1543">
      <c r="A1543" s="163" t="s">
        <v>222</v>
      </c>
      <c r="B1543" s="163"/>
      <c r="C1543" s="163"/>
      <c r="J1543" s="165"/>
      <c r="K1543" s="166"/>
      <c r="L1543" s="166"/>
    </row>
    <row r="1544">
      <c r="A1544" s="163" t="s">
        <v>222</v>
      </c>
      <c r="B1544" s="163"/>
      <c r="C1544" s="163"/>
      <c r="J1544" s="165"/>
      <c r="K1544" s="166"/>
      <c r="L1544" s="166"/>
    </row>
    <row r="1545">
      <c r="A1545" s="163" t="s">
        <v>222</v>
      </c>
      <c r="B1545" s="163"/>
      <c r="C1545" s="163"/>
      <c r="J1545" s="165"/>
      <c r="K1545" s="166"/>
      <c r="L1545" s="166"/>
    </row>
    <row r="1546">
      <c r="A1546" s="163" t="s">
        <v>222</v>
      </c>
      <c r="B1546" s="163"/>
      <c r="C1546" s="163"/>
      <c r="J1546" s="165"/>
      <c r="K1546" s="166"/>
      <c r="L1546" s="166"/>
    </row>
    <row r="1547">
      <c r="A1547" s="163" t="s">
        <v>222</v>
      </c>
      <c r="B1547" s="163"/>
      <c r="C1547" s="163"/>
      <c r="J1547" s="165"/>
      <c r="K1547" s="166"/>
      <c r="L1547" s="166"/>
    </row>
    <row r="1548">
      <c r="A1548" s="163" t="s">
        <v>222</v>
      </c>
      <c r="B1548" s="163"/>
      <c r="C1548" s="163"/>
      <c r="J1548" s="165"/>
      <c r="K1548" s="166"/>
      <c r="L1548" s="166"/>
    </row>
    <row r="1549">
      <c r="A1549" s="163" t="s">
        <v>222</v>
      </c>
      <c r="B1549" s="163"/>
      <c r="C1549" s="163"/>
      <c r="J1549" s="165"/>
      <c r="K1549" s="166"/>
      <c r="L1549" s="166"/>
    </row>
    <row r="1550">
      <c r="A1550" s="163" t="s">
        <v>222</v>
      </c>
      <c r="B1550" s="163"/>
      <c r="C1550" s="163"/>
      <c r="J1550" s="165"/>
      <c r="K1550" s="166"/>
      <c r="L1550" s="166"/>
    </row>
    <row r="1551">
      <c r="A1551" s="163" t="s">
        <v>222</v>
      </c>
      <c r="B1551" s="163"/>
      <c r="C1551" s="163"/>
      <c r="J1551" s="165"/>
      <c r="K1551" s="166"/>
      <c r="L1551" s="166"/>
    </row>
    <row r="1552">
      <c r="A1552" s="163" t="s">
        <v>222</v>
      </c>
      <c r="B1552" s="163"/>
      <c r="C1552" s="163"/>
      <c r="J1552" s="165"/>
      <c r="K1552" s="166"/>
      <c r="L1552" s="166"/>
    </row>
    <row r="1553">
      <c r="A1553" s="163" t="s">
        <v>222</v>
      </c>
      <c r="B1553" s="163"/>
      <c r="C1553" s="163"/>
      <c r="J1553" s="165"/>
      <c r="K1553" s="166"/>
      <c r="L1553" s="166"/>
    </row>
    <row r="1554">
      <c r="A1554" s="163" t="s">
        <v>222</v>
      </c>
      <c r="B1554" s="163"/>
      <c r="C1554" s="163"/>
      <c r="J1554" s="165"/>
      <c r="K1554" s="166"/>
      <c r="L1554" s="166"/>
    </row>
    <row r="1555">
      <c r="A1555" s="163" t="s">
        <v>222</v>
      </c>
      <c r="B1555" s="163"/>
      <c r="C1555" s="163"/>
      <c r="J1555" s="165"/>
      <c r="K1555" s="166"/>
      <c r="L1555" s="166"/>
    </row>
    <row r="1556">
      <c r="A1556" s="163" t="s">
        <v>222</v>
      </c>
      <c r="B1556" s="163"/>
      <c r="C1556" s="163"/>
      <c r="J1556" s="165"/>
      <c r="K1556" s="166"/>
      <c r="L1556" s="166"/>
    </row>
    <row r="1557">
      <c r="A1557" s="163" t="s">
        <v>222</v>
      </c>
      <c r="B1557" s="163"/>
      <c r="C1557" s="163"/>
      <c r="J1557" s="165"/>
      <c r="K1557" s="166"/>
      <c r="L1557" s="166"/>
    </row>
    <row r="1558">
      <c r="A1558" s="163" t="s">
        <v>222</v>
      </c>
      <c r="B1558" s="163"/>
      <c r="C1558" s="163"/>
      <c r="J1558" s="165"/>
      <c r="K1558" s="166"/>
      <c r="L1558" s="166"/>
    </row>
    <row r="1559">
      <c r="A1559" s="163" t="s">
        <v>222</v>
      </c>
      <c r="B1559" s="163"/>
      <c r="C1559" s="163"/>
      <c r="J1559" s="165"/>
      <c r="K1559" s="166"/>
      <c r="L1559" s="166"/>
    </row>
    <row r="1560">
      <c r="A1560" s="163" t="s">
        <v>222</v>
      </c>
      <c r="B1560" s="163"/>
      <c r="C1560" s="163"/>
      <c r="J1560" s="165"/>
      <c r="K1560" s="166"/>
      <c r="L1560" s="166"/>
    </row>
    <row r="1561">
      <c r="A1561" s="163" t="s">
        <v>222</v>
      </c>
      <c r="B1561" s="163"/>
      <c r="C1561" s="163"/>
      <c r="J1561" s="165"/>
      <c r="K1561" s="166"/>
      <c r="L1561" s="166"/>
    </row>
    <row r="1562">
      <c r="A1562" s="163" t="s">
        <v>222</v>
      </c>
      <c r="B1562" s="163"/>
      <c r="C1562" s="163"/>
      <c r="J1562" s="165"/>
      <c r="K1562" s="166"/>
      <c r="L1562" s="166"/>
    </row>
    <row r="1563">
      <c r="A1563" s="163" t="s">
        <v>222</v>
      </c>
      <c r="B1563" s="163"/>
      <c r="C1563" s="163"/>
      <c r="J1563" s="165"/>
      <c r="K1563" s="166"/>
      <c r="L1563" s="166"/>
    </row>
    <row r="1564">
      <c r="A1564" s="163" t="s">
        <v>222</v>
      </c>
      <c r="B1564" s="163"/>
      <c r="C1564" s="163"/>
      <c r="J1564" s="165"/>
      <c r="K1564" s="166"/>
      <c r="L1564" s="166"/>
    </row>
    <row r="1565">
      <c r="A1565" s="163" t="s">
        <v>222</v>
      </c>
      <c r="B1565" s="163"/>
      <c r="C1565" s="163"/>
      <c r="J1565" s="165"/>
      <c r="K1565" s="166"/>
      <c r="L1565" s="166"/>
    </row>
    <row r="1566">
      <c r="A1566" s="163" t="s">
        <v>222</v>
      </c>
      <c r="B1566" s="163"/>
      <c r="C1566" s="163"/>
      <c r="J1566" s="165"/>
      <c r="K1566" s="166"/>
      <c r="L1566" s="166"/>
    </row>
    <row r="1567">
      <c r="A1567" s="163" t="s">
        <v>222</v>
      </c>
      <c r="B1567" s="163"/>
      <c r="C1567" s="163"/>
      <c r="J1567" s="165"/>
      <c r="K1567" s="166"/>
      <c r="L1567" s="166"/>
    </row>
    <row r="1568">
      <c r="A1568" s="163" t="s">
        <v>222</v>
      </c>
      <c r="B1568" s="163"/>
      <c r="C1568" s="163"/>
      <c r="J1568" s="165"/>
      <c r="K1568" s="166"/>
      <c r="L1568" s="166"/>
    </row>
    <row r="1569">
      <c r="A1569" s="163" t="s">
        <v>222</v>
      </c>
      <c r="B1569" s="163"/>
      <c r="C1569" s="163"/>
      <c r="J1569" s="165"/>
      <c r="K1569" s="166"/>
      <c r="L1569" s="166"/>
    </row>
    <row r="1570">
      <c r="A1570" s="163" t="s">
        <v>222</v>
      </c>
      <c r="B1570" s="163"/>
      <c r="C1570" s="163"/>
      <c r="J1570" s="165"/>
      <c r="K1570" s="166"/>
      <c r="L1570" s="166"/>
    </row>
    <row r="1571">
      <c r="A1571" s="163" t="s">
        <v>222</v>
      </c>
      <c r="B1571" s="163"/>
      <c r="C1571" s="163"/>
      <c r="J1571" s="165"/>
      <c r="K1571" s="166"/>
      <c r="L1571" s="166"/>
    </row>
    <row r="1572">
      <c r="A1572" s="163" t="s">
        <v>222</v>
      </c>
      <c r="B1572" s="163"/>
      <c r="C1572" s="163"/>
      <c r="J1572" s="165"/>
      <c r="K1572" s="166"/>
      <c r="L1572" s="166"/>
    </row>
    <row r="1573">
      <c r="A1573" s="163" t="s">
        <v>222</v>
      </c>
      <c r="B1573" s="163"/>
      <c r="C1573" s="163"/>
      <c r="J1573" s="165"/>
      <c r="K1573" s="166"/>
      <c r="L1573" s="166"/>
    </row>
    <row r="1574">
      <c r="A1574" s="163" t="s">
        <v>222</v>
      </c>
      <c r="B1574" s="163"/>
      <c r="C1574" s="163"/>
      <c r="J1574" s="165"/>
      <c r="K1574" s="166"/>
      <c r="L1574" s="166"/>
    </row>
    <row r="1575">
      <c r="A1575" s="163" t="s">
        <v>222</v>
      </c>
      <c r="B1575" s="163"/>
      <c r="C1575" s="163"/>
      <c r="J1575" s="165"/>
      <c r="K1575" s="166"/>
      <c r="L1575" s="166"/>
    </row>
    <row r="1576">
      <c r="A1576" s="163" t="s">
        <v>222</v>
      </c>
      <c r="B1576" s="163"/>
      <c r="C1576" s="163"/>
      <c r="J1576" s="165"/>
      <c r="K1576" s="166"/>
      <c r="L1576" s="166"/>
    </row>
    <row r="1577">
      <c r="A1577" s="163" t="s">
        <v>222</v>
      </c>
      <c r="B1577" s="163"/>
      <c r="C1577" s="163"/>
      <c r="J1577" s="165"/>
      <c r="K1577" s="166"/>
      <c r="L1577" s="166"/>
    </row>
    <row r="1578">
      <c r="A1578" s="163" t="s">
        <v>222</v>
      </c>
      <c r="B1578" s="163"/>
      <c r="C1578" s="163"/>
      <c r="J1578" s="165"/>
      <c r="K1578" s="166"/>
      <c r="L1578" s="166"/>
    </row>
    <row r="1579">
      <c r="A1579" s="163" t="s">
        <v>222</v>
      </c>
      <c r="B1579" s="163"/>
      <c r="C1579" s="163"/>
      <c r="J1579" s="165"/>
      <c r="K1579" s="166"/>
      <c r="L1579" s="166"/>
    </row>
    <row r="1580">
      <c r="A1580" s="163" t="s">
        <v>222</v>
      </c>
      <c r="B1580" s="163"/>
      <c r="C1580" s="163"/>
      <c r="J1580" s="165"/>
      <c r="K1580" s="166"/>
      <c r="L1580" s="166"/>
    </row>
    <row r="1581">
      <c r="A1581" s="163" t="s">
        <v>222</v>
      </c>
      <c r="B1581" s="163"/>
      <c r="C1581" s="163"/>
      <c r="J1581" s="165"/>
      <c r="K1581" s="166"/>
      <c r="L1581" s="166"/>
    </row>
    <row r="1582">
      <c r="A1582" s="163" t="s">
        <v>222</v>
      </c>
      <c r="B1582" s="163"/>
      <c r="C1582" s="163"/>
      <c r="J1582" s="165"/>
      <c r="K1582" s="166"/>
      <c r="L1582" s="166"/>
    </row>
    <row r="1583">
      <c r="A1583" s="163" t="s">
        <v>222</v>
      </c>
      <c r="B1583" s="163"/>
      <c r="C1583" s="163"/>
      <c r="J1583" s="165"/>
      <c r="K1583" s="166"/>
      <c r="L1583" s="166"/>
    </row>
    <row r="1584">
      <c r="A1584" s="163" t="s">
        <v>222</v>
      </c>
      <c r="B1584" s="163"/>
      <c r="C1584" s="163"/>
      <c r="J1584" s="165"/>
      <c r="K1584" s="166"/>
      <c r="L1584" s="166"/>
    </row>
    <row r="1585">
      <c r="A1585" s="163" t="s">
        <v>222</v>
      </c>
      <c r="B1585" s="163"/>
      <c r="C1585" s="163"/>
      <c r="J1585" s="165"/>
      <c r="K1585" s="166"/>
      <c r="L1585" s="166"/>
    </row>
    <row r="1586">
      <c r="A1586" s="163" t="s">
        <v>222</v>
      </c>
      <c r="B1586" s="163"/>
      <c r="C1586" s="163"/>
      <c r="J1586" s="165"/>
      <c r="K1586" s="166"/>
      <c r="L1586" s="166"/>
    </row>
    <row r="1587">
      <c r="A1587" s="163" t="s">
        <v>222</v>
      </c>
      <c r="B1587" s="163"/>
      <c r="C1587" s="163"/>
      <c r="J1587" s="165"/>
      <c r="K1587" s="166"/>
      <c r="L1587" s="166"/>
    </row>
    <row r="1588">
      <c r="A1588" s="163" t="s">
        <v>222</v>
      </c>
      <c r="B1588" s="163"/>
      <c r="C1588" s="163"/>
      <c r="J1588" s="165"/>
      <c r="K1588" s="166"/>
      <c r="L1588" s="166"/>
    </row>
    <row r="1589">
      <c r="A1589" s="163" t="s">
        <v>222</v>
      </c>
      <c r="B1589" s="163"/>
      <c r="C1589" s="163"/>
      <c r="J1589" s="165"/>
      <c r="K1589" s="166"/>
      <c r="L1589" s="166"/>
    </row>
    <row r="1590">
      <c r="A1590" s="163" t="s">
        <v>222</v>
      </c>
      <c r="B1590" s="163"/>
      <c r="C1590" s="163"/>
      <c r="J1590" s="165"/>
      <c r="K1590" s="166"/>
      <c r="L1590" s="166"/>
    </row>
    <row r="1591">
      <c r="A1591" s="163" t="s">
        <v>222</v>
      </c>
      <c r="B1591" s="163"/>
      <c r="C1591" s="163"/>
      <c r="J1591" s="165"/>
      <c r="K1591" s="166"/>
      <c r="L1591" s="166"/>
    </row>
    <row r="1592">
      <c r="A1592" s="163" t="s">
        <v>222</v>
      </c>
      <c r="B1592" s="163"/>
      <c r="C1592" s="163"/>
      <c r="J1592" s="165"/>
      <c r="K1592" s="166"/>
      <c r="L1592" s="166"/>
    </row>
    <row r="1593">
      <c r="A1593" s="163" t="s">
        <v>222</v>
      </c>
      <c r="B1593" s="163"/>
      <c r="C1593" s="163"/>
      <c r="J1593" s="165"/>
      <c r="K1593" s="166"/>
      <c r="L1593" s="166"/>
    </row>
    <row r="1594">
      <c r="A1594" s="163" t="s">
        <v>222</v>
      </c>
      <c r="B1594" s="163"/>
      <c r="C1594" s="163"/>
      <c r="J1594" s="165"/>
      <c r="K1594" s="166"/>
      <c r="L1594" s="166"/>
    </row>
    <row r="1595">
      <c r="A1595" s="163" t="s">
        <v>222</v>
      </c>
      <c r="B1595" s="163"/>
      <c r="C1595" s="163"/>
      <c r="J1595" s="165"/>
      <c r="K1595" s="166"/>
      <c r="L1595" s="166"/>
    </row>
    <row r="1596">
      <c r="A1596" s="163" t="s">
        <v>222</v>
      </c>
      <c r="B1596" s="163"/>
      <c r="C1596" s="163"/>
      <c r="J1596" s="165"/>
      <c r="K1596" s="166"/>
      <c r="L1596" s="166"/>
    </row>
    <row r="1597">
      <c r="A1597" s="163" t="s">
        <v>222</v>
      </c>
      <c r="B1597" s="163"/>
      <c r="C1597" s="163"/>
      <c r="J1597" s="165"/>
      <c r="K1597" s="166"/>
      <c r="L1597" s="166"/>
    </row>
    <row r="1598">
      <c r="A1598" s="163" t="s">
        <v>222</v>
      </c>
      <c r="B1598" s="163"/>
      <c r="C1598" s="163"/>
      <c r="J1598" s="165"/>
      <c r="K1598" s="166"/>
      <c r="L1598" s="166"/>
    </row>
    <row r="1599">
      <c r="A1599" s="163" t="s">
        <v>222</v>
      </c>
      <c r="B1599" s="163"/>
      <c r="C1599" s="163"/>
      <c r="J1599" s="165"/>
      <c r="K1599" s="166"/>
      <c r="L1599" s="166"/>
    </row>
    <row r="1600">
      <c r="A1600" s="163" t="s">
        <v>222</v>
      </c>
      <c r="B1600" s="163"/>
      <c r="C1600" s="163"/>
      <c r="J1600" s="165"/>
      <c r="K1600" s="166"/>
      <c r="L1600" s="166"/>
    </row>
    <row r="1601">
      <c r="A1601" s="163" t="s">
        <v>222</v>
      </c>
      <c r="B1601" s="163"/>
      <c r="C1601" s="163"/>
      <c r="J1601" s="165"/>
      <c r="K1601" s="166"/>
      <c r="L1601" s="166"/>
    </row>
    <row r="1602">
      <c r="A1602" s="163" t="s">
        <v>222</v>
      </c>
      <c r="B1602" s="163"/>
      <c r="C1602" s="163"/>
      <c r="J1602" s="165"/>
      <c r="K1602" s="166"/>
      <c r="L1602" s="166"/>
    </row>
    <row r="1603">
      <c r="A1603" s="163" t="s">
        <v>222</v>
      </c>
      <c r="B1603" s="163"/>
      <c r="C1603" s="163"/>
      <c r="J1603" s="165"/>
      <c r="K1603" s="166"/>
      <c r="L1603" s="166"/>
    </row>
    <row r="1604">
      <c r="A1604" s="163" t="s">
        <v>222</v>
      </c>
      <c r="B1604" s="163"/>
      <c r="C1604" s="163"/>
      <c r="J1604" s="165"/>
      <c r="K1604" s="166"/>
      <c r="L1604" s="166"/>
    </row>
    <row r="1605">
      <c r="A1605" s="163" t="s">
        <v>222</v>
      </c>
      <c r="B1605" s="163"/>
      <c r="C1605" s="163"/>
      <c r="J1605" s="165"/>
      <c r="K1605" s="166"/>
      <c r="L1605" s="166"/>
    </row>
    <row r="1606">
      <c r="A1606" s="163" t="s">
        <v>222</v>
      </c>
      <c r="B1606" s="163"/>
      <c r="C1606" s="163"/>
      <c r="J1606" s="165"/>
      <c r="K1606" s="166"/>
      <c r="L1606" s="166"/>
    </row>
    <row r="1607">
      <c r="A1607" s="163" t="s">
        <v>222</v>
      </c>
      <c r="B1607" s="163"/>
      <c r="C1607" s="163"/>
      <c r="J1607" s="165"/>
      <c r="K1607" s="166"/>
      <c r="L1607" s="166"/>
    </row>
    <row r="1608">
      <c r="A1608" s="163" t="s">
        <v>222</v>
      </c>
      <c r="B1608" s="163"/>
      <c r="C1608" s="163"/>
      <c r="J1608" s="165"/>
      <c r="K1608" s="166"/>
      <c r="L1608" s="166"/>
    </row>
    <row r="1609">
      <c r="A1609" s="163" t="s">
        <v>222</v>
      </c>
      <c r="B1609" s="163"/>
      <c r="C1609" s="163"/>
      <c r="J1609" s="165"/>
      <c r="K1609" s="166"/>
      <c r="L1609" s="166"/>
    </row>
    <row r="1610">
      <c r="A1610" s="163" t="s">
        <v>222</v>
      </c>
      <c r="B1610" s="163"/>
      <c r="C1610" s="163"/>
      <c r="J1610" s="165"/>
      <c r="K1610" s="166"/>
      <c r="L1610" s="166"/>
    </row>
    <row r="1611">
      <c r="A1611" s="163" t="s">
        <v>222</v>
      </c>
      <c r="B1611" s="163"/>
      <c r="C1611" s="163"/>
      <c r="J1611" s="165"/>
      <c r="K1611" s="166"/>
      <c r="L1611" s="166"/>
    </row>
    <row r="1612">
      <c r="A1612" s="163" t="s">
        <v>222</v>
      </c>
      <c r="B1612" s="163"/>
      <c r="C1612" s="163"/>
      <c r="J1612" s="165"/>
      <c r="K1612" s="166"/>
      <c r="L1612" s="166"/>
    </row>
    <row r="1613">
      <c r="A1613" s="163" t="s">
        <v>222</v>
      </c>
      <c r="B1613" s="163"/>
      <c r="C1613" s="163"/>
      <c r="J1613" s="165"/>
      <c r="K1613" s="166"/>
      <c r="L1613" s="166"/>
    </row>
    <row r="1614">
      <c r="A1614" s="163" t="s">
        <v>222</v>
      </c>
      <c r="B1614" s="163"/>
      <c r="C1614" s="163"/>
      <c r="J1614" s="165"/>
      <c r="K1614" s="166"/>
      <c r="L1614" s="166"/>
    </row>
    <row r="1615">
      <c r="A1615" s="163" t="s">
        <v>222</v>
      </c>
      <c r="B1615" s="163"/>
      <c r="C1615" s="163"/>
      <c r="J1615" s="165"/>
      <c r="K1615" s="166"/>
      <c r="L1615" s="166"/>
    </row>
    <row r="1616">
      <c r="A1616" s="163" t="s">
        <v>222</v>
      </c>
      <c r="B1616" s="163"/>
      <c r="C1616" s="163"/>
      <c r="J1616" s="165"/>
      <c r="K1616" s="166"/>
      <c r="L1616" s="166"/>
    </row>
    <row r="1617">
      <c r="A1617" s="163" t="s">
        <v>222</v>
      </c>
      <c r="B1617" s="163"/>
      <c r="C1617" s="163"/>
      <c r="J1617" s="165"/>
      <c r="K1617" s="166"/>
      <c r="L1617" s="166"/>
    </row>
    <row r="1618">
      <c r="A1618" s="163" t="s">
        <v>222</v>
      </c>
      <c r="B1618" s="163"/>
      <c r="C1618" s="163"/>
      <c r="J1618" s="165"/>
      <c r="K1618" s="166"/>
      <c r="L1618" s="166"/>
    </row>
    <row r="1619">
      <c r="A1619" s="163" t="s">
        <v>222</v>
      </c>
      <c r="B1619" s="163"/>
      <c r="C1619" s="163"/>
      <c r="J1619" s="165"/>
      <c r="K1619" s="166"/>
      <c r="L1619" s="166"/>
    </row>
    <row r="1620">
      <c r="A1620" s="163" t="s">
        <v>222</v>
      </c>
      <c r="B1620" s="163"/>
      <c r="C1620" s="163"/>
      <c r="J1620" s="165"/>
      <c r="K1620" s="166"/>
      <c r="L1620" s="166"/>
    </row>
    <row r="1621">
      <c r="A1621" s="163" t="s">
        <v>222</v>
      </c>
      <c r="B1621" s="163"/>
      <c r="C1621" s="163"/>
      <c r="J1621" s="165"/>
      <c r="K1621" s="166"/>
      <c r="L1621" s="166"/>
    </row>
    <row r="1622">
      <c r="A1622" s="163" t="s">
        <v>222</v>
      </c>
      <c r="B1622" s="163"/>
      <c r="C1622" s="163"/>
      <c r="J1622" s="165"/>
      <c r="K1622" s="166"/>
      <c r="L1622" s="166"/>
    </row>
    <row r="1623">
      <c r="A1623" s="163" t="s">
        <v>222</v>
      </c>
      <c r="B1623" s="163"/>
      <c r="C1623" s="163"/>
      <c r="J1623" s="165"/>
      <c r="K1623" s="166"/>
      <c r="L1623" s="166"/>
    </row>
    <row r="1624">
      <c r="A1624" s="163" t="s">
        <v>222</v>
      </c>
      <c r="B1624" s="163"/>
      <c r="C1624" s="163"/>
      <c r="J1624" s="165"/>
      <c r="K1624" s="166"/>
      <c r="L1624" s="166"/>
    </row>
    <row r="1625">
      <c r="A1625" s="163" t="s">
        <v>222</v>
      </c>
      <c r="B1625" s="163"/>
      <c r="C1625" s="163"/>
      <c r="J1625" s="165"/>
      <c r="K1625" s="166"/>
      <c r="L1625" s="166"/>
    </row>
    <row r="1626">
      <c r="A1626" s="163" t="s">
        <v>222</v>
      </c>
      <c r="B1626" s="163"/>
      <c r="C1626" s="163"/>
      <c r="J1626" s="165"/>
      <c r="K1626" s="166"/>
      <c r="L1626" s="166"/>
    </row>
    <row r="1627">
      <c r="A1627" s="163" t="s">
        <v>222</v>
      </c>
      <c r="B1627" s="163"/>
      <c r="C1627" s="163"/>
      <c r="J1627" s="165"/>
      <c r="K1627" s="166"/>
      <c r="L1627" s="166"/>
    </row>
    <row r="1628">
      <c r="A1628" s="163" t="s">
        <v>222</v>
      </c>
      <c r="B1628" s="163"/>
      <c r="C1628" s="163"/>
      <c r="J1628" s="165"/>
      <c r="K1628" s="166"/>
      <c r="L1628" s="166"/>
    </row>
    <row r="1629">
      <c r="A1629" s="163" t="s">
        <v>222</v>
      </c>
      <c r="B1629" s="163"/>
      <c r="C1629" s="163"/>
      <c r="J1629" s="165"/>
      <c r="K1629" s="166"/>
      <c r="L1629" s="166"/>
    </row>
    <row r="1630">
      <c r="A1630" s="163" t="s">
        <v>222</v>
      </c>
      <c r="B1630" s="163"/>
      <c r="C1630" s="163"/>
      <c r="J1630" s="165"/>
      <c r="K1630" s="166"/>
      <c r="L1630" s="166"/>
    </row>
    <row r="1631">
      <c r="A1631" s="163" t="s">
        <v>222</v>
      </c>
      <c r="B1631" s="163"/>
      <c r="C1631" s="163"/>
      <c r="J1631" s="165"/>
      <c r="K1631" s="166"/>
      <c r="L1631" s="166"/>
    </row>
    <row r="1632">
      <c r="A1632" s="163" t="s">
        <v>222</v>
      </c>
      <c r="B1632" s="163"/>
      <c r="C1632" s="163"/>
      <c r="J1632" s="165"/>
      <c r="K1632" s="166"/>
      <c r="L1632" s="166"/>
    </row>
    <row r="1633">
      <c r="A1633" s="163" t="s">
        <v>222</v>
      </c>
      <c r="B1633" s="163"/>
      <c r="C1633" s="163"/>
      <c r="J1633" s="165"/>
      <c r="K1633" s="166"/>
      <c r="L1633" s="166"/>
    </row>
    <row r="1634">
      <c r="A1634" s="163" t="s">
        <v>222</v>
      </c>
      <c r="B1634" s="163"/>
      <c r="C1634" s="163"/>
      <c r="J1634" s="165"/>
      <c r="K1634" s="166"/>
      <c r="L1634" s="166"/>
    </row>
    <row r="1635">
      <c r="A1635" s="163" t="s">
        <v>222</v>
      </c>
      <c r="B1635" s="163"/>
      <c r="C1635" s="163"/>
      <c r="J1635" s="165"/>
      <c r="K1635" s="166"/>
      <c r="L1635" s="166"/>
    </row>
    <row r="1636">
      <c r="A1636" s="163" t="s">
        <v>222</v>
      </c>
      <c r="B1636" s="163"/>
      <c r="C1636" s="163"/>
      <c r="J1636" s="165"/>
      <c r="K1636" s="166"/>
      <c r="L1636" s="166"/>
    </row>
    <row r="1637">
      <c r="A1637" s="163" t="s">
        <v>222</v>
      </c>
      <c r="B1637" s="163"/>
      <c r="C1637" s="163"/>
      <c r="J1637" s="165"/>
      <c r="K1637" s="166"/>
      <c r="L1637" s="166"/>
    </row>
    <row r="1638">
      <c r="A1638" s="163" t="s">
        <v>222</v>
      </c>
      <c r="B1638" s="163"/>
      <c r="C1638" s="163"/>
      <c r="J1638" s="165"/>
      <c r="K1638" s="166"/>
      <c r="L1638" s="166"/>
    </row>
    <row r="1639">
      <c r="A1639" s="163" t="s">
        <v>222</v>
      </c>
      <c r="B1639" s="163"/>
      <c r="C1639" s="163"/>
      <c r="J1639" s="165"/>
      <c r="K1639" s="166"/>
      <c r="L1639" s="166"/>
    </row>
    <row r="1640">
      <c r="A1640" s="163" t="s">
        <v>222</v>
      </c>
      <c r="B1640" s="163"/>
      <c r="C1640" s="163"/>
      <c r="J1640" s="165"/>
      <c r="K1640" s="166"/>
      <c r="L1640" s="166"/>
    </row>
    <row r="1641">
      <c r="A1641" s="163" t="s">
        <v>222</v>
      </c>
      <c r="B1641" s="163"/>
      <c r="C1641" s="163"/>
      <c r="J1641" s="165"/>
      <c r="K1641" s="166"/>
      <c r="L1641" s="166"/>
    </row>
    <row r="1642">
      <c r="A1642" s="163" t="s">
        <v>222</v>
      </c>
      <c r="B1642" s="163"/>
      <c r="C1642" s="163"/>
      <c r="J1642" s="165"/>
      <c r="K1642" s="166"/>
      <c r="L1642" s="166"/>
    </row>
    <row r="1643">
      <c r="A1643" s="163" t="s">
        <v>222</v>
      </c>
      <c r="B1643" s="163"/>
      <c r="C1643" s="163"/>
      <c r="J1643" s="165"/>
      <c r="K1643" s="166"/>
      <c r="L1643" s="166"/>
    </row>
    <row r="1644">
      <c r="A1644" s="163" t="s">
        <v>222</v>
      </c>
      <c r="B1644" s="163"/>
      <c r="C1644" s="163"/>
      <c r="J1644" s="165"/>
      <c r="K1644" s="166"/>
      <c r="L1644" s="166"/>
    </row>
    <row r="1645">
      <c r="A1645" s="163" t="s">
        <v>222</v>
      </c>
      <c r="B1645" s="163"/>
      <c r="C1645" s="163"/>
      <c r="J1645" s="165"/>
      <c r="K1645" s="166"/>
      <c r="L1645" s="166"/>
    </row>
    <row r="1646">
      <c r="A1646" s="163" t="s">
        <v>222</v>
      </c>
      <c r="B1646" s="163"/>
      <c r="C1646" s="163"/>
      <c r="J1646" s="165"/>
      <c r="K1646" s="166"/>
      <c r="L1646" s="166"/>
    </row>
    <row r="1647">
      <c r="A1647" s="163" t="s">
        <v>222</v>
      </c>
      <c r="B1647" s="163"/>
      <c r="C1647" s="163"/>
      <c r="J1647" s="165"/>
      <c r="K1647" s="166"/>
      <c r="L1647" s="166"/>
    </row>
    <row r="1648">
      <c r="A1648" s="163" t="s">
        <v>222</v>
      </c>
      <c r="B1648" s="163"/>
      <c r="C1648" s="163"/>
      <c r="J1648" s="165"/>
      <c r="K1648" s="166"/>
      <c r="L1648" s="166"/>
    </row>
    <row r="1649">
      <c r="A1649" s="163" t="s">
        <v>222</v>
      </c>
      <c r="B1649" s="163"/>
      <c r="C1649" s="163"/>
      <c r="J1649" s="165"/>
      <c r="K1649" s="166"/>
      <c r="L1649" s="166"/>
    </row>
    <row r="1650">
      <c r="A1650" s="163" t="s">
        <v>222</v>
      </c>
      <c r="B1650" s="163"/>
      <c r="C1650" s="163"/>
      <c r="J1650" s="165"/>
      <c r="K1650" s="166"/>
      <c r="L1650" s="166"/>
    </row>
    <row r="1651">
      <c r="A1651" s="163" t="s">
        <v>222</v>
      </c>
      <c r="B1651" s="163"/>
      <c r="C1651" s="163"/>
      <c r="J1651" s="165"/>
      <c r="K1651" s="166"/>
      <c r="L1651" s="166"/>
    </row>
    <row r="1652">
      <c r="A1652" s="163" t="s">
        <v>222</v>
      </c>
      <c r="B1652" s="163"/>
      <c r="C1652" s="163"/>
      <c r="J1652" s="165"/>
      <c r="K1652" s="166"/>
      <c r="L1652" s="166"/>
    </row>
    <row r="1653">
      <c r="A1653" s="163" t="s">
        <v>222</v>
      </c>
      <c r="B1653" s="163"/>
      <c r="C1653" s="163"/>
      <c r="J1653" s="165"/>
      <c r="K1653" s="166"/>
      <c r="L1653" s="166"/>
    </row>
    <row r="1654">
      <c r="A1654" s="163" t="s">
        <v>222</v>
      </c>
      <c r="B1654" s="163"/>
      <c r="C1654" s="163"/>
      <c r="J1654" s="165"/>
      <c r="K1654" s="166"/>
      <c r="L1654" s="166"/>
    </row>
    <row r="1655">
      <c r="A1655" s="163" t="s">
        <v>222</v>
      </c>
      <c r="B1655" s="163"/>
      <c r="C1655" s="163"/>
      <c r="J1655" s="165"/>
      <c r="K1655" s="166"/>
      <c r="L1655" s="166"/>
    </row>
    <row r="1656">
      <c r="A1656" s="163" t="s">
        <v>222</v>
      </c>
      <c r="B1656" s="163"/>
      <c r="C1656" s="163"/>
      <c r="J1656" s="165"/>
      <c r="K1656" s="166"/>
      <c r="L1656" s="166"/>
    </row>
    <row r="1657">
      <c r="A1657" s="163" t="s">
        <v>222</v>
      </c>
      <c r="B1657" s="163"/>
      <c r="C1657" s="163"/>
      <c r="J1657" s="165"/>
      <c r="K1657" s="166"/>
      <c r="L1657" s="166"/>
    </row>
    <row r="1658">
      <c r="A1658" s="163" t="s">
        <v>222</v>
      </c>
      <c r="B1658" s="163"/>
      <c r="C1658" s="163"/>
      <c r="J1658" s="165"/>
      <c r="K1658" s="166"/>
      <c r="L1658" s="166"/>
    </row>
    <row r="1659">
      <c r="A1659" s="163" t="s">
        <v>222</v>
      </c>
      <c r="B1659" s="163"/>
      <c r="C1659" s="163"/>
      <c r="J1659" s="165"/>
      <c r="K1659" s="166"/>
      <c r="L1659" s="166"/>
    </row>
    <row r="1660">
      <c r="A1660" s="163" t="s">
        <v>222</v>
      </c>
      <c r="B1660" s="163"/>
      <c r="C1660" s="163"/>
      <c r="J1660" s="165"/>
      <c r="K1660" s="166"/>
      <c r="L1660" s="166"/>
    </row>
    <row r="1661">
      <c r="A1661" s="163" t="s">
        <v>222</v>
      </c>
      <c r="B1661" s="163"/>
      <c r="C1661" s="163"/>
      <c r="J1661" s="165"/>
      <c r="K1661" s="166"/>
      <c r="L1661" s="166"/>
    </row>
    <row r="1662">
      <c r="A1662" s="163" t="s">
        <v>222</v>
      </c>
      <c r="B1662" s="163"/>
      <c r="C1662" s="163"/>
      <c r="J1662" s="165"/>
      <c r="K1662" s="166"/>
      <c r="L1662" s="166"/>
    </row>
    <row r="1663">
      <c r="A1663" s="163" t="s">
        <v>222</v>
      </c>
      <c r="B1663" s="163"/>
      <c r="C1663" s="163"/>
      <c r="J1663" s="165"/>
      <c r="K1663" s="166"/>
      <c r="L1663" s="166"/>
    </row>
    <row r="1664">
      <c r="A1664" s="163" t="s">
        <v>222</v>
      </c>
      <c r="B1664" s="163"/>
      <c r="C1664" s="163"/>
      <c r="J1664" s="165"/>
      <c r="K1664" s="166"/>
      <c r="L1664" s="166"/>
    </row>
    <row r="1665">
      <c r="A1665" s="163" t="s">
        <v>222</v>
      </c>
      <c r="B1665" s="163"/>
      <c r="C1665" s="163"/>
      <c r="J1665" s="165"/>
      <c r="K1665" s="166"/>
      <c r="L1665" s="166"/>
    </row>
    <row r="1666">
      <c r="A1666" s="163" t="s">
        <v>222</v>
      </c>
      <c r="B1666" s="163"/>
      <c r="C1666" s="163"/>
      <c r="J1666" s="165"/>
      <c r="K1666" s="166"/>
      <c r="L1666" s="166"/>
    </row>
    <row r="1667">
      <c r="A1667" s="163" t="s">
        <v>222</v>
      </c>
      <c r="B1667" s="163"/>
      <c r="C1667" s="163"/>
      <c r="J1667" s="165"/>
      <c r="K1667" s="166"/>
      <c r="L1667" s="166"/>
    </row>
    <row r="1668">
      <c r="A1668" s="163" t="s">
        <v>222</v>
      </c>
      <c r="B1668" s="163"/>
      <c r="C1668" s="163"/>
      <c r="J1668" s="165"/>
      <c r="K1668" s="166"/>
      <c r="L1668" s="166"/>
    </row>
    <row r="1669">
      <c r="A1669" s="163" t="s">
        <v>222</v>
      </c>
      <c r="B1669" s="163"/>
      <c r="C1669" s="163"/>
      <c r="J1669" s="165"/>
      <c r="K1669" s="166"/>
      <c r="L1669" s="166"/>
    </row>
    <row r="1670">
      <c r="A1670" s="163" t="s">
        <v>222</v>
      </c>
      <c r="B1670" s="163"/>
      <c r="C1670" s="163"/>
      <c r="J1670" s="165"/>
      <c r="K1670" s="166"/>
      <c r="L1670" s="166"/>
    </row>
    <row r="1671">
      <c r="A1671" s="163" t="s">
        <v>222</v>
      </c>
      <c r="B1671" s="163"/>
      <c r="C1671" s="163"/>
      <c r="J1671" s="165"/>
      <c r="K1671" s="166"/>
      <c r="L1671" s="166"/>
    </row>
    <row r="1672">
      <c r="A1672" s="163" t="s">
        <v>222</v>
      </c>
      <c r="B1672" s="163"/>
      <c r="C1672" s="163"/>
      <c r="J1672" s="165"/>
      <c r="K1672" s="166"/>
      <c r="L1672" s="166"/>
    </row>
    <row r="1673">
      <c r="A1673" s="163" t="s">
        <v>222</v>
      </c>
      <c r="B1673" s="163"/>
      <c r="C1673" s="163"/>
      <c r="J1673" s="165"/>
      <c r="K1673" s="166"/>
      <c r="L1673" s="166"/>
    </row>
    <row r="1674">
      <c r="A1674" s="163" t="s">
        <v>222</v>
      </c>
      <c r="B1674" s="163"/>
      <c r="C1674" s="163"/>
      <c r="J1674" s="165"/>
      <c r="K1674" s="166"/>
      <c r="L1674" s="166"/>
    </row>
    <row r="1675">
      <c r="A1675" s="163" t="s">
        <v>222</v>
      </c>
      <c r="B1675" s="163"/>
      <c r="C1675" s="163"/>
      <c r="J1675" s="165"/>
      <c r="K1675" s="166"/>
      <c r="L1675" s="166"/>
    </row>
    <row r="1676">
      <c r="A1676" s="163" t="s">
        <v>222</v>
      </c>
      <c r="B1676" s="163"/>
      <c r="C1676" s="163"/>
      <c r="J1676" s="165"/>
      <c r="K1676" s="166"/>
      <c r="L1676" s="166"/>
    </row>
    <row r="1677">
      <c r="A1677" s="163" t="s">
        <v>222</v>
      </c>
      <c r="B1677" s="163"/>
      <c r="C1677" s="163"/>
      <c r="J1677" s="165"/>
      <c r="K1677" s="166"/>
      <c r="L1677" s="166"/>
    </row>
    <row r="1678">
      <c r="A1678" s="163" t="s">
        <v>222</v>
      </c>
      <c r="B1678" s="163"/>
      <c r="C1678" s="163"/>
      <c r="J1678" s="165"/>
      <c r="K1678" s="166"/>
      <c r="L1678" s="166"/>
    </row>
    <row r="1679">
      <c r="A1679" s="163" t="s">
        <v>222</v>
      </c>
      <c r="B1679" s="163"/>
      <c r="C1679" s="163"/>
      <c r="J1679" s="165"/>
      <c r="K1679" s="166"/>
      <c r="L1679" s="166"/>
    </row>
    <row r="1680">
      <c r="A1680" s="163" t="s">
        <v>222</v>
      </c>
      <c r="B1680" s="163"/>
      <c r="C1680" s="163"/>
      <c r="J1680" s="165"/>
      <c r="K1680" s="166"/>
      <c r="L1680" s="166"/>
    </row>
    <row r="1681">
      <c r="A1681" s="163" t="s">
        <v>222</v>
      </c>
      <c r="B1681" s="163"/>
      <c r="C1681" s="163"/>
      <c r="J1681" s="165"/>
      <c r="K1681" s="166"/>
      <c r="L1681" s="166"/>
    </row>
    <row r="1682">
      <c r="A1682" s="163" t="s">
        <v>222</v>
      </c>
      <c r="B1682" s="163"/>
      <c r="C1682" s="163"/>
      <c r="J1682" s="165"/>
      <c r="K1682" s="166"/>
      <c r="L1682" s="166"/>
    </row>
    <row r="1683">
      <c r="A1683" s="163" t="s">
        <v>222</v>
      </c>
      <c r="B1683" s="163"/>
      <c r="C1683" s="163"/>
      <c r="J1683" s="165"/>
      <c r="K1683" s="166"/>
      <c r="L1683" s="166"/>
    </row>
    <row r="1684">
      <c r="A1684" s="163" t="s">
        <v>222</v>
      </c>
      <c r="B1684" s="163"/>
      <c r="C1684" s="163"/>
      <c r="J1684" s="165"/>
      <c r="K1684" s="166"/>
      <c r="L1684" s="166"/>
    </row>
    <row r="1685">
      <c r="A1685" s="163" t="s">
        <v>222</v>
      </c>
      <c r="B1685" s="163"/>
      <c r="C1685" s="163"/>
      <c r="J1685" s="165"/>
      <c r="K1685" s="166"/>
      <c r="L1685" s="166"/>
    </row>
    <row r="1686">
      <c r="A1686" s="163" t="s">
        <v>222</v>
      </c>
      <c r="B1686" s="163"/>
      <c r="C1686" s="163"/>
      <c r="J1686" s="165"/>
      <c r="K1686" s="166"/>
      <c r="L1686" s="166"/>
    </row>
    <row r="1687">
      <c r="A1687" s="163" t="s">
        <v>222</v>
      </c>
      <c r="B1687" s="163"/>
      <c r="C1687" s="163"/>
      <c r="J1687" s="165"/>
      <c r="K1687" s="166"/>
      <c r="L1687" s="166"/>
    </row>
    <row r="1688">
      <c r="A1688" s="163" t="s">
        <v>222</v>
      </c>
      <c r="B1688" s="163"/>
      <c r="C1688" s="163"/>
      <c r="J1688" s="165"/>
      <c r="K1688" s="166"/>
      <c r="L1688" s="166"/>
    </row>
    <row r="1689">
      <c r="A1689" s="163" t="s">
        <v>222</v>
      </c>
      <c r="B1689" s="163"/>
      <c r="C1689" s="163"/>
      <c r="J1689" s="165"/>
      <c r="K1689" s="166"/>
      <c r="L1689" s="166"/>
    </row>
    <row r="1690">
      <c r="A1690" s="163" t="s">
        <v>222</v>
      </c>
      <c r="B1690" s="163"/>
      <c r="C1690" s="163"/>
      <c r="J1690" s="165"/>
      <c r="K1690" s="166"/>
      <c r="L1690" s="166"/>
    </row>
    <row r="1691">
      <c r="A1691" s="163" t="s">
        <v>222</v>
      </c>
      <c r="B1691" s="163"/>
      <c r="C1691" s="163"/>
      <c r="J1691" s="165"/>
      <c r="K1691" s="166"/>
      <c r="L1691" s="166"/>
    </row>
    <row r="1692">
      <c r="A1692" s="163" t="s">
        <v>222</v>
      </c>
      <c r="B1692" s="163"/>
      <c r="C1692" s="163"/>
      <c r="J1692" s="165"/>
      <c r="K1692" s="166"/>
      <c r="L1692" s="166"/>
    </row>
    <row r="1693">
      <c r="A1693" s="163" t="s">
        <v>222</v>
      </c>
      <c r="B1693" s="163"/>
      <c r="C1693" s="163"/>
      <c r="J1693" s="165"/>
      <c r="K1693" s="166"/>
      <c r="L1693" s="166"/>
    </row>
    <row r="1694">
      <c r="A1694" s="163" t="s">
        <v>222</v>
      </c>
      <c r="B1694" s="163"/>
      <c r="C1694" s="163"/>
      <c r="J1694" s="165"/>
      <c r="K1694" s="166"/>
      <c r="L1694" s="166"/>
    </row>
    <row r="1695">
      <c r="A1695" s="163" t="s">
        <v>222</v>
      </c>
      <c r="B1695" s="163"/>
      <c r="C1695" s="163"/>
      <c r="J1695" s="165"/>
      <c r="K1695" s="166"/>
      <c r="L1695" s="166"/>
    </row>
    <row r="1696">
      <c r="A1696" s="163" t="s">
        <v>222</v>
      </c>
      <c r="B1696" s="163"/>
      <c r="C1696" s="163"/>
      <c r="J1696" s="165"/>
      <c r="K1696" s="166"/>
      <c r="L1696" s="166"/>
    </row>
    <row r="1697">
      <c r="A1697" s="163" t="s">
        <v>222</v>
      </c>
      <c r="B1697" s="163"/>
      <c r="C1697" s="163"/>
      <c r="J1697" s="165"/>
      <c r="K1697" s="166"/>
      <c r="L1697" s="166"/>
    </row>
    <row r="1698">
      <c r="A1698" s="163" t="s">
        <v>222</v>
      </c>
      <c r="B1698" s="163"/>
      <c r="C1698" s="163"/>
      <c r="J1698" s="165"/>
      <c r="K1698" s="166"/>
      <c r="L1698" s="166"/>
    </row>
    <row r="1699">
      <c r="A1699" s="163" t="s">
        <v>222</v>
      </c>
      <c r="B1699" s="163"/>
      <c r="C1699" s="163"/>
      <c r="J1699" s="165"/>
      <c r="K1699" s="166"/>
      <c r="L1699" s="166"/>
    </row>
    <row r="1700">
      <c r="A1700" s="163" t="s">
        <v>222</v>
      </c>
      <c r="B1700" s="163"/>
      <c r="C1700" s="163"/>
      <c r="J1700" s="165"/>
      <c r="K1700" s="166"/>
      <c r="L1700" s="166"/>
    </row>
    <row r="1701">
      <c r="A1701" s="163" t="s">
        <v>222</v>
      </c>
      <c r="B1701" s="163"/>
      <c r="C1701" s="163"/>
      <c r="J1701" s="165"/>
      <c r="K1701" s="166"/>
      <c r="L1701" s="166"/>
    </row>
    <row r="1702">
      <c r="A1702" s="163" t="s">
        <v>222</v>
      </c>
      <c r="B1702" s="163"/>
      <c r="C1702" s="163"/>
      <c r="J1702" s="165"/>
      <c r="K1702" s="166"/>
      <c r="L1702" s="166"/>
    </row>
    <row r="1703">
      <c r="A1703" s="163" t="s">
        <v>222</v>
      </c>
      <c r="B1703" s="163"/>
      <c r="C1703" s="163"/>
      <c r="J1703" s="165"/>
      <c r="K1703" s="166"/>
      <c r="L1703" s="166"/>
    </row>
    <row r="1704">
      <c r="A1704" s="163" t="s">
        <v>222</v>
      </c>
      <c r="B1704" s="163"/>
      <c r="C1704" s="163"/>
      <c r="J1704" s="165"/>
      <c r="K1704" s="166"/>
      <c r="L1704" s="166"/>
    </row>
    <row r="1705">
      <c r="A1705" s="163" t="s">
        <v>222</v>
      </c>
      <c r="B1705" s="163"/>
      <c r="C1705" s="163"/>
      <c r="J1705" s="165"/>
      <c r="K1705" s="166"/>
      <c r="L1705" s="166"/>
    </row>
    <row r="1706">
      <c r="A1706" s="163" t="s">
        <v>222</v>
      </c>
      <c r="B1706" s="163"/>
      <c r="C1706" s="163"/>
      <c r="J1706" s="165"/>
      <c r="K1706" s="166"/>
      <c r="L1706" s="166"/>
    </row>
    <row r="1707">
      <c r="A1707" s="163" t="s">
        <v>222</v>
      </c>
      <c r="B1707" s="163"/>
      <c r="C1707" s="163"/>
      <c r="J1707" s="165"/>
      <c r="K1707" s="166"/>
      <c r="L1707" s="166"/>
    </row>
    <row r="1708">
      <c r="A1708" s="163" t="s">
        <v>222</v>
      </c>
      <c r="B1708" s="163"/>
      <c r="C1708" s="163"/>
      <c r="J1708" s="165"/>
      <c r="K1708" s="166"/>
      <c r="L1708" s="166"/>
    </row>
    <row r="1709">
      <c r="A1709" s="163" t="s">
        <v>222</v>
      </c>
      <c r="B1709" s="163"/>
      <c r="C1709" s="163"/>
      <c r="J1709" s="165"/>
      <c r="K1709" s="166"/>
      <c r="L1709" s="166"/>
    </row>
    <row r="1710">
      <c r="A1710" s="163" t="s">
        <v>222</v>
      </c>
      <c r="B1710" s="163"/>
      <c r="C1710" s="163"/>
      <c r="J1710" s="165"/>
      <c r="K1710" s="166"/>
      <c r="L1710" s="166"/>
    </row>
    <row r="1711">
      <c r="A1711" s="163" t="s">
        <v>222</v>
      </c>
      <c r="B1711" s="163"/>
      <c r="C1711" s="163"/>
      <c r="J1711" s="165"/>
      <c r="K1711" s="166"/>
      <c r="L1711" s="166"/>
    </row>
    <row r="1712">
      <c r="A1712" s="163" t="s">
        <v>222</v>
      </c>
      <c r="B1712" s="163"/>
      <c r="C1712" s="163"/>
      <c r="J1712" s="165"/>
      <c r="K1712" s="166"/>
      <c r="L1712" s="166"/>
    </row>
    <row r="1713">
      <c r="A1713" s="163" t="s">
        <v>222</v>
      </c>
      <c r="B1713" s="163"/>
      <c r="C1713" s="163"/>
      <c r="J1713" s="165"/>
      <c r="K1713" s="166"/>
      <c r="L1713" s="166"/>
    </row>
    <row r="1714">
      <c r="A1714" s="163" t="s">
        <v>222</v>
      </c>
      <c r="B1714" s="163"/>
      <c r="C1714" s="163"/>
      <c r="J1714" s="165"/>
      <c r="K1714" s="166"/>
      <c r="L1714" s="166"/>
    </row>
    <row r="1715">
      <c r="A1715" s="163" t="s">
        <v>222</v>
      </c>
      <c r="B1715" s="163"/>
      <c r="C1715" s="163"/>
      <c r="J1715" s="165"/>
      <c r="K1715" s="166"/>
      <c r="L1715" s="166"/>
    </row>
    <row r="1716">
      <c r="A1716" s="163" t="s">
        <v>222</v>
      </c>
      <c r="B1716" s="163"/>
      <c r="C1716" s="163"/>
      <c r="J1716" s="165"/>
      <c r="K1716" s="166"/>
      <c r="L1716" s="166"/>
    </row>
    <row r="1717">
      <c r="A1717" s="163" t="s">
        <v>222</v>
      </c>
      <c r="B1717" s="163"/>
      <c r="C1717" s="163"/>
      <c r="J1717" s="165"/>
      <c r="K1717" s="166"/>
      <c r="L1717" s="166"/>
    </row>
    <row r="1718">
      <c r="A1718" s="163" t="s">
        <v>222</v>
      </c>
      <c r="B1718" s="163"/>
      <c r="C1718" s="163"/>
      <c r="J1718" s="165"/>
      <c r="K1718" s="166"/>
      <c r="L1718" s="166"/>
    </row>
    <row r="1719">
      <c r="A1719" s="163" t="s">
        <v>222</v>
      </c>
      <c r="B1719" s="163"/>
      <c r="C1719" s="163"/>
      <c r="J1719" s="165"/>
      <c r="K1719" s="166"/>
      <c r="L1719" s="166"/>
    </row>
    <row r="1720">
      <c r="A1720" s="163" t="s">
        <v>222</v>
      </c>
      <c r="B1720" s="163"/>
      <c r="C1720" s="163"/>
      <c r="J1720" s="165"/>
      <c r="K1720" s="166"/>
      <c r="L1720" s="166"/>
    </row>
    <row r="1721">
      <c r="A1721" s="163" t="s">
        <v>222</v>
      </c>
      <c r="B1721" s="163"/>
      <c r="C1721" s="163"/>
      <c r="J1721" s="165"/>
      <c r="K1721" s="166"/>
      <c r="L1721" s="166"/>
    </row>
    <row r="1722">
      <c r="A1722" s="163" t="s">
        <v>222</v>
      </c>
      <c r="B1722" s="163"/>
      <c r="C1722" s="163"/>
      <c r="J1722" s="165"/>
      <c r="K1722" s="166"/>
      <c r="L1722" s="166"/>
    </row>
    <row r="1723">
      <c r="A1723" s="163" t="s">
        <v>222</v>
      </c>
      <c r="B1723" s="163"/>
      <c r="C1723" s="163"/>
      <c r="J1723" s="165"/>
      <c r="K1723" s="166"/>
      <c r="L1723" s="166"/>
    </row>
    <row r="1724">
      <c r="A1724" s="163" t="s">
        <v>222</v>
      </c>
      <c r="B1724" s="163"/>
      <c r="C1724" s="163"/>
      <c r="J1724" s="165"/>
      <c r="K1724" s="166"/>
      <c r="L1724" s="166"/>
    </row>
    <row r="1725">
      <c r="A1725" s="163" t="s">
        <v>222</v>
      </c>
      <c r="B1725" s="163"/>
      <c r="C1725" s="163"/>
      <c r="J1725" s="165"/>
      <c r="K1725" s="166"/>
      <c r="L1725" s="166"/>
    </row>
    <row r="1726">
      <c r="A1726" s="163" t="s">
        <v>222</v>
      </c>
      <c r="B1726" s="163"/>
      <c r="C1726" s="163"/>
      <c r="J1726" s="165"/>
      <c r="K1726" s="166"/>
      <c r="L1726" s="166"/>
    </row>
    <row r="1727">
      <c r="A1727" s="163" t="s">
        <v>222</v>
      </c>
      <c r="B1727" s="163"/>
      <c r="C1727" s="163"/>
      <c r="J1727" s="165"/>
      <c r="K1727" s="166"/>
      <c r="L1727" s="166"/>
    </row>
    <row r="1728">
      <c r="A1728" s="163" t="s">
        <v>222</v>
      </c>
      <c r="B1728" s="163"/>
      <c r="C1728" s="163"/>
      <c r="J1728" s="165"/>
      <c r="K1728" s="166"/>
      <c r="L1728" s="166"/>
    </row>
    <row r="1729">
      <c r="A1729" s="163" t="s">
        <v>222</v>
      </c>
      <c r="B1729" s="163"/>
      <c r="C1729" s="163"/>
      <c r="J1729" s="165"/>
      <c r="K1729" s="166"/>
      <c r="L1729" s="166"/>
    </row>
    <row r="1730">
      <c r="A1730" s="163" t="s">
        <v>222</v>
      </c>
      <c r="B1730" s="163"/>
      <c r="C1730" s="163"/>
      <c r="J1730" s="165"/>
      <c r="K1730" s="166"/>
      <c r="L1730" s="166"/>
    </row>
    <row r="1731">
      <c r="A1731" s="163" t="s">
        <v>222</v>
      </c>
      <c r="B1731" s="163"/>
      <c r="C1731" s="163"/>
      <c r="J1731" s="165"/>
      <c r="K1731" s="166"/>
      <c r="L1731" s="166"/>
    </row>
    <row r="1732">
      <c r="A1732" s="163" t="s">
        <v>222</v>
      </c>
      <c r="B1732" s="163"/>
      <c r="C1732" s="163"/>
      <c r="J1732" s="165"/>
      <c r="K1732" s="166"/>
      <c r="L1732" s="166"/>
    </row>
    <row r="1733">
      <c r="A1733" s="163" t="s">
        <v>222</v>
      </c>
      <c r="B1733" s="163"/>
      <c r="C1733" s="163"/>
      <c r="J1733" s="165"/>
      <c r="K1733" s="166"/>
      <c r="L1733" s="166"/>
    </row>
    <row r="1734">
      <c r="A1734" s="163" t="s">
        <v>222</v>
      </c>
      <c r="B1734" s="163"/>
      <c r="C1734" s="163"/>
      <c r="J1734" s="165"/>
      <c r="K1734" s="166"/>
      <c r="L1734" s="166"/>
    </row>
    <row r="1735">
      <c r="A1735" s="163" t="s">
        <v>222</v>
      </c>
      <c r="B1735" s="163"/>
      <c r="C1735" s="163"/>
      <c r="J1735" s="165"/>
      <c r="K1735" s="166"/>
      <c r="L1735" s="166"/>
    </row>
    <row r="1736">
      <c r="A1736" s="163" t="s">
        <v>222</v>
      </c>
      <c r="B1736" s="163"/>
      <c r="C1736" s="163"/>
      <c r="J1736" s="165"/>
      <c r="K1736" s="166"/>
      <c r="L1736" s="166"/>
    </row>
    <row r="1737">
      <c r="A1737" s="163" t="s">
        <v>222</v>
      </c>
      <c r="B1737" s="163"/>
      <c r="C1737" s="163"/>
      <c r="J1737" s="165"/>
      <c r="K1737" s="166"/>
      <c r="L1737" s="166"/>
    </row>
    <row r="1738">
      <c r="A1738" s="163" t="s">
        <v>222</v>
      </c>
      <c r="B1738" s="163"/>
      <c r="C1738" s="163"/>
      <c r="J1738" s="165"/>
      <c r="K1738" s="166"/>
      <c r="L1738" s="166"/>
    </row>
    <row r="1739">
      <c r="A1739" s="163" t="s">
        <v>222</v>
      </c>
      <c r="B1739" s="163"/>
      <c r="C1739" s="163"/>
      <c r="J1739" s="165"/>
      <c r="K1739" s="166"/>
      <c r="L1739" s="166"/>
    </row>
    <row r="1740">
      <c r="A1740" s="163" t="s">
        <v>222</v>
      </c>
      <c r="B1740" s="163"/>
      <c r="C1740" s="163"/>
      <c r="J1740" s="165"/>
      <c r="K1740" s="166"/>
      <c r="L1740" s="166"/>
    </row>
    <row r="1741">
      <c r="A1741" s="163" t="s">
        <v>222</v>
      </c>
      <c r="B1741" s="163"/>
      <c r="C1741" s="163"/>
      <c r="J1741" s="165"/>
      <c r="K1741" s="166"/>
      <c r="L1741" s="166"/>
    </row>
    <row r="1742">
      <c r="A1742" s="163" t="s">
        <v>222</v>
      </c>
      <c r="B1742" s="163"/>
      <c r="C1742" s="163"/>
      <c r="J1742" s="165"/>
      <c r="K1742" s="166"/>
      <c r="L1742" s="166"/>
    </row>
    <row r="1743">
      <c r="A1743" s="163" t="s">
        <v>222</v>
      </c>
      <c r="B1743" s="163"/>
      <c r="C1743" s="163"/>
      <c r="J1743" s="165"/>
      <c r="K1743" s="166"/>
      <c r="L1743" s="166"/>
    </row>
    <row r="1744">
      <c r="A1744" s="163" t="s">
        <v>222</v>
      </c>
      <c r="B1744" s="163"/>
      <c r="C1744" s="163"/>
      <c r="J1744" s="165"/>
      <c r="K1744" s="166"/>
      <c r="L1744" s="166"/>
    </row>
    <row r="1745">
      <c r="A1745" s="163" t="s">
        <v>222</v>
      </c>
      <c r="B1745" s="163"/>
      <c r="C1745" s="163"/>
      <c r="J1745" s="165"/>
      <c r="K1745" s="166"/>
      <c r="L1745" s="166"/>
    </row>
    <row r="1746">
      <c r="A1746" s="163" t="s">
        <v>222</v>
      </c>
      <c r="B1746" s="163"/>
      <c r="C1746" s="163"/>
      <c r="J1746" s="165"/>
      <c r="K1746" s="166"/>
      <c r="L1746" s="166"/>
    </row>
    <row r="1747">
      <c r="A1747" s="163" t="s">
        <v>222</v>
      </c>
      <c r="B1747" s="163"/>
      <c r="C1747" s="163"/>
      <c r="J1747" s="165"/>
      <c r="K1747" s="166"/>
      <c r="L1747" s="166"/>
    </row>
    <row r="1748">
      <c r="A1748" s="163" t="s">
        <v>222</v>
      </c>
      <c r="B1748" s="163"/>
      <c r="C1748" s="163"/>
      <c r="J1748" s="165"/>
      <c r="K1748" s="166"/>
      <c r="L1748" s="166"/>
    </row>
    <row r="1749">
      <c r="A1749" s="163" t="s">
        <v>222</v>
      </c>
      <c r="B1749" s="163"/>
      <c r="C1749" s="163"/>
      <c r="J1749" s="165"/>
      <c r="K1749" s="166"/>
      <c r="L1749" s="166"/>
    </row>
    <row r="1750">
      <c r="A1750" s="163" t="s">
        <v>222</v>
      </c>
      <c r="B1750" s="163"/>
      <c r="C1750" s="163"/>
      <c r="J1750" s="165"/>
      <c r="K1750" s="166"/>
      <c r="L1750" s="166"/>
    </row>
    <row r="1751">
      <c r="A1751" s="163" t="s">
        <v>222</v>
      </c>
      <c r="B1751" s="163"/>
      <c r="C1751" s="163"/>
      <c r="J1751" s="165"/>
      <c r="K1751" s="166"/>
      <c r="L1751" s="166"/>
    </row>
    <row r="1752">
      <c r="A1752" s="163" t="s">
        <v>222</v>
      </c>
      <c r="B1752" s="163"/>
      <c r="C1752" s="163"/>
      <c r="J1752" s="165"/>
      <c r="K1752" s="166"/>
      <c r="L1752" s="166"/>
    </row>
    <row r="1753">
      <c r="A1753" s="163" t="s">
        <v>222</v>
      </c>
      <c r="B1753" s="163"/>
      <c r="C1753" s="163"/>
      <c r="J1753" s="165"/>
      <c r="K1753" s="166"/>
      <c r="L1753" s="166"/>
    </row>
    <row r="1754">
      <c r="A1754" s="163" t="s">
        <v>222</v>
      </c>
      <c r="B1754" s="163"/>
      <c r="C1754" s="163"/>
      <c r="J1754" s="165"/>
      <c r="K1754" s="166"/>
      <c r="L1754" s="166"/>
    </row>
    <row r="1755">
      <c r="A1755" s="163" t="s">
        <v>222</v>
      </c>
      <c r="B1755" s="163"/>
      <c r="C1755" s="163"/>
      <c r="J1755" s="165"/>
      <c r="K1755" s="166"/>
      <c r="L1755" s="166"/>
    </row>
    <row r="1756">
      <c r="A1756" s="163" t="s">
        <v>222</v>
      </c>
      <c r="B1756" s="163"/>
      <c r="C1756" s="163"/>
      <c r="J1756" s="165"/>
      <c r="K1756" s="166"/>
      <c r="L1756" s="166"/>
    </row>
    <row r="1757">
      <c r="A1757" s="163" t="s">
        <v>222</v>
      </c>
      <c r="B1757" s="163"/>
      <c r="C1757" s="163"/>
      <c r="J1757" s="165"/>
      <c r="K1757" s="166"/>
      <c r="L1757" s="166"/>
    </row>
    <row r="1758">
      <c r="A1758" s="163" t="s">
        <v>222</v>
      </c>
      <c r="B1758" s="163"/>
      <c r="C1758" s="163"/>
      <c r="J1758" s="165"/>
      <c r="K1758" s="166"/>
      <c r="L1758" s="166"/>
    </row>
    <row r="1759">
      <c r="A1759" s="163" t="s">
        <v>222</v>
      </c>
      <c r="B1759" s="163"/>
      <c r="C1759" s="163"/>
      <c r="J1759" s="165"/>
      <c r="K1759" s="166"/>
      <c r="L1759" s="166"/>
    </row>
    <row r="1760">
      <c r="A1760" s="163" t="s">
        <v>222</v>
      </c>
      <c r="B1760" s="163"/>
      <c r="C1760" s="163"/>
      <c r="J1760" s="165"/>
      <c r="K1760" s="166"/>
      <c r="L1760" s="166"/>
    </row>
    <row r="1761">
      <c r="A1761" s="163" t="s">
        <v>222</v>
      </c>
      <c r="B1761" s="163"/>
      <c r="C1761" s="163"/>
      <c r="J1761" s="165"/>
      <c r="K1761" s="166"/>
      <c r="L1761" s="166"/>
    </row>
    <row r="1762">
      <c r="A1762" s="163" t="s">
        <v>222</v>
      </c>
      <c r="B1762" s="163"/>
      <c r="C1762" s="163"/>
      <c r="J1762" s="165"/>
      <c r="K1762" s="166"/>
      <c r="L1762" s="166"/>
    </row>
    <row r="1763">
      <c r="A1763" s="163" t="s">
        <v>222</v>
      </c>
      <c r="B1763" s="163"/>
      <c r="C1763" s="163"/>
      <c r="J1763" s="165"/>
      <c r="K1763" s="166"/>
      <c r="L1763" s="166"/>
    </row>
    <row r="1764">
      <c r="A1764" s="163" t="s">
        <v>222</v>
      </c>
      <c r="B1764" s="163"/>
      <c r="C1764" s="163"/>
      <c r="J1764" s="165"/>
      <c r="K1764" s="166"/>
      <c r="L1764" s="166"/>
    </row>
    <row r="1765">
      <c r="A1765" s="163" t="s">
        <v>222</v>
      </c>
      <c r="B1765" s="163"/>
      <c r="C1765" s="163"/>
      <c r="J1765" s="165"/>
      <c r="K1765" s="166"/>
      <c r="L1765" s="166"/>
    </row>
    <row r="1766">
      <c r="A1766" s="163" t="s">
        <v>222</v>
      </c>
      <c r="B1766" s="163"/>
      <c r="C1766" s="163"/>
      <c r="J1766" s="165"/>
      <c r="K1766" s="166"/>
      <c r="L1766" s="166"/>
    </row>
    <row r="1767">
      <c r="A1767" s="163" t="s">
        <v>222</v>
      </c>
      <c r="B1767" s="163"/>
      <c r="C1767" s="163"/>
      <c r="J1767" s="165"/>
      <c r="K1767" s="166"/>
      <c r="L1767" s="166"/>
    </row>
    <row r="1768">
      <c r="A1768" s="163" t="s">
        <v>222</v>
      </c>
      <c r="B1768" s="163"/>
      <c r="C1768" s="163"/>
      <c r="J1768" s="165"/>
      <c r="K1768" s="166"/>
      <c r="L1768" s="166"/>
    </row>
    <row r="1769">
      <c r="A1769" s="163" t="s">
        <v>222</v>
      </c>
      <c r="B1769" s="163"/>
      <c r="C1769" s="163"/>
      <c r="J1769" s="165"/>
      <c r="K1769" s="166"/>
      <c r="L1769" s="166"/>
    </row>
    <row r="1770">
      <c r="A1770" s="163" t="s">
        <v>222</v>
      </c>
      <c r="B1770" s="163"/>
      <c r="C1770" s="163"/>
      <c r="J1770" s="165"/>
      <c r="K1770" s="166"/>
      <c r="L1770" s="166"/>
    </row>
    <row r="1771">
      <c r="A1771" s="163" t="s">
        <v>222</v>
      </c>
      <c r="B1771" s="163"/>
      <c r="C1771" s="163"/>
      <c r="J1771" s="165"/>
      <c r="K1771" s="166"/>
      <c r="L1771" s="166"/>
    </row>
    <row r="1772">
      <c r="A1772" s="163" t="s">
        <v>222</v>
      </c>
      <c r="B1772" s="163"/>
      <c r="C1772" s="163"/>
      <c r="J1772" s="165"/>
      <c r="K1772" s="166"/>
      <c r="L1772" s="166"/>
    </row>
    <row r="1773">
      <c r="A1773" s="163" t="s">
        <v>222</v>
      </c>
      <c r="B1773" s="163"/>
      <c r="C1773" s="163"/>
      <c r="J1773" s="165"/>
      <c r="K1773" s="166"/>
      <c r="L1773" s="166"/>
    </row>
    <row r="1774">
      <c r="A1774" s="163" t="s">
        <v>222</v>
      </c>
      <c r="B1774" s="163"/>
      <c r="C1774" s="163"/>
      <c r="J1774" s="165"/>
      <c r="K1774" s="166"/>
      <c r="L1774" s="166"/>
    </row>
    <row r="1775">
      <c r="A1775" s="163" t="s">
        <v>222</v>
      </c>
      <c r="B1775" s="163"/>
      <c r="C1775" s="163"/>
      <c r="J1775" s="165"/>
      <c r="K1775" s="166"/>
      <c r="L1775" s="166"/>
    </row>
    <row r="1776">
      <c r="A1776" s="163" t="s">
        <v>222</v>
      </c>
      <c r="B1776" s="163"/>
      <c r="C1776" s="163"/>
      <c r="J1776" s="165"/>
      <c r="K1776" s="166"/>
      <c r="L1776" s="166"/>
    </row>
    <row r="1777">
      <c r="A1777" s="163" t="s">
        <v>222</v>
      </c>
      <c r="B1777" s="163"/>
      <c r="C1777" s="163"/>
      <c r="J1777" s="165"/>
      <c r="K1777" s="166"/>
      <c r="L1777" s="166"/>
    </row>
    <row r="1778">
      <c r="A1778" s="163" t="s">
        <v>222</v>
      </c>
      <c r="B1778" s="163"/>
      <c r="C1778" s="163"/>
      <c r="J1778" s="165"/>
      <c r="K1778" s="166"/>
      <c r="L1778" s="166"/>
    </row>
    <row r="1779">
      <c r="A1779" s="163" t="s">
        <v>222</v>
      </c>
      <c r="B1779" s="163"/>
      <c r="C1779" s="163"/>
      <c r="J1779" s="165"/>
      <c r="K1779" s="166"/>
      <c r="L1779" s="166"/>
    </row>
    <row r="1780">
      <c r="A1780" s="163" t="s">
        <v>222</v>
      </c>
      <c r="B1780" s="163"/>
      <c r="C1780" s="163"/>
      <c r="J1780" s="165"/>
      <c r="K1780" s="166"/>
      <c r="L1780" s="166"/>
    </row>
    <row r="1781">
      <c r="A1781" s="163" t="s">
        <v>222</v>
      </c>
      <c r="B1781" s="163"/>
      <c r="C1781" s="163"/>
      <c r="J1781" s="165"/>
      <c r="K1781" s="166"/>
      <c r="L1781" s="166"/>
    </row>
    <row r="1782">
      <c r="A1782" s="163" t="s">
        <v>222</v>
      </c>
      <c r="B1782" s="163"/>
      <c r="C1782" s="163"/>
      <c r="J1782" s="165"/>
      <c r="K1782" s="166"/>
      <c r="L1782" s="166"/>
    </row>
    <row r="1783">
      <c r="A1783" s="163" t="s">
        <v>222</v>
      </c>
      <c r="B1783" s="163"/>
      <c r="C1783" s="163"/>
      <c r="J1783" s="165"/>
      <c r="K1783" s="166"/>
      <c r="L1783" s="166"/>
    </row>
    <row r="1784">
      <c r="A1784" s="163" t="s">
        <v>222</v>
      </c>
      <c r="B1784" s="163"/>
      <c r="C1784" s="163"/>
      <c r="J1784" s="165"/>
      <c r="K1784" s="166"/>
      <c r="L1784" s="166"/>
    </row>
    <row r="1785">
      <c r="A1785" s="163" t="s">
        <v>222</v>
      </c>
      <c r="B1785" s="163"/>
      <c r="C1785" s="163"/>
      <c r="J1785" s="165"/>
      <c r="K1785" s="166"/>
      <c r="L1785" s="166"/>
    </row>
    <row r="1786">
      <c r="A1786" s="163" t="s">
        <v>222</v>
      </c>
      <c r="B1786" s="163"/>
      <c r="C1786" s="163"/>
      <c r="J1786" s="165"/>
      <c r="K1786" s="166"/>
      <c r="L1786" s="166"/>
    </row>
    <row r="1787">
      <c r="A1787" s="163" t="s">
        <v>222</v>
      </c>
      <c r="B1787" s="163"/>
      <c r="C1787" s="163"/>
      <c r="J1787" s="165"/>
      <c r="K1787" s="166"/>
      <c r="L1787" s="166"/>
    </row>
    <row r="1788">
      <c r="A1788" s="163" t="s">
        <v>222</v>
      </c>
      <c r="B1788" s="163"/>
      <c r="C1788" s="163"/>
      <c r="J1788" s="165"/>
      <c r="K1788" s="166"/>
      <c r="L1788" s="166"/>
    </row>
    <row r="1789">
      <c r="A1789" s="163" t="s">
        <v>222</v>
      </c>
      <c r="B1789" s="163"/>
      <c r="C1789" s="163"/>
      <c r="J1789" s="165"/>
      <c r="K1789" s="166"/>
      <c r="L1789" s="166"/>
    </row>
    <row r="1790">
      <c r="A1790" s="163" t="s">
        <v>222</v>
      </c>
      <c r="B1790" s="163"/>
      <c r="C1790" s="163"/>
      <c r="J1790" s="165"/>
      <c r="K1790" s="166"/>
      <c r="L1790" s="166"/>
    </row>
    <row r="1791">
      <c r="A1791" s="163" t="s">
        <v>222</v>
      </c>
      <c r="B1791" s="163"/>
      <c r="C1791" s="163"/>
      <c r="J1791" s="165"/>
      <c r="K1791" s="166"/>
      <c r="L1791" s="166"/>
    </row>
    <row r="1792">
      <c r="A1792" s="163" t="s">
        <v>222</v>
      </c>
      <c r="B1792" s="163"/>
      <c r="C1792" s="163"/>
      <c r="J1792" s="165"/>
      <c r="K1792" s="166"/>
      <c r="L1792" s="166"/>
    </row>
    <row r="1793">
      <c r="A1793" s="163" t="s">
        <v>222</v>
      </c>
      <c r="B1793" s="163"/>
      <c r="C1793" s="163"/>
      <c r="J1793" s="165"/>
      <c r="K1793" s="166"/>
      <c r="L1793" s="166"/>
    </row>
    <row r="1794">
      <c r="A1794" s="163" t="s">
        <v>222</v>
      </c>
      <c r="B1794" s="163"/>
      <c r="C1794" s="163"/>
      <c r="J1794" s="165"/>
      <c r="K1794" s="166"/>
      <c r="L1794" s="166"/>
    </row>
    <row r="1795">
      <c r="A1795" s="163" t="s">
        <v>222</v>
      </c>
      <c r="B1795" s="163"/>
      <c r="C1795" s="163"/>
      <c r="J1795" s="165"/>
      <c r="K1795" s="166"/>
      <c r="L1795" s="166"/>
    </row>
    <row r="1796">
      <c r="A1796" s="163" t="s">
        <v>222</v>
      </c>
      <c r="B1796" s="163"/>
      <c r="C1796" s="163"/>
      <c r="J1796" s="165"/>
      <c r="K1796" s="166"/>
      <c r="L1796" s="166"/>
    </row>
    <row r="1797">
      <c r="A1797" s="163" t="s">
        <v>222</v>
      </c>
      <c r="B1797" s="163"/>
      <c r="C1797" s="163"/>
      <c r="J1797" s="165"/>
      <c r="K1797" s="166"/>
      <c r="L1797" s="166"/>
    </row>
    <row r="1798">
      <c r="A1798" s="163" t="s">
        <v>222</v>
      </c>
      <c r="B1798" s="163"/>
      <c r="C1798" s="163"/>
      <c r="J1798" s="165"/>
      <c r="K1798" s="166"/>
      <c r="L1798" s="166"/>
    </row>
    <row r="1799">
      <c r="A1799" s="163" t="s">
        <v>222</v>
      </c>
      <c r="B1799" s="163"/>
      <c r="C1799" s="163"/>
      <c r="J1799" s="165"/>
      <c r="K1799" s="166"/>
      <c r="L1799" s="166"/>
    </row>
    <row r="1800">
      <c r="A1800" s="163" t="s">
        <v>222</v>
      </c>
      <c r="B1800" s="163"/>
      <c r="C1800" s="163"/>
      <c r="J1800" s="165"/>
      <c r="K1800" s="166"/>
      <c r="L1800" s="166"/>
    </row>
    <row r="1801">
      <c r="A1801" s="163" t="s">
        <v>222</v>
      </c>
      <c r="B1801" s="163"/>
      <c r="C1801" s="163"/>
      <c r="J1801" s="165"/>
      <c r="K1801" s="166"/>
      <c r="L1801" s="166"/>
    </row>
    <row r="1802">
      <c r="A1802" s="163" t="s">
        <v>222</v>
      </c>
      <c r="B1802" s="163"/>
      <c r="C1802" s="163"/>
      <c r="J1802" s="165"/>
      <c r="K1802" s="166"/>
      <c r="L1802" s="166"/>
    </row>
    <row r="1803">
      <c r="A1803" s="163" t="s">
        <v>222</v>
      </c>
      <c r="B1803" s="163"/>
      <c r="C1803" s="163"/>
      <c r="J1803" s="165"/>
      <c r="K1803" s="166"/>
      <c r="L1803" s="166"/>
    </row>
    <row r="1804">
      <c r="A1804" s="163" t="s">
        <v>222</v>
      </c>
      <c r="B1804" s="163"/>
      <c r="C1804" s="163"/>
      <c r="J1804" s="165"/>
      <c r="K1804" s="166"/>
      <c r="L1804" s="166"/>
    </row>
    <row r="1805">
      <c r="A1805" s="163" t="s">
        <v>222</v>
      </c>
      <c r="B1805" s="163"/>
      <c r="C1805" s="163"/>
      <c r="J1805" s="165"/>
      <c r="K1805" s="166"/>
      <c r="L1805" s="166"/>
    </row>
    <row r="1806">
      <c r="A1806" s="163" t="s">
        <v>222</v>
      </c>
      <c r="B1806" s="163"/>
      <c r="C1806" s="163"/>
      <c r="J1806" s="165"/>
      <c r="K1806" s="166"/>
      <c r="L1806" s="166"/>
    </row>
    <row r="1807">
      <c r="A1807" s="163" t="s">
        <v>222</v>
      </c>
      <c r="B1807" s="163"/>
      <c r="C1807" s="163"/>
      <c r="J1807" s="165"/>
      <c r="K1807" s="166"/>
      <c r="L1807" s="166"/>
    </row>
    <row r="1808">
      <c r="A1808" s="163" t="s">
        <v>222</v>
      </c>
      <c r="B1808" s="163"/>
      <c r="C1808" s="163"/>
      <c r="J1808" s="165"/>
      <c r="K1808" s="166"/>
      <c r="L1808" s="166"/>
    </row>
    <row r="1809">
      <c r="A1809" s="163" t="s">
        <v>222</v>
      </c>
      <c r="B1809" s="163"/>
      <c r="C1809" s="163"/>
      <c r="J1809" s="165"/>
      <c r="K1809" s="166"/>
      <c r="L1809" s="166"/>
    </row>
    <row r="1810">
      <c r="A1810" s="163" t="s">
        <v>222</v>
      </c>
      <c r="B1810" s="163"/>
      <c r="C1810" s="163"/>
      <c r="J1810" s="165"/>
      <c r="K1810" s="166"/>
      <c r="L1810" s="166"/>
    </row>
    <row r="1811">
      <c r="A1811" s="163" t="s">
        <v>222</v>
      </c>
      <c r="B1811" s="163"/>
      <c r="C1811" s="163"/>
      <c r="J1811" s="165"/>
      <c r="K1811" s="166"/>
      <c r="L1811" s="166"/>
    </row>
    <row r="1812">
      <c r="A1812" s="163" t="s">
        <v>222</v>
      </c>
      <c r="B1812" s="163"/>
      <c r="C1812" s="163"/>
      <c r="J1812" s="165"/>
      <c r="K1812" s="166"/>
      <c r="L1812" s="166"/>
    </row>
    <row r="1813">
      <c r="A1813" s="163" t="s">
        <v>222</v>
      </c>
      <c r="B1813" s="163"/>
      <c r="C1813" s="163"/>
      <c r="J1813" s="165"/>
      <c r="K1813" s="166"/>
      <c r="L1813" s="166"/>
    </row>
    <row r="1814">
      <c r="A1814" s="163" t="s">
        <v>222</v>
      </c>
      <c r="B1814" s="163"/>
      <c r="C1814" s="163"/>
      <c r="J1814" s="165"/>
      <c r="K1814" s="166"/>
      <c r="L1814" s="166"/>
    </row>
    <row r="1815">
      <c r="A1815" s="163" t="s">
        <v>222</v>
      </c>
      <c r="B1815" s="163"/>
      <c r="C1815" s="163"/>
      <c r="J1815" s="165"/>
      <c r="K1815" s="166"/>
      <c r="L1815" s="166"/>
    </row>
    <row r="1816">
      <c r="A1816" s="163" t="s">
        <v>222</v>
      </c>
      <c r="B1816" s="163"/>
      <c r="C1816" s="163"/>
      <c r="J1816" s="165"/>
      <c r="K1816" s="166"/>
      <c r="L1816" s="166"/>
    </row>
    <row r="1817">
      <c r="A1817" s="163" t="s">
        <v>222</v>
      </c>
      <c r="B1817" s="163"/>
      <c r="C1817" s="163"/>
      <c r="J1817" s="165"/>
      <c r="K1817" s="166"/>
      <c r="L1817" s="166"/>
    </row>
    <row r="1818">
      <c r="A1818" s="163" t="s">
        <v>222</v>
      </c>
      <c r="B1818" s="163"/>
      <c r="C1818" s="163"/>
      <c r="J1818" s="165"/>
      <c r="K1818" s="166"/>
      <c r="L1818" s="166"/>
    </row>
    <row r="1819">
      <c r="A1819" s="163" t="s">
        <v>222</v>
      </c>
      <c r="B1819" s="163"/>
      <c r="C1819" s="163"/>
      <c r="J1819" s="165"/>
      <c r="K1819" s="166"/>
      <c r="L1819" s="166"/>
    </row>
    <row r="1820">
      <c r="A1820" s="163" t="s">
        <v>222</v>
      </c>
      <c r="B1820" s="163"/>
      <c r="C1820" s="163"/>
      <c r="J1820" s="165"/>
      <c r="K1820" s="166"/>
      <c r="L1820" s="166"/>
    </row>
    <row r="1821">
      <c r="A1821" s="163" t="s">
        <v>222</v>
      </c>
      <c r="B1821" s="163"/>
      <c r="C1821" s="163"/>
      <c r="J1821" s="165"/>
      <c r="K1821" s="166"/>
      <c r="L1821" s="166"/>
    </row>
    <row r="1822">
      <c r="A1822" s="163" t="s">
        <v>222</v>
      </c>
      <c r="B1822" s="163"/>
      <c r="C1822" s="163"/>
      <c r="J1822" s="165"/>
      <c r="K1822" s="166"/>
      <c r="L1822" s="166"/>
    </row>
    <row r="1823">
      <c r="A1823" s="163" t="s">
        <v>222</v>
      </c>
      <c r="B1823" s="163"/>
      <c r="C1823" s="163"/>
      <c r="J1823" s="165"/>
      <c r="K1823" s="166"/>
      <c r="L1823" s="166"/>
    </row>
    <row r="1824">
      <c r="A1824" s="163" t="s">
        <v>222</v>
      </c>
      <c r="B1824" s="163"/>
      <c r="C1824" s="163"/>
      <c r="J1824" s="165"/>
      <c r="K1824" s="166"/>
      <c r="L1824" s="166"/>
    </row>
    <row r="1825">
      <c r="A1825" s="163" t="s">
        <v>222</v>
      </c>
      <c r="B1825" s="163"/>
      <c r="C1825" s="163"/>
      <c r="J1825" s="165"/>
      <c r="K1825" s="166"/>
      <c r="L1825" s="166"/>
    </row>
    <row r="1826">
      <c r="A1826" s="163" t="s">
        <v>222</v>
      </c>
      <c r="B1826" s="163"/>
      <c r="C1826" s="163"/>
      <c r="J1826" s="165"/>
      <c r="K1826" s="166"/>
      <c r="L1826" s="166"/>
    </row>
    <row r="1827">
      <c r="A1827" s="163" t="s">
        <v>222</v>
      </c>
      <c r="B1827" s="163"/>
      <c r="C1827" s="163"/>
      <c r="J1827" s="165"/>
      <c r="K1827" s="166"/>
      <c r="L1827" s="166"/>
    </row>
    <row r="1828">
      <c r="A1828" s="163" t="s">
        <v>222</v>
      </c>
      <c r="B1828" s="163"/>
      <c r="C1828" s="163"/>
      <c r="J1828" s="165"/>
      <c r="K1828" s="166"/>
      <c r="L1828" s="166"/>
    </row>
    <row r="1829">
      <c r="A1829" s="163" t="s">
        <v>222</v>
      </c>
      <c r="B1829" s="163"/>
      <c r="C1829" s="163"/>
      <c r="J1829" s="165"/>
      <c r="K1829" s="166"/>
      <c r="L1829" s="166"/>
    </row>
    <row r="1830">
      <c r="A1830" s="163" t="s">
        <v>222</v>
      </c>
      <c r="B1830" s="163"/>
      <c r="C1830" s="163"/>
      <c r="J1830" s="165"/>
      <c r="K1830" s="166"/>
      <c r="L1830" s="166"/>
    </row>
    <row r="1831">
      <c r="A1831" s="163" t="s">
        <v>222</v>
      </c>
      <c r="B1831" s="163"/>
      <c r="C1831" s="163"/>
      <c r="J1831" s="165"/>
      <c r="K1831" s="166"/>
      <c r="L1831" s="166"/>
    </row>
    <row r="1832">
      <c r="A1832" s="163" t="s">
        <v>222</v>
      </c>
      <c r="B1832" s="163"/>
      <c r="C1832" s="163"/>
      <c r="J1832" s="165"/>
      <c r="K1832" s="166"/>
      <c r="L1832" s="166"/>
    </row>
    <row r="1833">
      <c r="A1833" s="163" t="s">
        <v>222</v>
      </c>
      <c r="B1833" s="163"/>
      <c r="C1833" s="163"/>
      <c r="J1833" s="165"/>
      <c r="K1833" s="166"/>
      <c r="L1833" s="166"/>
    </row>
    <row r="1834">
      <c r="A1834" s="163" t="s">
        <v>222</v>
      </c>
      <c r="B1834" s="163"/>
      <c r="C1834" s="163"/>
      <c r="J1834" s="165"/>
      <c r="K1834" s="166"/>
      <c r="L1834" s="166"/>
    </row>
    <row r="1835">
      <c r="A1835" s="163" t="s">
        <v>222</v>
      </c>
      <c r="B1835" s="163"/>
      <c r="C1835" s="163"/>
      <c r="J1835" s="165"/>
      <c r="K1835" s="166"/>
      <c r="L1835" s="166"/>
    </row>
    <row r="1836">
      <c r="A1836" s="163" t="s">
        <v>222</v>
      </c>
      <c r="B1836" s="163"/>
      <c r="C1836" s="163"/>
      <c r="J1836" s="165"/>
      <c r="K1836" s="166"/>
      <c r="L1836" s="166"/>
    </row>
    <row r="1837">
      <c r="A1837" s="163" t="s">
        <v>222</v>
      </c>
      <c r="B1837" s="163"/>
      <c r="C1837" s="163"/>
      <c r="J1837" s="165"/>
      <c r="K1837" s="166"/>
      <c r="L1837" s="166"/>
    </row>
    <row r="1838">
      <c r="A1838" s="163" t="s">
        <v>222</v>
      </c>
      <c r="B1838" s="163"/>
      <c r="C1838" s="163"/>
      <c r="J1838" s="165"/>
      <c r="K1838" s="166"/>
      <c r="L1838" s="166"/>
    </row>
    <row r="1839">
      <c r="A1839" s="163" t="s">
        <v>222</v>
      </c>
      <c r="B1839" s="163"/>
      <c r="C1839" s="163"/>
      <c r="J1839" s="165"/>
      <c r="K1839" s="166"/>
      <c r="L1839" s="166"/>
    </row>
    <row r="1840">
      <c r="A1840" s="163" t="s">
        <v>222</v>
      </c>
      <c r="B1840" s="163"/>
      <c r="C1840" s="163"/>
      <c r="J1840" s="165"/>
      <c r="K1840" s="166"/>
      <c r="L1840" s="166"/>
    </row>
    <row r="1841">
      <c r="A1841" s="163" t="s">
        <v>222</v>
      </c>
      <c r="B1841" s="163"/>
      <c r="C1841" s="163"/>
      <c r="J1841" s="165"/>
      <c r="K1841" s="166"/>
      <c r="L1841" s="166"/>
    </row>
    <row r="1842">
      <c r="A1842" s="163" t="s">
        <v>222</v>
      </c>
      <c r="B1842" s="163"/>
      <c r="C1842" s="163"/>
      <c r="J1842" s="165"/>
      <c r="K1842" s="166"/>
      <c r="L1842" s="166"/>
    </row>
    <row r="1843">
      <c r="A1843" s="163" t="s">
        <v>222</v>
      </c>
      <c r="B1843" s="163"/>
      <c r="C1843" s="163"/>
      <c r="J1843" s="165"/>
      <c r="K1843" s="166"/>
      <c r="L1843" s="166"/>
    </row>
    <row r="1844">
      <c r="A1844" s="163" t="s">
        <v>222</v>
      </c>
      <c r="B1844" s="163"/>
      <c r="C1844" s="163"/>
      <c r="J1844" s="165"/>
      <c r="K1844" s="166"/>
      <c r="L1844" s="166"/>
    </row>
    <row r="1845">
      <c r="A1845" s="163" t="s">
        <v>222</v>
      </c>
      <c r="B1845" s="163"/>
      <c r="C1845" s="163"/>
      <c r="J1845" s="165"/>
      <c r="K1845" s="166"/>
      <c r="L1845" s="166"/>
    </row>
    <row r="1846">
      <c r="A1846" s="163" t="s">
        <v>222</v>
      </c>
      <c r="B1846" s="163"/>
      <c r="C1846" s="163"/>
      <c r="J1846" s="165"/>
      <c r="K1846" s="166"/>
      <c r="L1846" s="166"/>
    </row>
    <row r="1847">
      <c r="A1847" s="163" t="s">
        <v>222</v>
      </c>
      <c r="B1847" s="163"/>
      <c r="C1847" s="163"/>
      <c r="J1847" s="165"/>
      <c r="K1847" s="166"/>
      <c r="L1847" s="166"/>
    </row>
    <row r="1848">
      <c r="A1848" s="163" t="s">
        <v>222</v>
      </c>
      <c r="B1848" s="163"/>
      <c r="C1848" s="163"/>
      <c r="J1848" s="165"/>
      <c r="K1848" s="166"/>
      <c r="L1848" s="166"/>
    </row>
    <row r="1849">
      <c r="A1849" s="163" t="s">
        <v>222</v>
      </c>
      <c r="B1849" s="163"/>
      <c r="C1849" s="163"/>
      <c r="J1849" s="165"/>
      <c r="K1849" s="166"/>
      <c r="L1849" s="166"/>
    </row>
    <row r="1850">
      <c r="A1850" s="163" t="s">
        <v>222</v>
      </c>
      <c r="B1850" s="163"/>
      <c r="C1850" s="163"/>
      <c r="J1850" s="165"/>
      <c r="K1850" s="166"/>
      <c r="L1850" s="166"/>
    </row>
    <row r="1851">
      <c r="A1851" s="163" t="s">
        <v>222</v>
      </c>
      <c r="B1851" s="163"/>
      <c r="C1851" s="163"/>
      <c r="J1851" s="165"/>
      <c r="K1851" s="166"/>
      <c r="L1851" s="166"/>
    </row>
    <row r="1852">
      <c r="A1852" s="163" t="s">
        <v>222</v>
      </c>
      <c r="B1852" s="163"/>
      <c r="C1852" s="163"/>
      <c r="J1852" s="165"/>
      <c r="K1852" s="166"/>
      <c r="L1852" s="166"/>
    </row>
    <row r="1853">
      <c r="A1853" s="163" t="s">
        <v>222</v>
      </c>
      <c r="B1853" s="163"/>
      <c r="C1853" s="163"/>
      <c r="J1853" s="165"/>
      <c r="K1853" s="166"/>
      <c r="L1853" s="166"/>
    </row>
    <row r="1854">
      <c r="A1854" s="163" t="s">
        <v>222</v>
      </c>
      <c r="B1854" s="163"/>
      <c r="C1854" s="163"/>
      <c r="J1854" s="165"/>
      <c r="K1854" s="166"/>
      <c r="L1854" s="166"/>
    </row>
    <row r="1855">
      <c r="A1855" s="163" t="s">
        <v>222</v>
      </c>
      <c r="B1855" s="163"/>
      <c r="C1855" s="163"/>
      <c r="J1855" s="165"/>
      <c r="K1855" s="166"/>
      <c r="L1855" s="166"/>
    </row>
    <row r="1856">
      <c r="A1856" s="163" t="s">
        <v>222</v>
      </c>
      <c r="B1856" s="163"/>
      <c r="C1856" s="163"/>
      <c r="J1856" s="165"/>
      <c r="K1856" s="166"/>
      <c r="L1856" s="166"/>
    </row>
    <row r="1857">
      <c r="A1857" s="163" t="s">
        <v>222</v>
      </c>
      <c r="B1857" s="163"/>
      <c r="C1857" s="163"/>
      <c r="J1857" s="165"/>
      <c r="K1857" s="166"/>
      <c r="L1857" s="166"/>
    </row>
    <row r="1858">
      <c r="A1858" s="163" t="s">
        <v>222</v>
      </c>
      <c r="B1858" s="163"/>
      <c r="C1858" s="163"/>
      <c r="J1858" s="165"/>
      <c r="K1858" s="166"/>
      <c r="L1858" s="166"/>
    </row>
    <row r="1859">
      <c r="A1859" s="163" t="s">
        <v>222</v>
      </c>
      <c r="B1859" s="163"/>
      <c r="C1859" s="163"/>
      <c r="J1859" s="165"/>
      <c r="K1859" s="166"/>
      <c r="L1859" s="166"/>
    </row>
    <row r="1860">
      <c r="A1860" s="163" t="s">
        <v>222</v>
      </c>
      <c r="B1860" s="163"/>
      <c r="C1860" s="163"/>
      <c r="J1860" s="165"/>
      <c r="K1860" s="166"/>
      <c r="L1860" s="166"/>
    </row>
    <row r="1861">
      <c r="A1861" s="163" t="s">
        <v>222</v>
      </c>
      <c r="B1861" s="163"/>
      <c r="C1861" s="163"/>
      <c r="J1861" s="165"/>
      <c r="K1861" s="166"/>
      <c r="L1861" s="166"/>
    </row>
    <row r="1862">
      <c r="A1862" s="163" t="s">
        <v>222</v>
      </c>
      <c r="B1862" s="163"/>
      <c r="C1862" s="163"/>
      <c r="J1862" s="165"/>
      <c r="K1862" s="166"/>
      <c r="L1862" s="166"/>
    </row>
    <row r="1863">
      <c r="A1863" s="163" t="s">
        <v>222</v>
      </c>
      <c r="B1863" s="163"/>
      <c r="C1863" s="163"/>
      <c r="J1863" s="165"/>
      <c r="K1863" s="166"/>
      <c r="L1863" s="166"/>
    </row>
    <row r="1864">
      <c r="A1864" s="163" t="s">
        <v>222</v>
      </c>
      <c r="B1864" s="163"/>
      <c r="C1864" s="163"/>
      <c r="J1864" s="165"/>
      <c r="K1864" s="166"/>
      <c r="L1864" s="166"/>
    </row>
    <row r="1865">
      <c r="A1865" s="163" t="s">
        <v>222</v>
      </c>
      <c r="B1865" s="163"/>
      <c r="C1865" s="163"/>
      <c r="J1865" s="165"/>
      <c r="K1865" s="166"/>
      <c r="L1865" s="166"/>
    </row>
    <row r="1866">
      <c r="A1866" s="163" t="s">
        <v>222</v>
      </c>
      <c r="B1866" s="163"/>
      <c r="C1866" s="163"/>
      <c r="J1866" s="165"/>
      <c r="K1866" s="166"/>
      <c r="L1866" s="166"/>
    </row>
    <row r="1867">
      <c r="A1867" s="163" t="s">
        <v>222</v>
      </c>
      <c r="B1867" s="163"/>
      <c r="C1867" s="163"/>
      <c r="J1867" s="165"/>
      <c r="K1867" s="166"/>
      <c r="L1867" s="166"/>
    </row>
    <row r="1868">
      <c r="A1868" s="163" t="s">
        <v>222</v>
      </c>
      <c r="B1868" s="163"/>
      <c r="C1868" s="163"/>
      <c r="J1868" s="165"/>
      <c r="K1868" s="166"/>
      <c r="L1868" s="166"/>
    </row>
    <row r="1869">
      <c r="A1869" s="163" t="s">
        <v>222</v>
      </c>
      <c r="B1869" s="163"/>
      <c r="C1869" s="163"/>
      <c r="J1869" s="165"/>
      <c r="K1869" s="166"/>
      <c r="L1869" s="166"/>
    </row>
    <row r="1870">
      <c r="A1870" s="163" t="s">
        <v>222</v>
      </c>
      <c r="B1870" s="163"/>
      <c r="C1870" s="163"/>
      <c r="J1870" s="165"/>
      <c r="K1870" s="166"/>
      <c r="L1870" s="166"/>
    </row>
    <row r="1871">
      <c r="A1871" s="163" t="s">
        <v>222</v>
      </c>
      <c r="B1871" s="163"/>
      <c r="C1871" s="163"/>
      <c r="J1871" s="165"/>
      <c r="K1871" s="166"/>
      <c r="L1871" s="166"/>
    </row>
    <row r="1872">
      <c r="A1872" s="163" t="s">
        <v>222</v>
      </c>
      <c r="B1872" s="163"/>
      <c r="C1872" s="163"/>
      <c r="J1872" s="165"/>
      <c r="K1872" s="166"/>
      <c r="L1872" s="166"/>
    </row>
    <row r="1873">
      <c r="A1873" s="163" t="s">
        <v>222</v>
      </c>
      <c r="B1873" s="163"/>
      <c r="C1873" s="163"/>
      <c r="J1873" s="165"/>
      <c r="K1873" s="166"/>
      <c r="L1873" s="166"/>
    </row>
    <row r="1874">
      <c r="A1874" s="163" t="s">
        <v>222</v>
      </c>
      <c r="B1874" s="163"/>
      <c r="C1874" s="163"/>
      <c r="J1874" s="165"/>
      <c r="K1874" s="166"/>
      <c r="L1874" s="166"/>
    </row>
    <row r="1875">
      <c r="A1875" s="163" t="s">
        <v>222</v>
      </c>
      <c r="B1875" s="163"/>
      <c r="C1875" s="163"/>
      <c r="J1875" s="165"/>
      <c r="K1875" s="166"/>
      <c r="L1875" s="166"/>
    </row>
    <row r="1876">
      <c r="A1876" s="163" t="s">
        <v>222</v>
      </c>
      <c r="B1876" s="163"/>
      <c r="C1876" s="163"/>
      <c r="J1876" s="165"/>
      <c r="K1876" s="166"/>
      <c r="L1876" s="166"/>
    </row>
    <row r="1877">
      <c r="A1877" s="163" t="s">
        <v>222</v>
      </c>
      <c r="B1877" s="163"/>
      <c r="C1877" s="163"/>
      <c r="J1877" s="165"/>
      <c r="K1877" s="166"/>
      <c r="L1877" s="166"/>
    </row>
    <row r="1878">
      <c r="A1878" s="163" t="s">
        <v>222</v>
      </c>
      <c r="B1878" s="163"/>
      <c r="C1878" s="163"/>
      <c r="J1878" s="165"/>
      <c r="K1878" s="166"/>
      <c r="L1878" s="166"/>
    </row>
    <row r="1879">
      <c r="A1879" s="163" t="s">
        <v>222</v>
      </c>
      <c r="B1879" s="163"/>
      <c r="C1879" s="163"/>
      <c r="J1879" s="165"/>
      <c r="K1879" s="166"/>
      <c r="L1879" s="166"/>
    </row>
    <row r="1880">
      <c r="A1880" s="163" t="s">
        <v>222</v>
      </c>
      <c r="B1880" s="163"/>
      <c r="C1880" s="163"/>
      <c r="J1880" s="165"/>
      <c r="K1880" s="166"/>
      <c r="L1880" s="166"/>
    </row>
    <row r="1881">
      <c r="A1881" s="163" t="s">
        <v>222</v>
      </c>
      <c r="B1881" s="163"/>
      <c r="C1881" s="163"/>
      <c r="J1881" s="165"/>
      <c r="K1881" s="166"/>
      <c r="L1881" s="166"/>
    </row>
    <row r="1882">
      <c r="A1882" s="163" t="s">
        <v>222</v>
      </c>
      <c r="B1882" s="163"/>
      <c r="C1882" s="163"/>
      <c r="J1882" s="165"/>
      <c r="K1882" s="166"/>
      <c r="L1882" s="166"/>
    </row>
    <row r="1883">
      <c r="A1883" s="163" t="s">
        <v>222</v>
      </c>
      <c r="B1883" s="163"/>
      <c r="C1883" s="163"/>
      <c r="J1883" s="165"/>
      <c r="K1883" s="166"/>
      <c r="L1883" s="166"/>
    </row>
    <row r="1884">
      <c r="A1884" s="163" t="s">
        <v>222</v>
      </c>
      <c r="B1884" s="163"/>
      <c r="C1884" s="163"/>
      <c r="J1884" s="165"/>
      <c r="K1884" s="166"/>
      <c r="L1884" s="166"/>
    </row>
    <row r="1885">
      <c r="A1885" s="163" t="s">
        <v>222</v>
      </c>
      <c r="B1885" s="163"/>
      <c r="C1885" s="163"/>
      <c r="J1885" s="165"/>
      <c r="K1885" s="166"/>
      <c r="L1885" s="166"/>
    </row>
    <row r="1886">
      <c r="A1886" s="163" t="s">
        <v>222</v>
      </c>
      <c r="B1886" s="163"/>
      <c r="C1886" s="163"/>
      <c r="J1886" s="165"/>
      <c r="K1886" s="166"/>
      <c r="L1886" s="166"/>
    </row>
    <row r="1887">
      <c r="A1887" s="163" t="s">
        <v>222</v>
      </c>
      <c r="B1887" s="163"/>
      <c r="C1887" s="163"/>
      <c r="J1887" s="165"/>
      <c r="K1887" s="166"/>
      <c r="L1887" s="166"/>
    </row>
    <row r="1888">
      <c r="A1888" s="163" t="s">
        <v>222</v>
      </c>
      <c r="B1888" s="163"/>
      <c r="C1888" s="163"/>
      <c r="J1888" s="165"/>
      <c r="K1888" s="166"/>
      <c r="L1888" s="166"/>
    </row>
    <row r="1889">
      <c r="A1889" s="163" t="s">
        <v>222</v>
      </c>
      <c r="B1889" s="163"/>
      <c r="C1889" s="163"/>
      <c r="J1889" s="165"/>
      <c r="K1889" s="166"/>
      <c r="L1889" s="166"/>
    </row>
    <row r="1890">
      <c r="A1890" s="163" t="s">
        <v>222</v>
      </c>
      <c r="B1890" s="163"/>
      <c r="C1890" s="163"/>
      <c r="J1890" s="165"/>
      <c r="K1890" s="166"/>
      <c r="L1890" s="166"/>
    </row>
    <row r="1891">
      <c r="A1891" s="163" t="s">
        <v>222</v>
      </c>
      <c r="B1891" s="163"/>
      <c r="C1891" s="163"/>
      <c r="J1891" s="165"/>
      <c r="K1891" s="166"/>
      <c r="L1891" s="166"/>
    </row>
    <row r="1892">
      <c r="A1892" s="163" t="s">
        <v>222</v>
      </c>
      <c r="B1892" s="163"/>
      <c r="C1892" s="163"/>
      <c r="J1892" s="165"/>
      <c r="K1892" s="166"/>
      <c r="L1892" s="166"/>
    </row>
    <row r="1893">
      <c r="A1893" s="163" t="s">
        <v>222</v>
      </c>
      <c r="B1893" s="163"/>
      <c r="C1893" s="163"/>
      <c r="J1893" s="165"/>
      <c r="K1893" s="166"/>
      <c r="L1893" s="166"/>
    </row>
    <row r="1894">
      <c r="A1894" s="163" t="s">
        <v>222</v>
      </c>
      <c r="B1894" s="163"/>
      <c r="C1894" s="163"/>
      <c r="J1894" s="165"/>
      <c r="K1894" s="166"/>
      <c r="L1894" s="166"/>
    </row>
    <row r="1895">
      <c r="A1895" s="163" t="s">
        <v>222</v>
      </c>
      <c r="B1895" s="163"/>
      <c r="C1895" s="163"/>
      <c r="J1895" s="165"/>
      <c r="K1895" s="166"/>
      <c r="L1895" s="166"/>
    </row>
    <row r="1896">
      <c r="A1896" s="163" t="s">
        <v>222</v>
      </c>
      <c r="B1896" s="163"/>
      <c r="C1896" s="163"/>
      <c r="J1896" s="165"/>
      <c r="K1896" s="166"/>
      <c r="L1896" s="166"/>
    </row>
    <row r="1897">
      <c r="A1897" s="163" t="s">
        <v>222</v>
      </c>
      <c r="B1897" s="163"/>
      <c r="C1897" s="163"/>
      <c r="J1897" s="165"/>
      <c r="K1897" s="166"/>
      <c r="L1897" s="166"/>
    </row>
    <row r="1898">
      <c r="A1898" s="163" t="s">
        <v>222</v>
      </c>
      <c r="B1898" s="163"/>
      <c r="C1898" s="163"/>
      <c r="J1898" s="165"/>
      <c r="K1898" s="166"/>
      <c r="L1898" s="166"/>
    </row>
    <row r="1899">
      <c r="A1899" s="163" t="s">
        <v>222</v>
      </c>
      <c r="B1899" s="163"/>
      <c r="C1899" s="163"/>
      <c r="J1899" s="165"/>
      <c r="K1899" s="166"/>
      <c r="L1899" s="166"/>
    </row>
    <row r="1900">
      <c r="A1900" s="163" t="s">
        <v>222</v>
      </c>
      <c r="B1900" s="163"/>
      <c r="C1900" s="163"/>
      <c r="J1900" s="165"/>
      <c r="K1900" s="166"/>
      <c r="L1900" s="166"/>
    </row>
    <row r="1901">
      <c r="A1901" s="163" t="s">
        <v>222</v>
      </c>
      <c r="B1901" s="163"/>
      <c r="C1901" s="163"/>
      <c r="J1901" s="165"/>
      <c r="K1901" s="166"/>
      <c r="L1901" s="166"/>
    </row>
    <row r="1902">
      <c r="A1902" s="163" t="s">
        <v>222</v>
      </c>
      <c r="B1902" s="163"/>
      <c r="C1902" s="163"/>
      <c r="J1902" s="165"/>
      <c r="K1902" s="166"/>
      <c r="L1902" s="166"/>
    </row>
    <row r="1903">
      <c r="A1903" s="163" t="s">
        <v>222</v>
      </c>
      <c r="B1903" s="163"/>
      <c r="C1903" s="163"/>
      <c r="J1903" s="165"/>
      <c r="K1903" s="166"/>
      <c r="L1903" s="166"/>
    </row>
    <row r="1904">
      <c r="A1904" s="163" t="s">
        <v>222</v>
      </c>
      <c r="B1904" s="163"/>
      <c r="C1904" s="163"/>
      <c r="J1904" s="165"/>
      <c r="K1904" s="166"/>
      <c r="L1904" s="166"/>
    </row>
    <row r="1905">
      <c r="A1905" s="163" t="s">
        <v>222</v>
      </c>
      <c r="B1905" s="163"/>
      <c r="C1905" s="163"/>
      <c r="J1905" s="165"/>
      <c r="K1905" s="166"/>
      <c r="L1905" s="166"/>
    </row>
    <row r="1906">
      <c r="A1906" s="163" t="s">
        <v>222</v>
      </c>
      <c r="B1906" s="163"/>
      <c r="C1906" s="163"/>
      <c r="J1906" s="165"/>
      <c r="K1906" s="166"/>
      <c r="L1906" s="166"/>
    </row>
    <row r="1907">
      <c r="A1907" s="163" t="s">
        <v>222</v>
      </c>
      <c r="B1907" s="163"/>
      <c r="C1907" s="163"/>
      <c r="J1907" s="165"/>
      <c r="K1907" s="166"/>
      <c r="L1907" s="166"/>
    </row>
    <row r="1908">
      <c r="A1908" s="163" t="s">
        <v>222</v>
      </c>
      <c r="B1908" s="163"/>
      <c r="C1908" s="163"/>
      <c r="J1908" s="165"/>
      <c r="K1908" s="166"/>
      <c r="L1908" s="166"/>
    </row>
    <row r="1909">
      <c r="A1909" s="163" t="s">
        <v>222</v>
      </c>
      <c r="B1909" s="163"/>
      <c r="C1909" s="163"/>
      <c r="J1909" s="165"/>
      <c r="K1909" s="166"/>
      <c r="L1909" s="166"/>
    </row>
    <row r="1910">
      <c r="A1910" s="163" t="s">
        <v>222</v>
      </c>
      <c r="B1910" s="163"/>
      <c r="C1910" s="163"/>
      <c r="J1910" s="165"/>
      <c r="K1910" s="166"/>
      <c r="L1910" s="166"/>
    </row>
    <row r="1911">
      <c r="A1911" s="163" t="s">
        <v>222</v>
      </c>
      <c r="B1911" s="163"/>
      <c r="C1911" s="163"/>
      <c r="J1911" s="165"/>
      <c r="K1911" s="166"/>
      <c r="L1911" s="166"/>
    </row>
    <row r="1912">
      <c r="A1912" s="163" t="s">
        <v>222</v>
      </c>
      <c r="B1912" s="163"/>
      <c r="C1912" s="163"/>
      <c r="J1912" s="165"/>
      <c r="K1912" s="166"/>
      <c r="L1912" s="166"/>
    </row>
    <row r="1913">
      <c r="A1913" s="163" t="s">
        <v>222</v>
      </c>
      <c r="B1913" s="163"/>
      <c r="C1913" s="163"/>
      <c r="J1913" s="165"/>
      <c r="K1913" s="166"/>
      <c r="L1913" s="166"/>
    </row>
    <row r="1914">
      <c r="A1914" s="163" t="s">
        <v>222</v>
      </c>
      <c r="B1914" s="163"/>
      <c r="C1914" s="163"/>
      <c r="J1914" s="165"/>
      <c r="K1914" s="166"/>
      <c r="L1914" s="166"/>
    </row>
    <row r="1915">
      <c r="A1915" s="163" t="s">
        <v>222</v>
      </c>
      <c r="B1915" s="163"/>
      <c r="C1915" s="163"/>
      <c r="J1915" s="165"/>
      <c r="K1915" s="166"/>
      <c r="L1915" s="166"/>
    </row>
    <row r="1916">
      <c r="A1916" s="163" t="s">
        <v>222</v>
      </c>
      <c r="B1916" s="163"/>
      <c r="C1916" s="163"/>
      <c r="J1916" s="165"/>
      <c r="K1916" s="166"/>
      <c r="L1916" s="166"/>
    </row>
    <row r="1917">
      <c r="A1917" s="163" t="s">
        <v>222</v>
      </c>
      <c r="B1917" s="163"/>
      <c r="C1917" s="163"/>
      <c r="J1917" s="165"/>
      <c r="K1917" s="166"/>
      <c r="L1917" s="166"/>
    </row>
    <row r="1918">
      <c r="A1918" s="163" t="s">
        <v>222</v>
      </c>
      <c r="B1918" s="163"/>
      <c r="C1918" s="163"/>
      <c r="J1918" s="165"/>
      <c r="K1918" s="166"/>
      <c r="L1918" s="166"/>
    </row>
    <row r="1919">
      <c r="A1919" s="163" t="s">
        <v>222</v>
      </c>
      <c r="B1919" s="163"/>
      <c r="C1919" s="163"/>
      <c r="J1919" s="165"/>
      <c r="K1919" s="166"/>
      <c r="L1919" s="166"/>
    </row>
    <row r="1920">
      <c r="A1920" s="163" t="s">
        <v>222</v>
      </c>
      <c r="B1920" s="163"/>
      <c r="C1920" s="163"/>
      <c r="J1920" s="165"/>
      <c r="K1920" s="166"/>
      <c r="L1920" s="166"/>
    </row>
    <row r="1921">
      <c r="A1921" s="163" t="s">
        <v>222</v>
      </c>
      <c r="B1921" s="163"/>
      <c r="C1921" s="163"/>
      <c r="J1921" s="165"/>
      <c r="K1921" s="166"/>
      <c r="L1921" s="166"/>
    </row>
    <row r="1922">
      <c r="A1922" s="163" t="s">
        <v>222</v>
      </c>
      <c r="B1922" s="163"/>
      <c r="C1922" s="163"/>
      <c r="J1922" s="165"/>
      <c r="K1922" s="166"/>
      <c r="L1922" s="166"/>
    </row>
    <row r="1923">
      <c r="A1923" s="163" t="s">
        <v>222</v>
      </c>
      <c r="B1923" s="163"/>
      <c r="C1923" s="163"/>
      <c r="J1923" s="165"/>
      <c r="K1923" s="166"/>
      <c r="L1923" s="166"/>
    </row>
    <row r="1924">
      <c r="A1924" s="163" t="s">
        <v>222</v>
      </c>
      <c r="B1924" s="163"/>
      <c r="C1924" s="163"/>
      <c r="J1924" s="165"/>
      <c r="K1924" s="166"/>
      <c r="L1924" s="166"/>
    </row>
    <row r="1925">
      <c r="A1925" s="163" t="s">
        <v>222</v>
      </c>
      <c r="B1925" s="163"/>
      <c r="C1925" s="163"/>
      <c r="J1925" s="165"/>
      <c r="K1925" s="166"/>
      <c r="L1925" s="166"/>
    </row>
    <row r="1926">
      <c r="A1926" s="163" t="s">
        <v>222</v>
      </c>
      <c r="B1926" s="163"/>
      <c r="C1926" s="163"/>
      <c r="J1926" s="165"/>
      <c r="K1926" s="166"/>
      <c r="L1926" s="166"/>
    </row>
    <row r="1927">
      <c r="A1927" s="163" t="s">
        <v>222</v>
      </c>
      <c r="B1927" s="163"/>
      <c r="C1927" s="163"/>
      <c r="J1927" s="165"/>
      <c r="K1927" s="166"/>
      <c r="L1927" s="166"/>
    </row>
    <row r="1928">
      <c r="A1928" s="163" t="s">
        <v>222</v>
      </c>
      <c r="B1928" s="163"/>
      <c r="C1928" s="163"/>
      <c r="J1928" s="165"/>
      <c r="K1928" s="166"/>
      <c r="L1928" s="166"/>
    </row>
    <row r="1929">
      <c r="A1929" s="163" t="s">
        <v>222</v>
      </c>
      <c r="B1929" s="163"/>
      <c r="C1929" s="163"/>
      <c r="J1929" s="165"/>
      <c r="K1929" s="166"/>
      <c r="L1929" s="166"/>
    </row>
    <row r="1930">
      <c r="A1930" s="163" t="s">
        <v>222</v>
      </c>
      <c r="B1930" s="163"/>
      <c r="C1930" s="163"/>
      <c r="J1930" s="165"/>
      <c r="K1930" s="166"/>
      <c r="L1930" s="166"/>
    </row>
    <row r="1931">
      <c r="A1931" s="163" t="s">
        <v>222</v>
      </c>
      <c r="B1931" s="163"/>
      <c r="C1931" s="163"/>
      <c r="J1931" s="165"/>
      <c r="K1931" s="166"/>
      <c r="L1931" s="166"/>
    </row>
    <row r="1932">
      <c r="A1932" s="163" t="s">
        <v>222</v>
      </c>
      <c r="B1932" s="163"/>
      <c r="C1932" s="163"/>
      <c r="J1932" s="165"/>
      <c r="K1932" s="166"/>
      <c r="L1932" s="166"/>
    </row>
    <row r="1933">
      <c r="A1933" s="163" t="s">
        <v>222</v>
      </c>
      <c r="B1933" s="163"/>
      <c r="C1933" s="163"/>
      <c r="J1933" s="165"/>
      <c r="K1933" s="166"/>
      <c r="L1933" s="166"/>
    </row>
    <row r="1934">
      <c r="A1934" s="163" t="s">
        <v>222</v>
      </c>
      <c r="B1934" s="163"/>
      <c r="C1934" s="163"/>
      <c r="J1934" s="165"/>
      <c r="K1934" s="166"/>
      <c r="L1934" s="166"/>
    </row>
    <row r="1935">
      <c r="A1935" s="163" t="s">
        <v>222</v>
      </c>
      <c r="B1935" s="163"/>
      <c r="C1935" s="163"/>
      <c r="J1935" s="165"/>
      <c r="K1935" s="166"/>
      <c r="L1935" s="166"/>
    </row>
    <row r="1936">
      <c r="A1936" s="163" t="s">
        <v>222</v>
      </c>
      <c r="B1936" s="163"/>
      <c r="C1936" s="163"/>
      <c r="J1936" s="165"/>
      <c r="K1936" s="166"/>
      <c r="L1936" s="166"/>
    </row>
    <row r="1937">
      <c r="A1937" s="163" t="s">
        <v>222</v>
      </c>
      <c r="B1937" s="163"/>
      <c r="C1937" s="163"/>
      <c r="J1937" s="165"/>
      <c r="K1937" s="166"/>
      <c r="L1937" s="166"/>
    </row>
    <row r="1938">
      <c r="A1938" s="163" t="s">
        <v>222</v>
      </c>
      <c r="B1938" s="163"/>
      <c r="C1938" s="163"/>
      <c r="J1938" s="165"/>
      <c r="K1938" s="166"/>
      <c r="L1938" s="166"/>
    </row>
    <row r="1939">
      <c r="A1939" s="163" t="s">
        <v>222</v>
      </c>
      <c r="B1939" s="163"/>
      <c r="C1939" s="163"/>
      <c r="J1939" s="165"/>
      <c r="K1939" s="166"/>
      <c r="L1939" s="166"/>
    </row>
    <row r="1940">
      <c r="A1940" s="163" t="s">
        <v>222</v>
      </c>
      <c r="B1940" s="163"/>
      <c r="C1940" s="163"/>
      <c r="J1940" s="165"/>
      <c r="K1940" s="166"/>
      <c r="L1940" s="166"/>
    </row>
    <row r="1941">
      <c r="A1941" s="163" t="s">
        <v>222</v>
      </c>
      <c r="B1941" s="163"/>
      <c r="C1941" s="163"/>
      <c r="J1941" s="165"/>
      <c r="K1941" s="166"/>
      <c r="L1941" s="166"/>
    </row>
    <row r="1942">
      <c r="A1942" s="163" t="s">
        <v>222</v>
      </c>
      <c r="B1942" s="163"/>
      <c r="C1942" s="163"/>
      <c r="J1942" s="165"/>
      <c r="K1942" s="166"/>
      <c r="L1942" s="166"/>
    </row>
    <row r="1943">
      <c r="A1943" s="163" t="s">
        <v>222</v>
      </c>
      <c r="B1943" s="163"/>
      <c r="C1943" s="163"/>
      <c r="J1943" s="165"/>
      <c r="K1943" s="166"/>
      <c r="L1943" s="166"/>
    </row>
    <row r="1944">
      <c r="A1944" s="163" t="s">
        <v>222</v>
      </c>
      <c r="B1944" s="163"/>
      <c r="C1944" s="163"/>
      <c r="J1944" s="165"/>
      <c r="K1944" s="166"/>
      <c r="L1944" s="166"/>
    </row>
    <row r="1945">
      <c r="A1945" s="163" t="s">
        <v>222</v>
      </c>
      <c r="B1945" s="163"/>
      <c r="C1945" s="163"/>
      <c r="J1945" s="165"/>
      <c r="K1945" s="166"/>
      <c r="L1945" s="166"/>
    </row>
    <row r="1946">
      <c r="A1946" s="163" t="s">
        <v>222</v>
      </c>
      <c r="B1946" s="163"/>
      <c r="C1946" s="163"/>
      <c r="J1946" s="165"/>
      <c r="K1946" s="166"/>
      <c r="L1946" s="166"/>
    </row>
    <row r="1947">
      <c r="A1947" s="163" t="s">
        <v>222</v>
      </c>
      <c r="B1947" s="163"/>
      <c r="C1947" s="163"/>
      <c r="J1947" s="165"/>
      <c r="K1947" s="166"/>
      <c r="L1947" s="166"/>
    </row>
    <row r="1948">
      <c r="A1948" s="163" t="s">
        <v>222</v>
      </c>
      <c r="B1948" s="163"/>
      <c r="C1948" s="163"/>
      <c r="J1948" s="165"/>
      <c r="K1948" s="166"/>
      <c r="L1948" s="166"/>
    </row>
    <row r="1949">
      <c r="A1949" s="163" t="s">
        <v>222</v>
      </c>
      <c r="B1949" s="163"/>
      <c r="C1949" s="163"/>
      <c r="J1949" s="165"/>
      <c r="K1949" s="166"/>
      <c r="L1949" s="166"/>
    </row>
    <row r="1950">
      <c r="A1950" s="163" t="s">
        <v>222</v>
      </c>
      <c r="B1950" s="163"/>
      <c r="C1950" s="163"/>
      <c r="J1950" s="165"/>
      <c r="K1950" s="166"/>
      <c r="L1950" s="166"/>
    </row>
    <row r="1951">
      <c r="A1951" s="163" t="s">
        <v>222</v>
      </c>
      <c r="B1951" s="163"/>
      <c r="C1951" s="163"/>
      <c r="J1951" s="165"/>
      <c r="K1951" s="166"/>
      <c r="L1951" s="166"/>
    </row>
    <row r="1952">
      <c r="A1952" s="163" t="s">
        <v>222</v>
      </c>
      <c r="B1952" s="163"/>
      <c r="C1952" s="163"/>
      <c r="J1952" s="165"/>
      <c r="K1952" s="166"/>
      <c r="L1952" s="166"/>
    </row>
    <row r="1953">
      <c r="A1953" s="163" t="s">
        <v>222</v>
      </c>
      <c r="B1953" s="163"/>
      <c r="C1953" s="163"/>
      <c r="J1953" s="165"/>
      <c r="K1953" s="166"/>
      <c r="L1953" s="166"/>
    </row>
    <row r="1954">
      <c r="A1954" s="163" t="s">
        <v>222</v>
      </c>
      <c r="B1954" s="163"/>
      <c r="C1954" s="163"/>
      <c r="J1954" s="165"/>
      <c r="K1954" s="166"/>
      <c r="L1954" s="166"/>
    </row>
    <row r="1955">
      <c r="A1955" s="163" t="s">
        <v>222</v>
      </c>
      <c r="B1955" s="163"/>
      <c r="C1955" s="163"/>
      <c r="J1955" s="165"/>
      <c r="K1955" s="166"/>
      <c r="L1955" s="166"/>
    </row>
    <row r="1956">
      <c r="A1956" s="163" t="s">
        <v>222</v>
      </c>
      <c r="B1956" s="163"/>
      <c r="C1956" s="163"/>
      <c r="J1956" s="165"/>
      <c r="K1956" s="166"/>
      <c r="L1956" s="166"/>
    </row>
    <row r="1957">
      <c r="A1957" s="163" t="s">
        <v>222</v>
      </c>
      <c r="B1957" s="163"/>
      <c r="C1957" s="163"/>
      <c r="J1957" s="165"/>
      <c r="K1957" s="166"/>
      <c r="L1957" s="166"/>
    </row>
    <row r="1958">
      <c r="A1958" s="163" t="s">
        <v>222</v>
      </c>
      <c r="B1958" s="163"/>
      <c r="C1958" s="163"/>
      <c r="J1958" s="165"/>
      <c r="K1958" s="166"/>
      <c r="L1958" s="166"/>
    </row>
    <row r="1959">
      <c r="A1959" s="163" t="s">
        <v>222</v>
      </c>
      <c r="B1959" s="163"/>
      <c r="C1959" s="163"/>
      <c r="J1959" s="165"/>
      <c r="K1959" s="166"/>
      <c r="L1959" s="166"/>
    </row>
    <row r="1960">
      <c r="A1960" s="163" t="s">
        <v>222</v>
      </c>
      <c r="B1960" s="163"/>
      <c r="C1960" s="163"/>
      <c r="J1960" s="165"/>
      <c r="K1960" s="166"/>
      <c r="L1960" s="166"/>
    </row>
    <row r="1961">
      <c r="A1961" s="163" t="s">
        <v>222</v>
      </c>
      <c r="B1961" s="163"/>
      <c r="C1961" s="163"/>
      <c r="J1961" s="165"/>
      <c r="K1961" s="166"/>
      <c r="L1961" s="166"/>
    </row>
    <row r="1962">
      <c r="A1962" s="163" t="s">
        <v>222</v>
      </c>
      <c r="B1962" s="163"/>
      <c r="C1962" s="163"/>
      <c r="J1962" s="165"/>
      <c r="K1962" s="166"/>
      <c r="L1962" s="166"/>
    </row>
    <row r="1963">
      <c r="A1963" s="163" t="s">
        <v>222</v>
      </c>
      <c r="B1963" s="163"/>
      <c r="C1963" s="163"/>
      <c r="J1963" s="165"/>
      <c r="K1963" s="166"/>
      <c r="L1963" s="166"/>
    </row>
    <row r="1964">
      <c r="A1964" s="163" t="s">
        <v>222</v>
      </c>
      <c r="B1964" s="163"/>
      <c r="C1964" s="163"/>
      <c r="J1964" s="165"/>
      <c r="K1964" s="166"/>
      <c r="L1964" s="166"/>
    </row>
    <row r="1965">
      <c r="A1965" s="163" t="s">
        <v>222</v>
      </c>
      <c r="B1965" s="163"/>
      <c r="C1965" s="163"/>
      <c r="J1965" s="165"/>
      <c r="K1965" s="166"/>
      <c r="L1965" s="166"/>
    </row>
    <row r="1966">
      <c r="A1966" s="163" t="s">
        <v>222</v>
      </c>
      <c r="B1966" s="163"/>
      <c r="C1966" s="163"/>
      <c r="J1966" s="165"/>
      <c r="K1966" s="166"/>
      <c r="L1966" s="166"/>
    </row>
    <row r="1967">
      <c r="A1967" s="163" t="s">
        <v>222</v>
      </c>
      <c r="B1967" s="163"/>
      <c r="C1967" s="163"/>
      <c r="J1967" s="165"/>
      <c r="K1967" s="166"/>
      <c r="L1967" s="166"/>
    </row>
    <row r="1968">
      <c r="A1968" s="163" t="s">
        <v>222</v>
      </c>
      <c r="B1968" s="163"/>
      <c r="C1968" s="163"/>
      <c r="J1968" s="165"/>
      <c r="K1968" s="166"/>
      <c r="L1968" s="166"/>
    </row>
    <row r="1969">
      <c r="A1969" s="163" t="s">
        <v>222</v>
      </c>
      <c r="B1969" s="163"/>
      <c r="C1969" s="163"/>
      <c r="J1969" s="165"/>
      <c r="K1969" s="166"/>
      <c r="L1969" s="166"/>
    </row>
    <row r="1970">
      <c r="A1970" s="163" t="s">
        <v>222</v>
      </c>
      <c r="B1970" s="163"/>
      <c r="C1970" s="163"/>
      <c r="J1970" s="165"/>
      <c r="K1970" s="166"/>
      <c r="L1970" s="166"/>
    </row>
    <row r="1971">
      <c r="A1971" s="163" t="s">
        <v>222</v>
      </c>
      <c r="B1971" s="163"/>
      <c r="C1971" s="163"/>
      <c r="J1971" s="165"/>
      <c r="K1971" s="166"/>
      <c r="L1971" s="166"/>
    </row>
    <row r="1972">
      <c r="A1972" s="163" t="s">
        <v>222</v>
      </c>
      <c r="B1972" s="163"/>
      <c r="C1972" s="163"/>
      <c r="J1972" s="165"/>
      <c r="K1972" s="166"/>
      <c r="L1972" s="166"/>
    </row>
    <row r="1973">
      <c r="A1973" s="163" t="s">
        <v>222</v>
      </c>
      <c r="B1973" s="163"/>
      <c r="C1973" s="163"/>
      <c r="J1973" s="165"/>
      <c r="K1973" s="166"/>
      <c r="L1973" s="166"/>
    </row>
    <row r="1974">
      <c r="A1974" s="163" t="s">
        <v>222</v>
      </c>
      <c r="B1974" s="163"/>
      <c r="C1974" s="163"/>
      <c r="J1974" s="165"/>
      <c r="K1974" s="166"/>
      <c r="L1974" s="166"/>
    </row>
    <row r="1975">
      <c r="A1975" s="163" t="s">
        <v>222</v>
      </c>
      <c r="B1975" s="163"/>
      <c r="C1975" s="163"/>
      <c r="J1975" s="165"/>
      <c r="K1975" s="166"/>
      <c r="L1975" s="166"/>
    </row>
    <row r="1976">
      <c r="A1976" s="163" t="s">
        <v>222</v>
      </c>
      <c r="B1976" s="163"/>
      <c r="C1976" s="163"/>
      <c r="J1976" s="165"/>
      <c r="K1976" s="166"/>
      <c r="L1976" s="166"/>
    </row>
    <row r="1977">
      <c r="A1977" s="163" t="s">
        <v>222</v>
      </c>
      <c r="B1977" s="163"/>
      <c r="C1977" s="163"/>
      <c r="J1977" s="165"/>
      <c r="K1977" s="166"/>
      <c r="L1977" s="166"/>
    </row>
    <row r="1978">
      <c r="A1978" s="163" t="s">
        <v>222</v>
      </c>
      <c r="B1978" s="163"/>
      <c r="C1978" s="163"/>
      <c r="J1978" s="165"/>
      <c r="K1978" s="166"/>
      <c r="L1978" s="166"/>
    </row>
    <row r="1979">
      <c r="A1979" s="163" t="s">
        <v>222</v>
      </c>
      <c r="B1979" s="163"/>
      <c r="C1979" s="163"/>
      <c r="J1979" s="165"/>
      <c r="K1979" s="166"/>
      <c r="L1979" s="166"/>
    </row>
    <row r="1980">
      <c r="A1980" s="163" t="s">
        <v>222</v>
      </c>
      <c r="B1980" s="163"/>
      <c r="C1980" s="163"/>
      <c r="J1980" s="165"/>
      <c r="K1980" s="166"/>
      <c r="L1980" s="166"/>
    </row>
    <row r="1981">
      <c r="A1981" s="163" t="s">
        <v>222</v>
      </c>
      <c r="B1981" s="163"/>
      <c r="C1981" s="163"/>
      <c r="J1981" s="165"/>
      <c r="K1981" s="166"/>
      <c r="L1981" s="166"/>
    </row>
    <row r="1982">
      <c r="A1982" s="163" t="s">
        <v>222</v>
      </c>
      <c r="B1982" s="163"/>
      <c r="C1982" s="163"/>
      <c r="J1982" s="165"/>
      <c r="K1982" s="166"/>
      <c r="L1982" s="166"/>
    </row>
    <row r="1983">
      <c r="A1983" s="163" t="s">
        <v>222</v>
      </c>
      <c r="B1983" s="163"/>
      <c r="C1983" s="163"/>
      <c r="J1983" s="165"/>
      <c r="K1983" s="166"/>
      <c r="L1983" s="166"/>
    </row>
    <row r="1984">
      <c r="A1984" s="163" t="s">
        <v>222</v>
      </c>
      <c r="B1984" s="163"/>
      <c r="C1984" s="163"/>
      <c r="J1984" s="165"/>
      <c r="K1984" s="166"/>
      <c r="L1984" s="166"/>
    </row>
    <row r="1985">
      <c r="A1985" s="163" t="s">
        <v>222</v>
      </c>
      <c r="B1985" s="163"/>
      <c r="C1985" s="163"/>
      <c r="J1985" s="165"/>
      <c r="K1985" s="166"/>
      <c r="L1985" s="166"/>
    </row>
    <row r="1986">
      <c r="A1986" s="163" t="s">
        <v>222</v>
      </c>
      <c r="B1986" s="163"/>
      <c r="C1986" s="163"/>
      <c r="J1986" s="165"/>
      <c r="K1986" s="166"/>
      <c r="L1986" s="166"/>
    </row>
    <row r="1987">
      <c r="A1987" s="163" t="s">
        <v>222</v>
      </c>
      <c r="B1987" s="163"/>
      <c r="C1987" s="163"/>
      <c r="J1987" s="165"/>
      <c r="K1987" s="166"/>
      <c r="L1987" s="166"/>
    </row>
    <row r="1988">
      <c r="A1988" s="163" t="s">
        <v>222</v>
      </c>
      <c r="B1988" s="163"/>
      <c r="C1988" s="163"/>
      <c r="J1988" s="165"/>
      <c r="K1988" s="166"/>
      <c r="L1988" s="166"/>
    </row>
    <row r="1989">
      <c r="A1989" s="163" t="s">
        <v>222</v>
      </c>
      <c r="B1989" s="163"/>
      <c r="C1989" s="163"/>
      <c r="J1989" s="165"/>
      <c r="K1989" s="166"/>
      <c r="L1989" s="166"/>
    </row>
    <row r="1990">
      <c r="A1990" s="163" t="s">
        <v>222</v>
      </c>
      <c r="B1990" s="163"/>
      <c r="C1990" s="163"/>
      <c r="J1990" s="165"/>
      <c r="K1990" s="166"/>
      <c r="L1990" s="166"/>
    </row>
    <row r="1991">
      <c r="A1991" s="163" t="s">
        <v>222</v>
      </c>
      <c r="B1991" s="163"/>
      <c r="C1991" s="163"/>
      <c r="J1991" s="165"/>
      <c r="K1991" s="166"/>
      <c r="L1991" s="166"/>
    </row>
    <row r="1992">
      <c r="A1992" s="163" t="s">
        <v>222</v>
      </c>
      <c r="B1992" s="163"/>
      <c r="C1992" s="163"/>
      <c r="J1992" s="165"/>
      <c r="K1992" s="166"/>
      <c r="L1992" s="166"/>
    </row>
    <row r="1993">
      <c r="A1993" s="163" t="s">
        <v>222</v>
      </c>
      <c r="B1993" s="163"/>
      <c r="C1993" s="163"/>
      <c r="J1993" s="165"/>
      <c r="K1993" s="166"/>
      <c r="L1993" s="166"/>
    </row>
    <row r="1994">
      <c r="A1994" s="163" t="s">
        <v>222</v>
      </c>
      <c r="B1994" s="163"/>
      <c r="C1994" s="163"/>
      <c r="J1994" s="165"/>
      <c r="K1994" s="166"/>
      <c r="L1994" s="166"/>
    </row>
    <row r="1995">
      <c r="A1995" s="163" t="s">
        <v>222</v>
      </c>
      <c r="B1995" s="163"/>
      <c r="C1995" s="163"/>
      <c r="J1995" s="165"/>
      <c r="K1995" s="166"/>
      <c r="L1995" s="166"/>
    </row>
    <row r="1996">
      <c r="A1996" s="163" t="s">
        <v>222</v>
      </c>
      <c r="B1996" s="163"/>
      <c r="C1996" s="163"/>
      <c r="J1996" s="165"/>
      <c r="K1996" s="166"/>
      <c r="L1996" s="166"/>
    </row>
    <row r="1997">
      <c r="A1997" s="163" t="s">
        <v>222</v>
      </c>
      <c r="B1997" s="163"/>
      <c r="C1997" s="163"/>
      <c r="J1997" s="165"/>
      <c r="K1997" s="166"/>
      <c r="L1997" s="166"/>
    </row>
    <row r="1998">
      <c r="A1998" s="163" t="s">
        <v>222</v>
      </c>
      <c r="B1998" s="163"/>
      <c r="C1998" s="163"/>
      <c r="J1998" s="165"/>
      <c r="K1998" s="166"/>
      <c r="L1998" s="166"/>
    </row>
    <row r="1999">
      <c r="A1999" s="163" t="s">
        <v>222</v>
      </c>
      <c r="B1999" s="163"/>
      <c r="C1999" s="163"/>
      <c r="J1999" s="165"/>
      <c r="K1999" s="166"/>
      <c r="L1999" s="166"/>
    </row>
    <row r="2000">
      <c r="A2000" s="163" t="s">
        <v>222</v>
      </c>
      <c r="B2000" s="163"/>
      <c r="C2000" s="163"/>
      <c r="J2000" s="165"/>
      <c r="K2000" s="166"/>
      <c r="L2000" s="166"/>
    </row>
    <row r="2001">
      <c r="A2001" s="163" t="s">
        <v>222</v>
      </c>
      <c r="B2001" s="163"/>
      <c r="C2001" s="163"/>
      <c r="J2001" s="165"/>
      <c r="K2001" s="166"/>
      <c r="L2001" s="166"/>
    </row>
    <row r="2002">
      <c r="A2002" s="163" t="s">
        <v>222</v>
      </c>
      <c r="B2002" s="163"/>
      <c r="C2002" s="163"/>
      <c r="J2002" s="165"/>
      <c r="K2002" s="166"/>
      <c r="L2002" s="166"/>
    </row>
    <row r="2003">
      <c r="A2003" s="163" t="s">
        <v>222</v>
      </c>
      <c r="B2003" s="163"/>
      <c r="C2003" s="163"/>
      <c r="J2003" s="165"/>
      <c r="K2003" s="166"/>
      <c r="L2003" s="166"/>
    </row>
    <row r="2004">
      <c r="A2004" s="163" t="s">
        <v>222</v>
      </c>
      <c r="B2004" s="163"/>
      <c r="C2004" s="163"/>
      <c r="J2004" s="165"/>
      <c r="K2004" s="166"/>
      <c r="L2004" s="166"/>
    </row>
    <row r="2005">
      <c r="A2005" s="163" t="s">
        <v>222</v>
      </c>
      <c r="B2005" s="163"/>
      <c r="C2005" s="163"/>
      <c r="J2005" s="165"/>
      <c r="K2005" s="166"/>
      <c r="L2005" s="166"/>
    </row>
    <row r="2006">
      <c r="A2006" s="163" t="s">
        <v>222</v>
      </c>
      <c r="B2006" s="163"/>
      <c r="C2006" s="163"/>
      <c r="J2006" s="165"/>
      <c r="K2006" s="166"/>
      <c r="L2006" s="166"/>
    </row>
    <row r="2007">
      <c r="A2007" s="163" t="s">
        <v>222</v>
      </c>
      <c r="B2007" s="163"/>
      <c r="C2007" s="163"/>
      <c r="J2007" s="165"/>
      <c r="K2007" s="166"/>
      <c r="L2007" s="166"/>
    </row>
    <row r="2008">
      <c r="A2008" s="163" t="s">
        <v>222</v>
      </c>
      <c r="B2008" s="163"/>
      <c r="C2008" s="163"/>
      <c r="J2008" s="165"/>
      <c r="K2008" s="166"/>
      <c r="L2008" s="166"/>
    </row>
    <row r="2009">
      <c r="A2009" s="163" t="s">
        <v>222</v>
      </c>
      <c r="B2009" s="163"/>
      <c r="C2009" s="163"/>
      <c r="J2009" s="165"/>
      <c r="K2009" s="166"/>
      <c r="L2009" s="166"/>
    </row>
    <row r="2010">
      <c r="A2010" s="163" t="s">
        <v>222</v>
      </c>
      <c r="B2010" s="163"/>
      <c r="C2010" s="163"/>
      <c r="J2010" s="165"/>
      <c r="K2010" s="166"/>
      <c r="L2010" s="166"/>
    </row>
    <row r="2011">
      <c r="A2011" s="163" t="s">
        <v>222</v>
      </c>
      <c r="B2011" s="163"/>
      <c r="C2011" s="163"/>
      <c r="J2011" s="165"/>
      <c r="K2011" s="166"/>
      <c r="L2011" s="166"/>
    </row>
    <row r="2012">
      <c r="A2012" s="163" t="s">
        <v>222</v>
      </c>
      <c r="B2012" s="163"/>
      <c r="C2012" s="163"/>
      <c r="J2012" s="165"/>
      <c r="K2012" s="166"/>
      <c r="L2012" s="166"/>
    </row>
    <row r="2013">
      <c r="A2013" s="163" t="s">
        <v>222</v>
      </c>
      <c r="B2013" s="163"/>
      <c r="C2013" s="163"/>
      <c r="J2013" s="165"/>
      <c r="K2013" s="166"/>
      <c r="L2013" s="166"/>
    </row>
    <row r="2014">
      <c r="A2014" s="163" t="s">
        <v>222</v>
      </c>
      <c r="B2014" s="163"/>
      <c r="C2014" s="163"/>
      <c r="J2014" s="165"/>
      <c r="K2014" s="166"/>
      <c r="L2014" s="166"/>
    </row>
    <row r="2015">
      <c r="A2015" s="163" t="s">
        <v>222</v>
      </c>
      <c r="B2015" s="163"/>
      <c r="C2015" s="163"/>
      <c r="J2015" s="165"/>
      <c r="K2015" s="166"/>
      <c r="L2015" s="166"/>
    </row>
    <row r="2016">
      <c r="A2016" s="163" t="s">
        <v>222</v>
      </c>
      <c r="B2016" s="163"/>
      <c r="C2016" s="163"/>
      <c r="J2016" s="165"/>
      <c r="K2016" s="166"/>
      <c r="L2016" s="166"/>
    </row>
    <row r="2017">
      <c r="A2017" s="163" t="s">
        <v>222</v>
      </c>
      <c r="B2017" s="163"/>
      <c r="C2017" s="163"/>
      <c r="J2017" s="165"/>
      <c r="K2017" s="166"/>
      <c r="L2017" s="166"/>
    </row>
    <row r="2018">
      <c r="A2018" s="163" t="s">
        <v>222</v>
      </c>
      <c r="B2018" s="163"/>
      <c r="C2018" s="163"/>
      <c r="J2018" s="165"/>
      <c r="K2018" s="166"/>
      <c r="L2018" s="166"/>
    </row>
    <row r="2019">
      <c r="A2019" s="163" t="s">
        <v>222</v>
      </c>
      <c r="B2019" s="163"/>
      <c r="C2019" s="163"/>
      <c r="J2019" s="165"/>
      <c r="K2019" s="166"/>
      <c r="L2019" s="166"/>
    </row>
    <row r="2020">
      <c r="A2020" s="163" t="s">
        <v>222</v>
      </c>
      <c r="B2020" s="163"/>
      <c r="C2020" s="163"/>
      <c r="J2020" s="165"/>
      <c r="K2020" s="166"/>
      <c r="L2020" s="166"/>
    </row>
    <row r="2021">
      <c r="A2021" s="163" t="s">
        <v>222</v>
      </c>
      <c r="B2021" s="163"/>
      <c r="C2021" s="163"/>
      <c r="J2021" s="165"/>
      <c r="K2021" s="166"/>
      <c r="L2021" s="166"/>
    </row>
    <row r="2022">
      <c r="A2022" s="163" t="s">
        <v>222</v>
      </c>
      <c r="B2022" s="163"/>
      <c r="C2022" s="163"/>
      <c r="J2022" s="165"/>
      <c r="K2022" s="166"/>
      <c r="L2022" s="166"/>
    </row>
    <row r="2023">
      <c r="A2023" s="163" t="s">
        <v>222</v>
      </c>
      <c r="B2023" s="163"/>
      <c r="C2023" s="163"/>
      <c r="J2023" s="165"/>
      <c r="K2023" s="166"/>
      <c r="L2023" s="166"/>
    </row>
    <row r="2024">
      <c r="A2024" s="163" t="s">
        <v>222</v>
      </c>
      <c r="B2024" s="163"/>
      <c r="C2024" s="163"/>
      <c r="J2024" s="165"/>
      <c r="K2024" s="166"/>
      <c r="L2024" s="166"/>
    </row>
    <row r="2025">
      <c r="A2025" s="163" t="s">
        <v>222</v>
      </c>
      <c r="B2025" s="163"/>
      <c r="C2025" s="163"/>
      <c r="J2025" s="165"/>
      <c r="K2025" s="166"/>
      <c r="L2025" s="166"/>
    </row>
    <row r="2026">
      <c r="A2026" s="163" t="s">
        <v>222</v>
      </c>
      <c r="B2026" s="163"/>
      <c r="C2026" s="163"/>
      <c r="J2026" s="165"/>
      <c r="K2026" s="166"/>
      <c r="L2026" s="166"/>
    </row>
    <row r="2027">
      <c r="A2027" s="163" t="s">
        <v>222</v>
      </c>
      <c r="B2027" s="163"/>
      <c r="C2027" s="163"/>
      <c r="J2027" s="165"/>
      <c r="K2027" s="166"/>
      <c r="L2027" s="166"/>
    </row>
    <row r="2028">
      <c r="A2028" s="163" t="s">
        <v>222</v>
      </c>
      <c r="B2028" s="163"/>
      <c r="C2028" s="163"/>
      <c r="J2028" s="165"/>
      <c r="K2028" s="166"/>
      <c r="L2028" s="166"/>
    </row>
    <row r="2029">
      <c r="A2029" s="163" t="s">
        <v>222</v>
      </c>
      <c r="B2029" s="163"/>
      <c r="C2029" s="163"/>
      <c r="J2029" s="165"/>
      <c r="K2029" s="166"/>
      <c r="L2029" s="166"/>
    </row>
    <row r="2030">
      <c r="A2030" s="163" t="s">
        <v>222</v>
      </c>
      <c r="B2030" s="163"/>
      <c r="C2030" s="163"/>
      <c r="J2030" s="165"/>
      <c r="K2030" s="166"/>
      <c r="L2030" s="166"/>
    </row>
    <row r="2031">
      <c r="A2031" s="163" t="s">
        <v>222</v>
      </c>
      <c r="B2031" s="163"/>
      <c r="C2031" s="163"/>
      <c r="J2031" s="165"/>
      <c r="K2031" s="166"/>
      <c r="L2031" s="166"/>
    </row>
    <row r="2032">
      <c r="A2032" s="163" t="s">
        <v>222</v>
      </c>
      <c r="B2032" s="163"/>
      <c r="C2032" s="163"/>
      <c r="J2032" s="165"/>
      <c r="K2032" s="166"/>
      <c r="L2032" s="166"/>
    </row>
    <row r="2033">
      <c r="A2033" s="163" t="s">
        <v>222</v>
      </c>
      <c r="B2033" s="163"/>
      <c r="C2033" s="163"/>
      <c r="J2033" s="165"/>
      <c r="K2033" s="166"/>
      <c r="L2033" s="166"/>
    </row>
    <row r="2034">
      <c r="A2034" s="163" t="s">
        <v>222</v>
      </c>
      <c r="B2034" s="163"/>
      <c r="C2034" s="163"/>
      <c r="J2034" s="165"/>
      <c r="K2034" s="166"/>
      <c r="L2034" s="166"/>
    </row>
    <row r="2035">
      <c r="A2035" s="163" t="s">
        <v>222</v>
      </c>
      <c r="B2035" s="163"/>
      <c r="C2035" s="163"/>
      <c r="J2035" s="165"/>
      <c r="K2035" s="166"/>
      <c r="L2035" s="166"/>
    </row>
    <row r="2036">
      <c r="A2036" s="163" t="s">
        <v>222</v>
      </c>
      <c r="B2036" s="163"/>
      <c r="C2036" s="163"/>
      <c r="J2036" s="165"/>
      <c r="K2036" s="166"/>
      <c r="L2036" s="166"/>
    </row>
    <row r="2037">
      <c r="A2037" s="163" t="s">
        <v>222</v>
      </c>
      <c r="B2037" s="163"/>
      <c r="C2037" s="163"/>
      <c r="J2037" s="165"/>
      <c r="K2037" s="166"/>
      <c r="L2037" s="166"/>
    </row>
    <row r="2038">
      <c r="A2038" s="163" t="s">
        <v>222</v>
      </c>
      <c r="B2038" s="163"/>
      <c r="C2038" s="163"/>
      <c r="J2038" s="165"/>
      <c r="K2038" s="166"/>
      <c r="L2038" s="166"/>
    </row>
    <row r="2039">
      <c r="A2039" s="163" t="s">
        <v>222</v>
      </c>
      <c r="B2039" s="163"/>
      <c r="C2039" s="163"/>
      <c r="J2039" s="165"/>
      <c r="K2039" s="166"/>
      <c r="L2039" s="166"/>
    </row>
    <row r="2040">
      <c r="A2040" s="163" t="s">
        <v>222</v>
      </c>
      <c r="B2040" s="163"/>
      <c r="C2040" s="163"/>
      <c r="J2040" s="165"/>
      <c r="K2040" s="166"/>
      <c r="L2040" s="166"/>
    </row>
    <row r="2041">
      <c r="A2041" s="163" t="s">
        <v>222</v>
      </c>
      <c r="B2041" s="163"/>
      <c r="C2041" s="163"/>
      <c r="J2041" s="165"/>
      <c r="K2041" s="166"/>
      <c r="L2041" s="166"/>
    </row>
    <row r="2042">
      <c r="A2042" s="163" t="s">
        <v>222</v>
      </c>
      <c r="B2042" s="163"/>
      <c r="C2042" s="163"/>
      <c r="J2042" s="165"/>
      <c r="K2042" s="166"/>
      <c r="L2042" s="166"/>
    </row>
    <row r="2043">
      <c r="A2043" s="163" t="s">
        <v>222</v>
      </c>
      <c r="B2043" s="163"/>
      <c r="C2043" s="163"/>
      <c r="J2043" s="165"/>
      <c r="K2043" s="166"/>
      <c r="L2043" s="166"/>
    </row>
    <row r="2044">
      <c r="A2044" s="163" t="s">
        <v>222</v>
      </c>
      <c r="B2044" s="163"/>
      <c r="C2044" s="163"/>
      <c r="J2044" s="165"/>
      <c r="K2044" s="166"/>
      <c r="L2044" s="166"/>
    </row>
    <row r="2045">
      <c r="A2045" s="163" t="s">
        <v>222</v>
      </c>
      <c r="B2045" s="163"/>
      <c r="C2045" s="163"/>
      <c r="J2045" s="165"/>
      <c r="K2045" s="166"/>
      <c r="L2045" s="166"/>
    </row>
    <row r="2046">
      <c r="A2046" s="163" t="s">
        <v>222</v>
      </c>
      <c r="B2046" s="163"/>
      <c r="C2046" s="163"/>
      <c r="J2046" s="165"/>
      <c r="K2046" s="166"/>
      <c r="L2046" s="166"/>
    </row>
    <row r="2047">
      <c r="A2047" s="163" t="s">
        <v>222</v>
      </c>
      <c r="B2047" s="163"/>
      <c r="C2047" s="163"/>
      <c r="J2047" s="165"/>
      <c r="K2047" s="166"/>
      <c r="L2047" s="166"/>
    </row>
    <row r="2048">
      <c r="A2048" s="163" t="s">
        <v>222</v>
      </c>
      <c r="B2048" s="163"/>
      <c r="C2048" s="163"/>
      <c r="J2048" s="165"/>
      <c r="K2048" s="166"/>
      <c r="L2048" s="166"/>
    </row>
    <row r="2049">
      <c r="A2049" s="163" t="s">
        <v>222</v>
      </c>
      <c r="B2049" s="163"/>
      <c r="C2049" s="163"/>
      <c r="J2049" s="165"/>
      <c r="K2049" s="166"/>
      <c r="L2049" s="166"/>
    </row>
    <row r="2050">
      <c r="A2050" s="163" t="s">
        <v>222</v>
      </c>
      <c r="B2050" s="163"/>
      <c r="C2050" s="163"/>
      <c r="J2050" s="165"/>
      <c r="K2050" s="166"/>
      <c r="L2050" s="166"/>
    </row>
    <row r="2051">
      <c r="A2051" s="163" t="s">
        <v>222</v>
      </c>
      <c r="B2051" s="163"/>
      <c r="C2051" s="163"/>
      <c r="J2051" s="165"/>
      <c r="K2051" s="166"/>
      <c r="L2051" s="166"/>
    </row>
    <row r="2052">
      <c r="A2052" s="163" t="s">
        <v>222</v>
      </c>
      <c r="B2052" s="163"/>
      <c r="C2052" s="163"/>
      <c r="J2052" s="165"/>
      <c r="K2052" s="166"/>
      <c r="L2052" s="166"/>
    </row>
    <row r="2053">
      <c r="A2053" s="163" t="s">
        <v>222</v>
      </c>
      <c r="B2053" s="163"/>
      <c r="C2053" s="163"/>
      <c r="J2053" s="165"/>
      <c r="K2053" s="166"/>
      <c r="L2053" s="166"/>
    </row>
    <row r="2054">
      <c r="A2054" s="163" t="s">
        <v>222</v>
      </c>
      <c r="B2054" s="163"/>
      <c r="C2054" s="163"/>
      <c r="J2054" s="165"/>
      <c r="K2054" s="166"/>
      <c r="L2054" s="166"/>
    </row>
    <row r="2055">
      <c r="A2055" s="163" t="s">
        <v>222</v>
      </c>
      <c r="B2055" s="163"/>
      <c r="C2055" s="163"/>
      <c r="J2055" s="165"/>
      <c r="K2055" s="166"/>
      <c r="L2055" s="166"/>
    </row>
    <row r="2056">
      <c r="A2056" s="163" t="s">
        <v>222</v>
      </c>
      <c r="B2056" s="163"/>
      <c r="C2056" s="163"/>
      <c r="J2056" s="165"/>
      <c r="K2056" s="166"/>
      <c r="L2056" s="166"/>
    </row>
    <row r="2057">
      <c r="A2057" s="163" t="s">
        <v>222</v>
      </c>
      <c r="B2057" s="163"/>
      <c r="C2057" s="163"/>
      <c r="J2057" s="165"/>
      <c r="K2057" s="166"/>
      <c r="L2057" s="166"/>
    </row>
    <row r="2058">
      <c r="A2058" s="163" t="s">
        <v>222</v>
      </c>
      <c r="B2058" s="163"/>
      <c r="C2058" s="163"/>
      <c r="J2058" s="165"/>
      <c r="K2058" s="166"/>
      <c r="L2058" s="166"/>
    </row>
    <row r="2059">
      <c r="A2059" s="163" t="s">
        <v>222</v>
      </c>
      <c r="B2059" s="163"/>
      <c r="C2059" s="163"/>
      <c r="J2059" s="165"/>
      <c r="K2059" s="166"/>
      <c r="L2059" s="166"/>
    </row>
    <row r="2060">
      <c r="A2060" s="163" t="s">
        <v>222</v>
      </c>
      <c r="B2060" s="163"/>
      <c r="C2060" s="163"/>
      <c r="J2060" s="165"/>
      <c r="K2060" s="166"/>
      <c r="L2060" s="166"/>
    </row>
    <row r="2061">
      <c r="A2061" s="163" t="s">
        <v>222</v>
      </c>
      <c r="B2061" s="163"/>
      <c r="C2061" s="163"/>
      <c r="J2061" s="165"/>
      <c r="K2061" s="166"/>
      <c r="L2061" s="166"/>
    </row>
    <row r="2062">
      <c r="A2062" s="163" t="s">
        <v>222</v>
      </c>
      <c r="B2062" s="163"/>
      <c r="C2062" s="163"/>
      <c r="J2062" s="165"/>
      <c r="K2062" s="166"/>
      <c r="L2062" s="166"/>
    </row>
    <row r="2063">
      <c r="A2063" s="163" t="s">
        <v>222</v>
      </c>
      <c r="B2063" s="163"/>
      <c r="C2063" s="163"/>
      <c r="J2063" s="165"/>
      <c r="K2063" s="166"/>
      <c r="L2063" s="166"/>
    </row>
    <row r="2064">
      <c r="A2064" s="163" t="s">
        <v>222</v>
      </c>
      <c r="B2064" s="163"/>
      <c r="C2064" s="163"/>
      <c r="J2064" s="165"/>
      <c r="K2064" s="166"/>
      <c r="L2064" s="166"/>
    </row>
    <row r="2065">
      <c r="A2065" s="163" t="s">
        <v>222</v>
      </c>
      <c r="B2065" s="163"/>
      <c r="C2065" s="163"/>
      <c r="J2065" s="165"/>
      <c r="K2065" s="166"/>
      <c r="L2065" s="166"/>
    </row>
    <row r="2066">
      <c r="A2066" s="163" t="s">
        <v>222</v>
      </c>
      <c r="B2066" s="163"/>
      <c r="C2066" s="163"/>
      <c r="J2066" s="165"/>
      <c r="K2066" s="166"/>
      <c r="L2066" s="166"/>
    </row>
    <row r="2067">
      <c r="A2067" s="163" t="s">
        <v>222</v>
      </c>
      <c r="B2067" s="163"/>
      <c r="C2067" s="163"/>
      <c r="J2067" s="165"/>
      <c r="K2067" s="166"/>
      <c r="L2067" s="166"/>
    </row>
    <row r="2068">
      <c r="A2068" s="163" t="s">
        <v>222</v>
      </c>
      <c r="B2068" s="163"/>
      <c r="C2068" s="163"/>
      <c r="J2068" s="165"/>
      <c r="K2068" s="166"/>
      <c r="L2068" s="166"/>
    </row>
    <row r="2069">
      <c r="A2069" s="163" t="s">
        <v>222</v>
      </c>
      <c r="B2069" s="163"/>
      <c r="C2069" s="163"/>
      <c r="J2069" s="165"/>
      <c r="K2069" s="166"/>
      <c r="L2069" s="166"/>
    </row>
    <row r="2070">
      <c r="A2070" s="163" t="s">
        <v>222</v>
      </c>
      <c r="B2070" s="163"/>
      <c r="C2070" s="163"/>
      <c r="J2070" s="165"/>
      <c r="K2070" s="166"/>
      <c r="L2070" s="166"/>
    </row>
    <row r="2071">
      <c r="A2071" s="163" t="s">
        <v>222</v>
      </c>
      <c r="B2071" s="163"/>
      <c r="C2071" s="163"/>
      <c r="J2071" s="165"/>
      <c r="K2071" s="166"/>
      <c r="L2071" s="166"/>
    </row>
    <row r="2072">
      <c r="A2072" s="163" t="s">
        <v>222</v>
      </c>
      <c r="B2072" s="163"/>
      <c r="C2072" s="163"/>
      <c r="J2072" s="165"/>
      <c r="K2072" s="166"/>
      <c r="L2072" s="166"/>
    </row>
    <row r="2073">
      <c r="A2073" s="163" t="s">
        <v>222</v>
      </c>
      <c r="B2073" s="163"/>
      <c r="C2073" s="163"/>
      <c r="J2073" s="165"/>
      <c r="K2073" s="166"/>
      <c r="L2073" s="166"/>
    </row>
    <row r="2074">
      <c r="A2074" s="163" t="s">
        <v>222</v>
      </c>
      <c r="B2074" s="163"/>
      <c r="C2074" s="163"/>
      <c r="J2074" s="165"/>
      <c r="K2074" s="166"/>
      <c r="L2074" s="166"/>
    </row>
    <row r="2075">
      <c r="A2075" s="163" t="s">
        <v>222</v>
      </c>
      <c r="B2075" s="163"/>
      <c r="C2075" s="163"/>
      <c r="J2075" s="165"/>
      <c r="K2075" s="166"/>
      <c r="L2075" s="166"/>
    </row>
    <row r="2076">
      <c r="A2076" s="163" t="s">
        <v>222</v>
      </c>
      <c r="B2076" s="163"/>
      <c r="C2076" s="163"/>
      <c r="J2076" s="165"/>
      <c r="K2076" s="166"/>
      <c r="L2076" s="166"/>
    </row>
    <row r="2077">
      <c r="A2077" s="163" t="s">
        <v>222</v>
      </c>
      <c r="B2077" s="163"/>
      <c r="C2077" s="163"/>
      <c r="J2077" s="165"/>
      <c r="K2077" s="166"/>
      <c r="L2077" s="166"/>
    </row>
    <row r="2078">
      <c r="A2078" s="163" t="s">
        <v>222</v>
      </c>
      <c r="B2078" s="163"/>
      <c r="C2078" s="163"/>
      <c r="J2078" s="165"/>
      <c r="K2078" s="166"/>
      <c r="L2078" s="166"/>
    </row>
    <row r="2079">
      <c r="A2079" s="163" t="s">
        <v>222</v>
      </c>
      <c r="B2079" s="163"/>
      <c r="C2079" s="163"/>
      <c r="J2079" s="165"/>
      <c r="K2079" s="166"/>
      <c r="L2079" s="166"/>
    </row>
    <row r="2080">
      <c r="A2080" s="163" t="s">
        <v>222</v>
      </c>
      <c r="B2080" s="163"/>
      <c r="C2080" s="163"/>
      <c r="J2080" s="165"/>
      <c r="K2080" s="166"/>
      <c r="L2080" s="166"/>
    </row>
    <row r="2081">
      <c r="A2081" s="163" t="s">
        <v>222</v>
      </c>
      <c r="B2081" s="163"/>
      <c r="C2081" s="163"/>
      <c r="J2081" s="165"/>
      <c r="K2081" s="166"/>
      <c r="L2081" s="166"/>
    </row>
    <row r="2082">
      <c r="A2082" s="163" t="s">
        <v>222</v>
      </c>
      <c r="B2082" s="163"/>
      <c r="C2082" s="163"/>
      <c r="J2082" s="165"/>
      <c r="K2082" s="166"/>
      <c r="L2082" s="166"/>
    </row>
    <row r="2083">
      <c r="A2083" s="163" t="s">
        <v>222</v>
      </c>
      <c r="B2083" s="163"/>
      <c r="C2083" s="163"/>
      <c r="J2083" s="165"/>
      <c r="K2083" s="166"/>
      <c r="L2083" s="166"/>
    </row>
    <row r="2084">
      <c r="A2084" s="163" t="s">
        <v>222</v>
      </c>
      <c r="B2084" s="163"/>
      <c r="C2084" s="163"/>
      <c r="J2084" s="165"/>
      <c r="K2084" s="166"/>
      <c r="L2084" s="166"/>
    </row>
    <row r="2085">
      <c r="A2085" s="163" t="s">
        <v>222</v>
      </c>
      <c r="B2085" s="163"/>
      <c r="C2085" s="163"/>
      <c r="J2085" s="165"/>
      <c r="K2085" s="166"/>
      <c r="L2085" s="166"/>
    </row>
    <row r="2086">
      <c r="A2086" s="163" t="s">
        <v>222</v>
      </c>
      <c r="B2086" s="163"/>
      <c r="C2086" s="163"/>
      <c r="J2086" s="165"/>
      <c r="K2086" s="166"/>
      <c r="L2086" s="166"/>
    </row>
    <row r="2087">
      <c r="A2087" s="163" t="s">
        <v>222</v>
      </c>
      <c r="B2087" s="163"/>
      <c r="C2087" s="163"/>
      <c r="J2087" s="165"/>
      <c r="K2087" s="166"/>
      <c r="L2087" s="166"/>
    </row>
    <row r="2088">
      <c r="A2088" s="163" t="s">
        <v>222</v>
      </c>
      <c r="B2088" s="163"/>
      <c r="C2088" s="163"/>
      <c r="J2088" s="165"/>
      <c r="K2088" s="166"/>
      <c r="L2088" s="166"/>
    </row>
    <row r="2089">
      <c r="A2089" s="163" t="s">
        <v>222</v>
      </c>
      <c r="B2089" s="163"/>
      <c r="C2089" s="163"/>
      <c r="J2089" s="165"/>
      <c r="K2089" s="166"/>
      <c r="L2089" s="166"/>
    </row>
    <row r="2090">
      <c r="A2090" s="163" t="s">
        <v>222</v>
      </c>
      <c r="B2090" s="163"/>
      <c r="C2090" s="163"/>
      <c r="J2090" s="165"/>
      <c r="K2090" s="166"/>
      <c r="L2090" s="166"/>
    </row>
    <row r="2091">
      <c r="A2091" s="163" t="s">
        <v>222</v>
      </c>
      <c r="B2091" s="163"/>
      <c r="C2091" s="163"/>
      <c r="J2091" s="165"/>
      <c r="K2091" s="166"/>
      <c r="L2091" s="166"/>
    </row>
    <row r="2092">
      <c r="A2092" s="163" t="s">
        <v>222</v>
      </c>
      <c r="B2092" s="163"/>
      <c r="C2092" s="163"/>
      <c r="J2092" s="165"/>
      <c r="K2092" s="166"/>
      <c r="L2092" s="166"/>
    </row>
    <row r="2093">
      <c r="A2093" s="163" t="s">
        <v>222</v>
      </c>
      <c r="B2093" s="163"/>
      <c r="C2093" s="163"/>
      <c r="J2093" s="165"/>
      <c r="K2093" s="166"/>
      <c r="L2093" s="166"/>
    </row>
    <row r="2094">
      <c r="A2094" s="163" t="s">
        <v>222</v>
      </c>
      <c r="B2094" s="163"/>
      <c r="C2094" s="163"/>
      <c r="J2094" s="165"/>
      <c r="K2094" s="166"/>
      <c r="L2094" s="166"/>
    </row>
    <row r="2095">
      <c r="A2095" s="163" t="s">
        <v>222</v>
      </c>
      <c r="B2095" s="163"/>
      <c r="C2095" s="163"/>
      <c r="J2095" s="165"/>
      <c r="K2095" s="166"/>
      <c r="L2095" s="166"/>
    </row>
    <row r="2096">
      <c r="A2096" s="163" t="s">
        <v>222</v>
      </c>
      <c r="B2096" s="163"/>
      <c r="C2096" s="163"/>
      <c r="J2096" s="165"/>
      <c r="K2096" s="166"/>
      <c r="L2096" s="166"/>
    </row>
    <row r="2097">
      <c r="A2097" s="163" t="s">
        <v>222</v>
      </c>
      <c r="B2097" s="163"/>
      <c r="C2097" s="163"/>
      <c r="J2097" s="165"/>
      <c r="K2097" s="166"/>
      <c r="L2097" s="166"/>
    </row>
    <row r="2098">
      <c r="A2098" s="163" t="s">
        <v>222</v>
      </c>
      <c r="B2098" s="163"/>
      <c r="C2098" s="163"/>
      <c r="J2098" s="165"/>
      <c r="K2098" s="166"/>
      <c r="L2098" s="166"/>
    </row>
    <row r="2099">
      <c r="A2099" s="163" t="s">
        <v>222</v>
      </c>
      <c r="B2099" s="163"/>
      <c r="C2099" s="163"/>
      <c r="J2099" s="165"/>
      <c r="K2099" s="166"/>
      <c r="L2099" s="166"/>
    </row>
    <row r="2100">
      <c r="A2100" s="163" t="s">
        <v>222</v>
      </c>
      <c r="B2100" s="163"/>
      <c r="C2100" s="163"/>
      <c r="J2100" s="165"/>
      <c r="K2100" s="166"/>
      <c r="L2100" s="166"/>
    </row>
    <row r="2101">
      <c r="A2101" s="163" t="s">
        <v>222</v>
      </c>
      <c r="B2101" s="163"/>
      <c r="C2101" s="163"/>
      <c r="J2101" s="165"/>
      <c r="K2101" s="166"/>
      <c r="L2101" s="166"/>
    </row>
    <row r="2102">
      <c r="A2102" s="163" t="s">
        <v>222</v>
      </c>
      <c r="B2102" s="163"/>
      <c r="C2102" s="163"/>
      <c r="J2102" s="165"/>
      <c r="K2102" s="166"/>
      <c r="L2102" s="166"/>
    </row>
    <row r="2103">
      <c r="A2103" s="163" t="s">
        <v>222</v>
      </c>
      <c r="B2103" s="163"/>
      <c r="C2103" s="163"/>
      <c r="J2103" s="165"/>
      <c r="K2103" s="166"/>
      <c r="L2103" s="166"/>
    </row>
    <row r="2104">
      <c r="A2104" s="163" t="s">
        <v>222</v>
      </c>
      <c r="B2104" s="163"/>
      <c r="C2104" s="163"/>
      <c r="J2104" s="165"/>
      <c r="K2104" s="166"/>
      <c r="L2104" s="166"/>
    </row>
    <row r="2105">
      <c r="A2105" s="163" t="s">
        <v>222</v>
      </c>
      <c r="B2105" s="163"/>
      <c r="C2105" s="163"/>
      <c r="J2105" s="165"/>
      <c r="K2105" s="166"/>
      <c r="L2105" s="166"/>
    </row>
    <row r="2106">
      <c r="A2106" s="163" t="s">
        <v>222</v>
      </c>
      <c r="B2106" s="163"/>
      <c r="C2106" s="163"/>
      <c r="J2106" s="165"/>
      <c r="K2106" s="166"/>
      <c r="L2106" s="166"/>
    </row>
    <row r="2107">
      <c r="A2107" s="163" t="s">
        <v>222</v>
      </c>
      <c r="B2107" s="163"/>
      <c r="C2107" s="163"/>
      <c r="J2107" s="165"/>
      <c r="K2107" s="166"/>
      <c r="L2107" s="166"/>
    </row>
    <row r="2108">
      <c r="A2108" s="163" t="s">
        <v>222</v>
      </c>
      <c r="B2108" s="163"/>
      <c r="C2108" s="163"/>
      <c r="J2108" s="165"/>
      <c r="K2108" s="166"/>
      <c r="L2108" s="166"/>
    </row>
    <row r="2109">
      <c r="A2109" s="163" t="s">
        <v>222</v>
      </c>
      <c r="B2109" s="163"/>
      <c r="C2109" s="163"/>
      <c r="J2109" s="165"/>
      <c r="K2109" s="166"/>
      <c r="L2109" s="166"/>
    </row>
    <row r="2110">
      <c r="A2110" s="163" t="s">
        <v>222</v>
      </c>
      <c r="B2110" s="163"/>
      <c r="C2110" s="163"/>
      <c r="J2110" s="165"/>
      <c r="K2110" s="166"/>
      <c r="L2110" s="166"/>
    </row>
    <row r="2111">
      <c r="A2111" s="163" t="s">
        <v>222</v>
      </c>
      <c r="B2111" s="163"/>
      <c r="C2111" s="163"/>
      <c r="J2111" s="165"/>
      <c r="K2111" s="166"/>
      <c r="L2111" s="166"/>
    </row>
    <row r="2112">
      <c r="A2112" s="163" t="s">
        <v>222</v>
      </c>
      <c r="B2112" s="163"/>
      <c r="C2112" s="163"/>
      <c r="J2112" s="165"/>
      <c r="K2112" s="166"/>
      <c r="L2112" s="166"/>
    </row>
    <row r="2113">
      <c r="A2113" s="163" t="s">
        <v>222</v>
      </c>
      <c r="B2113" s="163"/>
      <c r="C2113" s="163"/>
      <c r="J2113" s="165"/>
      <c r="K2113" s="166"/>
      <c r="L2113" s="166"/>
    </row>
    <row r="2114">
      <c r="A2114" s="163" t="s">
        <v>222</v>
      </c>
      <c r="B2114" s="163"/>
      <c r="C2114" s="163"/>
      <c r="J2114" s="165"/>
      <c r="K2114" s="166"/>
      <c r="L2114" s="166"/>
    </row>
    <row r="2115">
      <c r="A2115" s="163" t="s">
        <v>222</v>
      </c>
      <c r="B2115" s="163"/>
      <c r="C2115" s="163"/>
      <c r="J2115" s="165"/>
      <c r="K2115" s="166"/>
      <c r="L2115" s="166"/>
    </row>
    <row r="2116">
      <c r="A2116" s="163" t="s">
        <v>222</v>
      </c>
      <c r="B2116" s="163"/>
      <c r="C2116" s="163"/>
      <c r="J2116" s="165"/>
      <c r="K2116" s="166"/>
      <c r="L2116" s="166"/>
    </row>
    <row r="2117">
      <c r="A2117" s="163" t="s">
        <v>222</v>
      </c>
      <c r="B2117" s="163"/>
      <c r="C2117" s="163"/>
      <c r="J2117" s="165"/>
      <c r="K2117" s="166"/>
      <c r="L2117" s="166"/>
    </row>
    <row r="2118">
      <c r="A2118" s="163" t="s">
        <v>222</v>
      </c>
      <c r="B2118" s="163"/>
      <c r="C2118" s="163"/>
      <c r="J2118" s="165"/>
      <c r="K2118" s="166"/>
      <c r="L2118" s="166"/>
    </row>
    <row r="2119">
      <c r="A2119" s="163" t="s">
        <v>222</v>
      </c>
      <c r="B2119" s="163"/>
      <c r="C2119" s="163"/>
      <c r="J2119" s="165"/>
      <c r="K2119" s="166"/>
      <c r="L2119" s="166"/>
    </row>
    <row r="2120">
      <c r="A2120" s="163" t="s">
        <v>222</v>
      </c>
      <c r="B2120" s="163"/>
      <c r="C2120" s="163"/>
      <c r="J2120" s="165"/>
      <c r="K2120" s="166"/>
      <c r="L2120" s="166"/>
    </row>
    <row r="2121">
      <c r="A2121" s="163" t="s">
        <v>222</v>
      </c>
      <c r="B2121" s="163"/>
      <c r="C2121" s="163"/>
      <c r="J2121" s="165"/>
      <c r="K2121" s="166"/>
      <c r="L2121" s="166"/>
    </row>
    <row r="2122">
      <c r="A2122" s="163" t="s">
        <v>222</v>
      </c>
      <c r="B2122" s="163"/>
      <c r="C2122" s="163"/>
      <c r="J2122" s="165"/>
      <c r="K2122" s="166"/>
      <c r="L2122" s="166"/>
    </row>
    <row r="2123">
      <c r="A2123" s="163" t="s">
        <v>222</v>
      </c>
      <c r="B2123" s="163"/>
      <c r="C2123" s="163"/>
      <c r="J2123" s="165"/>
      <c r="K2123" s="166"/>
      <c r="L2123" s="166"/>
    </row>
    <row r="2124">
      <c r="A2124" s="163" t="s">
        <v>222</v>
      </c>
      <c r="B2124" s="163"/>
      <c r="C2124" s="163"/>
      <c r="J2124" s="165"/>
      <c r="K2124" s="166"/>
      <c r="L2124" s="166"/>
    </row>
    <row r="2125">
      <c r="A2125" s="163" t="s">
        <v>222</v>
      </c>
      <c r="B2125" s="163"/>
      <c r="C2125" s="163"/>
      <c r="J2125" s="165"/>
      <c r="K2125" s="166"/>
      <c r="L2125" s="166"/>
    </row>
    <row r="2126">
      <c r="A2126" s="163" t="s">
        <v>222</v>
      </c>
      <c r="B2126" s="163"/>
      <c r="C2126" s="163"/>
      <c r="J2126" s="165"/>
      <c r="K2126" s="166"/>
      <c r="L2126" s="166"/>
    </row>
    <row r="2127">
      <c r="A2127" s="163" t="s">
        <v>222</v>
      </c>
      <c r="B2127" s="163"/>
      <c r="C2127" s="163"/>
      <c r="J2127" s="165"/>
      <c r="K2127" s="166"/>
      <c r="L2127" s="166"/>
    </row>
    <row r="2128">
      <c r="A2128" s="163" t="s">
        <v>222</v>
      </c>
      <c r="B2128" s="163"/>
      <c r="C2128" s="163"/>
      <c r="J2128" s="165"/>
      <c r="K2128" s="166"/>
      <c r="L2128" s="166"/>
    </row>
    <row r="2129">
      <c r="A2129" s="163" t="s">
        <v>222</v>
      </c>
      <c r="B2129" s="163"/>
      <c r="C2129" s="163"/>
      <c r="J2129" s="165"/>
      <c r="K2129" s="166"/>
      <c r="L2129" s="166"/>
    </row>
    <row r="2130">
      <c r="A2130" s="163" t="s">
        <v>222</v>
      </c>
      <c r="B2130" s="163"/>
      <c r="C2130" s="163"/>
      <c r="J2130" s="165"/>
      <c r="K2130" s="166"/>
      <c r="L2130" s="166"/>
    </row>
    <row r="2131">
      <c r="A2131" s="163" t="s">
        <v>222</v>
      </c>
      <c r="B2131" s="163"/>
      <c r="C2131" s="163"/>
      <c r="J2131" s="165"/>
      <c r="K2131" s="166"/>
      <c r="L2131" s="166"/>
    </row>
    <row r="2132">
      <c r="A2132" s="163" t="s">
        <v>222</v>
      </c>
      <c r="B2132" s="163"/>
      <c r="C2132" s="163"/>
      <c r="J2132" s="165"/>
      <c r="K2132" s="166"/>
      <c r="L2132" s="166"/>
    </row>
    <row r="2133">
      <c r="A2133" s="163" t="s">
        <v>222</v>
      </c>
      <c r="B2133" s="163"/>
      <c r="C2133" s="163"/>
      <c r="J2133" s="165"/>
      <c r="K2133" s="166"/>
      <c r="L2133" s="166"/>
    </row>
    <row r="2134">
      <c r="A2134" s="163" t="s">
        <v>222</v>
      </c>
      <c r="B2134" s="163"/>
      <c r="C2134" s="163"/>
      <c r="J2134" s="165"/>
      <c r="K2134" s="166"/>
      <c r="L2134" s="166"/>
    </row>
    <row r="2135">
      <c r="A2135" s="163" t="s">
        <v>222</v>
      </c>
      <c r="B2135" s="163"/>
      <c r="C2135" s="163"/>
      <c r="J2135" s="165"/>
      <c r="K2135" s="166"/>
      <c r="L2135" s="166"/>
    </row>
    <row r="2136">
      <c r="A2136" s="163" t="s">
        <v>222</v>
      </c>
      <c r="B2136" s="163"/>
      <c r="C2136" s="163"/>
      <c r="J2136" s="165"/>
      <c r="K2136" s="166"/>
      <c r="L2136" s="166"/>
    </row>
    <row r="2137">
      <c r="A2137" s="163" t="s">
        <v>222</v>
      </c>
      <c r="B2137" s="163"/>
      <c r="C2137" s="163"/>
      <c r="J2137" s="165"/>
      <c r="K2137" s="166"/>
      <c r="L2137" s="166"/>
    </row>
    <row r="2138">
      <c r="A2138" s="163" t="s">
        <v>222</v>
      </c>
      <c r="B2138" s="163"/>
      <c r="C2138" s="163"/>
      <c r="J2138" s="165"/>
      <c r="K2138" s="166"/>
      <c r="L2138" s="166"/>
    </row>
    <row r="2139">
      <c r="A2139" s="163" t="s">
        <v>222</v>
      </c>
      <c r="B2139" s="163"/>
      <c r="C2139" s="163"/>
      <c r="J2139" s="165"/>
      <c r="K2139" s="166"/>
      <c r="L2139" s="166"/>
    </row>
    <row r="2140">
      <c r="A2140" s="163" t="s">
        <v>222</v>
      </c>
      <c r="B2140" s="163"/>
      <c r="C2140" s="163"/>
      <c r="J2140" s="165"/>
      <c r="K2140" s="166"/>
      <c r="L2140" s="166"/>
    </row>
    <row r="2141">
      <c r="A2141" s="163" t="s">
        <v>222</v>
      </c>
      <c r="B2141" s="163"/>
      <c r="C2141" s="163"/>
      <c r="J2141" s="165"/>
      <c r="K2141" s="166"/>
      <c r="L2141" s="166"/>
    </row>
    <row r="2142">
      <c r="A2142" s="163" t="s">
        <v>222</v>
      </c>
      <c r="B2142" s="163"/>
      <c r="C2142" s="163"/>
      <c r="J2142" s="165"/>
      <c r="K2142" s="166"/>
      <c r="L2142" s="166"/>
    </row>
    <row r="2143">
      <c r="A2143" s="163" t="s">
        <v>222</v>
      </c>
      <c r="B2143" s="163"/>
      <c r="C2143" s="163"/>
      <c r="J2143" s="165"/>
      <c r="K2143" s="166"/>
      <c r="L2143" s="166"/>
    </row>
    <row r="2144">
      <c r="A2144" s="163" t="s">
        <v>222</v>
      </c>
      <c r="B2144" s="163"/>
      <c r="C2144" s="163"/>
      <c r="J2144" s="165"/>
      <c r="K2144" s="166"/>
      <c r="L2144" s="166"/>
    </row>
    <row r="2145">
      <c r="A2145" s="163" t="s">
        <v>222</v>
      </c>
      <c r="B2145" s="163"/>
      <c r="C2145" s="163"/>
      <c r="J2145" s="165"/>
      <c r="K2145" s="166"/>
      <c r="L2145" s="166"/>
    </row>
    <row r="2146">
      <c r="A2146" s="163" t="s">
        <v>222</v>
      </c>
      <c r="B2146" s="163"/>
      <c r="C2146" s="163"/>
      <c r="J2146" s="165"/>
      <c r="K2146" s="166"/>
      <c r="L2146" s="166"/>
    </row>
    <row r="2147">
      <c r="A2147" s="163" t="s">
        <v>222</v>
      </c>
      <c r="B2147" s="163"/>
      <c r="C2147" s="163"/>
      <c r="J2147" s="165"/>
      <c r="K2147" s="166"/>
      <c r="L2147" s="166"/>
    </row>
    <row r="2148">
      <c r="A2148" s="163" t="s">
        <v>222</v>
      </c>
      <c r="B2148" s="163"/>
      <c r="C2148" s="163"/>
      <c r="J2148" s="165"/>
      <c r="K2148" s="166"/>
      <c r="L2148" s="166"/>
    </row>
    <row r="2149">
      <c r="A2149" s="163" t="s">
        <v>222</v>
      </c>
      <c r="B2149" s="163"/>
      <c r="C2149" s="163"/>
      <c r="J2149" s="165"/>
      <c r="K2149" s="166"/>
      <c r="L2149" s="166"/>
    </row>
    <row r="2150">
      <c r="A2150" s="163" t="s">
        <v>222</v>
      </c>
      <c r="B2150" s="163"/>
      <c r="C2150" s="163"/>
      <c r="J2150" s="165"/>
      <c r="K2150" s="166"/>
      <c r="L2150" s="166"/>
    </row>
    <row r="2151">
      <c r="A2151" s="163" t="s">
        <v>222</v>
      </c>
      <c r="B2151" s="163"/>
      <c r="C2151" s="163"/>
      <c r="J2151" s="165"/>
      <c r="K2151" s="166"/>
      <c r="L2151" s="166"/>
    </row>
    <row r="2152">
      <c r="A2152" s="163" t="s">
        <v>222</v>
      </c>
      <c r="B2152" s="163"/>
      <c r="C2152" s="163"/>
      <c r="J2152" s="165"/>
      <c r="K2152" s="166"/>
      <c r="L2152" s="166"/>
    </row>
    <row r="2153">
      <c r="A2153" s="163" t="s">
        <v>222</v>
      </c>
      <c r="B2153" s="163"/>
      <c r="C2153" s="163"/>
      <c r="J2153" s="165"/>
      <c r="K2153" s="166"/>
      <c r="L2153" s="166"/>
    </row>
    <row r="2154">
      <c r="A2154" s="163" t="s">
        <v>222</v>
      </c>
      <c r="B2154" s="163"/>
      <c r="C2154" s="163"/>
      <c r="J2154" s="165"/>
      <c r="K2154" s="166"/>
      <c r="L2154" s="166"/>
    </row>
    <row r="2155">
      <c r="A2155" s="163" t="s">
        <v>222</v>
      </c>
      <c r="B2155" s="163"/>
      <c r="C2155" s="163"/>
      <c r="J2155" s="165"/>
      <c r="K2155" s="166"/>
      <c r="L2155" s="166"/>
    </row>
    <row r="2156">
      <c r="A2156" s="163" t="s">
        <v>222</v>
      </c>
      <c r="B2156" s="163"/>
      <c r="C2156" s="163"/>
      <c r="J2156" s="165"/>
      <c r="K2156" s="166"/>
      <c r="L2156" s="166"/>
    </row>
    <row r="2157">
      <c r="A2157" s="163" t="s">
        <v>222</v>
      </c>
      <c r="B2157" s="163"/>
      <c r="C2157" s="163"/>
      <c r="J2157" s="165"/>
      <c r="K2157" s="166"/>
      <c r="L2157" s="166"/>
    </row>
    <row r="2158">
      <c r="A2158" s="163" t="s">
        <v>222</v>
      </c>
      <c r="B2158" s="163"/>
      <c r="C2158" s="163"/>
      <c r="J2158" s="165"/>
      <c r="K2158" s="166"/>
      <c r="L2158" s="166"/>
    </row>
    <row r="2159">
      <c r="A2159" s="163" t="s">
        <v>222</v>
      </c>
      <c r="B2159" s="163"/>
      <c r="C2159" s="163"/>
      <c r="J2159" s="165"/>
      <c r="K2159" s="166"/>
      <c r="L2159" s="166"/>
    </row>
    <row r="2160">
      <c r="A2160" s="163" t="s">
        <v>222</v>
      </c>
      <c r="B2160" s="163"/>
      <c r="C2160" s="163"/>
      <c r="J2160" s="165"/>
      <c r="K2160" s="166"/>
      <c r="L2160" s="166"/>
    </row>
    <row r="2161">
      <c r="A2161" s="163" t="s">
        <v>222</v>
      </c>
      <c r="B2161" s="163"/>
      <c r="C2161" s="163"/>
      <c r="J2161" s="165"/>
      <c r="K2161" s="166"/>
      <c r="L2161" s="166"/>
    </row>
    <row r="2162">
      <c r="A2162" s="163" t="s">
        <v>222</v>
      </c>
      <c r="B2162" s="163"/>
      <c r="C2162" s="163"/>
      <c r="J2162" s="165"/>
      <c r="K2162" s="166"/>
      <c r="L2162" s="166"/>
    </row>
    <row r="2163">
      <c r="A2163" s="163" t="s">
        <v>222</v>
      </c>
      <c r="B2163" s="163"/>
      <c r="C2163" s="163"/>
      <c r="J2163" s="165"/>
      <c r="K2163" s="166"/>
      <c r="L2163" s="166"/>
    </row>
    <row r="2164">
      <c r="A2164" s="163" t="s">
        <v>222</v>
      </c>
      <c r="B2164" s="163"/>
      <c r="C2164" s="163"/>
      <c r="J2164" s="165"/>
      <c r="K2164" s="166"/>
      <c r="L2164" s="166"/>
    </row>
    <row r="2165">
      <c r="A2165" s="163" t="s">
        <v>222</v>
      </c>
      <c r="B2165" s="163"/>
      <c r="C2165" s="163"/>
      <c r="J2165" s="165"/>
      <c r="K2165" s="166"/>
      <c r="L2165" s="166"/>
    </row>
    <row r="2166">
      <c r="A2166" s="163" t="s">
        <v>222</v>
      </c>
      <c r="B2166" s="163"/>
      <c r="C2166" s="163"/>
      <c r="J2166" s="165"/>
      <c r="K2166" s="166"/>
      <c r="L2166" s="166"/>
    </row>
    <row r="2167">
      <c r="A2167" s="163" t="s">
        <v>222</v>
      </c>
      <c r="B2167" s="163"/>
      <c r="C2167" s="163"/>
      <c r="J2167" s="165"/>
      <c r="K2167" s="166"/>
      <c r="L2167" s="166"/>
    </row>
    <row r="2168">
      <c r="A2168" s="163" t="s">
        <v>222</v>
      </c>
      <c r="B2168" s="163"/>
      <c r="C2168" s="163"/>
      <c r="J2168" s="165"/>
      <c r="K2168" s="166"/>
      <c r="L2168" s="166"/>
    </row>
    <row r="2169">
      <c r="A2169" s="163" t="s">
        <v>222</v>
      </c>
      <c r="B2169" s="163"/>
      <c r="C2169" s="163"/>
      <c r="J2169" s="165"/>
      <c r="K2169" s="166"/>
      <c r="L2169" s="166"/>
    </row>
    <row r="2170">
      <c r="A2170" s="163" t="s">
        <v>222</v>
      </c>
      <c r="B2170" s="163"/>
      <c r="C2170" s="163"/>
      <c r="J2170" s="165"/>
      <c r="K2170" s="166"/>
      <c r="L2170" s="166"/>
    </row>
    <row r="2171">
      <c r="A2171" s="163" t="s">
        <v>222</v>
      </c>
      <c r="B2171" s="163"/>
      <c r="C2171" s="163"/>
      <c r="J2171" s="165"/>
      <c r="K2171" s="166"/>
      <c r="L2171" s="166"/>
    </row>
    <row r="2172">
      <c r="A2172" s="163" t="s">
        <v>222</v>
      </c>
      <c r="B2172" s="163"/>
      <c r="C2172" s="163"/>
      <c r="J2172" s="165"/>
      <c r="K2172" s="166"/>
      <c r="L2172" s="166"/>
    </row>
    <row r="2173">
      <c r="A2173" s="163" t="s">
        <v>222</v>
      </c>
      <c r="B2173" s="163"/>
      <c r="C2173" s="163"/>
      <c r="J2173" s="165"/>
      <c r="K2173" s="166"/>
      <c r="L2173" s="166"/>
    </row>
    <row r="2174">
      <c r="A2174" s="163" t="s">
        <v>222</v>
      </c>
      <c r="B2174" s="163"/>
      <c r="C2174" s="163"/>
      <c r="J2174" s="165"/>
      <c r="K2174" s="166"/>
      <c r="L2174" s="166"/>
    </row>
    <row r="2175">
      <c r="A2175" s="163" t="s">
        <v>222</v>
      </c>
      <c r="B2175" s="163"/>
      <c r="C2175" s="163"/>
      <c r="J2175" s="165"/>
      <c r="K2175" s="166"/>
      <c r="L2175" s="166"/>
    </row>
    <row r="2176">
      <c r="A2176" s="163" t="s">
        <v>222</v>
      </c>
      <c r="B2176" s="163"/>
      <c r="C2176" s="163"/>
      <c r="J2176" s="165"/>
      <c r="K2176" s="166"/>
      <c r="L2176" s="166"/>
    </row>
    <row r="2177">
      <c r="A2177" s="163" t="s">
        <v>222</v>
      </c>
      <c r="B2177" s="163"/>
      <c r="C2177" s="163"/>
      <c r="J2177" s="165"/>
      <c r="K2177" s="166"/>
      <c r="L2177" s="166"/>
    </row>
    <row r="2178">
      <c r="A2178" s="163" t="s">
        <v>222</v>
      </c>
      <c r="B2178" s="163"/>
      <c r="C2178" s="163"/>
      <c r="J2178" s="165"/>
      <c r="K2178" s="166"/>
      <c r="L2178" s="166"/>
    </row>
    <row r="2179">
      <c r="A2179" s="163" t="s">
        <v>222</v>
      </c>
      <c r="B2179" s="163"/>
      <c r="C2179" s="163"/>
      <c r="J2179" s="165"/>
      <c r="K2179" s="166"/>
      <c r="L2179" s="166"/>
    </row>
    <row r="2180">
      <c r="A2180" s="163" t="s">
        <v>222</v>
      </c>
      <c r="B2180" s="163"/>
      <c r="C2180" s="163"/>
      <c r="J2180" s="165"/>
      <c r="K2180" s="166"/>
      <c r="L2180" s="166"/>
    </row>
    <row r="2181">
      <c r="A2181" s="163" t="s">
        <v>222</v>
      </c>
      <c r="B2181" s="163"/>
      <c r="C2181" s="163"/>
      <c r="J2181" s="165"/>
      <c r="K2181" s="166"/>
      <c r="L2181" s="166"/>
    </row>
    <row r="2182">
      <c r="A2182" s="163" t="s">
        <v>222</v>
      </c>
      <c r="B2182" s="163"/>
      <c r="C2182" s="163"/>
      <c r="J2182" s="165"/>
      <c r="K2182" s="166"/>
      <c r="L2182" s="166"/>
    </row>
    <row r="2183">
      <c r="A2183" s="163" t="s">
        <v>222</v>
      </c>
      <c r="B2183" s="163"/>
      <c r="C2183" s="163"/>
      <c r="J2183" s="165"/>
      <c r="K2183" s="166"/>
      <c r="L2183" s="166"/>
    </row>
    <row r="2184">
      <c r="A2184" s="163" t="s">
        <v>222</v>
      </c>
      <c r="B2184" s="163"/>
      <c r="C2184" s="163"/>
      <c r="J2184" s="165"/>
      <c r="K2184" s="166"/>
      <c r="L2184" s="166"/>
    </row>
    <row r="2185">
      <c r="A2185" s="163" t="s">
        <v>222</v>
      </c>
      <c r="B2185" s="163"/>
      <c r="C2185" s="163"/>
      <c r="J2185" s="165"/>
      <c r="K2185" s="166"/>
      <c r="L2185" s="166"/>
    </row>
    <row r="2186">
      <c r="A2186" s="163" t="s">
        <v>222</v>
      </c>
      <c r="B2186" s="163"/>
      <c r="C2186" s="163"/>
      <c r="J2186" s="165"/>
      <c r="K2186" s="166"/>
      <c r="L2186" s="166"/>
    </row>
    <row r="2187">
      <c r="A2187" s="163" t="s">
        <v>222</v>
      </c>
      <c r="B2187" s="163"/>
      <c r="C2187" s="163"/>
      <c r="J2187" s="165"/>
      <c r="K2187" s="166"/>
      <c r="L2187" s="166"/>
    </row>
    <row r="2188">
      <c r="A2188" s="163" t="s">
        <v>222</v>
      </c>
      <c r="B2188" s="163"/>
      <c r="C2188" s="163"/>
      <c r="J2188" s="165"/>
      <c r="K2188" s="166"/>
      <c r="L2188" s="166"/>
    </row>
    <row r="2189">
      <c r="A2189" s="163" t="s">
        <v>222</v>
      </c>
      <c r="B2189" s="163"/>
      <c r="C2189" s="163"/>
      <c r="J2189" s="165"/>
      <c r="K2189" s="166"/>
      <c r="L2189" s="166"/>
    </row>
    <row r="2190">
      <c r="A2190" s="163" t="s">
        <v>222</v>
      </c>
      <c r="B2190" s="163"/>
      <c r="C2190" s="163"/>
      <c r="J2190" s="165"/>
      <c r="K2190" s="166"/>
      <c r="L2190" s="166"/>
    </row>
    <row r="2191">
      <c r="A2191" s="163" t="s">
        <v>222</v>
      </c>
      <c r="B2191" s="163"/>
      <c r="C2191" s="163"/>
      <c r="J2191" s="165"/>
      <c r="K2191" s="166"/>
      <c r="L2191" s="166"/>
    </row>
    <row r="2192">
      <c r="A2192" s="163" t="s">
        <v>222</v>
      </c>
      <c r="B2192" s="163"/>
      <c r="C2192" s="163"/>
      <c r="J2192" s="165"/>
      <c r="K2192" s="166"/>
      <c r="L2192" s="166"/>
    </row>
    <row r="2193">
      <c r="A2193" s="163" t="s">
        <v>222</v>
      </c>
      <c r="B2193" s="163"/>
      <c r="C2193" s="163"/>
      <c r="J2193" s="165"/>
      <c r="K2193" s="166"/>
      <c r="L2193" s="166"/>
    </row>
    <row r="2194">
      <c r="A2194" s="163" t="s">
        <v>222</v>
      </c>
      <c r="B2194" s="163"/>
      <c r="C2194" s="163"/>
      <c r="J2194" s="165"/>
      <c r="K2194" s="166"/>
      <c r="L2194" s="166"/>
    </row>
    <row r="2195">
      <c r="A2195" s="163" t="s">
        <v>222</v>
      </c>
      <c r="B2195" s="163"/>
      <c r="C2195" s="163"/>
      <c r="J2195" s="165"/>
      <c r="K2195" s="166"/>
      <c r="L2195" s="166"/>
    </row>
    <row r="2196">
      <c r="A2196" s="163" t="s">
        <v>222</v>
      </c>
      <c r="B2196" s="163"/>
      <c r="C2196" s="163"/>
      <c r="J2196" s="165"/>
      <c r="K2196" s="166"/>
      <c r="L2196" s="166"/>
    </row>
    <row r="2197">
      <c r="A2197" s="163" t="s">
        <v>222</v>
      </c>
      <c r="B2197" s="163"/>
      <c r="C2197" s="163"/>
      <c r="J2197" s="165"/>
      <c r="K2197" s="166"/>
      <c r="L2197" s="166"/>
    </row>
    <row r="2198">
      <c r="A2198" s="163" t="s">
        <v>222</v>
      </c>
      <c r="B2198" s="163"/>
      <c r="C2198" s="163"/>
      <c r="J2198" s="165"/>
      <c r="K2198" s="166"/>
      <c r="L2198" s="166"/>
    </row>
    <row r="2199">
      <c r="A2199" s="163" t="s">
        <v>222</v>
      </c>
      <c r="B2199" s="163"/>
      <c r="C2199" s="163"/>
      <c r="J2199" s="165"/>
      <c r="K2199" s="166"/>
      <c r="L2199" s="166"/>
    </row>
    <row r="2200">
      <c r="A2200" s="163" t="s">
        <v>222</v>
      </c>
      <c r="B2200" s="163"/>
      <c r="C2200" s="163"/>
      <c r="J2200" s="165"/>
      <c r="K2200" s="166"/>
      <c r="L2200" s="166"/>
    </row>
    <row r="2201">
      <c r="A2201" s="163" t="s">
        <v>222</v>
      </c>
      <c r="B2201" s="163"/>
      <c r="C2201" s="163"/>
      <c r="J2201" s="165"/>
      <c r="K2201" s="166"/>
      <c r="L2201" s="166"/>
    </row>
    <row r="2202">
      <c r="A2202" s="163" t="s">
        <v>222</v>
      </c>
      <c r="B2202" s="163"/>
      <c r="C2202" s="163"/>
      <c r="J2202" s="165"/>
      <c r="K2202" s="166"/>
      <c r="L2202" s="166"/>
    </row>
    <row r="2203">
      <c r="A2203" s="163" t="s">
        <v>222</v>
      </c>
      <c r="B2203" s="163"/>
      <c r="C2203" s="163"/>
      <c r="J2203" s="165"/>
      <c r="K2203" s="166"/>
      <c r="L2203" s="166"/>
    </row>
    <row r="2204">
      <c r="A2204" s="163" t="s">
        <v>222</v>
      </c>
      <c r="B2204" s="163"/>
      <c r="C2204" s="163"/>
      <c r="J2204" s="165"/>
      <c r="K2204" s="166"/>
      <c r="L2204" s="166"/>
    </row>
    <row r="2205">
      <c r="A2205" s="163" t="s">
        <v>222</v>
      </c>
      <c r="B2205" s="163"/>
      <c r="C2205" s="163"/>
      <c r="J2205" s="165"/>
      <c r="K2205" s="166"/>
      <c r="L2205" s="166"/>
    </row>
    <row r="2206">
      <c r="A2206" s="163" t="s">
        <v>222</v>
      </c>
      <c r="B2206" s="163"/>
      <c r="C2206" s="163"/>
      <c r="J2206" s="165"/>
      <c r="K2206" s="166"/>
      <c r="L2206" s="166"/>
    </row>
    <row r="2207">
      <c r="A2207" s="163" t="s">
        <v>222</v>
      </c>
      <c r="B2207" s="163"/>
      <c r="C2207" s="163"/>
      <c r="J2207" s="165"/>
      <c r="K2207" s="166"/>
      <c r="L2207" s="166"/>
    </row>
    <row r="2208">
      <c r="A2208" s="163" t="s">
        <v>222</v>
      </c>
      <c r="B2208" s="163"/>
      <c r="C2208" s="163"/>
      <c r="J2208" s="165"/>
      <c r="K2208" s="166"/>
      <c r="L2208" s="166"/>
    </row>
    <row r="2209">
      <c r="A2209" s="163" t="s">
        <v>222</v>
      </c>
      <c r="B2209" s="163"/>
      <c r="C2209" s="163"/>
      <c r="J2209" s="165"/>
      <c r="K2209" s="166"/>
      <c r="L2209" s="166"/>
    </row>
    <row r="2210">
      <c r="A2210" s="163" t="s">
        <v>222</v>
      </c>
      <c r="B2210" s="163"/>
      <c r="C2210" s="163"/>
      <c r="J2210" s="165"/>
      <c r="K2210" s="166"/>
      <c r="L2210" s="166"/>
    </row>
    <row r="2211">
      <c r="A2211" s="163" t="s">
        <v>222</v>
      </c>
      <c r="B2211" s="163"/>
      <c r="C2211" s="163"/>
      <c r="J2211" s="165"/>
      <c r="K2211" s="166"/>
      <c r="L2211" s="166"/>
    </row>
    <row r="2212">
      <c r="A2212" s="163" t="s">
        <v>222</v>
      </c>
      <c r="B2212" s="163"/>
      <c r="C2212" s="163"/>
      <c r="J2212" s="165"/>
      <c r="K2212" s="166"/>
      <c r="L2212" s="166"/>
    </row>
    <row r="2213">
      <c r="A2213" s="163" t="s">
        <v>222</v>
      </c>
      <c r="B2213" s="163"/>
      <c r="C2213" s="163"/>
      <c r="J2213" s="165"/>
      <c r="K2213" s="166"/>
      <c r="L2213" s="166"/>
    </row>
    <row r="2214">
      <c r="A2214" s="163" t="s">
        <v>222</v>
      </c>
      <c r="B2214" s="163"/>
      <c r="C2214" s="163"/>
      <c r="J2214" s="165"/>
      <c r="K2214" s="166"/>
      <c r="L2214" s="166"/>
    </row>
    <row r="2215">
      <c r="A2215" s="163" t="s">
        <v>222</v>
      </c>
      <c r="B2215" s="163"/>
      <c r="C2215" s="163"/>
      <c r="J2215" s="165"/>
      <c r="K2215" s="166"/>
      <c r="L2215" s="166"/>
    </row>
    <row r="2216">
      <c r="A2216" s="163" t="s">
        <v>222</v>
      </c>
      <c r="B2216" s="163"/>
      <c r="C2216" s="163"/>
      <c r="J2216" s="165"/>
      <c r="K2216" s="166"/>
      <c r="L2216" s="166"/>
    </row>
    <row r="2217">
      <c r="A2217" s="163" t="s">
        <v>222</v>
      </c>
      <c r="B2217" s="163"/>
      <c r="C2217" s="163"/>
      <c r="J2217" s="165"/>
      <c r="K2217" s="166"/>
      <c r="L2217" s="166"/>
    </row>
    <row r="2218">
      <c r="A2218" s="163" t="s">
        <v>222</v>
      </c>
      <c r="B2218" s="163"/>
      <c r="C2218" s="163"/>
      <c r="J2218" s="165"/>
      <c r="K2218" s="166"/>
      <c r="L2218" s="166"/>
    </row>
    <row r="2219">
      <c r="A2219" s="163" t="s">
        <v>222</v>
      </c>
      <c r="B2219" s="163"/>
      <c r="C2219" s="163"/>
      <c r="J2219" s="165"/>
      <c r="K2219" s="166"/>
      <c r="L2219" s="166"/>
    </row>
    <row r="2220">
      <c r="A2220" s="163" t="s">
        <v>222</v>
      </c>
      <c r="B2220" s="163"/>
      <c r="C2220" s="163"/>
      <c r="J2220" s="165"/>
      <c r="K2220" s="166"/>
      <c r="L2220" s="166"/>
    </row>
    <row r="2221">
      <c r="A2221" s="163" t="s">
        <v>222</v>
      </c>
      <c r="B2221" s="163"/>
      <c r="C2221" s="163"/>
      <c r="J2221" s="165"/>
      <c r="K2221" s="166"/>
      <c r="L2221" s="166"/>
    </row>
    <row r="2222">
      <c r="A2222" s="163" t="s">
        <v>222</v>
      </c>
      <c r="B2222" s="163"/>
      <c r="C2222" s="163"/>
      <c r="J2222" s="165"/>
      <c r="K2222" s="166"/>
      <c r="L2222" s="166"/>
    </row>
    <row r="2223">
      <c r="A2223" s="163" t="s">
        <v>222</v>
      </c>
      <c r="B2223" s="163"/>
      <c r="C2223" s="163"/>
      <c r="J2223" s="165"/>
      <c r="K2223" s="166"/>
      <c r="L2223" s="166"/>
    </row>
    <row r="2224">
      <c r="A2224" s="163" t="s">
        <v>222</v>
      </c>
      <c r="B2224" s="163"/>
      <c r="C2224" s="163"/>
      <c r="J2224" s="165"/>
      <c r="K2224" s="166"/>
      <c r="L2224" s="166"/>
    </row>
    <row r="2225">
      <c r="A2225" s="163" t="s">
        <v>222</v>
      </c>
      <c r="B2225" s="163"/>
      <c r="C2225" s="163"/>
      <c r="J2225" s="165"/>
      <c r="K2225" s="166"/>
      <c r="L2225" s="166"/>
    </row>
    <row r="2226">
      <c r="A2226" s="163" t="s">
        <v>222</v>
      </c>
      <c r="B2226" s="163"/>
      <c r="C2226" s="163"/>
      <c r="J2226" s="165"/>
      <c r="K2226" s="166"/>
      <c r="L2226" s="166"/>
    </row>
    <row r="2227">
      <c r="A2227" s="163" t="s">
        <v>222</v>
      </c>
      <c r="B2227" s="163"/>
      <c r="C2227" s="163"/>
      <c r="J2227" s="165"/>
      <c r="K2227" s="166"/>
      <c r="L2227" s="166"/>
    </row>
    <row r="2228">
      <c r="A2228" s="163" t="s">
        <v>222</v>
      </c>
      <c r="B2228" s="163"/>
      <c r="C2228" s="163"/>
      <c r="J2228" s="165"/>
      <c r="K2228" s="166"/>
      <c r="L2228" s="166"/>
    </row>
    <row r="2229">
      <c r="A2229" s="163" t="s">
        <v>222</v>
      </c>
      <c r="B2229" s="163"/>
      <c r="C2229" s="163"/>
      <c r="J2229" s="165"/>
      <c r="K2229" s="166"/>
      <c r="L2229" s="166"/>
    </row>
    <row r="2230">
      <c r="A2230" s="163" t="s">
        <v>222</v>
      </c>
      <c r="B2230" s="163"/>
      <c r="C2230" s="163"/>
      <c r="J2230" s="165"/>
      <c r="K2230" s="166"/>
      <c r="L2230" s="166"/>
    </row>
    <row r="2231">
      <c r="A2231" s="163" t="s">
        <v>222</v>
      </c>
      <c r="B2231" s="163"/>
      <c r="C2231" s="163"/>
      <c r="J2231" s="165"/>
      <c r="K2231" s="166"/>
      <c r="L2231" s="166"/>
    </row>
    <row r="2232">
      <c r="A2232" s="163" t="s">
        <v>222</v>
      </c>
      <c r="B2232" s="163"/>
      <c r="C2232" s="163"/>
      <c r="J2232" s="165"/>
      <c r="K2232" s="166"/>
      <c r="L2232" s="166"/>
    </row>
    <row r="2233">
      <c r="A2233" s="163" t="s">
        <v>222</v>
      </c>
      <c r="B2233" s="163"/>
      <c r="C2233" s="163"/>
      <c r="J2233" s="165"/>
      <c r="K2233" s="166"/>
      <c r="L2233" s="166"/>
    </row>
    <row r="2234">
      <c r="A2234" s="163" t="s">
        <v>222</v>
      </c>
      <c r="B2234" s="163"/>
      <c r="C2234" s="163"/>
      <c r="J2234" s="165"/>
      <c r="K2234" s="166"/>
      <c r="L2234" s="166"/>
    </row>
    <row r="2235">
      <c r="A2235" s="163" t="s">
        <v>222</v>
      </c>
      <c r="B2235" s="163"/>
      <c r="C2235" s="163"/>
      <c r="J2235" s="165"/>
      <c r="K2235" s="166"/>
      <c r="L2235" s="166"/>
    </row>
    <row r="2236">
      <c r="A2236" s="163" t="s">
        <v>222</v>
      </c>
      <c r="B2236" s="163"/>
      <c r="C2236" s="163"/>
      <c r="J2236" s="165"/>
      <c r="K2236" s="166"/>
      <c r="L2236" s="166"/>
    </row>
    <row r="2237">
      <c r="A2237" s="163" t="s">
        <v>222</v>
      </c>
      <c r="B2237" s="163"/>
      <c r="C2237" s="163"/>
      <c r="J2237" s="165"/>
      <c r="K2237" s="166"/>
      <c r="L2237" s="166"/>
    </row>
    <row r="2238">
      <c r="A2238" s="163" t="s">
        <v>222</v>
      </c>
      <c r="B2238" s="163"/>
      <c r="C2238" s="163"/>
      <c r="J2238" s="165"/>
      <c r="K2238" s="166"/>
      <c r="L2238" s="166"/>
    </row>
    <row r="2239">
      <c r="A2239" s="163" t="s">
        <v>222</v>
      </c>
      <c r="B2239" s="163"/>
      <c r="C2239" s="163"/>
      <c r="J2239" s="165"/>
      <c r="K2239" s="166"/>
      <c r="L2239" s="166"/>
    </row>
    <row r="2240">
      <c r="A2240" s="163" t="s">
        <v>222</v>
      </c>
      <c r="B2240" s="163"/>
      <c r="C2240" s="163"/>
      <c r="J2240" s="165"/>
      <c r="K2240" s="166"/>
      <c r="L2240" s="166"/>
    </row>
    <row r="2241">
      <c r="A2241" s="163" t="s">
        <v>222</v>
      </c>
      <c r="B2241" s="163"/>
      <c r="C2241" s="163"/>
      <c r="J2241" s="165"/>
      <c r="K2241" s="166"/>
      <c r="L2241" s="166"/>
    </row>
    <row r="2242">
      <c r="A2242" s="163" t="s">
        <v>222</v>
      </c>
      <c r="B2242" s="163"/>
      <c r="C2242" s="163"/>
      <c r="J2242" s="165"/>
      <c r="K2242" s="166"/>
      <c r="L2242" s="166"/>
    </row>
    <row r="2243">
      <c r="A2243" s="163" t="s">
        <v>222</v>
      </c>
      <c r="B2243" s="163"/>
      <c r="C2243" s="163"/>
      <c r="J2243" s="165"/>
      <c r="K2243" s="166"/>
      <c r="L2243" s="166"/>
    </row>
    <row r="2244">
      <c r="A2244" s="163" t="s">
        <v>222</v>
      </c>
      <c r="B2244" s="163"/>
      <c r="C2244" s="163"/>
      <c r="J2244" s="165"/>
      <c r="K2244" s="166"/>
      <c r="L2244" s="166"/>
    </row>
    <row r="2245">
      <c r="A2245" s="163" t="s">
        <v>222</v>
      </c>
      <c r="B2245" s="163"/>
      <c r="C2245" s="163"/>
      <c r="J2245" s="165"/>
      <c r="K2245" s="166"/>
      <c r="L2245" s="166"/>
    </row>
    <row r="2246">
      <c r="A2246" s="163" t="s">
        <v>222</v>
      </c>
      <c r="B2246" s="163"/>
      <c r="C2246" s="163"/>
      <c r="J2246" s="165"/>
      <c r="K2246" s="166"/>
      <c r="L2246" s="166"/>
    </row>
    <row r="2247">
      <c r="A2247" s="163" t="s">
        <v>222</v>
      </c>
      <c r="B2247" s="163"/>
      <c r="C2247" s="163"/>
      <c r="J2247" s="165"/>
      <c r="K2247" s="166"/>
      <c r="L2247" s="166"/>
    </row>
    <row r="2248">
      <c r="A2248" s="163" t="s">
        <v>222</v>
      </c>
      <c r="B2248" s="163"/>
      <c r="C2248" s="163"/>
      <c r="J2248" s="165"/>
      <c r="K2248" s="166"/>
      <c r="L2248" s="166"/>
    </row>
    <row r="2249">
      <c r="A2249" s="163" t="s">
        <v>222</v>
      </c>
      <c r="B2249" s="163"/>
      <c r="C2249" s="163"/>
      <c r="J2249" s="165"/>
      <c r="K2249" s="166"/>
      <c r="L2249" s="166"/>
    </row>
    <row r="2250">
      <c r="A2250" s="163" t="s">
        <v>222</v>
      </c>
      <c r="B2250" s="163"/>
      <c r="C2250" s="163"/>
      <c r="J2250" s="165"/>
      <c r="K2250" s="166"/>
      <c r="L2250" s="166"/>
    </row>
    <row r="2251">
      <c r="A2251" s="163" t="s">
        <v>222</v>
      </c>
      <c r="B2251" s="163"/>
      <c r="C2251" s="163"/>
      <c r="J2251" s="165"/>
      <c r="K2251" s="166"/>
      <c r="L2251" s="166"/>
    </row>
    <row r="2252">
      <c r="A2252" s="163" t="s">
        <v>222</v>
      </c>
      <c r="B2252" s="163"/>
      <c r="C2252" s="163"/>
      <c r="J2252" s="165"/>
      <c r="K2252" s="166"/>
      <c r="L2252" s="166"/>
    </row>
    <row r="2253">
      <c r="A2253" s="163" t="s">
        <v>222</v>
      </c>
      <c r="B2253" s="163"/>
      <c r="C2253" s="163"/>
      <c r="J2253" s="165"/>
      <c r="K2253" s="166"/>
      <c r="L2253" s="166"/>
    </row>
    <row r="2254">
      <c r="A2254" s="163" t="s">
        <v>222</v>
      </c>
      <c r="B2254" s="163"/>
      <c r="C2254" s="163"/>
      <c r="J2254" s="165"/>
      <c r="K2254" s="166"/>
      <c r="L2254" s="166"/>
    </row>
    <row r="2255">
      <c r="A2255" s="163" t="s">
        <v>222</v>
      </c>
      <c r="B2255" s="163"/>
      <c r="C2255" s="163"/>
      <c r="J2255" s="165"/>
      <c r="K2255" s="166"/>
      <c r="L2255" s="166"/>
    </row>
    <row r="2256">
      <c r="A2256" s="163" t="s">
        <v>222</v>
      </c>
      <c r="B2256" s="163"/>
      <c r="C2256" s="163"/>
      <c r="J2256" s="165"/>
      <c r="K2256" s="166"/>
      <c r="L2256" s="166"/>
    </row>
    <row r="2257">
      <c r="A2257" s="163" t="s">
        <v>222</v>
      </c>
      <c r="B2257" s="163"/>
      <c r="C2257" s="163"/>
      <c r="J2257" s="165"/>
      <c r="K2257" s="166"/>
      <c r="L2257" s="166"/>
    </row>
    <row r="2258">
      <c r="A2258" s="163" t="s">
        <v>222</v>
      </c>
      <c r="B2258" s="163"/>
      <c r="C2258" s="163"/>
      <c r="J2258" s="165"/>
      <c r="K2258" s="166"/>
      <c r="L2258" s="166"/>
    </row>
    <row r="2259">
      <c r="A2259" s="163" t="s">
        <v>222</v>
      </c>
      <c r="B2259" s="163"/>
      <c r="C2259" s="163"/>
      <c r="J2259" s="165"/>
      <c r="K2259" s="166"/>
      <c r="L2259" s="166"/>
    </row>
    <row r="2260">
      <c r="A2260" s="163" t="s">
        <v>222</v>
      </c>
      <c r="B2260" s="163"/>
      <c r="C2260" s="163"/>
      <c r="J2260" s="165"/>
      <c r="K2260" s="166"/>
      <c r="L2260" s="166"/>
    </row>
    <row r="2261">
      <c r="A2261" s="163" t="s">
        <v>222</v>
      </c>
      <c r="B2261" s="163"/>
      <c r="C2261" s="163"/>
      <c r="J2261" s="165"/>
      <c r="K2261" s="166"/>
      <c r="L2261" s="166"/>
    </row>
    <row r="2262">
      <c r="A2262" s="163" t="s">
        <v>222</v>
      </c>
      <c r="B2262" s="163"/>
      <c r="C2262" s="163"/>
      <c r="J2262" s="165"/>
      <c r="K2262" s="166"/>
      <c r="L2262" s="166"/>
    </row>
    <row r="2263">
      <c r="A2263" s="163" t="s">
        <v>222</v>
      </c>
      <c r="B2263" s="163"/>
      <c r="C2263" s="163"/>
      <c r="J2263" s="165"/>
      <c r="K2263" s="166"/>
      <c r="L2263" s="166"/>
    </row>
    <row r="2264">
      <c r="A2264" s="163" t="s">
        <v>222</v>
      </c>
      <c r="B2264" s="163"/>
      <c r="C2264" s="163"/>
      <c r="J2264" s="165"/>
      <c r="K2264" s="166"/>
      <c r="L2264" s="166"/>
    </row>
    <row r="2265">
      <c r="A2265" s="163" t="s">
        <v>222</v>
      </c>
      <c r="B2265" s="163"/>
      <c r="C2265" s="163"/>
      <c r="J2265" s="165"/>
      <c r="K2265" s="166"/>
      <c r="L2265" s="166"/>
    </row>
    <row r="2266">
      <c r="A2266" s="163" t="s">
        <v>222</v>
      </c>
      <c r="B2266" s="163"/>
      <c r="C2266" s="163"/>
      <c r="J2266" s="165"/>
      <c r="K2266" s="166"/>
      <c r="L2266" s="166"/>
    </row>
    <row r="2267">
      <c r="A2267" s="163" t="s">
        <v>222</v>
      </c>
      <c r="B2267" s="163"/>
      <c r="C2267" s="163"/>
      <c r="J2267" s="165"/>
      <c r="K2267" s="166"/>
      <c r="L2267" s="166"/>
    </row>
    <row r="2268">
      <c r="A2268" s="163" t="s">
        <v>222</v>
      </c>
      <c r="B2268" s="163"/>
      <c r="C2268" s="163"/>
      <c r="J2268" s="165"/>
      <c r="K2268" s="166"/>
      <c r="L2268" s="166"/>
    </row>
    <row r="2269">
      <c r="A2269" s="163" t="s">
        <v>222</v>
      </c>
      <c r="B2269" s="163"/>
      <c r="C2269" s="163"/>
      <c r="J2269" s="165"/>
      <c r="K2269" s="166"/>
      <c r="L2269" s="166"/>
    </row>
    <row r="2270">
      <c r="A2270" s="163" t="s">
        <v>222</v>
      </c>
      <c r="B2270" s="163"/>
      <c r="C2270" s="163"/>
      <c r="J2270" s="165"/>
      <c r="K2270" s="166"/>
      <c r="L2270" s="166"/>
    </row>
    <row r="2271">
      <c r="A2271" s="163" t="s">
        <v>222</v>
      </c>
      <c r="B2271" s="163"/>
      <c r="C2271" s="163"/>
      <c r="J2271" s="165"/>
      <c r="K2271" s="166"/>
      <c r="L2271" s="166"/>
    </row>
    <row r="2272">
      <c r="A2272" s="163" t="s">
        <v>222</v>
      </c>
      <c r="B2272" s="163"/>
      <c r="C2272" s="163"/>
      <c r="J2272" s="165"/>
      <c r="K2272" s="166"/>
      <c r="L2272" s="166"/>
    </row>
    <row r="2273">
      <c r="A2273" s="163" t="s">
        <v>222</v>
      </c>
      <c r="B2273" s="163"/>
      <c r="C2273" s="163"/>
      <c r="J2273" s="165"/>
      <c r="K2273" s="166"/>
      <c r="L2273" s="166"/>
    </row>
    <row r="2274">
      <c r="A2274" s="163" t="s">
        <v>222</v>
      </c>
      <c r="B2274" s="163"/>
      <c r="C2274" s="163"/>
      <c r="J2274" s="165"/>
      <c r="K2274" s="166"/>
      <c r="L2274" s="166"/>
    </row>
    <row r="2275">
      <c r="A2275" s="163" t="s">
        <v>222</v>
      </c>
      <c r="B2275" s="163"/>
      <c r="C2275" s="163"/>
      <c r="J2275" s="165"/>
      <c r="K2275" s="166"/>
      <c r="L2275" s="166"/>
    </row>
    <row r="2276">
      <c r="A2276" s="163" t="s">
        <v>222</v>
      </c>
      <c r="B2276" s="163"/>
      <c r="C2276" s="163"/>
      <c r="J2276" s="165"/>
      <c r="K2276" s="166"/>
      <c r="L2276" s="166"/>
    </row>
    <row r="2277">
      <c r="A2277" s="163" t="s">
        <v>222</v>
      </c>
      <c r="B2277" s="163"/>
      <c r="C2277" s="163"/>
      <c r="J2277" s="165"/>
      <c r="K2277" s="166"/>
      <c r="L2277" s="166"/>
    </row>
    <row r="2278">
      <c r="A2278" s="163" t="s">
        <v>222</v>
      </c>
      <c r="B2278" s="163"/>
      <c r="C2278" s="163"/>
      <c r="J2278" s="165"/>
      <c r="K2278" s="166"/>
      <c r="L2278" s="166"/>
    </row>
    <row r="2279">
      <c r="A2279" s="163" t="s">
        <v>222</v>
      </c>
      <c r="B2279" s="163"/>
      <c r="C2279" s="163"/>
      <c r="J2279" s="165"/>
      <c r="K2279" s="166"/>
      <c r="L2279" s="166"/>
    </row>
    <row r="2280">
      <c r="A2280" s="163" t="s">
        <v>222</v>
      </c>
      <c r="B2280" s="163"/>
      <c r="C2280" s="163"/>
      <c r="J2280" s="165"/>
      <c r="K2280" s="166"/>
      <c r="L2280" s="166"/>
    </row>
    <row r="2281">
      <c r="A2281" s="163" t="s">
        <v>222</v>
      </c>
      <c r="B2281" s="163"/>
      <c r="C2281" s="163"/>
      <c r="J2281" s="165"/>
      <c r="K2281" s="166"/>
      <c r="L2281" s="166"/>
    </row>
    <row r="2282">
      <c r="A2282" s="163" t="s">
        <v>222</v>
      </c>
      <c r="B2282" s="163"/>
      <c r="C2282" s="163"/>
      <c r="J2282" s="165"/>
      <c r="K2282" s="166"/>
      <c r="L2282" s="166"/>
    </row>
    <row r="2283">
      <c r="A2283" s="163" t="s">
        <v>222</v>
      </c>
      <c r="B2283" s="163"/>
      <c r="C2283" s="163"/>
      <c r="J2283" s="165"/>
      <c r="K2283" s="166"/>
      <c r="L2283" s="166"/>
    </row>
    <row r="2284">
      <c r="A2284" s="163" t="s">
        <v>222</v>
      </c>
      <c r="B2284" s="163"/>
      <c r="C2284" s="163"/>
      <c r="J2284" s="165"/>
      <c r="K2284" s="166"/>
      <c r="L2284" s="166"/>
    </row>
    <row r="2285">
      <c r="A2285" s="163" t="s">
        <v>222</v>
      </c>
      <c r="B2285" s="163"/>
      <c r="C2285" s="163"/>
      <c r="J2285" s="165"/>
      <c r="K2285" s="166"/>
      <c r="L2285" s="166"/>
    </row>
    <row r="2286">
      <c r="A2286" s="163" t="s">
        <v>222</v>
      </c>
      <c r="B2286" s="163"/>
      <c r="C2286" s="163"/>
      <c r="J2286" s="165"/>
      <c r="K2286" s="166"/>
      <c r="L2286" s="166"/>
    </row>
    <row r="2287">
      <c r="A2287" s="163" t="s">
        <v>222</v>
      </c>
      <c r="B2287" s="163"/>
      <c r="C2287" s="163"/>
      <c r="J2287" s="165"/>
      <c r="K2287" s="166"/>
      <c r="L2287" s="166"/>
    </row>
    <row r="2288">
      <c r="A2288" s="163" t="s">
        <v>222</v>
      </c>
      <c r="B2288" s="163"/>
      <c r="C2288" s="163"/>
      <c r="J2288" s="165"/>
      <c r="K2288" s="166"/>
      <c r="L2288" s="166"/>
    </row>
    <row r="2289">
      <c r="A2289" s="163" t="s">
        <v>222</v>
      </c>
      <c r="B2289" s="163"/>
      <c r="C2289" s="163"/>
      <c r="J2289" s="165"/>
      <c r="K2289" s="166"/>
      <c r="L2289" s="166"/>
    </row>
    <row r="2290">
      <c r="A2290" s="163" t="s">
        <v>222</v>
      </c>
      <c r="B2290" s="163"/>
      <c r="C2290" s="163"/>
      <c r="J2290" s="165"/>
      <c r="K2290" s="166"/>
      <c r="L2290" s="166"/>
    </row>
    <row r="2291">
      <c r="A2291" s="163" t="s">
        <v>222</v>
      </c>
      <c r="B2291" s="163"/>
      <c r="C2291" s="163"/>
      <c r="J2291" s="165"/>
      <c r="K2291" s="166"/>
      <c r="L2291" s="166"/>
    </row>
    <row r="2292">
      <c r="A2292" s="163" t="s">
        <v>222</v>
      </c>
      <c r="B2292" s="163"/>
      <c r="C2292" s="163"/>
      <c r="J2292" s="165"/>
      <c r="K2292" s="166"/>
      <c r="L2292" s="166"/>
    </row>
    <row r="2293">
      <c r="A2293" s="163" t="s">
        <v>222</v>
      </c>
      <c r="B2293" s="163"/>
      <c r="C2293" s="163"/>
      <c r="J2293" s="165"/>
      <c r="K2293" s="166"/>
      <c r="L2293" s="166"/>
    </row>
    <row r="2294">
      <c r="A2294" s="163" t="s">
        <v>222</v>
      </c>
      <c r="B2294" s="163"/>
      <c r="C2294" s="163"/>
      <c r="J2294" s="165"/>
      <c r="K2294" s="166"/>
      <c r="L2294" s="166"/>
    </row>
    <row r="2295">
      <c r="A2295" s="163" t="s">
        <v>222</v>
      </c>
      <c r="B2295" s="163"/>
      <c r="C2295" s="163"/>
      <c r="J2295" s="165"/>
      <c r="K2295" s="166"/>
      <c r="L2295" s="166"/>
    </row>
    <row r="2296">
      <c r="A2296" s="163" t="s">
        <v>222</v>
      </c>
      <c r="B2296" s="163"/>
      <c r="C2296" s="163"/>
      <c r="J2296" s="165"/>
      <c r="K2296" s="166"/>
      <c r="L2296" s="166"/>
    </row>
    <row r="2297">
      <c r="A2297" s="163" t="s">
        <v>222</v>
      </c>
      <c r="B2297" s="163"/>
      <c r="C2297" s="163"/>
      <c r="J2297" s="165"/>
      <c r="K2297" s="166"/>
      <c r="L2297" s="166"/>
    </row>
    <row r="2298">
      <c r="A2298" s="163" t="s">
        <v>222</v>
      </c>
      <c r="B2298" s="163"/>
      <c r="C2298" s="163"/>
      <c r="J2298" s="165"/>
      <c r="K2298" s="166"/>
      <c r="L2298" s="166"/>
    </row>
    <row r="2299">
      <c r="A2299" s="163" t="s">
        <v>222</v>
      </c>
      <c r="B2299" s="163"/>
      <c r="C2299" s="163"/>
      <c r="J2299" s="165"/>
      <c r="K2299" s="166"/>
      <c r="L2299" s="166"/>
    </row>
    <row r="2300">
      <c r="A2300" s="163" t="s">
        <v>222</v>
      </c>
      <c r="B2300" s="163"/>
      <c r="C2300" s="163"/>
      <c r="J2300" s="165"/>
      <c r="K2300" s="166"/>
      <c r="L2300" s="166"/>
    </row>
    <row r="2301">
      <c r="A2301" s="163" t="s">
        <v>222</v>
      </c>
      <c r="B2301" s="163"/>
      <c r="C2301" s="163"/>
      <c r="J2301" s="165"/>
      <c r="K2301" s="166"/>
      <c r="L2301" s="166"/>
    </row>
    <row r="2302">
      <c r="A2302" s="163" t="s">
        <v>222</v>
      </c>
      <c r="B2302" s="163"/>
      <c r="C2302" s="163"/>
      <c r="J2302" s="165"/>
      <c r="K2302" s="166"/>
      <c r="L2302" s="166"/>
    </row>
    <row r="2303">
      <c r="A2303" s="163" t="s">
        <v>222</v>
      </c>
      <c r="B2303" s="163"/>
      <c r="C2303" s="163"/>
      <c r="J2303" s="165"/>
      <c r="K2303" s="166"/>
      <c r="L2303" s="166"/>
    </row>
    <row r="2304">
      <c r="A2304" s="163" t="s">
        <v>222</v>
      </c>
      <c r="B2304" s="163"/>
      <c r="C2304" s="163"/>
      <c r="J2304" s="165"/>
      <c r="K2304" s="166"/>
      <c r="L2304" s="166"/>
    </row>
    <row r="2305">
      <c r="A2305" s="163" t="s">
        <v>222</v>
      </c>
      <c r="B2305" s="163"/>
      <c r="C2305" s="163"/>
      <c r="J2305" s="165"/>
      <c r="K2305" s="166"/>
      <c r="L2305" s="166"/>
    </row>
    <row r="2306">
      <c r="A2306" s="163" t="s">
        <v>222</v>
      </c>
      <c r="B2306" s="163"/>
      <c r="C2306" s="163"/>
      <c r="J2306" s="165"/>
      <c r="K2306" s="166"/>
      <c r="L2306" s="166"/>
    </row>
    <row r="2307">
      <c r="A2307" s="163" t="s">
        <v>222</v>
      </c>
      <c r="B2307" s="163"/>
      <c r="C2307" s="163"/>
      <c r="J2307" s="165"/>
      <c r="K2307" s="166"/>
      <c r="L2307" s="166"/>
    </row>
    <row r="2308">
      <c r="A2308" s="163" t="s">
        <v>222</v>
      </c>
      <c r="B2308" s="163"/>
      <c r="C2308" s="163"/>
      <c r="J2308" s="165"/>
      <c r="K2308" s="166"/>
      <c r="L2308" s="166"/>
    </row>
    <row r="2309">
      <c r="A2309" s="163" t="s">
        <v>222</v>
      </c>
      <c r="B2309" s="163"/>
      <c r="C2309" s="163"/>
      <c r="J2309" s="165"/>
      <c r="K2309" s="166"/>
      <c r="L2309" s="166"/>
    </row>
    <row r="2310">
      <c r="A2310" s="163" t="s">
        <v>222</v>
      </c>
      <c r="B2310" s="163"/>
      <c r="C2310" s="163"/>
      <c r="J2310" s="165"/>
      <c r="K2310" s="166"/>
      <c r="L2310" s="166"/>
    </row>
    <row r="2311">
      <c r="A2311" s="163" t="s">
        <v>222</v>
      </c>
      <c r="B2311" s="163"/>
      <c r="C2311" s="163"/>
      <c r="J2311" s="165"/>
      <c r="K2311" s="166"/>
      <c r="L2311" s="166"/>
    </row>
    <row r="2312">
      <c r="A2312" s="163" t="s">
        <v>222</v>
      </c>
      <c r="B2312" s="163"/>
      <c r="C2312" s="163"/>
      <c r="J2312" s="165"/>
      <c r="K2312" s="166"/>
      <c r="L2312" s="166"/>
    </row>
    <row r="2313">
      <c r="A2313" s="163" t="s">
        <v>222</v>
      </c>
      <c r="B2313" s="163"/>
      <c r="C2313" s="163"/>
      <c r="J2313" s="165"/>
      <c r="K2313" s="166"/>
      <c r="L2313" s="166"/>
    </row>
    <row r="2314">
      <c r="A2314" s="163" t="s">
        <v>222</v>
      </c>
      <c r="B2314" s="163"/>
      <c r="C2314" s="163"/>
      <c r="J2314" s="165"/>
      <c r="K2314" s="166"/>
      <c r="L2314" s="166"/>
    </row>
    <row r="2315">
      <c r="A2315" s="163" t="s">
        <v>222</v>
      </c>
      <c r="B2315" s="163"/>
      <c r="C2315" s="163"/>
      <c r="J2315" s="165"/>
      <c r="K2315" s="166"/>
      <c r="L2315" s="166"/>
    </row>
    <row r="2316">
      <c r="A2316" s="163" t="s">
        <v>222</v>
      </c>
      <c r="B2316" s="163"/>
      <c r="C2316" s="163"/>
      <c r="J2316" s="165"/>
      <c r="K2316" s="166"/>
      <c r="L2316" s="166"/>
    </row>
    <row r="2317">
      <c r="A2317" s="163" t="s">
        <v>222</v>
      </c>
      <c r="B2317" s="163"/>
      <c r="C2317" s="163"/>
      <c r="J2317" s="165"/>
      <c r="K2317" s="166"/>
      <c r="L2317" s="166"/>
    </row>
    <row r="2318">
      <c r="A2318" s="163" t="s">
        <v>222</v>
      </c>
      <c r="B2318" s="163"/>
      <c r="C2318" s="163"/>
      <c r="J2318" s="165"/>
      <c r="K2318" s="166"/>
      <c r="L2318" s="166"/>
    </row>
    <row r="2319">
      <c r="A2319" s="163" t="s">
        <v>222</v>
      </c>
      <c r="B2319" s="163"/>
      <c r="C2319" s="163"/>
      <c r="J2319" s="165"/>
      <c r="K2319" s="166"/>
      <c r="L2319" s="166"/>
    </row>
    <row r="2320">
      <c r="A2320" s="163" t="s">
        <v>222</v>
      </c>
      <c r="B2320" s="163"/>
      <c r="C2320" s="163"/>
      <c r="J2320" s="165"/>
      <c r="K2320" s="166"/>
      <c r="L2320" s="166"/>
    </row>
    <row r="2321">
      <c r="A2321" s="163" t="s">
        <v>222</v>
      </c>
      <c r="B2321" s="163"/>
      <c r="C2321" s="163"/>
      <c r="J2321" s="165"/>
      <c r="K2321" s="166"/>
      <c r="L2321" s="166"/>
    </row>
    <row r="2322">
      <c r="A2322" s="163" t="s">
        <v>222</v>
      </c>
      <c r="B2322" s="163"/>
      <c r="C2322" s="163"/>
      <c r="J2322" s="165"/>
      <c r="K2322" s="166"/>
      <c r="L2322" s="166"/>
    </row>
    <row r="2323">
      <c r="A2323" s="163" t="s">
        <v>222</v>
      </c>
      <c r="B2323" s="163"/>
      <c r="C2323" s="163"/>
      <c r="J2323" s="165"/>
      <c r="K2323" s="166"/>
      <c r="L2323" s="166"/>
    </row>
    <row r="2324">
      <c r="A2324" s="163" t="s">
        <v>222</v>
      </c>
      <c r="B2324" s="163"/>
      <c r="C2324" s="163"/>
      <c r="J2324" s="165"/>
      <c r="K2324" s="166"/>
      <c r="L2324" s="166"/>
    </row>
    <row r="2325">
      <c r="A2325" s="163" t="s">
        <v>222</v>
      </c>
      <c r="B2325" s="163"/>
      <c r="C2325" s="163"/>
      <c r="J2325" s="165"/>
      <c r="K2325" s="166"/>
      <c r="L2325" s="166"/>
    </row>
    <row r="2326">
      <c r="A2326" s="163" t="s">
        <v>222</v>
      </c>
      <c r="B2326" s="163"/>
      <c r="C2326" s="163"/>
      <c r="J2326" s="165"/>
      <c r="K2326" s="166"/>
      <c r="L2326" s="166"/>
    </row>
    <row r="2327">
      <c r="A2327" s="163" t="s">
        <v>222</v>
      </c>
      <c r="B2327" s="163"/>
      <c r="C2327" s="163"/>
      <c r="J2327" s="165"/>
      <c r="K2327" s="166"/>
      <c r="L2327" s="166"/>
    </row>
    <row r="2328">
      <c r="A2328" s="163" t="s">
        <v>222</v>
      </c>
      <c r="B2328" s="163"/>
      <c r="C2328" s="163"/>
      <c r="J2328" s="165"/>
      <c r="K2328" s="166"/>
      <c r="L2328" s="166"/>
    </row>
    <row r="2329">
      <c r="A2329" s="163" t="s">
        <v>222</v>
      </c>
      <c r="B2329" s="163"/>
      <c r="C2329" s="163"/>
      <c r="J2329" s="165"/>
      <c r="K2329" s="166"/>
      <c r="L2329" s="166"/>
    </row>
    <row r="2330">
      <c r="A2330" s="163" t="s">
        <v>222</v>
      </c>
      <c r="B2330" s="163"/>
      <c r="C2330" s="163"/>
      <c r="J2330" s="165"/>
      <c r="K2330" s="166"/>
      <c r="L2330" s="166"/>
    </row>
    <row r="2331">
      <c r="A2331" s="163" t="s">
        <v>222</v>
      </c>
      <c r="B2331" s="163"/>
      <c r="C2331" s="163"/>
      <c r="J2331" s="165"/>
      <c r="K2331" s="166"/>
      <c r="L2331" s="166"/>
    </row>
    <row r="2332">
      <c r="A2332" s="163" t="s">
        <v>222</v>
      </c>
      <c r="B2332" s="163"/>
      <c r="C2332" s="163"/>
      <c r="J2332" s="165"/>
      <c r="K2332" s="166"/>
      <c r="L2332" s="166"/>
    </row>
    <row r="2333">
      <c r="A2333" s="163" t="s">
        <v>222</v>
      </c>
      <c r="B2333" s="163"/>
      <c r="C2333" s="163"/>
      <c r="J2333" s="165"/>
      <c r="K2333" s="166"/>
      <c r="L2333" s="166"/>
    </row>
    <row r="2334">
      <c r="A2334" s="163" t="s">
        <v>222</v>
      </c>
      <c r="B2334" s="163"/>
      <c r="C2334" s="163"/>
      <c r="J2334" s="165"/>
      <c r="K2334" s="166"/>
      <c r="L2334" s="166"/>
    </row>
    <row r="2335">
      <c r="A2335" s="163" t="s">
        <v>222</v>
      </c>
      <c r="B2335" s="163"/>
      <c r="C2335" s="163"/>
      <c r="J2335" s="165"/>
      <c r="K2335" s="166"/>
      <c r="L2335" s="166"/>
    </row>
    <row r="2336">
      <c r="A2336" s="163" t="s">
        <v>222</v>
      </c>
      <c r="B2336" s="163"/>
      <c r="C2336" s="163"/>
      <c r="J2336" s="165"/>
      <c r="K2336" s="166"/>
      <c r="L2336" s="166"/>
    </row>
    <row r="2337">
      <c r="A2337" s="163" t="s">
        <v>222</v>
      </c>
      <c r="B2337" s="163"/>
      <c r="C2337" s="163"/>
      <c r="J2337" s="165"/>
      <c r="K2337" s="166"/>
      <c r="L2337" s="166"/>
    </row>
    <row r="2338">
      <c r="A2338" s="163" t="s">
        <v>222</v>
      </c>
      <c r="B2338" s="163"/>
      <c r="C2338" s="163"/>
      <c r="J2338" s="165"/>
      <c r="K2338" s="166"/>
      <c r="L2338" s="166"/>
    </row>
    <row r="2339">
      <c r="A2339" s="163" t="s">
        <v>222</v>
      </c>
      <c r="B2339" s="163"/>
      <c r="C2339" s="163"/>
      <c r="J2339" s="165"/>
      <c r="K2339" s="166"/>
      <c r="L2339" s="166"/>
    </row>
    <row r="2340">
      <c r="A2340" s="163" t="s">
        <v>222</v>
      </c>
      <c r="B2340" s="163"/>
      <c r="C2340" s="163"/>
      <c r="J2340" s="165"/>
      <c r="K2340" s="166"/>
      <c r="L2340" s="166"/>
    </row>
    <row r="2341">
      <c r="A2341" s="163" t="s">
        <v>222</v>
      </c>
      <c r="B2341" s="163"/>
      <c r="C2341" s="163"/>
      <c r="J2341" s="165"/>
      <c r="K2341" s="166"/>
      <c r="L2341" s="166"/>
    </row>
    <row r="2342">
      <c r="A2342" s="163" t="s">
        <v>222</v>
      </c>
      <c r="B2342" s="163"/>
      <c r="C2342" s="163"/>
      <c r="J2342" s="165"/>
      <c r="K2342" s="166"/>
      <c r="L2342" s="166"/>
    </row>
    <row r="2343">
      <c r="A2343" s="163" t="s">
        <v>222</v>
      </c>
      <c r="B2343" s="163"/>
      <c r="C2343" s="163"/>
      <c r="J2343" s="165"/>
      <c r="K2343" s="166"/>
      <c r="L2343" s="166"/>
    </row>
    <row r="2344">
      <c r="A2344" s="163" t="s">
        <v>222</v>
      </c>
      <c r="B2344" s="163"/>
      <c r="C2344" s="163"/>
      <c r="J2344" s="165"/>
      <c r="K2344" s="166"/>
      <c r="L2344" s="166"/>
    </row>
    <row r="2345">
      <c r="A2345" s="163" t="s">
        <v>222</v>
      </c>
      <c r="B2345" s="163"/>
      <c r="C2345" s="163"/>
      <c r="J2345" s="165"/>
      <c r="K2345" s="166"/>
      <c r="L2345" s="166"/>
    </row>
    <row r="2346">
      <c r="A2346" s="163" t="s">
        <v>222</v>
      </c>
      <c r="B2346" s="163"/>
      <c r="C2346" s="163"/>
      <c r="J2346" s="165"/>
      <c r="K2346" s="166"/>
      <c r="L2346" s="166"/>
    </row>
    <row r="2347">
      <c r="A2347" s="163" t="s">
        <v>222</v>
      </c>
      <c r="B2347" s="163"/>
      <c r="C2347" s="163"/>
      <c r="J2347" s="165"/>
      <c r="K2347" s="166"/>
      <c r="L2347" s="166"/>
    </row>
    <row r="2348">
      <c r="A2348" s="163" t="s">
        <v>222</v>
      </c>
      <c r="B2348" s="163"/>
      <c r="C2348" s="163"/>
      <c r="J2348" s="165"/>
      <c r="K2348" s="166"/>
      <c r="L2348" s="166"/>
    </row>
    <row r="2349">
      <c r="A2349" s="163" t="s">
        <v>222</v>
      </c>
      <c r="B2349" s="163"/>
      <c r="C2349" s="163"/>
      <c r="J2349" s="165"/>
      <c r="K2349" s="166"/>
      <c r="L2349" s="166"/>
    </row>
    <row r="2350">
      <c r="A2350" s="163" t="s">
        <v>222</v>
      </c>
      <c r="B2350" s="163"/>
      <c r="C2350" s="163"/>
      <c r="J2350" s="165"/>
      <c r="K2350" s="166"/>
      <c r="L2350" s="166"/>
    </row>
    <row r="2351">
      <c r="A2351" s="163" t="s">
        <v>222</v>
      </c>
      <c r="B2351" s="163"/>
      <c r="C2351" s="163"/>
      <c r="J2351" s="165"/>
      <c r="K2351" s="166"/>
      <c r="L2351" s="166"/>
    </row>
    <row r="2352">
      <c r="A2352" s="163" t="s">
        <v>222</v>
      </c>
      <c r="B2352" s="163"/>
      <c r="C2352" s="163"/>
      <c r="J2352" s="165"/>
      <c r="K2352" s="166"/>
      <c r="L2352" s="166"/>
    </row>
    <row r="2353">
      <c r="A2353" s="163" t="s">
        <v>222</v>
      </c>
      <c r="B2353" s="163"/>
      <c r="C2353" s="163"/>
      <c r="J2353" s="165"/>
      <c r="K2353" s="166"/>
      <c r="L2353" s="166"/>
    </row>
    <row r="2354">
      <c r="A2354" s="163" t="s">
        <v>222</v>
      </c>
      <c r="B2354" s="163"/>
      <c r="C2354" s="163"/>
      <c r="J2354" s="165"/>
      <c r="K2354" s="166"/>
      <c r="L2354" s="166"/>
    </row>
    <row r="2355">
      <c r="A2355" s="163" t="s">
        <v>222</v>
      </c>
      <c r="B2355" s="163"/>
      <c r="C2355" s="163"/>
      <c r="J2355" s="165"/>
      <c r="K2355" s="166"/>
      <c r="L2355" s="166"/>
    </row>
    <row r="2356">
      <c r="A2356" s="163" t="s">
        <v>222</v>
      </c>
      <c r="B2356" s="163"/>
      <c r="C2356" s="163"/>
      <c r="J2356" s="165"/>
      <c r="K2356" s="166"/>
      <c r="L2356" s="166"/>
    </row>
    <row r="2357">
      <c r="A2357" s="163" t="s">
        <v>222</v>
      </c>
      <c r="B2357" s="163"/>
      <c r="C2357" s="163"/>
      <c r="J2357" s="165"/>
      <c r="K2357" s="166"/>
      <c r="L2357" s="166"/>
    </row>
    <row r="2358">
      <c r="A2358" s="163" t="s">
        <v>222</v>
      </c>
      <c r="B2358" s="163"/>
      <c r="C2358" s="163"/>
      <c r="J2358" s="165"/>
      <c r="K2358" s="166"/>
      <c r="L2358" s="166"/>
    </row>
    <row r="2359">
      <c r="A2359" s="163" t="s">
        <v>222</v>
      </c>
      <c r="B2359" s="163"/>
      <c r="C2359" s="163"/>
      <c r="J2359" s="165"/>
      <c r="K2359" s="166"/>
      <c r="L2359" s="166"/>
    </row>
    <row r="2360">
      <c r="A2360" s="163" t="s">
        <v>222</v>
      </c>
      <c r="B2360" s="163"/>
      <c r="C2360" s="163"/>
      <c r="J2360" s="165"/>
      <c r="K2360" s="166"/>
      <c r="L2360" s="166"/>
    </row>
    <row r="2361">
      <c r="A2361" s="163" t="s">
        <v>222</v>
      </c>
      <c r="B2361" s="163"/>
      <c r="C2361" s="163"/>
      <c r="J2361" s="165"/>
      <c r="K2361" s="166"/>
      <c r="L2361" s="166"/>
    </row>
    <row r="2362">
      <c r="A2362" s="163" t="s">
        <v>222</v>
      </c>
      <c r="B2362" s="163"/>
      <c r="C2362" s="163"/>
      <c r="J2362" s="165"/>
      <c r="K2362" s="166"/>
      <c r="L2362" s="166"/>
    </row>
    <row r="2363">
      <c r="A2363" s="163" t="s">
        <v>222</v>
      </c>
      <c r="B2363" s="163"/>
      <c r="C2363" s="163"/>
      <c r="J2363" s="165"/>
      <c r="K2363" s="166"/>
      <c r="L2363" s="166"/>
    </row>
    <row r="2364">
      <c r="A2364" s="163" t="s">
        <v>222</v>
      </c>
      <c r="B2364" s="163"/>
      <c r="C2364" s="163"/>
      <c r="J2364" s="165"/>
      <c r="K2364" s="166"/>
      <c r="L2364" s="166"/>
    </row>
    <row r="2365">
      <c r="A2365" s="163" t="s">
        <v>222</v>
      </c>
      <c r="B2365" s="163"/>
      <c r="C2365" s="163"/>
      <c r="J2365" s="165"/>
      <c r="K2365" s="166"/>
      <c r="L2365" s="166"/>
    </row>
    <row r="2366">
      <c r="A2366" s="163" t="s">
        <v>222</v>
      </c>
      <c r="B2366" s="163"/>
      <c r="C2366" s="163"/>
      <c r="J2366" s="165"/>
      <c r="K2366" s="166"/>
      <c r="L2366" s="166"/>
    </row>
    <row r="2367">
      <c r="A2367" s="163" t="s">
        <v>222</v>
      </c>
      <c r="B2367" s="163"/>
      <c r="C2367" s="163"/>
      <c r="J2367" s="165"/>
      <c r="K2367" s="166"/>
      <c r="L2367" s="166"/>
    </row>
    <row r="2368">
      <c r="A2368" s="163" t="s">
        <v>222</v>
      </c>
      <c r="B2368" s="163"/>
      <c r="C2368" s="163"/>
      <c r="J2368" s="165"/>
      <c r="K2368" s="166"/>
      <c r="L2368" s="166"/>
    </row>
    <row r="2369">
      <c r="A2369" s="163" t="s">
        <v>222</v>
      </c>
      <c r="B2369" s="163"/>
      <c r="C2369" s="163"/>
      <c r="J2369" s="165"/>
      <c r="K2369" s="166"/>
      <c r="L2369" s="166"/>
    </row>
    <row r="2370">
      <c r="A2370" s="163" t="s">
        <v>222</v>
      </c>
      <c r="B2370" s="163"/>
      <c r="C2370" s="163"/>
      <c r="J2370" s="165"/>
      <c r="K2370" s="166"/>
      <c r="L2370" s="166"/>
    </row>
    <row r="2371">
      <c r="A2371" s="163" t="s">
        <v>222</v>
      </c>
      <c r="B2371" s="163"/>
      <c r="C2371" s="163"/>
      <c r="J2371" s="165"/>
      <c r="K2371" s="166"/>
      <c r="L2371" s="166"/>
    </row>
    <row r="2372">
      <c r="A2372" s="163" t="s">
        <v>222</v>
      </c>
      <c r="B2372" s="163"/>
      <c r="C2372" s="163"/>
      <c r="J2372" s="165"/>
      <c r="K2372" s="166"/>
      <c r="L2372" s="166"/>
    </row>
    <row r="2373">
      <c r="A2373" s="163" t="s">
        <v>222</v>
      </c>
      <c r="B2373" s="163"/>
      <c r="C2373" s="163"/>
      <c r="J2373" s="165"/>
      <c r="K2373" s="166"/>
      <c r="L2373" s="166"/>
    </row>
    <row r="2374">
      <c r="A2374" s="163" t="s">
        <v>222</v>
      </c>
      <c r="B2374" s="163"/>
      <c r="C2374" s="163"/>
      <c r="J2374" s="165"/>
      <c r="K2374" s="166"/>
      <c r="L2374" s="166"/>
    </row>
    <row r="2375">
      <c r="A2375" s="163" t="s">
        <v>222</v>
      </c>
      <c r="B2375" s="163"/>
      <c r="C2375" s="163"/>
      <c r="J2375" s="165"/>
      <c r="K2375" s="166"/>
      <c r="L2375" s="166"/>
    </row>
    <row r="2376">
      <c r="A2376" s="163" t="s">
        <v>222</v>
      </c>
      <c r="B2376" s="163"/>
      <c r="C2376" s="163"/>
      <c r="J2376" s="165"/>
      <c r="K2376" s="166"/>
      <c r="L2376" s="166"/>
    </row>
    <row r="2377">
      <c r="A2377" s="163" t="s">
        <v>222</v>
      </c>
      <c r="B2377" s="163"/>
      <c r="C2377" s="163"/>
      <c r="J2377" s="165"/>
      <c r="K2377" s="166"/>
      <c r="L2377" s="166"/>
    </row>
    <row r="2378">
      <c r="A2378" s="163" t="s">
        <v>222</v>
      </c>
      <c r="B2378" s="163"/>
      <c r="C2378" s="163"/>
      <c r="J2378" s="165"/>
      <c r="K2378" s="166"/>
      <c r="L2378" s="166"/>
    </row>
    <row r="2379">
      <c r="A2379" s="163" t="s">
        <v>222</v>
      </c>
      <c r="B2379" s="163"/>
      <c r="C2379" s="163"/>
      <c r="J2379" s="165"/>
      <c r="K2379" s="166"/>
      <c r="L2379" s="166"/>
    </row>
    <row r="2380">
      <c r="A2380" s="163" t="s">
        <v>222</v>
      </c>
      <c r="B2380" s="163"/>
      <c r="C2380" s="163"/>
      <c r="J2380" s="165"/>
      <c r="K2380" s="166"/>
      <c r="L2380" s="166"/>
    </row>
    <row r="2381">
      <c r="A2381" s="163" t="s">
        <v>222</v>
      </c>
      <c r="B2381" s="163"/>
      <c r="C2381" s="163"/>
      <c r="J2381" s="165"/>
      <c r="K2381" s="166"/>
      <c r="L2381" s="166"/>
    </row>
    <row r="2382">
      <c r="A2382" s="163" t="s">
        <v>222</v>
      </c>
      <c r="B2382" s="163"/>
      <c r="C2382" s="163"/>
      <c r="J2382" s="165"/>
      <c r="K2382" s="166"/>
      <c r="L2382" s="166"/>
    </row>
    <row r="2383">
      <c r="A2383" s="163" t="s">
        <v>222</v>
      </c>
      <c r="B2383" s="163"/>
      <c r="C2383" s="163"/>
      <c r="J2383" s="165"/>
      <c r="K2383" s="166"/>
      <c r="L2383" s="166"/>
    </row>
    <row r="2384">
      <c r="A2384" s="163" t="s">
        <v>222</v>
      </c>
      <c r="B2384" s="163"/>
      <c r="C2384" s="163"/>
      <c r="J2384" s="165"/>
      <c r="K2384" s="166"/>
      <c r="L2384" s="166"/>
    </row>
    <row r="2385">
      <c r="A2385" s="163" t="s">
        <v>222</v>
      </c>
      <c r="B2385" s="163"/>
      <c r="C2385" s="163"/>
      <c r="J2385" s="165"/>
      <c r="K2385" s="166"/>
      <c r="L2385" s="166"/>
    </row>
    <row r="2386">
      <c r="A2386" s="163" t="s">
        <v>222</v>
      </c>
      <c r="B2386" s="163"/>
      <c r="C2386" s="163"/>
      <c r="J2386" s="165"/>
      <c r="K2386" s="166"/>
      <c r="L2386" s="166"/>
    </row>
    <row r="2387">
      <c r="A2387" s="163" t="s">
        <v>222</v>
      </c>
      <c r="B2387" s="163"/>
      <c r="C2387" s="163"/>
      <c r="J2387" s="165"/>
      <c r="K2387" s="166"/>
      <c r="L2387" s="166"/>
    </row>
    <row r="2388">
      <c r="A2388" s="163" t="s">
        <v>222</v>
      </c>
      <c r="B2388" s="163"/>
      <c r="C2388" s="163"/>
      <c r="J2388" s="165"/>
      <c r="K2388" s="166"/>
      <c r="L2388" s="166"/>
    </row>
    <row r="2389">
      <c r="A2389" s="163" t="s">
        <v>222</v>
      </c>
      <c r="B2389" s="163"/>
      <c r="C2389" s="163"/>
      <c r="J2389" s="165"/>
      <c r="K2389" s="166"/>
      <c r="L2389" s="166"/>
    </row>
    <row r="2390">
      <c r="A2390" s="163" t="s">
        <v>222</v>
      </c>
      <c r="B2390" s="163"/>
      <c r="C2390" s="163"/>
      <c r="J2390" s="165"/>
      <c r="K2390" s="166"/>
      <c r="L2390" s="166"/>
    </row>
    <row r="2391">
      <c r="A2391" s="163" t="s">
        <v>222</v>
      </c>
      <c r="B2391" s="163"/>
      <c r="C2391" s="163"/>
      <c r="J2391" s="165"/>
      <c r="K2391" s="166"/>
      <c r="L2391" s="166"/>
    </row>
    <row r="2392">
      <c r="A2392" s="163" t="s">
        <v>222</v>
      </c>
      <c r="B2392" s="163"/>
      <c r="C2392" s="163"/>
      <c r="J2392" s="165"/>
      <c r="K2392" s="166"/>
      <c r="L2392" s="166"/>
    </row>
    <row r="2393">
      <c r="A2393" s="163" t="s">
        <v>222</v>
      </c>
      <c r="B2393" s="163"/>
      <c r="C2393" s="163"/>
      <c r="J2393" s="165"/>
      <c r="K2393" s="166"/>
      <c r="L2393" s="166"/>
    </row>
    <row r="2394">
      <c r="A2394" s="163" t="s">
        <v>222</v>
      </c>
      <c r="B2394" s="163"/>
      <c r="C2394" s="163"/>
      <c r="J2394" s="165"/>
      <c r="K2394" s="166"/>
      <c r="L2394" s="166"/>
    </row>
    <row r="2395">
      <c r="A2395" s="163" t="s">
        <v>222</v>
      </c>
      <c r="B2395" s="163"/>
      <c r="C2395" s="163"/>
      <c r="J2395" s="165"/>
      <c r="K2395" s="166"/>
      <c r="L2395" s="166"/>
    </row>
    <row r="2396">
      <c r="A2396" s="163" t="s">
        <v>222</v>
      </c>
      <c r="B2396" s="163"/>
      <c r="C2396" s="163"/>
      <c r="J2396" s="165"/>
      <c r="K2396" s="166"/>
      <c r="L2396" s="166"/>
    </row>
    <row r="2397">
      <c r="A2397" s="163" t="s">
        <v>222</v>
      </c>
      <c r="B2397" s="163"/>
      <c r="C2397" s="163"/>
      <c r="J2397" s="165"/>
      <c r="K2397" s="166"/>
      <c r="L2397" s="166"/>
    </row>
    <row r="2398">
      <c r="A2398" s="163" t="s">
        <v>222</v>
      </c>
      <c r="B2398" s="163"/>
      <c r="C2398" s="163"/>
      <c r="J2398" s="165"/>
      <c r="K2398" s="166"/>
      <c r="L2398" s="166"/>
    </row>
    <row r="2399">
      <c r="A2399" s="163" t="s">
        <v>222</v>
      </c>
      <c r="B2399" s="163"/>
      <c r="C2399" s="163"/>
      <c r="J2399" s="165"/>
      <c r="K2399" s="166"/>
      <c r="L2399" s="166"/>
    </row>
    <row r="2400">
      <c r="A2400" s="163" t="s">
        <v>222</v>
      </c>
      <c r="B2400" s="163"/>
      <c r="C2400" s="163"/>
      <c r="J2400" s="165"/>
      <c r="K2400" s="166"/>
      <c r="L2400" s="166"/>
    </row>
    <row r="2401">
      <c r="A2401" s="163" t="s">
        <v>222</v>
      </c>
      <c r="B2401" s="163"/>
      <c r="C2401" s="163"/>
      <c r="J2401" s="165"/>
      <c r="K2401" s="166"/>
      <c r="L2401" s="166"/>
    </row>
    <row r="2402">
      <c r="A2402" s="163" t="s">
        <v>222</v>
      </c>
      <c r="B2402" s="163"/>
      <c r="C2402" s="163"/>
      <c r="J2402" s="165"/>
      <c r="K2402" s="166"/>
      <c r="L2402" s="166"/>
    </row>
    <row r="2403">
      <c r="A2403" s="163" t="s">
        <v>222</v>
      </c>
      <c r="B2403" s="163"/>
      <c r="C2403" s="163"/>
      <c r="J2403" s="165"/>
      <c r="K2403" s="166"/>
      <c r="L2403" s="166"/>
    </row>
    <row r="2404">
      <c r="A2404" s="163" t="s">
        <v>222</v>
      </c>
      <c r="B2404" s="163"/>
      <c r="C2404" s="163"/>
      <c r="J2404" s="165"/>
      <c r="K2404" s="166"/>
      <c r="L2404" s="166"/>
    </row>
    <row r="2405">
      <c r="A2405" s="163" t="s">
        <v>222</v>
      </c>
      <c r="B2405" s="163"/>
      <c r="C2405" s="163"/>
      <c r="J2405" s="165"/>
      <c r="K2405" s="166"/>
      <c r="L2405" s="166"/>
    </row>
    <row r="2406">
      <c r="A2406" s="163" t="s">
        <v>222</v>
      </c>
      <c r="B2406" s="163"/>
      <c r="C2406" s="163"/>
      <c r="J2406" s="165"/>
      <c r="K2406" s="166"/>
      <c r="L2406" s="166"/>
    </row>
    <row r="2407">
      <c r="A2407" s="163" t="s">
        <v>222</v>
      </c>
      <c r="B2407" s="163"/>
      <c r="C2407" s="163"/>
      <c r="J2407" s="165"/>
      <c r="K2407" s="166"/>
      <c r="L2407" s="166"/>
    </row>
    <row r="2408">
      <c r="A2408" s="163" t="s">
        <v>222</v>
      </c>
      <c r="B2408" s="163"/>
      <c r="C2408" s="163"/>
      <c r="J2408" s="165"/>
      <c r="K2408" s="166"/>
      <c r="L2408" s="166"/>
    </row>
    <row r="2409">
      <c r="A2409" s="163" t="s">
        <v>222</v>
      </c>
      <c r="B2409" s="163"/>
      <c r="C2409" s="163"/>
      <c r="J2409" s="165"/>
      <c r="K2409" s="166"/>
      <c r="L2409" s="166"/>
    </row>
    <row r="2410">
      <c r="A2410" s="163" t="s">
        <v>222</v>
      </c>
      <c r="B2410" s="163"/>
      <c r="C2410" s="163"/>
      <c r="J2410" s="165"/>
      <c r="K2410" s="166"/>
      <c r="L2410" s="166"/>
    </row>
    <row r="2411">
      <c r="A2411" s="163" t="s">
        <v>222</v>
      </c>
      <c r="B2411" s="163"/>
      <c r="C2411" s="163"/>
      <c r="J2411" s="165"/>
      <c r="K2411" s="166"/>
      <c r="L2411" s="166"/>
    </row>
    <row r="2412">
      <c r="A2412" s="163" t="s">
        <v>222</v>
      </c>
      <c r="B2412" s="163"/>
      <c r="C2412" s="163"/>
      <c r="J2412" s="165"/>
      <c r="K2412" s="166"/>
      <c r="L2412" s="166"/>
    </row>
    <row r="2413">
      <c r="A2413" s="163" t="s">
        <v>222</v>
      </c>
      <c r="B2413" s="163"/>
      <c r="C2413" s="163"/>
      <c r="J2413" s="165"/>
      <c r="K2413" s="166"/>
      <c r="L2413" s="166"/>
    </row>
    <row r="2414">
      <c r="A2414" s="163" t="s">
        <v>222</v>
      </c>
      <c r="B2414" s="163"/>
      <c r="C2414" s="163"/>
      <c r="J2414" s="165"/>
      <c r="K2414" s="166"/>
      <c r="L2414" s="166"/>
    </row>
    <row r="2415">
      <c r="A2415" s="163" t="s">
        <v>222</v>
      </c>
      <c r="B2415" s="163"/>
      <c r="C2415" s="163"/>
      <c r="J2415" s="165"/>
      <c r="K2415" s="166"/>
      <c r="L2415" s="166"/>
    </row>
    <row r="2416">
      <c r="A2416" s="163" t="s">
        <v>222</v>
      </c>
      <c r="B2416" s="163"/>
      <c r="C2416" s="163"/>
      <c r="J2416" s="165"/>
      <c r="K2416" s="166"/>
      <c r="L2416" s="166"/>
    </row>
    <row r="2417">
      <c r="A2417" s="163" t="s">
        <v>222</v>
      </c>
      <c r="B2417" s="163"/>
      <c r="C2417" s="163"/>
      <c r="J2417" s="165"/>
      <c r="K2417" s="166"/>
      <c r="L2417" s="166"/>
    </row>
    <row r="2418">
      <c r="A2418" s="163" t="s">
        <v>222</v>
      </c>
      <c r="B2418" s="163"/>
      <c r="C2418" s="163"/>
      <c r="J2418" s="165"/>
      <c r="K2418" s="166"/>
      <c r="L2418" s="166"/>
    </row>
    <row r="2419">
      <c r="A2419" s="163" t="s">
        <v>222</v>
      </c>
      <c r="B2419" s="163"/>
      <c r="C2419" s="163"/>
      <c r="J2419" s="165"/>
      <c r="K2419" s="166"/>
      <c r="L2419" s="166"/>
    </row>
    <row r="2420">
      <c r="A2420" s="163" t="s">
        <v>222</v>
      </c>
      <c r="B2420" s="163"/>
      <c r="C2420" s="163"/>
      <c r="J2420" s="165"/>
      <c r="K2420" s="166"/>
      <c r="L2420" s="166"/>
    </row>
    <row r="2421">
      <c r="A2421" s="163" t="s">
        <v>222</v>
      </c>
      <c r="B2421" s="163"/>
      <c r="C2421" s="163"/>
      <c r="J2421" s="165"/>
      <c r="K2421" s="166"/>
      <c r="L2421" s="166"/>
    </row>
    <row r="2422">
      <c r="A2422" s="163" t="s">
        <v>222</v>
      </c>
      <c r="B2422" s="163"/>
      <c r="C2422" s="163"/>
      <c r="J2422" s="165"/>
      <c r="K2422" s="166"/>
      <c r="L2422" s="166"/>
    </row>
    <row r="2423">
      <c r="A2423" s="163" t="s">
        <v>222</v>
      </c>
      <c r="B2423" s="163"/>
      <c r="C2423" s="163"/>
      <c r="J2423" s="165"/>
      <c r="K2423" s="166"/>
      <c r="L2423" s="166"/>
    </row>
    <row r="2424">
      <c r="A2424" s="163" t="s">
        <v>222</v>
      </c>
      <c r="B2424" s="163"/>
      <c r="C2424" s="163"/>
      <c r="J2424" s="165"/>
      <c r="K2424" s="166"/>
      <c r="L2424" s="166"/>
    </row>
    <row r="2425">
      <c r="A2425" s="163" t="s">
        <v>222</v>
      </c>
      <c r="B2425" s="163"/>
      <c r="C2425" s="163"/>
      <c r="J2425" s="165"/>
      <c r="K2425" s="166"/>
      <c r="L2425" s="166"/>
    </row>
    <row r="2426">
      <c r="A2426" s="163" t="s">
        <v>222</v>
      </c>
      <c r="B2426" s="163"/>
      <c r="C2426" s="163"/>
      <c r="J2426" s="165"/>
      <c r="K2426" s="166"/>
      <c r="L2426" s="166"/>
    </row>
    <row r="2427">
      <c r="A2427" s="163" t="s">
        <v>222</v>
      </c>
      <c r="B2427" s="163"/>
      <c r="C2427" s="163"/>
      <c r="J2427" s="165"/>
      <c r="K2427" s="166"/>
      <c r="L2427" s="166"/>
    </row>
    <row r="2428">
      <c r="A2428" s="163" t="s">
        <v>222</v>
      </c>
      <c r="B2428" s="163"/>
      <c r="C2428" s="163"/>
      <c r="J2428" s="165"/>
      <c r="K2428" s="166"/>
      <c r="L2428" s="166"/>
    </row>
    <row r="2429">
      <c r="A2429" s="163" t="s">
        <v>222</v>
      </c>
      <c r="B2429" s="163"/>
      <c r="C2429" s="163"/>
      <c r="J2429" s="165"/>
      <c r="K2429" s="166"/>
      <c r="L2429" s="166"/>
    </row>
    <row r="2430">
      <c r="A2430" s="163" t="s">
        <v>222</v>
      </c>
      <c r="B2430" s="163"/>
      <c r="C2430" s="163"/>
      <c r="J2430" s="165"/>
      <c r="K2430" s="166"/>
      <c r="L2430" s="166"/>
    </row>
    <row r="2431">
      <c r="A2431" s="163" t="s">
        <v>222</v>
      </c>
      <c r="B2431" s="163"/>
      <c r="C2431" s="163"/>
      <c r="J2431" s="165"/>
      <c r="K2431" s="166"/>
      <c r="L2431" s="166"/>
    </row>
    <row r="2432">
      <c r="A2432" s="163" t="s">
        <v>222</v>
      </c>
      <c r="B2432" s="163"/>
      <c r="C2432" s="163"/>
      <c r="J2432" s="165"/>
      <c r="K2432" s="166"/>
      <c r="L2432" s="166"/>
    </row>
    <row r="2433">
      <c r="A2433" s="163" t="s">
        <v>222</v>
      </c>
      <c r="B2433" s="163"/>
      <c r="C2433" s="163"/>
      <c r="J2433" s="165"/>
      <c r="K2433" s="166"/>
      <c r="L2433" s="166"/>
    </row>
    <row r="2434">
      <c r="A2434" s="163" t="s">
        <v>222</v>
      </c>
      <c r="B2434" s="163"/>
      <c r="C2434" s="163"/>
      <c r="J2434" s="165"/>
      <c r="K2434" s="166"/>
      <c r="L2434" s="166"/>
    </row>
    <row r="2435">
      <c r="A2435" s="163" t="s">
        <v>222</v>
      </c>
      <c r="B2435" s="163"/>
      <c r="C2435" s="163"/>
      <c r="J2435" s="165"/>
      <c r="K2435" s="166"/>
      <c r="L2435" s="166"/>
    </row>
    <row r="2436">
      <c r="A2436" s="163" t="s">
        <v>222</v>
      </c>
      <c r="B2436" s="163"/>
      <c r="C2436" s="163"/>
      <c r="J2436" s="165"/>
      <c r="K2436" s="166"/>
      <c r="L2436" s="166"/>
    </row>
    <row r="2437">
      <c r="A2437" s="163" t="s">
        <v>222</v>
      </c>
      <c r="B2437" s="163"/>
      <c r="C2437" s="163"/>
      <c r="J2437" s="165"/>
      <c r="K2437" s="166"/>
      <c r="L2437" s="166"/>
    </row>
    <row r="2438">
      <c r="A2438" s="163" t="s">
        <v>222</v>
      </c>
      <c r="B2438" s="163"/>
      <c r="C2438" s="163"/>
      <c r="J2438" s="165"/>
      <c r="K2438" s="166"/>
      <c r="L2438" s="166"/>
    </row>
    <row r="2439">
      <c r="A2439" s="163" t="s">
        <v>222</v>
      </c>
      <c r="B2439" s="163"/>
      <c r="C2439" s="163"/>
      <c r="J2439" s="165"/>
      <c r="K2439" s="166"/>
      <c r="L2439" s="166"/>
    </row>
    <row r="2440">
      <c r="A2440" s="163" t="s">
        <v>222</v>
      </c>
      <c r="B2440" s="163"/>
      <c r="C2440" s="163"/>
      <c r="J2440" s="165"/>
      <c r="K2440" s="166"/>
      <c r="L2440" s="166"/>
    </row>
    <row r="2441">
      <c r="A2441" s="163" t="s">
        <v>222</v>
      </c>
      <c r="B2441" s="163"/>
      <c r="C2441" s="163"/>
      <c r="J2441" s="165"/>
      <c r="K2441" s="166"/>
      <c r="L2441" s="166"/>
    </row>
    <row r="2442">
      <c r="A2442" s="163" t="s">
        <v>222</v>
      </c>
      <c r="B2442" s="163"/>
      <c r="C2442" s="163"/>
      <c r="J2442" s="165"/>
      <c r="K2442" s="166"/>
      <c r="L2442" s="166"/>
    </row>
    <row r="2443">
      <c r="A2443" s="163" t="s">
        <v>222</v>
      </c>
      <c r="B2443" s="163"/>
      <c r="C2443" s="163"/>
      <c r="J2443" s="165"/>
      <c r="K2443" s="166"/>
      <c r="L2443" s="166"/>
    </row>
    <row r="2444">
      <c r="A2444" s="163" t="s">
        <v>222</v>
      </c>
      <c r="B2444" s="163"/>
      <c r="C2444" s="163"/>
      <c r="J2444" s="165"/>
      <c r="K2444" s="166"/>
      <c r="L2444" s="166"/>
    </row>
    <row r="2445">
      <c r="A2445" s="163" t="s">
        <v>222</v>
      </c>
      <c r="B2445" s="163"/>
      <c r="C2445" s="163"/>
      <c r="J2445" s="165"/>
      <c r="K2445" s="166"/>
      <c r="L2445" s="166"/>
    </row>
    <row r="2446">
      <c r="A2446" s="163" t="s">
        <v>222</v>
      </c>
      <c r="B2446" s="163"/>
      <c r="C2446" s="163"/>
      <c r="J2446" s="165"/>
      <c r="K2446" s="166"/>
      <c r="L2446" s="166"/>
    </row>
    <row r="2447">
      <c r="A2447" s="163" t="s">
        <v>222</v>
      </c>
      <c r="B2447" s="163"/>
      <c r="C2447" s="163"/>
      <c r="J2447" s="165"/>
      <c r="K2447" s="166"/>
      <c r="L2447" s="166"/>
    </row>
    <row r="2448">
      <c r="A2448" s="163" t="s">
        <v>222</v>
      </c>
      <c r="B2448" s="163"/>
      <c r="C2448" s="163"/>
      <c r="J2448" s="165"/>
      <c r="K2448" s="166"/>
      <c r="L2448" s="166"/>
    </row>
    <row r="2449">
      <c r="A2449" s="163" t="s">
        <v>222</v>
      </c>
      <c r="B2449" s="163"/>
      <c r="C2449" s="163"/>
      <c r="J2449" s="165"/>
      <c r="K2449" s="166"/>
      <c r="L2449" s="166"/>
    </row>
    <row r="2450">
      <c r="A2450" s="163" t="s">
        <v>222</v>
      </c>
      <c r="B2450" s="163"/>
      <c r="C2450" s="163"/>
      <c r="J2450" s="165"/>
      <c r="K2450" s="166"/>
      <c r="L2450" s="166"/>
    </row>
    <row r="2451">
      <c r="A2451" s="163" t="s">
        <v>222</v>
      </c>
      <c r="B2451" s="163"/>
      <c r="C2451" s="163"/>
      <c r="J2451" s="165"/>
      <c r="K2451" s="166"/>
      <c r="L2451" s="166"/>
    </row>
    <row r="2452">
      <c r="A2452" s="163" t="s">
        <v>222</v>
      </c>
      <c r="B2452" s="163"/>
      <c r="C2452" s="163"/>
      <c r="J2452" s="165"/>
      <c r="K2452" s="166"/>
      <c r="L2452" s="166"/>
    </row>
    <row r="2453">
      <c r="A2453" s="163" t="s">
        <v>222</v>
      </c>
      <c r="B2453" s="163"/>
      <c r="C2453" s="163"/>
      <c r="J2453" s="165"/>
      <c r="K2453" s="166"/>
      <c r="L2453" s="166"/>
    </row>
    <row r="2454">
      <c r="A2454" s="163" t="s">
        <v>222</v>
      </c>
      <c r="B2454" s="163"/>
      <c r="C2454" s="163"/>
      <c r="J2454" s="165"/>
      <c r="K2454" s="166"/>
      <c r="L2454" s="166"/>
    </row>
    <row r="2455">
      <c r="A2455" s="163" t="s">
        <v>222</v>
      </c>
      <c r="B2455" s="163"/>
      <c r="C2455" s="163"/>
      <c r="J2455" s="165"/>
      <c r="K2455" s="166"/>
      <c r="L2455" s="166"/>
    </row>
    <row r="2456">
      <c r="A2456" s="163" t="s">
        <v>222</v>
      </c>
      <c r="B2456" s="163"/>
      <c r="C2456" s="163"/>
      <c r="J2456" s="165"/>
      <c r="K2456" s="166"/>
      <c r="L2456" s="166"/>
    </row>
    <row r="2457">
      <c r="A2457" s="163" t="s">
        <v>222</v>
      </c>
      <c r="B2457" s="163"/>
      <c r="C2457" s="163"/>
      <c r="J2457" s="165"/>
      <c r="K2457" s="166"/>
      <c r="L2457" s="166"/>
    </row>
    <row r="2458">
      <c r="A2458" s="163" t="s">
        <v>222</v>
      </c>
      <c r="B2458" s="163"/>
      <c r="C2458" s="163"/>
      <c r="J2458" s="165"/>
      <c r="K2458" s="166"/>
      <c r="L2458" s="166"/>
    </row>
    <row r="2459">
      <c r="A2459" s="163" t="s">
        <v>222</v>
      </c>
      <c r="B2459" s="163"/>
      <c r="C2459" s="163"/>
      <c r="J2459" s="165"/>
      <c r="K2459" s="166"/>
      <c r="L2459" s="166"/>
    </row>
    <row r="2460">
      <c r="A2460" s="163" t="s">
        <v>222</v>
      </c>
      <c r="B2460" s="163"/>
      <c r="C2460" s="163"/>
      <c r="J2460" s="165"/>
      <c r="K2460" s="166"/>
      <c r="L2460" s="166"/>
    </row>
    <row r="2461">
      <c r="A2461" s="163" t="s">
        <v>222</v>
      </c>
      <c r="B2461" s="163"/>
      <c r="C2461" s="163"/>
      <c r="J2461" s="165"/>
      <c r="K2461" s="166"/>
      <c r="L2461" s="166"/>
    </row>
    <row r="2462">
      <c r="A2462" s="163" t="s">
        <v>222</v>
      </c>
      <c r="B2462" s="163"/>
      <c r="C2462" s="163"/>
      <c r="J2462" s="165"/>
      <c r="K2462" s="166"/>
      <c r="L2462" s="166"/>
    </row>
    <row r="2463">
      <c r="A2463" s="163" t="s">
        <v>222</v>
      </c>
      <c r="B2463" s="163"/>
      <c r="C2463" s="163"/>
      <c r="J2463" s="165"/>
      <c r="K2463" s="166"/>
      <c r="L2463" s="166"/>
    </row>
    <row r="2464">
      <c r="A2464" s="163" t="s">
        <v>222</v>
      </c>
      <c r="B2464" s="163"/>
      <c r="C2464" s="163"/>
      <c r="J2464" s="165"/>
      <c r="K2464" s="166"/>
      <c r="L2464" s="166"/>
    </row>
    <row r="2465">
      <c r="A2465" s="163" t="s">
        <v>222</v>
      </c>
      <c r="B2465" s="163"/>
      <c r="C2465" s="163"/>
      <c r="J2465" s="165"/>
      <c r="K2465" s="166"/>
      <c r="L2465" s="166"/>
    </row>
    <row r="2466">
      <c r="A2466" s="163" t="s">
        <v>222</v>
      </c>
      <c r="B2466" s="163"/>
      <c r="C2466" s="163"/>
      <c r="J2466" s="165"/>
      <c r="K2466" s="166"/>
      <c r="L2466" s="166"/>
    </row>
    <row r="2467">
      <c r="A2467" s="163" t="s">
        <v>222</v>
      </c>
      <c r="B2467" s="163"/>
      <c r="C2467" s="163"/>
      <c r="J2467" s="165"/>
      <c r="K2467" s="166"/>
      <c r="L2467" s="166"/>
    </row>
    <row r="2468">
      <c r="A2468" s="163" t="s">
        <v>222</v>
      </c>
      <c r="B2468" s="163"/>
      <c r="C2468" s="163"/>
      <c r="J2468" s="165"/>
      <c r="K2468" s="166"/>
      <c r="L2468" s="166"/>
    </row>
    <row r="2469">
      <c r="A2469" s="163" t="s">
        <v>222</v>
      </c>
      <c r="B2469" s="163"/>
      <c r="C2469" s="163"/>
      <c r="J2469" s="165"/>
      <c r="K2469" s="166"/>
      <c r="L2469" s="166"/>
    </row>
    <row r="2470">
      <c r="A2470" s="163" t="s">
        <v>222</v>
      </c>
      <c r="B2470" s="163"/>
      <c r="C2470" s="163"/>
      <c r="J2470" s="165"/>
      <c r="K2470" s="166"/>
      <c r="L2470" s="166"/>
    </row>
    <row r="2471">
      <c r="A2471" s="163" t="s">
        <v>222</v>
      </c>
      <c r="B2471" s="163"/>
      <c r="C2471" s="163"/>
      <c r="J2471" s="165"/>
      <c r="K2471" s="166"/>
      <c r="L2471" s="166"/>
    </row>
    <row r="2472">
      <c r="A2472" s="163" t="s">
        <v>222</v>
      </c>
      <c r="B2472" s="163"/>
      <c r="C2472" s="163"/>
      <c r="J2472" s="165"/>
      <c r="K2472" s="166"/>
      <c r="L2472" s="166"/>
    </row>
    <row r="2473">
      <c r="A2473" s="163" t="s">
        <v>222</v>
      </c>
      <c r="B2473" s="163"/>
      <c r="C2473" s="163"/>
      <c r="J2473" s="165"/>
      <c r="K2473" s="166"/>
      <c r="L2473" s="166"/>
    </row>
    <row r="2474">
      <c r="A2474" s="163" t="s">
        <v>222</v>
      </c>
      <c r="B2474" s="163"/>
      <c r="C2474" s="163"/>
      <c r="J2474" s="165"/>
      <c r="K2474" s="166"/>
      <c r="L2474" s="166"/>
    </row>
    <row r="2475">
      <c r="A2475" s="163" t="s">
        <v>222</v>
      </c>
      <c r="B2475" s="163"/>
      <c r="C2475" s="163"/>
      <c r="J2475" s="165"/>
      <c r="K2475" s="166"/>
      <c r="L2475" s="166"/>
    </row>
    <row r="2476">
      <c r="A2476" s="163" t="s">
        <v>222</v>
      </c>
      <c r="B2476" s="163"/>
      <c r="C2476" s="163"/>
      <c r="J2476" s="165"/>
      <c r="K2476" s="166"/>
      <c r="L2476" s="166"/>
    </row>
    <row r="2477">
      <c r="A2477" s="163" t="s">
        <v>222</v>
      </c>
      <c r="B2477" s="163"/>
      <c r="C2477" s="163"/>
      <c r="J2477" s="165"/>
      <c r="K2477" s="166"/>
      <c r="L2477" s="166"/>
    </row>
    <row r="2478">
      <c r="A2478" s="163" t="s">
        <v>222</v>
      </c>
      <c r="B2478" s="163"/>
      <c r="C2478" s="163"/>
      <c r="J2478" s="165"/>
      <c r="K2478" s="166"/>
      <c r="L2478" s="166"/>
    </row>
    <row r="2479">
      <c r="A2479" s="163" t="s">
        <v>222</v>
      </c>
      <c r="B2479" s="163"/>
      <c r="C2479" s="163"/>
      <c r="J2479" s="165"/>
      <c r="K2479" s="166"/>
      <c r="L2479" s="166"/>
    </row>
    <row r="2480">
      <c r="A2480" s="163" t="s">
        <v>222</v>
      </c>
      <c r="B2480" s="163"/>
      <c r="C2480" s="163"/>
      <c r="J2480" s="165"/>
      <c r="K2480" s="166"/>
      <c r="L2480" s="166"/>
    </row>
    <row r="2481">
      <c r="A2481" s="163" t="s">
        <v>222</v>
      </c>
      <c r="B2481" s="163"/>
      <c r="C2481" s="163"/>
      <c r="J2481" s="165"/>
      <c r="K2481" s="166"/>
      <c r="L2481" s="166"/>
    </row>
    <row r="2482">
      <c r="A2482" s="163" t="s">
        <v>222</v>
      </c>
      <c r="B2482" s="163"/>
      <c r="C2482" s="163"/>
      <c r="J2482" s="165"/>
      <c r="K2482" s="166"/>
      <c r="L2482" s="166"/>
    </row>
    <row r="2483">
      <c r="A2483" s="163" t="s">
        <v>222</v>
      </c>
      <c r="B2483" s="163"/>
      <c r="C2483" s="163"/>
      <c r="J2483" s="165"/>
      <c r="K2483" s="166"/>
      <c r="L2483" s="166"/>
    </row>
    <row r="2484">
      <c r="A2484" s="163" t="s">
        <v>222</v>
      </c>
      <c r="B2484" s="163"/>
      <c r="C2484" s="163"/>
      <c r="J2484" s="165"/>
      <c r="K2484" s="166"/>
      <c r="L2484" s="166"/>
    </row>
    <row r="2485">
      <c r="A2485" s="163" t="s">
        <v>222</v>
      </c>
      <c r="B2485" s="163"/>
      <c r="C2485" s="163"/>
      <c r="J2485" s="165"/>
      <c r="K2485" s="166"/>
      <c r="L2485" s="166"/>
    </row>
    <row r="2486">
      <c r="A2486" s="163" t="s">
        <v>222</v>
      </c>
      <c r="B2486" s="163"/>
      <c r="C2486" s="163"/>
      <c r="J2486" s="165"/>
      <c r="K2486" s="166"/>
      <c r="L2486" s="166"/>
    </row>
    <row r="2487">
      <c r="A2487" s="163" t="s">
        <v>222</v>
      </c>
      <c r="B2487" s="163"/>
      <c r="C2487" s="163"/>
      <c r="J2487" s="165"/>
      <c r="K2487" s="166"/>
      <c r="L2487" s="166"/>
    </row>
    <row r="2488">
      <c r="A2488" s="163" t="s">
        <v>222</v>
      </c>
      <c r="B2488" s="163"/>
      <c r="C2488" s="163"/>
      <c r="J2488" s="165"/>
      <c r="K2488" s="166"/>
      <c r="L2488" s="166"/>
    </row>
    <row r="2489">
      <c r="A2489" s="163" t="s">
        <v>222</v>
      </c>
      <c r="B2489" s="163"/>
      <c r="C2489" s="163"/>
      <c r="J2489" s="165"/>
      <c r="K2489" s="166"/>
      <c r="L2489" s="166"/>
    </row>
    <row r="2490">
      <c r="A2490" s="163" t="s">
        <v>222</v>
      </c>
      <c r="B2490" s="163"/>
      <c r="C2490" s="163"/>
      <c r="J2490" s="165"/>
      <c r="K2490" s="166"/>
      <c r="L2490" s="166"/>
    </row>
    <row r="2491">
      <c r="A2491" s="163" t="s">
        <v>222</v>
      </c>
      <c r="B2491" s="163"/>
      <c r="C2491" s="163"/>
      <c r="J2491" s="165"/>
      <c r="K2491" s="166"/>
      <c r="L2491" s="166"/>
    </row>
    <row r="2492">
      <c r="A2492" s="163" t="s">
        <v>222</v>
      </c>
      <c r="B2492" s="163"/>
      <c r="C2492" s="163"/>
      <c r="J2492" s="165"/>
      <c r="K2492" s="166"/>
      <c r="L2492" s="166"/>
    </row>
    <row r="2493">
      <c r="A2493" s="163" t="s">
        <v>222</v>
      </c>
      <c r="B2493" s="163"/>
      <c r="C2493" s="163"/>
      <c r="J2493" s="165"/>
      <c r="K2493" s="166"/>
      <c r="L2493" s="166"/>
    </row>
    <row r="2494">
      <c r="A2494" s="163" t="s">
        <v>222</v>
      </c>
      <c r="B2494" s="163"/>
      <c r="C2494" s="163"/>
      <c r="J2494" s="165"/>
      <c r="K2494" s="166"/>
      <c r="L2494" s="166"/>
    </row>
    <row r="2495">
      <c r="A2495" s="163" t="s">
        <v>222</v>
      </c>
      <c r="B2495" s="163"/>
      <c r="C2495" s="163"/>
      <c r="J2495" s="165"/>
      <c r="K2495" s="166"/>
      <c r="L2495" s="166"/>
    </row>
    <row r="2496">
      <c r="A2496" s="163" t="s">
        <v>222</v>
      </c>
      <c r="B2496" s="163"/>
      <c r="C2496" s="163"/>
      <c r="J2496" s="165"/>
      <c r="K2496" s="166"/>
      <c r="L2496" s="166"/>
    </row>
    <row r="2497">
      <c r="A2497" s="163" t="s">
        <v>222</v>
      </c>
      <c r="B2497" s="163"/>
      <c r="C2497" s="163"/>
      <c r="J2497" s="165"/>
      <c r="K2497" s="166"/>
      <c r="L2497" s="166"/>
    </row>
    <row r="2498">
      <c r="A2498" s="163" t="s">
        <v>222</v>
      </c>
      <c r="B2498" s="163"/>
      <c r="C2498" s="163"/>
      <c r="J2498" s="165"/>
      <c r="K2498" s="166"/>
      <c r="L2498" s="166"/>
    </row>
    <row r="2499">
      <c r="A2499" s="163" t="s">
        <v>222</v>
      </c>
      <c r="B2499" s="163"/>
      <c r="C2499" s="163"/>
      <c r="J2499" s="165"/>
      <c r="K2499" s="166"/>
      <c r="L2499" s="166"/>
    </row>
    <row r="2500">
      <c r="A2500" s="163" t="s">
        <v>222</v>
      </c>
      <c r="B2500" s="163"/>
      <c r="C2500" s="163"/>
      <c r="J2500" s="165"/>
      <c r="K2500" s="166"/>
      <c r="L2500" s="166"/>
    </row>
    <row r="2501">
      <c r="A2501" s="163" t="s">
        <v>222</v>
      </c>
      <c r="B2501" s="163"/>
      <c r="C2501" s="163"/>
      <c r="J2501" s="165"/>
      <c r="K2501" s="166"/>
      <c r="L2501" s="166"/>
    </row>
    <row r="2502">
      <c r="A2502" s="163" t="s">
        <v>222</v>
      </c>
      <c r="B2502" s="163"/>
      <c r="C2502" s="163"/>
      <c r="J2502" s="165"/>
      <c r="K2502" s="166"/>
      <c r="L2502" s="166"/>
    </row>
    <row r="2503">
      <c r="A2503" s="163" t="s">
        <v>222</v>
      </c>
      <c r="B2503" s="163"/>
      <c r="C2503" s="163"/>
      <c r="J2503" s="165"/>
      <c r="K2503" s="166"/>
      <c r="L2503" s="166"/>
    </row>
    <row r="2504">
      <c r="A2504" s="163" t="s">
        <v>222</v>
      </c>
      <c r="B2504" s="163"/>
      <c r="C2504" s="163"/>
      <c r="J2504" s="165"/>
      <c r="K2504" s="166"/>
      <c r="L2504" s="166"/>
    </row>
    <row r="2505">
      <c r="A2505" s="163" t="s">
        <v>222</v>
      </c>
      <c r="B2505" s="163"/>
      <c r="C2505" s="163"/>
      <c r="J2505" s="165"/>
      <c r="K2505" s="166"/>
      <c r="L2505" s="166"/>
    </row>
    <row r="2506">
      <c r="A2506" s="163" t="s">
        <v>222</v>
      </c>
      <c r="B2506" s="163"/>
      <c r="C2506" s="163"/>
      <c r="J2506" s="165"/>
      <c r="K2506" s="166"/>
      <c r="L2506" s="166"/>
    </row>
    <row r="2507">
      <c r="A2507" s="163" t="s">
        <v>222</v>
      </c>
      <c r="B2507" s="163"/>
      <c r="C2507" s="163"/>
      <c r="J2507" s="165"/>
      <c r="K2507" s="166"/>
      <c r="L2507" s="166"/>
    </row>
    <row r="2508">
      <c r="A2508" s="163" t="s">
        <v>222</v>
      </c>
      <c r="B2508" s="163"/>
      <c r="C2508" s="163"/>
      <c r="J2508" s="165"/>
      <c r="K2508" s="166"/>
      <c r="L2508" s="166"/>
    </row>
    <row r="2509">
      <c r="A2509" s="163" t="s">
        <v>222</v>
      </c>
      <c r="B2509" s="163"/>
      <c r="C2509" s="163"/>
      <c r="J2509" s="165"/>
      <c r="K2509" s="166"/>
      <c r="L2509" s="166"/>
    </row>
    <row r="2510">
      <c r="A2510" s="163" t="s">
        <v>222</v>
      </c>
      <c r="B2510" s="163"/>
      <c r="C2510" s="163"/>
      <c r="J2510" s="165"/>
      <c r="K2510" s="166"/>
      <c r="L2510" s="166"/>
    </row>
    <row r="2511">
      <c r="A2511" s="163" t="s">
        <v>222</v>
      </c>
      <c r="B2511" s="163"/>
      <c r="C2511" s="163"/>
      <c r="J2511" s="165"/>
      <c r="K2511" s="166"/>
      <c r="L2511" s="166"/>
    </row>
    <row r="2512">
      <c r="A2512" s="163" t="s">
        <v>222</v>
      </c>
      <c r="B2512" s="163"/>
      <c r="C2512" s="163"/>
      <c r="J2512" s="165"/>
      <c r="K2512" s="166"/>
      <c r="L2512" s="166"/>
    </row>
    <row r="2513">
      <c r="A2513" s="163" t="s">
        <v>222</v>
      </c>
      <c r="B2513" s="163"/>
      <c r="C2513" s="163"/>
      <c r="J2513" s="165"/>
      <c r="K2513" s="166"/>
      <c r="L2513" s="166"/>
    </row>
    <row r="2514">
      <c r="A2514" s="163" t="s">
        <v>222</v>
      </c>
      <c r="B2514" s="163"/>
      <c r="C2514" s="163"/>
      <c r="J2514" s="165"/>
      <c r="K2514" s="166"/>
      <c r="L2514" s="166"/>
    </row>
    <row r="2515">
      <c r="A2515" s="163" t="s">
        <v>222</v>
      </c>
      <c r="B2515" s="163"/>
      <c r="C2515" s="163"/>
      <c r="J2515" s="165"/>
      <c r="K2515" s="166"/>
      <c r="L2515" s="166"/>
    </row>
    <row r="2516">
      <c r="A2516" s="163" t="s">
        <v>222</v>
      </c>
      <c r="B2516" s="163"/>
      <c r="C2516" s="163"/>
      <c r="J2516" s="165"/>
      <c r="K2516" s="166"/>
      <c r="L2516" s="166"/>
    </row>
    <row r="2517">
      <c r="A2517" s="163" t="s">
        <v>222</v>
      </c>
      <c r="B2517" s="163"/>
      <c r="C2517" s="163"/>
      <c r="J2517" s="165"/>
      <c r="K2517" s="166"/>
      <c r="L2517" s="166"/>
    </row>
    <row r="2518">
      <c r="A2518" s="163" t="s">
        <v>222</v>
      </c>
      <c r="B2518" s="163"/>
      <c r="C2518" s="163"/>
      <c r="J2518" s="165"/>
      <c r="K2518" s="166"/>
      <c r="L2518" s="166"/>
    </row>
    <row r="2519">
      <c r="A2519" s="163" t="s">
        <v>222</v>
      </c>
      <c r="B2519" s="163"/>
      <c r="C2519" s="163"/>
      <c r="J2519" s="165"/>
      <c r="K2519" s="166"/>
      <c r="L2519" s="166"/>
    </row>
    <row r="2520">
      <c r="A2520" s="163" t="s">
        <v>222</v>
      </c>
      <c r="B2520" s="163"/>
      <c r="C2520" s="163"/>
      <c r="J2520" s="165"/>
      <c r="K2520" s="166"/>
      <c r="L2520" s="166"/>
    </row>
    <row r="2521">
      <c r="A2521" s="163" t="s">
        <v>222</v>
      </c>
      <c r="B2521" s="163"/>
      <c r="C2521" s="163"/>
      <c r="J2521" s="165"/>
      <c r="K2521" s="166"/>
      <c r="L2521" s="166"/>
    </row>
    <row r="2522">
      <c r="A2522" s="163" t="s">
        <v>222</v>
      </c>
      <c r="B2522" s="163"/>
      <c r="C2522" s="163"/>
      <c r="J2522" s="165"/>
      <c r="K2522" s="166"/>
      <c r="L2522" s="166"/>
    </row>
    <row r="2523">
      <c r="A2523" s="163" t="s">
        <v>222</v>
      </c>
      <c r="B2523" s="163"/>
      <c r="C2523" s="163"/>
      <c r="J2523" s="165"/>
      <c r="K2523" s="166"/>
      <c r="L2523" s="166"/>
    </row>
    <row r="2524">
      <c r="A2524" s="163" t="s">
        <v>222</v>
      </c>
      <c r="B2524" s="163"/>
      <c r="C2524" s="163"/>
      <c r="J2524" s="165"/>
      <c r="K2524" s="166"/>
      <c r="L2524" s="166"/>
    </row>
    <row r="2525">
      <c r="A2525" s="163" t="s">
        <v>222</v>
      </c>
      <c r="B2525" s="163"/>
      <c r="C2525" s="163"/>
      <c r="J2525" s="165"/>
      <c r="K2525" s="166"/>
      <c r="L2525" s="166"/>
    </row>
    <row r="2526">
      <c r="A2526" s="163" t="s">
        <v>222</v>
      </c>
      <c r="B2526" s="163"/>
      <c r="C2526" s="163"/>
      <c r="J2526" s="165"/>
      <c r="K2526" s="166"/>
      <c r="L2526" s="166"/>
    </row>
    <row r="2527">
      <c r="A2527" s="163" t="s">
        <v>222</v>
      </c>
      <c r="B2527" s="163"/>
      <c r="C2527" s="163"/>
      <c r="J2527" s="165"/>
      <c r="K2527" s="166"/>
      <c r="L2527" s="166"/>
    </row>
    <row r="2528">
      <c r="A2528" s="163" t="s">
        <v>222</v>
      </c>
      <c r="B2528" s="163"/>
      <c r="C2528" s="163"/>
      <c r="J2528" s="165"/>
      <c r="K2528" s="166"/>
      <c r="L2528" s="166"/>
    </row>
    <row r="2529">
      <c r="A2529" s="163" t="s">
        <v>222</v>
      </c>
      <c r="B2529" s="163"/>
      <c r="C2529" s="163"/>
      <c r="J2529" s="165"/>
      <c r="K2529" s="166"/>
      <c r="L2529" s="166"/>
    </row>
    <row r="2530">
      <c r="A2530" s="163" t="s">
        <v>222</v>
      </c>
      <c r="B2530" s="163"/>
      <c r="C2530" s="163"/>
      <c r="J2530" s="165"/>
      <c r="K2530" s="166"/>
      <c r="L2530" s="166"/>
    </row>
    <row r="2531">
      <c r="A2531" s="163" t="s">
        <v>222</v>
      </c>
      <c r="B2531" s="163"/>
      <c r="C2531" s="163"/>
      <c r="J2531" s="165"/>
      <c r="K2531" s="166"/>
      <c r="L2531" s="166"/>
    </row>
    <row r="2532">
      <c r="A2532" s="163" t="s">
        <v>222</v>
      </c>
      <c r="B2532" s="163"/>
      <c r="C2532" s="163"/>
      <c r="J2532" s="165"/>
      <c r="K2532" s="166"/>
      <c r="L2532" s="166"/>
    </row>
    <row r="2533">
      <c r="A2533" s="163" t="s">
        <v>222</v>
      </c>
      <c r="B2533" s="163"/>
      <c r="C2533" s="163"/>
      <c r="J2533" s="165"/>
      <c r="K2533" s="166"/>
      <c r="L2533" s="166"/>
    </row>
    <row r="2534">
      <c r="A2534" s="163" t="s">
        <v>222</v>
      </c>
      <c r="B2534" s="163"/>
      <c r="C2534" s="163"/>
      <c r="J2534" s="165"/>
      <c r="K2534" s="166"/>
      <c r="L2534" s="166"/>
    </row>
    <row r="2535">
      <c r="A2535" s="163" t="s">
        <v>222</v>
      </c>
      <c r="B2535" s="163"/>
      <c r="C2535" s="163"/>
      <c r="J2535" s="165"/>
      <c r="K2535" s="166"/>
      <c r="L2535" s="166"/>
    </row>
    <row r="2536">
      <c r="A2536" s="163" t="s">
        <v>222</v>
      </c>
      <c r="B2536" s="163"/>
      <c r="C2536" s="163"/>
      <c r="J2536" s="165"/>
      <c r="K2536" s="166"/>
      <c r="L2536" s="166"/>
    </row>
    <row r="2537">
      <c r="A2537" s="163" t="s">
        <v>222</v>
      </c>
      <c r="B2537" s="163"/>
      <c r="C2537" s="163"/>
      <c r="J2537" s="165"/>
      <c r="K2537" s="166"/>
      <c r="L2537" s="166"/>
    </row>
    <row r="2538">
      <c r="A2538" s="163" t="s">
        <v>222</v>
      </c>
      <c r="B2538" s="163"/>
      <c r="C2538" s="163"/>
      <c r="J2538" s="165"/>
      <c r="K2538" s="166"/>
      <c r="L2538" s="166"/>
    </row>
    <row r="2539">
      <c r="A2539" s="163" t="s">
        <v>222</v>
      </c>
      <c r="B2539" s="163"/>
      <c r="C2539" s="163"/>
      <c r="J2539" s="165"/>
      <c r="K2539" s="166"/>
      <c r="L2539" s="166"/>
    </row>
    <row r="2540">
      <c r="A2540" s="163" t="s">
        <v>222</v>
      </c>
      <c r="B2540" s="163"/>
      <c r="C2540" s="163"/>
      <c r="J2540" s="165"/>
      <c r="K2540" s="166"/>
      <c r="L2540" s="166"/>
    </row>
    <row r="2541">
      <c r="A2541" s="163" t="s">
        <v>222</v>
      </c>
      <c r="B2541" s="163"/>
      <c r="C2541" s="163"/>
      <c r="J2541" s="165"/>
      <c r="K2541" s="166"/>
      <c r="L2541" s="166"/>
    </row>
    <row r="2542">
      <c r="A2542" s="163" t="s">
        <v>222</v>
      </c>
      <c r="B2542" s="163"/>
      <c r="C2542" s="163"/>
      <c r="J2542" s="165"/>
      <c r="K2542" s="166"/>
      <c r="L2542" s="166"/>
    </row>
    <row r="2543">
      <c r="A2543" s="163" t="s">
        <v>222</v>
      </c>
      <c r="B2543" s="163"/>
      <c r="C2543" s="163"/>
      <c r="J2543" s="165"/>
      <c r="K2543" s="166"/>
      <c r="L2543" s="166"/>
    </row>
    <row r="2544">
      <c r="A2544" s="163" t="s">
        <v>222</v>
      </c>
      <c r="B2544" s="163"/>
      <c r="C2544" s="163"/>
      <c r="J2544" s="165"/>
      <c r="K2544" s="166"/>
      <c r="L2544" s="166"/>
    </row>
    <row r="2545">
      <c r="A2545" s="163" t="s">
        <v>222</v>
      </c>
      <c r="B2545" s="163"/>
      <c r="C2545" s="163"/>
      <c r="J2545" s="165"/>
      <c r="K2545" s="166"/>
      <c r="L2545" s="166"/>
    </row>
    <row r="2546">
      <c r="A2546" s="163" t="s">
        <v>222</v>
      </c>
      <c r="B2546" s="163"/>
      <c r="C2546" s="163"/>
      <c r="J2546" s="165"/>
      <c r="K2546" s="166"/>
      <c r="L2546" s="166"/>
    </row>
    <row r="2547">
      <c r="A2547" s="163" t="s">
        <v>222</v>
      </c>
      <c r="B2547" s="163"/>
      <c r="C2547" s="163"/>
      <c r="J2547" s="165"/>
      <c r="K2547" s="166"/>
      <c r="L2547" s="166"/>
    </row>
    <row r="2548">
      <c r="A2548" s="163" t="s">
        <v>222</v>
      </c>
      <c r="B2548" s="163"/>
      <c r="C2548" s="163"/>
      <c r="J2548" s="165"/>
      <c r="K2548" s="166"/>
      <c r="L2548" s="166"/>
    </row>
    <row r="2549">
      <c r="A2549" s="163" t="s">
        <v>222</v>
      </c>
      <c r="B2549" s="163"/>
      <c r="C2549" s="163"/>
      <c r="J2549" s="165"/>
      <c r="K2549" s="166"/>
      <c r="L2549" s="166"/>
    </row>
    <row r="2550">
      <c r="A2550" s="163" t="s">
        <v>222</v>
      </c>
      <c r="B2550" s="163"/>
      <c r="C2550" s="163"/>
      <c r="J2550" s="165"/>
      <c r="K2550" s="166"/>
      <c r="L2550" s="166"/>
    </row>
    <row r="2551">
      <c r="A2551" s="163" t="s">
        <v>222</v>
      </c>
      <c r="B2551" s="163"/>
      <c r="C2551" s="163"/>
      <c r="J2551" s="165"/>
      <c r="K2551" s="166"/>
      <c r="L2551" s="166"/>
    </row>
    <row r="2552">
      <c r="A2552" s="163" t="s">
        <v>222</v>
      </c>
      <c r="B2552" s="163"/>
      <c r="C2552" s="163"/>
      <c r="J2552" s="165"/>
      <c r="K2552" s="166"/>
      <c r="L2552" s="166"/>
    </row>
    <row r="2553">
      <c r="A2553" s="163" t="s">
        <v>222</v>
      </c>
      <c r="B2553" s="163"/>
      <c r="C2553" s="163"/>
      <c r="J2553" s="165"/>
      <c r="K2553" s="166"/>
      <c r="L2553" s="166"/>
    </row>
    <row r="2554">
      <c r="A2554" s="163" t="s">
        <v>222</v>
      </c>
      <c r="B2554" s="163"/>
      <c r="C2554" s="163"/>
      <c r="J2554" s="165"/>
      <c r="K2554" s="166"/>
      <c r="L2554" s="166"/>
    </row>
    <row r="2555">
      <c r="A2555" s="163" t="s">
        <v>222</v>
      </c>
      <c r="B2555" s="163"/>
      <c r="C2555" s="163"/>
      <c r="J2555" s="165"/>
      <c r="K2555" s="166"/>
      <c r="L2555" s="166"/>
    </row>
    <row r="2556">
      <c r="A2556" s="163" t="s">
        <v>222</v>
      </c>
      <c r="B2556" s="163"/>
      <c r="C2556" s="163"/>
      <c r="J2556" s="165"/>
      <c r="K2556" s="166"/>
      <c r="L2556" s="166"/>
    </row>
    <row r="2557">
      <c r="A2557" s="163" t="s">
        <v>222</v>
      </c>
      <c r="B2557" s="163"/>
      <c r="C2557" s="163"/>
      <c r="J2557" s="165"/>
      <c r="K2557" s="166"/>
      <c r="L2557" s="166"/>
    </row>
    <row r="2558">
      <c r="A2558" s="163" t="s">
        <v>222</v>
      </c>
      <c r="B2558" s="163"/>
      <c r="C2558" s="163"/>
      <c r="J2558" s="165"/>
      <c r="K2558" s="166"/>
      <c r="L2558" s="166"/>
    </row>
    <row r="2559">
      <c r="A2559" s="163" t="s">
        <v>222</v>
      </c>
      <c r="B2559" s="163"/>
      <c r="C2559" s="163"/>
      <c r="J2559" s="165"/>
      <c r="K2559" s="166"/>
      <c r="L2559" s="166"/>
    </row>
    <row r="2560">
      <c r="A2560" s="163" t="s">
        <v>222</v>
      </c>
      <c r="B2560" s="163"/>
      <c r="C2560" s="163"/>
      <c r="J2560" s="165"/>
      <c r="K2560" s="166"/>
      <c r="L2560" s="166"/>
    </row>
    <row r="2561">
      <c r="A2561" s="163" t="s">
        <v>222</v>
      </c>
      <c r="B2561" s="163"/>
      <c r="C2561" s="163"/>
      <c r="J2561" s="165"/>
      <c r="K2561" s="166"/>
      <c r="L2561" s="166"/>
    </row>
    <row r="2562">
      <c r="A2562" s="163" t="s">
        <v>222</v>
      </c>
      <c r="B2562" s="163"/>
      <c r="C2562" s="163"/>
      <c r="J2562" s="165"/>
      <c r="K2562" s="166"/>
      <c r="L2562" s="166"/>
    </row>
    <row r="2563">
      <c r="A2563" s="163" t="s">
        <v>222</v>
      </c>
      <c r="B2563" s="163"/>
      <c r="C2563" s="163"/>
      <c r="J2563" s="165"/>
      <c r="K2563" s="166"/>
      <c r="L2563" s="166"/>
    </row>
    <row r="2564">
      <c r="A2564" s="163" t="s">
        <v>222</v>
      </c>
      <c r="B2564" s="163"/>
      <c r="C2564" s="163"/>
      <c r="J2564" s="165"/>
      <c r="K2564" s="166"/>
      <c r="L2564" s="166"/>
    </row>
    <row r="2565">
      <c r="A2565" s="163" t="s">
        <v>222</v>
      </c>
      <c r="B2565" s="163"/>
      <c r="C2565" s="163"/>
      <c r="J2565" s="165"/>
      <c r="K2565" s="166"/>
      <c r="L2565" s="166"/>
    </row>
    <row r="2566">
      <c r="A2566" s="163" t="s">
        <v>222</v>
      </c>
      <c r="B2566" s="163"/>
      <c r="C2566" s="163"/>
      <c r="J2566" s="165"/>
      <c r="K2566" s="166"/>
      <c r="L2566" s="166"/>
    </row>
    <row r="2567">
      <c r="A2567" s="163" t="s">
        <v>222</v>
      </c>
      <c r="B2567" s="163"/>
      <c r="C2567" s="163"/>
      <c r="J2567" s="165"/>
      <c r="K2567" s="166"/>
      <c r="L2567" s="166"/>
    </row>
    <row r="2568">
      <c r="A2568" s="163" t="s">
        <v>222</v>
      </c>
      <c r="B2568" s="163"/>
      <c r="C2568" s="163"/>
      <c r="J2568" s="165"/>
      <c r="K2568" s="166"/>
      <c r="L2568" s="166"/>
    </row>
    <row r="2569">
      <c r="A2569" s="163" t="s">
        <v>222</v>
      </c>
      <c r="B2569" s="163"/>
      <c r="C2569" s="163"/>
      <c r="J2569" s="165"/>
      <c r="K2569" s="166"/>
      <c r="L2569" s="166"/>
    </row>
    <row r="2570">
      <c r="A2570" s="163" t="s">
        <v>222</v>
      </c>
      <c r="B2570" s="163"/>
      <c r="C2570" s="163"/>
      <c r="J2570" s="165"/>
      <c r="K2570" s="166"/>
      <c r="L2570" s="166"/>
    </row>
    <row r="2571">
      <c r="A2571" s="163" t="s">
        <v>222</v>
      </c>
      <c r="B2571" s="163"/>
      <c r="C2571" s="163"/>
      <c r="J2571" s="165"/>
      <c r="K2571" s="166"/>
      <c r="L2571" s="166"/>
    </row>
    <row r="2572">
      <c r="A2572" s="163" t="s">
        <v>222</v>
      </c>
      <c r="B2572" s="163"/>
      <c r="C2572" s="163"/>
      <c r="J2572" s="165"/>
      <c r="K2572" s="166"/>
      <c r="L2572" s="166"/>
    </row>
    <row r="2573">
      <c r="A2573" s="163" t="s">
        <v>222</v>
      </c>
      <c r="B2573" s="163"/>
      <c r="C2573" s="163"/>
      <c r="J2573" s="165"/>
      <c r="K2573" s="166"/>
      <c r="L2573" s="166"/>
    </row>
    <row r="2574">
      <c r="A2574" s="163" t="s">
        <v>222</v>
      </c>
      <c r="B2574" s="163"/>
      <c r="C2574" s="163"/>
      <c r="J2574" s="165"/>
      <c r="K2574" s="166"/>
      <c r="L2574" s="166"/>
    </row>
    <row r="2575">
      <c r="A2575" s="163" t="s">
        <v>222</v>
      </c>
      <c r="B2575" s="163"/>
      <c r="C2575" s="163"/>
      <c r="J2575" s="165"/>
      <c r="K2575" s="166"/>
      <c r="L2575" s="166"/>
    </row>
    <row r="2576">
      <c r="A2576" s="163" t="s">
        <v>222</v>
      </c>
      <c r="B2576" s="163"/>
      <c r="C2576" s="163"/>
      <c r="J2576" s="165"/>
      <c r="K2576" s="166"/>
      <c r="L2576" s="166"/>
    </row>
    <row r="2577">
      <c r="A2577" s="163" t="s">
        <v>222</v>
      </c>
      <c r="B2577" s="163"/>
      <c r="C2577" s="163"/>
      <c r="J2577" s="165"/>
      <c r="K2577" s="166"/>
      <c r="L2577" s="166"/>
    </row>
    <row r="2578">
      <c r="A2578" s="163" t="s">
        <v>222</v>
      </c>
      <c r="B2578" s="163"/>
      <c r="C2578" s="163"/>
      <c r="J2578" s="165"/>
      <c r="K2578" s="166"/>
      <c r="L2578" s="166"/>
    </row>
    <row r="2579">
      <c r="A2579" s="163" t="s">
        <v>222</v>
      </c>
      <c r="B2579" s="163"/>
      <c r="C2579" s="163"/>
      <c r="J2579" s="165"/>
      <c r="K2579" s="166"/>
      <c r="L2579" s="166"/>
    </row>
    <row r="2580">
      <c r="A2580" s="163" t="s">
        <v>222</v>
      </c>
      <c r="B2580" s="163"/>
      <c r="C2580" s="163"/>
      <c r="J2580" s="165"/>
      <c r="K2580" s="166"/>
      <c r="L2580" s="166"/>
    </row>
    <row r="2581">
      <c r="A2581" s="163" t="s">
        <v>222</v>
      </c>
      <c r="B2581" s="163"/>
      <c r="C2581" s="163"/>
      <c r="J2581" s="165"/>
      <c r="K2581" s="166"/>
      <c r="L2581" s="166"/>
    </row>
    <row r="2582">
      <c r="A2582" s="163" t="s">
        <v>222</v>
      </c>
      <c r="B2582" s="163"/>
      <c r="C2582" s="163"/>
      <c r="J2582" s="165"/>
      <c r="K2582" s="166"/>
      <c r="L2582" s="166"/>
    </row>
    <row r="2583">
      <c r="A2583" s="163" t="s">
        <v>222</v>
      </c>
      <c r="B2583" s="163"/>
      <c r="C2583" s="163"/>
      <c r="J2583" s="165"/>
      <c r="K2583" s="166"/>
      <c r="L2583" s="166"/>
    </row>
    <row r="2584">
      <c r="A2584" s="163" t="s">
        <v>222</v>
      </c>
      <c r="B2584" s="163"/>
      <c r="C2584" s="163"/>
      <c r="J2584" s="165"/>
      <c r="K2584" s="166"/>
      <c r="L2584" s="166"/>
    </row>
    <row r="2585">
      <c r="A2585" s="163" t="s">
        <v>222</v>
      </c>
      <c r="B2585" s="163"/>
      <c r="C2585" s="163"/>
      <c r="J2585" s="165"/>
      <c r="K2585" s="166"/>
      <c r="L2585" s="166"/>
    </row>
    <row r="2586">
      <c r="A2586" s="163" t="s">
        <v>222</v>
      </c>
      <c r="B2586" s="163"/>
      <c r="C2586" s="163"/>
      <c r="J2586" s="165"/>
      <c r="K2586" s="166"/>
      <c r="L2586" s="166"/>
    </row>
    <row r="2587">
      <c r="A2587" s="163" t="s">
        <v>222</v>
      </c>
      <c r="B2587" s="163"/>
      <c r="C2587" s="163"/>
      <c r="J2587" s="165"/>
      <c r="K2587" s="166"/>
      <c r="L2587" s="166"/>
    </row>
    <row r="2588">
      <c r="A2588" s="163" t="s">
        <v>222</v>
      </c>
      <c r="B2588" s="163"/>
      <c r="C2588" s="163"/>
      <c r="J2588" s="165"/>
      <c r="K2588" s="166"/>
      <c r="L2588" s="166"/>
    </row>
    <row r="2589">
      <c r="A2589" s="163" t="s">
        <v>222</v>
      </c>
      <c r="B2589" s="163"/>
      <c r="C2589" s="163"/>
      <c r="J2589" s="165"/>
      <c r="K2589" s="166"/>
      <c r="L2589" s="166"/>
    </row>
    <row r="2590">
      <c r="A2590" s="163" t="s">
        <v>222</v>
      </c>
      <c r="B2590" s="163"/>
      <c r="C2590" s="163"/>
      <c r="J2590" s="165"/>
      <c r="K2590" s="166"/>
      <c r="L2590" s="166"/>
    </row>
    <row r="2591">
      <c r="A2591" s="163" t="s">
        <v>222</v>
      </c>
      <c r="B2591" s="163"/>
      <c r="C2591" s="163"/>
      <c r="J2591" s="165"/>
      <c r="K2591" s="166"/>
      <c r="L2591" s="166"/>
    </row>
    <row r="2592">
      <c r="A2592" s="163" t="s">
        <v>222</v>
      </c>
      <c r="B2592" s="163"/>
      <c r="C2592" s="163"/>
      <c r="J2592" s="165"/>
      <c r="K2592" s="166"/>
      <c r="L2592" s="166"/>
    </row>
    <row r="2593">
      <c r="A2593" s="163" t="s">
        <v>222</v>
      </c>
      <c r="B2593" s="163"/>
      <c r="C2593" s="163"/>
      <c r="J2593" s="165"/>
      <c r="K2593" s="166"/>
      <c r="L2593" s="166"/>
    </row>
    <row r="2594">
      <c r="A2594" s="163" t="s">
        <v>222</v>
      </c>
      <c r="B2594" s="163"/>
      <c r="C2594" s="163"/>
      <c r="J2594" s="165"/>
      <c r="K2594" s="166"/>
      <c r="L2594" s="166"/>
    </row>
    <row r="2595">
      <c r="A2595" s="163" t="s">
        <v>222</v>
      </c>
      <c r="B2595" s="163"/>
      <c r="C2595" s="163"/>
      <c r="J2595" s="165"/>
      <c r="K2595" s="166"/>
      <c r="L2595" s="166"/>
    </row>
    <row r="2596">
      <c r="A2596" s="163" t="s">
        <v>222</v>
      </c>
      <c r="B2596" s="163"/>
      <c r="C2596" s="163"/>
      <c r="J2596" s="165"/>
      <c r="K2596" s="166"/>
      <c r="L2596" s="166"/>
    </row>
    <row r="2597">
      <c r="A2597" s="163" t="s">
        <v>222</v>
      </c>
      <c r="B2597" s="163"/>
      <c r="C2597" s="163"/>
      <c r="J2597" s="165"/>
      <c r="K2597" s="166"/>
      <c r="L2597" s="166"/>
    </row>
    <row r="2598">
      <c r="A2598" s="163" t="s">
        <v>222</v>
      </c>
      <c r="B2598" s="163"/>
      <c r="C2598" s="163"/>
      <c r="J2598" s="165"/>
      <c r="K2598" s="166"/>
      <c r="L2598" s="166"/>
    </row>
    <row r="2599">
      <c r="A2599" s="163" t="s">
        <v>222</v>
      </c>
      <c r="B2599" s="163"/>
      <c r="C2599" s="163"/>
      <c r="J2599" s="165"/>
      <c r="K2599" s="166"/>
      <c r="L2599" s="166"/>
    </row>
    <row r="2600">
      <c r="A2600" s="163" t="s">
        <v>222</v>
      </c>
      <c r="B2600" s="163"/>
      <c r="C2600" s="163"/>
      <c r="J2600" s="165"/>
      <c r="K2600" s="166"/>
      <c r="L2600" s="166"/>
    </row>
    <row r="2601">
      <c r="A2601" s="163" t="s">
        <v>222</v>
      </c>
      <c r="B2601" s="163"/>
      <c r="C2601" s="163"/>
      <c r="J2601" s="165"/>
      <c r="K2601" s="166"/>
      <c r="L2601" s="166"/>
    </row>
    <row r="2602">
      <c r="A2602" s="163" t="s">
        <v>222</v>
      </c>
      <c r="B2602" s="163"/>
      <c r="C2602" s="163"/>
      <c r="J2602" s="165"/>
      <c r="K2602" s="166"/>
      <c r="L2602" s="166"/>
    </row>
    <row r="2603">
      <c r="A2603" s="163" t="s">
        <v>222</v>
      </c>
      <c r="B2603" s="163"/>
      <c r="C2603" s="163"/>
      <c r="J2603" s="165"/>
      <c r="K2603" s="166"/>
      <c r="L2603" s="166"/>
    </row>
    <row r="2604">
      <c r="A2604" s="163" t="s">
        <v>222</v>
      </c>
      <c r="B2604" s="163"/>
      <c r="C2604" s="163"/>
      <c r="J2604" s="165"/>
      <c r="K2604" s="166"/>
      <c r="L2604" s="166"/>
    </row>
    <row r="2605">
      <c r="A2605" s="163" t="s">
        <v>222</v>
      </c>
      <c r="B2605" s="163"/>
      <c r="C2605" s="163"/>
      <c r="J2605" s="165"/>
      <c r="K2605" s="166"/>
      <c r="L2605" s="166"/>
    </row>
    <row r="2606">
      <c r="A2606" s="163" t="s">
        <v>222</v>
      </c>
      <c r="B2606" s="163"/>
      <c r="C2606" s="163"/>
      <c r="J2606" s="165"/>
      <c r="K2606" s="166"/>
      <c r="L2606" s="166"/>
    </row>
    <row r="2607">
      <c r="A2607" s="163" t="s">
        <v>222</v>
      </c>
      <c r="B2607" s="163"/>
      <c r="C2607" s="163"/>
      <c r="J2607" s="165"/>
      <c r="K2607" s="166"/>
      <c r="L2607" s="166"/>
    </row>
    <row r="2608">
      <c r="A2608" s="163" t="s">
        <v>222</v>
      </c>
      <c r="B2608" s="163"/>
      <c r="C2608" s="163"/>
      <c r="J2608" s="165"/>
      <c r="K2608" s="166"/>
      <c r="L2608" s="166"/>
    </row>
    <row r="2609">
      <c r="A2609" s="163" t="s">
        <v>222</v>
      </c>
      <c r="B2609" s="163"/>
      <c r="C2609" s="163"/>
      <c r="J2609" s="165"/>
      <c r="K2609" s="166"/>
      <c r="L2609" s="166"/>
    </row>
    <row r="2610">
      <c r="A2610" s="163" t="s">
        <v>222</v>
      </c>
      <c r="B2610" s="163"/>
      <c r="C2610" s="163"/>
      <c r="J2610" s="165"/>
      <c r="K2610" s="166"/>
      <c r="L2610" s="166"/>
    </row>
    <row r="2611">
      <c r="A2611" s="163" t="s">
        <v>222</v>
      </c>
      <c r="B2611" s="163"/>
      <c r="C2611" s="163"/>
      <c r="J2611" s="165"/>
      <c r="K2611" s="166"/>
      <c r="L2611" s="166"/>
    </row>
    <row r="2612">
      <c r="A2612" s="163" t="s">
        <v>222</v>
      </c>
      <c r="B2612" s="163"/>
      <c r="C2612" s="163"/>
      <c r="J2612" s="165"/>
      <c r="K2612" s="166"/>
      <c r="L2612" s="166"/>
    </row>
    <row r="2613">
      <c r="A2613" s="163" t="s">
        <v>222</v>
      </c>
      <c r="B2613" s="163"/>
      <c r="C2613" s="163"/>
      <c r="J2613" s="165"/>
      <c r="K2613" s="166"/>
      <c r="L2613" s="166"/>
    </row>
    <row r="2614">
      <c r="A2614" s="163" t="s">
        <v>222</v>
      </c>
      <c r="B2614" s="163"/>
      <c r="C2614" s="163"/>
      <c r="J2614" s="165"/>
      <c r="K2614" s="166"/>
      <c r="L2614" s="166"/>
    </row>
    <row r="2615">
      <c r="A2615" s="163" t="s">
        <v>222</v>
      </c>
      <c r="B2615" s="163"/>
      <c r="C2615" s="163"/>
      <c r="J2615" s="165"/>
      <c r="K2615" s="166"/>
      <c r="L2615" s="166"/>
    </row>
    <row r="2616">
      <c r="A2616" s="163" t="s">
        <v>222</v>
      </c>
      <c r="B2616" s="163"/>
      <c r="C2616" s="163"/>
      <c r="J2616" s="165"/>
      <c r="K2616" s="166"/>
      <c r="L2616" s="166"/>
    </row>
    <row r="2617">
      <c r="A2617" s="163" t="s">
        <v>222</v>
      </c>
      <c r="B2617" s="163"/>
      <c r="C2617" s="163"/>
      <c r="J2617" s="165"/>
      <c r="K2617" s="166"/>
      <c r="L2617" s="166"/>
    </row>
    <row r="2618">
      <c r="A2618" s="163" t="s">
        <v>222</v>
      </c>
      <c r="B2618" s="163"/>
      <c r="C2618" s="163"/>
      <c r="J2618" s="165"/>
      <c r="K2618" s="166"/>
      <c r="L2618" s="166"/>
    </row>
    <row r="2619">
      <c r="A2619" s="163" t="s">
        <v>222</v>
      </c>
      <c r="B2619" s="163"/>
      <c r="C2619" s="163"/>
      <c r="J2619" s="165"/>
      <c r="K2619" s="166"/>
      <c r="L2619" s="166"/>
    </row>
    <row r="2620">
      <c r="A2620" s="163" t="s">
        <v>222</v>
      </c>
      <c r="B2620" s="163"/>
      <c r="C2620" s="163"/>
      <c r="J2620" s="165"/>
      <c r="K2620" s="166"/>
      <c r="L2620" s="166"/>
    </row>
    <row r="2621">
      <c r="A2621" s="163" t="s">
        <v>222</v>
      </c>
      <c r="B2621" s="163"/>
      <c r="C2621" s="163"/>
      <c r="J2621" s="165"/>
      <c r="K2621" s="166"/>
      <c r="L2621" s="166"/>
    </row>
    <row r="2622">
      <c r="A2622" s="163" t="s">
        <v>222</v>
      </c>
      <c r="B2622" s="163"/>
      <c r="C2622" s="163"/>
      <c r="J2622" s="165"/>
      <c r="K2622" s="166"/>
      <c r="L2622" s="166"/>
    </row>
    <row r="2623">
      <c r="A2623" s="163" t="s">
        <v>222</v>
      </c>
      <c r="B2623" s="163"/>
      <c r="C2623" s="163"/>
      <c r="J2623" s="165"/>
      <c r="K2623" s="166"/>
      <c r="L2623" s="166"/>
    </row>
    <row r="2624">
      <c r="A2624" s="163" t="s">
        <v>222</v>
      </c>
      <c r="B2624" s="163"/>
      <c r="C2624" s="163"/>
      <c r="J2624" s="165"/>
      <c r="K2624" s="166"/>
      <c r="L2624" s="166"/>
    </row>
    <row r="2625">
      <c r="A2625" s="163" t="s">
        <v>222</v>
      </c>
      <c r="B2625" s="163"/>
      <c r="C2625" s="163"/>
      <c r="J2625" s="165"/>
      <c r="K2625" s="166"/>
      <c r="L2625" s="166"/>
    </row>
    <row r="2626">
      <c r="A2626" s="163" t="s">
        <v>222</v>
      </c>
      <c r="B2626" s="163"/>
      <c r="C2626" s="163"/>
      <c r="J2626" s="165"/>
      <c r="K2626" s="166"/>
      <c r="L2626" s="166"/>
    </row>
    <row r="2627">
      <c r="A2627" s="163" t="s">
        <v>222</v>
      </c>
      <c r="B2627" s="163"/>
      <c r="C2627" s="163"/>
      <c r="J2627" s="165"/>
      <c r="K2627" s="166"/>
      <c r="L2627" s="166"/>
    </row>
    <row r="2628">
      <c r="A2628" s="163" t="s">
        <v>222</v>
      </c>
      <c r="B2628" s="163"/>
      <c r="C2628" s="163"/>
      <c r="J2628" s="165"/>
      <c r="K2628" s="166"/>
      <c r="L2628" s="166"/>
    </row>
    <row r="2629">
      <c r="A2629" s="163" t="s">
        <v>222</v>
      </c>
      <c r="B2629" s="163"/>
      <c r="C2629" s="163"/>
      <c r="J2629" s="165"/>
      <c r="K2629" s="166"/>
      <c r="L2629" s="166"/>
    </row>
    <row r="2630">
      <c r="A2630" s="163" t="s">
        <v>222</v>
      </c>
      <c r="B2630" s="163"/>
      <c r="C2630" s="163"/>
      <c r="J2630" s="165"/>
      <c r="K2630" s="166"/>
      <c r="L2630" s="166"/>
    </row>
    <row r="2631">
      <c r="A2631" s="163" t="s">
        <v>222</v>
      </c>
      <c r="B2631" s="163"/>
      <c r="C2631" s="163"/>
      <c r="J2631" s="165"/>
      <c r="K2631" s="166"/>
      <c r="L2631" s="166"/>
    </row>
    <row r="2632">
      <c r="A2632" s="163" t="s">
        <v>222</v>
      </c>
      <c r="B2632" s="163"/>
      <c r="C2632" s="163"/>
      <c r="J2632" s="165"/>
      <c r="K2632" s="166"/>
      <c r="L2632" s="166"/>
    </row>
    <row r="2633">
      <c r="A2633" s="163" t="s">
        <v>222</v>
      </c>
      <c r="B2633" s="163"/>
      <c r="C2633" s="163"/>
      <c r="J2633" s="165"/>
      <c r="K2633" s="166"/>
      <c r="L2633" s="166"/>
    </row>
    <row r="2634">
      <c r="A2634" s="163" t="s">
        <v>222</v>
      </c>
      <c r="B2634" s="163"/>
      <c r="C2634" s="163"/>
      <c r="J2634" s="165"/>
      <c r="K2634" s="166"/>
      <c r="L2634" s="166"/>
    </row>
    <row r="2635">
      <c r="A2635" s="163" t="s">
        <v>222</v>
      </c>
      <c r="B2635" s="163"/>
      <c r="C2635" s="163"/>
      <c r="J2635" s="165"/>
      <c r="K2635" s="166"/>
      <c r="L2635" s="166"/>
    </row>
    <row r="2636">
      <c r="A2636" s="163" t="s">
        <v>222</v>
      </c>
      <c r="B2636" s="163"/>
      <c r="C2636" s="163"/>
      <c r="J2636" s="165"/>
      <c r="K2636" s="166"/>
      <c r="L2636" s="166"/>
    </row>
    <row r="2637">
      <c r="A2637" s="163" t="s">
        <v>222</v>
      </c>
      <c r="B2637" s="163"/>
      <c r="C2637" s="163"/>
      <c r="J2637" s="165"/>
      <c r="K2637" s="166"/>
      <c r="L2637" s="166"/>
    </row>
    <row r="2638">
      <c r="A2638" s="163" t="s">
        <v>222</v>
      </c>
      <c r="B2638" s="163"/>
      <c r="C2638" s="163"/>
      <c r="J2638" s="165"/>
      <c r="K2638" s="166"/>
      <c r="L2638" s="166"/>
    </row>
    <row r="2639">
      <c r="A2639" s="163" t="s">
        <v>222</v>
      </c>
      <c r="B2639" s="163"/>
      <c r="C2639" s="163"/>
      <c r="J2639" s="165"/>
      <c r="K2639" s="166"/>
      <c r="L2639" s="166"/>
    </row>
    <row r="2640">
      <c r="A2640" s="163" t="s">
        <v>222</v>
      </c>
      <c r="B2640" s="163"/>
      <c r="C2640" s="163"/>
      <c r="J2640" s="165"/>
      <c r="K2640" s="166"/>
      <c r="L2640" s="166"/>
    </row>
    <row r="2641">
      <c r="A2641" s="163" t="s">
        <v>222</v>
      </c>
      <c r="B2641" s="163"/>
      <c r="C2641" s="163"/>
      <c r="J2641" s="165"/>
      <c r="K2641" s="166"/>
      <c r="L2641" s="166"/>
    </row>
    <row r="2642">
      <c r="A2642" s="163" t="s">
        <v>222</v>
      </c>
      <c r="B2642" s="163"/>
      <c r="C2642" s="163"/>
      <c r="J2642" s="165"/>
      <c r="K2642" s="166"/>
      <c r="L2642" s="166"/>
    </row>
    <row r="2643">
      <c r="A2643" s="163" t="s">
        <v>222</v>
      </c>
      <c r="B2643" s="163"/>
      <c r="C2643" s="163"/>
      <c r="J2643" s="165"/>
      <c r="K2643" s="166"/>
      <c r="L2643" s="166"/>
    </row>
    <row r="2644">
      <c r="A2644" s="163" t="s">
        <v>222</v>
      </c>
      <c r="B2644" s="163"/>
      <c r="C2644" s="163"/>
      <c r="J2644" s="165"/>
      <c r="K2644" s="166"/>
      <c r="L2644" s="166"/>
    </row>
    <row r="2645">
      <c r="A2645" s="163" t="s">
        <v>222</v>
      </c>
      <c r="B2645" s="163"/>
      <c r="C2645" s="163"/>
      <c r="J2645" s="165"/>
      <c r="K2645" s="166"/>
      <c r="L2645" s="166"/>
    </row>
    <row r="2646">
      <c r="A2646" s="163" t="s">
        <v>222</v>
      </c>
      <c r="B2646" s="163"/>
      <c r="C2646" s="163"/>
      <c r="J2646" s="165"/>
      <c r="K2646" s="166"/>
      <c r="L2646" s="166"/>
    </row>
    <row r="2647">
      <c r="A2647" s="163" t="s">
        <v>222</v>
      </c>
      <c r="B2647" s="163"/>
      <c r="C2647" s="163"/>
      <c r="J2647" s="165"/>
      <c r="K2647" s="166"/>
      <c r="L2647" s="166"/>
    </row>
    <row r="2648">
      <c r="A2648" s="163" t="s">
        <v>222</v>
      </c>
      <c r="B2648" s="163"/>
      <c r="C2648" s="163"/>
      <c r="J2648" s="165"/>
      <c r="K2648" s="166"/>
      <c r="L2648" s="166"/>
    </row>
    <row r="2649">
      <c r="A2649" s="163" t="s">
        <v>222</v>
      </c>
      <c r="B2649" s="163"/>
      <c r="C2649" s="163"/>
      <c r="J2649" s="165"/>
      <c r="K2649" s="166"/>
      <c r="L2649" s="166"/>
    </row>
    <row r="2650">
      <c r="A2650" s="163" t="s">
        <v>222</v>
      </c>
      <c r="B2650" s="163"/>
      <c r="C2650" s="163"/>
      <c r="J2650" s="165"/>
      <c r="K2650" s="166"/>
      <c r="L2650" s="166"/>
    </row>
    <row r="2651">
      <c r="A2651" s="163" t="s">
        <v>222</v>
      </c>
      <c r="B2651" s="163"/>
      <c r="C2651" s="163"/>
      <c r="J2651" s="165"/>
      <c r="K2651" s="166"/>
      <c r="L2651" s="166"/>
    </row>
    <row r="2652">
      <c r="A2652" s="163" t="s">
        <v>222</v>
      </c>
      <c r="B2652" s="163"/>
      <c r="C2652" s="163"/>
      <c r="J2652" s="165"/>
      <c r="K2652" s="166"/>
      <c r="L2652" s="166"/>
    </row>
    <row r="2653">
      <c r="A2653" s="163" t="s">
        <v>222</v>
      </c>
      <c r="B2653" s="163"/>
      <c r="C2653" s="163"/>
      <c r="J2653" s="165"/>
      <c r="K2653" s="166"/>
      <c r="L2653" s="166"/>
    </row>
    <row r="2654">
      <c r="A2654" s="163" t="s">
        <v>222</v>
      </c>
      <c r="B2654" s="163"/>
      <c r="C2654" s="163"/>
      <c r="J2654" s="165"/>
      <c r="K2654" s="166"/>
      <c r="L2654" s="166"/>
    </row>
    <row r="2655">
      <c r="A2655" s="163" t="s">
        <v>222</v>
      </c>
      <c r="B2655" s="163"/>
      <c r="C2655" s="163"/>
      <c r="J2655" s="165"/>
      <c r="K2655" s="166"/>
      <c r="L2655" s="166"/>
    </row>
    <row r="2656">
      <c r="A2656" s="163" t="s">
        <v>222</v>
      </c>
      <c r="B2656" s="163"/>
      <c r="C2656" s="163"/>
      <c r="J2656" s="165"/>
      <c r="K2656" s="166"/>
      <c r="L2656" s="166"/>
    </row>
    <row r="2657">
      <c r="A2657" s="163" t="s">
        <v>222</v>
      </c>
      <c r="B2657" s="163"/>
      <c r="C2657" s="163"/>
      <c r="J2657" s="165"/>
      <c r="K2657" s="166"/>
      <c r="L2657" s="166"/>
    </row>
    <row r="2658">
      <c r="A2658" s="163" t="s">
        <v>222</v>
      </c>
      <c r="B2658" s="163"/>
      <c r="C2658" s="163"/>
      <c r="J2658" s="165"/>
      <c r="K2658" s="166"/>
      <c r="L2658" s="166"/>
    </row>
    <row r="2659">
      <c r="A2659" s="163" t="s">
        <v>222</v>
      </c>
      <c r="B2659" s="163"/>
      <c r="C2659" s="163"/>
      <c r="J2659" s="165"/>
      <c r="K2659" s="166"/>
      <c r="L2659" s="166"/>
    </row>
    <row r="2660">
      <c r="A2660" s="163" t="s">
        <v>222</v>
      </c>
      <c r="B2660" s="163"/>
      <c r="C2660" s="163"/>
      <c r="J2660" s="165"/>
      <c r="K2660" s="166"/>
      <c r="L2660" s="166"/>
    </row>
    <row r="2661">
      <c r="A2661" s="163" t="s">
        <v>222</v>
      </c>
      <c r="B2661" s="163"/>
      <c r="C2661" s="163"/>
      <c r="J2661" s="165"/>
      <c r="K2661" s="166"/>
      <c r="L2661" s="166"/>
    </row>
    <row r="2662">
      <c r="A2662" s="163" t="s">
        <v>222</v>
      </c>
      <c r="B2662" s="163"/>
      <c r="C2662" s="163"/>
      <c r="J2662" s="165"/>
      <c r="K2662" s="166"/>
      <c r="L2662" s="166"/>
    </row>
    <row r="2663">
      <c r="A2663" s="163" t="s">
        <v>222</v>
      </c>
      <c r="B2663" s="163"/>
      <c r="C2663" s="163"/>
      <c r="J2663" s="165"/>
      <c r="K2663" s="166"/>
      <c r="L2663" s="166"/>
    </row>
    <row r="2664">
      <c r="A2664" s="163" t="s">
        <v>222</v>
      </c>
      <c r="B2664" s="163"/>
      <c r="C2664" s="163"/>
      <c r="J2664" s="165"/>
      <c r="K2664" s="166"/>
      <c r="L2664" s="166"/>
    </row>
    <row r="2665">
      <c r="A2665" s="163" t="s">
        <v>222</v>
      </c>
      <c r="B2665" s="163"/>
      <c r="C2665" s="163"/>
      <c r="J2665" s="165"/>
      <c r="K2665" s="166"/>
      <c r="L2665" s="166"/>
    </row>
    <row r="2666">
      <c r="A2666" s="163" t="s">
        <v>222</v>
      </c>
      <c r="B2666" s="163"/>
      <c r="C2666" s="163"/>
      <c r="J2666" s="165"/>
      <c r="K2666" s="166"/>
      <c r="L2666" s="166"/>
    </row>
    <row r="2667">
      <c r="A2667" s="163" t="s">
        <v>222</v>
      </c>
      <c r="B2667" s="163"/>
      <c r="C2667" s="163"/>
      <c r="J2667" s="165"/>
      <c r="K2667" s="166"/>
      <c r="L2667" s="166"/>
    </row>
    <row r="2668">
      <c r="A2668" s="163" t="s">
        <v>222</v>
      </c>
      <c r="B2668" s="163"/>
      <c r="C2668" s="163"/>
      <c r="J2668" s="165"/>
      <c r="K2668" s="166"/>
      <c r="L2668" s="166"/>
    </row>
    <row r="2669">
      <c r="A2669" s="163" t="s">
        <v>222</v>
      </c>
      <c r="B2669" s="163"/>
      <c r="C2669" s="163"/>
      <c r="J2669" s="165"/>
      <c r="K2669" s="166"/>
      <c r="L2669" s="166"/>
    </row>
    <row r="2670">
      <c r="A2670" s="163" t="s">
        <v>222</v>
      </c>
      <c r="B2670" s="163"/>
      <c r="C2670" s="163"/>
      <c r="J2670" s="165"/>
      <c r="K2670" s="166"/>
      <c r="L2670" s="166"/>
    </row>
    <row r="2671">
      <c r="A2671" s="163" t="s">
        <v>222</v>
      </c>
      <c r="B2671" s="163"/>
      <c r="C2671" s="163"/>
      <c r="J2671" s="165"/>
      <c r="K2671" s="166"/>
      <c r="L2671" s="166"/>
    </row>
    <row r="2672">
      <c r="A2672" s="163" t="s">
        <v>222</v>
      </c>
      <c r="B2672" s="163"/>
      <c r="C2672" s="163"/>
      <c r="J2672" s="165"/>
      <c r="K2672" s="166"/>
      <c r="L2672" s="166"/>
    </row>
    <row r="2673">
      <c r="A2673" s="163" t="s">
        <v>222</v>
      </c>
      <c r="B2673" s="163"/>
      <c r="C2673" s="163"/>
      <c r="J2673" s="165"/>
      <c r="K2673" s="166"/>
      <c r="L2673" s="166"/>
    </row>
    <row r="2674">
      <c r="A2674" s="163" t="s">
        <v>222</v>
      </c>
      <c r="B2674" s="163"/>
      <c r="C2674" s="163"/>
      <c r="J2674" s="165"/>
      <c r="K2674" s="166"/>
      <c r="L2674" s="166"/>
    </row>
    <row r="2675">
      <c r="A2675" s="163" t="s">
        <v>222</v>
      </c>
      <c r="B2675" s="163"/>
      <c r="C2675" s="163"/>
      <c r="J2675" s="165"/>
      <c r="K2675" s="166"/>
      <c r="L2675" s="166"/>
    </row>
    <row r="2676">
      <c r="A2676" s="163" t="s">
        <v>222</v>
      </c>
      <c r="B2676" s="163"/>
      <c r="C2676" s="163"/>
      <c r="J2676" s="165"/>
      <c r="K2676" s="166"/>
      <c r="L2676" s="166"/>
    </row>
    <row r="2677">
      <c r="A2677" s="163" t="s">
        <v>222</v>
      </c>
      <c r="B2677" s="163"/>
      <c r="C2677" s="163"/>
      <c r="J2677" s="165"/>
      <c r="K2677" s="166"/>
      <c r="L2677" s="166"/>
    </row>
    <row r="2678">
      <c r="A2678" s="163" t="s">
        <v>222</v>
      </c>
      <c r="B2678" s="163"/>
      <c r="C2678" s="163"/>
      <c r="J2678" s="165"/>
      <c r="K2678" s="166"/>
      <c r="L2678" s="166"/>
    </row>
    <row r="2679">
      <c r="A2679" s="163" t="s">
        <v>222</v>
      </c>
      <c r="B2679" s="163"/>
      <c r="C2679" s="163"/>
      <c r="J2679" s="165"/>
      <c r="K2679" s="166"/>
      <c r="L2679" s="166"/>
    </row>
    <row r="2680">
      <c r="A2680" s="163" t="s">
        <v>222</v>
      </c>
      <c r="B2680" s="163"/>
      <c r="C2680" s="163"/>
      <c r="J2680" s="165"/>
      <c r="K2680" s="166"/>
      <c r="L2680" s="166"/>
    </row>
    <row r="2681">
      <c r="A2681" s="163" t="s">
        <v>222</v>
      </c>
      <c r="B2681" s="163"/>
      <c r="C2681" s="163"/>
      <c r="J2681" s="165"/>
      <c r="K2681" s="166"/>
      <c r="L2681" s="166"/>
    </row>
    <row r="2682">
      <c r="A2682" s="163" t="s">
        <v>222</v>
      </c>
      <c r="B2682" s="163"/>
      <c r="C2682" s="163"/>
      <c r="J2682" s="165"/>
      <c r="K2682" s="166"/>
      <c r="L2682" s="166"/>
    </row>
    <row r="2683">
      <c r="A2683" s="163" t="s">
        <v>222</v>
      </c>
      <c r="B2683" s="163"/>
      <c r="C2683" s="163"/>
      <c r="J2683" s="165"/>
      <c r="K2683" s="166"/>
      <c r="L2683" s="166"/>
    </row>
    <row r="2684">
      <c r="A2684" s="163" t="s">
        <v>222</v>
      </c>
      <c r="B2684" s="163"/>
      <c r="C2684" s="163"/>
      <c r="J2684" s="165"/>
      <c r="K2684" s="166"/>
      <c r="L2684" s="166"/>
    </row>
    <row r="2685">
      <c r="A2685" s="163" t="s">
        <v>222</v>
      </c>
      <c r="B2685" s="163"/>
      <c r="C2685" s="163"/>
      <c r="J2685" s="165"/>
      <c r="K2685" s="166"/>
      <c r="L2685" s="166"/>
    </row>
    <row r="2686">
      <c r="A2686" s="163" t="s">
        <v>222</v>
      </c>
      <c r="B2686" s="163"/>
      <c r="C2686" s="163"/>
      <c r="J2686" s="165"/>
      <c r="K2686" s="166"/>
      <c r="L2686" s="166"/>
    </row>
    <row r="2687">
      <c r="A2687" s="163" t="s">
        <v>222</v>
      </c>
      <c r="B2687" s="163"/>
      <c r="C2687" s="163"/>
      <c r="J2687" s="165"/>
      <c r="K2687" s="166"/>
      <c r="L2687" s="166"/>
    </row>
    <row r="2688">
      <c r="A2688" s="163" t="s">
        <v>222</v>
      </c>
      <c r="B2688" s="163"/>
      <c r="C2688" s="163"/>
      <c r="J2688" s="165"/>
      <c r="K2688" s="166"/>
      <c r="L2688" s="166"/>
    </row>
    <row r="2689">
      <c r="A2689" s="163" t="s">
        <v>222</v>
      </c>
      <c r="B2689" s="163"/>
      <c r="C2689" s="163"/>
      <c r="J2689" s="165"/>
      <c r="K2689" s="166"/>
      <c r="L2689" s="166"/>
    </row>
    <row r="2690">
      <c r="A2690" s="163" t="s">
        <v>222</v>
      </c>
      <c r="B2690" s="163"/>
      <c r="C2690" s="163"/>
      <c r="J2690" s="165"/>
      <c r="K2690" s="166"/>
      <c r="L2690" s="166"/>
    </row>
    <row r="2691">
      <c r="A2691" s="163" t="s">
        <v>222</v>
      </c>
      <c r="B2691" s="163"/>
      <c r="C2691" s="163"/>
      <c r="J2691" s="165"/>
      <c r="K2691" s="166"/>
      <c r="L2691" s="166"/>
    </row>
    <row r="2692">
      <c r="A2692" s="163" t="s">
        <v>222</v>
      </c>
      <c r="B2692" s="163"/>
      <c r="C2692" s="163"/>
      <c r="J2692" s="165"/>
      <c r="K2692" s="166"/>
      <c r="L2692" s="166"/>
    </row>
    <row r="2693">
      <c r="A2693" s="163" t="s">
        <v>222</v>
      </c>
      <c r="B2693" s="163"/>
      <c r="C2693" s="163"/>
      <c r="J2693" s="165"/>
      <c r="K2693" s="166"/>
      <c r="L2693" s="166"/>
    </row>
    <row r="2694">
      <c r="A2694" s="163" t="s">
        <v>222</v>
      </c>
      <c r="B2694" s="163"/>
      <c r="C2694" s="163"/>
      <c r="J2694" s="165"/>
      <c r="K2694" s="166"/>
      <c r="L2694" s="166"/>
    </row>
    <row r="2695">
      <c r="A2695" s="163" t="s">
        <v>222</v>
      </c>
      <c r="B2695" s="163"/>
      <c r="C2695" s="163"/>
      <c r="J2695" s="165"/>
      <c r="K2695" s="166"/>
      <c r="L2695" s="166"/>
    </row>
    <row r="2696">
      <c r="A2696" s="163" t="s">
        <v>222</v>
      </c>
      <c r="B2696" s="163"/>
      <c r="C2696" s="163"/>
      <c r="J2696" s="165"/>
      <c r="K2696" s="166"/>
      <c r="L2696" s="166"/>
    </row>
    <row r="2697">
      <c r="A2697" s="163" t="s">
        <v>222</v>
      </c>
      <c r="B2697" s="163"/>
      <c r="C2697" s="163"/>
      <c r="J2697" s="165"/>
      <c r="K2697" s="166"/>
      <c r="L2697" s="166"/>
    </row>
    <row r="2698">
      <c r="A2698" s="163" t="s">
        <v>222</v>
      </c>
      <c r="B2698" s="163"/>
      <c r="C2698" s="163"/>
      <c r="J2698" s="165"/>
      <c r="K2698" s="166"/>
      <c r="L2698" s="166"/>
    </row>
    <row r="2699">
      <c r="A2699" s="163" t="s">
        <v>222</v>
      </c>
      <c r="B2699" s="163"/>
      <c r="C2699" s="163"/>
      <c r="J2699" s="165"/>
      <c r="K2699" s="166"/>
      <c r="L2699" s="166"/>
    </row>
    <row r="2700">
      <c r="A2700" s="163" t="s">
        <v>222</v>
      </c>
      <c r="B2700" s="163"/>
      <c r="C2700" s="163"/>
      <c r="J2700" s="165"/>
      <c r="K2700" s="166"/>
      <c r="L2700" s="166"/>
    </row>
    <row r="2701">
      <c r="A2701" s="163" t="s">
        <v>222</v>
      </c>
      <c r="B2701" s="163"/>
      <c r="C2701" s="163"/>
      <c r="J2701" s="165"/>
      <c r="K2701" s="166"/>
      <c r="L2701" s="166"/>
    </row>
    <row r="2702">
      <c r="A2702" s="163" t="s">
        <v>222</v>
      </c>
      <c r="B2702" s="163"/>
      <c r="C2702" s="163"/>
      <c r="J2702" s="165"/>
      <c r="K2702" s="166"/>
      <c r="L2702" s="166"/>
    </row>
    <row r="2703">
      <c r="A2703" s="163" t="s">
        <v>222</v>
      </c>
      <c r="B2703" s="163"/>
      <c r="C2703" s="163"/>
      <c r="J2703" s="165"/>
      <c r="K2703" s="166"/>
      <c r="L2703" s="166"/>
    </row>
    <row r="2704">
      <c r="A2704" s="163" t="s">
        <v>222</v>
      </c>
      <c r="B2704" s="163"/>
      <c r="C2704" s="163"/>
      <c r="J2704" s="165"/>
      <c r="K2704" s="166"/>
      <c r="L2704" s="166"/>
    </row>
    <row r="2705">
      <c r="A2705" s="163" t="s">
        <v>222</v>
      </c>
      <c r="B2705" s="163"/>
      <c r="C2705" s="163"/>
      <c r="J2705" s="165"/>
      <c r="K2705" s="166"/>
      <c r="L2705" s="166"/>
    </row>
    <row r="2706">
      <c r="A2706" s="163" t="s">
        <v>222</v>
      </c>
      <c r="B2706" s="163"/>
      <c r="C2706" s="163"/>
      <c r="J2706" s="165"/>
      <c r="K2706" s="166"/>
      <c r="L2706" s="166"/>
    </row>
    <row r="2707">
      <c r="A2707" s="163" t="s">
        <v>222</v>
      </c>
      <c r="B2707" s="163"/>
      <c r="C2707" s="163"/>
      <c r="J2707" s="165"/>
      <c r="K2707" s="166"/>
      <c r="L2707" s="166"/>
    </row>
    <row r="2708">
      <c r="A2708" s="163" t="s">
        <v>222</v>
      </c>
      <c r="B2708" s="163"/>
      <c r="C2708" s="163"/>
      <c r="J2708" s="165"/>
      <c r="K2708" s="166"/>
      <c r="L2708" s="166"/>
    </row>
    <row r="2709">
      <c r="A2709" s="163" t="s">
        <v>222</v>
      </c>
      <c r="B2709" s="163"/>
      <c r="C2709" s="163"/>
      <c r="J2709" s="165"/>
      <c r="K2709" s="166"/>
      <c r="L2709" s="166"/>
    </row>
    <row r="2710">
      <c r="A2710" s="163" t="s">
        <v>222</v>
      </c>
      <c r="B2710" s="163"/>
      <c r="C2710" s="163"/>
      <c r="J2710" s="165"/>
      <c r="K2710" s="166"/>
      <c r="L2710" s="166"/>
    </row>
    <row r="2711">
      <c r="A2711" s="163" t="s">
        <v>222</v>
      </c>
      <c r="B2711" s="163"/>
      <c r="C2711" s="163"/>
      <c r="J2711" s="165"/>
      <c r="K2711" s="166"/>
      <c r="L2711" s="166"/>
    </row>
    <row r="2712">
      <c r="A2712" s="163" t="s">
        <v>222</v>
      </c>
      <c r="B2712" s="163"/>
      <c r="C2712" s="163"/>
      <c r="J2712" s="165"/>
      <c r="K2712" s="166"/>
      <c r="L2712" s="166"/>
    </row>
    <row r="2713">
      <c r="A2713" s="163" t="s">
        <v>222</v>
      </c>
      <c r="B2713" s="163"/>
      <c r="C2713" s="163"/>
      <c r="J2713" s="165"/>
      <c r="K2713" s="166"/>
      <c r="L2713" s="166"/>
    </row>
    <row r="2714">
      <c r="A2714" s="163" t="s">
        <v>222</v>
      </c>
      <c r="B2714" s="163"/>
      <c r="C2714" s="163"/>
      <c r="J2714" s="165"/>
      <c r="K2714" s="166"/>
      <c r="L2714" s="166"/>
    </row>
    <row r="2715">
      <c r="A2715" s="163" t="s">
        <v>222</v>
      </c>
      <c r="B2715" s="163"/>
      <c r="C2715" s="163"/>
      <c r="J2715" s="165"/>
      <c r="K2715" s="166"/>
      <c r="L2715" s="166"/>
    </row>
    <row r="2716">
      <c r="A2716" s="163" t="s">
        <v>222</v>
      </c>
      <c r="B2716" s="163"/>
      <c r="C2716" s="163"/>
      <c r="J2716" s="165"/>
      <c r="K2716" s="166"/>
      <c r="L2716" s="166"/>
    </row>
    <row r="2717">
      <c r="A2717" s="163" t="s">
        <v>222</v>
      </c>
      <c r="B2717" s="163"/>
      <c r="C2717" s="163"/>
      <c r="J2717" s="165"/>
      <c r="K2717" s="166"/>
      <c r="L2717" s="166"/>
    </row>
    <row r="2718">
      <c r="A2718" s="163" t="s">
        <v>222</v>
      </c>
      <c r="B2718" s="163"/>
      <c r="C2718" s="163"/>
      <c r="J2718" s="165"/>
      <c r="K2718" s="166"/>
      <c r="L2718" s="166"/>
    </row>
    <row r="2719">
      <c r="A2719" s="163" t="s">
        <v>222</v>
      </c>
      <c r="B2719" s="163"/>
      <c r="C2719" s="163"/>
      <c r="J2719" s="165"/>
      <c r="K2719" s="166"/>
      <c r="L2719" s="166"/>
    </row>
    <row r="2720">
      <c r="A2720" s="163" t="s">
        <v>222</v>
      </c>
      <c r="B2720" s="163"/>
      <c r="C2720" s="163"/>
      <c r="J2720" s="165"/>
      <c r="K2720" s="166"/>
      <c r="L2720" s="166"/>
    </row>
    <row r="2721">
      <c r="A2721" s="163" t="s">
        <v>222</v>
      </c>
      <c r="B2721" s="163"/>
      <c r="C2721" s="163"/>
      <c r="J2721" s="165"/>
      <c r="K2721" s="166"/>
      <c r="L2721" s="166"/>
    </row>
    <row r="2722">
      <c r="A2722" s="163" t="s">
        <v>222</v>
      </c>
      <c r="B2722" s="163"/>
      <c r="C2722" s="163"/>
      <c r="J2722" s="165"/>
      <c r="K2722" s="166"/>
      <c r="L2722" s="166"/>
    </row>
    <row r="2723">
      <c r="A2723" s="163" t="s">
        <v>222</v>
      </c>
      <c r="B2723" s="163"/>
      <c r="C2723" s="163"/>
      <c r="J2723" s="165"/>
      <c r="K2723" s="166"/>
      <c r="L2723" s="166"/>
    </row>
    <row r="2724">
      <c r="A2724" s="163" t="s">
        <v>222</v>
      </c>
      <c r="B2724" s="163"/>
      <c r="C2724" s="163"/>
      <c r="J2724" s="165"/>
      <c r="K2724" s="166"/>
      <c r="L2724" s="166"/>
    </row>
    <row r="2725">
      <c r="A2725" s="163" t="s">
        <v>222</v>
      </c>
      <c r="B2725" s="163"/>
      <c r="C2725" s="163"/>
      <c r="J2725" s="165"/>
      <c r="K2725" s="166"/>
      <c r="L2725" s="166"/>
    </row>
    <row r="2726">
      <c r="A2726" s="163" t="s">
        <v>222</v>
      </c>
      <c r="B2726" s="163"/>
      <c r="C2726" s="163"/>
      <c r="J2726" s="165"/>
      <c r="K2726" s="166"/>
      <c r="L2726" s="166"/>
    </row>
    <row r="2727">
      <c r="A2727" s="163" t="s">
        <v>222</v>
      </c>
      <c r="B2727" s="163"/>
      <c r="C2727" s="163"/>
      <c r="J2727" s="165"/>
      <c r="K2727" s="166"/>
      <c r="L2727" s="166"/>
    </row>
    <row r="2728">
      <c r="A2728" s="163" t="s">
        <v>222</v>
      </c>
      <c r="B2728" s="163"/>
      <c r="C2728" s="163"/>
      <c r="J2728" s="165"/>
      <c r="K2728" s="166"/>
      <c r="L2728" s="166"/>
    </row>
    <row r="2729">
      <c r="A2729" s="163" t="s">
        <v>222</v>
      </c>
      <c r="B2729" s="163"/>
      <c r="C2729" s="163"/>
      <c r="J2729" s="165"/>
      <c r="K2729" s="166"/>
      <c r="L2729" s="166"/>
    </row>
    <row r="2730">
      <c r="A2730" s="163" t="s">
        <v>222</v>
      </c>
      <c r="B2730" s="163"/>
      <c r="C2730" s="163"/>
      <c r="J2730" s="165"/>
      <c r="K2730" s="166"/>
      <c r="L2730" s="166"/>
    </row>
    <row r="2731">
      <c r="A2731" s="163" t="s">
        <v>222</v>
      </c>
      <c r="B2731" s="163"/>
      <c r="C2731" s="163"/>
      <c r="J2731" s="165"/>
      <c r="K2731" s="166"/>
      <c r="L2731" s="166"/>
    </row>
    <row r="2732">
      <c r="A2732" s="163" t="s">
        <v>222</v>
      </c>
      <c r="B2732" s="163"/>
      <c r="C2732" s="163"/>
      <c r="J2732" s="165"/>
      <c r="K2732" s="166"/>
      <c r="L2732" s="166"/>
    </row>
    <row r="2733">
      <c r="A2733" s="163" t="s">
        <v>222</v>
      </c>
      <c r="B2733" s="163"/>
      <c r="C2733" s="163"/>
      <c r="J2733" s="165"/>
      <c r="K2733" s="166"/>
      <c r="L2733" s="166"/>
    </row>
    <row r="2734">
      <c r="A2734" s="163" t="s">
        <v>222</v>
      </c>
      <c r="B2734" s="163"/>
      <c r="C2734" s="163"/>
      <c r="J2734" s="165"/>
      <c r="K2734" s="166"/>
      <c r="L2734" s="166"/>
    </row>
    <row r="2735">
      <c r="A2735" s="163" t="s">
        <v>222</v>
      </c>
      <c r="B2735" s="163"/>
      <c r="C2735" s="163"/>
      <c r="J2735" s="165"/>
      <c r="K2735" s="166"/>
      <c r="L2735" s="166"/>
    </row>
    <row r="2736">
      <c r="A2736" s="163" t="s">
        <v>222</v>
      </c>
      <c r="B2736" s="163"/>
      <c r="C2736" s="163"/>
      <c r="J2736" s="165"/>
      <c r="K2736" s="166"/>
      <c r="L2736" s="166"/>
    </row>
    <row r="2737">
      <c r="A2737" s="163" t="s">
        <v>222</v>
      </c>
      <c r="B2737" s="163"/>
      <c r="C2737" s="163"/>
      <c r="J2737" s="165"/>
      <c r="K2737" s="166"/>
      <c r="L2737" s="166"/>
    </row>
    <row r="2738">
      <c r="A2738" s="163" t="s">
        <v>222</v>
      </c>
      <c r="B2738" s="163"/>
      <c r="C2738" s="163"/>
      <c r="J2738" s="165"/>
      <c r="K2738" s="166"/>
      <c r="L2738" s="166"/>
    </row>
    <row r="2739">
      <c r="A2739" s="163" t="s">
        <v>222</v>
      </c>
      <c r="B2739" s="163"/>
      <c r="C2739" s="163"/>
      <c r="J2739" s="165"/>
      <c r="K2739" s="166"/>
      <c r="L2739" s="166"/>
    </row>
    <row r="2740">
      <c r="A2740" s="163" t="s">
        <v>222</v>
      </c>
      <c r="B2740" s="163"/>
      <c r="C2740" s="163"/>
      <c r="J2740" s="165"/>
      <c r="K2740" s="166"/>
      <c r="L2740" s="166"/>
    </row>
    <row r="2741">
      <c r="A2741" s="163" t="s">
        <v>222</v>
      </c>
      <c r="B2741" s="163"/>
      <c r="C2741" s="163"/>
      <c r="J2741" s="165"/>
      <c r="K2741" s="166"/>
      <c r="L2741" s="166"/>
    </row>
    <row r="2742">
      <c r="A2742" s="163" t="s">
        <v>222</v>
      </c>
      <c r="B2742" s="163"/>
      <c r="C2742" s="163"/>
      <c r="J2742" s="165"/>
      <c r="K2742" s="166"/>
      <c r="L2742" s="166"/>
    </row>
    <row r="2743">
      <c r="A2743" s="163" t="s">
        <v>222</v>
      </c>
      <c r="B2743" s="163"/>
      <c r="C2743" s="163"/>
      <c r="J2743" s="165"/>
      <c r="K2743" s="166"/>
      <c r="L2743" s="166"/>
    </row>
    <row r="2744">
      <c r="A2744" s="163" t="s">
        <v>222</v>
      </c>
      <c r="B2744" s="163"/>
      <c r="C2744" s="163"/>
      <c r="J2744" s="165"/>
      <c r="K2744" s="166"/>
      <c r="L2744" s="166"/>
    </row>
    <row r="2745">
      <c r="A2745" s="163" t="s">
        <v>222</v>
      </c>
      <c r="B2745" s="163"/>
      <c r="C2745" s="163"/>
      <c r="J2745" s="165"/>
      <c r="K2745" s="166"/>
      <c r="L2745" s="166"/>
    </row>
    <row r="2746">
      <c r="A2746" s="163" t="s">
        <v>222</v>
      </c>
      <c r="B2746" s="163"/>
      <c r="C2746" s="163"/>
      <c r="J2746" s="165"/>
      <c r="K2746" s="166"/>
      <c r="L2746" s="166"/>
    </row>
    <row r="2747">
      <c r="A2747" s="163" t="s">
        <v>222</v>
      </c>
      <c r="B2747" s="163"/>
      <c r="C2747" s="163"/>
      <c r="J2747" s="165"/>
      <c r="K2747" s="166"/>
      <c r="L2747" s="166"/>
    </row>
    <row r="2748">
      <c r="A2748" s="163" t="s">
        <v>222</v>
      </c>
      <c r="B2748" s="163"/>
      <c r="C2748" s="163"/>
      <c r="J2748" s="165"/>
      <c r="K2748" s="166"/>
      <c r="L2748" s="166"/>
    </row>
    <row r="2749">
      <c r="A2749" s="163" t="s">
        <v>222</v>
      </c>
      <c r="B2749" s="163"/>
      <c r="C2749" s="163"/>
      <c r="J2749" s="165"/>
      <c r="K2749" s="166"/>
      <c r="L2749" s="166"/>
    </row>
    <row r="2750">
      <c r="A2750" s="163" t="s">
        <v>222</v>
      </c>
      <c r="B2750" s="163"/>
      <c r="C2750" s="163"/>
      <c r="J2750" s="165"/>
      <c r="K2750" s="166"/>
      <c r="L2750" s="166"/>
    </row>
    <row r="2751">
      <c r="A2751" s="163" t="s">
        <v>222</v>
      </c>
      <c r="B2751" s="163"/>
      <c r="C2751" s="163"/>
      <c r="J2751" s="165"/>
      <c r="K2751" s="166"/>
      <c r="L2751" s="166"/>
    </row>
    <row r="2752">
      <c r="A2752" s="163" t="s">
        <v>222</v>
      </c>
      <c r="B2752" s="163"/>
      <c r="C2752" s="163"/>
      <c r="J2752" s="165"/>
      <c r="K2752" s="166"/>
      <c r="L2752" s="166"/>
    </row>
    <row r="2753">
      <c r="A2753" s="163" t="s">
        <v>222</v>
      </c>
      <c r="B2753" s="163"/>
      <c r="C2753" s="163"/>
      <c r="J2753" s="165"/>
      <c r="K2753" s="166"/>
      <c r="L2753" s="166"/>
    </row>
    <row r="2754">
      <c r="A2754" s="163" t="s">
        <v>222</v>
      </c>
      <c r="B2754" s="163"/>
      <c r="C2754" s="163"/>
      <c r="J2754" s="165"/>
      <c r="K2754" s="166"/>
      <c r="L2754" s="166"/>
    </row>
    <row r="2755">
      <c r="A2755" s="163" t="s">
        <v>222</v>
      </c>
      <c r="B2755" s="163"/>
      <c r="C2755" s="163"/>
      <c r="J2755" s="165"/>
      <c r="K2755" s="166"/>
      <c r="L2755" s="166"/>
    </row>
    <row r="2756">
      <c r="A2756" s="163" t="s">
        <v>222</v>
      </c>
      <c r="B2756" s="163"/>
      <c r="C2756" s="163"/>
      <c r="J2756" s="165"/>
      <c r="K2756" s="166"/>
      <c r="L2756" s="166"/>
    </row>
    <row r="2757">
      <c r="A2757" s="163" t="s">
        <v>222</v>
      </c>
      <c r="B2757" s="163"/>
      <c r="C2757" s="163"/>
      <c r="J2757" s="165"/>
      <c r="K2757" s="166"/>
      <c r="L2757" s="166"/>
    </row>
    <row r="2758">
      <c r="A2758" s="163" t="s">
        <v>222</v>
      </c>
      <c r="B2758" s="163"/>
      <c r="C2758" s="163"/>
      <c r="J2758" s="165"/>
      <c r="K2758" s="166"/>
      <c r="L2758" s="166"/>
    </row>
    <row r="2759">
      <c r="A2759" s="163" t="s">
        <v>222</v>
      </c>
      <c r="B2759" s="163"/>
      <c r="C2759" s="163"/>
      <c r="J2759" s="165"/>
      <c r="K2759" s="166"/>
      <c r="L2759" s="166"/>
    </row>
    <row r="2760">
      <c r="A2760" s="163" t="s">
        <v>222</v>
      </c>
      <c r="B2760" s="163"/>
      <c r="C2760" s="163"/>
      <c r="J2760" s="165"/>
      <c r="K2760" s="166"/>
      <c r="L2760" s="166"/>
    </row>
    <row r="2761">
      <c r="A2761" s="163" t="s">
        <v>222</v>
      </c>
      <c r="B2761" s="163"/>
      <c r="C2761" s="163"/>
      <c r="J2761" s="165"/>
      <c r="K2761" s="166"/>
      <c r="L2761" s="166"/>
    </row>
    <row r="2762">
      <c r="A2762" s="163" t="s">
        <v>222</v>
      </c>
      <c r="B2762" s="163"/>
      <c r="C2762" s="163"/>
      <c r="J2762" s="165"/>
      <c r="K2762" s="166"/>
      <c r="L2762" s="166"/>
    </row>
    <row r="2763">
      <c r="A2763" s="163" t="s">
        <v>222</v>
      </c>
      <c r="B2763" s="163"/>
      <c r="C2763" s="163"/>
      <c r="J2763" s="165"/>
      <c r="K2763" s="166"/>
      <c r="L2763" s="166"/>
    </row>
    <row r="2764">
      <c r="A2764" s="163" t="s">
        <v>222</v>
      </c>
      <c r="B2764" s="163"/>
      <c r="C2764" s="163"/>
      <c r="J2764" s="165"/>
      <c r="K2764" s="166"/>
      <c r="L2764" s="166"/>
    </row>
    <row r="2765">
      <c r="A2765" s="163" t="s">
        <v>222</v>
      </c>
      <c r="B2765" s="163"/>
      <c r="C2765" s="163"/>
      <c r="J2765" s="165"/>
      <c r="K2765" s="166"/>
      <c r="L2765" s="166"/>
    </row>
    <row r="2766">
      <c r="A2766" s="163" t="s">
        <v>222</v>
      </c>
      <c r="B2766" s="163"/>
      <c r="C2766" s="163"/>
      <c r="J2766" s="165"/>
      <c r="K2766" s="166"/>
      <c r="L2766" s="166"/>
    </row>
    <row r="2767">
      <c r="A2767" s="163" t="s">
        <v>222</v>
      </c>
      <c r="B2767" s="163"/>
      <c r="C2767" s="163"/>
      <c r="J2767" s="165"/>
      <c r="K2767" s="166"/>
      <c r="L2767" s="166"/>
    </row>
    <row r="2768">
      <c r="A2768" s="163" t="s">
        <v>222</v>
      </c>
      <c r="B2768" s="163"/>
      <c r="C2768" s="163"/>
      <c r="J2768" s="165"/>
      <c r="K2768" s="166"/>
      <c r="L2768" s="166"/>
    </row>
    <row r="2769">
      <c r="A2769" s="163" t="s">
        <v>222</v>
      </c>
      <c r="B2769" s="163"/>
      <c r="C2769" s="163"/>
      <c r="J2769" s="165"/>
      <c r="K2769" s="166"/>
      <c r="L2769" s="166"/>
    </row>
    <row r="2770">
      <c r="A2770" s="163" t="s">
        <v>222</v>
      </c>
      <c r="B2770" s="163"/>
      <c r="C2770" s="163"/>
      <c r="J2770" s="165"/>
      <c r="K2770" s="166"/>
      <c r="L2770" s="166"/>
    </row>
    <row r="2771">
      <c r="A2771" s="163" t="s">
        <v>222</v>
      </c>
      <c r="B2771" s="163"/>
      <c r="C2771" s="163"/>
      <c r="J2771" s="165"/>
      <c r="K2771" s="166"/>
      <c r="L2771" s="166"/>
    </row>
    <row r="2772">
      <c r="A2772" s="163" t="s">
        <v>222</v>
      </c>
      <c r="B2772" s="163"/>
      <c r="C2772" s="163"/>
      <c r="J2772" s="165"/>
      <c r="K2772" s="166"/>
      <c r="L2772" s="166"/>
    </row>
    <row r="2773">
      <c r="A2773" s="163" t="s">
        <v>222</v>
      </c>
      <c r="B2773" s="163"/>
      <c r="C2773" s="163"/>
      <c r="J2773" s="165"/>
      <c r="K2773" s="166"/>
      <c r="L2773" s="166"/>
    </row>
    <row r="2774">
      <c r="A2774" s="163" t="s">
        <v>222</v>
      </c>
      <c r="B2774" s="163"/>
      <c r="C2774" s="163"/>
      <c r="J2774" s="165"/>
      <c r="K2774" s="166"/>
      <c r="L2774" s="166"/>
    </row>
    <row r="2775">
      <c r="A2775" s="163" t="s">
        <v>222</v>
      </c>
      <c r="B2775" s="163"/>
      <c r="C2775" s="163"/>
      <c r="J2775" s="165"/>
      <c r="K2775" s="166"/>
      <c r="L2775" s="166"/>
    </row>
    <row r="2776">
      <c r="A2776" s="163" t="s">
        <v>222</v>
      </c>
      <c r="B2776" s="163"/>
      <c r="C2776" s="163"/>
      <c r="J2776" s="165"/>
      <c r="K2776" s="166"/>
      <c r="L2776" s="166"/>
    </row>
    <row r="2777">
      <c r="A2777" s="163" t="s">
        <v>222</v>
      </c>
      <c r="B2777" s="163"/>
      <c r="C2777" s="163"/>
      <c r="J2777" s="165"/>
      <c r="K2777" s="166"/>
      <c r="L2777" s="166"/>
    </row>
    <row r="2778">
      <c r="A2778" s="163" t="s">
        <v>222</v>
      </c>
      <c r="B2778" s="163"/>
      <c r="C2778" s="163"/>
      <c r="J2778" s="165"/>
      <c r="K2778" s="166"/>
      <c r="L2778" s="166"/>
    </row>
    <row r="2779">
      <c r="A2779" s="163" t="s">
        <v>222</v>
      </c>
      <c r="B2779" s="163"/>
      <c r="C2779" s="163"/>
      <c r="J2779" s="165"/>
      <c r="K2779" s="166"/>
      <c r="L2779" s="166"/>
    </row>
    <row r="2780">
      <c r="A2780" s="163" t="s">
        <v>222</v>
      </c>
      <c r="B2780" s="163"/>
      <c r="C2780" s="163"/>
      <c r="J2780" s="165"/>
      <c r="K2780" s="166"/>
      <c r="L2780" s="166"/>
    </row>
    <row r="2781">
      <c r="A2781" s="163" t="s">
        <v>222</v>
      </c>
      <c r="B2781" s="163"/>
      <c r="C2781" s="163"/>
      <c r="J2781" s="165"/>
      <c r="K2781" s="166"/>
      <c r="L2781" s="166"/>
    </row>
    <row r="2782">
      <c r="A2782" s="163" t="s">
        <v>222</v>
      </c>
      <c r="B2782" s="163"/>
      <c r="C2782" s="163"/>
      <c r="J2782" s="165"/>
      <c r="K2782" s="166"/>
      <c r="L2782" s="166"/>
    </row>
    <row r="2783">
      <c r="A2783" s="163" t="s">
        <v>222</v>
      </c>
      <c r="B2783" s="163"/>
      <c r="C2783" s="163"/>
      <c r="J2783" s="165"/>
      <c r="K2783" s="166"/>
      <c r="L2783" s="166"/>
    </row>
    <row r="2784">
      <c r="A2784" s="163" t="s">
        <v>222</v>
      </c>
      <c r="B2784" s="163"/>
      <c r="C2784" s="163"/>
      <c r="J2784" s="165"/>
      <c r="K2784" s="166"/>
      <c r="L2784" s="166"/>
    </row>
    <row r="2785">
      <c r="A2785" s="163" t="s">
        <v>222</v>
      </c>
      <c r="B2785" s="163"/>
      <c r="C2785" s="163"/>
      <c r="J2785" s="165"/>
      <c r="K2785" s="166"/>
      <c r="L2785" s="166"/>
    </row>
    <row r="2786">
      <c r="A2786" s="163" t="s">
        <v>222</v>
      </c>
      <c r="B2786" s="163"/>
      <c r="C2786" s="163"/>
      <c r="J2786" s="165"/>
      <c r="K2786" s="166"/>
      <c r="L2786" s="166"/>
    </row>
    <row r="2787">
      <c r="A2787" s="163" t="s">
        <v>222</v>
      </c>
      <c r="B2787" s="163"/>
      <c r="C2787" s="163"/>
      <c r="J2787" s="165"/>
      <c r="K2787" s="166"/>
      <c r="L2787" s="166"/>
    </row>
    <row r="2788">
      <c r="A2788" s="163" t="s">
        <v>222</v>
      </c>
      <c r="B2788" s="163"/>
      <c r="C2788" s="163"/>
      <c r="J2788" s="165"/>
      <c r="K2788" s="166"/>
      <c r="L2788" s="166"/>
    </row>
    <row r="2789">
      <c r="A2789" s="163" t="s">
        <v>222</v>
      </c>
      <c r="B2789" s="163"/>
      <c r="C2789" s="163"/>
      <c r="J2789" s="165"/>
      <c r="K2789" s="166"/>
      <c r="L2789" s="166"/>
    </row>
    <row r="2790">
      <c r="A2790" s="163" t="s">
        <v>222</v>
      </c>
      <c r="B2790" s="163"/>
      <c r="C2790" s="163"/>
      <c r="J2790" s="165"/>
      <c r="K2790" s="166"/>
      <c r="L2790" s="166"/>
    </row>
    <row r="2791">
      <c r="A2791" s="163" t="s">
        <v>222</v>
      </c>
      <c r="B2791" s="163"/>
      <c r="C2791" s="163"/>
      <c r="J2791" s="165"/>
      <c r="K2791" s="166"/>
      <c r="L2791" s="166"/>
    </row>
    <row r="2792">
      <c r="A2792" s="163" t="s">
        <v>222</v>
      </c>
      <c r="B2792" s="163"/>
      <c r="C2792" s="163"/>
      <c r="J2792" s="165"/>
      <c r="K2792" s="166"/>
      <c r="L2792" s="166"/>
    </row>
    <row r="2793">
      <c r="A2793" s="163" t="s">
        <v>222</v>
      </c>
      <c r="B2793" s="163"/>
      <c r="C2793" s="163"/>
      <c r="J2793" s="165"/>
      <c r="K2793" s="166"/>
      <c r="L2793" s="166"/>
    </row>
    <row r="2794">
      <c r="A2794" s="163" t="s">
        <v>222</v>
      </c>
      <c r="B2794" s="163"/>
      <c r="C2794" s="163"/>
      <c r="J2794" s="165"/>
      <c r="K2794" s="166"/>
      <c r="L2794" s="166"/>
    </row>
    <row r="2795">
      <c r="A2795" s="163" t="s">
        <v>222</v>
      </c>
      <c r="B2795" s="163"/>
      <c r="C2795" s="163"/>
      <c r="J2795" s="165"/>
      <c r="K2795" s="166"/>
      <c r="L2795" s="166"/>
    </row>
    <row r="2796">
      <c r="A2796" s="163" t="s">
        <v>222</v>
      </c>
      <c r="B2796" s="163"/>
      <c r="C2796" s="163"/>
      <c r="J2796" s="165"/>
      <c r="K2796" s="166"/>
      <c r="L2796" s="166"/>
    </row>
    <row r="2797">
      <c r="A2797" s="163" t="s">
        <v>222</v>
      </c>
      <c r="B2797" s="163"/>
      <c r="C2797" s="163"/>
      <c r="J2797" s="165"/>
      <c r="K2797" s="166"/>
      <c r="L2797" s="166"/>
    </row>
    <row r="2798">
      <c r="A2798" s="163" t="s">
        <v>222</v>
      </c>
      <c r="B2798" s="163"/>
      <c r="C2798" s="163"/>
      <c r="J2798" s="165"/>
      <c r="K2798" s="166"/>
      <c r="L2798" s="166"/>
    </row>
    <row r="2799">
      <c r="A2799" s="163" t="s">
        <v>222</v>
      </c>
      <c r="B2799" s="163"/>
      <c r="C2799" s="163"/>
      <c r="J2799" s="165"/>
      <c r="K2799" s="166"/>
      <c r="L2799" s="166"/>
    </row>
    <row r="2800">
      <c r="A2800" s="163" t="s">
        <v>222</v>
      </c>
      <c r="B2800" s="163"/>
      <c r="C2800" s="163"/>
      <c r="J2800" s="165"/>
      <c r="K2800" s="166"/>
      <c r="L2800" s="166"/>
    </row>
    <row r="2801">
      <c r="A2801" s="163" t="s">
        <v>222</v>
      </c>
      <c r="B2801" s="163"/>
      <c r="C2801" s="163"/>
      <c r="J2801" s="165"/>
      <c r="K2801" s="166"/>
      <c r="L2801" s="166"/>
    </row>
    <row r="2802">
      <c r="A2802" s="163" t="s">
        <v>222</v>
      </c>
      <c r="B2802" s="163"/>
      <c r="C2802" s="163"/>
      <c r="J2802" s="165"/>
      <c r="K2802" s="166"/>
      <c r="L2802" s="166"/>
    </row>
    <row r="2803">
      <c r="A2803" s="163" t="s">
        <v>222</v>
      </c>
      <c r="B2803" s="163"/>
      <c r="C2803" s="163"/>
      <c r="J2803" s="165"/>
      <c r="K2803" s="166"/>
      <c r="L2803" s="166"/>
    </row>
    <row r="2804">
      <c r="A2804" s="163" t="s">
        <v>222</v>
      </c>
      <c r="B2804" s="163"/>
      <c r="C2804" s="163"/>
      <c r="J2804" s="165"/>
      <c r="K2804" s="166"/>
      <c r="L2804" s="166"/>
    </row>
    <row r="2805">
      <c r="A2805" s="163" t="s">
        <v>222</v>
      </c>
      <c r="B2805" s="163"/>
      <c r="C2805" s="163"/>
      <c r="J2805" s="165"/>
      <c r="K2805" s="166"/>
      <c r="L2805" s="166"/>
    </row>
    <row r="2806">
      <c r="A2806" s="163" t="s">
        <v>222</v>
      </c>
      <c r="B2806" s="163"/>
      <c r="C2806" s="163"/>
      <c r="J2806" s="165"/>
      <c r="K2806" s="166"/>
      <c r="L2806" s="166"/>
    </row>
    <row r="2807">
      <c r="A2807" s="163" t="s">
        <v>222</v>
      </c>
      <c r="B2807" s="163"/>
      <c r="C2807" s="163"/>
      <c r="J2807" s="165"/>
      <c r="K2807" s="166"/>
      <c r="L2807" s="166"/>
    </row>
    <row r="2808">
      <c r="A2808" s="163" t="s">
        <v>222</v>
      </c>
      <c r="B2808" s="163"/>
      <c r="C2808" s="163"/>
      <c r="J2808" s="165"/>
      <c r="K2808" s="166"/>
      <c r="L2808" s="166"/>
    </row>
    <row r="2809">
      <c r="A2809" s="163" t="s">
        <v>222</v>
      </c>
      <c r="B2809" s="163"/>
      <c r="C2809" s="163"/>
      <c r="J2809" s="165"/>
      <c r="K2809" s="166"/>
      <c r="L2809" s="166"/>
    </row>
    <row r="2810">
      <c r="A2810" s="163" t="s">
        <v>222</v>
      </c>
      <c r="B2810" s="163"/>
      <c r="C2810" s="163"/>
      <c r="J2810" s="165"/>
      <c r="K2810" s="166"/>
      <c r="L2810" s="166"/>
    </row>
    <row r="2811">
      <c r="A2811" s="163" t="s">
        <v>222</v>
      </c>
      <c r="B2811" s="163"/>
      <c r="C2811" s="163"/>
      <c r="J2811" s="165"/>
      <c r="K2811" s="166"/>
      <c r="L2811" s="166"/>
    </row>
    <row r="2812">
      <c r="A2812" s="163" t="s">
        <v>222</v>
      </c>
      <c r="B2812" s="163"/>
      <c r="C2812" s="163"/>
      <c r="J2812" s="165"/>
      <c r="K2812" s="166"/>
      <c r="L2812" s="166"/>
    </row>
    <row r="2813">
      <c r="A2813" s="163" t="s">
        <v>222</v>
      </c>
      <c r="B2813" s="163"/>
      <c r="C2813" s="163"/>
      <c r="J2813" s="165"/>
      <c r="K2813" s="166"/>
      <c r="L2813" s="166"/>
    </row>
    <row r="2814">
      <c r="A2814" s="163" t="s">
        <v>222</v>
      </c>
      <c r="B2814" s="163"/>
      <c r="C2814" s="163"/>
      <c r="J2814" s="165"/>
      <c r="K2814" s="166"/>
      <c r="L2814" s="166"/>
    </row>
    <row r="2815">
      <c r="A2815" s="163" t="s">
        <v>222</v>
      </c>
      <c r="B2815" s="163"/>
      <c r="C2815" s="163"/>
      <c r="J2815" s="165"/>
      <c r="K2815" s="166"/>
      <c r="L2815" s="166"/>
    </row>
    <row r="2816">
      <c r="A2816" s="163" t="s">
        <v>222</v>
      </c>
      <c r="B2816" s="163"/>
      <c r="C2816" s="163"/>
      <c r="J2816" s="165"/>
      <c r="K2816" s="166"/>
      <c r="L2816" s="166"/>
    </row>
    <row r="2817">
      <c r="A2817" s="163" t="s">
        <v>222</v>
      </c>
      <c r="B2817" s="163"/>
      <c r="C2817" s="163"/>
      <c r="J2817" s="165"/>
      <c r="K2817" s="166"/>
      <c r="L2817" s="166"/>
    </row>
    <row r="2818">
      <c r="A2818" s="163" t="s">
        <v>222</v>
      </c>
      <c r="B2818" s="163"/>
      <c r="C2818" s="163"/>
      <c r="J2818" s="165"/>
      <c r="K2818" s="166"/>
      <c r="L2818" s="166"/>
    </row>
    <row r="2819">
      <c r="A2819" s="163" t="s">
        <v>222</v>
      </c>
      <c r="B2819" s="163"/>
      <c r="C2819" s="163"/>
      <c r="J2819" s="165"/>
      <c r="K2819" s="166"/>
      <c r="L2819" s="166"/>
    </row>
    <row r="2820">
      <c r="A2820" s="163" t="s">
        <v>222</v>
      </c>
      <c r="B2820" s="163"/>
      <c r="C2820" s="163"/>
      <c r="J2820" s="165"/>
      <c r="K2820" s="166"/>
      <c r="L2820" s="166"/>
    </row>
    <row r="2821">
      <c r="A2821" s="163" t="s">
        <v>222</v>
      </c>
      <c r="B2821" s="163"/>
      <c r="C2821" s="163"/>
      <c r="J2821" s="165"/>
      <c r="K2821" s="166"/>
      <c r="L2821" s="166"/>
    </row>
    <row r="2822">
      <c r="A2822" s="163" t="s">
        <v>222</v>
      </c>
      <c r="B2822" s="163"/>
      <c r="C2822" s="163"/>
      <c r="J2822" s="165"/>
      <c r="K2822" s="166"/>
      <c r="L2822" s="166"/>
    </row>
    <row r="2823">
      <c r="A2823" s="163" t="s">
        <v>222</v>
      </c>
      <c r="B2823" s="163"/>
      <c r="C2823" s="163"/>
      <c r="J2823" s="165"/>
      <c r="K2823" s="166"/>
      <c r="L2823" s="166"/>
    </row>
    <row r="2824">
      <c r="A2824" s="163" t="s">
        <v>222</v>
      </c>
      <c r="B2824" s="163"/>
      <c r="C2824" s="163"/>
      <c r="J2824" s="165"/>
      <c r="K2824" s="166"/>
      <c r="L2824" s="166"/>
    </row>
    <row r="2825">
      <c r="A2825" s="163" t="s">
        <v>222</v>
      </c>
      <c r="B2825" s="163"/>
      <c r="C2825" s="163"/>
      <c r="J2825" s="165"/>
      <c r="K2825" s="166"/>
      <c r="L2825" s="166"/>
    </row>
    <row r="2826">
      <c r="A2826" s="163" t="s">
        <v>222</v>
      </c>
      <c r="B2826" s="163"/>
      <c r="C2826" s="163"/>
      <c r="J2826" s="165"/>
      <c r="K2826" s="166"/>
      <c r="L2826" s="166"/>
    </row>
    <row r="2827">
      <c r="A2827" s="163" t="s">
        <v>222</v>
      </c>
      <c r="B2827" s="163"/>
      <c r="C2827" s="163"/>
      <c r="J2827" s="165"/>
      <c r="K2827" s="166"/>
      <c r="L2827" s="166"/>
    </row>
    <row r="2828">
      <c r="A2828" s="163" t="s">
        <v>222</v>
      </c>
      <c r="B2828" s="163"/>
      <c r="C2828" s="163"/>
      <c r="J2828" s="165"/>
      <c r="K2828" s="166"/>
      <c r="L2828" s="166"/>
    </row>
    <row r="2829">
      <c r="A2829" s="163" t="s">
        <v>222</v>
      </c>
      <c r="B2829" s="163"/>
      <c r="C2829" s="163"/>
      <c r="J2829" s="165"/>
      <c r="K2829" s="166"/>
      <c r="L2829" s="166"/>
    </row>
    <row r="2830">
      <c r="A2830" s="163" t="s">
        <v>222</v>
      </c>
      <c r="B2830" s="163"/>
      <c r="C2830" s="163"/>
      <c r="J2830" s="165"/>
      <c r="K2830" s="166"/>
      <c r="L2830" s="166"/>
    </row>
    <row r="2831">
      <c r="A2831" s="163" t="s">
        <v>222</v>
      </c>
      <c r="B2831" s="163"/>
      <c r="C2831" s="163"/>
      <c r="J2831" s="165"/>
      <c r="K2831" s="166"/>
      <c r="L2831" s="166"/>
    </row>
    <row r="2832">
      <c r="A2832" s="163" t="s">
        <v>222</v>
      </c>
      <c r="B2832" s="163"/>
      <c r="C2832" s="163"/>
      <c r="J2832" s="165"/>
      <c r="K2832" s="166"/>
      <c r="L2832" s="166"/>
    </row>
    <row r="2833">
      <c r="A2833" s="163" t="s">
        <v>222</v>
      </c>
      <c r="B2833" s="163"/>
      <c r="C2833" s="163"/>
      <c r="J2833" s="165"/>
      <c r="K2833" s="166"/>
      <c r="L2833" s="166"/>
    </row>
    <row r="2834">
      <c r="A2834" s="163" t="s">
        <v>222</v>
      </c>
      <c r="B2834" s="163"/>
      <c r="C2834" s="163"/>
      <c r="J2834" s="165"/>
      <c r="K2834" s="166"/>
      <c r="L2834" s="166"/>
    </row>
    <row r="2835">
      <c r="A2835" s="163" t="s">
        <v>222</v>
      </c>
      <c r="B2835" s="163"/>
      <c r="C2835" s="163"/>
      <c r="J2835" s="165"/>
      <c r="K2835" s="166"/>
      <c r="L2835" s="166"/>
    </row>
    <row r="2836">
      <c r="A2836" s="163" t="s">
        <v>222</v>
      </c>
      <c r="B2836" s="163"/>
      <c r="C2836" s="163"/>
      <c r="J2836" s="165"/>
      <c r="K2836" s="166"/>
      <c r="L2836" s="166"/>
    </row>
    <row r="2837">
      <c r="A2837" s="163" t="s">
        <v>222</v>
      </c>
      <c r="B2837" s="163"/>
      <c r="C2837" s="163"/>
      <c r="J2837" s="165"/>
      <c r="K2837" s="166"/>
      <c r="L2837" s="166"/>
    </row>
    <row r="2838">
      <c r="A2838" s="163" t="s">
        <v>222</v>
      </c>
      <c r="B2838" s="163"/>
      <c r="C2838" s="163"/>
      <c r="J2838" s="165"/>
      <c r="K2838" s="166"/>
      <c r="L2838" s="166"/>
    </row>
    <row r="2839">
      <c r="A2839" s="163" t="s">
        <v>222</v>
      </c>
      <c r="B2839" s="163"/>
      <c r="C2839" s="163"/>
      <c r="J2839" s="165"/>
      <c r="K2839" s="166"/>
      <c r="L2839" s="166"/>
    </row>
    <row r="2840">
      <c r="A2840" s="163" t="s">
        <v>222</v>
      </c>
      <c r="B2840" s="163"/>
      <c r="C2840" s="163"/>
      <c r="J2840" s="165"/>
      <c r="K2840" s="166"/>
      <c r="L2840" s="166"/>
    </row>
    <row r="2841">
      <c r="A2841" s="163" t="s">
        <v>222</v>
      </c>
      <c r="B2841" s="163"/>
      <c r="C2841" s="163"/>
      <c r="J2841" s="165"/>
      <c r="K2841" s="166"/>
      <c r="L2841" s="166"/>
    </row>
    <row r="2842">
      <c r="A2842" s="163" t="s">
        <v>222</v>
      </c>
      <c r="B2842" s="163"/>
      <c r="C2842" s="163"/>
      <c r="J2842" s="165"/>
      <c r="K2842" s="166"/>
      <c r="L2842" s="166"/>
    </row>
    <row r="2843">
      <c r="A2843" s="163" t="s">
        <v>222</v>
      </c>
      <c r="B2843" s="163"/>
      <c r="C2843" s="163"/>
      <c r="J2843" s="165"/>
      <c r="K2843" s="166"/>
      <c r="L2843" s="166"/>
    </row>
    <row r="2844">
      <c r="A2844" s="163" t="s">
        <v>222</v>
      </c>
      <c r="B2844" s="163"/>
      <c r="C2844" s="163"/>
      <c r="J2844" s="165"/>
      <c r="K2844" s="166"/>
      <c r="L2844" s="166"/>
    </row>
    <row r="2845">
      <c r="A2845" s="163" t="s">
        <v>222</v>
      </c>
      <c r="B2845" s="163"/>
      <c r="C2845" s="163"/>
      <c r="J2845" s="165"/>
      <c r="K2845" s="166"/>
      <c r="L2845" s="166"/>
    </row>
    <row r="2846">
      <c r="A2846" s="163" t="s">
        <v>222</v>
      </c>
      <c r="B2846" s="163"/>
      <c r="C2846" s="163"/>
      <c r="J2846" s="165"/>
      <c r="K2846" s="166"/>
      <c r="L2846" s="166"/>
    </row>
    <row r="2847">
      <c r="A2847" s="163" t="s">
        <v>222</v>
      </c>
      <c r="B2847" s="163"/>
      <c r="C2847" s="163"/>
      <c r="J2847" s="165"/>
      <c r="K2847" s="166"/>
      <c r="L2847" s="166"/>
    </row>
    <row r="2848">
      <c r="A2848" s="163" t="s">
        <v>222</v>
      </c>
      <c r="B2848" s="163"/>
      <c r="C2848" s="163"/>
      <c r="J2848" s="165"/>
      <c r="K2848" s="166"/>
      <c r="L2848" s="166"/>
    </row>
    <row r="2849">
      <c r="A2849" s="163" t="s">
        <v>222</v>
      </c>
      <c r="B2849" s="163"/>
      <c r="C2849" s="163"/>
      <c r="J2849" s="165"/>
      <c r="K2849" s="166"/>
      <c r="L2849" s="166"/>
    </row>
    <row r="2850">
      <c r="A2850" s="163" t="s">
        <v>222</v>
      </c>
      <c r="B2850" s="163"/>
      <c r="C2850" s="163"/>
      <c r="J2850" s="165"/>
      <c r="K2850" s="166"/>
      <c r="L2850" s="166"/>
    </row>
    <row r="2851">
      <c r="A2851" s="163" t="s">
        <v>222</v>
      </c>
      <c r="B2851" s="163"/>
      <c r="C2851" s="163"/>
      <c r="J2851" s="165"/>
      <c r="K2851" s="166"/>
      <c r="L2851" s="166"/>
    </row>
    <row r="2852">
      <c r="A2852" s="163" t="s">
        <v>222</v>
      </c>
      <c r="B2852" s="163"/>
      <c r="C2852" s="163"/>
      <c r="J2852" s="165"/>
      <c r="K2852" s="166"/>
      <c r="L2852" s="166"/>
    </row>
    <row r="2853">
      <c r="A2853" s="163" t="s">
        <v>222</v>
      </c>
      <c r="B2853" s="163"/>
      <c r="C2853" s="163"/>
      <c r="J2853" s="165"/>
      <c r="K2853" s="166"/>
      <c r="L2853" s="166"/>
    </row>
    <row r="2854">
      <c r="A2854" s="163" t="s">
        <v>222</v>
      </c>
      <c r="B2854" s="163"/>
      <c r="C2854" s="163"/>
      <c r="J2854" s="165"/>
      <c r="K2854" s="166"/>
      <c r="L2854" s="166"/>
    </row>
    <row r="2855">
      <c r="A2855" s="163" t="s">
        <v>222</v>
      </c>
      <c r="B2855" s="163"/>
      <c r="C2855" s="163"/>
      <c r="J2855" s="165"/>
      <c r="K2855" s="166"/>
      <c r="L2855" s="166"/>
    </row>
    <row r="2856">
      <c r="A2856" s="163" t="s">
        <v>222</v>
      </c>
      <c r="B2856" s="163"/>
      <c r="C2856" s="163"/>
      <c r="J2856" s="165"/>
      <c r="K2856" s="166"/>
      <c r="L2856" s="166"/>
    </row>
    <row r="2857">
      <c r="A2857" s="163" t="s">
        <v>222</v>
      </c>
      <c r="B2857" s="163"/>
      <c r="C2857" s="163"/>
      <c r="J2857" s="165"/>
      <c r="K2857" s="166"/>
      <c r="L2857" s="166"/>
    </row>
    <row r="2858">
      <c r="A2858" s="163" t="s">
        <v>222</v>
      </c>
      <c r="B2858" s="163"/>
      <c r="C2858" s="163"/>
      <c r="J2858" s="165"/>
      <c r="K2858" s="166"/>
      <c r="L2858" s="166"/>
    </row>
    <row r="2859">
      <c r="A2859" s="163" t="s">
        <v>222</v>
      </c>
      <c r="B2859" s="163"/>
      <c r="C2859" s="163"/>
      <c r="J2859" s="165"/>
      <c r="K2859" s="166"/>
      <c r="L2859" s="166"/>
    </row>
    <row r="2860">
      <c r="A2860" s="163" t="s">
        <v>222</v>
      </c>
      <c r="B2860" s="163"/>
      <c r="C2860" s="163"/>
      <c r="J2860" s="165"/>
      <c r="K2860" s="166"/>
      <c r="L2860" s="166"/>
    </row>
    <row r="2861">
      <c r="A2861" s="163" t="s">
        <v>222</v>
      </c>
      <c r="B2861" s="163"/>
      <c r="C2861" s="163"/>
      <c r="J2861" s="165"/>
      <c r="K2861" s="166"/>
      <c r="L2861" s="166"/>
    </row>
    <row r="2862">
      <c r="A2862" s="163" t="s">
        <v>222</v>
      </c>
      <c r="B2862" s="163"/>
      <c r="C2862" s="163"/>
      <c r="J2862" s="165"/>
      <c r="K2862" s="166"/>
      <c r="L2862" s="166"/>
    </row>
    <row r="2863">
      <c r="A2863" s="163" t="s">
        <v>222</v>
      </c>
      <c r="B2863" s="163"/>
      <c r="C2863" s="163"/>
      <c r="J2863" s="165"/>
      <c r="K2863" s="166"/>
      <c r="L2863" s="166"/>
    </row>
    <row r="2864">
      <c r="A2864" s="163" t="s">
        <v>222</v>
      </c>
      <c r="B2864" s="163"/>
      <c r="C2864" s="163"/>
      <c r="J2864" s="165"/>
      <c r="K2864" s="166"/>
      <c r="L2864" s="166"/>
    </row>
    <row r="2865">
      <c r="A2865" s="163" t="s">
        <v>222</v>
      </c>
      <c r="B2865" s="163"/>
      <c r="C2865" s="163"/>
      <c r="J2865" s="165"/>
      <c r="K2865" s="166"/>
      <c r="L2865" s="166"/>
    </row>
    <row r="2866">
      <c r="A2866" s="163" t="s">
        <v>222</v>
      </c>
      <c r="B2866" s="163"/>
      <c r="C2866" s="163"/>
      <c r="J2866" s="165"/>
      <c r="K2866" s="166"/>
      <c r="L2866" s="166"/>
    </row>
    <row r="2867">
      <c r="A2867" s="163" t="s">
        <v>222</v>
      </c>
      <c r="B2867" s="163"/>
      <c r="C2867" s="163"/>
      <c r="J2867" s="165"/>
      <c r="K2867" s="166"/>
      <c r="L2867" s="166"/>
    </row>
    <row r="2868">
      <c r="A2868" s="163" t="s">
        <v>222</v>
      </c>
      <c r="B2868" s="163"/>
      <c r="C2868" s="163"/>
      <c r="J2868" s="165"/>
      <c r="K2868" s="166"/>
      <c r="L2868" s="166"/>
    </row>
    <row r="2869">
      <c r="A2869" s="163" t="s">
        <v>222</v>
      </c>
      <c r="B2869" s="163"/>
      <c r="C2869" s="163"/>
      <c r="J2869" s="165"/>
      <c r="K2869" s="166"/>
      <c r="L2869" s="166"/>
    </row>
    <row r="2870">
      <c r="A2870" s="163" t="s">
        <v>222</v>
      </c>
      <c r="B2870" s="163"/>
      <c r="C2870" s="163"/>
      <c r="J2870" s="165"/>
      <c r="K2870" s="166"/>
      <c r="L2870" s="166"/>
    </row>
    <row r="2871">
      <c r="A2871" s="163" t="s">
        <v>222</v>
      </c>
      <c r="B2871" s="163"/>
      <c r="C2871" s="163"/>
      <c r="J2871" s="165"/>
      <c r="K2871" s="166"/>
      <c r="L2871" s="166"/>
    </row>
    <row r="2872">
      <c r="A2872" s="163" t="s">
        <v>222</v>
      </c>
      <c r="B2872" s="163"/>
      <c r="C2872" s="163"/>
      <c r="J2872" s="165"/>
      <c r="K2872" s="166"/>
      <c r="L2872" s="166"/>
    </row>
    <row r="2873">
      <c r="A2873" s="163" t="s">
        <v>222</v>
      </c>
      <c r="B2873" s="163"/>
      <c r="C2873" s="163"/>
      <c r="J2873" s="165"/>
      <c r="K2873" s="166"/>
      <c r="L2873" s="166"/>
    </row>
    <row r="2874">
      <c r="A2874" s="163" t="s">
        <v>222</v>
      </c>
      <c r="B2874" s="163"/>
      <c r="C2874" s="163"/>
      <c r="J2874" s="165"/>
      <c r="K2874" s="166"/>
      <c r="L2874" s="166"/>
    </row>
    <row r="2875">
      <c r="A2875" s="163" t="s">
        <v>222</v>
      </c>
      <c r="B2875" s="163"/>
      <c r="C2875" s="163"/>
      <c r="J2875" s="165"/>
      <c r="K2875" s="166"/>
      <c r="L2875" s="166"/>
    </row>
    <row r="2876">
      <c r="A2876" s="163" t="s">
        <v>222</v>
      </c>
      <c r="B2876" s="163"/>
      <c r="C2876" s="163"/>
      <c r="J2876" s="165"/>
      <c r="K2876" s="166"/>
      <c r="L2876" s="166"/>
    </row>
    <row r="2877">
      <c r="A2877" s="163" t="s">
        <v>222</v>
      </c>
      <c r="B2877" s="163"/>
      <c r="C2877" s="163"/>
      <c r="J2877" s="165"/>
      <c r="K2877" s="166"/>
      <c r="L2877" s="166"/>
    </row>
    <row r="2878">
      <c r="A2878" s="163" t="s">
        <v>222</v>
      </c>
      <c r="B2878" s="163"/>
      <c r="C2878" s="163"/>
      <c r="J2878" s="165"/>
      <c r="K2878" s="166"/>
      <c r="L2878" s="166"/>
    </row>
    <row r="2879">
      <c r="A2879" s="163" t="s">
        <v>222</v>
      </c>
      <c r="B2879" s="163"/>
      <c r="C2879" s="163"/>
      <c r="J2879" s="165"/>
      <c r="K2879" s="166"/>
      <c r="L2879" s="166"/>
    </row>
    <row r="2880">
      <c r="A2880" s="163" t="s">
        <v>222</v>
      </c>
      <c r="B2880" s="163"/>
      <c r="C2880" s="163"/>
      <c r="J2880" s="165"/>
      <c r="K2880" s="166"/>
      <c r="L2880" s="166"/>
    </row>
    <row r="2881">
      <c r="A2881" s="163" t="s">
        <v>222</v>
      </c>
      <c r="B2881" s="163"/>
      <c r="C2881" s="163"/>
      <c r="J2881" s="165"/>
      <c r="K2881" s="166"/>
      <c r="L2881" s="166"/>
    </row>
    <row r="2882">
      <c r="A2882" s="163" t="s">
        <v>222</v>
      </c>
      <c r="B2882" s="163"/>
      <c r="C2882" s="163"/>
      <c r="J2882" s="165"/>
      <c r="K2882" s="166"/>
      <c r="L2882" s="166"/>
    </row>
    <row r="2883">
      <c r="A2883" s="163" t="s">
        <v>222</v>
      </c>
      <c r="B2883" s="163"/>
      <c r="C2883" s="163"/>
      <c r="J2883" s="165"/>
      <c r="K2883" s="166"/>
      <c r="L2883" s="166"/>
    </row>
    <row r="2884">
      <c r="A2884" s="163" t="s">
        <v>222</v>
      </c>
      <c r="B2884" s="163"/>
      <c r="C2884" s="163"/>
      <c r="J2884" s="165"/>
      <c r="K2884" s="166"/>
      <c r="L2884" s="166"/>
    </row>
    <row r="2885">
      <c r="A2885" s="163" t="s">
        <v>222</v>
      </c>
      <c r="B2885" s="163"/>
      <c r="C2885" s="163"/>
      <c r="J2885" s="165"/>
      <c r="K2885" s="166"/>
      <c r="L2885" s="166"/>
    </row>
    <row r="2886">
      <c r="A2886" s="163" t="s">
        <v>222</v>
      </c>
      <c r="B2886" s="163"/>
      <c r="C2886" s="163"/>
      <c r="J2886" s="165"/>
      <c r="K2886" s="166"/>
      <c r="L2886" s="166"/>
    </row>
    <row r="2887">
      <c r="A2887" s="163" t="s">
        <v>222</v>
      </c>
      <c r="B2887" s="163"/>
      <c r="C2887" s="163"/>
      <c r="J2887" s="165"/>
      <c r="K2887" s="166"/>
      <c r="L2887" s="166"/>
    </row>
    <row r="2888">
      <c r="A2888" s="163" t="s">
        <v>222</v>
      </c>
      <c r="B2888" s="163"/>
      <c r="C2888" s="163"/>
      <c r="J2888" s="165"/>
      <c r="K2888" s="166"/>
      <c r="L2888" s="166"/>
    </row>
    <row r="2889">
      <c r="A2889" s="163" t="s">
        <v>222</v>
      </c>
      <c r="B2889" s="163"/>
      <c r="C2889" s="163"/>
      <c r="J2889" s="165"/>
      <c r="K2889" s="166"/>
      <c r="L2889" s="166"/>
    </row>
    <row r="2890">
      <c r="A2890" s="163" t="s">
        <v>222</v>
      </c>
      <c r="B2890" s="163"/>
      <c r="C2890" s="163"/>
      <c r="J2890" s="165"/>
      <c r="K2890" s="166"/>
      <c r="L2890" s="166"/>
    </row>
    <row r="2891">
      <c r="A2891" s="163" t="s">
        <v>222</v>
      </c>
      <c r="B2891" s="163"/>
      <c r="C2891" s="163"/>
      <c r="J2891" s="165"/>
      <c r="K2891" s="166"/>
      <c r="L2891" s="166"/>
    </row>
    <row r="2892">
      <c r="A2892" s="163" t="s">
        <v>222</v>
      </c>
      <c r="B2892" s="163"/>
      <c r="C2892" s="163"/>
      <c r="J2892" s="165"/>
      <c r="K2892" s="166"/>
      <c r="L2892" s="166"/>
    </row>
    <row r="2893">
      <c r="A2893" s="163" t="s">
        <v>222</v>
      </c>
      <c r="B2893" s="163"/>
      <c r="C2893" s="163"/>
      <c r="J2893" s="165"/>
      <c r="K2893" s="166"/>
      <c r="L2893" s="166"/>
    </row>
    <row r="2894">
      <c r="A2894" s="163" t="s">
        <v>222</v>
      </c>
      <c r="B2894" s="163"/>
      <c r="C2894" s="163"/>
      <c r="J2894" s="165"/>
      <c r="K2894" s="166"/>
      <c r="L2894" s="166"/>
    </row>
    <row r="2895">
      <c r="A2895" s="163" t="s">
        <v>222</v>
      </c>
      <c r="B2895" s="163"/>
      <c r="C2895" s="163"/>
      <c r="J2895" s="165"/>
      <c r="K2895" s="166"/>
      <c r="L2895" s="166"/>
    </row>
    <row r="2896">
      <c r="A2896" s="163" t="s">
        <v>222</v>
      </c>
      <c r="B2896" s="163"/>
      <c r="C2896" s="163"/>
      <c r="J2896" s="165"/>
      <c r="K2896" s="166"/>
      <c r="L2896" s="166"/>
    </row>
    <row r="2897">
      <c r="A2897" s="163" t="s">
        <v>222</v>
      </c>
      <c r="B2897" s="163"/>
      <c r="C2897" s="163"/>
      <c r="J2897" s="165"/>
      <c r="K2897" s="166"/>
      <c r="L2897" s="166"/>
    </row>
    <row r="2898">
      <c r="A2898" s="163" t="s">
        <v>222</v>
      </c>
      <c r="B2898" s="163"/>
      <c r="C2898" s="163"/>
      <c r="J2898" s="165"/>
      <c r="K2898" s="166"/>
      <c r="L2898" s="166"/>
    </row>
    <row r="2899">
      <c r="A2899" s="163" t="s">
        <v>222</v>
      </c>
      <c r="B2899" s="163"/>
      <c r="C2899" s="163"/>
      <c r="J2899" s="165"/>
      <c r="K2899" s="166"/>
      <c r="L2899" s="166"/>
    </row>
    <row r="2900">
      <c r="A2900" s="163" t="s">
        <v>222</v>
      </c>
      <c r="B2900" s="163"/>
      <c r="C2900" s="163"/>
      <c r="J2900" s="165"/>
      <c r="K2900" s="166"/>
      <c r="L2900" s="166"/>
    </row>
    <row r="2901">
      <c r="A2901" s="163" t="s">
        <v>222</v>
      </c>
      <c r="B2901" s="163"/>
      <c r="C2901" s="163"/>
      <c r="J2901" s="165"/>
      <c r="K2901" s="166"/>
      <c r="L2901" s="166"/>
    </row>
    <row r="2902">
      <c r="A2902" s="163" t="s">
        <v>222</v>
      </c>
      <c r="B2902" s="163"/>
      <c r="C2902" s="163"/>
      <c r="J2902" s="165"/>
      <c r="K2902" s="166"/>
      <c r="L2902" s="166"/>
    </row>
    <row r="2903">
      <c r="A2903" s="163" t="s">
        <v>222</v>
      </c>
      <c r="B2903" s="163"/>
      <c r="C2903" s="163"/>
      <c r="J2903" s="165"/>
      <c r="K2903" s="166"/>
      <c r="L2903" s="166"/>
    </row>
    <row r="2904">
      <c r="A2904" s="163" t="s">
        <v>222</v>
      </c>
      <c r="B2904" s="163"/>
      <c r="C2904" s="163"/>
      <c r="J2904" s="165"/>
      <c r="K2904" s="166"/>
      <c r="L2904" s="166"/>
    </row>
    <row r="2905">
      <c r="A2905" s="163" t="s">
        <v>222</v>
      </c>
      <c r="B2905" s="163"/>
      <c r="C2905" s="163"/>
      <c r="J2905" s="165"/>
      <c r="K2905" s="166"/>
      <c r="L2905" s="166"/>
    </row>
    <row r="2906">
      <c r="A2906" s="163" t="s">
        <v>222</v>
      </c>
      <c r="B2906" s="163"/>
      <c r="C2906" s="163"/>
      <c r="J2906" s="165"/>
      <c r="K2906" s="166"/>
      <c r="L2906" s="166"/>
    </row>
    <row r="2907">
      <c r="A2907" s="163" t="s">
        <v>222</v>
      </c>
      <c r="B2907" s="163"/>
      <c r="C2907" s="163"/>
      <c r="J2907" s="165"/>
      <c r="K2907" s="166"/>
      <c r="L2907" s="166"/>
    </row>
    <row r="2908">
      <c r="A2908" s="163" t="s">
        <v>222</v>
      </c>
      <c r="B2908" s="163"/>
      <c r="C2908" s="163"/>
      <c r="J2908" s="165"/>
      <c r="K2908" s="166"/>
      <c r="L2908" s="166"/>
    </row>
    <row r="2909">
      <c r="A2909" s="163" t="s">
        <v>222</v>
      </c>
      <c r="B2909" s="163"/>
      <c r="C2909" s="163"/>
      <c r="J2909" s="165"/>
      <c r="K2909" s="166"/>
      <c r="L2909" s="166"/>
    </row>
    <row r="2910">
      <c r="A2910" s="163" t="s">
        <v>222</v>
      </c>
      <c r="B2910" s="163"/>
      <c r="C2910" s="163"/>
      <c r="J2910" s="165"/>
      <c r="K2910" s="166"/>
      <c r="L2910" s="166"/>
    </row>
    <row r="2911">
      <c r="A2911" s="163" t="s">
        <v>222</v>
      </c>
      <c r="B2911" s="163"/>
      <c r="C2911" s="163"/>
      <c r="J2911" s="165"/>
      <c r="K2911" s="166"/>
      <c r="L2911" s="166"/>
    </row>
    <row r="2912">
      <c r="A2912" s="163" t="s">
        <v>222</v>
      </c>
      <c r="B2912" s="163"/>
      <c r="C2912" s="163"/>
      <c r="J2912" s="165"/>
      <c r="K2912" s="166"/>
      <c r="L2912" s="166"/>
    </row>
    <row r="2913">
      <c r="A2913" s="163" t="s">
        <v>222</v>
      </c>
      <c r="B2913" s="163"/>
      <c r="C2913" s="163"/>
      <c r="J2913" s="165"/>
      <c r="K2913" s="166"/>
      <c r="L2913" s="166"/>
    </row>
    <row r="2914">
      <c r="A2914" s="163" t="s">
        <v>222</v>
      </c>
      <c r="B2914" s="163"/>
      <c r="C2914" s="163"/>
      <c r="J2914" s="165"/>
      <c r="K2914" s="166"/>
      <c r="L2914" s="166"/>
    </row>
    <row r="2915">
      <c r="A2915" s="163" t="s">
        <v>222</v>
      </c>
      <c r="B2915" s="163"/>
      <c r="C2915" s="163"/>
      <c r="J2915" s="165"/>
      <c r="K2915" s="166"/>
      <c r="L2915" s="166"/>
    </row>
    <row r="2916">
      <c r="A2916" s="163" t="s">
        <v>222</v>
      </c>
      <c r="B2916" s="163"/>
      <c r="C2916" s="163"/>
      <c r="J2916" s="165"/>
      <c r="K2916" s="166"/>
      <c r="L2916" s="166"/>
    </row>
    <row r="2917">
      <c r="A2917" s="163" t="s">
        <v>222</v>
      </c>
      <c r="B2917" s="163"/>
      <c r="C2917" s="163"/>
      <c r="J2917" s="165"/>
      <c r="K2917" s="166"/>
      <c r="L2917" s="166"/>
    </row>
    <row r="2918">
      <c r="A2918" s="163" t="s">
        <v>222</v>
      </c>
      <c r="B2918" s="163"/>
      <c r="C2918" s="163"/>
      <c r="J2918" s="165"/>
      <c r="K2918" s="166"/>
      <c r="L2918" s="166"/>
    </row>
    <row r="2919">
      <c r="A2919" s="163" t="s">
        <v>222</v>
      </c>
      <c r="B2919" s="163"/>
      <c r="C2919" s="163"/>
      <c r="J2919" s="165"/>
      <c r="K2919" s="166"/>
      <c r="L2919" s="166"/>
    </row>
    <row r="2920">
      <c r="A2920" s="163" t="s">
        <v>222</v>
      </c>
      <c r="B2920" s="163"/>
      <c r="C2920" s="163"/>
      <c r="J2920" s="165"/>
      <c r="K2920" s="166"/>
      <c r="L2920" s="166"/>
    </row>
    <row r="2921">
      <c r="A2921" s="163" t="s">
        <v>222</v>
      </c>
      <c r="B2921" s="163"/>
      <c r="C2921" s="163"/>
      <c r="J2921" s="165"/>
      <c r="K2921" s="166"/>
      <c r="L2921" s="166"/>
    </row>
    <row r="2922">
      <c r="A2922" s="163" t="s">
        <v>222</v>
      </c>
      <c r="B2922" s="163"/>
      <c r="C2922" s="163"/>
      <c r="J2922" s="165"/>
      <c r="K2922" s="166"/>
      <c r="L2922" s="166"/>
    </row>
    <row r="2923">
      <c r="A2923" s="163" t="s">
        <v>222</v>
      </c>
      <c r="B2923" s="163"/>
      <c r="C2923" s="163"/>
      <c r="J2923" s="165"/>
      <c r="K2923" s="166"/>
      <c r="L2923" s="166"/>
    </row>
    <row r="2924">
      <c r="A2924" s="163" t="s">
        <v>222</v>
      </c>
      <c r="B2924" s="163"/>
      <c r="C2924" s="163"/>
      <c r="J2924" s="165"/>
      <c r="K2924" s="166"/>
      <c r="L2924" s="166"/>
    </row>
    <row r="2925">
      <c r="A2925" s="163" t="s">
        <v>222</v>
      </c>
      <c r="B2925" s="163"/>
      <c r="C2925" s="163"/>
      <c r="J2925" s="165"/>
      <c r="K2925" s="166"/>
      <c r="L2925" s="166"/>
    </row>
    <row r="2926">
      <c r="A2926" s="163" t="s">
        <v>222</v>
      </c>
      <c r="B2926" s="163"/>
      <c r="C2926" s="163"/>
      <c r="J2926" s="165"/>
      <c r="K2926" s="166"/>
      <c r="L2926" s="166"/>
    </row>
    <row r="2927">
      <c r="A2927" s="163" t="s">
        <v>222</v>
      </c>
      <c r="B2927" s="163"/>
      <c r="C2927" s="163"/>
      <c r="J2927" s="165"/>
      <c r="K2927" s="166"/>
      <c r="L2927" s="166"/>
    </row>
    <row r="2928">
      <c r="A2928" s="163" t="s">
        <v>222</v>
      </c>
      <c r="B2928" s="163"/>
      <c r="C2928" s="163"/>
      <c r="J2928" s="165"/>
      <c r="K2928" s="166"/>
      <c r="L2928" s="166"/>
    </row>
    <row r="2929">
      <c r="A2929" s="163" t="s">
        <v>222</v>
      </c>
      <c r="B2929" s="163"/>
      <c r="C2929" s="163"/>
      <c r="J2929" s="165"/>
      <c r="K2929" s="166"/>
      <c r="L2929" s="166"/>
    </row>
    <row r="2930">
      <c r="A2930" s="163" t="s">
        <v>222</v>
      </c>
      <c r="B2930" s="163"/>
      <c r="C2930" s="163"/>
      <c r="J2930" s="165"/>
      <c r="K2930" s="166"/>
      <c r="L2930" s="166"/>
    </row>
    <row r="2931">
      <c r="A2931" s="163" t="s">
        <v>222</v>
      </c>
      <c r="B2931" s="163"/>
      <c r="C2931" s="163"/>
      <c r="J2931" s="165"/>
      <c r="K2931" s="166"/>
      <c r="L2931" s="166"/>
    </row>
    <row r="2932">
      <c r="A2932" s="163" t="s">
        <v>222</v>
      </c>
      <c r="B2932" s="163"/>
      <c r="C2932" s="163"/>
      <c r="J2932" s="165"/>
      <c r="K2932" s="166"/>
      <c r="L2932" s="166"/>
    </row>
    <row r="2933">
      <c r="A2933" s="163" t="s">
        <v>222</v>
      </c>
      <c r="B2933" s="163"/>
      <c r="C2933" s="163"/>
      <c r="J2933" s="165"/>
      <c r="K2933" s="166"/>
      <c r="L2933" s="166"/>
    </row>
    <row r="2934">
      <c r="A2934" s="163" t="s">
        <v>222</v>
      </c>
      <c r="B2934" s="163"/>
      <c r="C2934" s="163"/>
      <c r="J2934" s="165"/>
      <c r="K2934" s="166"/>
      <c r="L2934" s="166"/>
    </row>
    <row r="2935">
      <c r="A2935" s="163" t="s">
        <v>222</v>
      </c>
      <c r="B2935" s="163"/>
      <c r="C2935" s="163"/>
      <c r="J2935" s="165"/>
      <c r="K2935" s="166"/>
      <c r="L2935" s="166"/>
    </row>
    <row r="2936">
      <c r="A2936" s="163" t="s">
        <v>222</v>
      </c>
      <c r="B2936" s="163"/>
      <c r="C2936" s="163"/>
      <c r="J2936" s="165"/>
      <c r="K2936" s="166"/>
      <c r="L2936" s="166"/>
    </row>
    <row r="2937">
      <c r="A2937" s="163" t="s">
        <v>222</v>
      </c>
      <c r="B2937" s="163"/>
      <c r="C2937" s="163"/>
      <c r="J2937" s="165"/>
      <c r="K2937" s="166"/>
      <c r="L2937" s="166"/>
    </row>
    <row r="2938">
      <c r="A2938" s="163" t="s">
        <v>222</v>
      </c>
      <c r="B2938" s="163"/>
      <c r="C2938" s="163"/>
      <c r="J2938" s="165"/>
      <c r="K2938" s="166"/>
      <c r="L2938" s="166"/>
    </row>
    <row r="2939">
      <c r="A2939" s="163" t="s">
        <v>222</v>
      </c>
      <c r="B2939" s="163"/>
      <c r="C2939" s="163"/>
      <c r="J2939" s="165"/>
      <c r="K2939" s="166"/>
      <c r="L2939" s="166"/>
    </row>
    <row r="2940">
      <c r="A2940" s="163" t="s">
        <v>222</v>
      </c>
      <c r="B2940" s="163"/>
      <c r="C2940" s="163"/>
      <c r="J2940" s="165"/>
      <c r="K2940" s="166"/>
      <c r="L2940" s="166"/>
    </row>
    <row r="2941">
      <c r="A2941" s="163" t="s">
        <v>222</v>
      </c>
      <c r="B2941" s="163"/>
      <c r="C2941" s="163"/>
      <c r="J2941" s="165"/>
      <c r="K2941" s="166"/>
      <c r="L2941" s="166"/>
    </row>
    <row r="2942">
      <c r="A2942" s="163" t="s">
        <v>222</v>
      </c>
      <c r="B2942" s="163"/>
      <c r="C2942" s="163"/>
      <c r="J2942" s="165"/>
      <c r="K2942" s="166"/>
      <c r="L2942" s="166"/>
    </row>
    <row r="2943">
      <c r="A2943" s="163" t="s">
        <v>222</v>
      </c>
      <c r="B2943" s="163"/>
      <c r="C2943" s="163"/>
      <c r="J2943" s="165"/>
      <c r="K2943" s="166"/>
      <c r="L2943" s="166"/>
    </row>
    <row r="2944">
      <c r="A2944" s="163" t="s">
        <v>222</v>
      </c>
      <c r="B2944" s="163"/>
      <c r="C2944" s="163"/>
      <c r="J2944" s="165"/>
      <c r="K2944" s="166"/>
      <c r="L2944" s="166"/>
    </row>
    <row r="2945">
      <c r="A2945" s="163" t="s">
        <v>222</v>
      </c>
      <c r="B2945" s="163"/>
      <c r="C2945" s="163"/>
      <c r="J2945" s="165"/>
      <c r="K2945" s="166"/>
      <c r="L2945" s="166"/>
    </row>
    <row r="2946">
      <c r="A2946" s="163" t="s">
        <v>222</v>
      </c>
      <c r="B2946" s="163"/>
      <c r="C2946" s="163"/>
      <c r="J2946" s="165"/>
      <c r="K2946" s="166"/>
      <c r="L2946" s="166"/>
    </row>
    <row r="2947">
      <c r="A2947" s="163" t="s">
        <v>222</v>
      </c>
      <c r="B2947" s="163"/>
      <c r="C2947" s="163"/>
      <c r="J2947" s="165"/>
      <c r="K2947" s="166"/>
      <c r="L2947" s="166"/>
    </row>
    <row r="2948">
      <c r="A2948" s="163" t="s">
        <v>222</v>
      </c>
      <c r="B2948" s="163"/>
      <c r="C2948" s="163"/>
      <c r="J2948" s="165"/>
      <c r="K2948" s="166"/>
      <c r="L2948" s="166"/>
    </row>
    <row r="2949">
      <c r="A2949" s="163" t="s">
        <v>222</v>
      </c>
      <c r="B2949" s="163"/>
      <c r="C2949" s="163"/>
      <c r="J2949" s="165"/>
      <c r="K2949" s="166"/>
      <c r="L2949" s="166"/>
    </row>
    <row r="2950">
      <c r="A2950" s="163" t="s">
        <v>222</v>
      </c>
      <c r="B2950" s="163"/>
      <c r="C2950" s="163"/>
      <c r="J2950" s="165"/>
      <c r="K2950" s="166"/>
      <c r="L2950" s="166"/>
    </row>
    <row r="2951">
      <c r="A2951" s="163" t="s">
        <v>222</v>
      </c>
      <c r="B2951" s="163"/>
      <c r="C2951" s="163"/>
      <c r="J2951" s="165"/>
      <c r="K2951" s="166"/>
      <c r="L2951" s="166"/>
    </row>
    <row r="2952">
      <c r="A2952" s="163" t="s">
        <v>222</v>
      </c>
      <c r="B2952" s="163"/>
      <c r="C2952" s="163"/>
      <c r="J2952" s="165"/>
      <c r="K2952" s="166"/>
      <c r="L2952" s="166"/>
    </row>
    <row r="2953">
      <c r="A2953" s="163" t="s">
        <v>222</v>
      </c>
      <c r="B2953" s="163"/>
      <c r="C2953" s="163"/>
      <c r="J2953" s="165"/>
      <c r="K2953" s="166"/>
      <c r="L2953" s="166"/>
    </row>
    <row r="2954">
      <c r="A2954" s="163" t="s">
        <v>222</v>
      </c>
      <c r="B2954" s="163"/>
      <c r="C2954" s="163"/>
      <c r="J2954" s="165"/>
      <c r="K2954" s="166"/>
      <c r="L2954" s="166"/>
    </row>
    <row r="2955">
      <c r="A2955" s="163" t="s">
        <v>222</v>
      </c>
      <c r="B2955" s="163"/>
      <c r="C2955" s="163"/>
      <c r="J2955" s="165"/>
      <c r="K2955" s="166"/>
      <c r="L2955" s="166"/>
    </row>
    <row r="2956">
      <c r="A2956" s="163" t="s">
        <v>222</v>
      </c>
      <c r="B2956" s="163"/>
      <c r="C2956" s="163"/>
      <c r="J2956" s="165"/>
      <c r="K2956" s="166"/>
      <c r="L2956" s="166"/>
    </row>
    <row r="2957">
      <c r="A2957" s="163" t="s">
        <v>222</v>
      </c>
      <c r="B2957" s="163"/>
      <c r="C2957" s="163"/>
      <c r="J2957" s="165"/>
      <c r="K2957" s="166"/>
      <c r="L2957" s="166"/>
    </row>
    <row r="2958">
      <c r="A2958" s="163" t="s">
        <v>222</v>
      </c>
      <c r="B2958" s="163"/>
      <c r="C2958" s="163"/>
      <c r="J2958" s="165"/>
      <c r="K2958" s="166"/>
      <c r="L2958" s="166"/>
    </row>
    <row r="2959">
      <c r="A2959" s="163" t="s">
        <v>222</v>
      </c>
      <c r="B2959" s="163"/>
      <c r="C2959" s="163"/>
      <c r="J2959" s="165"/>
      <c r="K2959" s="166"/>
      <c r="L2959" s="166"/>
    </row>
    <row r="2960">
      <c r="A2960" s="163" t="s">
        <v>222</v>
      </c>
      <c r="B2960" s="163"/>
      <c r="C2960" s="163"/>
      <c r="J2960" s="165"/>
      <c r="K2960" s="166"/>
      <c r="L2960" s="166"/>
    </row>
    <row r="2961">
      <c r="A2961" s="163" t="s">
        <v>222</v>
      </c>
      <c r="B2961" s="163"/>
      <c r="C2961" s="163"/>
      <c r="J2961" s="165"/>
      <c r="K2961" s="166"/>
      <c r="L2961" s="166"/>
    </row>
    <row r="2962">
      <c r="A2962" s="163" t="s">
        <v>222</v>
      </c>
      <c r="B2962" s="163"/>
      <c r="C2962" s="163"/>
      <c r="J2962" s="165"/>
      <c r="K2962" s="166"/>
      <c r="L2962" s="166"/>
    </row>
    <row r="2963">
      <c r="A2963" s="163" t="s">
        <v>222</v>
      </c>
      <c r="B2963" s="163"/>
      <c r="C2963" s="163"/>
      <c r="J2963" s="165"/>
      <c r="K2963" s="166"/>
      <c r="L2963" s="166"/>
    </row>
    <row r="2964">
      <c r="A2964" s="163" t="s">
        <v>222</v>
      </c>
      <c r="B2964" s="163"/>
      <c r="C2964" s="163"/>
      <c r="J2964" s="165"/>
      <c r="K2964" s="166"/>
      <c r="L2964" s="166"/>
    </row>
    <row r="2965">
      <c r="A2965" s="163" t="s">
        <v>222</v>
      </c>
      <c r="B2965" s="163"/>
      <c r="C2965" s="163"/>
      <c r="J2965" s="165"/>
      <c r="K2965" s="166"/>
      <c r="L2965" s="166"/>
    </row>
    <row r="2966">
      <c r="A2966" s="163" t="s">
        <v>222</v>
      </c>
      <c r="B2966" s="163"/>
      <c r="C2966" s="163"/>
      <c r="J2966" s="165"/>
      <c r="K2966" s="166"/>
      <c r="L2966" s="166"/>
    </row>
    <row r="2967">
      <c r="A2967" s="163" t="s">
        <v>222</v>
      </c>
      <c r="B2967" s="163"/>
      <c r="C2967" s="163"/>
      <c r="J2967" s="165"/>
      <c r="K2967" s="166"/>
      <c r="L2967" s="166"/>
    </row>
    <row r="2968">
      <c r="A2968" s="163" t="s">
        <v>222</v>
      </c>
      <c r="B2968" s="163"/>
      <c r="C2968" s="163"/>
      <c r="J2968" s="165"/>
      <c r="K2968" s="166"/>
      <c r="L2968" s="166"/>
    </row>
    <row r="2969">
      <c r="A2969" s="163" t="s">
        <v>222</v>
      </c>
      <c r="B2969" s="163"/>
      <c r="C2969" s="163"/>
      <c r="J2969" s="165"/>
      <c r="K2969" s="166"/>
      <c r="L2969" s="166"/>
    </row>
    <row r="2970">
      <c r="A2970" s="163" t="s">
        <v>222</v>
      </c>
      <c r="B2970" s="163"/>
      <c r="C2970" s="163"/>
      <c r="J2970" s="165"/>
      <c r="K2970" s="166"/>
      <c r="L2970" s="166"/>
    </row>
    <row r="2971">
      <c r="A2971" s="163" t="s">
        <v>222</v>
      </c>
      <c r="B2971" s="163"/>
      <c r="C2971" s="163"/>
      <c r="J2971" s="165"/>
      <c r="K2971" s="166"/>
      <c r="L2971" s="166"/>
    </row>
    <row r="2972">
      <c r="A2972" s="163" t="s">
        <v>222</v>
      </c>
      <c r="B2972" s="163"/>
      <c r="C2972" s="163"/>
      <c r="J2972" s="165"/>
      <c r="K2972" s="166"/>
      <c r="L2972" s="166"/>
    </row>
    <row r="2973">
      <c r="A2973" s="163" t="s">
        <v>222</v>
      </c>
      <c r="B2973" s="163"/>
      <c r="C2973" s="163"/>
      <c r="J2973" s="165"/>
      <c r="K2973" s="166"/>
      <c r="L2973" s="166"/>
    </row>
    <row r="2974">
      <c r="A2974" s="163" t="s">
        <v>222</v>
      </c>
      <c r="B2974" s="163"/>
      <c r="C2974" s="163"/>
      <c r="J2974" s="165"/>
      <c r="K2974" s="166"/>
      <c r="L2974" s="166"/>
    </row>
    <row r="2975">
      <c r="A2975" s="163" t="s">
        <v>222</v>
      </c>
      <c r="B2975" s="163"/>
      <c r="C2975" s="163"/>
      <c r="J2975" s="165"/>
      <c r="K2975" s="166"/>
      <c r="L2975" s="166"/>
    </row>
    <row r="2976">
      <c r="A2976" s="163" t="s">
        <v>222</v>
      </c>
      <c r="B2976" s="163"/>
      <c r="C2976" s="163"/>
      <c r="J2976" s="165"/>
      <c r="K2976" s="166"/>
      <c r="L2976" s="166"/>
    </row>
    <row r="2977">
      <c r="A2977" s="163" t="s">
        <v>222</v>
      </c>
      <c r="B2977" s="163"/>
      <c r="C2977" s="163"/>
      <c r="J2977" s="165"/>
      <c r="K2977" s="166"/>
      <c r="L2977" s="166"/>
    </row>
    <row r="2978">
      <c r="A2978" s="163" t="s">
        <v>222</v>
      </c>
      <c r="B2978" s="163"/>
      <c r="C2978" s="163"/>
      <c r="J2978" s="165"/>
      <c r="K2978" s="166"/>
      <c r="L2978" s="166"/>
    </row>
    <row r="2979">
      <c r="A2979" s="163" t="s">
        <v>222</v>
      </c>
      <c r="B2979" s="163"/>
      <c r="C2979" s="163"/>
      <c r="J2979" s="165"/>
      <c r="K2979" s="166"/>
      <c r="L2979" s="166"/>
    </row>
    <row r="2980">
      <c r="A2980" s="163" t="s">
        <v>222</v>
      </c>
      <c r="B2980" s="163"/>
      <c r="C2980" s="163"/>
      <c r="J2980" s="165"/>
      <c r="K2980" s="166"/>
      <c r="L2980" s="166"/>
    </row>
    <row r="2981">
      <c r="A2981" s="163" t="s">
        <v>222</v>
      </c>
      <c r="B2981" s="163"/>
      <c r="C2981" s="163"/>
      <c r="J2981" s="165"/>
      <c r="K2981" s="166"/>
      <c r="L2981" s="166"/>
    </row>
    <row r="2982">
      <c r="A2982" s="163" t="s">
        <v>222</v>
      </c>
      <c r="B2982" s="163"/>
      <c r="C2982" s="163"/>
      <c r="J2982" s="165"/>
      <c r="K2982" s="166"/>
      <c r="L2982" s="166"/>
    </row>
    <row r="2983">
      <c r="A2983" s="163" t="s">
        <v>222</v>
      </c>
      <c r="B2983" s="163"/>
      <c r="C2983" s="163"/>
      <c r="J2983" s="165"/>
      <c r="K2983" s="166"/>
      <c r="L2983" s="166"/>
    </row>
    <row r="2984">
      <c r="A2984" s="163" t="s">
        <v>222</v>
      </c>
      <c r="B2984" s="163"/>
      <c r="C2984" s="163"/>
      <c r="J2984" s="165"/>
      <c r="K2984" s="166"/>
      <c r="L2984" s="166"/>
    </row>
    <row r="2985">
      <c r="A2985" s="163" t="s">
        <v>222</v>
      </c>
      <c r="B2985" s="163"/>
      <c r="C2985" s="163"/>
      <c r="J2985" s="165"/>
      <c r="K2985" s="166"/>
      <c r="L2985" s="166"/>
    </row>
    <row r="2986">
      <c r="A2986" s="163" t="s">
        <v>222</v>
      </c>
      <c r="B2986" s="163"/>
      <c r="C2986" s="163"/>
      <c r="J2986" s="165"/>
      <c r="K2986" s="166"/>
      <c r="L2986" s="166"/>
    </row>
    <row r="2987">
      <c r="A2987" s="163" t="s">
        <v>222</v>
      </c>
      <c r="B2987" s="163"/>
      <c r="C2987" s="163"/>
      <c r="J2987" s="165"/>
      <c r="K2987" s="166"/>
      <c r="L2987" s="166"/>
    </row>
    <row r="2988">
      <c r="A2988" s="163" t="s">
        <v>222</v>
      </c>
      <c r="B2988" s="163"/>
      <c r="C2988" s="163"/>
      <c r="J2988" s="165"/>
      <c r="K2988" s="166"/>
      <c r="L2988" s="166"/>
    </row>
    <row r="2989">
      <c r="A2989" s="163" t="s">
        <v>222</v>
      </c>
      <c r="B2989" s="163"/>
      <c r="C2989" s="163"/>
      <c r="J2989" s="165"/>
      <c r="K2989" s="166"/>
      <c r="L2989" s="166"/>
    </row>
    <row r="2990">
      <c r="A2990" s="163" t="s">
        <v>222</v>
      </c>
      <c r="B2990" s="163"/>
      <c r="C2990" s="163"/>
      <c r="J2990" s="165"/>
      <c r="K2990" s="166"/>
      <c r="L2990" s="166"/>
    </row>
    <row r="2991">
      <c r="A2991" s="163" t="s">
        <v>222</v>
      </c>
      <c r="B2991" s="163"/>
      <c r="C2991" s="163"/>
      <c r="J2991" s="165"/>
      <c r="K2991" s="166"/>
      <c r="L2991" s="166"/>
    </row>
    <row r="2992">
      <c r="A2992" s="163" t="s">
        <v>222</v>
      </c>
      <c r="B2992" s="163"/>
      <c r="C2992" s="163"/>
      <c r="J2992" s="165"/>
      <c r="K2992" s="166"/>
      <c r="L2992" s="166"/>
    </row>
    <row r="2993">
      <c r="A2993" s="163" t="s">
        <v>222</v>
      </c>
      <c r="B2993" s="163"/>
      <c r="C2993" s="163"/>
      <c r="J2993" s="165"/>
      <c r="K2993" s="166"/>
      <c r="L2993" s="166"/>
    </row>
    <row r="2994">
      <c r="A2994" s="163" t="s">
        <v>222</v>
      </c>
      <c r="B2994" s="163"/>
      <c r="C2994" s="163"/>
      <c r="J2994" s="165"/>
      <c r="K2994" s="166"/>
      <c r="L2994" s="166"/>
    </row>
    <row r="2995">
      <c r="A2995" s="163" t="s">
        <v>222</v>
      </c>
      <c r="B2995" s="163"/>
      <c r="C2995" s="163"/>
      <c r="J2995" s="165"/>
      <c r="K2995" s="166"/>
      <c r="L2995" s="166"/>
    </row>
    <row r="2996">
      <c r="A2996" s="163" t="s">
        <v>222</v>
      </c>
      <c r="B2996" s="163"/>
      <c r="C2996" s="163"/>
      <c r="J2996" s="165"/>
      <c r="K2996" s="166"/>
      <c r="L2996" s="166"/>
    </row>
    <row r="2997">
      <c r="A2997" s="163" t="s">
        <v>222</v>
      </c>
      <c r="B2997" s="163"/>
      <c r="C2997" s="163"/>
      <c r="J2997" s="165"/>
      <c r="K2997" s="166"/>
      <c r="L2997" s="166"/>
    </row>
    <row r="2998">
      <c r="A2998" s="163" t="s">
        <v>222</v>
      </c>
      <c r="B2998" s="163"/>
      <c r="C2998" s="163"/>
      <c r="J2998" s="165"/>
      <c r="K2998" s="166"/>
      <c r="L2998" s="166"/>
    </row>
    <row r="2999">
      <c r="A2999" s="163" t="s">
        <v>222</v>
      </c>
      <c r="B2999" s="163"/>
      <c r="C2999" s="163"/>
      <c r="J2999" s="165"/>
      <c r="K2999" s="166"/>
      <c r="L2999" s="166"/>
    </row>
    <row r="3000">
      <c r="A3000" s="163" t="s">
        <v>222</v>
      </c>
      <c r="B3000" s="163"/>
      <c r="C3000" s="163"/>
      <c r="J3000" s="165"/>
      <c r="K3000" s="166"/>
      <c r="L3000" s="166"/>
    </row>
    <row r="3001">
      <c r="A3001" s="163" t="s">
        <v>222</v>
      </c>
      <c r="B3001" s="163"/>
      <c r="C3001" s="163"/>
      <c r="J3001" s="165"/>
      <c r="K3001" s="166"/>
      <c r="L3001" s="166"/>
    </row>
    <row r="3002">
      <c r="A3002" s="163" t="s">
        <v>222</v>
      </c>
      <c r="B3002" s="163"/>
      <c r="C3002" s="163"/>
      <c r="J3002" s="165"/>
      <c r="K3002" s="166"/>
      <c r="L3002" s="166"/>
    </row>
    <row r="3003">
      <c r="A3003" s="163" t="s">
        <v>222</v>
      </c>
      <c r="B3003" s="163"/>
      <c r="C3003" s="163"/>
      <c r="J3003" s="165"/>
      <c r="K3003" s="166"/>
      <c r="L3003" s="166"/>
    </row>
    <row r="3004">
      <c r="A3004" s="163" t="s">
        <v>222</v>
      </c>
      <c r="B3004" s="163"/>
      <c r="C3004" s="163"/>
      <c r="J3004" s="165"/>
      <c r="K3004" s="166"/>
      <c r="L3004" s="166"/>
    </row>
    <row r="3005">
      <c r="A3005" s="163" t="s">
        <v>222</v>
      </c>
      <c r="B3005" s="163"/>
      <c r="C3005" s="163"/>
      <c r="J3005" s="165"/>
      <c r="K3005" s="166"/>
      <c r="L3005" s="166"/>
    </row>
    <row r="3006">
      <c r="A3006" s="163" t="s">
        <v>222</v>
      </c>
      <c r="B3006" s="163"/>
      <c r="C3006" s="163"/>
      <c r="J3006" s="165"/>
      <c r="K3006" s="166"/>
      <c r="L3006" s="166"/>
    </row>
    <row r="3007">
      <c r="A3007" s="163" t="s">
        <v>222</v>
      </c>
      <c r="B3007" s="163"/>
      <c r="C3007" s="163"/>
      <c r="J3007" s="165"/>
      <c r="K3007" s="166"/>
      <c r="L3007" s="166"/>
    </row>
    <row r="3008">
      <c r="A3008" s="163" t="s">
        <v>222</v>
      </c>
      <c r="B3008" s="163"/>
      <c r="C3008" s="163"/>
      <c r="J3008" s="165"/>
      <c r="K3008" s="166"/>
      <c r="L3008" s="166"/>
    </row>
    <row r="3009">
      <c r="A3009" s="163" t="s">
        <v>222</v>
      </c>
      <c r="B3009" s="163"/>
      <c r="C3009" s="163"/>
      <c r="J3009" s="165"/>
      <c r="K3009" s="166"/>
      <c r="L3009" s="166"/>
    </row>
    <row r="3010">
      <c r="A3010" s="163" t="s">
        <v>222</v>
      </c>
      <c r="B3010" s="163"/>
      <c r="C3010" s="163"/>
      <c r="J3010" s="165"/>
      <c r="K3010" s="166"/>
      <c r="L3010" s="166"/>
    </row>
    <row r="3011">
      <c r="A3011" s="163" t="s">
        <v>222</v>
      </c>
      <c r="B3011" s="163"/>
      <c r="C3011" s="163"/>
      <c r="J3011" s="165"/>
      <c r="K3011" s="166"/>
      <c r="L3011" s="166"/>
    </row>
    <row r="3012">
      <c r="A3012" s="163" t="s">
        <v>222</v>
      </c>
      <c r="B3012" s="163"/>
      <c r="C3012" s="163"/>
      <c r="J3012" s="165"/>
      <c r="K3012" s="166"/>
      <c r="L3012" s="166"/>
    </row>
    <row r="3013">
      <c r="A3013" s="163" t="s">
        <v>222</v>
      </c>
      <c r="B3013" s="163"/>
      <c r="C3013" s="163"/>
      <c r="J3013" s="165"/>
      <c r="K3013" s="166"/>
      <c r="L3013" s="166"/>
    </row>
    <row r="3014">
      <c r="A3014" s="163" t="s">
        <v>222</v>
      </c>
      <c r="B3014" s="163"/>
      <c r="C3014" s="163"/>
      <c r="J3014" s="165"/>
      <c r="K3014" s="166"/>
      <c r="L3014" s="166"/>
    </row>
    <row r="3015">
      <c r="A3015" s="163" t="s">
        <v>222</v>
      </c>
      <c r="B3015" s="163"/>
      <c r="C3015" s="163"/>
      <c r="J3015" s="165"/>
      <c r="K3015" s="166"/>
      <c r="L3015" s="166"/>
    </row>
    <row r="3016">
      <c r="A3016" s="163" t="s">
        <v>222</v>
      </c>
      <c r="B3016" s="163"/>
      <c r="C3016" s="163"/>
      <c r="J3016" s="165"/>
      <c r="K3016" s="166"/>
      <c r="L3016" s="166"/>
    </row>
    <row r="3017">
      <c r="A3017" s="163" t="s">
        <v>222</v>
      </c>
      <c r="B3017" s="163"/>
      <c r="C3017" s="163"/>
      <c r="J3017" s="165"/>
      <c r="K3017" s="166"/>
      <c r="L3017" s="166"/>
    </row>
    <row r="3018">
      <c r="A3018" s="163" t="s">
        <v>222</v>
      </c>
      <c r="B3018" s="163"/>
      <c r="C3018" s="163"/>
      <c r="J3018" s="165"/>
      <c r="K3018" s="166"/>
      <c r="L3018" s="166"/>
    </row>
    <row r="3019">
      <c r="A3019" s="163" t="s">
        <v>222</v>
      </c>
      <c r="B3019" s="163"/>
      <c r="C3019" s="163"/>
      <c r="J3019" s="165"/>
      <c r="K3019" s="166"/>
      <c r="L3019" s="166"/>
    </row>
    <row r="3020">
      <c r="A3020" s="163" t="s">
        <v>222</v>
      </c>
      <c r="B3020" s="163"/>
      <c r="C3020" s="163"/>
      <c r="J3020" s="165"/>
      <c r="K3020" s="166"/>
      <c r="L3020" s="166"/>
    </row>
    <row r="3021">
      <c r="A3021" s="163" t="s">
        <v>222</v>
      </c>
      <c r="B3021" s="163"/>
      <c r="C3021" s="163"/>
      <c r="J3021" s="165"/>
      <c r="K3021" s="166"/>
      <c r="L3021" s="166"/>
    </row>
    <row r="3022">
      <c r="A3022" s="163" t="s">
        <v>222</v>
      </c>
      <c r="B3022" s="163"/>
      <c r="C3022" s="163"/>
      <c r="J3022" s="165"/>
      <c r="K3022" s="166"/>
      <c r="L3022" s="166"/>
    </row>
    <row r="3023">
      <c r="A3023" s="163" t="s">
        <v>222</v>
      </c>
      <c r="B3023" s="163"/>
      <c r="C3023" s="163"/>
      <c r="J3023" s="165"/>
      <c r="K3023" s="166"/>
      <c r="L3023" s="166"/>
    </row>
    <row r="3024">
      <c r="A3024" s="163" t="s">
        <v>222</v>
      </c>
      <c r="B3024" s="163"/>
      <c r="C3024" s="163"/>
      <c r="J3024" s="165"/>
      <c r="K3024" s="166"/>
      <c r="L3024" s="166"/>
    </row>
    <row r="3025">
      <c r="A3025" s="163" t="s">
        <v>222</v>
      </c>
      <c r="B3025" s="163"/>
      <c r="C3025" s="163"/>
      <c r="J3025" s="165"/>
      <c r="K3025" s="166"/>
      <c r="L3025" s="166"/>
    </row>
    <row r="3026">
      <c r="A3026" s="163" t="s">
        <v>222</v>
      </c>
      <c r="B3026" s="163"/>
      <c r="C3026" s="163"/>
      <c r="J3026" s="165"/>
      <c r="K3026" s="166"/>
      <c r="L3026" s="166"/>
    </row>
    <row r="3027">
      <c r="A3027" s="163" t="s">
        <v>222</v>
      </c>
      <c r="B3027" s="163"/>
      <c r="C3027" s="163"/>
      <c r="J3027" s="165"/>
      <c r="K3027" s="166"/>
      <c r="L3027" s="166"/>
    </row>
    <row r="3028">
      <c r="A3028" s="163" t="s">
        <v>222</v>
      </c>
      <c r="B3028" s="163"/>
      <c r="C3028" s="163"/>
      <c r="J3028" s="165"/>
      <c r="K3028" s="166"/>
      <c r="L3028" s="166"/>
    </row>
    <row r="3029">
      <c r="A3029" s="163" t="s">
        <v>222</v>
      </c>
      <c r="B3029" s="163"/>
      <c r="C3029" s="163"/>
      <c r="J3029" s="165"/>
      <c r="K3029" s="166"/>
      <c r="L3029" s="166"/>
    </row>
    <row r="3030">
      <c r="A3030" s="163" t="s">
        <v>222</v>
      </c>
      <c r="B3030" s="163"/>
      <c r="C3030" s="163"/>
      <c r="J3030" s="165"/>
      <c r="K3030" s="166"/>
      <c r="L3030" s="166"/>
    </row>
    <row r="3031">
      <c r="A3031" s="163" t="s">
        <v>222</v>
      </c>
      <c r="B3031" s="163"/>
      <c r="C3031" s="163"/>
      <c r="J3031" s="165"/>
      <c r="K3031" s="166"/>
      <c r="L3031" s="166"/>
    </row>
    <row r="3032">
      <c r="A3032" s="163" t="s">
        <v>222</v>
      </c>
      <c r="B3032" s="163"/>
      <c r="C3032" s="163"/>
      <c r="J3032" s="165"/>
      <c r="K3032" s="166"/>
      <c r="L3032" s="166"/>
    </row>
    <row r="3033">
      <c r="A3033" s="163" t="s">
        <v>222</v>
      </c>
      <c r="B3033" s="163"/>
      <c r="C3033" s="163"/>
      <c r="J3033" s="165"/>
      <c r="K3033" s="166"/>
      <c r="L3033" s="166"/>
    </row>
    <row r="3034">
      <c r="A3034" s="163" t="s">
        <v>222</v>
      </c>
      <c r="B3034" s="163"/>
      <c r="C3034" s="163"/>
      <c r="J3034" s="165"/>
      <c r="K3034" s="166"/>
      <c r="L3034" s="166"/>
    </row>
    <row r="3035">
      <c r="A3035" s="163" t="s">
        <v>222</v>
      </c>
      <c r="B3035" s="163"/>
      <c r="C3035" s="163"/>
      <c r="J3035" s="165"/>
      <c r="K3035" s="166"/>
      <c r="L3035" s="166"/>
    </row>
    <row r="3036">
      <c r="A3036" s="163" t="s">
        <v>222</v>
      </c>
      <c r="B3036" s="163"/>
      <c r="C3036" s="163"/>
      <c r="J3036" s="165"/>
      <c r="K3036" s="166"/>
      <c r="L3036" s="166"/>
    </row>
    <row r="3037">
      <c r="A3037" s="163" t="s">
        <v>222</v>
      </c>
      <c r="B3037" s="163"/>
      <c r="C3037" s="163"/>
      <c r="J3037" s="165"/>
      <c r="K3037" s="166"/>
      <c r="L3037" s="166"/>
    </row>
    <row r="3038">
      <c r="A3038" s="163" t="s">
        <v>222</v>
      </c>
      <c r="B3038" s="163"/>
      <c r="C3038" s="163"/>
      <c r="J3038" s="165"/>
      <c r="K3038" s="166"/>
      <c r="L3038" s="166"/>
    </row>
    <row r="3039">
      <c r="A3039" s="163" t="s">
        <v>222</v>
      </c>
      <c r="B3039" s="163"/>
      <c r="C3039" s="163"/>
      <c r="J3039" s="165"/>
      <c r="K3039" s="166"/>
      <c r="L3039" s="166"/>
    </row>
    <row r="3040">
      <c r="A3040" s="163" t="s">
        <v>222</v>
      </c>
      <c r="B3040" s="163"/>
      <c r="C3040" s="163"/>
      <c r="J3040" s="165"/>
      <c r="K3040" s="166"/>
      <c r="L3040" s="166"/>
    </row>
    <row r="3041">
      <c r="A3041" s="163" t="s">
        <v>222</v>
      </c>
      <c r="B3041" s="163"/>
      <c r="C3041" s="163"/>
      <c r="J3041" s="165"/>
      <c r="K3041" s="166"/>
      <c r="L3041" s="166"/>
    </row>
    <row r="3042">
      <c r="A3042" s="163" t="s">
        <v>222</v>
      </c>
      <c r="B3042" s="163"/>
      <c r="C3042" s="163"/>
      <c r="J3042" s="165"/>
      <c r="K3042" s="166"/>
      <c r="L3042" s="166"/>
    </row>
    <row r="3043">
      <c r="A3043" s="163" t="s">
        <v>222</v>
      </c>
      <c r="B3043" s="163"/>
      <c r="C3043" s="163"/>
      <c r="J3043" s="165"/>
      <c r="K3043" s="166"/>
      <c r="L3043" s="166"/>
    </row>
    <row r="3044">
      <c r="A3044" s="163" t="s">
        <v>222</v>
      </c>
      <c r="B3044" s="163"/>
      <c r="C3044" s="163"/>
      <c r="J3044" s="165"/>
      <c r="K3044" s="166"/>
      <c r="L3044" s="166"/>
    </row>
    <row r="3045">
      <c r="A3045" s="163" t="s">
        <v>222</v>
      </c>
      <c r="B3045" s="163"/>
      <c r="C3045" s="163"/>
      <c r="J3045" s="165"/>
      <c r="K3045" s="166"/>
      <c r="L3045" s="166"/>
    </row>
    <row r="3046">
      <c r="A3046" s="163" t="s">
        <v>222</v>
      </c>
      <c r="B3046" s="163"/>
      <c r="C3046" s="163"/>
      <c r="J3046" s="165"/>
      <c r="K3046" s="166"/>
      <c r="L3046" s="166"/>
    </row>
    <row r="3047">
      <c r="A3047" s="163" t="s">
        <v>222</v>
      </c>
      <c r="B3047" s="163"/>
      <c r="C3047" s="163"/>
      <c r="J3047" s="165"/>
      <c r="K3047" s="166"/>
      <c r="L3047" s="166"/>
    </row>
    <row r="3048">
      <c r="A3048" s="163" t="s">
        <v>222</v>
      </c>
      <c r="B3048" s="163"/>
      <c r="C3048" s="163"/>
      <c r="J3048" s="165"/>
      <c r="K3048" s="166"/>
      <c r="L3048" s="166"/>
    </row>
    <row r="3049">
      <c r="A3049" s="163" t="s">
        <v>222</v>
      </c>
      <c r="B3049" s="163"/>
      <c r="C3049" s="163"/>
      <c r="J3049" s="165"/>
      <c r="K3049" s="166"/>
      <c r="L3049" s="166"/>
    </row>
    <row r="3050">
      <c r="A3050" s="163" t="s">
        <v>222</v>
      </c>
      <c r="B3050" s="163"/>
      <c r="C3050" s="163"/>
      <c r="J3050" s="165"/>
      <c r="K3050" s="166"/>
      <c r="L3050" s="166"/>
    </row>
    <row r="3051">
      <c r="A3051" s="163" t="s">
        <v>222</v>
      </c>
      <c r="B3051" s="163"/>
      <c r="C3051" s="163"/>
      <c r="J3051" s="165"/>
      <c r="K3051" s="166"/>
      <c r="L3051" s="166"/>
    </row>
    <row r="3052">
      <c r="A3052" s="163" t="s">
        <v>222</v>
      </c>
      <c r="B3052" s="163"/>
      <c r="C3052" s="163"/>
      <c r="J3052" s="165"/>
      <c r="K3052" s="166"/>
      <c r="L3052" s="166"/>
    </row>
    <row r="3053">
      <c r="A3053" s="163" t="s">
        <v>222</v>
      </c>
      <c r="B3053" s="163"/>
      <c r="C3053" s="163"/>
      <c r="J3053" s="165"/>
      <c r="K3053" s="166"/>
      <c r="L3053" s="166"/>
    </row>
    <row r="3054">
      <c r="A3054" s="163" t="s">
        <v>222</v>
      </c>
      <c r="B3054" s="163"/>
      <c r="C3054" s="163"/>
      <c r="J3054" s="165"/>
      <c r="K3054" s="166"/>
      <c r="L3054" s="166"/>
    </row>
    <row r="3055">
      <c r="A3055" s="163" t="s">
        <v>222</v>
      </c>
      <c r="B3055" s="163"/>
      <c r="C3055" s="163"/>
      <c r="J3055" s="165"/>
      <c r="K3055" s="166"/>
      <c r="L3055" s="166"/>
    </row>
    <row r="3056">
      <c r="A3056" s="163" t="s">
        <v>222</v>
      </c>
      <c r="B3056" s="163"/>
      <c r="C3056" s="163"/>
      <c r="J3056" s="165"/>
      <c r="K3056" s="166"/>
      <c r="L3056" s="166"/>
    </row>
    <row r="3057">
      <c r="A3057" s="163" t="s">
        <v>222</v>
      </c>
      <c r="B3057" s="163"/>
      <c r="C3057" s="163"/>
      <c r="J3057" s="165"/>
      <c r="K3057" s="166"/>
      <c r="L3057" s="166"/>
    </row>
    <row r="3058">
      <c r="A3058" s="163" t="s">
        <v>222</v>
      </c>
      <c r="B3058" s="163"/>
      <c r="C3058" s="163"/>
      <c r="J3058" s="165"/>
      <c r="K3058" s="166"/>
      <c r="L3058" s="166"/>
    </row>
    <row r="3059">
      <c r="A3059" s="163" t="s">
        <v>222</v>
      </c>
      <c r="B3059" s="163"/>
      <c r="C3059" s="163"/>
      <c r="J3059" s="165"/>
      <c r="K3059" s="166"/>
      <c r="L3059" s="166"/>
    </row>
    <row r="3060">
      <c r="A3060" s="163" t="s">
        <v>222</v>
      </c>
      <c r="B3060" s="163"/>
      <c r="C3060" s="163"/>
      <c r="J3060" s="165"/>
      <c r="K3060" s="166"/>
      <c r="L3060" s="166"/>
    </row>
    <row r="3061">
      <c r="A3061" s="163" t="s">
        <v>222</v>
      </c>
      <c r="B3061" s="163"/>
      <c r="C3061" s="163"/>
      <c r="J3061" s="165"/>
      <c r="K3061" s="166"/>
      <c r="L3061" s="166"/>
    </row>
    <row r="3062">
      <c r="A3062" s="163" t="s">
        <v>222</v>
      </c>
      <c r="B3062" s="163"/>
      <c r="C3062" s="163"/>
      <c r="J3062" s="165"/>
      <c r="K3062" s="166"/>
      <c r="L3062" s="166"/>
    </row>
    <row r="3063">
      <c r="A3063" s="163" t="s">
        <v>222</v>
      </c>
      <c r="B3063" s="163"/>
      <c r="C3063" s="163"/>
      <c r="J3063" s="165"/>
      <c r="K3063" s="166"/>
      <c r="L3063" s="166"/>
    </row>
    <row r="3064">
      <c r="A3064" s="163" t="s">
        <v>222</v>
      </c>
      <c r="B3064" s="163"/>
      <c r="C3064" s="163"/>
      <c r="J3064" s="165"/>
      <c r="K3064" s="166"/>
      <c r="L3064" s="166"/>
    </row>
    <row r="3065">
      <c r="A3065" s="163" t="s">
        <v>222</v>
      </c>
      <c r="B3065" s="163"/>
      <c r="C3065" s="163"/>
      <c r="J3065" s="165"/>
      <c r="K3065" s="166"/>
      <c r="L3065" s="166"/>
    </row>
    <row r="3066">
      <c r="A3066" s="163" t="s">
        <v>222</v>
      </c>
      <c r="B3066" s="163"/>
      <c r="C3066" s="163"/>
      <c r="J3066" s="165"/>
      <c r="K3066" s="166"/>
      <c r="L3066" s="166"/>
    </row>
    <row r="3067">
      <c r="A3067" s="163" t="s">
        <v>222</v>
      </c>
      <c r="B3067" s="163"/>
      <c r="C3067" s="163"/>
      <c r="J3067" s="165"/>
      <c r="K3067" s="166"/>
      <c r="L3067" s="166"/>
    </row>
    <row r="3068">
      <c r="A3068" s="163" t="s">
        <v>222</v>
      </c>
      <c r="B3068" s="163"/>
      <c r="C3068" s="163"/>
      <c r="J3068" s="165"/>
      <c r="K3068" s="166"/>
      <c r="L3068" s="166"/>
    </row>
    <row r="3069">
      <c r="A3069" s="163" t="s">
        <v>222</v>
      </c>
      <c r="B3069" s="163"/>
      <c r="C3069" s="163"/>
      <c r="J3069" s="165"/>
      <c r="K3069" s="166"/>
      <c r="L3069" s="166"/>
    </row>
    <row r="3070">
      <c r="A3070" s="163" t="s">
        <v>222</v>
      </c>
      <c r="B3070" s="163"/>
      <c r="C3070" s="163"/>
      <c r="J3070" s="165"/>
      <c r="K3070" s="166"/>
      <c r="L3070" s="166"/>
    </row>
    <row r="3071">
      <c r="A3071" s="163" t="s">
        <v>222</v>
      </c>
      <c r="B3071" s="163"/>
      <c r="C3071" s="163"/>
      <c r="J3071" s="165"/>
      <c r="K3071" s="166"/>
      <c r="L3071" s="166"/>
    </row>
    <row r="3072">
      <c r="A3072" s="163" t="s">
        <v>222</v>
      </c>
      <c r="B3072" s="163"/>
      <c r="C3072" s="163"/>
      <c r="J3072" s="165"/>
      <c r="K3072" s="166"/>
      <c r="L3072" s="166"/>
    </row>
    <row r="3073">
      <c r="A3073" s="163" t="s">
        <v>222</v>
      </c>
      <c r="B3073" s="163"/>
      <c r="C3073" s="163"/>
      <c r="J3073" s="165"/>
      <c r="K3073" s="166"/>
      <c r="L3073" s="166"/>
    </row>
    <row r="3074">
      <c r="A3074" s="163" t="s">
        <v>222</v>
      </c>
      <c r="B3074" s="163"/>
      <c r="C3074" s="163"/>
      <c r="J3074" s="165"/>
      <c r="K3074" s="166"/>
      <c r="L3074" s="166"/>
    </row>
    <row r="3075">
      <c r="A3075" s="163" t="s">
        <v>222</v>
      </c>
      <c r="B3075" s="163"/>
      <c r="C3075" s="163"/>
      <c r="J3075" s="165"/>
      <c r="K3075" s="166"/>
      <c r="L3075" s="166"/>
    </row>
    <row r="3076">
      <c r="A3076" s="163" t="s">
        <v>222</v>
      </c>
      <c r="B3076" s="163"/>
      <c r="C3076" s="163"/>
      <c r="J3076" s="165"/>
      <c r="K3076" s="166"/>
      <c r="L3076" s="166"/>
    </row>
    <row r="3077">
      <c r="A3077" s="163" t="s">
        <v>222</v>
      </c>
      <c r="B3077" s="163"/>
      <c r="C3077" s="163"/>
      <c r="J3077" s="165"/>
      <c r="K3077" s="166"/>
      <c r="L3077" s="166"/>
    </row>
    <row r="3078">
      <c r="A3078" s="163" t="s">
        <v>222</v>
      </c>
      <c r="B3078" s="163"/>
      <c r="C3078" s="163"/>
      <c r="J3078" s="165"/>
      <c r="K3078" s="166"/>
      <c r="L3078" s="166"/>
    </row>
    <row r="3079">
      <c r="A3079" s="163" t="s">
        <v>222</v>
      </c>
      <c r="B3079" s="163"/>
      <c r="C3079" s="163"/>
      <c r="J3079" s="165"/>
      <c r="K3079" s="166"/>
      <c r="L3079" s="166"/>
    </row>
    <row r="3080">
      <c r="A3080" s="163" t="s">
        <v>222</v>
      </c>
      <c r="B3080" s="163"/>
      <c r="C3080" s="163"/>
      <c r="J3080" s="165"/>
      <c r="K3080" s="166"/>
      <c r="L3080" s="166"/>
    </row>
    <row r="3081">
      <c r="A3081" s="163" t="s">
        <v>222</v>
      </c>
      <c r="B3081" s="163"/>
      <c r="C3081" s="163"/>
      <c r="J3081" s="165"/>
      <c r="K3081" s="166"/>
      <c r="L3081" s="166"/>
    </row>
    <row r="3082">
      <c r="A3082" s="163" t="s">
        <v>222</v>
      </c>
      <c r="B3082" s="163"/>
      <c r="C3082" s="163"/>
      <c r="J3082" s="165"/>
      <c r="K3082" s="166"/>
      <c r="L3082" s="166"/>
    </row>
    <row r="3083">
      <c r="A3083" s="163" t="s">
        <v>222</v>
      </c>
      <c r="B3083" s="163"/>
      <c r="C3083" s="163"/>
      <c r="J3083" s="165"/>
      <c r="K3083" s="166"/>
      <c r="L3083" s="166"/>
    </row>
    <row r="3084">
      <c r="A3084" s="163" t="s">
        <v>222</v>
      </c>
      <c r="B3084" s="163"/>
      <c r="C3084" s="163"/>
      <c r="J3084" s="165"/>
      <c r="K3084" s="166"/>
      <c r="L3084" s="166"/>
    </row>
    <row r="3085">
      <c r="A3085" s="163" t="s">
        <v>222</v>
      </c>
      <c r="B3085" s="163"/>
      <c r="C3085" s="163"/>
      <c r="J3085" s="165"/>
      <c r="K3085" s="166"/>
      <c r="L3085" s="166"/>
    </row>
    <row r="3086">
      <c r="A3086" s="163" t="s">
        <v>222</v>
      </c>
      <c r="B3086" s="163"/>
      <c r="C3086" s="163"/>
      <c r="J3086" s="165"/>
      <c r="K3086" s="166"/>
      <c r="L3086" s="166"/>
    </row>
    <row r="3087">
      <c r="A3087" s="163" t="s">
        <v>222</v>
      </c>
      <c r="B3087" s="163"/>
      <c r="C3087" s="163"/>
      <c r="J3087" s="165"/>
      <c r="K3087" s="166"/>
      <c r="L3087" s="166"/>
    </row>
    <row r="3088">
      <c r="A3088" s="163" t="s">
        <v>222</v>
      </c>
      <c r="B3088" s="163"/>
      <c r="C3088" s="163"/>
      <c r="J3088" s="165"/>
      <c r="K3088" s="166"/>
      <c r="L3088" s="166"/>
    </row>
    <row r="3089">
      <c r="A3089" s="163" t="s">
        <v>222</v>
      </c>
      <c r="B3089" s="163"/>
      <c r="C3089" s="163"/>
      <c r="J3089" s="165"/>
      <c r="K3089" s="166"/>
      <c r="L3089" s="166"/>
    </row>
    <row r="3090">
      <c r="A3090" s="163" t="s">
        <v>222</v>
      </c>
      <c r="B3090" s="163"/>
      <c r="C3090" s="163"/>
      <c r="J3090" s="165"/>
      <c r="K3090" s="166"/>
      <c r="L3090" s="166"/>
    </row>
    <row r="3091">
      <c r="A3091" s="163" t="s">
        <v>222</v>
      </c>
      <c r="B3091" s="163"/>
      <c r="C3091" s="163"/>
      <c r="J3091" s="165"/>
      <c r="K3091" s="166"/>
      <c r="L3091" s="166"/>
    </row>
    <row r="3092">
      <c r="A3092" s="163" t="s">
        <v>222</v>
      </c>
      <c r="B3092" s="163"/>
      <c r="C3092" s="163"/>
      <c r="J3092" s="165"/>
      <c r="K3092" s="166"/>
      <c r="L3092" s="166"/>
    </row>
    <row r="3093">
      <c r="A3093" s="163" t="s">
        <v>222</v>
      </c>
      <c r="B3093" s="163"/>
      <c r="C3093" s="163"/>
      <c r="J3093" s="165"/>
      <c r="K3093" s="166"/>
      <c r="L3093" s="166"/>
    </row>
    <row r="3094">
      <c r="A3094" s="163" t="s">
        <v>222</v>
      </c>
      <c r="B3094" s="163"/>
      <c r="C3094" s="163"/>
      <c r="J3094" s="165"/>
      <c r="K3094" s="166"/>
      <c r="L3094" s="166"/>
    </row>
    <row r="3095">
      <c r="A3095" s="163" t="s">
        <v>222</v>
      </c>
      <c r="B3095" s="163"/>
      <c r="C3095" s="163"/>
      <c r="J3095" s="165"/>
      <c r="K3095" s="166"/>
      <c r="L3095" s="166"/>
    </row>
    <row r="3096">
      <c r="A3096" s="163" t="s">
        <v>222</v>
      </c>
      <c r="B3096" s="163"/>
      <c r="C3096" s="163"/>
      <c r="J3096" s="165"/>
      <c r="K3096" s="166"/>
      <c r="L3096" s="166"/>
    </row>
    <row r="3097">
      <c r="A3097" s="163" t="s">
        <v>222</v>
      </c>
      <c r="B3097" s="163"/>
      <c r="C3097" s="163"/>
      <c r="J3097" s="165"/>
      <c r="K3097" s="166"/>
      <c r="L3097" s="166"/>
    </row>
    <row r="3098">
      <c r="A3098" s="163" t="s">
        <v>222</v>
      </c>
      <c r="B3098" s="163"/>
      <c r="C3098" s="163"/>
      <c r="J3098" s="165"/>
      <c r="K3098" s="166"/>
      <c r="L3098" s="166"/>
    </row>
    <row r="3099">
      <c r="A3099" s="163" t="s">
        <v>222</v>
      </c>
      <c r="B3099" s="163"/>
      <c r="C3099" s="163"/>
      <c r="J3099" s="165"/>
      <c r="K3099" s="166"/>
      <c r="L3099" s="166"/>
    </row>
    <row r="3100">
      <c r="A3100" s="163" t="s">
        <v>222</v>
      </c>
      <c r="B3100" s="163"/>
      <c r="C3100" s="163"/>
      <c r="J3100" s="165"/>
      <c r="K3100" s="166"/>
      <c r="L3100" s="166"/>
    </row>
    <row r="3101">
      <c r="A3101" s="163" t="s">
        <v>222</v>
      </c>
      <c r="B3101" s="163"/>
      <c r="C3101" s="163"/>
      <c r="J3101" s="165"/>
      <c r="K3101" s="166"/>
      <c r="L3101" s="166"/>
    </row>
    <row r="3102">
      <c r="A3102" s="163" t="s">
        <v>222</v>
      </c>
      <c r="B3102" s="163"/>
      <c r="C3102" s="163"/>
      <c r="J3102" s="165"/>
      <c r="K3102" s="166"/>
      <c r="L3102" s="166"/>
    </row>
    <row r="3103">
      <c r="A3103" s="163" t="s">
        <v>222</v>
      </c>
      <c r="B3103" s="163"/>
      <c r="C3103" s="163"/>
      <c r="J3103" s="165"/>
      <c r="K3103" s="166"/>
      <c r="L3103" s="166"/>
    </row>
    <row r="3104">
      <c r="A3104" s="163" t="s">
        <v>222</v>
      </c>
      <c r="B3104" s="163"/>
      <c r="C3104" s="163"/>
      <c r="J3104" s="165"/>
      <c r="K3104" s="166"/>
      <c r="L3104" s="166"/>
    </row>
    <row r="3105">
      <c r="A3105" s="163" t="s">
        <v>222</v>
      </c>
      <c r="B3105" s="163"/>
      <c r="C3105" s="163"/>
      <c r="J3105" s="165"/>
      <c r="K3105" s="166"/>
      <c r="L3105" s="166"/>
    </row>
    <row r="3106">
      <c r="A3106" s="163" t="s">
        <v>222</v>
      </c>
      <c r="B3106" s="163"/>
      <c r="C3106" s="163"/>
      <c r="J3106" s="165"/>
      <c r="K3106" s="166"/>
      <c r="L3106" s="166"/>
    </row>
    <row r="3107">
      <c r="A3107" s="163" t="s">
        <v>222</v>
      </c>
      <c r="B3107" s="163"/>
      <c r="C3107" s="163"/>
      <c r="J3107" s="165"/>
      <c r="K3107" s="166"/>
      <c r="L3107" s="166"/>
    </row>
    <row r="3108">
      <c r="A3108" s="163" t="s">
        <v>222</v>
      </c>
      <c r="B3108" s="163"/>
      <c r="C3108" s="163"/>
      <c r="J3108" s="165"/>
      <c r="K3108" s="166"/>
      <c r="L3108" s="166"/>
    </row>
    <row r="3109">
      <c r="A3109" s="163" t="s">
        <v>222</v>
      </c>
      <c r="B3109" s="163"/>
      <c r="C3109" s="163"/>
      <c r="J3109" s="165"/>
      <c r="K3109" s="166"/>
      <c r="L3109" s="166"/>
    </row>
    <row r="3110">
      <c r="A3110" s="163" t="s">
        <v>222</v>
      </c>
      <c r="B3110" s="163"/>
      <c r="C3110" s="163"/>
      <c r="J3110" s="165"/>
      <c r="K3110" s="166"/>
      <c r="L3110" s="166"/>
    </row>
    <row r="3111">
      <c r="A3111" s="163" t="s">
        <v>222</v>
      </c>
      <c r="B3111" s="163"/>
      <c r="C3111" s="163"/>
      <c r="J3111" s="165"/>
      <c r="K3111" s="166"/>
      <c r="L3111" s="166"/>
    </row>
    <row r="3112">
      <c r="A3112" s="163" t="s">
        <v>222</v>
      </c>
      <c r="B3112" s="163"/>
      <c r="C3112" s="163"/>
      <c r="J3112" s="165"/>
      <c r="K3112" s="166"/>
      <c r="L3112" s="166"/>
    </row>
    <row r="3113">
      <c r="A3113" s="163" t="s">
        <v>222</v>
      </c>
      <c r="B3113" s="163"/>
      <c r="C3113" s="163"/>
      <c r="J3113" s="165"/>
      <c r="K3113" s="166"/>
      <c r="L3113" s="166"/>
    </row>
    <row r="3114">
      <c r="A3114" s="163" t="s">
        <v>222</v>
      </c>
      <c r="B3114" s="163"/>
      <c r="C3114" s="163"/>
      <c r="J3114" s="165"/>
      <c r="K3114" s="166"/>
      <c r="L3114" s="166"/>
    </row>
    <row r="3115">
      <c r="A3115" s="163" t="s">
        <v>222</v>
      </c>
      <c r="B3115" s="163"/>
      <c r="C3115" s="163"/>
      <c r="J3115" s="165"/>
      <c r="K3115" s="166"/>
      <c r="L3115" s="166"/>
    </row>
    <row r="3116">
      <c r="A3116" s="163" t="s">
        <v>222</v>
      </c>
      <c r="B3116" s="163"/>
      <c r="C3116" s="163"/>
      <c r="J3116" s="165"/>
      <c r="K3116" s="166"/>
      <c r="L3116" s="166"/>
    </row>
    <row r="3117">
      <c r="A3117" s="163" t="s">
        <v>222</v>
      </c>
      <c r="B3117" s="163"/>
      <c r="C3117" s="163"/>
      <c r="J3117" s="165"/>
      <c r="K3117" s="166"/>
      <c r="L3117" s="166"/>
    </row>
    <row r="3118">
      <c r="A3118" s="163" t="s">
        <v>222</v>
      </c>
      <c r="B3118" s="163"/>
      <c r="C3118" s="163"/>
      <c r="J3118" s="165"/>
      <c r="K3118" s="166"/>
      <c r="L3118" s="166"/>
    </row>
    <row r="3119">
      <c r="A3119" s="163" t="s">
        <v>222</v>
      </c>
      <c r="B3119" s="163"/>
      <c r="C3119" s="163"/>
      <c r="J3119" s="165"/>
      <c r="K3119" s="166"/>
      <c r="L3119" s="166"/>
    </row>
    <row r="3120">
      <c r="A3120" s="163" t="s">
        <v>222</v>
      </c>
      <c r="B3120" s="163"/>
      <c r="C3120" s="163"/>
      <c r="J3120" s="165"/>
      <c r="K3120" s="166"/>
      <c r="L3120" s="166"/>
    </row>
    <row r="3121">
      <c r="A3121" s="163" t="s">
        <v>222</v>
      </c>
      <c r="B3121" s="163"/>
      <c r="C3121" s="163"/>
      <c r="J3121" s="165"/>
      <c r="K3121" s="166"/>
      <c r="L3121" s="166"/>
    </row>
    <row r="3122">
      <c r="A3122" s="163" t="s">
        <v>222</v>
      </c>
      <c r="B3122" s="163"/>
      <c r="C3122" s="163"/>
      <c r="J3122" s="165"/>
      <c r="K3122" s="166"/>
      <c r="L3122" s="166"/>
    </row>
    <row r="3123">
      <c r="A3123" s="163" t="s">
        <v>222</v>
      </c>
      <c r="B3123" s="163"/>
      <c r="C3123" s="163"/>
      <c r="J3123" s="165"/>
      <c r="K3123" s="166"/>
      <c r="L3123" s="166"/>
    </row>
    <row r="3124">
      <c r="A3124" s="163" t="s">
        <v>222</v>
      </c>
      <c r="B3124" s="163"/>
      <c r="C3124" s="163"/>
      <c r="J3124" s="165"/>
      <c r="K3124" s="166"/>
      <c r="L3124" s="166"/>
    </row>
    <row r="3125">
      <c r="A3125" s="163" t="s">
        <v>222</v>
      </c>
      <c r="B3125" s="163"/>
      <c r="C3125" s="163"/>
      <c r="J3125" s="165"/>
      <c r="K3125" s="166"/>
      <c r="L3125" s="166"/>
    </row>
    <row r="3126">
      <c r="A3126" s="163" t="s">
        <v>222</v>
      </c>
      <c r="B3126" s="163"/>
      <c r="C3126" s="163"/>
      <c r="J3126" s="165"/>
      <c r="K3126" s="166"/>
      <c r="L3126" s="166"/>
    </row>
    <row r="3127">
      <c r="A3127" s="163" t="s">
        <v>222</v>
      </c>
      <c r="B3127" s="163"/>
      <c r="C3127" s="163"/>
      <c r="J3127" s="165"/>
      <c r="K3127" s="166"/>
      <c r="L3127" s="166"/>
    </row>
    <row r="3128">
      <c r="A3128" s="163" t="s">
        <v>222</v>
      </c>
      <c r="B3128" s="163"/>
      <c r="C3128" s="163"/>
      <c r="J3128" s="165"/>
      <c r="K3128" s="166"/>
      <c r="L3128" s="166"/>
    </row>
    <row r="3129">
      <c r="A3129" s="163" t="s">
        <v>222</v>
      </c>
      <c r="B3129" s="163"/>
      <c r="C3129" s="163"/>
      <c r="J3129" s="165"/>
      <c r="K3129" s="166"/>
      <c r="L3129" s="166"/>
    </row>
    <row r="3130">
      <c r="A3130" s="163" t="s">
        <v>222</v>
      </c>
      <c r="B3130" s="163"/>
      <c r="C3130" s="163"/>
      <c r="J3130" s="165"/>
      <c r="K3130" s="166"/>
      <c r="L3130" s="166"/>
    </row>
    <row r="3131">
      <c r="A3131" s="163" t="s">
        <v>222</v>
      </c>
      <c r="B3131" s="163"/>
      <c r="C3131" s="163"/>
      <c r="J3131" s="165"/>
      <c r="K3131" s="166"/>
      <c r="L3131" s="166"/>
    </row>
    <row r="3132">
      <c r="A3132" s="163" t="s">
        <v>222</v>
      </c>
      <c r="B3132" s="163"/>
      <c r="C3132" s="163"/>
      <c r="J3132" s="165"/>
      <c r="K3132" s="166"/>
      <c r="L3132" s="166"/>
    </row>
    <row r="3133">
      <c r="A3133" s="163" t="s">
        <v>222</v>
      </c>
      <c r="B3133" s="163"/>
      <c r="C3133" s="163"/>
      <c r="J3133" s="165"/>
      <c r="K3133" s="166"/>
      <c r="L3133" s="166"/>
    </row>
    <row r="3134">
      <c r="A3134" s="163" t="s">
        <v>222</v>
      </c>
      <c r="B3134" s="163"/>
      <c r="C3134" s="163"/>
      <c r="J3134" s="165"/>
      <c r="K3134" s="166"/>
      <c r="L3134" s="166"/>
    </row>
    <row r="3135">
      <c r="A3135" s="163" t="s">
        <v>222</v>
      </c>
      <c r="B3135" s="163"/>
      <c r="C3135" s="163"/>
      <c r="J3135" s="165"/>
      <c r="K3135" s="166"/>
      <c r="L3135" s="166"/>
    </row>
    <row r="3136">
      <c r="A3136" s="163" t="s">
        <v>222</v>
      </c>
      <c r="B3136" s="163"/>
      <c r="C3136" s="163"/>
      <c r="J3136" s="165"/>
      <c r="K3136" s="166"/>
      <c r="L3136" s="166"/>
    </row>
    <row r="3137">
      <c r="A3137" s="163" t="s">
        <v>222</v>
      </c>
      <c r="B3137" s="163"/>
      <c r="C3137" s="163"/>
      <c r="J3137" s="165"/>
      <c r="K3137" s="166"/>
      <c r="L3137" s="166"/>
    </row>
    <row r="3138">
      <c r="A3138" s="163" t="s">
        <v>222</v>
      </c>
      <c r="B3138" s="163"/>
      <c r="C3138" s="163"/>
      <c r="J3138" s="165"/>
      <c r="K3138" s="166"/>
      <c r="L3138" s="166"/>
    </row>
    <row r="3139">
      <c r="A3139" s="163" t="s">
        <v>222</v>
      </c>
      <c r="B3139" s="163"/>
      <c r="C3139" s="163"/>
      <c r="J3139" s="165"/>
      <c r="K3139" s="166"/>
      <c r="L3139" s="166"/>
    </row>
    <row r="3140">
      <c r="A3140" s="163" t="s">
        <v>222</v>
      </c>
      <c r="B3140" s="163"/>
      <c r="C3140" s="163"/>
      <c r="J3140" s="165"/>
      <c r="K3140" s="166"/>
      <c r="L3140" s="166"/>
    </row>
    <row r="3141">
      <c r="A3141" s="163" t="s">
        <v>222</v>
      </c>
      <c r="B3141" s="163"/>
      <c r="C3141" s="163"/>
      <c r="J3141" s="165"/>
      <c r="K3141" s="166"/>
      <c r="L3141" s="166"/>
    </row>
    <row r="3142">
      <c r="A3142" s="163" t="s">
        <v>222</v>
      </c>
      <c r="B3142" s="163"/>
      <c r="C3142" s="163"/>
      <c r="J3142" s="165"/>
      <c r="K3142" s="166"/>
      <c r="L3142" s="166"/>
    </row>
    <row r="3143">
      <c r="A3143" s="163" t="s">
        <v>222</v>
      </c>
      <c r="B3143" s="163"/>
      <c r="C3143" s="163"/>
      <c r="J3143" s="165"/>
      <c r="K3143" s="166"/>
      <c r="L3143" s="166"/>
    </row>
    <row r="3144">
      <c r="A3144" s="163" t="s">
        <v>222</v>
      </c>
      <c r="B3144" s="163"/>
      <c r="C3144" s="163"/>
      <c r="J3144" s="165"/>
      <c r="K3144" s="166"/>
      <c r="L3144" s="166"/>
    </row>
    <row r="3145">
      <c r="A3145" s="163" t="s">
        <v>222</v>
      </c>
      <c r="B3145" s="163"/>
      <c r="C3145" s="163"/>
      <c r="J3145" s="165"/>
      <c r="K3145" s="166"/>
      <c r="L3145" s="166"/>
    </row>
    <row r="3146">
      <c r="A3146" s="163" t="s">
        <v>222</v>
      </c>
      <c r="B3146" s="163"/>
      <c r="C3146" s="163"/>
      <c r="J3146" s="165"/>
      <c r="K3146" s="166"/>
      <c r="L3146" s="166"/>
    </row>
    <row r="3147">
      <c r="A3147" s="163" t="s">
        <v>222</v>
      </c>
      <c r="B3147" s="163"/>
      <c r="C3147" s="163"/>
      <c r="J3147" s="165"/>
      <c r="K3147" s="166"/>
      <c r="L3147" s="166"/>
    </row>
    <row r="3148">
      <c r="A3148" s="163" t="s">
        <v>222</v>
      </c>
      <c r="B3148" s="163"/>
      <c r="C3148" s="163"/>
      <c r="J3148" s="165"/>
      <c r="K3148" s="166"/>
      <c r="L3148" s="166"/>
    </row>
    <row r="3149">
      <c r="A3149" s="163" t="s">
        <v>222</v>
      </c>
      <c r="B3149" s="163"/>
      <c r="C3149" s="163"/>
      <c r="J3149" s="165"/>
      <c r="K3149" s="166"/>
      <c r="L3149" s="166"/>
    </row>
    <row r="3150">
      <c r="A3150" s="163" t="s">
        <v>222</v>
      </c>
      <c r="B3150" s="163"/>
      <c r="C3150" s="163"/>
      <c r="J3150" s="165"/>
      <c r="K3150" s="166"/>
      <c r="L3150" s="166"/>
    </row>
    <row r="3151">
      <c r="A3151" s="163" t="s">
        <v>222</v>
      </c>
      <c r="B3151" s="163"/>
      <c r="C3151" s="163"/>
      <c r="J3151" s="165"/>
      <c r="K3151" s="166"/>
      <c r="L3151" s="166"/>
    </row>
    <row r="3152">
      <c r="A3152" s="163" t="s">
        <v>222</v>
      </c>
      <c r="B3152" s="163"/>
      <c r="C3152" s="163"/>
      <c r="J3152" s="165"/>
      <c r="K3152" s="166"/>
      <c r="L3152" s="166"/>
    </row>
    <row r="3153">
      <c r="A3153" s="163" t="s">
        <v>222</v>
      </c>
      <c r="B3153" s="163"/>
      <c r="C3153" s="163"/>
      <c r="J3153" s="165"/>
      <c r="K3153" s="166"/>
      <c r="L3153" s="166"/>
    </row>
    <row r="3154">
      <c r="A3154" s="163" t="s">
        <v>222</v>
      </c>
      <c r="B3154" s="163"/>
      <c r="C3154" s="163"/>
      <c r="J3154" s="165"/>
      <c r="K3154" s="166"/>
      <c r="L3154" s="166"/>
    </row>
    <row r="3155">
      <c r="A3155" s="163" t="s">
        <v>222</v>
      </c>
      <c r="B3155" s="163"/>
      <c r="C3155" s="163"/>
      <c r="J3155" s="165"/>
      <c r="K3155" s="166"/>
      <c r="L3155" s="166"/>
    </row>
    <row r="3156">
      <c r="A3156" s="163" t="s">
        <v>222</v>
      </c>
      <c r="B3156" s="163"/>
      <c r="C3156" s="163"/>
      <c r="J3156" s="165"/>
      <c r="K3156" s="166"/>
      <c r="L3156" s="166"/>
    </row>
    <row r="3157">
      <c r="A3157" s="163" t="s">
        <v>222</v>
      </c>
      <c r="B3157" s="163"/>
      <c r="C3157" s="163"/>
      <c r="J3157" s="165"/>
      <c r="K3157" s="166"/>
      <c r="L3157" s="166"/>
    </row>
    <row r="3158">
      <c r="A3158" s="163" t="s">
        <v>222</v>
      </c>
      <c r="B3158" s="163"/>
      <c r="C3158" s="163"/>
      <c r="J3158" s="165"/>
      <c r="K3158" s="166"/>
      <c r="L3158" s="166"/>
    </row>
    <row r="3159">
      <c r="A3159" s="163" t="s">
        <v>222</v>
      </c>
      <c r="B3159" s="163"/>
      <c r="C3159" s="163"/>
      <c r="J3159" s="165"/>
      <c r="K3159" s="166"/>
      <c r="L3159" s="166"/>
    </row>
    <row r="3160">
      <c r="A3160" s="163" t="s">
        <v>222</v>
      </c>
      <c r="B3160" s="163"/>
      <c r="C3160" s="163"/>
      <c r="J3160" s="165"/>
      <c r="K3160" s="166"/>
      <c r="L3160" s="166"/>
    </row>
    <row r="3161">
      <c r="A3161" s="163" t="s">
        <v>222</v>
      </c>
      <c r="B3161" s="163"/>
      <c r="C3161" s="163"/>
      <c r="J3161" s="165"/>
      <c r="K3161" s="166"/>
      <c r="L3161" s="166"/>
    </row>
    <row r="3162">
      <c r="A3162" s="163" t="s">
        <v>222</v>
      </c>
      <c r="B3162" s="163"/>
      <c r="C3162" s="163"/>
      <c r="J3162" s="165"/>
      <c r="K3162" s="166"/>
      <c r="L3162" s="166"/>
    </row>
    <row r="3163">
      <c r="A3163" s="163" t="s">
        <v>222</v>
      </c>
      <c r="B3163" s="163"/>
      <c r="C3163" s="163"/>
      <c r="J3163" s="165"/>
      <c r="K3163" s="166"/>
      <c r="L3163" s="166"/>
    </row>
    <row r="3164">
      <c r="A3164" s="163" t="s">
        <v>222</v>
      </c>
      <c r="B3164" s="163"/>
      <c r="C3164" s="163"/>
      <c r="J3164" s="165"/>
      <c r="K3164" s="166"/>
      <c r="L3164" s="166"/>
    </row>
    <row r="3165">
      <c r="A3165" s="163" t="s">
        <v>222</v>
      </c>
      <c r="B3165" s="163"/>
      <c r="C3165" s="163"/>
      <c r="J3165" s="165"/>
      <c r="K3165" s="166"/>
      <c r="L3165" s="166"/>
    </row>
    <row r="3166">
      <c r="A3166" s="163" t="s">
        <v>222</v>
      </c>
      <c r="B3166" s="163"/>
      <c r="C3166" s="163"/>
      <c r="J3166" s="165"/>
      <c r="K3166" s="166"/>
      <c r="L3166" s="166"/>
    </row>
    <row r="3167">
      <c r="A3167" s="163" t="s">
        <v>222</v>
      </c>
      <c r="B3167" s="163"/>
      <c r="C3167" s="163"/>
      <c r="J3167" s="165"/>
      <c r="K3167" s="166"/>
      <c r="L3167" s="166"/>
    </row>
    <row r="3168">
      <c r="A3168" s="163" t="s">
        <v>222</v>
      </c>
      <c r="B3168" s="163"/>
      <c r="C3168" s="163"/>
      <c r="J3168" s="165"/>
      <c r="K3168" s="166"/>
      <c r="L3168" s="166"/>
    </row>
    <row r="3169">
      <c r="A3169" s="163" t="s">
        <v>222</v>
      </c>
      <c r="B3169" s="163"/>
      <c r="C3169" s="163"/>
      <c r="J3169" s="165"/>
      <c r="K3169" s="166"/>
      <c r="L3169" s="166"/>
    </row>
    <row r="3170">
      <c r="A3170" s="163" t="s">
        <v>222</v>
      </c>
      <c r="B3170" s="163"/>
      <c r="C3170" s="163"/>
      <c r="J3170" s="165"/>
      <c r="K3170" s="166"/>
      <c r="L3170" s="166"/>
    </row>
    <row r="3171">
      <c r="A3171" s="163" t="s">
        <v>222</v>
      </c>
      <c r="B3171" s="163"/>
      <c r="C3171" s="163"/>
      <c r="J3171" s="165"/>
      <c r="K3171" s="166"/>
      <c r="L3171" s="166"/>
    </row>
    <row r="3172">
      <c r="A3172" s="163" t="s">
        <v>222</v>
      </c>
      <c r="B3172" s="163"/>
      <c r="C3172" s="163"/>
      <c r="J3172" s="165"/>
      <c r="K3172" s="166"/>
      <c r="L3172" s="166"/>
    </row>
    <row r="3173">
      <c r="A3173" s="163" t="s">
        <v>222</v>
      </c>
      <c r="B3173" s="163"/>
      <c r="C3173" s="163"/>
      <c r="J3173" s="165"/>
      <c r="K3173" s="166"/>
      <c r="L3173" s="166"/>
    </row>
    <row r="3174">
      <c r="A3174" s="163" t="s">
        <v>222</v>
      </c>
      <c r="B3174" s="163"/>
      <c r="C3174" s="163"/>
      <c r="J3174" s="165"/>
      <c r="K3174" s="166"/>
      <c r="L3174" s="166"/>
    </row>
    <row r="3175">
      <c r="A3175" s="163" t="s">
        <v>222</v>
      </c>
      <c r="B3175" s="163"/>
      <c r="C3175" s="163"/>
      <c r="J3175" s="165"/>
      <c r="K3175" s="166"/>
      <c r="L3175" s="166"/>
    </row>
    <row r="3176">
      <c r="A3176" s="163" t="s">
        <v>222</v>
      </c>
      <c r="B3176" s="163"/>
      <c r="C3176" s="163"/>
      <c r="J3176" s="165"/>
      <c r="K3176" s="166"/>
      <c r="L3176" s="166"/>
    </row>
    <row r="3177">
      <c r="A3177" s="163" t="s">
        <v>222</v>
      </c>
      <c r="B3177" s="163"/>
      <c r="C3177" s="163"/>
      <c r="J3177" s="165"/>
      <c r="K3177" s="166"/>
      <c r="L3177" s="166"/>
    </row>
    <row r="3178">
      <c r="A3178" s="163" t="s">
        <v>222</v>
      </c>
      <c r="B3178" s="163"/>
      <c r="C3178" s="163"/>
      <c r="J3178" s="165"/>
      <c r="K3178" s="166"/>
      <c r="L3178" s="166"/>
    </row>
    <row r="3179">
      <c r="A3179" s="163" t="s">
        <v>222</v>
      </c>
      <c r="B3179" s="163"/>
      <c r="C3179" s="163"/>
      <c r="J3179" s="165"/>
      <c r="K3179" s="166"/>
      <c r="L3179" s="166"/>
    </row>
    <row r="3180">
      <c r="A3180" s="163" t="s">
        <v>222</v>
      </c>
      <c r="B3180" s="163"/>
      <c r="C3180" s="163"/>
      <c r="J3180" s="165"/>
      <c r="K3180" s="166"/>
      <c r="L3180" s="166"/>
    </row>
    <row r="3181">
      <c r="A3181" s="163" t="s">
        <v>222</v>
      </c>
      <c r="B3181" s="163"/>
      <c r="C3181" s="163"/>
      <c r="J3181" s="165"/>
      <c r="K3181" s="166"/>
      <c r="L3181" s="166"/>
    </row>
    <row r="3182">
      <c r="A3182" s="163" t="s">
        <v>222</v>
      </c>
      <c r="B3182" s="163"/>
      <c r="C3182" s="163"/>
      <c r="J3182" s="165"/>
      <c r="K3182" s="166"/>
      <c r="L3182" s="166"/>
    </row>
    <row r="3183">
      <c r="A3183" s="163" t="s">
        <v>222</v>
      </c>
      <c r="B3183" s="163"/>
      <c r="C3183" s="163"/>
      <c r="J3183" s="165"/>
      <c r="K3183" s="166"/>
      <c r="L3183" s="166"/>
    </row>
    <row r="3184">
      <c r="A3184" s="163" t="s">
        <v>222</v>
      </c>
      <c r="B3184" s="163"/>
      <c r="C3184" s="163"/>
      <c r="J3184" s="165"/>
      <c r="K3184" s="166"/>
      <c r="L3184" s="166"/>
    </row>
    <row r="3185">
      <c r="A3185" s="163" t="s">
        <v>222</v>
      </c>
      <c r="B3185" s="163"/>
      <c r="C3185" s="163"/>
      <c r="J3185" s="165"/>
      <c r="K3185" s="166"/>
      <c r="L3185" s="166"/>
    </row>
    <row r="3186">
      <c r="A3186" s="163" t="s">
        <v>222</v>
      </c>
      <c r="B3186" s="163"/>
      <c r="C3186" s="163"/>
      <c r="J3186" s="165"/>
      <c r="K3186" s="166"/>
      <c r="L3186" s="166"/>
    </row>
    <row r="3187">
      <c r="A3187" s="163" t="s">
        <v>222</v>
      </c>
      <c r="B3187" s="163"/>
      <c r="C3187" s="163"/>
      <c r="J3187" s="165"/>
      <c r="K3187" s="166"/>
      <c r="L3187" s="166"/>
    </row>
    <row r="3188">
      <c r="A3188" s="163" t="s">
        <v>222</v>
      </c>
      <c r="B3188" s="163"/>
      <c r="C3188" s="163"/>
      <c r="J3188" s="165"/>
      <c r="K3188" s="166"/>
      <c r="L3188" s="166"/>
    </row>
    <row r="3189">
      <c r="A3189" s="163" t="s">
        <v>222</v>
      </c>
      <c r="B3189" s="163"/>
      <c r="C3189" s="163"/>
      <c r="J3189" s="165"/>
      <c r="K3189" s="166"/>
      <c r="L3189" s="166"/>
    </row>
    <row r="3190">
      <c r="A3190" s="163" t="s">
        <v>222</v>
      </c>
      <c r="B3190" s="163"/>
      <c r="C3190" s="163"/>
      <c r="J3190" s="165"/>
      <c r="K3190" s="166"/>
      <c r="L3190" s="166"/>
    </row>
    <row r="3191">
      <c r="A3191" s="163" t="s">
        <v>222</v>
      </c>
      <c r="B3191" s="163"/>
      <c r="C3191" s="163"/>
      <c r="J3191" s="165"/>
      <c r="K3191" s="166"/>
      <c r="L3191" s="166"/>
    </row>
    <row r="3192">
      <c r="A3192" s="163" t="s">
        <v>222</v>
      </c>
      <c r="B3192" s="163"/>
      <c r="C3192" s="163"/>
      <c r="J3192" s="165"/>
      <c r="K3192" s="166"/>
      <c r="L3192" s="166"/>
    </row>
    <row r="3193">
      <c r="A3193" s="163" t="s">
        <v>222</v>
      </c>
      <c r="B3193" s="163"/>
      <c r="C3193" s="163"/>
      <c r="J3193" s="165"/>
      <c r="K3193" s="166"/>
      <c r="L3193" s="166"/>
    </row>
    <row r="3194">
      <c r="A3194" s="163" t="s">
        <v>222</v>
      </c>
      <c r="B3194" s="163"/>
      <c r="C3194" s="163"/>
      <c r="J3194" s="165"/>
      <c r="K3194" s="166"/>
      <c r="L3194" s="166"/>
    </row>
    <row r="3195">
      <c r="A3195" s="163" t="s">
        <v>222</v>
      </c>
      <c r="B3195" s="163"/>
      <c r="C3195" s="163"/>
      <c r="J3195" s="165"/>
      <c r="K3195" s="166"/>
      <c r="L3195" s="166"/>
    </row>
    <row r="3196">
      <c r="A3196" s="163" t="s">
        <v>222</v>
      </c>
      <c r="B3196" s="163"/>
      <c r="C3196" s="163"/>
      <c r="J3196" s="165"/>
      <c r="K3196" s="166"/>
      <c r="L3196" s="166"/>
    </row>
    <row r="3197">
      <c r="A3197" s="163" t="s">
        <v>222</v>
      </c>
      <c r="B3197" s="163"/>
      <c r="C3197" s="163"/>
      <c r="J3197" s="165"/>
      <c r="K3197" s="166"/>
      <c r="L3197" s="166"/>
    </row>
    <row r="3198">
      <c r="A3198" s="163" t="s">
        <v>222</v>
      </c>
      <c r="B3198" s="163"/>
      <c r="C3198" s="163"/>
      <c r="J3198" s="165"/>
      <c r="K3198" s="166"/>
      <c r="L3198" s="166"/>
    </row>
    <row r="3199">
      <c r="A3199" s="163" t="s">
        <v>222</v>
      </c>
      <c r="B3199" s="163"/>
      <c r="C3199" s="163"/>
      <c r="J3199" s="165"/>
      <c r="K3199" s="166"/>
      <c r="L3199" s="166"/>
    </row>
    <row r="3200">
      <c r="A3200" s="163" t="s">
        <v>222</v>
      </c>
      <c r="B3200" s="163"/>
      <c r="C3200" s="163"/>
      <c r="J3200" s="165"/>
      <c r="K3200" s="166"/>
      <c r="L3200" s="166"/>
    </row>
    <row r="3201">
      <c r="A3201" s="163" t="s">
        <v>222</v>
      </c>
      <c r="B3201" s="163"/>
      <c r="C3201" s="163"/>
      <c r="J3201" s="165"/>
      <c r="K3201" s="166"/>
      <c r="L3201" s="166"/>
    </row>
    <row r="3202">
      <c r="A3202" s="163" t="s">
        <v>222</v>
      </c>
      <c r="B3202" s="163"/>
      <c r="C3202" s="163"/>
      <c r="J3202" s="165"/>
      <c r="K3202" s="166"/>
      <c r="L3202" s="166"/>
    </row>
    <row r="3203">
      <c r="A3203" s="163" t="s">
        <v>222</v>
      </c>
      <c r="B3203" s="163"/>
      <c r="C3203" s="163"/>
      <c r="J3203" s="165"/>
      <c r="K3203" s="166"/>
      <c r="L3203" s="166"/>
    </row>
    <row r="3204">
      <c r="A3204" s="163" t="s">
        <v>222</v>
      </c>
      <c r="B3204" s="163"/>
      <c r="C3204" s="163"/>
      <c r="J3204" s="165"/>
      <c r="K3204" s="166"/>
      <c r="L3204" s="166"/>
    </row>
    <row r="3205">
      <c r="A3205" s="163" t="s">
        <v>222</v>
      </c>
      <c r="B3205" s="163"/>
      <c r="C3205" s="163"/>
      <c r="J3205" s="165"/>
      <c r="K3205" s="166"/>
      <c r="L3205" s="166"/>
    </row>
    <row r="3206">
      <c r="A3206" s="163" t="s">
        <v>222</v>
      </c>
      <c r="B3206" s="163"/>
      <c r="C3206" s="163"/>
      <c r="J3206" s="165"/>
      <c r="K3206" s="166"/>
      <c r="L3206" s="166"/>
    </row>
    <row r="3207">
      <c r="A3207" s="163" t="s">
        <v>222</v>
      </c>
      <c r="B3207" s="163"/>
      <c r="C3207" s="163"/>
      <c r="J3207" s="165"/>
      <c r="K3207" s="166"/>
      <c r="L3207" s="166"/>
    </row>
    <row r="3208">
      <c r="A3208" s="163" t="s">
        <v>222</v>
      </c>
      <c r="B3208" s="163"/>
      <c r="C3208" s="163"/>
      <c r="J3208" s="165"/>
      <c r="K3208" s="166"/>
      <c r="L3208" s="166"/>
    </row>
    <row r="3209">
      <c r="A3209" s="163" t="s">
        <v>222</v>
      </c>
      <c r="B3209" s="163"/>
      <c r="C3209" s="163"/>
      <c r="J3209" s="165"/>
      <c r="K3209" s="166"/>
      <c r="L3209" s="166"/>
    </row>
    <row r="3210">
      <c r="A3210" s="163" t="s">
        <v>222</v>
      </c>
      <c r="B3210" s="163"/>
      <c r="C3210" s="163"/>
      <c r="J3210" s="165"/>
      <c r="K3210" s="166"/>
      <c r="L3210" s="166"/>
    </row>
    <row r="3211">
      <c r="A3211" s="163" t="s">
        <v>222</v>
      </c>
      <c r="B3211" s="163"/>
      <c r="C3211" s="163"/>
      <c r="J3211" s="165"/>
      <c r="K3211" s="166"/>
      <c r="L3211" s="166"/>
    </row>
    <row r="3212">
      <c r="A3212" s="163" t="s">
        <v>222</v>
      </c>
      <c r="B3212" s="163"/>
      <c r="C3212" s="163"/>
      <c r="J3212" s="165"/>
      <c r="K3212" s="166"/>
      <c r="L3212" s="166"/>
    </row>
    <row r="3213">
      <c r="A3213" s="163" t="s">
        <v>222</v>
      </c>
      <c r="B3213" s="163"/>
      <c r="C3213" s="163"/>
      <c r="J3213" s="165"/>
      <c r="K3213" s="166"/>
      <c r="L3213" s="166"/>
    </row>
    <row r="3214">
      <c r="A3214" s="163" t="s">
        <v>222</v>
      </c>
      <c r="B3214" s="163"/>
      <c r="C3214" s="163"/>
      <c r="J3214" s="165"/>
      <c r="K3214" s="166"/>
      <c r="L3214" s="166"/>
    </row>
    <row r="3215">
      <c r="A3215" s="163" t="s">
        <v>222</v>
      </c>
      <c r="B3215" s="163"/>
      <c r="C3215" s="163"/>
      <c r="J3215" s="165"/>
      <c r="K3215" s="166"/>
      <c r="L3215" s="166"/>
    </row>
    <row r="3216">
      <c r="A3216" s="163" t="s">
        <v>222</v>
      </c>
      <c r="B3216" s="163"/>
      <c r="C3216" s="163"/>
      <c r="J3216" s="165"/>
      <c r="K3216" s="166"/>
      <c r="L3216" s="166"/>
    </row>
    <row r="3217">
      <c r="A3217" s="163" t="s">
        <v>222</v>
      </c>
      <c r="B3217" s="163"/>
      <c r="C3217" s="163"/>
      <c r="J3217" s="165"/>
      <c r="K3217" s="166"/>
      <c r="L3217" s="166"/>
    </row>
    <row r="3218">
      <c r="A3218" s="163" t="s">
        <v>222</v>
      </c>
      <c r="B3218" s="163"/>
      <c r="C3218" s="163"/>
      <c r="J3218" s="165"/>
      <c r="K3218" s="166"/>
      <c r="L3218" s="166"/>
    </row>
    <row r="3219">
      <c r="A3219" s="163" t="s">
        <v>222</v>
      </c>
      <c r="B3219" s="163"/>
      <c r="C3219" s="163"/>
      <c r="J3219" s="165"/>
      <c r="K3219" s="166"/>
      <c r="L3219" s="166"/>
    </row>
    <row r="3220">
      <c r="A3220" s="163" t="s">
        <v>222</v>
      </c>
      <c r="B3220" s="163"/>
      <c r="C3220" s="163"/>
      <c r="J3220" s="165"/>
      <c r="K3220" s="166"/>
      <c r="L3220" s="166"/>
    </row>
    <row r="3221">
      <c r="A3221" s="163" t="s">
        <v>222</v>
      </c>
      <c r="B3221" s="163"/>
      <c r="C3221" s="163"/>
      <c r="J3221" s="165"/>
      <c r="K3221" s="166"/>
      <c r="L3221" s="166"/>
    </row>
    <row r="3222">
      <c r="A3222" s="163" t="s">
        <v>222</v>
      </c>
      <c r="B3222" s="163"/>
      <c r="C3222" s="163"/>
      <c r="J3222" s="165"/>
      <c r="K3222" s="166"/>
      <c r="L3222" s="166"/>
    </row>
    <row r="3223">
      <c r="A3223" s="163" t="s">
        <v>222</v>
      </c>
      <c r="B3223" s="163"/>
      <c r="C3223" s="163"/>
      <c r="J3223" s="165"/>
      <c r="K3223" s="166"/>
      <c r="L3223" s="166"/>
    </row>
    <row r="3224">
      <c r="A3224" s="163" t="s">
        <v>222</v>
      </c>
      <c r="B3224" s="163"/>
      <c r="C3224" s="163"/>
      <c r="J3224" s="165"/>
      <c r="K3224" s="166"/>
      <c r="L3224" s="166"/>
    </row>
    <row r="3225">
      <c r="A3225" s="163" t="s">
        <v>222</v>
      </c>
      <c r="B3225" s="163"/>
      <c r="C3225" s="163"/>
      <c r="J3225" s="165"/>
      <c r="K3225" s="166"/>
      <c r="L3225" s="166"/>
    </row>
    <row r="3226">
      <c r="A3226" s="163" t="s">
        <v>222</v>
      </c>
      <c r="B3226" s="163"/>
      <c r="C3226" s="163"/>
      <c r="J3226" s="165"/>
      <c r="K3226" s="166"/>
      <c r="L3226" s="166"/>
    </row>
    <row r="3227">
      <c r="A3227" s="163" t="s">
        <v>222</v>
      </c>
      <c r="B3227" s="163"/>
      <c r="C3227" s="163"/>
      <c r="J3227" s="165"/>
      <c r="K3227" s="166"/>
      <c r="L3227" s="166"/>
    </row>
    <row r="3228">
      <c r="A3228" s="163" t="s">
        <v>222</v>
      </c>
      <c r="B3228" s="163"/>
      <c r="C3228" s="163"/>
      <c r="J3228" s="165"/>
      <c r="K3228" s="166"/>
      <c r="L3228" s="166"/>
    </row>
    <row r="3229">
      <c r="A3229" s="163" t="s">
        <v>222</v>
      </c>
      <c r="B3229" s="163"/>
      <c r="C3229" s="163"/>
      <c r="J3229" s="165"/>
      <c r="K3229" s="166"/>
      <c r="L3229" s="166"/>
    </row>
    <row r="3230">
      <c r="A3230" s="163" t="s">
        <v>222</v>
      </c>
      <c r="B3230" s="163"/>
      <c r="C3230" s="163"/>
      <c r="J3230" s="165"/>
      <c r="K3230" s="166"/>
      <c r="L3230" s="166"/>
    </row>
    <row r="3231">
      <c r="A3231" s="163" t="s">
        <v>222</v>
      </c>
      <c r="B3231" s="163"/>
      <c r="C3231" s="163"/>
      <c r="J3231" s="165"/>
      <c r="K3231" s="166"/>
      <c r="L3231" s="166"/>
    </row>
    <row r="3232">
      <c r="A3232" s="163" t="s">
        <v>222</v>
      </c>
      <c r="B3232" s="163"/>
      <c r="C3232" s="163"/>
      <c r="J3232" s="165"/>
      <c r="K3232" s="166"/>
      <c r="L3232" s="166"/>
    </row>
    <row r="3233">
      <c r="A3233" s="163" t="s">
        <v>222</v>
      </c>
      <c r="B3233" s="163"/>
      <c r="C3233" s="163"/>
      <c r="J3233" s="165"/>
      <c r="K3233" s="166"/>
      <c r="L3233" s="166"/>
    </row>
    <row r="3234">
      <c r="A3234" s="163" t="s">
        <v>222</v>
      </c>
      <c r="B3234" s="163"/>
      <c r="C3234" s="163"/>
      <c r="J3234" s="165"/>
      <c r="K3234" s="166"/>
      <c r="L3234" s="166"/>
    </row>
    <row r="3235">
      <c r="A3235" s="163" t="s">
        <v>222</v>
      </c>
      <c r="B3235" s="163"/>
      <c r="C3235" s="163"/>
      <c r="J3235" s="165"/>
      <c r="K3235" s="166"/>
      <c r="L3235" s="166"/>
    </row>
    <row r="3236">
      <c r="A3236" s="163" t="s">
        <v>222</v>
      </c>
      <c r="B3236" s="163"/>
      <c r="C3236" s="163"/>
      <c r="J3236" s="165"/>
      <c r="K3236" s="166"/>
      <c r="L3236" s="166"/>
    </row>
    <row r="3237">
      <c r="A3237" s="163" t="s">
        <v>222</v>
      </c>
      <c r="B3237" s="163"/>
      <c r="C3237" s="163"/>
      <c r="J3237" s="165"/>
      <c r="K3237" s="166"/>
      <c r="L3237" s="166"/>
    </row>
    <row r="3238">
      <c r="A3238" s="163" t="s">
        <v>222</v>
      </c>
      <c r="B3238" s="163"/>
      <c r="C3238" s="163"/>
      <c r="J3238" s="165"/>
      <c r="K3238" s="166"/>
      <c r="L3238" s="166"/>
    </row>
    <row r="3239">
      <c r="A3239" s="163" t="s">
        <v>222</v>
      </c>
      <c r="B3239" s="163"/>
      <c r="C3239" s="163"/>
      <c r="J3239" s="165"/>
      <c r="K3239" s="166"/>
      <c r="L3239" s="166"/>
    </row>
    <row r="3240">
      <c r="A3240" s="163" t="s">
        <v>222</v>
      </c>
      <c r="B3240" s="163"/>
      <c r="C3240" s="163"/>
      <c r="J3240" s="165"/>
      <c r="K3240" s="166"/>
      <c r="L3240" s="166"/>
    </row>
    <row r="3241">
      <c r="A3241" s="163" t="s">
        <v>222</v>
      </c>
      <c r="B3241" s="163"/>
      <c r="C3241" s="163"/>
      <c r="J3241" s="165"/>
      <c r="K3241" s="166"/>
      <c r="L3241" s="166"/>
    </row>
    <row r="3242">
      <c r="A3242" s="163" t="s">
        <v>222</v>
      </c>
      <c r="B3242" s="163"/>
      <c r="C3242" s="163"/>
      <c r="J3242" s="165"/>
      <c r="K3242" s="166"/>
      <c r="L3242" s="166"/>
    </row>
    <row r="3243">
      <c r="A3243" s="163" t="s">
        <v>222</v>
      </c>
      <c r="B3243" s="163"/>
      <c r="C3243" s="163"/>
      <c r="J3243" s="165"/>
      <c r="K3243" s="166"/>
      <c r="L3243" s="166"/>
    </row>
    <row r="3244">
      <c r="A3244" s="163" t="s">
        <v>222</v>
      </c>
      <c r="B3244" s="163"/>
      <c r="C3244" s="163"/>
      <c r="J3244" s="165"/>
      <c r="K3244" s="166"/>
      <c r="L3244" s="166"/>
    </row>
    <row r="3245">
      <c r="A3245" s="163" t="s">
        <v>222</v>
      </c>
      <c r="B3245" s="163"/>
      <c r="C3245" s="163"/>
      <c r="J3245" s="165"/>
      <c r="K3245" s="166"/>
      <c r="L3245" s="166"/>
    </row>
    <row r="3246">
      <c r="A3246" s="163" t="s">
        <v>222</v>
      </c>
      <c r="B3246" s="163"/>
      <c r="C3246" s="163"/>
      <c r="J3246" s="165"/>
      <c r="K3246" s="166"/>
      <c r="L3246" s="166"/>
    </row>
    <row r="3247">
      <c r="A3247" s="163" t="s">
        <v>222</v>
      </c>
      <c r="B3247" s="163"/>
      <c r="C3247" s="163"/>
      <c r="J3247" s="165"/>
      <c r="K3247" s="166"/>
      <c r="L3247" s="166"/>
    </row>
    <row r="3248">
      <c r="A3248" s="163" t="s">
        <v>222</v>
      </c>
      <c r="B3248" s="163"/>
      <c r="C3248" s="163"/>
      <c r="J3248" s="165"/>
      <c r="K3248" s="166"/>
      <c r="L3248" s="166"/>
    </row>
    <row r="3249">
      <c r="A3249" s="163" t="s">
        <v>222</v>
      </c>
      <c r="B3249" s="163"/>
      <c r="C3249" s="163"/>
      <c r="J3249" s="165"/>
      <c r="K3249" s="166"/>
      <c r="L3249" s="166"/>
    </row>
    <row r="3250">
      <c r="A3250" s="163" t="s">
        <v>222</v>
      </c>
      <c r="B3250" s="163"/>
      <c r="C3250" s="163"/>
      <c r="J3250" s="165"/>
      <c r="K3250" s="166"/>
      <c r="L3250" s="166"/>
    </row>
    <row r="3251">
      <c r="A3251" s="163" t="s">
        <v>222</v>
      </c>
      <c r="B3251" s="163"/>
      <c r="C3251" s="163"/>
      <c r="J3251" s="165"/>
      <c r="K3251" s="166"/>
      <c r="L3251" s="166"/>
    </row>
    <row r="3252">
      <c r="A3252" s="163" t="s">
        <v>222</v>
      </c>
      <c r="B3252" s="163"/>
      <c r="C3252" s="163"/>
      <c r="J3252" s="165"/>
      <c r="K3252" s="166"/>
      <c r="L3252" s="166"/>
    </row>
    <row r="3253">
      <c r="A3253" s="163" t="s">
        <v>222</v>
      </c>
      <c r="B3253" s="163"/>
      <c r="C3253" s="163"/>
      <c r="J3253" s="165"/>
      <c r="K3253" s="166"/>
      <c r="L3253" s="166"/>
    </row>
    <row r="3254">
      <c r="A3254" s="163" t="s">
        <v>222</v>
      </c>
      <c r="B3254" s="163"/>
      <c r="C3254" s="163"/>
      <c r="J3254" s="165"/>
      <c r="K3254" s="166"/>
      <c r="L3254" s="166"/>
    </row>
    <row r="3255">
      <c r="A3255" s="163" t="s">
        <v>222</v>
      </c>
      <c r="B3255" s="163"/>
      <c r="C3255" s="163"/>
      <c r="J3255" s="165"/>
      <c r="K3255" s="166"/>
      <c r="L3255" s="166"/>
    </row>
    <row r="3256">
      <c r="A3256" s="163" t="s">
        <v>222</v>
      </c>
      <c r="B3256" s="163"/>
      <c r="C3256" s="163"/>
      <c r="J3256" s="165"/>
      <c r="K3256" s="166"/>
      <c r="L3256" s="166"/>
    </row>
    <row r="3257">
      <c r="A3257" s="163" t="s">
        <v>222</v>
      </c>
      <c r="B3257" s="163"/>
      <c r="C3257" s="163"/>
      <c r="J3257" s="165"/>
      <c r="K3257" s="166"/>
      <c r="L3257" s="166"/>
    </row>
    <row r="3258">
      <c r="A3258" s="163" t="s">
        <v>222</v>
      </c>
      <c r="B3258" s="163"/>
      <c r="C3258" s="163"/>
      <c r="J3258" s="165"/>
      <c r="K3258" s="166"/>
      <c r="L3258" s="166"/>
    </row>
    <row r="3259">
      <c r="A3259" s="163" t="s">
        <v>222</v>
      </c>
      <c r="B3259" s="163"/>
      <c r="C3259" s="163"/>
      <c r="J3259" s="165"/>
      <c r="K3259" s="166"/>
      <c r="L3259" s="166"/>
    </row>
    <row r="3260">
      <c r="A3260" s="163" t="s">
        <v>222</v>
      </c>
      <c r="B3260" s="163"/>
      <c r="C3260" s="163"/>
      <c r="J3260" s="165"/>
      <c r="K3260" s="166"/>
      <c r="L3260" s="166"/>
    </row>
    <row r="3261">
      <c r="A3261" s="163" t="s">
        <v>222</v>
      </c>
      <c r="B3261" s="163"/>
      <c r="C3261" s="163"/>
      <c r="J3261" s="165"/>
      <c r="K3261" s="166"/>
      <c r="L3261" s="166"/>
    </row>
    <row r="3262">
      <c r="A3262" s="163" t="s">
        <v>222</v>
      </c>
      <c r="B3262" s="163"/>
      <c r="C3262" s="163"/>
      <c r="J3262" s="165"/>
      <c r="K3262" s="166"/>
      <c r="L3262" s="166"/>
    </row>
    <row r="3263">
      <c r="A3263" s="163" t="s">
        <v>222</v>
      </c>
      <c r="B3263" s="163"/>
      <c r="C3263" s="163"/>
      <c r="J3263" s="165"/>
      <c r="K3263" s="166"/>
      <c r="L3263" s="166"/>
    </row>
    <row r="3264">
      <c r="A3264" s="163" t="s">
        <v>222</v>
      </c>
      <c r="B3264" s="163"/>
      <c r="C3264" s="163"/>
      <c r="J3264" s="165"/>
      <c r="K3264" s="166"/>
      <c r="L3264" s="166"/>
    </row>
    <row r="3265">
      <c r="A3265" s="163" t="s">
        <v>222</v>
      </c>
      <c r="B3265" s="163"/>
      <c r="C3265" s="163"/>
      <c r="J3265" s="165"/>
      <c r="K3265" s="166"/>
      <c r="L3265" s="166"/>
    </row>
    <row r="3266">
      <c r="A3266" s="163" t="s">
        <v>222</v>
      </c>
      <c r="B3266" s="163"/>
      <c r="C3266" s="163"/>
      <c r="J3266" s="165"/>
      <c r="K3266" s="166"/>
      <c r="L3266" s="166"/>
    </row>
    <row r="3267">
      <c r="A3267" s="163" t="s">
        <v>222</v>
      </c>
      <c r="B3267" s="163"/>
      <c r="C3267" s="163"/>
      <c r="J3267" s="165"/>
      <c r="K3267" s="166"/>
      <c r="L3267" s="166"/>
    </row>
    <row r="3268">
      <c r="A3268" s="163" t="s">
        <v>222</v>
      </c>
      <c r="B3268" s="163"/>
      <c r="C3268" s="163"/>
      <c r="J3268" s="165"/>
      <c r="K3268" s="166"/>
      <c r="L3268" s="166"/>
    </row>
    <row r="3269">
      <c r="A3269" s="163" t="s">
        <v>222</v>
      </c>
      <c r="B3269" s="163"/>
      <c r="C3269" s="163"/>
      <c r="J3269" s="165"/>
      <c r="K3269" s="166"/>
      <c r="L3269" s="166"/>
    </row>
    <row r="3270">
      <c r="A3270" s="163" t="s">
        <v>222</v>
      </c>
      <c r="B3270" s="163"/>
      <c r="C3270" s="163"/>
      <c r="J3270" s="165"/>
      <c r="K3270" s="166"/>
      <c r="L3270" s="166"/>
    </row>
    <row r="3271">
      <c r="A3271" s="163" t="s">
        <v>222</v>
      </c>
      <c r="B3271" s="163"/>
      <c r="C3271" s="163"/>
      <c r="J3271" s="165"/>
      <c r="K3271" s="166"/>
      <c r="L3271" s="166"/>
    </row>
    <row r="3272">
      <c r="A3272" s="163" t="s">
        <v>222</v>
      </c>
      <c r="B3272" s="163"/>
      <c r="C3272" s="163"/>
      <c r="J3272" s="165"/>
      <c r="K3272" s="166"/>
      <c r="L3272" s="166"/>
    </row>
    <row r="3273">
      <c r="A3273" s="163" t="s">
        <v>222</v>
      </c>
      <c r="B3273" s="163"/>
      <c r="C3273" s="163"/>
      <c r="J3273" s="165"/>
      <c r="K3273" s="166"/>
      <c r="L3273" s="166"/>
    </row>
    <row r="3274">
      <c r="A3274" s="163" t="s">
        <v>222</v>
      </c>
      <c r="B3274" s="163"/>
      <c r="C3274" s="163"/>
      <c r="J3274" s="165"/>
      <c r="K3274" s="166"/>
      <c r="L3274" s="166"/>
    </row>
    <row r="3275">
      <c r="A3275" s="163" t="s">
        <v>222</v>
      </c>
      <c r="B3275" s="163"/>
      <c r="C3275" s="163"/>
      <c r="J3275" s="165"/>
      <c r="K3275" s="166"/>
      <c r="L3275" s="166"/>
    </row>
    <row r="3276">
      <c r="A3276" s="163" t="s">
        <v>222</v>
      </c>
      <c r="B3276" s="163"/>
      <c r="C3276" s="163"/>
      <c r="J3276" s="165"/>
      <c r="K3276" s="166"/>
      <c r="L3276" s="166"/>
    </row>
    <row r="3277">
      <c r="A3277" s="163" t="s">
        <v>222</v>
      </c>
      <c r="B3277" s="163"/>
      <c r="C3277" s="163"/>
      <c r="J3277" s="165"/>
      <c r="K3277" s="166"/>
      <c r="L3277" s="166"/>
    </row>
    <row r="3278">
      <c r="A3278" s="163" t="s">
        <v>222</v>
      </c>
      <c r="B3278" s="163"/>
      <c r="C3278" s="163"/>
      <c r="J3278" s="165"/>
      <c r="K3278" s="166"/>
      <c r="L3278" s="166"/>
    </row>
    <row r="3279">
      <c r="A3279" s="163" t="s">
        <v>222</v>
      </c>
      <c r="B3279" s="163"/>
      <c r="C3279" s="163"/>
      <c r="J3279" s="165"/>
      <c r="K3279" s="166"/>
      <c r="L3279" s="166"/>
    </row>
    <row r="3280">
      <c r="A3280" s="163" t="s">
        <v>222</v>
      </c>
      <c r="B3280" s="163"/>
      <c r="C3280" s="163"/>
      <c r="J3280" s="165"/>
      <c r="K3280" s="166"/>
      <c r="L3280" s="166"/>
    </row>
    <row r="3281">
      <c r="A3281" s="163" t="s">
        <v>222</v>
      </c>
      <c r="B3281" s="163"/>
      <c r="C3281" s="163"/>
      <c r="J3281" s="165"/>
      <c r="K3281" s="166"/>
      <c r="L3281" s="166"/>
    </row>
    <row r="3282">
      <c r="A3282" s="163" t="s">
        <v>222</v>
      </c>
      <c r="B3282" s="163"/>
      <c r="C3282" s="163"/>
      <c r="J3282" s="165"/>
      <c r="K3282" s="166"/>
      <c r="L3282" s="166"/>
    </row>
    <row r="3283">
      <c r="A3283" s="163" t="s">
        <v>222</v>
      </c>
      <c r="B3283" s="163"/>
      <c r="C3283" s="163"/>
      <c r="J3283" s="165"/>
      <c r="K3283" s="166"/>
      <c r="L3283" s="166"/>
    </row>
    <row r="3284">
      <c r="A3284" s="163" t="s">
        <v>222</v>
      </c>
      <c r="B3284" s="163"/>
      <c r="C3284" s="163"/>
      <c r="J3284" s="165"/>
      <c r="K3284" s="166"/>
      <c r="L3284" s="166"/>
    </row>
    <row r="3285">
      <c r="A3285" s="163" t="s">
        <v>222</v>
      </c>
      <c r="B3285" s="163"/>
      <c r="C3285" s="163"/>
      <c r="J3285" s="165"/>
      <c r="K3285" s="166"/>
      <c r="L3285" s="166"/>
    </row>
    <row r="3286">
      <c r="A3286" s="163" t="s">
        <v>222</v>
      </c>
      <c r="B3286" s="163"/>
      <c r="C3286" s="163"/>
      <c r="J3286" s="165"/>
      <c r="K3286" s="166"/>
      <c r="L3286" s="166"/>
    </row>
    <row r="3287">
      <c r="A3287" s="163" t="s">
        <v>222</v>
      </c>
      <c r="B3287" s="163"/>
      <c r="C3287" s="163"/>
      <c r="J3287" s="165"/>
      <c r="K3287" s="166"/>
      <c r="L3287" s="166"/>
    </row>
    <row r="3288">
      <c r="A3288" s="163" t="s">
        <v>222</v>
      </c>
      <c r="B3288" s="163"/>
      <c r="C3288" s="163"/>
      <c r="J3288" s="165"/>
      <c r="K3288" s="166"/>
      <c r="L3288" s="166"/>
    </row>
    <row r="3289">
      <c r="A3289" s="163" t="s">
        <v>222</v>
      </c>
      <c r="B3289" s="163"/>
      <c r="C3289" s="163"/>
      <c r="J3289" s="165"/>
      <c r="K3289" s="166"/>
      <c r="L3289" s="166"/>
    </row>
    <row r="3290">
      <c r="A3290" s="163" t="s">
        <v>222</v>
      </c>
      <c r="B3290" s="163"/>
      <c r="C3290" s="163"/>
      <c r="J3290" s="165"/>
      <c r="K3290" s="166"/>
      <c r="L3290" s="166"/>
    </row>
    <row r="3291">
      <c r="A3291" s="163" t="s">
        <v>222</v>
      </c>
      <c r="B3291" s="163"/>
      <c r="C3291" s="163"/>
      <c r="J3291" s="165"/>
      <c r="K3291" s="166"/>
      <c r="L3291" s="166"/>
    </row>
    <row r="3292">
      <c r="A3292" s="163" t="s">
        <v>222</v>
      </c>
      <c r="B3292" s="163"/>
      <c r="C3292" s="163"/>
      <c r="J3292" s="165"/>
      <c r="K3292" s="166"/>
      <c r="L3292" s="166"/>
    </row>
    <row r="3293">
      <c r="A3293" s="163" t="s">
        <v>222</v>
      </c>
      <c r="B3293" s="163"/>
      <c r="C3293" s="163"/>
      <c r="J3293" s="165"/>
      <c r="K3293" s="166"/>
      <c r="L3293" s="166"/>
    </row>
    <row r="3294">
      <c r="A3294" s="163" t="s">
        <v>222</v>
      </c>
      <c r="B3294" s="163"/>
      <c r="C3294" s="163"/>
      <c r="J3294" s="165"/>
      <c r="K3294" s="166"/>
      <c r="L3294" s="166"/>
    </row>
    <row r="3295">
      <c r="A3295" s="163" t="s">
        <v>222</v>
      </c>
      <c r="B3295" s="163"/>
      <c r="C3295" s="163"/>
      <c r="J3295" s="165"/>
      <c r="K3295" s="166"/>
      <c r="L3295" s="166"/>
    </row>
    <row r="3296">
      <c r="A3296" s="163" t="s">
        <v>222</v>
      </c>
      <c r="B3296" s="163"/>
      <c r="C3296" s="163"/>
      <c r="J3296" s="165"/>
      <c r="K3296" s="166"/>
      <c r="L3296" s="166"/>
    </row>
    <row r="3297">
      <c r="A3297" s="163" t="s">
        <v>222</v>
      </c>
      <c r="B3297" s="163"/>
      <c r="C3297" s="163"/>
      <c r="J3297" s="165"/>
      <c r="K3297" s="166"/>
      <c r="L3297" s="166"/>
    </row>
    <row r="3298">
      <c r="A3298" s="163" t="s">
        <v>222</v>
      </c>
      <c r="B3298" s="163"/>
      <c r="C3298" s="163"/>
      <c r="J3298" s="165"/>
      <c r="K3298" s="166"/>
      <c r="L3298" s="166"/>
    </row>
    <row r="3299">
      <c r="A3299" s="163" t="s">
        <v>222</v>
      </c>
      <c r="B3299" s="163"/>
      <c r="C3299" s="163"/>
      <c r="J3299" s="165"/>
      <c r="K3299" s="166"/>
      <c r="L3299" s="166"/>
    </row>
    <row r="3300">
      <c r="A3300" s="163" t="s">
        <v>222</v>
      </c>
      <c r="B3300" s="163"/>
      <c r="C3300" s="163"/>
      <c r="J3300" s="165"/>
      <c r="K3300" s="166"/>
      <c r="L3300" s="166"/>
    </row>
    <row r="3301">
      <c r="A3301" s="163" t="s">
        <v>222</v>
      </c>
      <c r="B3301" s="163"/>
      <c r="C3301" s="163"/>
      <c r="J3301" s="165"/>
      <c r="K3301" s="166"/>
      <c r="L3301" s="166"/>
    </row>
    <row r="3302">
      <c r="A3302" s="163" t="s">
        <v>222</v>
      </c>
      <c r="B3302" s="163"/>
      <c r="C3302" s="163"/>
      <c r="J3302" s="165"/>
      <c r="K3302" s="166"/>
      <c r="L3302" s="166"/>
    </row>
    <row r="3303">
      <c r="A3303" s="163" t="s">
        <v>222</v>
      </c>
      <c r="B3303" s="163"/>
      <c r="C3303" s="163"/>
      <c r="J3303" s="165"/>
      <c r="K3303" s="166"/>
      <c r="L3303" s="166"/>
    </row>
    <row r="3304">
      <c r="A3304" s="163" t="s">
        <v>222</v>
      </c>
      <c r="B3304" s="163"/>
      <c r="C3304" s="163"/>
      <c r="J3304" s="165"/>
      <c r="K3304" s="166"/>
      <c r="L3304" s="166"/>
    </row>
    <row r="3305">
      <c r="A3305" s="163" t="s">
        <v>222</v>
      </c>
      <c r="B3305" s="163"/>
      <c r="C3305" s="163"/>
      <c r="J3305" s="165"/>
      <c r="K3305" s="166"/>
      <c r="L3305" s="166"/>
    </row>
    <row r="3306">
      <c r="A3306" s="163" t="s">
        <v>222</v>
      </c>
      <c r="B3306" s="163"/>
      <c r="C3306" s="163"/>
      <c r="J3306" s="165"/>
      <c r="K3306" s="166"/>
      <c r="L3306" s="166"/>
    </row>
    <row r="3307">
      <c r="A3307" s="163" t="s">
        <v>222</v>
      </c>
      <c r="B3307" s="163"/>
      <c r="C3307" s="163"/>
      <c r="J3307" s="165"/>
      <c r="K3307" s="166"/>
      <c r="L3307" s="166"/>
    </row>
    <row r="3308">
      <c r="A3308" s="163" t="s">
        <v>222</v>
      </c>
      <c r="B3308" s="163"/>
      <c r="C3308" s="163"/>
      <c r="J3308" s="165"/>
      <c r="K3308" s="166"/>
      <c r="L3308" s="166"/>
    </row>
    <row r="3309">
      <c r="A3309" s="163" t="s">
        <v>222</v>
      </c>
      <c r="B3309" s="163"/>
      <c r="C3309" s="163"/>
      <c r="J3309" s="165"/>
      <c r="K3309" s="166"/>
      <c r="L3309" s="166"/>
    </row>
    <row r="3310">
      <c r="A3310" s="163" t="s">
        <v>222</v>
      </c>
      <c r="B3310" s="163"/>
      <c r="C3310" s="163"/>
      <c r="J3310" s="165"/>
      <c r="K3310" s="166"/>
      <c r="L3310" s="166"/>
    </row>
    <row r="3311">
      <c r="A3311" s="163" t="s">
        <v>222</v>
      </c>
      <c r="B3311" s="163"/>
      <c r="C3311" s="163"/>
      <c r="J3311" s="165"/>
      <c r="K3311" s="166"/>
      <c r="L3311" s="166"/>
    </row>
    <row r="3312">
      <c r="A3312" s="163" t="s">
        <v>222</v>
      </c>
      <c r="B3312" s="163"/>
      <c r="C3312" s="163"/>
      <c r="J3312" s="165"/>
      <c r="K3312" s="166"/>
      <c r="L3312" s="166"/>
    </row>
    <row r="3313">
      <c r="A3313" s="163" t="s">
        <v>222</v>
      </c>
      <c r="B3313" s="163"/>
      <c r="C3313" s="163"/>
      <c r="J3313" s="165"/>
      <c r="K3313" s="166"/>
      <c r="L3313" s="166"/>
    </row>
    <row r="3314">
      <c r="A3314" s="163" t="s">
        <v>222</v>
      </c>
      <c r="B3314" s="163"/>
      <c r="C3314" s="163"/>
      <c r="J3314" s="165"/>
      <c r="K3314" s="166"/>
      <c r="L3314" s="166"/>
    </row>
    <row r="3315">
      <c r="A3315" s="163" t="s">
        <v>222</v>
      </c>
      <c r="B3315" s="163"/>
      <c r="C3315" s="163"/>
      <c r="J3315" s="165"/>
      <c r="K3315" s="166"/>
      <c r="L3315" s="166"/>
    </row>
    <row r="3316">
      <c r="A3316" s="163" t="s">
        <v>222</v>
      </c>
      <c r="B3316" s="163"/>
      <c r="C3316" s="163"/>
      <c r="J3316" s="165"/>
      <c r="K3316" s="166"/>
      <c r="L3316" s="166"/>
    </row>
    <row r="3317">
      <c r="A3317" s="163" t="s">
        <v>222</v>
      </c>
      <c r="B3317" s="163"/>
      <c r="C3317" s="163"/>
      <c r="J3317" s="165"/>
      <c r="K3317" s="166"/>
      <c r="L3317" s="166"/>
    </row>
    <row r="3318">
      <c r="A3318" s="163" t="s">
        <v>222</v>
      </c>
      <c r="B3318" s="163"/>
      <c r="C3318" s="163"/>
      <c r="J3318" s="165"/>
      <c r="K3318" s="166"/>
      <c r="L3318" s="166"/>
    </row>
    <row r="3319">
      <c r="A3319" s="163" t="s">
        <v>222</v>
      </c>
      <c r="B3319" s="163"/>
      <c r="C3319" s="163"/>
      <c r="J3319" s="165"/>
      <c r="K3319" s="166"/>
      <c r="L3319" s="166"/>
    </row>
    <row r="3320">
      <c r="A3320" s="163" t="s">
        <v>222</v>
      </c>
      <c r="B3320" s="163"/>
      <c r="C3320" s="163"/>
      <c r="J3320" s="165"/>
      <c r="K3320" s="166"/>
      <c r="L3320" s="166"/>
    </row>
    <row r="3321">
      <c r="A3321" s="163" t="s">
        <v>222</v>
      </c>
      <c r="B3321" s="163"/>
      <c r="C3321" s="163"/>
      <c r="J3321" s="165"/>
      <c r="K3321" s="166"/>
      <c r="L3321" s="166"/>
    </row>
    <row r="3322">
      <c r="A3322" s="163" t="s">
        <v>222</v>
      </c>
      <c r="B3322" s="163"/>
      <c r="C3322" s="163"/>
      <c r="J3322" s="165"/>
      <c r="K3322" s="166"/>
      <c r="L3322" s="166"/>
    </row>
    <row r="3323">
      <c r="A3323" s="163" t="s">
        <v>222</v>
      </c>
      <c r="B3323" s="163"/>
      <c r="C3323" s="163"/>
      <c r="J3323" s="165"/>
      <c r="K3323" s="166"/>
      <c r="L3323" s="166"/>
    </row>
    <row r="3324">
      <c r="A3324" s="163" t="s">
        <v>222</v>
      </c>
      <c r="B3324" s="163"/>
      <c r="C3324" s="163"/>
      <c r="J3324" s="165"/>
      <c r="K3324" s="166"/>
      <c r="L3324" s="166"/>
    </row>
    <row r="3325">
      <c r="A3325" s="163" t="s">
        <v>222</v>
      </c>
      <c r="B3325" s="163"/>
      <c r="C3325" s="163"/>
      <c r="J3325" s="165"/>
      <c r="K3325" s="166"/>
      <c r="L3325" s="166"/>
    </row>
    <row r="3326">
      <c r="A3326" s="163" t="s">
        <v>222</v>
      </c>
      <c r="B3326" s="163"/>
      <c r="C3326" s="163"/>
      <c r="J3326" s="165"/>
      <c r="K3326" s="166"/>
      <c r="L3326" s="166"/>
    </row>
    <row r="3327">
      <c r="A3327" s="163" t="s">
        <v>222</v>
      </c>
      <c r="B3327" s="163"/>
      <c r="C3327" s="163"/>
      <c r="J3327" s="165"/>
      <c r="K3327" s="166"/>
      <c r="L3327" s="166"/>
    </row>
    <row r="3328">
      <c r="A3328" s="163" t="s">
        <v>222</v>
      </c>
      <c r="B3328" s="163"/>
      <c r="C3328" s="163"/>
      <c r="J3328" s="165"/>
      <c r="K3328" s="166"/>
      <c r="L3328" s="166"/>
    </row>
    <row r="3329">
      <c r="A3329" s="163" t="s">
        <v>222</v>
      </c>
      <c r="B3329" s="163"/>
      <c r="C3329" s="163"/>
      <c r="J3329" s="165"/>
      <c r="K3329" s="166"/>
      <c r="L3329" s="166"/>
    </row>
    <row r="3330">
      <c r="A3330" s="163" t="s">
        <v>222</v>
      </c>
      <c r="B3330" s="163"/>
      <c r="C3330" s="163"/>
      <c r="J3330" s="165"/>
      <c r="K3330" s="166"/>
      <c r="L3330" s="166"/>
    </row>
    <row r="3331">
      <c r="A3331" s="163" t="s">
        <v>222</v>
      </c>
      <c r="B3331" s="163"/>
      <c r="C3331" s="163"/>
      <c r="J3331" s="165"/>
      <c r="K3331" s="166"/>
      <c r="L3331" s="166"/>
    </row>
    <row r="3332">
      <c r="A3332" s="163" t="s">
        <v>222</v>
      </c>
      <c r="B3332" s="163"/>
      <c r="C3332" s="163"/>
      <c r="J3332" s="165"/>
      <c r="K3332" s="166"/>
      <c r="L3332" s="166"/>
    </row>
    <row r="3333">
      <c r="A3333" s="163" t="s">
        <v>222</v>
      </c>
      <c r="B3333" s="163"/>
      <c r="C3333" s="163"/>
      <c r="J3333" s="165"/>
      <c r="K3333" s="166"/>
      <c r="L3333" s="166"/>
    </row>
    <row r="3334">
      <c r="A3334" s="163" t="s">
        <v>222</v>
      </c>
      <c r="B3334" s="163"/>
      <c r="C3334" s="163"/>
      <c r="J3334" s="165"/>
      <c r="K3334" s="166"/>
      <c r="L3334" s="166"/>
    </row>
    <row r="3335">
      <c r="A3335" s="163" t="s">
        <v>222</v>
      </c>
      <c r="B3335" s="163"/>
      <c r="C3335" s="163"/>
      <c r="J3335" s="165"/>
      <c r="K3335" s="166"/>
      <c r="L3335" s="166"/>
    </row>
    <row r="3336">
      <c r="A3336" s="163" t="s">
        <v>222</v>
      </c>
      <c r="B3336" s="163"/>
      <c r="C3336" s="163"/>
      <c r="J3336" s="165"/>
      <c r="K3336" s="166"/>
      <c r="L3336" s="166"/>
    </row>
    <row r="3337">
      <c r="A3337" s="163" t="s">
        <v>222</v>
      </c>
      <c r="B3337" s="163"/>
      <c r="C3337" s="163"/>
      <c r="J3337" s="165"/>
      <c r="K3337" s="166"/>
      <c r="L3337" s="166"/>
    </row>
    <row r="3338">
      <c r="A3338" s="163" t="s">
        <v>222</v>
      </c>
      <c r="B3338" s="163"/>
      <c r="C3338" s="163"/>
      <c r="J3338" s="165"/>
      <c r="K3338" s="166"/>
      <c r="L3338" s="166"/>
    </row>
    <row r="3339">
      <c r="A3339" s="163" t="s">
        <v>222</v>
      </c>
      <c r="B3339" s="163"/>
      <c r="C3339" s="163"/>
      <c r="J3339" s="165"/>
      <c r="K3339" s="166"/>
      <c r="L3339" s="166"/>
    </row>
    <row r="3340">
      <c r="A3340" s="163" t="s">
        <v>222</v>
      </c>
      <c r="B3340" s="163"/>
      <c r="C3340" s="163"/>
      <c r="J3340" s="165"/>
      <c r="K3340" s="166"/>
      <c r="L3340" s="166"/>
    </row>
    <row r="3341">
      <c r="A3341" s="163" t="s">
        <v>222</v>
      </c>
      <c r="B3341" s="163"/>
      <c r="C3341" s="163"/>
      <c r="J3341" s="165"/>
      <c r="K3341" s="166"/>
      <c r="L3341" s="166"/>
    </row>
    <row r="3342">
      <c r="A3342" s="163" t="s">
        <v>222</v>
      </c>
      <c r="B3342" s="163"/>
      <c r="C3342" s="163"/>
      <c r="J3342" s="165"/>
      <c r="K3342" s="166"/>
      <c r="L3342" s="166"/>
    </row>
    <row r="3343">
      <c r="A3343" s="163" t="s">
        <v>222</v>
      </c>
      <c r="B3343" s="163"/>
      <c r="C3343" s="163"/>
      <c r="J3343" s="165"/>
      <c r="K3343" s="166"/>
      <c r="L3343" s="166"/>
    </row>
    <row r="3344">
      <c r="A3344" s="163" t="s">
        <v>222</v>
      </c>
      <c r="B3344" s="163"/>
      <c r="C3344" s="163"/>
      <c r="J3344" s="165"/>
      <c r="K3344" s="166"/>
      <c r="L3344" s="166"/>
    </row>
    <row r="3345">
      <c r="A3345" s="163" t="s">
        <v>222</v>
      </c>
      <c r="B3345" s="163"/>
      <c r="C3345" s="163"/>
      <c r="J3345" s="165"/>
      <c r="K3345" s="166"/>
      <c r="L3345" s="166"/>
    </row>
    <row r="3346">
      <c r="A3346" s="163" t="s">
        <v>222</v>
      </c>
      <c r="B3346" s="163"/>
      <c r="C3346" s="163"/>
      <c r="J3346" s="165"/>
      <c r="K3346" s="166"/>
      <c r="L3346" s="166"/>
    </row>
    <row r="3347">
      <c r="A3347" s="163" t="s">
        <v>222</v>
      </c>
      <c r="B3347" s="163"/>
      <c r="C3347" s="163"/>
      <c r="J3347" s="165"/>
      <c r="K3347" s="166"/>
      <c r="L3347" s="166"/>
    </row>
    <row r="3348">
      <c r="A3348" s="163" t="s">
        <v>222</v>
      </c>
      <c r="B3348" s="163"/>
      <c r="C3348" s="163"/>
      <c r="J3348" s="165"/>
      <c r="K3348" s="166"/>
      <c r="L3348" s="166"/>
    </row>
    <row r="3349">
      <c r="A3349" s="163" t="s">
        <v>222</v>
      </c>
      <c r="B3349" s="163"/>
      <c r="C3349" s="163"/>
      <c r="J3349" s="165"/>
      <c r="K3349" s="166"/>
      <c r="L3349" s="166"/>
    </row>
    <row r="3350">
      <c r="A3350" s="163" t="s">
        <v>222</v>
      </c>
      <c r="B3350" s="163"/>
      <c r="C3350" s="163"/>
      <c r="J3350" s="165"/>
      <c r="K3350" s="166"/>
      <c r="L3350" s="166"/>
    </row>
    <row r="3351">
      <c r="A3351" s="163" t="s">
        <v>222</v>
      </c>
      <c r="B3351" s="163"/>
      <c r="C3351" s="163"/>
      <c r="J3351" s="165"/>
      <c r="K3351" s="166"/>
      <c r="L3351" s="166"/>
    </row>
    <row r="3352">
      <c r="A3352" s="163" t="s">
        <v>222</v>
      </c>
      <c r="B3352" s="163"/>
      <c r="C3352" s="163"/>
      <c r="J3352" s="165"/>
      <c r="K3352" s="166"/>
      <c r="L3352" s="166"/>
    </row>
    <row r="3353">
      <c r="A3353" s="163" t="s">
        <v>222</v>
      </c>
      <c r="B3353" s="163"/>
      <c r="C3353" s="163"/>
      <c r="J3353" s="165"/>
      <c r="K3353" s="166"/>
      <c r="L3353" s="166"/>
    </row>
    <row r="3354">
      <c r="A3354" s="163" t="s">
        <v>222</v>
      </c>
      <c r="B3354" s="163"/>
      <c r="C3354" s="163"/>
      <c r="J3354" s="165"/>
      <c r="K3354" s="166"/>
      <c r="L3354" s="166"/>
    </row>
    <row r="3355">
      <c r="A3355" s="163" t="s">
        <v>222</v>
      </c>
      <c r="B3355" s="163"/>
      <c r="C3355" s="163"/>
      <c r="J3355" s="165"/>
      <c r="K3355" s="166"/>
      <c r="L3355" s="166"/>
    </row>
    <row r="3356">
      <c r="A3356" s="163" t="s">
        <v>222</v>
      </c>
      <c r="B3356" s="163"/>
      <c r="C3356" s="163"/>
      <c r="J3356" s="165"/>
      <c r="K3356" s="166"/>
      <c r="L3356" s="166"/>
    </row>
    <row r="3357">
      <c r="A3357" s="163" t="s">
        <v>222</v>
      </c>
      <c r="B3357" s="163"/>
      <c r="C3357" s="163"/>
      <c r="J3357" s="165"/>
      <c r="K3357" s="166"/>
      <c r="L3357" s="166"/>
    </row>
    <row r="3358">
      <c r="A3358" s="163" t="s">
        <v>222</v>
      </c>
      <c r="B3358" s="163"/>
      <c r="C3358" s="163"/>
      <c r="J3358" s="165"/>
      <c r="K3358" s="166"/>
      <c r="L3358" s="166"/>
    </row>
    <row r="3359">
      <c r="A3359" s="163" t="s">
        <v>222</v>
      </c>
      <c r="B3359" s="163"/>
      <c r="C3359" s="163"/>
      <c r="J3359" s="165"/>
      <c r="K3359" s="166"/>
      <c r="L3359" s="166"/>
    </row>
    <row r="3360">
      <c r="A3360" s="163" t="s">
        <v>222</v>
      </c>
      <c r="B3360" s="163"/>
      <c r="C3360" s="163"/>
      <c r="J3360" s="165"/>
      <c r="K3360" s="166"/>
      <c r="L3360" s="166"/>
    </row>
    <row r="3361">
      <c r="A3361" s="163" t="s">
        <v>222</v>
      </c>
      <c r="B3361" s="163"/>
      <c r="C3361" s="163"/>
      <c r="J3361" s="165"/>
      <c r="K3361" s="166"/>
      <c r="L3361" s="166"/>
    </row>
    <row r="3362">
      <c r="A3362" s="163" t="s">
        <v>222</v>
      </c>
      <c r="B3362" s="163"/>
      <c r="C3362" s="163"/>
      <c r="J3362" s="165"/>
      <c r="K3362" s="166"/>
      <c r="L3362" s="166"/>
    </row>
    <row r="3363">
      <c r="A3363" s="163" t="s">
        <v>222</v>
      </c>
      <c r="B3363" s="163"/>
      <c r="C3363" s="163"/>
      <c r="J3363" s="165"/>
      <c r="K3363" s="166"/>
      <c r="L3363" s="166"/>
    </row>
    <row r="3364">
      <c r="A3364" s="163" t="s">
        <v>222</v>
      </c>
      <c r="B3364" s="163"/>
      <c r="C3364" s="163"/>
      <c r="J3364" s="165"/>
      <c r="K3364" s="166"/>
      <c r="L3364" s="166"/>
    </row>
    <row r="3365">
      <c r="A3365" s="163" t="s">
        <v>222</v>
      </c>
      <c r="B3365" s="163"/>
      <c r="C3365" s="163"/>
      <c r="J3365" s="165"/>
      <c r="K3365" s="166"/>
      <c r="L3365" s="166"/>
    </row>
    <row r="3366">
      <c r="A3366" s="163" t="s">
        <v>222</v>
      </c>
      <c r="B3366" s="163"/>
      <c r="C3366" s="163"/>
      <c r="J3366" s="165"/>
      <c r="K3366" s="166"/>
      <c r="L3366" s="166"/>
    </row>
    <row r="3367">
      <c r="A3367" s="163" t="s">
        <v>222</v>
      </c>
      <c r="B3367" s="163"/>
      <c r="C3367" s="163"/>
      <c r="J3367" s="165"/>
      <c r="K3367" s="166"/>
      <c r="L3367" s="166"/>
    </row>
    <row r="3368">
      <c r="A3368" s="163" t="s">
        <v>222</v>
      </c>
      <c r="B3368" s="163"/>
      <c r="C3368" s="163"/>
      <c r="J3368" s="165"/>
      <c r="K3368" s="166"/>
      <c r="L3368" s="166"/>
    </row>
    <row r="3369">
      <c r="A3369" s="163" t="s">
        <v>222</v>
      </c>
      <c r="B3369" s="163"/>
      <c r="C3369" s="163"/>
      <c r="J3369" s="165"/>
      <c r="K3369" s="166"/>
      <c r="L3369" s="166"/>
    </row>
    <row r="3370">
      <c r="A3370" s="163" t="s">
        <v>222</v>
      </c>
      <c r="B3370" s="163"/>
      <c r="C3370" s="163"/>
      <c r="J3370" s="165"/>
      <c r="K3370" s="166"/>
      <c r="L3370" s="166"/>
    </row>
    <row r="3371">
      <c r="A3371" s="163" t="s">
        <v>222</v>
      </c>
      <c r="B3371" s="163"/>
      <c r="C3371" s="163"/>
      <c r="J3371" s="165"/>
      <c r="K3371" s="166"/>
      <c r="L3371" s="166"/>
    </row>
    <row r="3372">
      <c r="A3372" s="163" t="s">
        <v>222</v>
      </c>
      <c r="B3372" s="163"/>
      <c r="C3372" s="163"/>
      <c r="J3372" s="165"/>
      <c r="K3372" s="166"/>
      <c r="L3372" s="166"/>
    </row>
    <row r="3373">
      <c r="A3373" s="163" t="s">
        <v>222</v>
      </c>
      <c r="B3373" s="163"/>
      <c r="C3373" s="163"/>
      <c r="J3373" s="165"/>
      <c r="K3373" s="166"/>
      <c r="L3373" s="166"/>
    </row>
    <row r="3374">
      <c r="A3374" s="163" t="s">
        <v>222</v>
      </c>
      <c r="B3374" s="163"/>
      <c r="C3374" s="163"/>
      <c r="J3374" s="165"/>
      <c r="K3374" s="166"/>
      <c r="L3374" s="166"/>
    </row>
    <row r="3375">
      <c r="A3375" s="163" t="s">
        <v>222</v>
      </c>
      <c r="B3375" s="163"/>
      <c r="C3375" s="163"/>
      <c r="J3375" s="165"/>
      <c r="K3375" s="166"/>
      <c r="L3375" s="166"/>
    </row>
    <row r="3376">
      <c r="A3376" s="163" t="s">
        <v>222</v>
      </c>
      <c r="B3376" s="163"/>
      <c r="C3376" s="163"/>
      <c r="J3376" s="165"/>
      <c r="K3376" s="166"/>
      <c r="L3376" s="166"/>
    </row>
    <row r="3377">
      <c r="A3377" s="163" t="s">
        <v>222</v>
      </c>
      <c r="B3377" s="163"/>
      <c r="C3377" s="163"/>
      <c r="J3377" s="165"/>
      <c r="K3377" s="166"/>
      <c r="L3377" s="166"/>
    </row>
    <row r="3378">
      <c r="A3378" s="163" t="s">
        <v>222</v>
      </c>
      <c r="B3378" s="163"/>
      <c r="C3378" s="163"/>
      <c r="J3378" s="165"/>
      <c r="K3378" s="166"/>
      <c r="L3378" s="166"/>
    </row>
    <row r="3379">
      <c r="A3379" s="163" t="s">
        <v>222</v>
      </c>
      <c r="B3379" s="163"/>
      <c r="C3379" s="163"/>
      <c r="J3379" s="165"/>
      <c r="K3379" s="166"/>
      <c r="L3379" s="166"/>
    </row>
    <row r="3380">
      <c r="A3380" s="163" t="s">
        <v>222</v>
      </c>
      <c r="B3380" s="163"/>
      <c r="C3380" s="163"/>
      <c r="J3380" s="165"/>
      <c r="K3380" s="166"/>
      <c r="L3380" s="166"/>
    </row>
    <row r="3381">
      <c r="A3381" s="163" t="s">
        <v>222</v>
      </c>
      <c r="B3381" s="163"/>
      <c r="C3381" s="163"/>
      <c r="J3381" s="165"/>
      <c r="K3381" s="166"/>
      <c r="L3381" s="166"/>
    </row>
    <row r="3382">
      <c r="A3382" s="163" t="s">
        <v>222</v>
      </c>
      <c r="B3382" s="163"/>
      <c r="C3382" s="163"/>
      <c r="J3382" s="165"/>
      <c r="K3382" s="166"/>
      <c r="L3382" s="166"/>
    </row>
    <row r="3383">
      <c r="A3383" s="163" t="s">
        <v>222</v>
      </c>
      <c r="B3383" s="163"/>
      <c r="C3383" s="163"/>
      <c r="J3383" s="165"/>
      <c r="K3383" s="166"/>
      <c r="L3383" s="166"/>
    </row>
    <row r="3384">
      <c r="A3384" s="163" t="s">
        <v>222</v>
      </c>
      <c r="B3384" s="163"/>
      <c r="C3384" s="163"/>
      <c r="J3384" s="165"/>
      <c r="K3384" s="166"/>
      <c r="L3384" s="166"/>
    </row>
    <row r="3385">
      <c r="A3385" s="163" t="s">
        <v>222</v>
      </c>
      <c r="B3385" s="163"/>
      <c r="C3385" s="163"/>
      <c r="J3385" s="165"/>
      <c r="K3385" s="166"/>
      <c r="L3385" s="166"/>
    </row>
    <row r="3386">
      <c r="A3386" s="163" t="s">
        <v>222</v>
      </c>
      <c r="B3386" s="163"/>
      <c r="C3386" s="163"/>
      <c r="J3386" s="165"/>
      <c r="K3386" s="166"/>
      <c r="L3386" s="166"/>
    </row>
    <row r="3387">
      <c r="A3387" s="163" t="s">
        <v>222</v>
      </c>
      <c r="B3387" s="163"/>
      <c r="C3387" s="163"/>
      <c r="J3387" s="165"/>
      <c r="K3387" s="166"/>
      <c r="L3387" s="166"/>
    </row>
    <row r="3388">
      <c r="A3388" s="163" t="s">
        <v>222</v>
      </c>
      <c r="B3388" s="163"/>
      <c r="C3388" s="163"/>
      <c r="J3388" s="165"/>
      <c r="K3388" s="166"/>
      <c r="L3388" s="166"/>
    </row>
    <row r="3389">
      <c r="A3389" s="163" t="s">
        <v>222</v>
      </c>
      <c r="B3389" s="163"/>
      <c r="C3389" s="163"/>
      <c r="J3389" s="165"/>
      <c r="K3389" s="166"/>
      <c r="L3389" s="166"/>
    </row>
    <row r="3390">
      <c r="A3390" s="163" t="s">
        <v>222</v>
      </c>
      <c r="B3390" s="163"/>
      <c r="C3390" s="163"/>
      <c r="J3390" s="165"/>
      <c r="K3390" s="166"/>
      <c r="L3390" s="166"/>
    </row>
    <row r="3391">
      <c r="A3391" s="163" t="s">
        <v>222</v>
      </c>
      <c r="B3391" s="163"/>
      <c r="C3391" s="163"/>
      <c r="J3391" s="165"/>
      <c r="K3391" s="166"/>
      <c r="L3391" s="166"/>
    </row>
    <row r="3392">
      <c r="A3392" s="163" t="s">
        <v>222</v>
      </c>
      <c r="B3392" s="163"/>
      <c r="C3392" s="163"/>
      <c r="J3392" s="165"/>
      <c r="K3392" s="166"/>
      <c r="L3392" s="166"/>
    </row>
    <row r="3393">
      <c r="A3393" s="163" t="s">
        <v>222</v>
      </c>
      <c r="B3393" s="163"/>
      <c r="C3393" s="163"/>
      <c r="J3393" s="165"/>
      <c r="K3393" s="166"/>
      <c r="L3393" s="166"/>
    </row>
    <row r="3394">
      <c r="A3394" s="163" t="s">
        <v>222</v>
      </c>
      <c r="B3394" s="163"/>
      <c r="C3394" s="163"/>
      <c r="J3394" s="165"/>
      <c r="K3394" s="166"/>
      <c r="L3394" s="166"/>
    </row>
    <row r="3395">
      <c r="A3395" s="163" t="s">
        <v>222</v>
      </c>
      <c r="B3395" s="163"/>
      <c r="C3395" s="163"/>
      <c r="J3395" s="165"/>
      <c r="K3395" s="166"/>
      <c r="L3395" s="166"/>
    </row>
    <row r="3396">
      <c r="A3396" s="163" t="s">
        <v>222</v>
      </c>
      <c r="B3396" s="163"/>
      <c r="C3396" s="163"/>
      <c r="J3396" s="165"/>
      <c r="K3396" s="166"/>
      <c r="L3396" s="166"/>
    </row>
    <row r="3397">
      <c r="A3397" s="163" t="s">
        <v>222</v>
      </c>
      <c r="B3397" s="163"/>
      <c r="C3397" s="163"/>
      <c r="J3397" s="165"/>
      <c r="K3397" s="166"/>
      <c r="L3397" s="166"/>
    </row>
    <row r="3398">
      <c r="A3398" s="163" t="s">
        <v>222</v>
      </c>
      <c r="B3398" s="163"/>
      <c r="C3398" s="163"/>
      <c r="J3398" s="165"/>
      <c r="K3398" s="166"/>
      <c r="L3398" s="166"/>
    </row>
    <row r="3399">
      <c r="A3399" s="163" t="s">
        <v>222</v>
      </c>
      <c r="B3399" s="163"/>
      <c r="C3399" s="163"/>
      <c r="J3399" s="165"/>
      <c r="K3399" s="166"/>
      <c r="L3399" s="166"/>
    </row>
    <row r="3400">
      <c r="A3400" s="163" t="s">
        <v>222</v>
      </c>
      <c r="B3400" s="163"/>
      <c r="C3400" s="163"/>
      <c r="J3400" s="165"/>
      <c r="K3400" s="166"/>
      <c r="L3400" s="166"/>
    </row>
    <row r="3401">
      <c r="A3401" s="163" t="s">
        <v>222</v>
      </c>
      <c r="B3401" s="163"/>
      <c r="C3401" s="163"/>
      <c r="J3401" s="165"/>
      <c r="K3401" s="166"/>
      <c r="L3401" s="166"/>
    </row>
    <row r="3402">
      <c r="A3402" s="163" t="s">
        <v>222</v>
      </c>
      <c r="B3402" s="163"/>
      <c r="C3402" s="163"/>
      <c r="J3402" s="165"/>
      <c r="K3402" s="166"/>
      <c r="L3402" s="166"/>
    </row>
    <row r="3403">
      <c r="A3403" s="163" t="s">
        <v>222</v>
      </c>
      <c r="B3403" s="163"/>
      <c r="C3403" s="163"/>
      <c r="J3403" s="165"/>
      <c r="K3403" s="166"/>
      <c r="L3403" s="166"/>
    </row>
    <row r="3404">
      <c r="A3404" s="163" t="s">
        <v>222</v>
      </c>
      <c r="B3404" s="163"/>
      <c r="C3404" s="163"/>
      <c r="J3404" s="165"/>
      <c r="K3404" s="166"/>
      <c r="L3404" s="166"/>
    </row>
    <row r="3405">
      <c r="A3405" s="163" t="s">
        <v>222</v>
      </c>
      <c r="B3405" s="163"/>
      <c r="C3405" s="163"/>
      <c r="J3405" s="165"/>
      <c r="K3405" s="166"/>
      <c r="L3405" s="166"/>
    </row>
    <row r="3406">
      <c r="A3406" s="163" t="s">
        <v>222</v>
      </c>
      <c r="B3406" s="163"/>
      <c r="C3406" s="163"/>
      <c r="J3406" s="165"/>
      <c r="K3406" s="166"/>
      <c r="L3406" s="166"/>
    </row>
    <row r="3407">
      <c r="A3407" s="163" t="s">
        <v>222</v>
      </c>
      <c r="B3407" s="163"/>
      <c r="C3407" s="163"/>
      <c r="J3407" s="165"/>
      <c r="K3407" s="166"/>
      <c r="L3407" s="166"/>
    </row>
    <row r="3408">
      <c r="A3408" s="163" t="s">
        <v>222</v>
      </c>
      <c r="B3408" s="163"/>
      <c r="C3408" s="163"/>
      <c r="J3408" s="165"/>
      <c r="K3408" s="166"/>
      <c r="L3408" s="166"/>
    </row>
    <row r="3409">
      <c r="A3409" s="163" t="s">
        <v>222</v>
      </c>
      <c r="B3409" s="163"/>
      <c r="C3409" s="163"/>
      <c r="J3409" s="165"/>
      <c r="K3409" s="166"/>
      <c r="L3409" s="166"/>
    </row>
    <row r="3410">
      <c r="A3410" s="163" t="s">
        <v>222</v>
      </c>
      <c r="B3410" s="163"/>
      <c r="C3410" s="163"/>
      <c r="J3410" s="165"/>
      <c r="K3410" s="166"/>
      <c r="L3410" s="166"/>
    </row>
    <row r="3411">
      <c r="A3411" s="163" t="s">
        <v>222</v>
      </c>
      <c r="B3411" s="163"/>
      <c r="C3411" s="163"/>
      <c r="J3411" s="165"/>
      <c r="K3411" s="166"/>
      <c r="L3411" s="166"/>
    </row>
    <row r="3412">
      <c r="A3412" s="163" t="s">
        <v>222</v>
      </c>
      <c r="B3412" s="163"/>
      <c r="C3412" s="163"/>
      <c r="J3412" s="165"/>
      <c r="K3412" s="166"/>
      <c r="L3412" s="166"/>
    </row>
    <row r="3413">
      <c r="A3413" s="163" t="s">
        <v>222</v>
      </c>
      <c r="B3413" s="163"/>
      <c r="C3413" s="163"/>
      <c r="J3413" s="165"/>
      <c r="K3413" s="166"/>
      <c r="L3413" s="166"/>
    </row>
    <row r="3414">
      <c r="A3414" s="163" t="s">
        <v>222</v>
      </c>
      <c r="B3414" s="163"/>
      <c r="C3414" s="163"/>
      <c r="J3414" s="165"/>
      <c r="K3414" s="166"/>
      <c r="L3414" s="166"/>
    </row>
    <row r="3415">
      <c r="A3415" s="163" t="s">
        <v>222</v>
      </c>
      <c r="B3415" s="163"/>
      <c r="C3415" s="163"/>
      <c r="J3415" s="165"/>
      <c r="K3415" s="166"/>
      <c r="L3415" s="166"/>
    </row>
    <row r="3416">
      <c r="A3416" s="163" t="s">
        <v>222</v>
      </c>
      <c r="B3416" s="163"/>
      <c r="C3416" s="163"/>
      <c r="J3416" s="165"/>
      <c r="K3416" s="166"/>
      <c r="L3416" s="166"/>
    </row>
    <row r="3417">
      <c r="A3417" s="163" t="s">
        <v>222</v>
      </c>
      <c r="B3417" s="163"/>
      <c r="C3417" s="163"/>
      <c r="J3417" s="165"/>
      <c r="K3417" s="166"/>
      <c r="L3417" s="166"/>
    </row>
    <row r="3418">
      <c r="A3418" s="163" t="s">
        <v>222</v>
      </c>
      <c r="B3418" s="163"/>
      <c r="C3418" s="163"/>
      <c r="J3418" s="165"/>
      <c r="K3418" s="166"/>
      <c r="L3418" s="166"/>
    </row>
    <row r="3419">
      <c r="A3419" s="163" t="s">
        <v>222</v>
      </c>
      <c r="B3419" s="163"/>
      <c r="C3419" s="163"/>
      <c r="J3419" s="165"/>
      <c r="K3419" s="166"/>
      <c r="L3419" s="166"/>
    </row>
    <row r="3420">
      <c r="A3420" s="163" t="s">
        <v>222</v>
      </c>
      <c r="B3420" s="163"/>
      <c r="C3420" s="163"/>
      <c r="J3420" s="165"/>
      <c r="K3420" s="166"/>
      <c r="L3420" s="166"/>
    </row>
    <row r="3421">
      <c r="A3421" s="163" t="s">
        <v>222</v>
      </c>
      <c r="B3421" s="163"/>
      <c r="C3421" s="163"/>
      <c r="J3421" s="165"/>
      <c r="K3421" s="166"/>
      <c r="L3421" s="166"/>
    </row>
    <row r="3422">
      <c r="A3422" s="163" t="s">
        <v>222</v>
      </c>
      <c r="B3422" s="163"/>
      <c r="C3422" s="163"/>
      <c r="J3422" s="165"/>
      <c r="K3422" s="166"/>
      <c r="L3422" s="166"/>
    </row>
    <row r="3423">
      <c r="A3423" s="163" t="s">
        <v>222</v>
      </c>
      <c r="B3423" s="163"/>
      <c r="C3423" s="163"/>
      <c r="J3423" s="165"/>
      <c r="K3423" s="166"/>
      <c r="L3423" s="166"/>
    </row>
    <row r="3424">
      <c r="A3424" s="163" t="s">
        <v>222</v>
      </c>
      <c r="B3424" s="163"/>
      <c r="C3424" s="163"/>
      <c r="J3424" s="165"/>
      <c r="K3424" s="166"/>
      <c r="L3424" s="166"/>
    </row>
    <row r="3425">
      <c r="A3425" s="163" t="s">
        <v>222</v>
      </c>
      <c r="B3425" s="163"/>
      <c r="C3425" s="163"/>
      <c r="J3425" s="165"/>
      <c r="K3425" s="166"/>
      <c r="L3425" s="166"/>
    </row>
    <row r="3426">
      <c r="A3426" s="163" t="s">
        <v>222</v>
      </c>
      <c r="B3426" s="163"/>
      <c r="C3426" s="163"/>
      <c r="J3426" s="165"/>
      <c r="K3426" s="166"/>
      <c r="L3426" s="166"/>
    </row>
    <row r="3427">
      <c r="A3427" s="163" t="s">
        <v>222</v>
      </c>
      <c r="B3427" s="163"/>
      <c r="C3427" s="163"/>
      <c r="J3427" s="165"/>
      <c r="K3427" s="166"/>
      <c r="L3427" s="166"/>
    </row>
    <row r="3428">
      <c r="A3428" s="163" t="s">
        <v>222</v>
      </c>
      <c r="B3428" s="163"/>
      <c r="C3428" s="163"/>
      <c r="J3428" s="165"/>
      <c r="K3428" s="166"/>
      <c r="L3428" s="166"/>
    </row>
    <row r="3429">
      <c r="A3429" s="163" t="s">
        <v>222</v>
      </c>
      <c r="B3429" s="163"/>
      <c r="C3429" s="163"/>
      <c r="J3429" s="165"/>
      <c r="K3429" s="166"/>
      <c r="L3429" s="166"/>
    </row>
    <row r="3430">
      <c r="A3430" s="163" t="s">
        <v>222</v>
      </c>
      <c r="B3430" s="163"/>
      <c r="C3430" s="163"/>
      <c r="J3430" s="165"/>
      <c r="K3430" s="166"/>
      <c r="L3430" s="166"/>
    </row>
    <row r="3431">
      <c r="A3431" s="163" t="s">
        <v>222</v>
      </c>
      <c r="B3431" s="163"/>
      <c r="C3431" s="163"/>
      <c r="J3431" s="165"/>
      <c r="K3431" s="166"/>
      <c r="L3431" s="166"/>
    </row>
    <row r="3432">
      <c r="A3432" s="163" t="s">
        <v>222</v>
      </c>
      <c r="B3432" s="163"/>
      <c r="C3432" s="163"/>
      <c r="J3432" s="165"/>
      <c r="K3432" s="166"/>
      <c r="L3432" s="166"/>
    </row>
    <row r="3433">
      <c r="A3433" s="163" t="s">
        <v>222</v>
      </c>
      <c r="B3433" s="163"/>
      <c r="C3433" s="163"/>
      <c r="J3433" s="165"/>
      <c r="K3433" s="166"/>
      <c r="L3433" s="166"/>
    </row>
    <row r="3434">
      <c r="A3434" s="163" t="s">
        <v>222</v>
      </c>
      <c r="B3434" s="163"/>
      <c r="C3434" s="163"/>
      <c r="J3434" s="165"/>
      <c r="K3434" s="166"/>
      <c r="L3434" s="166"/>
    </row>
    <row r="3435">
      <c r="A3435" s="163" t="s">
        <v>222</v>
      </c>
      <c r="B3435" s="163"/>
      <c r="C3435" s="163"/>
      <c r="J3435" s="165"/>
      <c r="K3435" s="166"/>
      <c r="L3435" s="166"/>
    </row>
    <row r="3436">
      <c r="A3436" s="163" t="s">
        <v>222</v>
      </c>
      <c r="B3436" s="163"/>
      <c r="C3436" s="163"/>
      <c r="J3436" s="165"/>
      <c r="K3436" s="166"/>
      <c r="L3436" s="166"/>
    </row>
    <row r="3437">
      <c r="A3437" s="163" t="s">
        <v>222</v>
      </c>
      <c r="B3437" s="163"/>
      <c r="C3437" s="163"/>
      <c r="J3437" s="165"/>
      <c r="K3437" s="166"/>
      <c r="L3437" s="166"/>
    </row>
    <row r="3438">
      <c r="A3438" s="163" t="s">
        <v>222</v>
      </c>
      <c r="B3438" s="163"/>
      <c r="C3438" s="163"/>
      <c r="J3438" s="165"/>
      <c r="K3438" s="166"/>
      <c r="L3438" s="166"/>
    </row>
    <row r="3439">
      <c r="A3439" s="163" t="s">
        <v>222</v>
      </c>
      <c r="B3439" s="163"/>
      <c r="C3439" s="163"/>
      <c r="J3439" s="165"/>
      <c r="K3439" s="166"/>
      <c r="L3439" s="166"/>
    </row>
    <row r="3440">
      <c r="A3440" s="163" t="s">
        <v>222</v>
      </c>
      <c r="B3440" s="163"/>
      <c r="C3440" s="163"/>
      <c r="J3440" s="165"/>
      <c r="K3440" s="166"/>
      <c r="L3440" s="166"/>
    </row>
    <row r="3441">
      <c r="A3441" s="163" t="s">
        <v>222</v>
      </c>
      <c r="B3441" s="163"/>
      <c r="C3441" s="163"/>
      <c r="J3441" s="165"/>
      <c r="K3441" s="166"/>
      <c r="L3441" s="166"/>
    </row>
    <row r="3442">
      <c r="A3442" s="163" t="s">
        <v>222</v>
      </c>
      <c r="B3442" s="163"/>
      <c r="C3442" s="163"/>
      <c r="J3442" s="165"/>
      <c r="K3442" s="166"/>
      <c r="L3442" s="166"/>
    </row>
    <row r="3443">
      <c r="A3443" s="163" t="s">
        <v>222</v>
      </c>
      <c r="B3443" s="163"/>
      <c r="C3443" s="163"/>
      <c r="J3443" s="165"/>
      <c r="K3443" s="166"/>
      <c r="L3443" s="166"/>
    </row>
    <row r="3444">
      <c r="A3444" s="163" t="s">
        <v>222</v>
      </c>
      <c r="B3444" s="163"/>
      <c r="C3444" s="163"/>
      <c r="J3444" s="165"/>
      <c r="K3444" s="166"/>
      <c r="L3444" s="166"/>
    </row>
    <row r="3445">
      <c r="A3445" s="163" t="s">
        <v>222</v>
      </c>
      <c r="B3445" s="163"/>
      <c r="C3445" s="163"/>
      <c r="J3445" s="165"/>
      <c r="K3445" s="166"/>
      <c r="L3445" s="166"/>
    </row>
    <row r="3446">
      <c r="A3446" s="163" t="s">
        <v>222</v>
      </c>
      <c r="B3446" s="163"/>
      <c r="C3446" s="163"/>
      <c r="J3446" s="165"/>
      <c r="K3446" s="166"/>
      <c r="L3446" s="166"/>
    </row>
    <row r="3447">
      <c r="A3447" s="163" t="s">
        <v>222</v>
      </c>
      <c r="B3447" s="163"/>
      <c r="C3447" s="163"/>
      <c r="J3447" s="165"/>
      <c r="K3447" s="166"/>
      <c r="L3447" s="166"/>
    </row>
    <row r="3448">
      <c r="A3448" s="163" t="s">
        <v>222</v>
      </c>
      <c r="B3448" s="163"/>
      <c r="C3448" s="163"/>
      <c r="J3448" s="165"/>
      <c r="K3448" s="166"/>
      <c r="L3448" s="166"/>
    </row>
    <row r="3449">
      <c r="A3449" s="163" t="s">
        <v>222</v>
      </c>
      <c r="B3449" s="163"/>
      <c r="C3449" s="163"/>
      <c r="J3449" s="165"/>
      <c r="K3449" s="166"/>
      <c r="L3449" s="166"/>
    </row>
    <row r="3450">
      <c r="A3450" s="163" t="s">
        <v>222</v>
      </c>
      <c r="B3450" s="163"/>
      <c r="C3450" s="163"/>
      <c r="J3450" s="165"/>
      <c r="K3450" s="166"/>
      <c r="L3450" s="166"/>
    </row>
    <row r="3451">
      <c r="A3451" s="163" t="s">
        <v>222</v>
      </c>
      <c r="B3451" s="163"/>
      <c r="C3451" s="163"/>
      <c r="J3451" s="165"/>
      <c r="K3451" s="166"/>
      <c r="L3451" s="166"/>
    </row>
    <row r="3452">
      <c r="A3452" s="163" t="s">
        <v>222</v>
      </c>
      <c r="B3452" s="163"/>
      <c r="C3452" s="163"/>
      <c r="J3452" s="165"/>
      <c r="K3452" s="166"/>
      <c r="L3452" s="166"/>
    </row>
    <row r="3453">
      <c r="A3453" s="163" t="s">
        <v>222</v>
      </c>
      <c r="B3453" s="163"/>
      <c r="C3453" s="163"/>
      <c r="J3453" s="165"/>
      <c r="K3453" s="166"/>
      <c r="L3453" s="166"/>
    </row>
    <row r="3454">
      <c r="A3454" s="163" t="s">
        <v>222</v>
      </c>
      <c r="B3454" s="163"/>
      <c r="C3454" s="163"/>
      <c r="J3454" s="165"/>
      <c r="K3454" s="166"/>
      <c r="L3454" s="166"/>
    </row>
    <row r="3455">
      <c r="A3455" s="163" t="s">
        <v>222</v>
      </c>
      <c r="B3455" s="163"/>
      <c r="C3455" s="163"/>
      <c r="J3455" s="165"/>
      <c r="K3455" s="166"/>
      <c r="L3455" s="166"/>
    </row>
    <row r="3456">
      <c r="A3456" s="163" t="s">
        <v>222</v>
      </c>
      <c r="B3456" s="163"/>
      <c r="C3456" s="163"/>
      <c r="J3456" s="165"/>
      <c r="K3456" s="166"/>
      <c r="L3456" s="166"/>
    </row>
    <row r="3457">
      <c r="A3457" s="163" t="s">
        <v>222</v>
      </c>
      <c r="B3457" s="163"/>
      <c r="C3457" s="163"/>
      <c r="J3457" s="165"/>
      <c r="K3457" s="166"/>
      <c r="L3457" s="166"/>
    </row>
    <row r="3458">
      <c r="A3458" s="163" t="s">
        <v>222</v>
      </c>
      <c r="B3458" s="163"/>
      <c r="C3458" s="163"/>
      <c r="J3458" s="165"/>
      <c r="K3458" s="166"/>
      <c r="L3458" s="166"/>
    </row>
    <row r="3459">
      <c r="A3459" s="163" t="s">
        <v>222</v>
      </c>
      <c r="B3459" s="163"/>
      <c r="C3459" s="163"/>
      <c r="J3459" s="165"/>
      <c r="K3459" s="166"/>
      <c r="L3459" s="166"/>
    </row>
    <row r="3460">
      <c r="A3460" s="163" t="s">
        <v>222</v>
      </c>
      <c r="B3460" s="163"/>
      <c r="C3460" s="163"/>
      <c r="J3460" s="165"/>
      <c r="K3460" s="166"/>
      <c r="L3460" s="166"/>
    </row>
    <row r="3461">
      <c r="A3461" s="163" t="s">
        <v>222</v>
      </c>
      <c r="B3461" s="163"/>
      <c r="C3461" s="163"/>
      <c r="J3461" s="165"/>
      <c r="K3461" s="166"/>
      <c r="L3461" s="166"/>
    </row>
    <row r="3462">
      <c r="A3462" s="163" t="s">
        <v>222</v>
      </c>
      <c r="B3462" s="163"/>
      <c r="C3462" s="163"/>
      <c r="J3462" s="165"/>
      <c r="K3462" s="166"/>
      <c r="L3462" s="166"/>
    </row>
    <row r="3463">
      <c r="A3463" s="163" t="s">
        <v>222</v>
      </c>
      <c r="B3463" s="163"/>
      <c r="C3463" s="163"/>
      <c r="J3463" s="165"/>
      <c r="K3463" s="166"/>
      <c r="L3463" s="166"/>
    </row>
    <row r="3464">
      <c r="A3464" s="163" t="s">
        <v>222</v>
      </c>
      <c r="B3464" s="163"/>
      <c r="C3464" s="163"/>
      <c r="J3464" s="165"/>
      <c r="K3464" s="166"/>
      <c r="L3464" s="166"/>
    </row>
    <row r="3465">
      <c r="A3465" s="163" t="s">
        <v>222</v>
      </c>
      <c r="B3465" s="163"/>
      <c r="C3465" s="163"/>
      <c r="J3465" s="165"/>
      <c r="K3465" s="166"/>
      <c r="L3465" s="166"/>
    </row>
    <row r="3466">
      <c r="A3466" s="163" t="s">
        <v>222</v>
      </c>
      <c r="B3466" s="163"/>
      <c r="C3466" s="163"/>
      <c r="J3466" s="165"/>
      <c r="K3466" s="166"/>
      <c r="L3466" s="166"/>
    </row>
    <row r="3467">
      <c r="A3467" s="163" t="s">
        <v>222</v>
      </c>
      <c r="B3467" s="163"/>
      <c r="C3467" s="163"/>
      <c r="J3467" s="165"/>
      <c r="K3467" s="166"/>
      <c r="L3467" s="166"/>
    </row>
    <row r="3468">
      <c r="A3468" s="163" t="s">
        <v>222</v>
      </c>
      <c r="B3468" s="163"/>
      <c r="C3468" s="163"/>
      <c r="J3468" s="165"/>
      <c r="K3468" s="166"/>
      <c r="L3468" s="166"/>
    </row>
    <row r="3469">
      <c r="A3469" s="163" t="s">
        <v>222</v>
      </c>
      <c r="B3469" s="163"/>
      <c r="C3469" s="163"/>
      <c r="J3469" s="165"/>
      <c r="K3469" s="166"/>
      <c r="L3469" s="166"/>
    </row>
    <row r="3470">
      <c r="A3470" s="163" t="s">
        <v>222</v>
      </c>
      <c r="B3470" s="163"/>
      <c r="C3470" s="163"/>
      <c r="J3470" s="165"/>
      <c r="K3470" s="166"/>
      <c r="L3470" s="166"/>
    </row>
    <row r="3471">
      <c r="A3471" s="163" t="s">
        <v>222</v>
      </c>
      <c r="B3471" s="163"/>
      <c r="C3471" s="163"/>
      <c r="J3471" s="165"/>
      <c r="K3471" s="166"/>
      <c r="L3471" s="166"/>
    </row>
    <row r="3472">
      <c r="A3472" s="163" t="s">
        <v>222</v>
      </c>
      <c r="B3472" s="163"/>
      <c r="C3472" s="163"/>
      <c r="J3472" s="165"/>
      <c r="K3472" s="166"/>
      <c r="L3472" s="166"/>
    </row>
    <row r="3473">
      <c r="A3473" s="163" t="s">
        <v>222</v>
      </c>
      <c r="B3473" s="163"/>
      <c r="C3473" s="163"/>
      <c r="J3473" s="165"/>
      <c r="K3473" s="166"/>
      <c r="L3473" s="166"/>
    </row>
    <row r="3474">
      <c r="A3474" s="163" t="s">
        <v>222</v>
      </c>
      <c r="B3474" s="163"/>
      <c r="C3474" s="163"/>
      <c r="J3474" s="165"/>
      <c r="K3474" s="166"/>
      <c r="L3474" s="166"/>
    </row>
    <row r="3475">
      <c r="A3475" s="163" t="s">
        <v>222</v>
      </c>
      <c r="B3475" s="163"/>
      <c r="C3475" s="163"/>
      <c r="J3475" s="165"/>
      <c r="K3475" s="166"/>
      <c r="L3475" s="166"/>
    </row>
    <row r="3476">
      <c r="A3476" s="163" t="s">
        <v>222</v>
      </c>
      <c r="B3476" s="163"/>
      <c r="C3476" s="163"/>
      <c r="J3476" s="165"/>
      <c r="K3476" s="166"/>
      <c r="L3476" s="166"/>
    </row>
    <row r="3477">
      <c r="A3477" s="163" t="s">
        <v>222</v>
      </c>
      <c r="B3477" s="163"/>
      <c r="C3477" s="163"/>
      <c r="J3477" s="165"/>
      <c r="K3477" s="166"/>
      <c r="L3477" s="166"/>
    </row>
    <row r="3478">
      <c r="A3478" s="163" t="s">
        <v>222</v>
      </c>
      <c r="B3478" s="163"/>
      <c r="C3478" s="163"/>
      <c r="J3478" s="165"/>
      <c r="K3478" s="166"/>
      <c r="L3478" s="166"/>
    </row>
    <row r="3479">
      <c r="A3479" s="163" t="s">
        <v>222</v>
      </c>
      <c r="B3479" s="163"/>
      <c r="C3479" s="163"/>
      <c r="J3479" s="165"/>
      <c r="K3479" s="166"/>
      <c r="L3479" s="166"/>
    </row>
    <row r="3480">
      <c r="A3480" s="163" t="s">
        <v>222</v>
      </c>
      <c r="B3480" s="163"/>
      <c r="C3480" s="163"/>
      <c r="J3480" s="165"/>
      <c r="K3480" s="166"/>
      <c r="L3480" s="166"/>
    </row>
    <row r="3481">
      <c r="A3481" s="163" t="s">
        <v>222</v>
      </c>
      <c r="B3481" s="163"/>
      <c r="C3481" s="163"/>
      <c r="J3481" s="165"/>
      <c r="K3481" s="166"/>
      <c r="L3481" s="166"/>
    </row>
    <row r="3482">
      <c r="A3482" s="163" t="s">
        <v>222</v>
      </c>
      <c r="B3482" s="163"/>
      <c r="C3482" s="163"/>
      <c r="J3482" s="165"/>
      <c r="K3482" s="166"/>
      <c r="L3482" s="166"/>
    </row>
    <row r="3483">
      <c r="A3483" s="163" t="s">
        <v>222</v>
      </c>
      <c r="B3483" s="163"/>
      <c r="C3483" s="163"/>
      <c r="J3483" s="165"/>
      <c r="K3483" s="166"/>
      <c r="L3483" s="166"/>
    </row>
    <row r="3484">
      <c r="A3484" s="163" t="s">
        <v>222</v>
      </c>
      <c r="B3484" s="163"/>
      <c r="C3484" s="163"/>
      <c r="J3484" s="165"/>
      <c r="K3484" s="166"/>
      <c r="L3484" s="166"/>
    </row>
    <row r="3485">
      <c r="A3485" s="163" t="s">
        <v>222</v>
      </c>
      <c r="B3485" s="163"/>
      <c r="C3485" s="163"/>
      <c r="J3485" s="165"/>
      <c r="K3485" s="166"/>
      <c r="L3485" s="166"/>
    </row>
    <row r="3486">
      <c r="A3486" s="163" t="s">
        <v>222</v>
      </c>
      <c r="B3486" s="163"/>
      <c r="C3486" s="163"/>
      <c r="J3486" s="165"/>
      <c r="K3486" s="166"/>
      <c r="L3486" s="166"/>
    </row>
    <row r="3487">
      <c r="A3487" s="163" t="s">
        <v>222</v>
      </c>
      <c r="B3487" s="163"/>
      <c r="C3487" s="163"/>
      <c r="J3487" s="165"/>
      <c r="K3487" s="166"/>
      <c r="L3487" s="166"/>
    </row>
    <row r="3488">
      <c r="A3488" s="163" t="s">
        <v>222</v>
      </c>
      <c r="B3488" s="163"/>
      <c r="C3488" s="163"/>
      <c r="J3488" s="165"/>
      <c r="K3488" s="166"/>
      <c r="L3488" s="166"/>
    </row>
    <row r="3489">
      <c r="A3489" s="163" t="s">
        <v>222</v>
      </c>
      <c r="B3489" s="163"/>
      <c r="C3489" s="163"/>
      <c r="J3489" s="165"/>
      <c r="K3489" s="166"/>
      <c r="L3489" s="166"/>
    </row>
    <row r="3490">
      <c r="A3490" s="163" t="s">
        <v>222</v>
      </c>
      <c r="B3490" s="163"/>
      <c r="C3490" s="163"/>
      <c r="J3490" s="165"/>
      <c r="K3490" s="166"/>
      <c r="L3490" s="166"/>
    </row>
    <row r="3491">
      <c r="A3491" s="163" t="s">
        <v>222</v>
      </c>
      <c r="B3491" s="163"/>
      <c r="C3491" s="163"/>
      <c r="J3491" s="165"/>
      <c r="K3491" s="166"/>
      <c r="L3491" s="166"/>
    </row>
    <row r="3492">
      <c r="A3492" s="163" t="s">
        <v>222</v>
      </c>
      <c r="B3492" s="163"/>
      <c r="C3492" s="163"/>
      <c r="J3492" s="165"/>
      <c r="K3492" s="166"/>
      <c r="L3492" s="166"/>
    </row>
    <row r="3493">
      <c r="A3493" s="163" t="s">
        <v>222</v>
      </c>
      <c r="B3493" s="163"/>
      <c r="C3493" s="163"/>
      <c r="J3493" s="165"/>
      <c r="K3493" s="166"/>
      <c r="L3493" s="166"/>
    </row>
    <row r="3494">
      <c r="A3494" s="163" t="s">
        <v>222</v>
      </c>
      <c r="B3494" s="163"/>
      <c r="C3494" s="163"/>
      <c r="J3494" s="165"/>
      <c r="K3494" s="166"/>
      <c r="L3494" s="166"/>
    </row>
    <row r="3495">
      <c r="A3495" s="163" t="s">
        <v>222</v>
      </c>
      <c r="B3495" s="163"/>
      <c r="C3495" s="163"/>
      <c r="J3495" s="165"/>
      <c r="K3495" s="166"/>
      <c r="L3495" s="166"/>
    </row>
    <row r="3496">
      <c r="A3496" s="163" t="s">
        <v>222</v>
      </c>
      <c r="B3496" s="163"/>
      <c r="C3496" s="163"/>
      <c r="J3496" s="165"/>
      <c r="K3496" s="166"/>
      <c r="L3496" s="166"/>
    </row>
    <row r="3497">
      <c r="A3497" s="163" t="s">
        <v>222</v>
      </c>
      <c r="B3497" s="163"/>
      <c r="C3497" s="163"/>
      <c r="J3497" s="165"/>
      <c r="K3497" s="166"/>
      <c r="L3497" s="166"/>
    </row>
    <row r="3498">
      <c r="A3498" s="163" t="s">
        <v>222</v>
      </c>
      <c r="B3498" s="163"/>
      <c r="C3498" s="163"/>
      <c r="J3498" s="165"/>
      <c r="K3498" s="166"/>
      <c r="L3498" s="166"/>
    </row>
    <row r="3499">
      <c r="A3499" s="163" t="s">
        <v>222</v>
      </c>
      <c r="B3499" s="163"/>
      <c r="C3499" s="163"/>
      <c r="J3499" s="165"/>
      <c r="K3499" s="166"/>
      <c r="L3499" s="166"/>
    </row>
    <row r="3500">
      <c r="A3500" s="163" t="s">
        <v>222</v>
      </c>
      <c r="B3500" s="163"/>
      <c r="C3500" s="163"/>
      <c r="J3500" s="165"/>
      <c r="K3500" s="166"/>
      <c r="L3500" s="166"/>
    </row>
    <row r="3501">
      <c r="A3501" s="163" t="s">
        <v>222</v>
      </c>
      <c r="B3501" s="163"/>
      <c r="C3501" s="163"/>
      <c r="J3501" s="165"/>
      <c r="K3501" s="166"/>
      <c r="L3501" s="166"/>
    </row>
    <row r="3502">
      <c r="A3502" s="163" t="s">
        <v>222</v>
      </c>
      <c r="B3502" s="163"/>
      <c r="C3502" s="163"/>
      <c r="J3502" s="165"/>
      <c r="K3502" s="166"/>
      <c r="L3502" s="166"/>
    </row>
    <row r="3503">
      <c r="A3503" s="163" t="s">
        <v>222</v>
      </c>
      <c r="B3503" s="163"/>
      <c r="C3503" s="163"/>
      <c r="J3503" s="165"/>
      <c r="K3503" s="166"/>
      <c r="L3503" s="166"/>
    </row>
    <row r="3504">
      <c r="A3504" s="163" t="s">
        <v>222</v>
      </c>
      <c r="B3504" s="163"/>
      <c r="C3504" s="163"/>
      <c r="J3504" s="165"/>
      <c r="K3504" s="166"/>
      <c r="L3504" s="166"/>
    </row>
    <row r="3505">
      <c r="A3505" s="163" t="s">
        <v>222</v>
      </c>
      <c r="B3505" s="163"/>
      <c r="C3505" s="163"/>
      <c r="J3505" s="165"/>
      <c r="K3505" s="166"/>
      <c r="L3505" s="166"/>
    </row>
    <row r="3506">
      <c r="A3506" s="163" t="s">
        <v>222</v>
      </c>
      <c r="B3506" s="163"/>
      <c r="C3506" s="163"/>
      <c r="J3506" s="165"/>
      <c r="K3506" s="166"/>
      <c r="L3506" s="166"/>
    </row>
    <row r="3507">
      <c r="A3507" s="163" t="s">
        <v>222</v>
      </c>
      <c r="B3507" s="163"/>
      <c r="C3507" s="163"/>
      <c r="J3507" s="165"/>
      <c r="K3507" s="166"/>
      <c r="L3507" s="166"/>
    </row>
    <row r="3508">
      <c r="A3508" s="163" t="s">
        <v>222</v>
      </c>
      <c r="B3508" s="163"/>
      <c r="C3508" s="163"/>
      <c r="J3508" s="165"/>
      <c r="K3508" s="166"/>
      <c r="L3508" s="166"/>
    </row>
    <row r="3509">
      <c r="A3509" s="163" t="s">
        <v>222</v>
      </c>
      <c r="B3509" s="163"/>
      <c r="C3509" s="163"/>
      <c r="J3509" s="165"/>
      <c r="K3509" s="166"/>
      <c r="L3509" s="166"/>
    </row>
    <row r="3510">
      <c r="A3510" s="163" t="s">
        <v>222</v>
      </c>
      <c r="B3510" s="163"/>
      <c r="C3510" s="163"/>
      <c r="J3510" s="165"/>
      <c r="K3510" s="166"/>
      <c r="L3510" s="166"/>
    </row>
    <row r="3511">
      <c r="A3511" s="163" t="s">
        <v>222</v>
      </c>
      <c r="B3511" s="163"/>
      <c r="C3511" s="163"/>
      <c r="J3511" s="165"/>
      <c r="K3511" s="166"/>
      <c r="L3511" s="166"/>
    </row>
    <row r="3512">
      <c r="A3512" s="163" t="s">
        <v>222</v>
      </c>
      <c r="B3512" s="163"/>
      <c r="C3512" s="163"/>
      <c r="J3512" s="165"/>
      <c r="K3512" s="166"/>
      <c r="L3512" s="166"/>
    </row>
    <row r="3513">
      <c r="A3513" s="163" t="s">
        <v>222</v>
      </c>
      <c r="B3513" s="163"/>
      <c r="C3513" s="163"/>
      <c r="J3513" s="165"/>
      <c r="K3513" s="166"/>
      <c r="L3513" s="166"/>
    </row>
    <row r="3514">
      <c r="A3514" s="163" t="s">
        <v>222</v>
      </c>
      <c r="B3514" s="163"/>
      <c r="C3514" s="163"/>
      <c r="J3514" s="165"/>
      <c r="K3514" s="166"/>
      <c r="L3514" s="166"/>
    </row>
    <row r="3515">
      <c r="A3515" s="163" t="s">
        <v>222</v>
      </c>
      <c r="B3515" s="163"/>
      <c r="C3515" s="163"/>
      <c r="J3515" s="165"/>
      <c r="K3515" s="166"/>
      <c r="L3515" s="166"/>
    </row>
    <row r="3516">
      <c r="A3516" s="163" t="s">
        <v>222</v>
      </c>
      <c r="B3516" s="163"/>
      <c r="C3516" s="163"/>
      <c r="J3516" s="165"/>
      <c r="K3516" s="166"/>
      <c r="L3516" s="166"/>
    </row>
    <row r="3517">
      <c r="A3517" s="163" t="s">
        <v>222</v>
      </c>
      <c r="B3517" s="163"/>
      <c r="C3517" s="163"/>
      <c r="J3517" s="165"/>
      <c r="K3517" s="166"/>
      <c r="L3517" s="166"/>
    </row>
    <row r="3518">
      <c r="A3518" s="163" t="s">
        <v>222</v>
      </c>
      <c r="B3518" s="163"/>
      <c r="C3518" s="163"/>
      <c r="J3518" s="165"/>
      <c r="K3518" s="166"/>
      <c r="L3518" s="166"/>
    </row>
    <row r="3519">
      <c r="A3519" s="163" t="s">
        <v>222</v>
      </c>
      <c r="B3519" s="163"/>
      <c r="C3519" s="163"/>
      <c r="J3519" s="165"/>
      <c r="K3519" s="166"/>
      <c r="L3519" s="166"/>
    </row>
    <row r="3520">
      <c r="A3520" s="163" t="s">
        <v>222</v>
      </c>
      <c r="B3520" s="163"/>
      <c r="C3520" s="163"/>
      <c r="J3520" s="165"/>
      <c r="K3520" s="166"/>
      <c r="L3520" s="166"/>
    </row>
    <row r="3521">
      <c r="A3521" s="163" t="s">
        <v>222</v>
      </c>
      <c r="B3521" s="163"/>
      <c r="C3521" s="163"/>
      <c r="J3521" s="165"/>
      <c r="K3521" s="166"/>
      <c r="L3521" s="166"/>
    </row>
    <row r="3522">
      <c r="A3522" s="163" t="s">
        <v>222</v>
      </c>
      <c r="B3522" s="163"/>
      <c r="C3522" s="163"/>
      <c r="J3522" s="165"/>
      <c r="K3522" s="166"/>
      <c r="L3522" s="166"/>
    </row>
    <row r="3523">
      <c r="A3523" s="163" t="s">
        <v>222</v>
      </c>
      <c r="B3523" s="163"/>
      <c r="C3523" s="163"/>
      <c r="J3523" s="165"/>
      <c r="K3523" s="166"/>
      <c r="L3523" s="166"/>
    </row>
    <row r="3524">
      <c r="A3524" s="163" t="s">
        <v>222</v>
      </c>
      <c r="B3524" s="163"/>
      <c r="C3524" s="163"/>
      <c r="J3524" s="165"/>
      <c r="K3524" s="166"/>
      <c r="L3524" s="166"/>
    </row>
    <row r="3525">
      <c r="A3525" s="163" t="s">
        <v>222</v>
      </c>
      <c r="B3525" s="163"/>
      <c r="C3525" s="163"/>
      <c r="J3525" s="165"/>
      <c r="K3525" s="166"/>
      <c r="L3525" s="166"/>
    </row>
    <row r="3526">
      <c r="A3526" s="163" t="s">
        <v>222</v>
      </c>
      <c r="B3526" s="163"/>
      <c r="C3526" s="163"/>
      <c r="J3526" s="165"/>
      <c r="K3526" s="166"/>
      <c r="L3526" s="166"/>
    </row>
    <row r="3527">
      <c r="A3527" s="163" t="s">
        <v>222</v>
      </c>
      <c r="B3527" s="163"/>
      <c r="C3527" s="163"/>
      <c r="J3527" s="165"/>
      <c r="K3527" s="166"/>
      <c r="L3527" s="166"/>
    </row>
    <row r="3528">
      <c r="A3528" s="163" t="s">
        <v>222</v>
      </c>
      <c r="B3528" s="163"/>
      <c r="C3528" s="163"/>
      <c r="J3528" s="165"/>
      <c r="K3528" s="166"/>
      <c r="L3528" s="166"/>
    </row>
    <row r="3529">
      <c r="A3529" s="163" t="s">
        <v>222</v>
      </c>
      <c r="B3529" s="163"/>
      <c r="C3529" s="163"/>
      <c r="J3529" s="165"/>
      <c r="K3529" s="166"/>
      <c r="L3529" s="166"/>
    </row>
    <row r="3530">
      <c r="A3530" s="163" t="s">
        <v>222</v>
      </c>
      <c r="B3530" s="163"/>
      <c r="C3530" s="163"/>
      <c r="J3530" s="165"/>
      <c r="K3530" s="166"/>
      <c r="L3530" s="166"/>
    </row>
    <row r="3531">
      <c r="A3531" s="163" t="s">
        <v>222</v>
      </c>
      <c r="B3531" s="163"/>
      <c r="C3531" s="163"/>
      <c r="J3531" s="165"/>
      <c r="K3531" s="166"/>
      <c r="L3531" s="166"/>
    </row>
    <row r="3532">
      <c r="A3532" s="163" t="s">
        <v>222</v>
      </c>
      <c r="B3532" s="163"/>
      <c r="C3532" s="163"/>
      <c r="J3532" s="165"/>
      <c r="K3532" s="166"/>
      <c r="L3532" s="166"/>
    </row>
    <row r="3533">
      <c r="A3533" s="163" t="s">
        <v>222</v>
      </c>
      <c r="B3533" s="163"/>
      <c r="C3533" s="163"/>
      <c r="J3533" s="165"/>
      <c r="K3533" s="166"/>
      <c r="L3533" s="166"/>
    </row>
    <row r="3534">
      <c r="A3534" s="163" t="s">
        <v>222</v>
      </c>
      <c r="B3534" s="163"/>
      <c r="C3534" s="163"/>
      <c r="J3534" s="165"/>
      <c r="K3534" s="166"/>
      <c r="L3534" s="166"/>
    </row>
    <row r="3535">
      <c r="A3535" s="163" t="s">
        <v>222</v>
      </c>
      <c r="B3535" s="163"/>
      <c r="C3535" s="163"/>
      <c r="J3535" s="165"/>
      <c r="K3535" s="166"/>
      <c r="L3535" s="166"/>
    </row>
    <row r="3536">
      <c r="A3536" s="163" t="s">
        <v>222</v>
      </c>
      <c r="B3536" s="163"/>
      <c r="C3536" s="163"/>
      <c r="J3536" s="165"/>
      <c r="K3536" s="166"/>
      <c r="L3536" s="166"/>
    </row>
    <row r="3537">
      <c r="A3537" s="163" t="s">
        <v>222</v>
      </c>
      <c r="B3537" s="163"/>
      <c r="C3537" s="163"/>
      <c r="J3537" s="165"/>
      <c r="K3537" s="166"/>
      <c r="L3537" s="166"/>
    </row>
    <row r="3538">
      <c r="A3538" s="163" t="s">
        <v>222</v>
      </c>
      <c r="B3538" s="163"/>
      <c r="C3538" s="163"/>
      <c r="J3538" s="165"/>
      <c r="K3538" s="166"/>
      <c r="L3538" s="166"/>
    </row>
    <row r="3539">
      <c r="A3539" s="163" t="s">
        <v>222</v>
      </c>
      <c r="B3539" s="163"/>
      <c r="C3539" s="163"/>
      <c r="J3539" s="165"/>
      <c r="K3539" s="166"/>
      <c r="L3539" s="166"/>
    </row>
    <row r="3540">
      <c r="A3540" s="163" t="s">
        <v>222</v>
      </c>
      <c r="B3540" s="163"/>
      <c r="C3540" s="163"/>
      <c r="J3540" s="165"/>
      <c r="K3540" s="166"/>
      <c r="L3540" s="166"/>
    </row>
    <row r="3541">
      <c r="A3541" s="163" t="s">
        <v>222</v>
      </c>
      <c r="B3541" s="163"/>
      <c r="C3541" s="163"/>
      <c r="J3541" s="165"/>
      <c r="K3541" s="166"/>
      <c r="L3541" s="166"/>
    </row>
    <row r="3542">
      <c r="A3542" s="163" t="s">
        <v>222</v>
      </c>
      <c r="B3542" s="163"/>
      <c r="C3542" s="163"/>
      <c r="J3542" s="165"/>
      <c r="K3542" s="166"/>
      <c r="L3542" s="166"/>
    </row>
    <row r="3543">
      <c r="A3543" s="163" t="s">
        <v>222</v>
      </c>
      <c r="B3543" s="163"/>
      <c r="C3543" s="163"/>
      <c r="J3543" s="165"/>
      <c r="K3543" s="166"/>
      <c r="L3543" s="166"/>
    </row>
    <row r="3544">
      <c r="A3544" s="163" t="s">
        <v>222</v>
      </c>
      <c r="B3544" s="163"/>
      <c r="C3544" s="163"/>
      <c r="J3544" s="165"/>
      <c r="K3544" s="166"/>
      <c r="L3544" s="166"/>
    </row>
    <row r="3545">
      <c r="A3545" s="163" t="s">
        <v>222</v>
      </c>
      <c r="B3545" s="163"/>
      <c r="C3545" s="163"/>
      <c r="J3545" s="165"/>
      <c r="K3545" s="166"/>
      <c r="L3545" s="166"/>
    </row>
    <row r="3546">
      <c r="A3546" s="163" t="s">
        <v>222</v>
      </c>
      <c r="B3546" s="163"/>
      <c r="C3546" s="163"/>
      <c r="J3546" s="165"/>
      <c r="K3546" s="166"/>
      <c r="L3546" s="166"/>
    </row>
    <row r="3547">
      <c r="A3547" s="163" t="s">
        <v>222</v>
      </c>
      <c r="B3547" s="163"/>
      <c r="C3547" s="163"/>
      <c r="J3547" s="165"/>
      <c r="K3547" s="166"/>
      <c r="L3547" s="166"/>
    </row>
    <row r="3548">
      <c r="A3548" s="163" t="s">
        <v>222</v>
      </c>
      <c r="B3548" s="163"/>
      <c r="C3548" s="163"/>
      <c r="J3548" s="165"/>
      <c r="K3548" s="166"/>
      <c r="L3548" s="166"/>
    </row>
    <row r="3549">
      <c r="A3549" s="163" t="s">
        <v>222</v>
      </c>
      <c r="B3549" s="163"/>
      <c r="C3549" s="163"/>
      <c r="J3549" s="165"/>
      <c r="K3549" s="166"/>
      <c r="L3549" s="166"/>
    </row>
    <row r="3550">
      <c r="A3550" s="163" t="s">
        <v>222</v>
      </c>
      <c r="B3550" s="163"/>
      <c r="C3550" s="163"/>
      <c r="J3550" s="165"/>
      <c r="K3550" s="166"/>
      <c r="L3550" s="166"/>
    </row>
    <row r="3551">
      <c r="A3551" s="163" t="s">
        <v>222</v>
      </c>
      <c r="B3551" s="163"/>
      <c r="C3551" s="163"/>
      <c r="J3551" s="165"/>
      <c r="K3551" s="166"/>
      <c r="L3551" s="166"/>
    </row>
    <row r="3552">
      <c r="A3552" s="163" t="s">
        <v>222</v>
      </c>
      <c r="B3552" s="163"/>
      <c r="C3552" s="163"/>
      <c r="J3552" s="165"/>
      <c r="K3552" s="166"/>
      <c r="L3552" s="166"/>
    </row>
    <row r="3553">
      <c r="A3553" s="163" t="s">
        <v>222</v>
      </c>
      <c r="B3553" s="163"/>
      <c r="C3553" s="163"/>
      <c r="J3553" s="165"/>
      <c r="K3553" s="166"/>
      <c r="L3553" s="166"/>
    </row>
    <row r="3554">
      <c r="A3554" s="163" t="s">
        <v>222</v>
      </c>
      <c r="B3554" s="163"/>
      <c r="C3554" s="163"/>
      <c r="J3554" s="165"/>
      <c r="K3554" s="166"/>
      <c r="L3554" s="166"/>
    </row>
    <row r="3555">
      <c r="A3555" s="163" t="s">
        <v>222</v>
      </c>
      <c r="B3555" s="163"/>
      <c r="C3555" s="163"/>
      <c r="J3555" s="165"/>
      <c r="K3555" s="166"/>
      <c r="L3555" s="166"/>
    </row>
    <row r="3556">
      <c r="A3556" s="163" t="s">
        <v>222</v>
      </c>
      <c r="B3556" s="163"/>
      <c r="C3556" s="163"/>
      <c r="J3556" s="165"/>
      <c r="K3556" s="166"/>
      <c r="L3556" s="166"/>
    </row>
    <row r="3557">
      <c r="A3557" s="163" t="s">
        <v>222</v>
      </c>
      <c r="B3557" s="163"/>
      <c r="C3557" s="163"/>
      <c r="J3557" s="165"/>
      <c r="K3557" s="166"/>
      <c r="L3557" s="166"/>
    </row>
    <row r="3558">
      <c r="A3558" s="163" t="s">
        <v>222</v>
      </c>
      <c r="B3558" s="163"/>
      <c r="C3558" s="163"/>
      <c r="J3558" s="165"/>
      <c r="K3558" s="166"/>
      <c r="L3558" s="166"/>
    </row>
    <row r="3559">
      <c r="A3559" s="163" t="s">
        <v>222</v>
      </c>
      <c r="B3559" s="163"/>
      <c r="C3559" s="163"/>
      <c r="J3559" s="165"/>
      <c r="K3559" s="166"/>
      <c r="L3559" s="166"/>
    </row>
    <row r="3560">
      <c r="A3560" s="163" t="s">
        <v>222</v>
      </c>
      <c r="B3560" s="163"/>
      <c r="C3560" s="163"/>
      <c r="J3560" s="165"/>
      <c r="K3560" s="166"/>
      <c r="L3560" s="166"/>
    </row>
    <row r="3561">
      <c r="A3561" s="163" t="s">
        <v>222</v>
      </c>
      <c r="B3561" s="163"/>
      <c r="C3561" s="163"/>
      <c r="J3561" s="165"/>
      <c r="K3561" s="166"/>
      <c r="L3561" s="166"/>
    </row>
    <row r="3562">
      <c r="A3562" s="163" t="s">
        <v>222</v>
      </c>
      <c r="B3562" s="163"/>
      <c r="C3562" s="163"/>
      <c r="J3562" s="165"/>
      <c r="K3562" s="166"/>
      <c r="L3562" s="166"/>
    </row>
    <row r="3563">
      <c r="A3563" s="163" t="s">
        <v>222</v>
      </c>
      <c r="B3563" s="163"/>
      <c r="C3563" s="163"/>
      <c r="J3563" s="165"/>
      <c r="K3563" s="166"/>
      <c r="L3563" s="166"/>
    </row>
    <row r="3564">
      <c r="A3564" s="163" t="s">
        <v>222</v>
      </c>
      <c r="B3564" s="163"/>
      <c r="C3564" s="163"/>
      <c r="J3564" s="165"/>
      <c r="K3564" s="166"/>
      <c r="L3564" s="166"/>
    </row>
    <row r="3565">
      <c r="A3565" s="163" t="s">
        <v>222</v>
      </c>
      <c r="B3565" s="163"/>
      <c r="C3565" s="163"/>
      <c r="J3565" s="165"/>
      <c r="K3565" s="166"/>
      <c r="L3565" s="166"/>
    </row>
    <row r="3566">
      <c r="A3566" s="163" t="s">
        <v>222</v>
      </c>
      <c r="B3566" s="163"/>
      <c r="C3566" s="163"/>
      <c r="J3566" s="165"/>
      <c r="K3566" s="166"/>
      <c r="L3566" s="166"/>
    </row>
    <row r="3567">
      <c r="A3567" s="163" t="s">
        <v>222</v>
      </c>
      <c r="B3567" s="163"/>
      <c r="C3567" s="163"/>
      <c r="J3567" s="165"/>
      <c r="K3567" s="166"/>
      <c r="L3567" s="166"/>
    </row>
    <row r="3568">
      <c r="A3568" s="163" t="s">
        <v>222</v>
      </c>
      <c r="B3568" s="163"/>
      <c r="C3568" s="163"/>
      <c r="J3568" s="165"/>
      <c r="K3568" s="166"/>
      <c r="L3568" s="166"/>
    </row>
    <row r="3569">
      <c r="A3569" s="163" t="s">
        <v>222</v>
      </c>
      <c r="B3569" s="163"/>
      <c r="C3569" s="163"/>
      <c r="J3569" s="165"/>
      <c r="K3569" s="166"/>
      <c r="L3569" s="166"/>
    </row>
    <row r="3570">
      <c r="A3570" s="163" t="s">
        <v>222</v>
      </c>
      <c r="B3570" s="163"/>
      <c r="C3570" s="163"/>
      <c r="J3570" s="165"/>
      <c r="K3570" s="166"/>
      <c r="L3570" s="166"/>
    </row>
    <row r="3571">
      <c r="A3571" s="163" t="s">
        <v>222</v>
      </c>
      <c r="B3571" s="163"/>
      <c r="C3571" s="163"/>
      <c r="J3571" s="165"/>
      <c r="K3571" s="166"/>
      <c r="L3571" s="166"/>
    </row>
    <row r="3572">
      <c r="A3572" s="163" t="s">
        <v>222</v>
      </c>
      <c r="B3572" s="163"/>
      <c r="C3572" s="163"/>
      <c r="J3572" s="165"/>
      <c r="K3572" s="166"/>
      <c r="L3572" s="166"/>
    </row>
    <row r="3573">
      <c r="A3573" s="163" t="s">
        <v>222</v>
      </c>
      <c r="B3573" s="163"/>
      <c r="C3573" s="163"/>
      <c r="J3573" s="165"/>
      <c r="K3573" s="166"/>
      <c r="L3573" s="166"/>
    </row>
    <row r="3574">
      <c r="A3574" s="163" t="s">
        <v>222</v>
      </c>
      <c r="B3574" s="163"/>
      <c r="C3574" s="163"/>
      <c r="J3574" s="165"/>
      <c r="K3574" s="166"/>
      <c r="L3574" s="166"/>
    </row>
    <row r="3575">
      <c r="A3575" s="163" t="s">
        <v>222</v>
      </c>
      <c r="B3575" s="163"/>
      <c r="C3575" s="163"/>
      <c r="J3575" s="165"/>
      <c r="K3575" s="166"/>
      <c r="L3575" s="166"/>
    </row>
    <row r="3576">
      <c r="A3576" s="163" t="s">
        <v>222</v>
      </c>
      <c r="B3576" s="163"/>
      <c r="C3576" s="163"/>
      <c r="J3576" s="165"/>
      <c r="K3576" s="166"/>
      <c r="L3576" s="166"/>
    </row>
    <row r="3577">
      <c r="A3577" s="163" t="s">
        <v>222</v>
      </c>
      <c r="B3577" s="163"/>
      <c r="C3577" s="163"/>
      <c r="J3577" s="165"/>
      <c r="K3577" s="166"/>
      <c r="L3577" s="166"/>
    </row>
    <row r="3578">
      <c r="A3578" s="163" t="s">
        <v>222</v>
      </c>
      <c r="B3578" s="163"/>
      <c r="C3578" s="163"/>
      <c r="J3578" s="165"/>
      <c r="K3578" s="166"/>
      <c r="L3578" s="166"/>
    </row>
    <row r="3579">
      <c r="A3579" s="163" t="s">
        <v>222</v>
      </c>
      <c r="B3579" s="163"/>
      <c r="C3579" s="163"/>
      <c r="J3579" s="165"/>
      <c r="K3579" s="166"/>
      <c r="L3579" s="166"/>
    </row>
    <row r="3580">
      <c r="A3580" s="163" t="s">
        <v>222</v>
      </c>
      <c r="B3580" s="163"/>
      <c r="C3580" s="163"/>
      <c r="J3580" s="165"/>
      <c r="K3580" s="166"/>
      <c r="L3580" s="166"/>
    </row>
    <row r="3581">
      <c r="A3581" s="163" t="s">
        <v>222</v>
      </c>
      <c r="B3581" s="163"/>
      <c r="C3581" s="163"/>
      <c r="J3581" s="165"/>
      <c r="K3581" s="166"/>
      <c r="L3581" s="166"/>
    </row>
    <row r="3582">
      <c r="A3582" s="163" t="s">
        <v>222</v>
      </c>
      <c r="B3582" s="163"/>
      <c r="C3582" s="163"/>
      <c r="J3582" s="165"/>
      <c r="K3582" s="166"/>
      <c r="L3582" s="166"/>
    </row>
    <row r="3583">
      <c r="A3583" s="163" t="s">
        <v>222</v>
      </c>
      <c r="B3583" s="163"/>
      <c r="C3583" s="163"/>
      <c r="J3583" s="165"/>
      <c r="K3583" s="166"/>
      <c r="L3583" s="166"/>
    </row>
    <row r="3584">
      <c r="A3584" s="163" t="s">
        <v>222</v>
      </c>
      <c r="B3584" s="163"/>
      <c r="C3584" s="163"/>
      <c r="J3584" s="165"/>
      <c r="K3584" s="166"/>
      <c r="L3584" s="166"/>
    </row>
    <row r="3585">
      <c r="A3585" s="163" t="s">
        <v>222</v>
      </c>
      <c r="B3585" s="163"/>
      <c r="C3585" s="163"/>
      <c r="J3585" s="165"/>
      <c r="K3585" s="166"/>
      <c r="L3585" s="166"/>
    </row>
    <row r="3586">
      <c r="A3586" s="163" t="s">
        <v>222</v>
      </c>
      <c r="B3586" s="163"/>
      <c r="C3586" s="163"/>
      <c r="J3586" s="165"/>
      <c r="K3586" s="166"/>
      <c r="L3586" s="166"/>
    </row>
    <row r="3587">
      <c r="A3587" s="163" t="s">
        <v>222</v>
      </c>
      <c r="B3587" s="163"/>
      <c r="C3587" s="163"/>
      <c r="J3587" s="165"/>
      <c r="K3587" s="166"/>
      <c r="L3587" s="166"/>
    </row>
    <row r="3588">
      <c r="A3588" s="163" t="s">
        <v>222</v>
      </c>
      <c r="B3588" s="163"/>
      <c r="C3588" s="163"/>
      <c r="J3588" s="165"/>
      <c r="K3588" s="166"/>
      <c r="L3588" s="166"/>
    </row>
    <row r="3589">
      <c r="A3589" s="163" t="s">
        <v>222</v>
      </c>
      <c r="B3589" s="163"/>
      <c r="C3589" s="163"/>
      <c r="J3589" s="165"/>
      <c r="K3589" s="166"/>
      <c r="L3589" s="166"/>
    </row>
    <row r="3590">
      <c r="A3590" s="163" t="s">
        <v>222</v>
      </c>
      <c r="B3590" s="163"/>
      <c r="C3590" s="163"/>
      <c r="J3590" s="165"/>
      <c r="K3590" s="166"/>
      <c r="L3590" s="166"/>
    </row>
    <row r="3591">
      <c r="A3591" s="163" t="s">
        <v>222</v>
      </c>
      <c r="B3591" s="163"/>
      <c r="C3591" s="163"/>
      <c r="J3591" s="165"/>
      <c r="K3591" s="166"/>
      <c r="L3591" s="166"/>
    </row>
    <row r="3592">
      <c r="A3592" s="163" t="s">
        <v>222</v>
      </c>
      <c r="B3592" s="163"/>
      <c r="C3592" s="163"/>
      <c r="J3592" s="165"/>
      <c r="K3592" s="166"/>
      <c r="L3592" s="166"/>
    </row>
    <row r="3593">
      <c r="A3593" s="163" t="s">
        <v>222</v>
      </c>
      <c r="B3593" s="163"/>
      <c r="C3593" s="163"/>
      <c r="J3593" s="165"/>
      <c r="K3593" s="166"/>
      <c r="L3593" s="166"/>
    </row>
    <row r="3594">
      <c r="A3594" s="163" t="s">
        <v>222</v>
      </c>
      <c r="B3594" s="163"/>
      <c r="C3594" s="163"/>
      <c r="J3594" s="165"/>
      <c r="K3594" s="166"/>
      <c r="L3594" s="166"/>
    </row>
    <row r="3595">
      <c r="A3595" s="163" t="s">
        <v>222</v>
      </c>
      <c r="B3595" s="163"/>
      <c r="C3595" s="163"/>
      <c r="J3595" s="165"/>
      <c r="K3595" s="166"/>
      <c r="L3595" s="166"/>
    </row>
    <row r="3596">
      <c r="A3596" s="163" t="s">
        <v>222</v>
      </c>
      <c r="B3596" s="163"/>
      <c r="C3596" s="163"/>
      <c r="J3596" s="165"/>
      <c r="K3596" s="166"/>
      <c r="L3596" s="166"/>
    </row>
    <row r="3597">
      <c r="A3597" s="163" t="s">
        <v>222</v>
      </c>
      <c r="B3597" s="163"/>
      <c r="C3597" s="163"/>
      <c r="J3597" s="165"/>
      <c r="K3597" s="166"/>
      <c r="L3597" s="166"/>
    </row>
    <row r="3598">
      <c r="A3598" s="163" t="s">
        <v>222</v>
      </c>
      <c r="B3598" s="163"/>
      <c r="C3598" s="163"/>
      <c r="J3598" s="165"/>
      <c r="K3598" s="166"/>
      <c r="L3598" s="166"/>
    </row>
    <row r="3599">
      <c r="A3599" s="163" t="s">
        <v>222</v>
      </c>
      <c r="B3599" s="163"/>
      <c r="C3599" s="163"/>
      <c r="J3599" s="165"/>
      <c r="K3599" s="166"/>
      <c r="L3599" s="166"/>
    </row>
    <row r="3600">
      <c r="A3600" s="163" t="s">
        <v>222</v>
      </c>
      <c r="B3600" s="163"/>
      <c r="C3600" s="163"/>
      <c r="J3600" s="165"/>
      <c r="K3600" s="166"/>
      <c r="L3600" s="166"/>
    </row>
    <row r="3601">
      <c r="A3601" s="163" t="s">
        <v>222</v>
      </c>
      <c r="B3601" s="163"/>
      <c r="C3601" s="163"/>
      <c r="J3601" s="165"/>
      <c r="K3601" s="166"/>
      <c r="L3601" s="166"/>
    </row>
    <row r="3602">
      <c r="A3602" s="163" t="s">
        <v>222</v>
      </c>
      <c r="B3602" s="163"/>
      <c r="C3602" s="163"/>
      <c r="J3602" s="165"/>
      <c r="K3602" s="166"/>
      <c r="L3602" s="166"/>
    </row>
    <row r="3603">
      <c r="A3603" s="163" t="s">
        <v>222</v>
      </c>
      <c r="B3603" s="163"/>
      <c r="C3603" s="163"/>
      <c r="J3603" s="165"/>
      <c r="K3603" s="166"/>
      <c r="L3603" s="166"/>
    </row>
    <row r="3604">
      <c r="A3604" s="163" t="s">
        <v>222</v>
      </c>
      <c r="B3604" s="163"/>
      <c r="C3604" s="163"/>
      <c r="J3604" s="165"/>
      <c r="K3604" s="166"/>
      <c r="L3604" s="166"/>
    </row>
    <row r="3605">
      <c r="A3605" s="163" t="s">
        <v>222</v>
      </c>
      <c r="B3605" s="163"/>
      <c r="C3605" s="163"/>
      <c r="J3605" s="165"/>
      <c r="K3605" s="166"/>
      <c r="L3605" s="166"/>
    </row>
    <row r="3606">
      <c r="A3606" s="163" t="s">
        <v>222</v>
      </c>
      <c r="B3606" s="163"/>
      <c r="C3606" s="163"/>
      <c r="J3606" s="165"/>
      <c r="K3606" s="166"/>
      <c r="L3606" s="166"/>
    </row>
    <row r="3607">
      <c r="A3607" s="163" t="s">
        <v>222</v>
      </c>
      <c r="B3607" s="163"/>
      <c r="C3607" s="163"/>
      <c r="J3607" s="165"/>
      <c r="K3607" s="166"/>
      <c r="L3607" s="166"/>
    </row>
    <row r="3608">
      <c r="A3608" s="163" t="s">
        <v>222</v>
      </c>
      <c r="B3608" s="163"/>
      <c r="C3608" s="163"/>
      <c r="J3608" s="165"/>
      <c r="K3608" s="166"/>
      <c r="L3608" s="166"/>
    </row>
    <row r="3609">
      <c r="A3609" s="163" t="s">
        <v>222</v>
      </c>
      <c r="B3609" s="163"/>
      <c r="C3609" s="163"/>
      <c r="J3609" s="165"/>
      <c r="K3609" s="166"/>
      <c r="L3609" s="166"/>
    </row>
    <row r="3610">
      <c r="A3610" s="163" t="s">
        <v>222</v>
      </c>
      <c r="B3610" s="163"/>
      <c r="C3610" s="163"/>
      <c r="J3610" s="165"/>
      <c r="K3610" s="166"/>
      <c r="L3610" s="166"/>
    </row>
    <row r="3611">
      <c r="A3611" s="163" t="s">
        <v>222</v>
      </c>
      <c r="B3611" s="163"/>
      <c r="C3611" s="163"/>
      <c r="J3611" s="165"/>
      <c r="K3611" s="166"/>
      <c r="L3611" s="166"/>
    </row>
    <row r="3612">
      <c r="A3612" s="163" t="s">
        <v>222</v>
      </c>
      <c r="B3612" s="163"/>
      <c r="C3612" s="163"/>
      <c r="J3612" s="165"/>
      <c r="K3612" s="166"/>
      <c r="L3612" s="166"/>
    </row>
    <row r="3613">
      <c r="A3613" s="163" t="s">
        <v>222</v>
      </c>
      <c r="B3613" s="163"/>
      <c r="C3613" s="163"/>
      <c r="J3613" s="165"/>
      <c r="K3613" s="166"/>
      <c r="L3613" s="166"/>
    </row>
    <row r="3614">
      <c r="A3614" s="163" t="s">
        <v>222</v>
      </c>
      <c r="B3614" s="163"/>
      <c r="C3614" s="163"/>
      <c r="J3614" s="165"/>
      <c r="K3614" s="166"/>
      <c r="L3614" s="166"/>
    </row>
    <row r="3615">
      <c r="A3615" s="163" t="s">
        <v>222</v>
      </c>
      <c r="B3615" s="163"/>
      <c r="C3615" s="163"/>
      <c r="J3615" s="165"/>
      <c r="K3615" s="166"/>
      <c r="L3615" s="166"/>
    </row>
    <row r="3616">
      <c r="A3616" s="163" t="s">
        <v>222</v>
      </c>
      <c r="B3616" s="163"/>
      <c r="C3616" s="163"/>
      <c r="J3616" s="165"/>
      <c r="K3616" s="166"/>
      <c r="L3616" s="166"/>
    </row>
    <row r="3617">
      <c r="A3617" s="163" t="s">
        <v>222</v>
      </c>
      <c r="B3617" s="163"/>
      <c r="C3617" s="163"/>
      <c r="J3617" s="165"/>
      <c r="K3617" s="166"/>
      <c r="L3617" s="166"/>
    </row>
    <row r="3618">
      <c r="A3618" s="163" t="s">
        <v>222</v>
      </c>
      <c r="B3618" s="163"/>
      <c r="C3618" s="163"/>
      <c r="J3618" s="165"/>
      <c r="K3618" s="166"/>
      <c r="L3618" s="166"/>
    </row>
    <row r="3619">
      <c r="A3619" s="163" t="s">
        <v>222</v>
      </c>
      <c r="B3619" s="163"/>
      <c r="C3619" s="163"/>
      <c r="J3619" s="165"/>
      <c r="K3619" s="166"/>
      <c r="L3619" s="166"/>
    </row>
    <row r="3620">
      <c r="A3620" s="163" t="s">
        <v>222</v>
      </c>
      <c r="B3620" s="163"/>
      <c r="C3620" s="163"/>
      <c r="J3620" s="165"/>
      <c r="K3620" s="166"/>
      <c r="L3620" s="166"/>
    </row>
    <row r="3621">
      <c r="A3621" s="163" t="s">
        <v>222</v>
      </c>
      <c r="B3621" s="163"/>
      <c r="C3621" s="163"/>
      <c r="J3621" s="165"/>
      <c r="K3621" s="166"/>
      <c r="L3621" s="166"/>
    </row>
    <row r="3622">
      <c r="A3622" s="163" t="s">
        <v>222</v>
      </c>
      <c r="B3622" s="163"/>
      <c r="C3622" s="163"/>
      <c r="J3622" s="165"/>
      <c r="K3622" s="166"/>
      <c r="L3622" s="166"/>
    </row>
    <row r="3623">
      <c r="A3623" s="163" t="s">
        <v>222</v>
      </c>
      <c r="B3623" s="163"/>
      <c r="C3623" s="163"/>
      <c r="J3623" s="165"/>
      <c r="K3623" s="166"/>
      <c r="L3623" s="166"/>
    </row>
    <row r="3624">
      <c r="A3624" s="163" t="s">
        <v>222</v>
      </c>
      <c r="B3624" s="163"/>
      <c r="C3624" s="163"/>
      <c r="J3624" s="165"/>
      <c r="K3624" s="166"/>
      <c r="L3624" s="166"/>
    </row>
    <row r="3625">
      <c r="A3625" s="163" t="s">
        <v>222</v>
      </c>
      <c r="B3625" s="163"/>
      <c r="C3625" s="163"/>
      <c r="J3625" s="165"/>
      <c r="K3625" s="166"/>
      <c r="L3625" s="166"/>
    </row>
    <row r="3626">
      <c r="A3626" s="163" t="s">
        <v>222</v>
      </c>
      <c r="B3626" s="163"/>
      <c r="C3626" s="163"/>
      <c r="J3626" s="165"/>
      <c r="K3626" s="166"/>
      <c r="L3626" s="166"/>
    </row>
    <row r="3627">
      <c r="A3627" s="163" t="s">
        <v>222</v>
      </c>
      <c r="B3627" s="163"/>
      <c r="C3627" s="163"/>
      <c r="J3627" s="165"/>
      <c r="K3627" s="166"/>
      <c r="L3627" s="166"/>
    </row>
    <row r="3628">
      <c r="A3628" s="163" t="s">
        <v>222</v>
      </c>
      <c r="B3628" s="163"/>
      <c r="C3628" s="163"/>
      <c r="J3628" s="165"/>
      <c r="K3628" s="166"/>
      <c r="L3628" s="166"/>
    </row>
    <row r="3629">
      <c r="A3629" s="163" t="s">
        <v>222</v>
      </c>
      <c r="B3629" s="163"/>
      <c r="C3629" s="163"/>
      <c r="J3629" s="165"/>
      <c r="K3629" s="166"/>
      <c r="L3629" s="166"/>
    </row>
    <row r="3630">
      <c r="A3630" s="163" t="s">
        <v>222</v>
      </c>
      <c r="B3630" s="163"/>
      <c r="C3630" s="163"/>
      <c r="J3630" s="165"/>
      <c r="K3630" s="166"/>
      <c r="L3630" s="166"/>
    </row>
    <row r="3631">
      <c r="A3631" s="163" t="s">
        <v>222</v>
      </c>
      <c r="B3631" s="163"/>
      <c r="C3631" s="163"/>
      <c r="J3631" s="165"/>
      <c r="K3631" s="166"/>
      <c r="L3631" s="166"/>
    </row>
    <row r="3632">
      <c r="A3632" s="163" t="s">
        <v>222</v>
      </c>
      <c r="B3632" s="163"/>
      <c r="C3632" s="163"/>
      <c r="J3632" s="165"/>
      <c r="K3632" s="166"/>
      <c r="L3632" s="166"/>
    </row>
    <row r="3633">
      <c r="A3633" s="163" t="s">
        <v>222</v>
      </c>
      <c r="B3633" s="163"/>
      <c r="C3633" s="163"/>
      <c r="J3633" s="165"/>
      <c r="K3633" s="166"/>
      <c r="L3633" s="166"/>
    </row>
    <row r="3634">
      <c r="A3634" s="163" t="s">
        <v>222</v>
      </c>
      <c r="B3634" s="163"/>
      <c r="C3634" s="163"/>
      <c r="J3634" s="165"/>
      <c r="K3634" s="166"/>
      <c r="L3634" s="166"/>
    </row>
    <row r="3635">
      <c r="A3635" s="163" t="s">
        <v>222</v>
      </c>
      <c r="B3635" s="163"/>
      <c r="C3635" s="163"/>
      <c r="J3635" s="165"/>
      <c r="K3635" s="166"/>
      <c r="L3635" s="166"/>
    </row>
    <row r="3636">
      <c r="A3636" s="163" t="s">
        <v>222</v>
      </c>
      <c r="B3636" s="163"/>
      <c r="C3636" s="163"/>
      <c r="J3636" s="165"/>
      <c r="K3636" s="166"/>
      <c r="L3636" s="166"/>
    </row>
    <row r="3637">
      <c r="A3637" s="163" t="s">
        <v>222</v>
      </c>
      <c r="B3637" s="163"/>
      <c r="C3637" s="163"/>
      <c r="J3637" s="165"/>
      <c r="K3637" s="166"/>
      <c r="L3637" s="166"/>
    </row>
    <row r="3638">
      <c r="A3638" s="163" t="s">
        <v>222</v>
      </c>
      <c r="B3638" s="163"/>
      <c r="C3638" s="163"/>
      <c r="J3638" s="165"/>
      <c r="K3638" s="166"/>
      <c r="L3638" s="166"/>
    </row>
    <row r="3639">
      <c r="A3639" s="163" t="s">
        <v>222</v>
      </c>
      <c r="B3639" s="163"/>
      <c r="C3639" s="163"/>
      <c r="J3639" s="165"/>
      <c r="K3639" s="166"/>
      <c r="L3639" s="166"/>
    </row>
    <row r="3640">
      <c r="A3640" s="163" t="s">
        <v>222</v>
      </c>
      <c r="B3640" s="163"/>
      <c r="C3640" s="163"/>
      <c r="J3640" s="165"/>
      <c r="K3640" s="166"/>
      <c r="L3640" s="166"/>
    </row>
    <row r="3641">
      <c r="A3641" s="163" t="s">
        <v>222</v>
      </c>
      <c r="B3641" s="163"/>
      <c r="C3641" s="163"/>
      <c r="J3641" s="165"/>
      <c r="K3641" s="166"/>
      <c r="L3641" s="166"/>
    </row>
    <row r="3642">
      <c r="A3642" s="163" t="s">
        <v>222</v>
      </c>
      <c r="B3642" s="163"/>
      <c r="C3642" s="163"/>
      <c r="J3642" s="165"/>
      <c r="K3642" s="166"/>
      <c r="L3642" s="166"/>
    </row>
    <row r="3643">
      <c r="A3643" s="163" t="s">
        <v>222</v>
      </c>
      <c r="B3643" s="163"/>
      <c r="C3643" s="163"/>
      <c r="J3643" s="165"/>
      <c r="K3643" s="166"/>
      <c r="L3643" s="166"/>
    </row>
    <row r="3644">
      <c r="A3644" s="163" t="s">
        <v>222</v>
      </c>
      <c r="B3644" s="163"/>
      <c r="C3644" s="163"/>
      <c r="J3644" s="165"/>
      <c r="K3644" s="166"/>
      <c r="L3644" s="166"/>
    </row>
    <row r="3645">
      <c r="A3645" s="163" t="s">
        <v>222</v>
      </c>
      <c r="B3645" s="163"/>
      <c r="C3645" s="163"/>
      <c r="J3645" s="165"/>
      <c r="K3645" s="166"/>
      <c r="L3645" s="166"/>
    </row>
    <row r="3646">
      <c r="A3646" s="163" t="s">
        <v>222</v>
      </c>
      <c r="B3646" s="163"/>
      <c r="C3646" s="163"/>
      <c r="J3646" s="165"/>
      <c r="K3646" s="166"/>
      <c r="L3646" s="166"/>
    </row>
    <row r="3647">
      <c r="A3647" s="163" t="s">
        <v>222</v>
      </c>
      <c r="B3647" s="163"/>
      <c r="C3647" s="163"/>
      <c r="J3647" s="165"/>
      <c r="K3647" s="166"/>
      <c r="L3647" s="166"/>
    </row>
    <row r="3648">
      <c r="A3648" s="163" t="s">
        <v>222</v>
      </c>
      <c r="B3648" s="163"/>
      <c r="C3648" s="163"/>
      <c r="J3648" s="165"/>
      <c r="K3648" s="166"/>
      <c r="L3648" s="166"/>
    </row>
    <row r="3649">
      <c r="A3649" s="163" t="s">
        <v>222</v>
      </c>
      <c r="B3649" s="163"/>
      <c r="C3649" s="163"/>
      <c r="J3649" s="165"/>
      <c r="K3649" s="166"/>
      <c r="L3649" s="166"/>
    </row>
    <row r="3650">
      <c r="A3650" s="163" t="s">
        <v>222</v>
      </c>
      <c r="B3650" s="163"/>
      <c r="C3650" s="163"/>
      <c r="J3650" s="165"/>
      <c r="K3650" s="166"/>
      <c r="L3650" s="166"/>
    </row>
    <row r="3651">
      <c r="A3651" s="163" t="s">
        <v>222</v>
      </c>
      <c r="B3651" s="163"/>
      <c r="C3651" s="163"/>
      <c r="J3651" s="165"/>
      <c r="K3651" s="166"/>
      <c r="L3651" s="166"/>
    </row>
    <row r="3652">
      <c r="A3652" s="163" t="s">
        <v>222</v>
      </c>
      <c r="B3652" s="163"/>
      <c r="C3652" s="163"/>
      <c r="J3652" s="165"/>
      <c r="K3652" s="166"/>
      <c r="L3652" s="166"/>
    </row>
    <row r="3653">
      <c r="A3653" s="163" t="s">
        <v>222</v>
      </c>
      <c r="B3653" s="163"/>
      <c r="C3653" s="163"/>
      <c r="J3653" s="165"/>
      <c r="K3653" s="166"/>
      <c r="L3653" s="166"/>
    </row>
    <row r="3654">
      <c r="A3654" s="163" t="s">
        <v>222</v>
      </c>
      <c r="B3654" s="163"/>
      <c r="C3654" s="163"/>
      <c r="J3654" s="165"/>
      <c r="K3654" s="166"/>
      <c r="L3654" s="166"/>
    </row>
    <row r="3655">
      <c r="A3655" s="163" t="s">
        <v>222</v>
      </c>
      <c r="B3655" s="163"/>
      <c r="C3655" s="163"/>
      <c r="J3655" s="165"/>
      <c r="K3655" s="166"/>
      <c r="L3655" s="166"/>
    </row>
    <row r="3656">
      <c r="A3656" s="163" t="s">
        <v>222</v>
      </c>
      <c r="B3656" s="163"/>
      <c r="C3656" s="163"/>
      <c r="J3656" s="165"/>
      <c r="K3656" s="166"/>
      <c r="L3656" s="166"/>
    </row>
    <row r="3657">
      <c r="A3657" s="163" t="s">
        <v>222</v>
      </c>
      <c r="B3657" s="163"/>
      <c r="C3657" s="163"/>
      <c r="J3657" s="165"/>
      <c r="K3657" s="166"/>
      <c r="L3657" s="166"/>
    </row>
    <row r="3658">
      <c r="A3658" s="163" t="s">
        <v>222</v>
      </c>
      <c r="B3658" s="163"/>
      <c r="C3658" s="163"/>
      <c r="J3658" s="165"/>
      <c r="K3658" s="166"/>
      <c r="L3658" s="166"/>
    </row>
    <row r="3659">
      <c r="A3659" s="163" t="s">
        <v>222</v>
      </c>
      <c r="B3659" s="163"/>
      <c r="C3659" s="163"/>
      <c r="J3659" s="165"/>
      <c r="K3659" s="166"/>
      <c r="L3659" s="166"/>
    </row>
    <row r="3660">
      <c r="A3660" s="163" t="s">
        <v>222</v>
      </c>
      <c r="B3660" s="163"/>
      <c r="C3660" s="163"/>
      <c r="J3660" s="165"/>
      <c r="K3660" s="166"/>
      <c r="L3660" s="166"/>
    </row>
    <row r="3661">
      <c r="A3661" s="163" t="s">
        <v>222</v>
      </c>
      <c r="B3661" s="163"/>
      <c r="C3661" s="163"/>
      <c r="J3661" s="165"/>
      <c r="K3661" s="166"/>
      <c r="L3661" s="166"/>
    </row>
    <row r="3662">
      <c r="A3662" s="163" t="s">
        <v>222</v>
      </c>
      <c r="B3662" s="163"/>
      <c r="C3662" s="163"/>
      <c r="J3662" s="165"/>
      <c r="K3662" s="166"/>
      <c r="L3662" s="166"/>
    </row>
    <row r="3663">
      <c r="A3663" s="163" t="s">
        <v>222</v>
      </c>
      <c r="B3663" s="163"/>
      <c r="C3663" s="163"/>
      <c r="J3663" s="165"/>
      <c r="K3663" s="166"/>
      <c r="L3663" s="166"/>
    </row>
    <row r="3664">
      <c r="A3664" s="163" t="s">
        <v>222</v>
      </c>
      <c r="B3664" s="163"/>
      <c r="C3664" s="163"/>
      <c r="J3664" s="165"/>
      <c r="K3664" s="166"/>
      <c r="L3664" s="166"/>
    </row>
    <row r="3665">
      <c r="A3665" s="163" t="s">
        <v>222</v>
      </c>
      <c r="B3665" s="163"/>
      <c r="C3665" s="163"/>
      <c r="J3665" s="165"/>
      <c r="K3665" s="166"/>
      <c r="L3665" s="166"/>
    </row>
    <row r="3666">
      <c r="A3666" s="163" t="s">
        <v>222</v>
      </c>
      <c r="B3666" s="163"/>
      <c r="C3666" s="163"/>
      <c r="J3666" s="165"/>
      <c r="K3666" s="166"/>
      <c r="L3666" s="166"/>
    </row>
    <row r="3667">
      <c r="A3667" s="163" t="s">
        <v>222</v>
      </c>
      <c r="B3667" s="163"/>
      <c r="C3667" s="163"/>
      <c r="J3667" s="165"/>
      <c r="K3667" s="166"/>
      <c r="L3667" s="166"/>
    </row>
    <row r="3668">
      <c r="A3668" s="163" t="s">
        <v>222</v>
      </c>
      <c r="B3668" s="163"/>
      <c r="C3668" s="163"/>
      <c r="J3668" s="165"/>
      <c r="K3668" s="166"/>
      <c r="L3668" s="166"/>
    </row>
    <row r="3669">
      <c r="A3669" s="163" t="s">
        <v>222</v>
      </c>
      <c r="B3669" s="163"/>
      <c r="C3669" s="163"/>
      <c r="J3669" s="165"/>
      <c r="K3669" s="166"/>
      <c r="L3669" s="166"/>
    </row>
    <row r="3670">
      <c r="A3670" s="163" t="s">
        <v>222</v>
      </c>
      <c r="B3670" s="163"/>
      <c r="C3670" s="163"/>
      <c r="J3670" s="165"/>
      <c r="K3670" s="166"/>
      <c r="L3670" s="166"/>
    </row>
    <row r="3671">
      <c r="A3671" s="163" t="s">
        <v>222</v>
      </c>
      <c r="B3671" s="163"/>
      <c r="C3671" s="163"/>
      <c r="J3671" s="165"/>
      <c r="K3671" s="166"/>
      <c r="L3671" s="166"/>
    </row>
    <row r="3672">
      <c r="A3672" s="163" t="s">
        <v>222</v>
      </c>
      <c r="B3672" s="163"/>
      <c r="C3672" s="163"/>
      <c r="J3672" s="165"/>
      <c r="K3672" s="166"/>
      <c r="L3672" s="166"/>
    </row>
    <row r="3673">
      <c r="A3673" s="163" t="s">
        <v>222</v>
      </c>
      <c r="B3673" s="163"/>
      <c r="C3673" s="163"/>
      <c r="J3673" s="165"/>
      <c r="K3673" s="166"/>
      <c r="L3673" s="166"/>
    </row>
    <row r="3674">
      <c r="A3674" s="163" t="s">
        <v>222</v>
      </c>
      <c r="B3674" s="163"/>
      <c r="C3674" s="163"/>
      <c r="J3674" s="165"/>
      <c r="K3674" s="166"/>
      <c r="L3674" s="166"/>
    </row>
    <row r="3675">
      <c r="A3675" s="163" t="s">
        <v>222</v>
      </c>
      <c r="B3675" s="163"/>
      <c r="C3675" s="163"/>
      <c r="J3675" s="165"/>
      <c r="K3675" s="166"/>
      <c r="L3675" s="166"/>
    </row>
    <row r="3676">
      <c r="A3676" s="163" t="s">
        <v>222</v>
      </c>
      <c r="B3676" s="163"/>
      <c r="C3676" s="163"/>
      <c r="J3676" s="165"/>
      <c r="K3676" s="166"/>
      <c r="L3676" s="166"/>
    </row>
    <row r="3677">
      <c r="A3677" s="163" t="s">
        <v>222</v>
      </c>
      <c r="B3677" s="163"/>
      <c r="C3677" s="163"/>
      <c r="J3677" s="165"/>
      <c r="K3677" s="166"/>
      <c r="L3677" s="166"/>
    </row>
    <row r="3678">
      <c r="A3678" s="163" t="s">
        <v>222</v>
      </c>
      <c r="B3678" s="163"/>
      <c r="C3678" s="163"/>
      <c r="J3678" s="165"/>
      <c r="K3678" s="166"/>
      <c r="L3678" s="166"/>
    </row>
    <row r="3679">
      <c r="A3679" s="163" t="s">
        <v>222</v>
      </c>
      <c r="B3679" s="163"/>
      <c r="C3679" s="163"/>
      <c r="J3679" s="165"/>
      <c r="K3679" s="166"/>
      <c r="L3679" s="166"/>
    </row>
    <row r="3680">
      <c r="A3680" s="163" t="s">
        <v>222</v>
      </c>
      <c r="B3680" s="163"/>
      <c r="C3680" s="163"/>
      <c r="J3680" s="165"/>
      <c r="K3680" s="166"/>
      <c r="L3680" s="166"/>
    </row>
    <row r="3681">
      <c r="A3681" s="163" t="s">
        <v>222</v>
      </c>
      <c r="B3681" s="163"/>
      <c r="C3681" s="163"/>
      <c r="J3681" s="165"/>
      <c r="K3681" s="166"/>
      <c r="L3681" s="166"/>
    </row>
    <row r="3682">
      <c r="A3682" s="163" t="s">
        <v>222</v>
      </c>
      <c r="B3682" s="163"/>
      <c r="C3682" s="163"/>
      <c r="J3682" s="165"/>
      <c r="K3682" s="166"/>
      <c r="L3682" s="166"/>
    </row>
    <row r="3683">
      <c r="A3683" s="163" t="s">
        <v>222</v>
      </c>
      <c r="B3683" s="163"/>
      <c r="C3683" s="163"/>
      <c r="J3683" s="165"/>
      <c r="K3683" s="166"/>
      <c r="L3683" s="166"/>
    </row>
    <row r="3684">
      <c r="A3684" s="163" t="s">
        <v>222</v>
      </c>
      <c r="B3684" s="163"/>
      <c r="C3684" s="163"/>
      <c r="J3684" s="165"/>
      <c r="K3684" s="166"/>
      <c r="L3684" s="166"/>
    </row>
    <row r="3685">
      <c r="A3685" s="163" t="s">
        <v>222</v>
      </c>
      <c r="B3685" s="163"/>
      <c r="C3685" s="163"/>
      <c r="J3685" s="165"/>
      <c r="K3685" s="166"/>
      <c r="L3685" s="166"/>
    </row>
    <row r="3686">
      <c r="A3686" s="163" t="s">
        <v>222</v>
      </c>
      <c r="B3686" s="163"/>
      <c r="C3686" s="163"/>
      <c r="J3686" s="165"/>
      <c r="K3686" s="166"/>
      <c r="L3686" s="166"/>
    </row>
    <row r="3687">
      <c r="A3687" s="163" t="s">
        <v>222</v>
      </c>
      <c r="B3687" s="163"/>
      <c r="C3687" s="163"/>
      <c r="J3687" s="165"/>
      <c r="K3687" s="166"/>
      <c r="L3687" s="166"/>
    </row>
    <row r="3688">
      <c r="A3688" s="163" t="s">
        <v>222</v>
      </c>
      <c r="B3688" s="163"/>
      <c r="C3688" s="163"/>
      <c r="J3688" s="165"/>
      <c r="K3688" s="166"/>
      <c r="L3688" s="166"/>
    </row>
    <row r="3689">
      <c r="A3689" s="163" t="s">
        <v>222</v>
      </c>
      <c r="B3689" s="163"/>
      <c r="C3689" s="163"/>
      <c r="J3689" s="165"/>
      <c r="K3689" s="166"/>
      <c r="L3689" s="166"/>
    </row>
    <row r="3690">
      <c r="A3690" s="163" t="s">
        <v>222</v>
      </c>
      <c r="B3690" s="163"/>
      <c r="C3690" s="163"/>
      <c r="J3690" s="165"/>
      <c r="K3690" s="166"/>
      <c r="L3690" s="166"/>
    </row>
    <row r="3691">
      <c r="A3691" s="163" t="s">
        <v>222</v>
      </c>
      <c r="B3691" s="163"/>
      <c r="C3691" s="163"/>
      <c r="J3691" s="165"/>
      <c r="K3691" s="166"/>
      <c r="L3691" s="166"/>
    </row>
    <row r="3692">
      <c r="A3692" s="163" t="s">
        <v>222</v>
      </c>
      <c r="B3692" s="163"/>
      <c r="C3692" s="163"/>
      <c r="J3692" s="165"/>
      <c r="K3692" s="166"/>
      <c r="L3692" s="166"/>
    </row>
    <row r="3693">
      <c r="A3693" s="163" t="s">
        <v>222</v>
      </c>
      <c r="B3693" s="163"/>
      <c r="C3693" s="163"/>
      <c r="J3693" s="165"/>
      <c r="K3693" s="166"/>
      <c r="L3693" s="166"/>
    </row>
    <row r="3694">
      <c r="A3694" s="163" t="s">
        <v>222</v>
      </c>
      <c r="B3694" s="163"/>
      <c r="C3694" s="163"/>
      <c r="J3694" s="165"/>
      <c r="K3694" s="166"/>
      <c r="L3694" s="166"/>
    </row>
    <row r="3695">
      <c r="A3695" s="163" t="s">
        <v>222</v>
      </c>
      <c r="B3695" s="163"/>
      <c r="C3695" s="163"/>
      <c r="J3695" s="165"/>
      <c r="K3695" s="166"/>
      <c r="L3695" s="166"/>
    </row>
    <row r="3696">
      <c r="A3696" s="163" t="s">
        <v>222</v>
      </c>
      <c r="B3696" s="163"/>
      <c r="C3696" s="163"/>
      <c r="J3696" s="165"/>
      <c r="K3696" s="166"/>
      <c r="L3696" s="166"/>
    </row>
    <row r="3697">
      <c r="A3697" s="163" t="s">
        <v>222</v>
      </c>
      <c r="B3697" s="163"/>
      <c r="C3697" s="163"/>
      <c r="J3697" s="165"/>
      <c r="K3697" s="166"/>
      <c r="L3697" s="166"/>
    </row>
    <row r="3698">
      <c r="A3698" s="163" t="s">
        <v>222</v>
      </c>
      <c r="B3698" s="163"/>
      <c r="C3698" s="163"/>
      <c r="J3698" s="165"/>
      <c r="K3698" s="166"/>
      <c r="L3698" s="166"/>
    </row>
    <row r="3699">
      <c r="A3699" s="163" t="s">
        <v>222</v>
      </c>
      <c r="B3699" s="163"/>
      <c r="C3699" s="163"/>
      <c r="J3699" s="165"/>
      <c r="K3699" s="166"/>
      <c r="L3699" s="166"/>
    </row>
    <row r="3700">
      <c r="A3700" s="163" t="s">
        <v>222</v>
      </c>
      <c r="B3700" s="163"/>
      <c r="C3700" s="163"/>
      <c r="J3700" s="165"/>
      <c r="K3700" s="166"/>
      <c r="L3700" s="166"/>
    </row>
    <row r="3701">
      <c r="A3701" s="163" t="s">
        <v>222</v>
      </c>
      <c r="B3701" s="163"/>
      <c r="C3701" s="163"/>
      <c r="J3701" s="165"/>
      <c r="K3701" s="166"/>
      <c r="L3701" s="166"/>
    </row>
    <row r="3702">
      <c r="A3702" s="163" t="s">
        <v>222</v>
      </c>
      <c r="B3702" s="163"/>
      <c r="C3702" s="163"/>
      <c r="J3702" s="165"/>
      <c r="K3702" s="166"/>
      <c r="L3702" s="166"/>
    </row>
    <row r="3703">
      <c r="A3703" s="163" t="s">
        <v>222</v>
      </c>
      <c r="B3703" s="163"/>
      <c r="C3703" s="163"/>
      <c r="J3703" s="165"/>
      <c r="K3703" s="166"/>
      <c r="L3703" s="166"/>
    </row>
    <row r="3704">
      <c r="A3704" s="163" t="s">
        <v>222</v>
      </c>
      <c r="B3704" s="163"/>
      <c r="C3704" s="163"/>
      <c r="J3704" s="165"/>
      <c r="K3704" s="166"/>
      <c r="L3704" s="166"/>
    </row>
    <row r="3705">
      <c r="A3705" s="163" t="s">
        <v>222</v>
      </c>
      <c r="B3705" s="163"/>
      <c r="C3705" s="163"/>
      <c r="J3705" s="165"/>
      <c r="K3705" s="166"/>
      <c r="L3705" s="166"/>
    </row>
    <row r="3706">
      <c r="A3706" s="163" t="s">
        <v>222</v>
      </c>
      <c r="B3706" s="163"/>
      <c r="C3706" s="163"/>
      <c r="J3706" s="165"/>
      <c r="K3706" s="166"/>
      <c r="L3706" s="166"/>
    </row>
    <row r="3707">
      <c r="A3707" s="163" t="s">
        <v>222</v>
      </c>
      <c r="B3707" s="163"/>
      <c r="C3707" s="163"/>
      <c r="J3707" s="165"/>
      <c r="K3707" s="166"/>
      <c r="L3707" s="166"/>
    </row>
    <row r="3708">
      <c r="A3708" s="163" t="s">
        <v>222</v>
      </c>
      <c r="B3708" s="163"/>
      <c r="C3708" s="163"/>
      <c r="J3708" s="165"/>
      <c r="K3708" s="166"/>
      <c r="L3708" s="166"/>
    </row>
    <row r="3709">
      <c r="A3709" s="163" t="s">
        <v>222</v>
      </c>
      <c r="B3709" s="163"/>
      <c r="C3709" s="163"/>
      <c r="J3709" s="165"/>
      <c r="K3709" s="166"/>
      <c r="L3709" s="166"/>
    </row>
    <row r="3710">
      <c r="A3710" s="163" t="s">
        <v>222</v>
      </c>
      <c r="B3710" s="163"/>
      <c r="C3710" s="163"/>
      <c r="J3710" s="165"/>
      <c r="K3710" s="166"/>
      <c r="L3710" s="166"/>
    </row>
    <row r="3711">
      <c r="A3711" s="163" t="s">
        <v>222</v>
      </c>
      <c r="B3711" s="163"/>
      <c r="C3711" s="163"/>
      <c r="J3711" s="165"/>
      <c r="K3711" s="166"/>
      <c r="L3711" s="166"/>
    </row>
    <row r="3712">
      <c r="A3712" s="163" t="s">
        <v>222</v>
      </c>
      <c r="B3712" s="163"/>
      <c r="C3712" s="163"/>
      <c r="J3712" s="165"/>
      <c r="K3712" s="166"/>
      <c r="L3712" s="166"/>
    </row>
    <row r="3713">
      <c r="A3713" s="163" t="s">
        <v>222</v>
      </c>
      <c r="B3713" s="163"/>
      <c r="C3713" s="163"/>
      <c r="J3713" s="165"/>
      <c r="K3713" s="166"/>
      <c r="L3713" s="166"/>
    </row>
    <row r="3714">
      <c r="A3714" s="163" t="s">
        <v>222</v>
      </c>
      <c r="B3714" s="163"/>
      <c r="C3714" s="163"/>
      <c r="J3714" s="165"/>
      <c r="K3714" s="166"/>
      <c r="L3714" s="166"/>
    </row>
    <row r="3715">
      <c r="A3715" s="163" t="s">
        <v>222</v>
      </c>
      <c r="B3715" s="163"/>
      <c r="C3715" s="163"/>
      <c r="J3715" s="165"/>
      <c r="K3715" s="166"/>
      <c r="L3715" s="166"/>
    </row>
    <row r="3716">
      <c r="A3716" s="163" t="s">
        <v>222</v>
      </c>
      <c r="B3716" s="163"/>
      <c r="C3716" s="163"/>
      <c r="J3716" s="165"/>
      <c r="K3716" s="166"/>
      <c r="L3716" s="166"/>
    </row>
    <row r="3717">
      <c r="A3717" s="163" t="s">
        <v>222</v>
      </c>
      <c r="B3717" s="163"/>
      <c r="C3717" s="163"/>
      <c r="J3717" s="165"/>
      <c r="K3717" s="166"/>
      <c r="L3717" s="166"/>
    </row>
    <row r="3718">
      <c r="A3718" s="163" t="s">
        <v>222</v>
      </c>
      <c r="B3718" s="163"/>
      <c r="C3718" s="163"/>
      <c r="J3718" s="165"/>
      <c r="K3718" s="166"/>
      <c r="L3718" s="166"/>
    </row>
    <row r="3719">
      <c r="A3719" s="163" t="s">
        <v>222</v>
      </c>
      <c r="B3719" s="163"/>
      <c r="C3719" s="163"/>
      <c r="J3719" s="165"/>
      <c r="K3719" s="166"/>
      <c r="L3719" s="166"/>
    </row>
    <row r="3720">
      <c r="A3720" s="163" t="s">
        <v>222</v>
      </c>
      <c r="B3720" s="163"/>
      <c r="C3720" s="163"/>
      <c r="J3720" s="165"/>
      <c r="K3720" s="166"/>
      <c r="L3720" s="166"/>
    </row>
    <row r="3721">
      <c r="A3721" s="163" t="s">
        <v>222</v>
      </c>
      <c r="B3721" s="163"/>
      <c r="C3721" s="163"/>
      <c r="J3721" s="165"/>
      <c r="K3721" s="166"/>
      <c r="L3721" s="166"/>
    </row>
    <row r="3722">
      <c r="A3722" s="163" t="s">
        <v>222</v>
      </c>
      <c r="B3722" s="163"/>
      <c r="C3722" s="163"/>
      <c r="J3722" s="165"/>
      <c r="K3722" s="166"/>
      <c r="L3722" s="166"/>
    </row>
    <row r="3723">
      <c r="A3723" s="163" t="s">
        <v>222</v>
      </c>
      <c r="B3723" s="163"/>
      <c r="C3723" s="163"/>
      <c r="J3723" s="165"/>
      <c r="K3723" s="166"/>
      <c r="L3723" s="166"/>
    </row>
    <row r="3724">
      <c r="A3724" s="163" t="s">
        <v>222</v>
      </c>
      <c r="B3724" s="163"/>
      <c r="C3724" s="163"/>
      <c r="J3724" s="165"/>
      <c r="K3724" s="166"/>
      <c r="L3724" s="166"/>
    </row>
    <row r="3725">
      <c r="A3725" s="163" t="s">
        <v>222</v>
      </c>
      <c r="B3725" s="163"/>
      <c r="C3725" s="163"/>
      <c r="J3725" s="165"/>
      <c r="K3725" s="166"/>
      <c r="L3725" s="166"/>
    </row>
    <row r="3726">
      <c r="A3726" s="163" t="s">
        <v>222</v>
      </c>
      <c r="B3726" s="163"/>
      <c r="C3726" s="163"/>
      <c r="J3726" s="165"/>
      <c r="K3726" s="166"/>
      <c r="L3726" s="166"/>
    </row>
    <row r="3727">
      <c r="A3727" s="163" t="s">
        <v>222</v>
      </c>
      <c r="B3727" s="163"/>
      <c r="C3727" s="163"/>
      <c r="J3727" s="165"/>
      <c r="K3727" s="166"/>
      <c r="L3727" s="166"/>
    </row>
    <row r="3728">
      <c r="A3728" s="163" t="s">
        <v>222</v>
      </c>
      <c r="B3728" s="163"/>
      <c r="C3728" s="163"/>
      <c r="J3728" s="165"/>
      <c r="K3728" s="166"/>
      <c r="L3728" s="166"/>
    </row>
    <row r="3729">
      <c r="A3729" s="163" t="s">
        <v>222</v>
      </c>
      <c r="B3729" s="163"/>
      <c r="C3729" s="163"/>
      <c r="J3729" s="165"/>
      <c r="K3729" s="166"/>
      <c r="L3729" s="166"/>
    </row>
    <row r="3730">
      <c r="A3730" s="163" t="s">
        <v>222</v>
      </c>
      <c r="B3730" s="163"/>
      <c r="C3730" s="163"/>
      <c r="J3730" s="165"/>
      <c r="K3730" s="166"/>
      <c r="L3730" s="166"/>
    </row>
    <row r="3731">
      <c r="A3731" s="163" t="s">
        <v>222</v>
      </c>
      <c r="B3731" s="163"/>
      <c r="C3731" s="163"/>
      <c r="J3731" s="165"/>
      <c r="K3731" s="166"/>
      <c r="L3731" s="166"/>
    </row>
    <row r="3732">
      <c r="A3732" s="163" t="s">
        <v>222</v>
      </c>
      <c r="B3732" s="163"/>
      <c r="C3732" s="163"/>
      <c r="J3732" s="165"/>
      <c r="K3732" s="166"/>
      <c r="L3732" s="166"/>
    </row>
    <row r="3733">
      <c r="A3733" s="163" t="s">
        <v>222</v>
      </c>
      <c r="B3733" s="163"/>
      <c r="C3733" s="163"/>
      <c r="J3733" s="165"/>
      <c r="K3733" s="166"/>
      <c r="L3733" s="166"/>
    </row>
    <row r="3734">
      <c r="A3734" s="163" t="s">
        <v>222</v>
      </c>
      <c r="B3734" s="163"/>
      <c r="C3734" s="163"/>
      <c r="J3734" s="165"/>
      <c r="K3734" s="166"/>
      <c r="L3734" s="166"/>
    </row>
    <row r="3735">
      <c r="A3735" s="163" t="s">
        <v>222</v>
      </c>
      <c r="B3735" s="163"/>
      <c r="C3735" s="163"/>
      <c r="J3735" s="165"/>
      <c r="K3735" s="166"/>
      <c r="L3735" s="166"/>
    </row>
    <row r="3736">
      <c r="A3736" s="163" t="s">
        <v>222</v>
      </c>
      <c r="B3736" s="163"/>
      <c r="C3736" s="163"/>
      <c r="J3736" s="165"/>
      <c r="K3736" s="166"/>
      <c r="L3736" s="166"/>
    </row>
    <row r="3737">
      <c r="A3737" s="163" t="s">
        <v>222</v>
      </c>
      <c r="B3737" s="163"/>
      <c r="C3737" s="163"/>
      <c r="J3737" s="165"/>
      <c r="K3737" s="166"/>
      <c r="L3737" s="166"/>
    </row>
    <row r="3738">
      <c r="A3738" s="163" t="s">
        <v>222</v>
      </c>
      <c r="B3738" s="163"/>
      <c r="C3738" s="163"/>
      <c r="J3738" s="165"/>
      <c r="K3738" s="166"/>
      <c r="L3738" s="166"/>
    </row>
    <row r="3739">
      <c r="A3739" s="163" t="s">
        <v>222</v>
      </c>
      <c r="B3739" s="163"/>
      <c r="C3739" s="163"/>
      <c r="J3739" s="165"/>
      <c r="K3739" s="166"/>
      <c r="L3739" s="166"/>
    </row>
    <row r="3740">
      <c r="A3740" s="163" t="s">
        <v>222</v>
      </c>
      <c r="B3740" s="163"/>
      <c r="C3740" s="163"/>
      <c r="J3740" s="165"/>
      <c r="K3740" s="166"/>
      <c r="L3740" s="166"/>
    </row>
    <row r="3741">
      <c r="A3741" s="163" t="s">
        <v>222</v>
      </c>
      <c r="B3741" s="163"/>
      <c r="C3741" s="163"/>
      <c r="J3741" s="165"/>
      <c r="K3741" s="166"/>
      <c r="L3741" s="166"/>
    </row>
    <row r="3742">
      <c r="A3742" s="163" t="s">
        <v>222</v>
      </c>
      <c r="B3742" s="163"/>
      <c r="C3742" s="163"/>
      <c r="J3742" s="165"/>
      <c r="K3742" s="166"/>
      <c r="L3742" s="166"/>
    </row>
    <row r="3743">
      <c r="A3743" s="163" t="s">
        <v>222</v>
      </c>
      <c r="B3743" s="163"/>
      <c r="C3743" s="163"/>
      <c r="J3743" s="165"/>
      <c r="K3743" s="166"/>
      <c r="L3743" s="166"/>
    </row>
    <row r="3744">
      <c r="A3744" s="163" t="s">
        <v>222</v>
      </c>
      <c r="B3744" s="163"/>
      <c r="C3744" s="163"/>
      <c r="J3744" s="165"/>
      <c r="K3744" s="166"/>
      <c r="L3744" s="166"/>
    </row>
    <row r="3745">
      <c r="A3745" s="163" t="s">
        <v>222</v>
      </c>
      <c r="B3745" s="163"/>
      <c r="C3745" s="163"/>
      <c r="J3745" s="165"/>
      <c r="K3745" s="166"/>
      <c r="L3745" s="166"/>
    </row>
    <row r="3746">
      <c r="A3746" s="163" t="s">
        <v>222</v>
      </c>
      <c r="B3746" s="163"/>
      <c r="C3746" s="163"/>
      <c r="J3746" s="165"/>
      <c r="K3746" s="166"/>
      <c r="L3746" s="166"/>
    </row>
    <row r="3747">
      <c r="A3747" s="163" t="s">
        <v>222</v>
      </c>
      <c r="B3747" s="163"/>
      <c r="C3747" s="163"/>
      <c r="J3747" s="165"/>
      <c r="K3747" s="166"/>
      <c r="L3747" s="166"/>
    </row>
    <row r="3748">
      <c r="A3748" s="163" t="s">
        <v>222</v>
      </c>
      <c r="B3748" s="163"/>
      <c r="C3748" s="163"/>
      <c r="J3748" s="165"/>
      <c r="K3748" s="166"/>
      <c r="L3748" s="166"/>
    </row>
    <row r="3749">
      <c r="A3749" s="163" t="s">
        <v>222</v>
      </c>
      <c r="B3749" s="163"/>
      <c r="C3749" s="163"/>
      <c r="J3749" s="165"/>
      <c r="K3749" s="166"/>
      <c r="L3749" s="166"/>
    </row>
    <row r="3750">
      <c r="A3750" s="163" t="s">
        <v>222</v>
      </c>
      <c r="B3750" s="163"/>
      <c r="C3750" s="163"/>
      <c r="J3750" s="165"/>
      <c r="K3750" s="166"/>
      <c r="L3750" s="166"/>
    </row>
    <row r="3751">
      <c r="A3751" s="163" t="s">
        <v>222</v>
      </c>
      <c r="B3751" s="163"/>
      <c r="C3751" s="163"/>
      <c r="J3751" s="165"/>
      <c r="K3751" s="166"/>
      <c r="L3751" s="166"/>
    </row>
    <row r="3752">
      <c r="A3752" s="163" t="s">
        <v>222</v>
      </c>
      <c r="B3752" s="163"/>
      <c r="C3752" s="163"/>
      <c r="J3752" s="165"/>
      <c r="K3752" s="166"/>
      <c r="L3752" s="166"/>
    </row>
    <row r="3753">
      <c r="A3753" s="163" t="s">
        <v>222</v>
      </c>
      <c r="B3753" s="163"/>
      <c r="C3753" s="163"/>
      <c r="J3753" s="165"/>
      <c r="K3753" s="166"/>
      <c r="L3753" s="166"/>
    </row>
    <row r="3754">
      <c r="A3754" s="163" t="s">
        <v>222</v>
      </c>
      <c r="B3754" s="163"/>
      <c r="C3754" s="163"/>
      <c r="J3754" s="165"/>
      <c r="K3754" s="166"/>
      <c r="L3754" s="166"/>
    </row>
    <row r="3755">
      <c r="A3755" s="163" t="s">
        <v>222</v>
      </c>
      <c r="B3755" s="163"/>
      <c r="C3755" s="163"/>
      <c r="J3755" s="165"/>
      <c r="K3755" s="166"/>
      <c r="L3755" s="166"/>
    </row>
    <row r="3756">
      <c r="A3756" s="163" t="s">
        <v>222</v>
      </c>
      <c r="B3756" s="163"/>
      <c r="C3756" s="163"/>
      <c r="J3756" s="165"/>
      <c r="K3756" s="166"/>
      <c r="L3756" s="166"/>
    </row>
    <row r="3757">
      <c r="A3757" s="163" t="s">
        <v>222</v>
      </c>
      <c r="B3757" s="163"/>
      <c r="C3757" s="163"/>
      <c r="J3757" s="165"/>
      <c r="K3757" s="166"/>
      <c r="L3757" s="166"/>
    </row>
    <row r="3758">
      <c r="A3758" s="163" t="s">
        <v>222</v>
      </c>
      <c r="B3758" s="163"/>
      <c r="C3758" s="163"/>
      <c r="J3758" s="165"/>
      <c r="K3758" s="166"/>
      <c r="L3758" s="166"/>
    </row>
    <row r="3759">
      <c r="A3759" s="163" t="s">
        <v>222</v>
      </c>
      <c r="B3759" s="163"/>
      <c r="C3759" s="163"/>
      <c r="J3759" s="165"/>
      <c r="K3759" s="166"/>
      <c r="L3759" s="166"/>
    </row>
    <row r="3760">
      <c r="A3760" s="163" t="s">
        <v>222</v>
      </c>
      <c r="B3760" s="163"/>
      <c r="C3760" s="163"/>
      <c r="J3760" s="165"/>
      <c r="K3760" s="166"/>
      <c r="L3760" s="166"/>
    </row>
    <row r="3761">
      <c r="A3761" s="163" t="s">
        <v>222</v>
      </c>
      <c r="B3761" s="163"/>
      <c r="C3761" s="163"/>
      <c r="J3761" s="165"/>
      <c r="K3761" s="166"/>
      <c r="L3761" s="166"/>
    </row>
    <row r="3762">
      <c r="A3762" s="163" t="s">
        <v>222</v>
      </c>
      <c r="B3762" s="163"/>
      <c r="C3762" s="163"/>
      <c r="J3762" s="165"/>
      <c r="K3762" s="166"/>
      <c r="L3762" s="166"/>
    </row>
    <row r="3763">
      <c r="A3763" s="163" t="s">
        <v>222</v>
      </c>
      <c r="B3763" s="163"/>
      <c r="C3763" s="163"/>
      <c r="J3763" s="165"/>
      <c r="K3763" s="166"/>
      <c r="L3763" s="166"/>
    </row>
    <row r="3764">
      <c r="A3764" s="163" t="s">
        <v>222</v>
      </c>
      <c r="B3764" s="163"/>
      <c r="C3764" s="163"/>
      <c r="J3764" s="165"/>
      <c r="K3764" s="166"/>
      <c r="L3764" s="166"/>
    </row>
    <row r="3765">
      <c r="A3765" s="163" t="s">
        <v>222</v>
      </c>
      <c r="B3765" s="163"/>
      <c r="C3765" s="163"/>
      <c r="J3765" s="165"/>
      <c r="K3765" s="166"/>
      <c r="L3765" s="166"/>
    </row>
    <row r="3766">
      <c r="A3766" s="163" t="s">
        <v>222</v>
      </c>
      <c r="B3766" s="163"/>
      <c r="C3766" s="163"/>
      <c r="J3766" s="165"/>
      <c r="K3766" s="166"/>
      <c r="L3766" s="166"/>
    </row>
    <row r="3767">
      <c r="A3767" s="163" t="s">
        <v>222</v>
      </c>
      <c r="B3767" s="163"/>
      <c r="C3767" s="163"/>
      <c r="J3767" s="165"/>
      <c r="K3767" s="166"/>
      <c r="L3767" s="166"/>
    </row>
    <row r="3768">
      <c r="A3768" s="163" t="s">
        <v>222</v>
      </c>
      <c r="B3768" s="163"/>
      <c r="C3768" s="163"/>
      <c r="J3768" s="165"/>
      <c r="K3768" s="166"/>
      <c r="L3768" s="166"/>
    </row>
    <row r="3769">
      <c r="A3769" s="163" t="s">
        <v>222</v>
      </c>
      <c r="B3769" s="163"/>
      <c r="C3769" s="163"/>
      <c r="J3769" s="165"/>
      <c r="K3769" s="166"/>
      <c r="L3769" s="166"/>
    </row>
    <row r="3770">
      <c r="A3770" s="163" t="s">
        <v>222</v>
      </c>
      <c r="B3770" s="163"/>
      <c r="C3770" s="163"/>
      <c r="J3770" s="165"/>
      <c r="K3770" s="166"/>
      <c r="L3770" s="166"/>
    </row>
    <row r="3771">
      <c r="A3771" s="163" t="s">
        <v>222</v>
      </c>
      <c r="B3771" s="163"/>
      <c r="C3771" s="163"/>
      <c r="J3771" s="165"/>
      <c r="K3771" s="166"/>
      <c r="L3771" s="166"/>
    </row>
    <row r="3772">
      <c r="A3772" s="163" t="s">
        <v>222</v>
      </c>
      <c r="B3772" s="163"/>
      <c r="C3772" s="163"/>
      <c r="J3772" s="165"/>
      <c r="K3772" s="166"/>
      <c r="L3772" s="166"/>
    </row>
    <row r="3773">
      <c r="A3773" s="163" t="s">
        <v>222</v>
      </c>
      <c r="B3773" s="163"/>
      <c r="C3773" s="163"/>
      <c r="J3773" s="165"/>
      <c r="K3773" s="166"/>
      <c r="L3773" s="166"/>
    </row>
    <row r="3774">
      <c r="A3774" s="163" t="s">
        <v>222</v>
      </c>
      <c r="B3774" s="163"/>
      <c r="C3774" s="163"/>
      <c r="J3774" s="165"/>
      <c r="K3774" s="166"/>
      <c r="L3774" s="166"/>
    </row>
    <row r="3775">
      <c r="A3775" s="163" t="s">
        <v>222</v>
      </c>
      <c r="B3775" s="163"/>
      <c r="C3775" s="163"/>
      <c r="J3775" s="165"/>
      <c r="K3775" s="166"/>
      <c r="L3775" s="166"/>
    </row>
    <row r="3776">
      <c r="A3776" s="163" t="s">
        <v>222</v>
      </c>
      <c r="B3776" s="163"/>
      <c r="C3776" s="163"/>
      <c r="J3776" s="165"/>
      <c r="K3776" s="166"/>
      <c r="L3776" s="166"/>
    </row>
    <row r="3777">
      <c r="A3777" s="163" t="s">
        <v>222</v>
      </c>
      <c r="B3777" s="163"/>
      <c r="C3777" s="163"/>
      <c r="J3777" s="165"/>
      <c r="K3777" s="166"/>
      <c r="L3777" s="166"/>
    </row>
    <row r="3778">
      <c r="A3778" s="163" t="s">
        <v>222</v>
      </c>
      <c r="B3778" s="163"/>
      <c r="C3778" s="163"/>
      <c r="J3778" s="165"/>
      <c r="K3778" s="166"/>
      <c r="L3778" s="166"/>
    </row>
    <row r="3779">
      <c r="A3779" s="163" t="s">
        <v>222</v>
      </c>
      <c r="B3779" s="163"/>
      <c r="C3779" s="163"/>
      <c r="J3779" s="165"/>
      <c r="K3779" s="166"/>
      <c r="L3779" s="166"/>
    </row>
    <row r="3780">
      <c r="A3780" s="163" t="s">
        <v>222</v>
      </c>
      <c r="B3780" s="163"/>
      <c r="C3780" s="163"/>
      <c r="J3780" s="165"/>
      <c r="K3780" s="166"/>
      <c r="L3780" s="166"/>
    </row>
    <row r="3781">
      <c r="A3781" s="163" t="s">
        <v>222</v>
      </c>
      <c r="B3781" s="163"/>
      <c r="C3781" s="163"/>
      <c r="J3781" s="165"/>
      <c r="K3781" s="166"/>
      <c r="L3781" s="166"/>
    </row>
    <row r="3782">
      <c r="A3782" s="163" t="s">
        <v>222</v>
      </c>
      <c r="B3782" s="163"/>
      <c r="C3782" s="163"/>
      <c r="J3782" s="165"/>
      <c r="K3782" s="166"/>
      <c r="L3782" s="166"/>
    </row>
    <row r="3783">
      <c r="A3783" s="163" t="s">
        <v>222</v>
      </c>
      <c r="B3783" s="163"/>
      <c r="C3783" s="163"/>
      <c r="J3783" s="165"/>
      <c r="K3783" s="166"/>
      <c r="L3783" s="166"/>
    </row>
    <row r="3784">
      <c r="A3784" s="163" t="s">
        <v>222</v>
      </c>
      <c r="B3784" s="163"/>
      <c r="C3784" s="163"/>
      <c r="J3784" s="165"/>
      <c r="K3784" s="166"/>
      <c r="L3784" s="166"/>
    </row>
    <row r="3785">
      <c r="A3785" s="163" t="s">
        <v>222</v>
      </c>
      <c r="B3785" s="163"/>
      <c r="C3785" s="163"/>
      <c r="J3785" s="165"/>
      <c r="K3785" s="166"/>
      <c r="L3785" s="166"/>
    </row>
    <row r="3786">
      <c r="A3786" s="163" t="s">
        <v>222</v>
      </c>
      <c r="B3786" s="163"/>
      <c r="C3786" s="163"/>
      <c r="J3786" s="165"/>
      <c r="K3786" s="166"/>
      <c r="L3786" s="166"/>
    </row>
    <row r="3787">
      <c r="A3787" s="163" t="s">
        <v>222</v>
      </c>
      <c r="B3787" s="163"/>
      <c r="C3787" s="163"/>
      <c r="J3787" s="165"/>
      <c r="K3787" s="166"/>
      <c r="L3787" s="166"/>
    </row>
    <row r="3788">
      <c r="A3788" s="163" t="s">
        <v>222</v>
      </c>
      <c r="B3788" s="163"/>
      <c r="C3788" s="163"/>
      <c r="J3788" s="165"/>
      <c r="K3788" s="166"/>
      <c r="L3788" s="166"/>
    </row>
    <row r="3789">
      <c r="A3789" s="163" t="s">
        <v>222</v>
      </c>
      <c r="B3789" s="163"/>
      <c r="C3789" s="163"/>
      <c r="J3789" s="165"/>
      <c r="K3789" s="166"/>
      <c r="L3789" s="166"/>
    </row>
    <row r="3790">
      <c r="A3790" s="163" t="s">
        <v>222</v>
      </c>
      <c r="B3790" s="163"/>
      <c r="C3790" s="163"/>
      <c r="J3790" s="165"/>
      <c r="K3790" s="166"/>
      <c r="L3790" s="166"/>
    </row>
    <row r="3791">
      <c r="A3791" s="163" t="s">
        <v>222</v>
      </c>
      <c r="B3791" s="163"/>
      <c r="C3791" s="163"/>
      <c r="J3791" s="165"/>
      <c r="K3791" s="166"/>
      <c r="L3791" s="166"/>
    </row>
    <row r="3792">
      <c r="A3792" s="163" t="s">
        <v>222</v>
      </c>
      <c r="B3792" s="163"/>
      <c r="C3792" s="163"/>
      <c r="J3792" s="165"/>
      <c r="K3792" s="166"/>
      <c r="L3792" s="166"/>
    </row>
    <row r="3793">
      <c r="A3793" s="163" t="s">
        <v>222</v>
      </c>
      <c r="B3793" s="163"/>
      <c r="C3793" s="163"/>
      <c r="J3793" s="165"/>
      <c r="K3793" s="166"/>
      <c r="L3793" s="166"/>
    </row>
    <row r="3794">
      <c r="A3794" s="163" t="s">
        <v>222</v>
      </c>
      <c r="B3794" s="163"/>
      <c r="C3794" s="163"/>
      <c r="J3794" s="165"/>
      <c r="K3794" s="166"/>
      <c r="L3794" s="166"/>
    </row>
    <row r="3795">
      <c r="A3795" s="163" t="s">
        <v>222</v>
      </c>
      <c r="B3795" s="163"/>
      <c r="C3795" s="163"/>
      <c r="J3795" s="165"/>
      <c r="K3795" s="166"/>
      <c r="L3795" s="166"/>
    </row>
    <row r="3796">
      <c r="A3796" s="163" t="s">
        <v>222</v>
      </c>
      <c r="B3796" s="163"/>
      <c r="C3796" s="163"/>
      <c r="J3796" s="165"/>
      <c r="K3796" s="166"/>
      <c r="L3796" s="166"/>
    </row>
    <row r="3797">
      <c r="A3797" s="163" t="s">
        <v>222</v>
      </c>
      <c r="B3797" s="163"/>
      <c r="C3797" s="163"/>
      <c r="J3797" s="165"/>
      <c r="K3797" s="166"/>
      <c r="L3797" s="166"/>
    </row>
    <row r="3798">
      <c r="A3798" s="163" t="s">
        <v>222</v>
      </c>
      <c r="B3798" s="163"/>
      <c r="C3798" s="163"/>
      <c r="J3798" s="165"/>
      <c r="K3798" s="166"/>
      <c r="L3798" s="166"/>
    </row>
    <row r="3799">
      <c r="A3799" s="163" t="s">
        <v>222</v>
      </c>
      <c r="B3799" s="163"/>
      <c r="C3799" s="163"/>
      <c r="J3799" s="165"/>
      <c r="K3799" s="166"/>
      <c r="L3799" s="166"/>
    </row>
    <row r="3800">
      <c r="A3800" s="163" t="s">
        <v>222</v>
      </c>
      <c r="B3800" s="163"/>
      <c r="C3800" s="163"/>
      <c r="J3800" s="165"/>
      <c r="K3800" s="166"/>
      <c r="L3800" s="166"/>
    </row>
    <row r="3801">
      <c r="A3801" s="163" t="s">
        <v>222</v>
      </c>
      <c r="B3801" s="163"/>
      <c r="C3801" s="163"/>
      <c r="J3801" s="165"/>
      <c r="K3801" s="166"/>
      <c r="L3801" s="166"/>
    </row>
    <row r="3802">
      <c r="A3802" s="163" t="s">
        <v>222</v>
      </c>
      <c r="B3802" s="163"/>
      <c r="C3802" s="163"/>
      <c r="J3802" s="165"/>
      <c r="K3802" s="166"/>
      <c r="L3802" s="166"/>
    </row>
    <row r="3803">
      <c r="A3803" s="163" t="s">
        <v>222</v>
      </c>
      <c r="B3803" s="163"/>
      <c r="C3803" s="163"/>
      <c r="J3803" s="165"/>
      <c r="K3803" s="166"/>
      <c r="L3803" s="166"/>
    </row>
    <row r="3804">
      <c r="A3804" s="163" t="s">
        <v>222</v>
      </c>
      <c r="B3804" s="163"/>
      <c r="C3804" s="163"/>
      <c r="J3804" s="165"/>
      <c r="K3804" s="166"/>
      <c r="L3804" s="166"/>
    </row>
    <row r="3805">
      <c r="A3805" s="163" t="s">
        <v>222</v>
      </c>
      <c r="B3805" s="163"/>
      <c r="C3805" s="163"/>
      <c r="J3805" s="165"/>
      <c r="K3805" s="166"/>
      <c r="L3805" s="166"/>
    </row>
    <row r="3806">
      <c r="A3806" s="163" t="s">
        <v>222</v>
      </c>
      <c r="B3806" s="163"/>
      <c r="C3806" s="163"/>
      <c r="J3806" s="165"/>
      <c r="K3806" s="166"/>
      <c r="L3806" s="166"/>
    </row>
    <row r="3807">
      <c r="A3807" s="163" t="s">
        <v>222</v>
      </c>
      <c r="B3807" s="163"/>
      <c r="C3807" s="163"/>
      <c r="J3807" s="165"/>
      <c r="K3807" s="166"/>
      <c r="L3807" s="166"/>
    </row>
    <row r="3808">
      <c r="A3808" s="163" t="s">
        <v>222</v>
      </c>
      <c r="B3808" s="163"/>
      <c r="C3808" s="163"/>
      <c r="J3808" s="165"/>
      <c r="K3808" s="166"/>
      <c r="L3808" s="166"/>
    </row>
    <row r="3809">
      <c r="A3809" s="163" t="s">
        <v>222</v>
      </c>
      <c r="B3809" s="163"/>
      <c r="C3809" s="163"/>
      <c r="J3809" s="165"/>
      <c r="K3809" s="166"/>
      <c r="L3809" s="166"/>
    </row>
    <row r="3810">
      <c r="A3810" s="163" t="s">
        <v>222</v>
      </c>
      <c r="B3810" s="163"/>
      <c r="C3810" s="163"/>
      <c r="J3810" s="165"/>
      <c r="K3810" s="166"/>
      <c r="L3810" s="166"/>
    </row>
    <row r="3811">
      <c r="A3811" s="163" t="s">
        <v>222</v>
      </c>
      <c r="B3811" s="163"/>
      <c r="C3811" s="163"/>
      <c r="J3811" s="165"/>
      <c r="K3811" s="166"/>
      <c r="L3811" s="166"/>
    </row>
    <row r="3812">
      <c r="A3812" s="163" t="s">
        <v>222</v>
      </c>
      <c r="B3812" s="163"/>
      <c r="C3812" s="163"/>
      <c r="J3812" s="165"/>
      <c r="K3812" s="166"/>
      <c r="L3812" s="166"/>
    </row>
    <row r="3813">
      <c r="A3813" s="163" t="s">
        <v>222</v>
      </c>
      <c r="B3813" s="163"/>
      <c r="C3813" s="163"/>
      <c r="J3813" s="165"/>
      <c r="K3813" s="166"/>
      <c r="L3813" s="166"/>
    </row>
    <row r="3814">
      <c r="A3814" s="163" t="s">
        <v>222</v>
      </c>
      <c r="B3814" s="163"/>
      <c r="C3814" s="163"/>
      <c r="J3814" s="165"/>
      <c r="K3814" s="166"/>
      <c r="L3814" s="166"/>
    </row>
    <row r="3815">
      <c r="A3815" s="163" t="s">
        <v>222</v>
      </c>
      <c r="B3815" s="163"/>
      <c r="C3815" s="163"/>
      <c r="J3815" s="165"/>
      <c r="K3815" s="166"/>
      <c r="L3815" s="166"/>
    </row>
    <row r="3816">
      <c r="A3816" s="163" t="s">
        <v>222</v>
      </c>
      <c r="B3816" s="163"/>
      <c r="C3816" s="163"/>
      <c r="J3816" s="165"/>
      <c r="K3816" s="166"/>
      <c r="L3816" s="166"/>
    </row>
    <row r="3817">
      <c r="A3817" s="163" t="s">
        <v>222</v>
      </c>
      <c r="B3817" s="163"/>
      <c r="C3817" s="163"/>
      <c r="J3817" s="165"/>
      <c r="K3817" s="166"/>
      <c r="L3817" s="166"/>
    </row>
    <row r="3818">
      <c r="A3818" s="163" t="s">
        <v>222</v>
      </c>
      <c r="B3818" s="163"/>
      <c r="C3818" s="163"/>
      <c r="J3818" s="165"/>
      <c r="K3818" s="166"/>
      <c r="L3818" s="166"/>
    </row>
    <row r="3819">
      <c r="A3819" s="163" t="s">
        <v>222</v>
      </c>
      <c r="B3819" s="163"/>
      <c r="C3819" s="163"/>
      <c r="J3819" s="165"/>
      <c r="K3819" s="166"/>
      <c r="L3819" s="166"/>
    </row>
    <row r="3820">
      <c r="A3820" s="163" t="s">
        <v>222</v>
      </c>
      <c r="B3820" s="163"/>
      <c r="C3820" s="163"/>
      <c r="J3820" s="165"/>
      <c r="K3820" s="166"/>
      <c r="L3820" s="166"/>
    </row>
    <row r="3821">
      <c r="A3821" s="163" t="s">
        <v>222</v>
      </c>
      <c r="B3821" s="163"/>
      <c r="C3821" s="163"/>
      <c r="J3821" s="165"/>
      <c r="K3821" s="166"/>
      <c r="L3821" s="166"/>
    </row>
    <row r="3822">
      <c r="A3822" s="163" t="s">
        <v>222</v>
      </c>
      <c r="B3822" s="163"/>
      <c r="C3822" s="163"/>
      <c r="J3822" s="165"/>
      <c r="K3822" s="166"/>
      <c r="L3822" s="166"/>
    </row>
    <row r="3823">
      <c r="A3823" s="163" t="s">
        <v>222</v>
      </c>
      <c r="B3823" s="163"/>
      <c r="C3823" s="163"/>
      <c r="J3823" s="165"/>
      <c r="K3823" s="166"/>
      <c r="L3823" s="166"/>
    </row>
    <row r="3824">
      <c r="A3824" s="163" t="s">
        <v>222</v>
      </c>
      <c r="B3824" s="163"/>
      <c r="C3824" s="163"/>
      <c r="J3824" s="165"/>
      <c r="K3824" s="166"/>
      <c r="L3824" s="166"/>
    </row>
    <row r="3825">
      <c r="A3825" s="163" t="s">
        <v>222</v>
      </c>
      <c r="B3825" s="163"/>
      <c r="C3825" s="163"/>
      <c r="J3825" s="165"/>
      <c r="K3825" s="166"/>
      <c r="L3825" s="166"/>
    </row>
    <row r="3826">
      <c r="A3826" s="163" t="s">
        <v>222</v>
      </c>
      <c r="B3826" s="163"/>
      <c r="C3826" s="163"/>
      <c r="J3826" s="165"/>
      <c r="K3826" s="166"/>
      <c r="L3826" s="166"/>
    </row>
    <row r="3827">
      <c r="A3827" s="163" t="s">
        <v>222</v>
      </c>
      <c r="B3827" s="163"/>
      <c r="C3827" s="163"/>
      <c r="J3827" s="165"/>
      <c r="K3827" s="166"/>
      <c r="L3827" s="166"/>
    </row>
    <row r="3828">
      <c r="A3828" s="163" t="s">
        <v>222</v>
      </c>
      <c r="B3828" s="163"/>
      <c r="C3828" s="163"/>
      <c r="J3828" s="165"/>
      <c r="K3828" s="166"/>
      <c r="L3828" s="166"/>
    </row>
    <row r="3829">
      <c r="A3829" s="163" t="s">
        <v>222</v>
      </c>
      <c r="B3829" s="163"/>
      <c r="C3829" s="163"/>
      <c r="J3829" s="165"/>
      <c r="K3829" s="166"/>
      <c r="L3829" s="166"/>
    </row>
    <row r="3830">
      <c r="A3830" s="163" t="s">
        <v>222</v>
      </c>
      <c r="B3830" s="163"/>
      <c r="C3830" s="163"/>
      <c r="J3830" s="165"/>
      <c r="K3830" s="166"/>
      <c r="L3830" s="166"/>
    </row>
    <row r="3831">
      <c r="A3831" s="163" t="s">
        <v>222</v>
      </c>
      <c r="B3831" s="163"/>
      <c r="C3831" s="163"/>
      <c r="J3831" s="165"/>
      <c r="K3831" s="166"/>
      <c r="L3831" s="166"/>
    </row>
    <row r="3832">
      <c r="A3832" s="163" t="s">
        <v>222</v>
      </c>
      <c r="B3832" s="163"/>
      <c r="C3832" s="163"/>
      <c r="J3832" s="165"/>
      <c r="K3832" s="166"/>
      <c r="L3832" s="166"/>
    </row>
    <row r="3833">
      <c r="A3833" s="163" t="s">
        <v>222</v>
      </c>
      <c r="B3833" s="163"/>
      <c r="C3833" s="163"/>
      <c r="J3833" s="165"/>
      <c r="K3833" s="166"/>
      <c r="L3833" s="166"/>
    </row>
    <row r="3834">
      <c r="A3834" s="163" t="s">
        <v>222</v>
      </c>
      <c r="B3834" s="163"/>
      <c r="C3834" s="163"/>
      <c r="J3834" s="165"/>
      <c r="K3834" s="166"/>
      <c r="L3834" s="166"/>
    </row>
    <row r="3835">
      <c r="A3835" s="163" t="s">
        <v>222</v>
      </c>
      <c r="B3835" s="163"/>
      <c r="C3835" s="163"/>
      <c r="J3835" s="165"/>
      <c r="K3835" s="166"/>
      <c r="L3835" s="166"/>
    </row>
    <row r="3836">
      <c r="A3836" s="163" t="s">
        <v>222</v>
      </c>
      <c r="B3836" s="163"/>
      <c r="C3836" s="163"/>
      <c r="J3836" s="165"/>
      <c r="K3836" s="166"/>
      <c r="L3836" s="166"/>
    </row>
    <row r="3837">
      <c r="A3837" s="163" t="s">
        <v>222</v>
      </c>
      <c r="B3837" s="163"/>
      <c r="C3837" s="163"/>
      <c r="J3837" s="165"/>
      <c r="K3837" s="166"/>
      <c r="L3837" s="166"/>
    </row>
    <row r="3838">
      <c r="A3838" s="163" t="s">
        <v>222</v>
      </c>
      <c r="B3838" s="163"/>
      <c r="C3838" s="163"/>
      <c r="J3838" s="165"/>
      <c r="K3838" s="166"/>
      <c r="L3838" s="166"/>
    </row>
    <row r="3839">
      <c r="A3839" s="163" t="s">
        <v>222</v>
      </c>
      <c r="B3839" s="163"/>
      <c r="C3839" s="163"/>
      <c r="J3839" s="165"/>
      <c r="K3839" s="166"/>
      <c r="L3839" s="166"/>
    </row>
    <row r="3840">
      <c r="A3840" s="163" t="s">
        <v>222</v>
      </c>
      <c r="B3840" s="163"/>
      <c r="C3840" s="163"/>
      <c r="J3840" s="165"/>
      <c r="K3840" s="166"/>
      <c r="L3840" s="166"/>
    </row>
    <row r="3841">
      <c r="A3841" s="163" t="s">
        <v>222</v>
      </c>
      <c r="B3841" s="163"/>
      <c r="C3841" s="163"/>
      <c r="J3841" s="165"/>
      <c r="K3841" s="166"/>
      <c r="L3841" s="166"/>
    </row>
    <row r="3842">
      <c r="A3842" s="163" t="s">
        <v>222</v>
      </c>
      <c r="B3842" s="163"/>
      <c r="C3842" s="163"/>
      <c r="J3842" s="165"/>
      <c r="K3842" s="166"/>
      <c r="L3842" s="166"/>
    </row>
    <row r="3843">
      <c r="A3843" s="163" t="s">
        <v>222</v>
      </c>
      <c r="B3843" s="163"/>
      <c r="C3843" s="163"/>
      <c r="J3843" s="165"/>
      <c r="K3843" s="166"/>
      <c r="L3843" s="166"/>
    </row>
    <row r="3844">
      <c r="A3844" s="163" t="s">
        <v>222</v>
      </c>
      <c r="B3844" s="163"/>
      <c r="C3844" s="163"/>
      <c r="J3844" s="165"/>
      <c r="K3844" s="166"/>
      <c r="L3844" s="166"/>
    </row>
    <row r="3845">
      <c r="A3845" s="163" t="s">
        <v>222</v>
      </c>
      <c r="B3845" s="163"/>
      <c r="C3845" s="163"/>
      <c r="J3845" s="165"/>
      <c r="K3845" s="166"/>
      <c r="L3845" s="166"/>
    </row>
    <row r="3846">
      <c r="A3846" s="163" t="s">
        <v>222</v>
      </c>
      <c r="B3846" s="163"/>
      <c r="C3846" s="163"/>
      <c r="J3846" s="165"/>
      <c r="K3846" s="166"/>
      <c r="L3846" s="166"/>
    </row>
    <row r="3847">
      <c r="A3847" s="163" t="s">
        <v>222</v>
      </c>
      <c r="B3847" s="163"/>
      <c r="C3847" s="163"/>
      <c r="J3847" s="165"/>
      <c r="K3847" s="166"/>
      <c r="L3847" s="166"/>
    </row>
    <row r="3848">
      <c r="A3848" s="163" t="s">
        <v>222</v>
      </c>
      <c r="B3848" s="163"/>
      <c r="C3848" s="163"/>
      <c r="J3848" s="165"/>
      <c r="K3848" s="166"/>
      <c r="L3848" s="166"/>
    </row>
    <row r="3849">
      <c r="A3849" s="163" t="s">
        <v>222</v>
      </c>
      <c r="B3849" s="163"/>
      <c r="C3849" s="163"/>
      <c r="J3849" s="165"/>
      <c r="K3849" s="166"/>
      <c r="L3849" s="166"/>
    </row>
    <row r="3850">
      <c r="A3850" s="163" t="s">
        <v>222</v>
      </c>
      <c r="B3850" s="163"/>
      <c r="C3850" s="163"/>
      <c r="J3850" s="165"/>
      <c r="K3850" s="166"/>
      <c r="L3850" s="166"/>
    </row>
    <row r="3851">
      <c r="A3851" s="163" t="s">
        <v>222</v>
      </c>
      <c r="B3851" s="163"/>
      <c r="C3851" s="163"/>
      <c r="J3851" s="165"/>
      <c r="K3851" s="166"/>
      <c r="L3851" s="166"/>
    </row>
    <row r="3852">
      <c r="A3852" s="163" t="s">
        <v>222</v>
      </c>
      <c r="B3852" s="163"/>
      <c r="C3852" s="163"/>
      <c r="J3852" s="165"/>
      <c r="K3852" s="166"/>
      <c r="L3852" s="166"/>
    </row>
    <row r="3853">
      <c r="A3853" s="163" t="s">
        <v>222</v>
      </c>
      <c r="B3853" s="163"/>
      <c r="C3853" s="163"/>
      <c r="J3853" s="165"/>
      <c r="K3853" s="166"/>
      <c r="L3853" s="166"/>
    </row>
    <row r="3854">
      <c r="A3854" s="163" t="s">
        <v>222</v>
      </c>
      <c r="B3854" s="163"/>
      <c r="C3854" s="163"/>
      <c r="J3854" s="165"/>
      <c r="K3854" s="166"/>
      <c r="L3854" s="166"/>
    </row>
    <row r="3855">
      <c r="A3855" s="163" t="s">
        <v>222</v>
      </c>
      <c r="B3855" s="163"/>
      <c r="C3855" s="163"/>
      <c r="J3855" s="165"/>
      <c r="K3855" s="166"/>
      <c r="L3855" s="166"/>
    </row>
    <row r="3856">
      <c r="A3856" s="163" t="s">
        <v>222</v>
      </c>
      <c r="B3856" s="163"/>
      <c r="C3856" s="163"/>
      <c r="J3856" s="165"/>
      <c r="K3856" s="166"/>
      <c r="L3856" s="166"/>
    </row>
    <row r="3857">
      <c r="A3857" s="163" t="s">
        <v>222</v>
      </c>
      <c r="B3857" s="163"/>
      <c r="C3857" s="163"/>
      <c r="J3857" s="165"/>
      <c r="K3857" s="166"/>
      <c r="L3857" s="166"/>
    </row>
    <row r="3858">
      <c r="A3858" s="163" t="s">
        <v>222</v>
      </c>
      <c r="B3858" s="163"/>
      <c r="C3858" s="163"/>
      <c r="J3858" s="165"/>
      <c r="K3858" s="166"/>
      <c r="L3858" s="166"/>
    </row>
    <row r="3859">
      <c r="A3859" s="163" t="s">
        <v>222</v>
      </c>
      <c r="B3859" s="163"/>
      <c r="C3859" s="163"/>
      <c r="J3859" s="165"/>
      <c r="K3859" s="166"/>
      <c r="L3859" s="166"/>
    </row>
    <row r="3860">
      <c r="A3860" s="163" t="s">
        <v>222</v>
      </c>
      <c r="B3860" s="163"/>
      <c r="C3860" s="163"/>
      <c r="J3860" s="165"/>
      <c r="K3860" s="166"/>
      <c r="L3860" s="166"/>
    </row>
    <row r="3861">
      <c r="A3861" s="163" t="s">
        <v>222</v>
      </c>
      <c r="B3861" s="163"/>
      <c r="C3861" s="163"/>
      <c r="J3861" s="165"/>
      <c r="K3861" s="166"/>
      <c r="L3861" s="166"/>
    </row>
    <row r="3862">
      <c r="A3862" s="163" t="s">
        <v>222</v>
      </c>
      <c r="B3862" s="163"/>
      <c r="C3862" s="163"/>
      <c r="J3862" s="165"/>
      <c r="K3862" s="166"/>
      <c r="L3862" s="166"/>
    </row>
    <row r="3863">
      <c r="A3863" s="163" t="s">
        <v>222</v>
      </c>
      <c r="B3863" s="163"/>
      <c r="C3863" s="163"/>
      <c r="J3863" s="165"/>
      <c r="K3863" s="166"/>
      <c r="L3863" s="166"/>
    </row>
    <row r="3864">
      <c r="A3864" s="163" t="s">
        <v>222</v>
      </c>
      <c r="B3864" s="163"/>
      <c r="C3864" s="163"/>
      <c r="J3864" s="165"/>
      <c r="K3864" s="166"/>
      <c r="L3864" s="166"/>
    </row>
    <row r="3865">
      <c r="A3865" s="163" t="s">
        <v>222</v>
      </c>
      <c r="B3865" s="163"/>
      <c r="C3865" s="163"/>
      <c r="J3865" s="165"/>
      <c r="K3865" s="166"/>
      <c r="L3865" s="166"/>
    </row>
    <row r="3866">
      <c r="A3866" s="163" t="s">
        <v>222</v>
      </c>
      <c r="B3866" s="163"/>
      <c r="C3866" s="163"/>
      <c r="J3866" s="165"/>
      <c r="K3866" s="166"/>
      <c r="L3866" s="166"/>
    </row>
    <row r="3867">
      <c r="A3867" s="163" t="s">
        <v>222</v>
      </c>
      <c r="B3867" s="163"/>
      <c r="C3867" s="163"/>
      <c r="J3867" s="165"/>
      <c r="K3867" s="166"/>
      <c r="L3867" s="166"/>
    </row>
    <row r="3868">
      <c r="A3868" s="163" t="s">
        <v>222</v>
      </c>
      <c r="B3868" s="163"/>
      <c r="C3868" s="163"/>
      <c r="J3868" s="165"/>
      <c r="K3868" s="166"/>
      <c r="L3868" s="166"/>
    </row>
    <row r="3869">
      <c r="A3869" s="163" t="s">
        <v>222</v>
      </c>
      <c r="B3869" s="163"/>
      <c r="C3869" s="163"/>
      <c r="J3869" s="165"/>
      <c r="K3869" s="166"/>
      <c r="L3869" s="166"/>
    </row>
    <row r="3870">
      <c r="A3870" s="163" t="s">
        <v>222</v>
      </c>
      <c r="B3870" s="163"/>
      <c r="C3870" s="163"/>
      <c r="J3870" s="165"/>
      <c r="K3870" s="166"/>
      <c r="L3870" s="166"/>
    </row>
    <row r="3871">
      <c r="A3871" s="163" t="s">
        <v>222</v>
      </c>
      <c r="B3871" s="163"/>
      <c r="C3871" s="163"/>
      <c r="J3871" s="165"/>
      <c r="K3871" s="166"/>
      <c r="L3871" s="166"/>
    </row>
    <row r="3872">
      <c r="A3872" s="163" t="s">
        <v>222</v>
      </c>
      <c r="B3872" s="163"/>
      <c r="C3872" s="163"/>
      <c r="J3872" s="165"/>
      <c r="K3872" s="166"/>
      <c r="L3872" s="166"/>
    </row>
    <row r="3873">
      <c r="A3873" s="163" t="s">
        <v>222</v>
      </c>
      <c r="B3873" s="163"/>
      <c r="C3873" s="163"/>
      <c r="J3873" s="165"/>
      <c r="K3873" s="166"/>
      <c r="L3873" s="166"/>
    </row>
    <row r="3874">
      <c r="A3874" s="163" t="s">
        <v>222</v>
      </c>
      <c r="B3874" s="163"/>
      <c r="C3874" s="163"/>
      <c r="J3874" s="165"/>
      <c r="K3874" s="166"/>
      <c r="L3874" s="166"/>
    </row>
    <row r="3875">
      <c r="A3875" s="163" t="s">
        <v>222</v>
      </c>
      <c r="B3875" s="163"/>
      <c r="C3875" s="163"/>
      <c r="J3875" s="165"/>
      <c r="K3875" s="166"/>
      <c r="L3875" s="166"/>
    </row>
    <row r="3876">
      <c r="A3876" s="163" t="s">
        <v>222</v>
      </c>
      <c r="B3876" s="163"/>
      <c r="C3876" s="163"/>
      <c r="J3876" s="165"/>
      <c r="K3876" s="166"/>
      <c r="L3876" s="166"/>
    </row>
    <row r="3877">
      <c r="A3877" s="163" t="s">
        <v>222</v>
      </c>
      <c r="B3877" s="163"/>
      <c r="C3877" s="163"/>
      <c r="J3877" s="165"/>
      <c r="K3877" s="166"/>
      <c r="L3877" s="166"/>
    </row>
    <row r="3878">
      <c r="A3878" s="163" t="s">
        <v>222</v>
      </c>
      <c r="B3878" s="163"/>
      <c r="C3878" s="163"/>
      <c r="J3878" s="165"/>
      <c r="K3878" s="166"/>
      <c r="L3878" s="166"/>
    </row>
    <row r="3879">
      <c r="A3879" s="163" t="s">
        <v>222</v>
      </c>
      <c r="B3879" s="163"/>
      <c r="C3879" s="163"/>
      <c r="J3879" s="165"/>
      <c r="K3879" s="166"/>
      <c r="L3879" s="166"/>
    </row>
    <row r="3880">
      <c r="A3880" s="163" t="s">
        <v>222</v>
      </c>
      <c r="B3880" s="163"/>
      <c r="C3880" s="163"/>
      <c r="J3880" s="165"/>
      <c r="K3880" s="166"/>
      <c r="L3880" s="166"/>
    </row>
    <row r="3881">
      <c r="A3881" s="163" t="s">
        <v>222</v>
      </c>
      <c r="B3881" s="163"/>
      <c r="C3881" s="163"/>
      <c r="J3881" s="165"/>
      <c r="K3881" s="166"/>
      <c r="L3881" s="166"/>
    </row>
    <row r="3882">
      <c r="A3882" s="163" t="s">
        <v>222</v>
      </c>
      <c r="B3882" s="163"/>
      <c r="C3882" s="163"/>
      <c r="J3882" s="165"/>
      <c r="K3882" s="166"/>
      <c r="L3882" s="166"/>
    </row>
    <row r="3883">
      <c r="A3883" s="163" t="s">
        <v>222</v>
      </c>
      <c r="B3883" s="163"/>
      <c r="C3883" s="163"/>
      <c r="J3883" s="165"/>
      <c r="K3883" s="166"/>
      <c r="L3883" s="166"/>
    </row>
    <row r="3884">
      <c r="A3884" s="163" t="s">
        <v>222</v>
      </c>
      <c r="B3884" s="163"/>
      <c r="C3884" s="163"/>
      <c r="J3884" s="165"/>
      <c r="K3884" s="166"/>
      <c r="L3884" s="166"/>
    </row>
    <row r="3885">
      <c r="A3885" s="163" t="s">
        <v>222</v>
      </c>
      <c r="B3885" s="163"/>
      <c r="C3885" s="163"/>
      <c r="J3885" s="165"/>
      <c r="K3885" s="166"/>
      <c r="L3885" s="166"/>
    </row>
    <row r="3886">
      <c r="A3886" s="163" t="s">
        <v>222</v>
      </c>
      <c r="B3886" s="163"/>
      <c r="C3886" s="163"/>
      <c r="J3886" s="165"/>
      <c r="K3886" s="166"/>
      <c r="L3886" s="166"/>
    </row>
    <row r="3887">
      <c r="A3887" s="163" t="s">
        <v>222</v>
      </c>
      <c r="B3887" s="163"/>
      <c r="C3887" s="163"/>
      <c r="J3887" s="165"/>
      <c r="K3887" s="166"/>
      <c r="L3887" s="166"/>
    </row>
    <row r="3888">
      <c r="A3888" s="163" t="s">
        <v>222</v>
      </c>
      <c r="B3888" s="163"/>
      <c r="C3888" s="163"/>
      <c r="J3888" s="165"/>
      <c r="K3888" s="166"/>
      <c r="L3888" s="166"/>
    </row>
    <row r="3889">
      <c r="A3889" s="163" t="s">
        <v>222</v>
      </c>
      <c r="B3889" s="163"/>
      <c r="C3889" s="163"/>
      <c r="J3889" s="165"/>
      <c r="K3889" s="166"/>
      <c r="L3889" s="166"/>
    </row>
    <row r="3890">
      <c r="A3890" s="163" t="s">
        <v>222</v>
      </c>
      <c r="B3890" s="163"/>
      <c r="C3890" s="163"/>
      <c r="J3890" s="165"/>
      <c r="K3890" s="166"/>
      <c r="L3890" s="166"/>
    </row>
    <row r="3891">
      <c r="A3891" s="163" t="s">
        <v>222</v>
      </c>
      <c r="B3891" s="163"/>
      <c r="C3891" s="163"/>
      <c r="J3891" s="165"/>
      <c r="K3891" s="166"/>
      <c r="L3891" s="166"/>
    </row>
    <row r="3892">
      <c r="A3892" s="163" t="s">
        <v>222</v>
      </c>
      <c r="B3892" s="163"/>
      <c r="C3892" s="163"/>
      <c r="J3892" s="165"/>
      <c r="K3892" s="166"/>
      <c r="L3892" s="166"/>
    </row>
    <row r="3893">
      <c r="A3893" s="163" t="s">
        <v>222</v>
      </c>
      <c r="B3893" s="163"/>
      <c r="C3893" s="163"/>
      <c r="J3893" s="165"/>
      <c r="K3893" s="166"/>
      <c r="L3893" s="166"/>
    </row>
    <row r="3894">
      <c r="A3894" s="163" t="s">
        <v>222</v>
      </c>
      <c r="B3894" s="163"/>
      <c r="C3894" s="163"/>
      <c r="J3894" s="165"/>
      <c r="K3894" s="166"/>
      <c r="L3894" s="166"/>
    </row>
    <row r="3895">
      <c r="A3895" s="163" t="s">
        <v>222</v>
      </c>
      <c r="B3895" s="163"/>
      <c r="C3895" s="163"/>
      <c r="J3895" s="165"/>
      <c r="K3895" s="166"/>
      <c r="L3895" s="166"/>
    </row>
    <row r="3896">
      <c r="A3896" s="163" t="s">
        <v>222</v>
      </c>
      <c r="B3896" s="163"/>
      <c r="C3896" s="163"/>
      <c r="J3896" s="165"/>
      <c r="K3896" s="166"/>
      <c r="L3896" s="166"/>
    </row>
    <row r="3897">
      <c r="A3897" s="163" t="s">
        <v>222</v>
      </c>
      <c r="B3897" s="163"/>
      <c r="C3897" s="163"/>
      <c r="J3897" s="165"/>
      <c r="K3897" s="166"/>
      <c r="L3897" s="166"/>
    </row>
    <row r="3898">
      <c r="A3898" s="163" t="s">
        <v>222</v>
      </c>
      <c r="B3898" s="163"/>
      <c r="C3898" s="163"/>
      <c r="J3898" s="165"/>
      <c r="K3898" s="166"/>
      <c r="L3898" s="166"/>
    </row>
    <row r="3899">
      <c r="A3899" s="163" t="s">
        <v>222</v>
      </c>
      <c r="B3899" s="163"/>
      <c r="C3899" s="163"/>
      <c r="J3899" s="165"/>
      <c r="K3899" s="166"/>
      <c r="L3899" s="166"/>
    </row>
    <row r="3900">
      <c r="A3900" s="163" t="s">
        <v>222</v>
      </c>
      <c r="B3900" s="163"/>
      <c r="C3900" s="163"/>
      <c r="J3900" s="165"/>
      <c r="K3900" s="166"/>
      <c r="L3900" s="166"/>
    </row>
    <row r="3901">
      <c r="A3901" s="163" t="s">
        <v>222</v>
      </c>
      <c r="B3901" s="163"/>
      <c r="C3901" s="163"/>
      <c r="J3901" s="165"/>
      <c r="K3901" s="166"/>
      <c r="L3901" s="166"/>
    </row>
    <row r="3902">
      <c r="A3902" s="163" t="s">
        <v>222</v>
      </c>
      <c r="B3902" s="163"/>
      <c r="C3902" s="163"/>
      <c r="J3902" s="165"/>
      <c r="K3902" s="166"/>
      <c r="L3902" s="166"/>
    </row>
    <row r="3903">
      <c r="A3903" s="163" t="s">
        <v>222</v>
      </c>
      <c r="B3903" s="163"/>
      <c r="C3903" s="163"/>
      <c r="J3903" s="165"/>
      <c r="K3903" s="166"/>
      <c r="L3903" s="166"/>
    </row>
    <row r="3904">
      <c r="A3904" s="163" t="s">
        <v>222</v>
      </c>
      <c r="B3904" s="163"/>
      <c r="C3904" s="163"/>
      <c r="J3904" s="165"/>
      <c r="K3904" s="166"/>
      <c r="L3904" s="166"/>
    </row>
    <row r="3905">
      <c r="A3905" s="163" t="s">
        <v>222</v>
      </c>
      <c r="B3905" s="163"/>
      <c r="C3905" s="163"/>
      <c r="J3905" s="165"/>
      <c r="K3905" s="166"/>
      <c r="L3905" s="166"/>
    </row>
    <row r="3906">
      <c r="A3906" s="163" t="s">
        <v>222</v>
      </c>
      <c r="B3906" s="163"/>
      <c r="C3906" s="163"/>
      <c r="J3906" s="165"/>
      <c r="K3906" s="166"/>
      <c r="L3906" s="166"/>
    </row>
    <row r="3907">
      <c r="A3907" s="163" t="s">
        <v>222</v>
      </c>
      <c r="B3907" s="163"/>
      <c r="C3907" s="163"/>
      <c r="J3907" s="165"/>
      <c r="K3907" s="166"/>
      <c r="L3907" s="166"/>
    </row>
    <row r="3908">
      <c r="A3908" s="163" t="s">
        <v>222</v>
      </c>
      <c r="B3908" s="163"/>
      <c r="C3908" s="163"/>
      <c r="J3908" s="165"/>
      <c r="K3908" s="166"/>
      <c r="L3908" s="166"/>
    </row>
    <row r="3909">
      <c r="A3909" s="163" t="s">
        <v>222</v>
      </c>
      <c r="B3909" s="163"/>
      <c r="C3909" s="163"/>
      <c r="J3909" s="165"/>
      <c r="K3909" s="166"/>
      <c r="L3909" s="166"/>
    </row>
    <row r="3910">
      <c r="A3910" s="163" t="s">
        <v>222</v>
      </c>
      <c r="B3910" s="163"/>
      <c r="C3910" s="163"/>
      <c r="J3910" s="165"/>
      <c r="K3910" s="166"/>
      <c r="L3910" s="166"/>
    </row>
    <row r="3911">
      <c r="A3911" s="163" t="s">
        <v>222</v>
      </c>
      <c r="B3911" s="163"/>
      <c r="C3911" s="163"/>
      <c r="J3911" s="165"/>
      <c r="K3911" s="166"/>
      <c r="L3911" s="166"/>
    </row>
    <row r="3912">
      <c r="A3912" s="163" t="s">
        <v>222</v>
      </c>
      <c r="B3912" s="163"/>
      <c r="C3912" s="163"/>
      <c r="J3912" s="165"/>
      <c r="K3912" s="166"/>
      <c r="L3912" s="166"/>
    </row>
    <row r="3913">
      <c r="A3913" s="163" t="s">
        <v>222</v>
      </c>
      <c r="B3913" s="163"/>
      <c r="C3913" s="163"/>
      <c r="J3913" s="165"/>
      <c r="K3913" s="166"/>
      <c r="L3913" s="166"/>
    </row>
    <row r="3914">
      <c r="A3914" s="163" t="s">
        <v>222</v>
      </c>
      <c r="B3914" s="163"/>
      <c r="C3914" s="163"/>
      <c r="J3914" s="165"/>
      <c r="K3914" s="166"/>
      <c r="L3914" s="166"/>
    </row>
    <row r="3915">
      <c r="A3915" s="163" t="s">
        <v>222</v>
      </c>
      <c r="B3915" s="163"/>
      <c r="C3915" s="163"/>
      <c r="J3915" s="165"/>
      <c r="K3915" s="166"/>
      <c r="L3915" s="166"/>
    </row>
    <row r="3916">
      <c r="A3916" s="163" t="s">
        <v>222</v>
      </c>
      <c r="B3916" s="163"/>
      <c r="C3916" s="163"/>
      <c r="J3916" s="165"/>
      <c r="K3916" s="166"/>
      <c r="L3916" s="166"/>
    </row>
    <row r="3917">
      <c r="A3917" s="163" t="s">
        <v>222</v>
      </c>
      <c r="B3917" s="163"/>
      <c r="C3917" s="163"/>
      <c r="J3917" s="165"/>
      <c r="K3917" s="166"/>
      <c r="L3917" s="166"/>
    </row>
    <row r="3918">
      <c r="A3918" s="163" t="s">
        <v>222</v>
      </c>
      <c r="B3918" s="163"/>
      <c r="C3918" s="163"/>
      <c r="J3918" s="165"/>
      <c r="K3918" s="166"/>
      <c r="L3918" s="166"/>
    </row>
    <row r="3919">
      <c r="A3919" s="163" t="s">
        <v>222</v>
      </c>
      <c r="B3919" s="163"/>
      <c r="C3919" s="163"/>
      <c r="J3919" s="165"/>
      <c r="K3919" s="166"/>
      <c r="L3919" s="166"/>
    </row>
    <row r="3920">
      <c r="A3920" s="163" t="s">
        <v>222</v>
      </c>
      <c r="B3920" s="163"/>
      <c r="C3920" s="163"/>
      <c r="J3920" s="165"/>
      <c r="K3920" s="166"/>
      <c r="L3920" s="166"/>
    </row>
    <row r="3921">
      <c r="A3921" s="163" t="s">
        <v>222</v>
      </c>
      <c r="B3921" s="163"/>
      <c r="C3921" s="163"/>
      <c r="J3921" s="165"/>
      <c r="K3921" s="166"/>
      <c r="L3921" s="166"/>
    </row>
    <row r="3922">
      <c r="A3922" s="163" t="s">
        <v>222</v>
      </c>
      <c r="B3922" s="163"/>
      <c r="C3922" s="163"/>
      <c r="J3922" s="165"/>
      <c r="K3922" s="166"/>
      <c r="L3922" s="166"/>
    </row>
    <row r="3923">
      <c r="A3923" s="163" t="s">
        <v>222</v>
      </c>
      <c r="B3923" s="163"/>
      <c r="C3923" s="163"/>
      <c r="J3923" s="165"/>
      <c r="K3923" s="166"/>
      <c r="L3923" s="166"/>
    </row>
    <row r="3924">
      <c r="A3924" s="163" t="s">
        <v>222</v>
      </c>
      <c r="B3924" s="163"/>
      <c r="C3924" s="163"/>
      <c r="J3924" s="165"/>
      <c r="K3924" s="166"/>
      <c r="L3924" s="166"/>
    </row>
    <row r="3925">
      <c r="A3925" s="163" t="s">
        <v>222</v>
      </c>
      <c r="B3925" s="163"/>
      <c r="C3925" s="163"/>
      <c r="J3925" s="165"/>
      <c r="K3925" s="166"/>
      <c r="L3925" s="166"/>
    </row>
    <row r="3926">
      <c r="A3926" s="163" t="s">
        <v>222</v>
      </c>
      <c r="B3926" s="163"/>
      <c r="C3926" s="163"/>
      <c r="J3926" s="165"/>
      <c r="K3926" s="166"/>
      <c r="L3926" s="166"/>
    </row>
    <row r="3927">
      <c r="A3927" s="163" t="s">
        <v>222</v>
      </c>
      <c r="B3927" s="163"/>
      <c r="C3927" s="163"/>
      <c r="J3927" s="165"/>
      <c r="K3927" s="166"/>
      <c r="L3927" s="166"/>
    </row>
    <row r="3928">
      <c r="A3928" s="163" t="s">
        <v>222</v>
      </c>
      <c r="B3928" s="163"/>
      <c r="C3928" s="163"/>
      <c r="J3928" s="165"/>
      <c r="K3928" s="166"/>
      <c r="L3928" s="166"/>
    </row>
    <row r="3929">
      <c r="A3929" s="163" t="s">
        <v>222</v>
      </c>
      <c r="B3929" s="163"/>
      <c r="C3929" s="163"/>
      <c r="J3929" s="165"/>
      <c r="K3929" s="166"/>
      <c r="L3929" s="166"/>
    </row>
    <row r="3930">
      <c r="A3930" s="163" t="s">
        <v>222</v>
      </c>
      <c r="B3930" s="163"/>
      <c r="C3930" s="163"/>
      <c r="J3930" s="165"/>
      <c r="K3930" s="166"/>
      <c r="L3930" s="166"/>
    </row>
    <row r="3931">
      <c r="A3931" s="163" t="s">
        <v>222</v>
      </c>
      <c r="B3931" s="163"/>
      <c r="C3931" s="163"/>
      <c r="J3931" s="165"/>
      <c r="K3931" s="166"/>
      <c r="L3931" s="166"/>
    </row>
    <row r="3932">
      <c r="A3932" s="163" t="s">
        <v>222</v>
      </c>
      <c r="B3932" s="163"/>
      <c r="C3932" s="163"/>
      <c r="J3932" s="165"/>
      <c r="K3932" s="166"/>
      <c r="L3932" s="166"/>
    </row>
    <row r="3933">
      <c r="A3933" s="163" t="s">
        <v>222</v>
      </c>
      <c r="B3933" s="163"/>
      <c r="C3933" s="163"/>
      <c r="J3933" s="165"/>
      <c r="K3933" s="166"/>
      <c r="L3933" s="166"/>
    </row>
    <row r="3934">
      <c r="A3934" s="163" t="s">
        <v>222</v>
      </c>
      <c r="B3934" s="163"/>
      <c r="C3934" s="163"/>
      <c r="J3934" s="165"/>
      <c r="K3934" s="166"/>
      <c r="L3934" s="166"/>
    </row>
    <row r="3935">
      <c r="A3935" s="163" t="s">
        <v>222</v>
      </c>
      <c r="B3935" s="163"/>
      <c r="C3935" s="163"/>
      <c r="J3935" s="165"/>
      <c r="K3935" s="166"/>
      <c r="L3935" s="166"/>
    </row>
    <row r="3936">
      <c r="A3936" s="163" t="s">
        <v>222</v>
      </c>
      <c r="B3936" s="163"/>
      <c r="C3936" s="163"/>
      <c r="J3936" s="165"/>
      <c r="K3936" s="166"/>
      <c r="L3936" s="166"/>
    </row>
    <row r="3937">
      <c r="A3937" s="163" t="s">
        <v>222</v>
      </c>
      <c r="B3937" s="163"/>
      <c r="C3937" s="163"/>
      <c r="J3937" s="165"/>
      <c r="K3937" s="166"/>
      <c r="L3937" s="166"/>
    </row>
    <row r="3938">
      <c r="A3938" s="163" t="s">
        <v>222</v>
      </c>
      <c r="B3938" s="163"/>
      <c r="C3938" s="163"/>
      <c r="J3938" s="165"/>
      <c r="K3938" s="166"/>
      <c r="L3938" s="166"/>
    </row>
    <row r="3939">
      <c r="A3939" s="163" t="s">
        <v>222</v>
      </c>
      <c r="B3939" s="163"/>
      <c r="C3939" s="163"/>
      <c r="J3939" s="165"/>
      <c r="K3939" s="166"/>
      <c r="L3939" s="166"/>
    </row>
    <row r="3940">
      <c r="A3940" s="163" t="s">
        <v>222</v>
      </c>
      <c r="B3940" s="163"/>
      <c r="C3940" s="163"/>
      <c r="J3940" s="165"/>
      <c r="K3940" s="166"/>
      <c r="L3940" s="166"/>
    </row>
    <row r="3941">
      <c r="A3941" s="163" t="s">
        <v>222</v>
      </c>
      <c r="B3941" s="163"/>
      <c r="C3941" s="163"/>
      <c r="J3941" s="165"/>
      <c r="K3941" s="166"/>
      <c r="L3941" s="166"/>
    </row>
    <row r="3942">
      <c r="A3942" s="163" t="s">
        <v>222</v>
      </c>
      <c r="B3942" s="163"/>
      <c r="C3942" s="163"/>
      <c r="J3942" s="165"/>
      <c r="K3942" s="166"/>
      <c r="L3942" s="166"/>
    </row>
    <row r="3943">
      <c r="A3943" s="163" t="s">
        <v>222</v>
      </c>
      <c r="B3943" s="163"/>
      <c r="C3943" s="163"/>
      <c r="J3943" s="165"/>
      <c r="K3943" s="166"/>
      <c r="L3943" s="166"/>
    </row>
    <row r="3944">
      <c r="A3944" s="163" t="s">
        <v>222</v>
      </c>
      <c r="B3944" s="163"/>
      <c r="C3944" s="163"/>
      <c r="J3944" s="165"/>
      <c r="K3944" s="166"/>
      <c r="L3944" s="166"/>
    </row>
    <row r="3945">
      <c r="A3945" s="163" t="s">
        <v>222</v>
      </c>
      <c r="B3945" s="163"/>
      <c r="C3945" s="163"/>
      <c r="J3945" s="165"/>
      <c r="K3945" s="166"/>
      <c r="L3945" s="166"/>
    </row>
    <row r="3946">
      <c r="A3946" s="163" t="s">
        <v>222</v>
      </c>
      <c r="B3946" s="163"/>
      <c r="C3946" s="163"/>
      <c r="J3946" s="165"/>
      <c r="K3946" s="166"/>
      <c r="L3946" s="166"/>
    </row>
    <row r="3947">
      <c r="A3947" s="163" t="s">
        <v>222</v>
      </c>
      <c r="B3947" s="163"/>
      <c r="C3947" s="163"/>
      <c r="J3947" s="165"/>
      <c r="K3947" s="166"/>
      <c r="L3947" s="166"/>
    </row>
    <row r="3948">
      <c r="A3948" s="163" t="s">
        <v>222</v>
      </c>
      <c r="B3948" s="163"/>
      <c r="C3948" s="163"/>
      <c r="J3948" s="165"/>
      <c r="K3948" s="166"/>
      <c r="L3948" s="166"/>
    </row>
    <row r="3949">
      <c r="A3949" s="163" t="s">
        <v>222</v>
      </c>
      <c r="B3949" s="163"/>
      <c r="C3949" s="163"/>
      <c r="J3949" s="165"/>
      <c r="K3949" s="166"/>
      <c r="L3949" s="166"/>
    </row>
    <row r="3950">
      <c r="A3950" s="163" t="s">
        <v>222</v>
      </c>
      <c r="B3950" s="163"/>
      <c r="C3950" s="163"/>
      <c r="J3950" s="165"/>
      <c r="K3950" s="166"/>
      <c r="L3950" s="166"/>
    </row>
    <row r="3951">
      <c r="A3951" s="163" t="s">
        <v>222</v>
      </c>
      <c r="B3951" s="163"/>
      <c r="C3951" s="163"/>
      <c r="J3951" s="165"/>
      <c r="K3951" s="166"/>
      <c r="L3951" s="166"/>
    </row>
    <row r="3952">
      <c r="A3952" s="163" t="s">
        <v>222</v>
      </c>
      <c r="B3952" s="163"/>
      <c r="C3952" s="163"/>
      <c r="J3952" s="165"/>
      <c r="K3952" s="166"/>
      <c r="L3952" s="166"/>
    </row>
    <row r="3953">
      <c r="A3953" s="163" t="s">
        <v>222</v>
      </c>
      <c r="B3953" s="163"/>
      <c r="C3953" s="163"/>
      <c r="J3953" s="165"/>
      <c r="K3953" s="166"/>
      <c r="L3953" s="166"/>
    </row>
    <row r="3954">
      <c r="A3954" s="163" t="s">
        <v>222</v>
      </c>
      <c r="B3954" s="163"/>
      <c r="C3954" s="163"/>
      <c r="J3954" s="165"/>
      <c r="K3954" s="166"/>
      <c r="L3954" s="166"/>
    </row>
    <row r="3955">
      <c r="A3955" s="163" t="s">
        <v>222</v>
      </c>
      <c r="B3955" s="163"/>
      <c r="C3955" s="163"/>
      <c r="J3955" s="165"/>
      <c r="K3955" s="166"/>
      <c r="L3955" s="166"/>
    </row>
    <row r="3956">
      <c r="A3956" s="163" t="s">
        <v>222</v>
      </c>
      <c r="B3956" s="163"/>
      <c r="C3956" s="163"/>
      <c r="J3956" s="165"/>
      <c r="K3956" s="166"/>
      <c r="L3956" s="166"/>
    </row>
    <row r="3957">
      <c r="A3957" s="163" t="s">
        <v>222</v>
      </c>
      <c r="B3957" s="163"/>
      <c r="C3957" s="163"/>
      <c r="J3957" s="165"/>
      <c r="K3957" s="166"/>
      <c r="L3957" s="166"/>
    </row>
    <row r="3958">
      <c r="A3958" s="163" t="s">
        <v>222</v>
      </c>
      <c r="B3958" s="163"/>
      <c r="C3958" s="163"/>
      <c r="J3958" s="165"/>
      <c r="K3958" s="166"/>
      <c r="L3958" s="166"/>
    </row>
    <row r="3959">
      <c r="A3959" s="163" t="s">
        <v>222</v>
      </c>
      <c r="B3959" s="163"/>
      <c r="C3959" s="163"/>
      <c r="J3959" s="165"/>
      <c r="K3959" s="166"/>
      <c r="L3959" s="166"/>
    </row>
    <row r="3960">
      <c r="A3960" s="163" t="s">
        <v>222</v>
      </c>
      <c r="B3960" s="163"/>
      <c r="C3960" s="163"/>
      <c r="J3960" s="165"/>
      <c r="K3960" s="166"/>
      <c r="L3960" s="166"/>
    </row>
    <row r="3961">
      <c r="A3961" s="163" t="s">
        <v>222</v>
      </c>
      <c r="B3961" s="163"/>
      <c r="C3961" s="163"/>
      <c r="J3961" s="165"/>
      <c r="K3961" s="166"/>
      <c r="L3961" s="166"/>
    </row>
    <row r="3962">
      <c r="A3962" s="163" t="s">
        <v>222</v>
      </c>
      <c r="B3962" s="163"/>
      <c r="C3962" s="163"/>
      <c r="J3962" s="165"/>
      <c r="K3962" s="166"/>
      <c r="L3962" s="166"/>
    </row>
    <row r="3963">
      <c r="A3963" s="163" t="s">
        <v>222</v>
      </c>
      <c r="B3963" s="163"/>
      <c r="C3963" s="163"/>
      <c r="J3963" s="165"/>
      <c r="K3963" s="166"/>
      <c r="L3963" s="166"/>
    </row>
    <row r="3964">
      <c r="A3964" s="163" t="s">
        <v>222</v>
      </c>
      <c r="B3964" s="163"/>
      <c r="C3964" s="163"/>
      <c r="J3964" s="165"/>
      <c r="K3964" s="166"/>
      <c r="L3964" s="166"/>
    </row>
    <row r="3965">
      <c r="A3965" s="163" t="s">
        <v>222</v>
      </c>
      <c r="B3965" s="163"/>
      <c r="C3965" s="163"/>
      <c r="J3965" s="165"/>
      <c r="K3965" s="166"/>
      <c r="L3965" s="166"/>
    </row>
    <row r="3966">
      <c r="A3966" s="163" t="s">
        <v>222</v>
      </c>
      <c r="B3966" s="163"/>
      <c r="C3966" s="163"/>
      <c r="J3966" s="165"/>
      <c r="K3966" s="166"/>
      <c r="L3966" s="166"/>
    </row>
    <row r="3967">
      <c r="A3967" s="163" t="s">
        <v>222</v>
      </c>
      <c r="B3967" s="163"/>
      <c r="C3967" s="163"/>
      <c r="J3967" s="165"/>
      <c r="K3967" s="166"/>
      <c r="L3967" s="166"/>
    </row>
    <row r="3968">
      <c r="A3968" s="163" t="s">
        <v>222</v>
      </c>
      <c r="B3968" s="163"/>
      <c r="C3968" s="163"/>
      <c r="J3968" s="165"/>
      <c r="K3968" s="166"/>
      <c r="L3968" s="166"/>
    </row>
    <row r="3969">
      <c r="A3969" s="163" t="s">
        <v>222</v>
      </c>
      <c r="B3969" s="163"/>
      <c r="C3969" s="163"/>
      <c r="J3969" s="165"/>
      <c r="K3969" s="166"/>
      <c r="L3969" s="166"/>
    </row>
    <row r="3970">
      <c r="A3970" s="163" t="s">
        <v>222</v>
      </c>
      <c r="B3970" s="163"/>
      <c r="C3970" s="163"/>
      <c r="J3970" s="165"/>
      <c r="K3970" s="166"/>
      <c r="L3970" s="166"/>
    </row>
    <row r="3971">
      <c r="A3971" s="163" t="s">
        <v>222</v>
      </c>
      <c r="B3971" s="163"/>
      <c r="C3971" s="163"/>
      <c r="J3971" s="165"/>
      <c r="K3971" s="166"/>
      <c r="L3971" s="166"/>
    </row>
    <row r="3972">
      <c r="A3972" s="163" t="s">
        <v>222</v>
      </c>
      <c r="B3972" s="163"/>
      <c r="C3972" s="163"/>
      <c r="J3972" s="165"/>
      <c r="K3972" s="166"/>
      <c r="L3972" s="166"/>
    </row>
    <row r="3973">
      <c r="A3973" s="163" t="s">
        <v>222</v>
      </c>
      <c r="B3973" s="163"/>
      <c r="C3973" s="163"/>
      <c r="J3973" s="165"/>
      <c r="K3973" s="166"/>
      <c r="L3973" s="166"/>
    </row>
    <row r="3974">
      <c r="A3974" s="163" t="s">
        <v>222</v>
      </c>
      <c r="B3974" s="163"/>
      <c r="C3974" s="163"/>
      <c r="J3974" s="165"/>
      <c r="K3974" s="166"/>
      <c r="L3974" s="166"/>
    </row>
    <row r="3975">
      <c r="A3975" s="163" t="s">
        <v>222</v>
      </c>
      <c r="B3975" s="163"/>
      <c r="C3975" s="163"/>
      <c r="J3975" s="165"/>
      <c r="K3975" s="166"/>
      <c r="L3975" s="166"/>
    </row>
    <row r="3976">
      <c r="A3976" s="163" t="s">
        <v>222</v>
      </c>
      <c r="B3976" s="163"/>
      <c r="C3976" s="163"/>
      <c r="J3976" s="165"/>
      <c r="K3976" s="166"/>
      <c r="L3976" s="166"/>
    </row>
    <row r="3977">
      <c r="A3977" s="163" t="s">
        <v>222</v>
      </c>
      <c r="B3977" s="163"/>
      <c r="C3977" s="163"/>
      <c r="J3977" s="165"/>
      <c r="K3977" s="166"/>
      <c r="L3977" s="166"/>
    </row>
    <row r="3978">
      <c r="A3978" s="163" t="s">
        <v>222</v>
      </c>
      <c r="B3978" s="163"/>
      <c r="C3978" s="163"/>
      <c r="J3978" s="165"/>
      <c r="K3978" s="166"/>
      <c r="L3978" s="166"/>
    </row>
    <row r="3979">
      <c r="A3979" s="163" t="s">
        <v>222</v>
      </c>
      <c r="B3979" s="163"/>
      <c r="C3979" s="163"/>
      <c r="J3979" s="165"/>
      <c r="K3979" s="166"/>
      <c r="L3979" s="166"/>
    </row>
    <row r="3980">
      <c r="A3980" s="163" t="s">
        <v>222</v>
      </c>
      <c r="B3980" s="163"/>
      <c r="C3980" s="163"/>
      <c r="J3980" s="165"/>
      <c r="K3980" s="166"/>
      <c r="L3980" s="166"/>
    </row>
    <row r="3981">
      <c r="A3981" s="163" t="s">
        <v>222</v>
      </c>
      <c r="B3981" s="163"/>
      <c r="C3981" s="163"/>
      <c r="J3981" s="165"/>
      <c r="K3981" s="166"/>
      <c r="L3981" s="166"/>
    </row>
    <row r="3982">
      <c r="A3982" s="163" t="s">
        <v>222</v>
      </c>
      <c r="B3982" s="163"/>
      <c r="C3982" s="163"/>
      <c r="J3982" s="165"/>
      <c r="K3982" s="166"/>
      <c r="L3982" s="166"/>
    </row>
    <row r="3983">
      <c r="A3983" s="163" t="s">
        <v>222</v>
      </c>
      <c r="B3983" s="163"/>
      <c r="C3983" s="163"/>
      <c r="J3983" s="165"/>
      <c r="K3983" s="166"/>
      <c r="L3983" s="166"/>
    </row>
    <row r="3984">
      <c r="A3984" s="163" t="s">
        <v>222</v>
      </c>
      <c r="B3984" s="163"/>
      <c r="C3984" s="163"/>
      <c r="J3984" s="165"/>
      <c r="K3984" s="166"/>
      <c r="L3984" s="166"/>
    </row>
    <row r="3985">
      <c r="A3985" s="163" t="s">
        <v>222</v>
      </c>
      <c r="B3985" s="163"/>
      <c r="C3985" s="163"/>
      <c r="J3985" s="165"/>
      <c r="K3985" s="166"/>
      <c r="L3985" s="166"/>
    </row>
    <row r="3986">
      <c r="A3986" s="163" t="s">
        <v>222</v>
      </c>
      <c r="B3986" s="163"/>
      <c r="C3986" s="163"/>
      <c r="J3986" s="165"/>
      <c r="K3986" s="166"/>
      <c r="L3986" s="166"/>
    </row>
    <row r="3987">
      <c r="A3987" s="163" t="s">
        <v>222</v>
      </c>
      <c r="B3987" s="163"/>
      <c r="C3987" s="163"/>
      <c r="J3987" s="165"/>
      <c r="K3987" s="166"/>
      <c r="L3987" s="166"/>
    </row>
    <row r="3988">
      <c r="A3988" s="163" t="s">
        <v>222</v>
      </c>
      <c r="B3988" s="163"/>
      <c r="C3988" s="163"/>
      <c r="J3988" s="165"/>
      <c r="K3988" s="166"/>
      <c r="L3988" s="166"/>
    </row>
    <row r="3989">
      <c r="A3989" s="163" t="s">
        <v>222</v>
      </c>
      <c r="B3989" s="163"/>
      <c r="C3989" s="163"/>
      <c r="J3989" s="165"/>
      <c r="K3989" s="166"/>
      <c r="L3989" s="166"/>
    </row>
    <row r="3990">
      <c r="A3990" s="163" t="s">
        <v>222</v>
      </c>
      <c r="B3990" s="163"/>
      <c r="C3990" s="163"/>
      <c r="J3990" s="165"/>
      <c r="K3990" s="166"/>
      <c r="L3990" s="166"/>
    </row>
    <row r="3991">
      <c r="A3991" s="163" t="s">
        <v>222</v>
      </c>
      <c r="B3991" s="163"/>
      <c r="C3991" s="163"/>
      <c r="J3991" s="165"/>
      <c r="K3991" s="166"/>
      <c r="L3991" s="166"/>
    </row>
    <row r="3992">
      <c r="A3992" s="163" t="s">
        <v>222</v>
      </c>
      <c r="B3992" s="163"/>
      <c r="C3992" s="163"/>
      <c r="J3992" s="165"/>
      <c r="K3992" s="166"/>
      <c r="L3992" s="166"/>
    </row>
    <row r="3993">
      <c r="A3993" s="163" t="s">
        <v>222</v>
      </c>
      <c r="B3993" s="163"/>
      <c r="C3993" s="163"/>
      <c r="J3993" s="165"/>
      <c r="K3993" s="166"/>
      <c r="L3993" s="166"/>
    </row>
    <row r="3994">
      <c r="A3994" s="163" t="s">
        <v>222</v>
      </c>
      <c r="B3994" s="163"/>
      <c r="C3994" s="163"/>
      <c r="J3994" s="165"/>
      <c r="K3994" s="166"/>
      <c r="L3994" s="166"/>
    </row>
    <row r="3995">
      <c r="A3995" s="163" t="s">
        <v>222</v>
      </c>
      <c r="B3995" s="163"/>
      <c r="C3995" s="163"/>
      <c r="J3995" s="165"/>
      <c r="K3995" s="166"/>
      <c r="L3995" s="166"/>
    </row>
    <row r="3996">
      <c r="A3996" s="163" t="s">
        <v>222</v>
      </c>
      <c r="B3996" s="163"/>
      <c r="C3996" s="163"/>
      <c r="J3996" s="165"/>
      <c r="K3996" s="166"/>
      <c r="L3996" s="166"/>
    </row>
    <row r="3997">
      <c r="A3997" s="163" t="s">
        <v>222</v>
      </c>
      <c r="B3997" s="163"/>
      <c r="C3997" s="163"/>
      <c r="J3997" s="165"/>
      <c r="K3997" s="166"/>
      <c r="L3997" s="166"/>
    </row>
    <row r="3998">
      <c r="A3998" s="163" t="s">
        <v>222</v>
      </c>
      <c r="B3998" s="163"/>
      <c r="C3998" s="163"/>
      <c r="J3998" s="165"/>
      <c r="K3998" s="166"/>
      <c r="L3998" s="166"/>
    </row>
    <row r="3999">
      <c r="A3999" s="163" t="s">
        <v>222</v>
      </c>
      <c r="B3999" s="163"/>
      <c r="C3999" s="163"/>
      <c r="J3999" s="165"/>
      <c r="K3999" s="166"/>
      <c r="L3999" s="166"/>
    </row>
    <row r="4000">
      <c r="A4000" s="163" t="s">
        <v>222</v>
      </c>
      <c r="B4000" s="163"/>
      <c r="C4000" s="163"/>
      <c r="J4000" s="165"/>
      <c r="K4000" s="166"/>
      <c r="L4000" s="166"/>
    </row>
    <row r="4001">
      <c r="A4001" s="163" t="s">
        <v>222</v>
      </c>
      <c r="B4001" s="163"/>
      <c r="C4001" s="163"/>
      <c r="J4001" s="165"/>
      <c r="K4001" s="166"/>
      <c r="L4001" s="166"/>
    </row>
    <row r="4002">
      <c r="A4002" s="163" t="s">
        <v>222</v>
      </c>
      <c r="B4002" s="163"/>
      <c r="C4002" s="163"/>
      <c r="J4002" s="165"/>
      <c r="K4002" s="166"/>
      <c r="L4002" s="166"/>
    </row>
    <row r="4003">
      <c r="A4003" s="163" t="s">
        <v>222</v>
      </c>
      <c r="B4003" s="163"/>
      <c r="C4003" s="163"/>
      <c r="J4003" s="165"/>
      <c r="K4003" s="166"/>
      <c r="L4003" s="166"/>
    </row>
    <row r="4004">
      <c r="A4004" s="163" t="s">
        <v>222</v>
      </c>
      <c r="B4004" s="163"/>
      <c r="C4004" s="163"/>
      <c r="J4004" s="165"/>
      <c r="K4004" s="166"/>
      <c r="L4004" s="166"/>
    </row>
    <row r="4005">
      <c r="A4005" s="163" t="s">
        <v>222</v>
      </c>
      <c r="B4005" s="163"/>
      <c r="C4005" s="163"/>
      <c r="J4005" s="165"/>
      <c r="K4005" s="166"/>
      <c r="L4005" s="166"/>
    </row>
    <row r="4006">
      <c r="A4006" s="163" t="s">
        <v>222</v>
      </c>
      <c r="B4006" s="163"/>
      <c r="C4006" s="163"/>
      <c r="J4006" s="165"/>
      <c r="K4006" s="166"/>
      <c r="L4006" s="166"/>
    </row>
    <row r="4007">
      <c r="A4007" s="163" t="s">
        <v>222</v>
      </c>
      <c r="B4007" s="163"/>
      <c r="C4007" s="163"/>
      <c r="J4007" s="165"/>
      <c r="K4007" s="166"/>
      <c r="L4007" s="166"/>
    </row>
    <row r="4008">
      <c r="A4008" s="163" t="s">
        <v>222</v>
      </c>
      <c r="B4008" s="163"/>
      <c r="C4008" s="163"/>
      <c r="J4008" s="165"/>
      <c r="K4008" s="166"/>
      <c r="L4008" s="166"/>
    </row>
    <row r="4009">
      <c r="A4009" s="163" t="s">
        <v>222</v>
      </c>
      <c r="B4009" s="163"/>
      <c r="C4009" s="163"/>
      <c r="J4009" s="165"/>
      <c r="K4009" s="166"/>
      <c r="L4009" s="166"/>
    </row>
    <row r="4010">
      <c r="A4010" s="163" t="s">
        <v>222</v>
      </c>
      <c r="B4010" s="163"/>
      <c r="C4010" s="163"/>
      <c r="J4010" s="165"/>
      <c r="K4010" s="166"/>
      <c r="L4010" s="166"/>
    </row>
    <row r="4011">
      <c r="A4011" s="163" t="s">
        <v>222</v>
      </c>
      <c r="B4011" s="163"/>
      <c r="C4011" s="163"/>
      <c r="J4011" s="165"/>
      <c r="K4011" s="166"/>
      <c r="L4011" s="166"/>
    </row>
    <row r="4012">
      <c r="A4012" s="163" t="s">
        <v>222</v>
      </c>
      <c r="B4012" s="163"/>
      <c r="C4012" s="163"/>
      <c r="J4012" s="165"/>
      <c r="K4012" s="166"/>
      <c r="L4012" s="166"/>
    </row>
    <row r="4013">
      <c r="A4013" s="163" t="s">
        <v>222</v>
      </c>
      <c r="B4013" s="163"/>
      <c r="C4013" s="163"/>
      <c r="J4013" s="165"/>
      <c r="K4013" s="166"/>
      <c r="L4013" s="166"/>
    </row>
    <row r="4014">
      <c r="A4014" s="163" t="s">
        <v>222</v>
      </c>
      <c r="B4014" s="163"/>
      <c r="C4014" s="163"/>
      <c r="J4014" s="165"/>
      <c r="K4014" s="166"/>
      <c r="L4014" s="166"/>
    </row>
    <row r="4015">
      <c r="A4015" s="163" t="s">
        <v>222</v>
      </c>
      <c r="B4015" s="163"/>
      <c r="C4015" s="163"/>
      <c r="J4015" s="165"/>
      <c r="K4015" s="166"/>
      <c r="L4015" s="166"/>
    </row>
    <row r="4016">
      <c r="A4016" s="163" t="s">
        <v>222</v>
      </c>
      <c r="B4016" s="163"/>
      <c r="C4016" s="163"/>
      <c r="J4016" s="165"/>
      <c r="K4016" s="166"/>
      <c r="L4016" s="166"/>
    </row>
    <row r="4017">
      <c r="A4017" s="163" t="s">
        <v>222</v>
      </c>
      <c r="B4017" s="163"/>
      <c r="C4017" s="163"/>
      <c r="J4017" s="165"/>
      <c r="K4017" s="166"/>
      <c r="L4017" s="166"/>
    </row>
    <row r="4018">
      <c r="A4018" s="163" t="s">
        <v>222</v>
      </c>
      <c r="B4018" s="163"/>
      <c r="C4018" s="163"/>
      <c r="J4018" s="165"/>
      <c r="K4018" s="166"/>
      <c r="L4018" s="166"/>
    </row>
    <row r="4019">
      <c r="A4019" s="163" t="s">
        <v>222</v>
      </c>
      <c r="B4019" s="163"/>
      <c r="C4019" s="163"/>
      <c r="J4019" s="165"/>
      <c r="K4019" s="166"/>
      <c r="L4019" s="166"/>
    </row>
    <row r="4020">
      <c r="A4020" s="163" t="s">
        <v>222</v>
      </c>
      <c r="B4020" s="163"/>
      <c r="C4020" s="163"/>
      <c r="J4020" s="165"/>
      <c r="K4020" s="166"/>
      <c r="L4020" s="166"/>
    </row>
    <row r="4021">
      <c r="A4021" s="163" t="s">
        <v>222</v>
      </c>
      <c r="B4021" s="163"/>
      <c r="C4021" s="163"/>
      <c r="J4021" s="165"/>
      <c r="K4021" s="166"/>
      <c r="L4021" s="166"/>
    </row>
    <row r="4022">
      <c r="A4022" s="163" t="s">
        <v>222</v>
      </c>
      <c r="B4022" s="163"/>
      <c r="C4022" s="163"/>
      <c r="J4022" s="165"/>
      <c r="K4022" s="166"/>
      <c r="L4022" s="166"/>
    </row>
    <row r="4023">
      <c r="A4023" s="163" t="s">
        <v>222</v>
      </c>
      <c r="B4023" s="163"/>
      <c r="C4023" s="163"/>
      <c r="J4023" s="165"/>
      <c r="K4023" s="166"/>
      <c r="L4023" s="166"/>
    </row>
    <row r="4024">
      <c r="A4024" s="163" t="s">
        <v>222</v>
      </c>
      <c r="B4024" s="163"/>
      <c r="C4024" s="163"/>
      <c r="J4024" s="165"/>
      <c r="K4024" s="166"/>
      <c r="L4024" s="166"/>
    </row>
    <row r="4025">
      <c r="A4025" s="163" t="s">
        <v>222</v>
      </c>
      <c r="B4025" s="163"/>
      <c r="C4025" s="163"/>
      <c r="J4025" s="165"/>
      <c r="K4025" s="166"/>
      <c r="L4025" s="166"/>
    </row>
    <row r="4026">
      <c r="A4026" s="163" t="s">
        <v>222</v>
      </c>
      <c r="B4026" s="163"/>
      <c r="C4026" s="163"/>
      <c r="J4026" s="165"/>
      <c r="K4026" s="166"/>
      <c r="L4026" s="166"/>
    </row>
    <row r="4027">
      <c r="A4027" s="163" t="s">
        <v>222</v>
      </c>
      <c r="B4027" s="163"/>
      <c r="C4027" s="163"/>
      <c r="J4027" s="165"/>
      <c r="K4027" s="166"/>
      <c r="L4027" s="166"/>
    </row>
    <row r="4028">
      <c r="A4028" s="163" t="s">
        <v>222</v>
      </c>
      <c r="B4028" s="163"/>
      <c r="C4028" s="163"/>
      <c r="J4028" s="165"/>
      <c r="K4028" s="166"/>
      <c r="L4028" s="166"/>
    </row>
    <row r="4029">
      <c r="A4029" s="163" t="s">
        <v>222</v>
      </c>
      <c r="B4029" s="163"/>
      <c r="C4029" s="163"/>
      <c r="J4029" s="165"/>
      <c r="K4029" s="166"/>
      <c r="L4029" s="166"/>
    </row>
    <row r="4030">
      <c r="A4030" s="163" t="s">
        <v>222</v>
      </c>
      <c r="B4030" s="163"/>
      <c r="C4030" s="163"/>
      <c r="J4030" s="165"/>
      <c r="K4030" s="166"/>
      <c r="L4030" s="166"/>
    </row>
    <row r="4031">
      <c r="A4031" s="163" t="s">
        <v>222</v>
      </c>
      <c r="B4031" s="163"/>
      <c r="C4031" s="163"/>
      <c r="J4031" s="165"/>
      <c r="K4031" s="166"/>
      <c r="L4031" s="166"/>
    </row>
    <row r="4032">
      <c r="A4032" s="163" t="s">
        <v>222</v>
      </c>
      <c r="B4032" s="163"/>
      <c r="C4032" s="163"/>
      <c r="J4032" s="165"/>
      <c r="K4032" s="166"/>
      <c r="L4032" s="166"/>
    </row>
    <row r="4033">
      <c r="A4033" s="163" t="s">
        <v>222</v>
      </c>
      <c r="B4033" s="163"/>
      <c r="C4033" s="163"/>
      <c r="J4033" s="165"/>
      <c r="K4033" s="166"/>
      <c r="L4033" s="166"/>
    </row>
    <row r="4034">
      <c r="A4034" s="163" t="s">
        <v>222</v>
      </c>
      <c r="B4034" s="163"/>
      <c r="C4034" s="163"/>
      <c r="J4034" s="165"/>
      <c r="K4034" s="166"/>
      <c r="L4034" s="166"/>
    </row>
    <row r="4035">
      <c r="A4035" s="163" t="s">
        <v>222</v>
      </c>
      <c r="B4035" s="163"/>
      <c r="C4035" s="163"/>
      <c r="J4035" s="165"/>
      <c r="K4035" s="166"/>
      <c r="L4035" s="166"/>
    </row>
    <row r="4036">
      <c r="A4036" s="163" t="s">
        <v>222</v>
      </c>
      <c r="B4036" s="163"/>
      <c r="C4036" s="163"/>
      <c r="J4036" s="165"/>
      <c r="K4036" s="166"/>
      <c r="L4036" s="166"/>
    </row>
    <row r="4037">
      <c r="A4037" s="163" t="s">
        <v>222</v>
      </c>
      <c r="B4037" s="163"/>
      <c r="C4037" s="163"/>
      <c r="J4037" s="165"/>
      <c r="K4037" s="166"/>
      <c r="L4037" s="166"/>
    </row>
    <row r="4038">
      <c r="A4038" s="163" t="s">
        <v>222</v>
      </c>
      <c r="B4038" s="163"/>
      <c r="C4038" s="163"/>
      <c r="J4038" s="165"/>
      <c r="K4038" s="166"/>
      <c r="L4038" s="166"/>
    </row>
    <row r="4039">
      <c r="A4039" s="163" t="s">
        <v>222</v>
      </c>
      <c r="B4039" s="163"/>
      <c r="C4039" s="163"/>
      <c r="J4039" s="165"/>
      <c r="K4039" s="166"/>
      <c r="L4039" s="166"/>
    </row>
    <row r="4040">
      <c r="A4040" s="163" t="s">
        <v>222</v>
      </c>
      <c r="B4040" s="163"/>
      <c r="C4040" s="163"/>
      <c r="J4040" s="165"/>
      <c r="K4040" s="166"/>
      <c r="L4040" s="166"/>
    </row>
    <row r="4041">
      <c r="A4041" s="163" t="s">
        <v>222</v>
      </c>
      <c r="B4041" s="163"/>
      <c r="C4041" s="163"/>
      <c r="J4041" s="165"/>
      <c r="K4041" s="166"/>
      <c r="L4041" s="166"/>
    </row>
    <row r="4042">
      <c r="A4042" s="163" t="s">
        <v>222</v>
      </c>
      <c r="B4042" s="163"/>
      <c r="C4042" s="163"/>
      <c r="J4042" s="165"/>
      <c r="K4042" s="166"/>
      <c r="L4042" s="166"/>
    </row>
    <row r="4043">
      <c r="A4043" s="163" t="s">
        <v>222</v>
      </c>
      <c r="B4043" s="163"/>
      <c r="C4043" s="163"/>
      <c r="J4043" s="165"/>
      <c r="K4043" s="166"/>
      <c r="L4043" s="166"/>
    </row>
    <row r="4044">
      <c r="A4044" s="163" t="s">
        <v>222</v>
      </c>
      <c r="B4044" s="163"/>
      <c r="C4044" s="163"/>
      <c r="J4044" s="165"/>
      <c r="K4044" s="166"/>
      <c r="L4044" s="166"/>
    </row>
    <row r="4045">
      <c r="A4045" s="163" t="s">
        <v>222</v>
      </c>
      <c r="B4045" s="163"/>
      <c r="C4045" s="163"/>
      <c r="J4045" s="165"/>
      <c r="K4045" s="166"/>
      <c r="L4045" s="166"/>
    </row>
    <row r="4046">
      <c r="A4046" s="163" t="s">
        <v>222</v>
      </c>
      <c r="B4046" s="163"/>
      <c r="C4046" s="163"/>
      <c r="J4046" s="165"/>
      <c r="K4046" s="166"/>
      <c r="L4046" s="166"/>
    </row>
    <row r="4047">
      <c r="A4047" s="163" t="s">
        <v>222</v>
      </c>
      <c r="B4047" s="163"/>
      <c r="C4047" s="163"/>
      <c r="J4047" s="165"/>
      <c r="K4047" s="166"/>
      <c r="L4047" s="166"/>
    </row>
    <row r="4048">
      <c r="A4048" s="163" t="s">
        <v>222</v>
      </c>
      <c r="B4048" s="163"/>
      <c r="C4048" s="163"/>
      <c r="J4048" s="165"/>
      <c r="K4048" s="166"/>
      <c r="L4048" s="166"/>
    </row>
    <row r="4049">
      <c r="A4049" s="163" t="s">
        <v>222</v>
      </c>
      <c r="B4049" s="163"/>
      <c r="C4049" s="163"/>
      <c r="J4049" s="165"/>
      <c r="K4049" s="166"/>
      <c r="L4049" s="166"/>
    </row>
    <row r="4050">
      <c r="A4050" s="163" t="s">
        <v>222</v>
      </c>
      <c r="B4050" s="163"/>
      <c r="C4050" s="163"/>
      <c r="J4050" s="165"/>
      <c r="K4050" s="166"/>
      <c r="L4050" s="166"/>
    </row>
    <row r="4051">
      <c r="A4051" s="163" t="s">
        <v>222</v>
      </c>
      <c r="B4051" s="163"/>
      <c r="C4051" s="163"/>
      <c r="J4051" s="165"/>
      <c r="K4051" s="166"/>
      <c r="L4051" s="166"/>
    </row>
    <row r="4052">
      <c r="A4052" s="163" t="s">
        <v>222</v>
      </c>
      <c r="B4052" s="163"/>
      <c r="C4052" s="163"/>
      <c r="J4052" s="165"/>
      <c r="K4052" s="166"/>
      <c r="L4052" s="166"/>
    </row>
    <row r="4053">
      <c r="A4053" s="163" t="s">
        <v>222</v>
      </c>
      <c r="B4053" s="163"/>
      <c r="C4053" s="163"/>
      <c r="J4053" s="165"/>
      <c r="K4053" s="166"/>
      <c r="L4053" s="166"/>
    </row>
    <row r="4054">
      <c r="A4054" s="163" t="s">
        <v>222</v>
      </c>
      <c r="B4054" s="163"/>
      <c r="C4054" s="163"/>
      <c r="J4054" s="165"/>
      <c r="K4054" s="166"/>
      <c r="L4054" s="166"/>
    </row>
    <row r="4055">
      <c r="A4055" s="163" t="s">
        <v>222</v>
      </c>
      <c r="B4055" s="163"/>
      <c r="C4055" s="163"/>
      <c r="J4055" s="165"/>
      <c r="K4055" s="166"/>
      <c r="L4055" s="166"/>
    </row>
    <row r="4056">
      <c r="A4056" s="163" t="s">
        <v>222</v>
      </c>
      <c r="B4056" s="163"/>
      <c r="C4056" s="163"/>
      <c r="J4056" s="165"/>
      <c r="K4056" s="166"/>
      <c r="L4056" s="166"/>
    </row>
    <row r="4057">
      <c r="A4057" s="163" t="s">
        <v>222</v>
      </c>
      <c r="B4057" s="163"/>
      <c r="C4057" s="163"/>
      <c r="J4057" s="165"/>
      <c r="K4057" s="166"/>
      <c r="L4057" s="166"/>
    </row>
    <row r="4058">
      <c r="A4058" s="163" t="s">
        <v>222</v>
      </c>
      <c r="B4058" s="163"/>
      <c r="C4058" s="163"/>
      <c r="J4058" s="165"/>
      <c r="K4058" s="166"/>
      <c r="L4058" s="166"/>
    </row>
    <row r="4059">
      <c r="A4059" s="163" t="s">
        <v>222</v>
      </c>
      <c r="B4059" s="163"/>
      <c r="C4059" s="163"/>
      <c r="J4059" s="165"/>
      <c r="K4059" s="166"/>
      <c r="L4059" s="166"/>
    </row>
    <row r="4060">
      <c r="A4060" s="163" t="s">
        <v>222</v>
      </c>
      <c r="B4060" s="163"/>
      <c r="C4060" s="163"/>
      <c r="J4060" s="165"/>
      <c r="K4060" s="166"/>
      <c r="L4060" s="166"/>
    </row>
    <row r="4061">
      <c r="A4061" s="163" t="s">
        <v>222</v>
      </c>
      <c r="B4061" s="163"/>
      <c r="C4061" s="163"/>
      <c r="J4061" s="165"/>
      <c r="K4061" s="166"/>
      <c r="L4061" s="166"/>
    </row>
    <row r="4062">
      <c r="A4062" s="163" t="s">
        <v>222</v>
      </c>
      <c r="B4062" s="163"/>
      <c r="C4062" s="163"/>
      <c r="J4062" s="165"/>
      <c r="K4062" s="166"/>
      <c r="L4062" s="166"/>
    </row>
    <row r="4063">
      <c r="A4063" s="163" t="s">
        <v>222</v>
      </c>
      <c r="B4063" s="163"/>
      <c r="C4063" s="163"/>
      <c r="J4063" s="165"/>
      <c r="K4063" s="166"/>
      <c r="L4063" s="166"/>
    </row>
    <row r="4064">
      <c r="A4064" s="163" t="s">
        <v>222</v>
      </c>
      <c r="B4064" s="163"/>
      <c r="C4064" s="163"/>
      <c r="J4064" s="165"/>
      <c r="K4064" s="166"/>
      <c r="L4064" s="166"/>
    </row>
    <row r="4065">
      <c r="A4065" s="163" t="s">
        <v>222</v>
      </c>
      <c r="B4065" s="163"/>
      <c r="C4065" s="163"/>
      <c r="J4065" s="165"/>
      <c r="K4065" s="166"/>
      <c r="L4065" s="166"/>
    </row>
    <row r="4066">
      <c r="A4066" s="163" t="s">
        <v>222</v>
      </c>
      <c r="B4066" s="163"/>
      <c r="C4066" s="163"/>
      <c r="J4066" s="165"/>
      <c r="K4066" s="166"/>
      <c r="L4066" s="166"/>
    </row>
    <row r="4067">
      <c r="A4067" s="163" t="s">
        <v>222</v>
      </c>
      <c r="B4067" s="163"/>
      <c r="C4067" s="163"/>
      <c r="J4067" s="165"/>
      <c r="K4067" s="166"/>
      <c r="L4067" s="166"/>
    </row>
    <row r="4068">
      <c r="A4068" s="163" t="s">
        <v>222</v>
      </c>
      <c r="B4068" s="163"/>
      <c r="C4068" s="163"/>
      <c r="J4068" s="165"/>
      <c r="K4068" s="166"/>
      <c r="L4068" s="166"/>
    </row>
    <row r="4069">
      <c r="A4069" s="163" t="s">
        <v>222</v>
      </c>
      <c r="B4069" s="163"/>
      <c r="C4069" s="163"/>
      <c r="J4069" s="165"/>
      <c r="K4069" s="166"/>
      <c r="L4069" s="166"/>
    </row>
    <row r="4070">
      <c r="A4070" s="163" t="s">
        <v>222</v>
      </c>
      <c r="B4070" s="163"/>
      <c r="C4070" s="163"/>
      <c r="J4070" s="165"/>
      <c r="K4070" s="166"/>
      <c r="L4070" s="166"/>
    </row>
    <row r="4071">
      <c r="A4071" s="163" t="s">
        <v>222</v>
      </c>
      <c r="B4071" s="163"/>
      <c r="C4071" s="163"/>
      <c r="J4071" s="165"/>
      <c r="K4071" s="166"/>
      <c r="L4071" s="166"/>
    </row>
    <row r="4072">
      <c r="A4072" s="163" t="s">
        <v>222</v>
      </c>
      <c r="B4072" s="163"/>
      <c r="C4072" s="163"/>
      <c r="J4072" s="165"/>
      <c r="K4072" s="166"/>
      <c r="L4072" s="166"/>
    </row>
    <row r="4073">
      <c r="A4073" s="163" t="s">
        <v>222</v>
      </c>
      <c r="B4073" s="163"/>
      <c r="C4073" s="163"/>
      <c r="J4073" s="165"/>
      <c r="K4073" s="166"/>
      <c r="L4073" s="166"/>
    </row>
    <row r="4074">
      <c r="A4074" s="163" t="s">
        <v>222</v>
      </c>
      <c r="B4074" s="163"/>
      <c r="C4074" s="163"/>
      <c r="J4074" s="165"/>
      <c r="K4074" s="166"/>
      <c r="L4074" s="166"/>
    </row>
    <row r="4075">
      <c r="A4075" s="163" t="s">
        <v>222</v>
      </c>
      <c r="B4075" s="163"/>
      <c r="C4075" s="163"/>
      <c r="J4075" s="165"/>
      <c r="K4075" s="166"/>
      <c r="L4075" s="166"/>
    </row>
    <row r="4076">
      <c r="A4076" s="163" t="s">
        <v>222</v>
      </c>
      <c r="B4076" s="163"/>
      <c r="C4076" s="163"/>
      <c r="J4076" s="165"/>
      <c r="K4076" s="166"/>
      <c r="L4076" s="166"/>
    </row>
    <row r="4077">
      <c r="A4077" s="163" t="s">
        <v>222</v>
      </c>
      <c r="B4077" s="163"/>
      <c r="C4077" s="163"/>
      <c r="J4077" s="165"/>
      <c r="K4077" s="166"/>
      <c r="L4077" s="166"/>
    </row>
    <row r="4078">
      <c r="A4078" s="163" t="s">
        <v>222</v>
      </c>
      <c r="B4078" s="163"/>
      <c r="C4078" s="163"/>
      <c r="J4078" s="165"/>
      <c r="K4078" s="166"/>
      <c r="L4078" s="166"/>
    </row>
    <row r="4079">
      <c r="A4079" s="163" t="s">
        <v>222</v>
      </c>
      <c r="B4079" s="163"/>
      <c r="C4079" s="163"/>
      <c r="J4079" s="165"/>
      <c r="K4079" s="166"/>
      <c r="L4079" s="166"/>
    </row>
    <row r="4080">
      <c r="A4080" s="163" t="s">
        <v>222</v>
      </c>
      <c r="B4080" s="163"/>
      <c r="C4080" s="163"/>
      <c r="J4080" s="165"/>
      <c r="K4080" s="166"/>
      <c r="L4080" s="166"/>
    </row>
    <row r="4081">
      <c r="A4081" s="163" t="s">
        <v>222</v>
      </c>
      <c r="B4081" s="163"/>
      <c r="C4081" s="163"/>
      <c r="J4081" s="165"/>
      <c r="K4081" s="166"/>
      <c r="L4081" s="166"/>
    </row>
    <row r="4082">
      <c r="A4082" s="163" t="s">
        <v>222</v>
      </c>
      <c r="B4082" s="163"/>
      <c r="C4082" s="163"/>
      <c r="J4082" s="165"/>
      <c r="K4082" s="166"/>
      <c r="L4082" s="166"/>
    </row>
    <row r="4083">
      <c r="A4083" s="163" t="s">
        <v>222</v>
      </c>
      <c r="B4083" s="163"/>
      <c r="C4083" s="163"/>
      <c r="J4083" s="165"/>
      <c r="K4083" s="166"/>
      <c r="L4083" s="166"/>
    </row>
    <row r="4084">
      <c r="A4084" s="163" t="s">
        <v>222</v>
      </c>
      <c r="B4084" s="163"/>
      <c r="C4084" s="163"/>
      <c r="J4084" s="165"/>
      <c r="K4084" s="166"/>
      <c r="L4084" s="166"/>
    </row>
    <row r="4085">
      <c r="A4085" s="163" t="s">
        <v>222</v>
      </c>
      <c r="B4085" s="163"/>
      <c r="C4085" s="163"/>
      <c r="J4085" s="165"/>
      <c r="K4085" s="166"/>
      <c r="L4085" s="166"/>
    </row>
    <row r="4086">
      <c r="A4086" s="163" t="s">
        <v>222</v>
      </c>
      <c r="B4086" s="163"/>
      <c r="C4086" s="163"/>
      <c r="J4086" s="165"/>
      <c r="K4086" s="166"/>
      <c r="L4086" s="166"/>
    </row>
    <row r="4087">
      <c r="A4087" s="163" t="s">
        <v>222</v>
      </c>
      <c r="B4087" s="163"/>
      <c r="C4087" s="163"/>
      <c r="J4087" s="165"/>
      <c r="K4087" s="166"/>
      <c r="L4087" s="166"/>
    </row>
    <row r="4088">
      <c r="A4088" s="163" t="s">
        <v>222</v>
      </c>
      <c r="B4088" s="163"/>
      <c r="C4088" s="163"/>
      <c r="J4088" s="165"/>
      <c r="K4088" s="166"/>
      <c r="L4088" s="166"/>
    </row>
    <row r="4089">
      <c r="A4089" s="163" t="s">
        <v>222</v>
      </c>
      <c r="B4089" s="163"/>
      <c r="C4089" s="163"/>
      <c r="J4089" s="165"/>
      <c r="K4089" s="166"/>
      <c r="L4089" s="166"/>
    </row>
    <row r="4090">
      <c r="A4090" s="163" t="s">
        <v>222</v>
      </c>
      <c r="B4090" s="163"/>
      <c r="C4090" s="163"/>
      <c r="J4090" s="165"/>
      <c r="K4090" s="166"/>
      <c r="L4090" s="166"/>
    </row>
    <row r="4091">
      <c r="A4091" s="163" t="s">
        <v>222</v>
      </c>
      <c r="B4091" s="163"/>
      <c r="C4091" s="163"/>
      <c r="J4091" s="165"/>
      <c r="K4091" s="166"/>
      <c r="L4091" s="166"/>
    </row>
    <row r="4092">
      <c r="A4092" s="163" t="s">
        <v>222</v>
      </c>
      <c r="B4092" s="163"/>
      <c r="C4092" s="163"/>
      <c r="J4092" s="165"/>
      <c r="K4092" s="166"/>
      <c r="L4092" s="166"/>
    </row>
    <row r="4093">
      <c r="A4093" s="163" t="s">
        <v>222</v>
      </c>
      <c r="B4093" s="163"/>
      <c r="C4093" s="163"/>
      <c r="J4093" s="165"/>
      <c r="K4093" s="166"/>
      <c r="L4093" s="166"/>
    </row>
    <row r="4094">
      <c r="A4094" s="163" t="s">
        <v>222</v>
      </c>
      <c r="B4094" s="163"/>
      <c r="C4094" s="163"/>
      <c r="J4094" s="165"/>
      <c r="K4094" s="166"/>
      <c r="L4094" s="166"/>
    </row>
    <row r="4095">
      <c r="A4095" s="163" t="s">
        <v>222</v>
      </c>
      <c r="B4095" s="163"/>
      <c r="C4095" s="163"/>
      <c r="J4095" s="165"/>
      <c r="K4095" s="166"/>
      <c r="L4095" s="166"/>
    </row>
    <row r="4096">
      <c r="A4096" s="163" t="s">
        <v>222</v>
      </c>
      <c r="B4096" s="163"/>
      <c r="C4096" s="163"/>
      <c r="J4096" s="165"/>
      <c r="K4096" s="166"/>
      <c r="L4096" s="166"/>
    </row>
    <row r="4097">
      <c r="A4097" s="163" t="s">
        <v>222</v>
      </c>
      <c r="B4097" s="163"/>
      <c r="C4097" s="163"/>
      <c r="J4097" s="165"/>
      <c r="K4097" s="166"/>
      <c r="L4097" s="166"/>
    </row>
    <row r="4098">
      <c r="A4098" s="163" t="s">
        <v>222</v>
      </c>
      <c r="B4098" s="163"/>
      <c r="C4098" s="163"/>
      <c r="J4098" s="165"/>
      <c r="K4098" s="166"/>
      <c r="L4098" s="166"/>
    </row>
    <row r="4099">
      <c r="A4099" s="163" t="s">
        <v>222</v>
      </c>
      <c r="B4099" s="163"/>
      <c r="C4099" s="163"/>
      <c r="J4099" s="165"/>
      <c r="K4099" s="166"/>
      <c r="L4099" s="166"/>
    </row>
    <row r="4100">
      <c r="A4100" s="163" t="s">
        <v>222</v>
      </c>
      <c r="B4100" s="163"/>
      <c r="C4100" s="163"/>
      <c r="J4100" s="165"/>
      <c r="K4100" s="166"/>
      <c r="L4100" s="166"/>
    </row>
    <row r="4101">
      <c r="A4101" s="163" t="s">
        <v>222</v>
      </c>
      <c r="B4101" s="163"/>
      <c r="C4101" s="163"/>
      <c r="J4101" s="165"/>
      <c r="K4101" s="166"/>
      <c r="L4101" s="166"/>
    </row>
    <row r="4102">
      <c r="A4102" s="163" t="s">
        <v>222</v>
      </c>
      <c r="B4102" s="163"/>
      <c r="C4102" s="163"/>
      <c r="J4102" s="165"/>
      <c r="K4102" s="166"/>
      <c r="L4102" s="166"/>
    </row>
    <row r="4103">
      <c r="A4103" s="163" t="s">
        <v>222</v>
      </c>
      <c r="B4103" s="163"/>
      <c r="C4103" s="163"/>
      <c r="J4103" s="165"/>
      <c r="K4103" s="166"/>
      <c r="L4103" s="166"/>
    </row>
    <row r="4104">
      <c r="A4104" s="163" t="s">
        <v>222</v>
      </c>
      <c r="B4104" s="163"/>
      <c r="C4104" s="163"/>
      <c r="J4104" s="165"/>
      <c r="K4104" s="166"/>
      <c r="L4104" s="166"/>
    </row>
    <row r="4105">
      <c r="A4105" s="163" t="s">
        <v>222</v>
      </c>
      <c r="B4105" s="163"/>
      <c r="C4105" s="163"/>
      <c r="J4105" s="165"/>
      <c r="K4105" s="166"/>
      <c r="L4105" s="166"/>
    </row>
    <row r="4106">
      <c r="A4106" s="163" t="s">
        <v>222</v>
      </c>
      <c r="B4106" s="163"/>
      <c r="C4106" s="163"/>
      <c r="J4106" s="165"/>
      <c r="K4106" s="166"/>
      <c r="L4106" s="166"/>
    </row>
    <row r="4107">
      <c r="A4107" s="163" t="s">
        <v>222</v>
      </c>
      <c r="B4107" s="163"/>
      <c r="C4107" s="163"/>
      <c r="J4107" s="165"/>
      <c r="K4107" s="166"/>
      <c r="L4107" s="166"/>
    </row>
    <row r="4108">
      <c r="A4108" s="163" t="s">
        <v>222</v>
      </c>
      <c r="B4108" s="163"/>
      <c r="C4108" s="163"/>
      <c r="J4108" s="165"/>
      <c r="K4108" s="166"/>
      <c r="L4108" s="166"/>
    </row>
    <row r="4109">
      <c r="A4109" s="163" t="s">
        <v>222</v>
      </c>
      <c r="B4109" s="163"/>
      <c r="C4109" s="163"/>
      <c r="J4109" s="165"/>
      <c r="K4109" s="166"/>
      <c r="L4109" s="166"/>
    </row>
    <row r="4110">
      <c r="A4110" s="163" t="s">
        <v>222</v>
      </c>
      <c r="B4110" s="163"/>
      <c r="C4110" s="163"/>
      <c r="J4110" s="165"/>
      <c r="K4110" s="166"/>
      <c r="L4110" s="166"/>
    </row>
    <row r="4111">
      <c r="A4111" s="163" t="s">
        <v>222</v>
      </c>
      <c r="B4111" s="163"/>
      <c r="C4111" s="163"/>
      <c r="J4111" s="165"/>
      <c r="K4111" s="166"/>
      <c r="L4111" s="166"/>
    </row>
    <row r="4112">
      <c r="A4112" s="163" t="s">
        <v>222</v>
      </c>
      <c r="B4112" s="163"/>
      <c r="C4112" s="163"/>
      <c r="J4112" s="165"/>
      <c r="K4112" s="166"/>
      <c r="L4112" s="166"/>
    </row>
    <row r="4113">
      <c r="A4113" s="163" t="s">
        <v>222</v>
      </c>
      <c r="B4113" s="163"/>
      <c r="C4113" s="163"/>
      <c r="J4113" s="165"/>
      <c r="K4113" s="166"/>
      <c r="L4113" s="166"/>
    </row>
    <row r="4114">
      <c r="A4114" s="163" t="s">
        <v>222</v>
      </c>
      <c r="B4114" s="163"/>
      <c r="C4114" s="163"/>
      <c r="J4114" s="165"/>
      <c r="K4114" s="166"/>
      <c r="L4114" s="166"/>
    </row>
    <row r="4115">
      <c r="A4115" s="163" t="s">
        <v>222</v>
      </c>
      <c r="B4115" s="163"/>
      <c r="C4115" s="163"/>
      <c r="J4115" s="165"/>
      <c r="K4115" s="166"/>
      <c r="L4115" s="166"/>
    </row>
    <row r="4116">
      <c r="A4116" s="163" t="s">
        <v>222</v>
      </c>
      <c r="B4116" s="163"/>
      <c r="C4116" s="163"/>
      <c r="J4116" s="165"/>
      <c r="K4116" s="166"/>
      <c r="L4116" s="166"/>
    </row>
    <row r="4117">
      <c r="A4117" s="163" t="s">
        <v>222</v>
      </c>
      <c r="B4117" s="163"/>
      <c r="C4117" s="163"/>
      <c r="J4117" s="165"/>
      <c r="K4117" s="166"/>
      <c r="L4117" s="166"/>
    </row>
    <row r="4118">
      <c r="A4118" s="163" t="s">
        <v>222</v>
      </c>
      <c r="B4118" s="163"/>
      <c r="C4118" s="163"/>
      <c r="J4118" s="165"/>
      <c r="K4118" s="166"/>
      <c r="L4118" s="166"/>
    </row>
    <row r="4119">
      <c r="A4119" s="163" t="s">
        <v>222</v>
      </c>
      <c r="B4119" s="163"/>
      <c r="C4119" s="163"/>
      <c r="J4119" s="165"/>
      <c r="K4119" s="166"/>
      <c r="L4119" s="166"/>
    </row>
    <row r="4120">
      <c r="A4120" s="163" t="s">
        <v>222</v>
      </c>
      <c r="B4120" s="163"/>
      <c r="C4120" s="163"/>
      <c r="J4120" s="165"/>
      <c r="K4120" s="166"/>
      <c r="L4120" s="166"/>
    </row>
    <row r="4121">
      <c r="A4121" s="163" t="s">
        <v>222</v>
      </c>
      <c r="B4121" s="163"/>
      <c r="C4121" s="163"/>
      <c r="J4121" s="165"/>
      <c r="K4121" s="166"/>
      <c r="L4121" s="166"/>
    </row>
    <row r="4122">
      <c r="A4122" s="163" t="s">
        <v>222</v>
      </c>
      <c r="B4122" s="163"/>
      <c r="C4122" s="163"/>
      <c r="J4122" s="165"/>
      <c r="K4122" s="166"/>
      <c r="L4122" s="166"/>
    </row>
    <row r="4123">
      <c r="A4123" s="163" t="s">
        <v>222</v>
      </c>
      <c r="B4123" s="163"/>
      <c r="C4123" s="163"/>
      <c r="J4123" s="165"/>
      <c r="K4123" s="166"/>
      <c r="L4123" s="166"/>
    </row>
    <row r="4124">
      <c r="A4124" s="163" t="s">
        <v>222</v>
      </c>
      <c r="B4124" s="163"/>
      <c r="C4124" s="163"/>
      <c r="J4124" s="165"/>
      <c r="K4124" s="166"/>
      <c r="L4124" s="166"/>
    </row>
    <row r="4125">
      <c r="A4125" s="163" t="s">
        <v>222</v>
      </c>
      <c r="B4125" s="163"/>
      <c r="C4125" s="163"/>
      <c r="J4125" s="165"/>
      <c r="K4125" s="166"/>
      <c r="L4125" s="166"/>
    </row>
    <row r="4126">
      <c r="A4126" s="163" t="s">
        <v>222</v>
      </c>
      <c r="B4126" s="163"/>
      <c r="C4126" s="163"/>
      <c r="J4126" s="165"/>
      <c r="K4126" s="166"/>
      <c r="L4126" s="166"/>
    </row>
    <row r="4127">
      <c r="A4127" s="163" t="s">
        <v>222</v>
      </c>
      <c r="B4127" s="163"/>
      <c r="C4127" s="163"/>
      <c r="J4127" s="165"/>
      <c r="K4127" s="166"/>
      <c r="L4127" s="166"/>
    </row>
    <row r="4128">
      <c r="A4128" s="163" t="s">
        <v>222</v>
      </c>
      <c r="B4128" s="163"/>
      <c r="C4128" s="163"/>
      <c r="J4128" s="165"/>
      <c r="K4128" s="166"/>
      <c r="L4128" s="166"/>
    </row>
    <row r="4129">
      <c r="A4129" s="163" t="s">
        <v>222</v>
      </c>
      <c r="B4129" s="163"/>
      <c r="C4129" s="163"/>
      <c r="J4129" s="165"/>
      <c r="K4129" s="166"/>
      <c r="L4129" s="166"/>
    </row>
    <row r="4130">
      <c r="A4130" s="163" t="s">
        <v>222</v>
      </c>
      <c r="B4130" s="163"/>
      <c r="C4130" s="163"/>
      <c r="J4130" s="165"/>
      <c r="K4130" s="166"/>
      <c r="L4130" s="166"/>
    </row>
    <row r="4131">
      <c r="A4131" s="163" t="s">
        <v>222</v>
      </c>
      <c r="B4131" s="163"/>
      <c r="C4131" s="163"/>
      <c r="J4131" s="165"/>
      <c r="K4131" s="166"/>
      <c r="L4131" s="166"/>
    </row>
    <row r="4132">
      <c r="A4132" s="163" t="s">
        <v>222</v>
      </c>
      <c r="B4132" s="163"/>
      <c r="C4132" s="163"/>
      <c r="J4132" s="165"/>
      <c r="K4132" s="166"/>
      <c r="L4132" s="166"/>
    </row>
    <row r="4133">
      <c r="A4133" s="163" t="s">
        <v>222</v>
      </c>
      <c r="B4133" s="163"/>
      <c r="C4133" s="163"/>
      <c r="J4133" s="165"/>
      <c r="K4133" s="166"/>
      <c r="L4133" s="166"/>
    </row>
    <row r="4134">
      <c r="A4134" s="163" t="s">
        <v>222</v>
      </c>
      <c r="B4134" s="163"/>
      <c r="C4134" s="163"/>
      <c r="J4134" s="165"/>
      <c r="K4134" s="166"/>
      <c r="L4134" s="166"/>
    </row>
    <row r="4135">
      <c r="A4135" s="163" t="s">
        <v>222</v>
      </c>
      <c r="B4135" s="163"/>
      <c r="C4135" s="163"/>
      <c r="J4135" s="165"/>
      <c r="K4135" s="166"/>
      <c r="L4135" s="166"/>
    </row>
    <row r="4136">
      <c r="A4136" s="163" t="s">
        <v>222</v>
      </c>
      <c r="B4136" s="163"/>
      <c r="C4136" s="163"/>
      <c r="J4136" s="165"/>
      <c r="K4136" s="166"/>
      <c r="L4136" s="166"/>
    </row>
    <row r="4137">
      <c r="A4137" s="163" t="s">
        <v>222</v>
      </c>
      <c r="B4137" s="163"/>
      <c r="C4137" s="163"/>
      <c r="J4137" s="165"/>
      <c r="K4137" s="166"/>
      <c r="L4137" s="166"/>
    </row>
    <row r="4138">
      <c r="A4138" s="163" t="s">
        <v>222</v>
      </c>
      <c r="B4138" s="163"/>
      <c r="C4138" s="163"/>
      <c r="J4138" s="165"/>
      <c r="K4138" s="166"/>
      <c r="L4138" s="166"/>
    </row>
    <row r="4139">
      <c r="A4139" s="163" t="s">
        <v>222</v>
      </c>
      <c r="B4139" s="163"/>
      <c r="C4139" s="163"/>
      <c r="J4139" s="165"/>
      <c r="K4139" s="166"/>
      <c r="L4139" s="166"/>
    </row>
    <row r="4140">
      <c r="A4140" s="163" t="s">
        <v>222</v>
      </c>
      <c r="B4140" s="163"/>
      <c r="C4140" s="163"/>
      <c r="J4140" s="165"/>
      <c r="K4140" s="166"/>
      <c r="L4140" s="166"/>
    </row>
    <row r="4141">
      <c r="A4141" s="163" t="s">
        <v>222</v>
      </c>
      <c r="B4141" s="163"/>
      <c r="C4141" s="163"/>
      <c r="J4141" s="165"/>
      <c r="K4141" s="166"/>
      <c r="L4141" s="166"/>
    </row>
    <row r="4142">
      <c r="A4142" s="163" t="s">
        <v>222</v>
      </c>
      <c r="B4142" s="163"/>
      <c r="C4142" s="163"/>
      <c r="J4142" s="165"/>
      <c r="K4142" s="166"/>
      <c r="L4142" s="166"/>
    </row>
    <row r="4143">
      <c r="A4143" s="163" t="s">
        <v>222</v>
      </c>
      <c r="B4143" s="163"/>
      <c r="C4143" s="163"/>
      <c r="J4143" s="165"/>
      <c r="K4143" s="166"/>
      <c r="L4143" s="166"/>
    </row>
    <row r="4144">
      <c r="A4144" s="163" t="s">
        <v>222</v>
      </c>
      <c r="B4144" s="163"/>
      <c r="C4144" s="163"/>
      <c r="J4144" s="165"/>
      <c r="K4144" s="166"/>
      <c r="L4144" s="166"/>
    </row>
    <row r="4145">
      <c r="A4145" s="163" t="s">
        <v>222</v>
      </c>
      <c r="B4145" s="163"/>
      <c r="C4145" s="163"/>
      <c r="J4145" s="165"/>
      <c r="K4145" s="166"/>
      <c r="L4145" s="166"/>
    </row>
    <row r="4146">
      <c r="A4146" s="163" t="s">
        <v>222</v>
      </c>
      <c r="B4146" s="163"/>
      <c r="C4146" s="163"/>
      <c r="J4146" s="165"/>
      <c r="K4146" s="166"/>
      <c r="L4146" s="166"/>
    </row>
    <row r="4147">
      <c r="A4147" s="163" t="s">
        <v>222</v>
      </c>
      <c r="B4147" s="163"/>
      <c r="C4147" s="163"/>
      <c r="J4147" s="165"/>
      <c r="K4147" s="166"/>
      <c r="L4147" s="166"/>
    </row>
    <row r="4148">
      <c r="A4148" s="163" t="s">
        <v>222</v>
      </c>
      <c r="B4148" s="163"/>
      <c r="C4148" s="163"/>
      <c r="J4148" s="165"/>
      <c r="K4148" s="166"/>
      <c r="L4148" s="166"/>
    </row>
    <row r="4149">
      <c r="A4149" s="163" t="s">
        <v>222</v>
      </c>
      <c r="B4149" s="163"/>
      <c r="C4149" s="163"/>
      <c r="J4149" s="165"/>
      <c r="K4149" s="166"/>
      <c r="L4149" s="166"/>
    </row>
    <row r="4150">
      <c r="A4150" s="163" t="s">
        <v>222</v>
      </c>
      <c r="B4150" s="163"/>
      <c r="C4150" s="163"/>
      <c r="J4150" s="165"/>
      <c r="K4150" s="166"/>
      <c r="L4150" s="166"/>
    </row>
    <row r="4151">
      <c r="A4151" s="163" t="s">
        <v>222</v>
      </c>
      <c r="B4151" s="163"/>
      <c r="C4151" s="163"/>
      <c r="J4151" s="165"/>
      <c r="K4151" s="166"/>
      <c r="L4151" s="166"/>
    </row>
    <row r="4152">
      <c r="A4152" s="163" t="s">
        <v>222</v>
      </c>
      <c r="B4152" s="163"/>
      <c r="C4152" s="163"/>
      <c r="J4152" s="165"/>
      <c r="K4152" s="166"/>
      <c r="L4152" s="166"/>
    </row>
    <row r="4153">
      <c r="A4153" s="163" t="s">
        <v>222</v>
      </c>
      <c r="B4153" s="163"/>
      <c r="C4153" s="163"/>
      <c r="J4153" s="165"/>
      <c r="K4153" s="166"/>
      <c r="L4153" s="166"/>
    </row>
    <row r="4154">
      <c r="A4154" s="163" t="s">
        <v>222</v>
      </c>
      <c r="B4154" s="163"/>
      <c r="C4154" s="163"/>
      <c r="J4154" s="165"/>
      <c r="K4154" s="166"/>
      <c r="L4154" s="166"/>
    </row>
    <row r="4155">
      <c r="A4155" s="163" t="s">
        <v>222</v>
      </c>
      <c r="B4155" s="163"/>
      <c r="C4155" s="163"/>
      <c r="J4155" s="165"/>
      <c r="K4155" s="166"/>
      <c r="L4155" s="166"/>
    </row>
    <row r="4156">
      <c r="A4156" s="163" t="s">
        <v>222</v>
      </c>
      <c r="B4156" s="163"/>
      <c r="C4156" s="163"/>
      <c r="J4156" s="165"/>
      <c r="K4156" s="166"/>
      <c r="L4156" s="166"/>
    </row>
    <row r="4157">
      <c r="A4157" s="163" t="s">
        <v>222</v>
      </c>
      <c r="B4157" s="163"/>
      <c r="C4157" s="163"/>
      <c r="J4157" s="165"/>
      <c r="K4157" s="166"/>
      <c r="L4157" s="166"/>
    </row>
    <row r="4158">
      <c r="A4158" s="163" t="s">
        <v>222</v>
      </c>
      <c r="B4158" s="163"/>
      <c r="C4158" s="163"/>
      <c r="J4158" s="165"/>
      <c r="K4158" s="166"/>
      <c r="L4158" s="166"/>
    </row>
    <row r="4159">
      <c r="A4159" s="163" t="s">
        <v>222</v>
      </c>
      <c r="B4159" s="163"/>
      <c r="C4159" s="163"/>
      <c r="J4159" s="165"/>
      <c r="K4159" s="166"/>
      <c r="L4159" s="166"/>
    </row>
    <row r="4160">
      <c r="A4160" s="163" t="s">
        <v>222</v>
      </c>
      <c r="B4160" s="163"/>
      <c r="C4160" s="163"/>
      <c r="J4160" s="165"/>
      <c r="K4160" s="166"/>
      <c r="L4160" s="166"/>
    </row>
    <row r="4161">
      <c r="A4161" s="163" t="s">
        <v>222</v>
      </c>
      <c r="B4161" s="163"/>
      <c r="C4161" s="163"/>
      <c r="J4161" s="165"/>
      <c r="K4161" s="166"/>
      <c r="L4161" s="166"/>
    </row>
    <row r="4162">
      <c r="A4162" s="163" t="s">
        <v>222</v>
      </c>
      <c r="B4162" s="163"/>
      <c r="C4162" s="163"/>
      <c r="J4162" s="165"/>
      <c r="K4162" s="166"/>
      <c r="L4162" s="166"/>
    </row>
    <row r="4163">
      <c r="A4163" s="163" t="s">
        <v>222</v>
      </c>
      <c r="B4163" s="163"/>
      <c r="C4163" s="163"/>
      <c r="J4163" s="165"/>
      <c r="K4163" s="166"/>
      <c r="L4163" s="166"/>
    </row>
    <row r="4164">
      <c r="A4164" s="163" t="s">
        <v>222</v>
      </c>
      <c r="B4164" s="163"/>
      <c r="C4164" s="163"/>
      <c r="J4164" s="165"/>
      <c r="K4164" s="166"/>
      <c r="L4164" s="166"/>
    </row>
    <row r="4165">
      <c r="A4165" s="163" t="s">
        <v>222</v>
      </c>
      <c r="B4165" s="163"/>
      <c r="C4165" s="163"/>
      <c r="J4165" s="165"/>
      <c r="K4165" s="166"/>
      <c r="L4165" s="166"/>
    </row>
    <row r="4166">
      <c r="A4166" s="163" t="s">
        <v>222</v>
      </c>
      <c r="B4166" s="163"/>
      <c r="C4166" s="163"/>
      <c r="J4166" s="165"/>
      <c r="K4166" s="166"/>
      <c r="L4166" s="166"/>
    </row>
    <row r="4167">
      <c r="A4167" s="163" t="s">
        <v>222</v>
      </c>
      <c r="B4167" s="163"/>
      <c r="C4167" s="163"/>
      <c r="J4167" s="165"/>
      <c r="K4167" s="166"/>
      <c r="L4167" s="166"/>
    </row>
    <row r="4168">
      <c r="A4168" s="163" t="s">
        <v>222</v>
      </c>
      <c r="B4168" s="163"/>
      <c r="C4168" s="163"/>
      <c r="J4168" s="165"/>
      <c r="K4168" s="166"/>
      <c r="L4168" s="166"/>
    </row>
    <row r="4169">
      <c r="A4169" s="163" t="s">
        <v>222</v>
      </c>
      <c r="B4169" s="163"/>
      <c r="C4169" s="163"/>
      <c r="J4169" s="165"/>
      <c r="K4169" s="166"/>
      <c r="L4169" s="166"/>
    </row>
    <row r="4170">
      <c r="A4170" s="163" t="s">
        <v>222</v>
      </c>
      <c r="B4170" s="163"/>
      <c r="C4170" s="163"/>
      <c r="J4170" s="165"/>
      <c r="K4170" s="166"/>
      <c r="L4170" s="166"/>
    </row>
    <row r="4171">
      <c r="A4171" s="163" t="s">
        <v>222</v>
      </c>
      <c r="B4171" s="163"/>
      <c r="C4171" s="163"/>
      <c r="J4171" s="165"/>
      <c r="K4171" s="166"/>
      <c r="L4171" s="166"/>
    </row>
    <row r="4172">
      <c r="A4172" s="163" t="s">
        <v>222</v>
      </c>
      <c r="B4172" s="163"/>
      <c r="C4172" s="163"/>
      <c r="J4172" s="165"/>
      <c r="K4172" s="166"/>
      <c r="L4172" s="166"/>
    </row>
    <row r="4173">
      <c r="A4173" s="163" t="s">
        <v>222</v>
      </c>
      <c r="B4173" s="163"/>
      <c r="C4173" s="163"/>
      <c r="J4173" s="165"/>
      <c r="K4173" s="166"/>
      <c r="L4173" s="166"/>
    </row>
    <row r="4174">
      <c r="A4174" s="163" t="s">
        <v>222</v>
      </c>
      <c r="B4174" s="163"/>
      <c r="C4174" s="163"/>
      <c r="J4174" s="165"/>
      <c r="K4174" s="166"/>
      <c r="L4174" s="166"/>
    </row>
    <row r="4175">
      <c r="A4175" s="163" t="s">
        <v>222</v>
      </c>
      <c r="B4175" s="163"/>
      <c r="C4175" s="163"/>
      <c r="J4175" s="165"/>
      <c r="K4175" s="166"/>
      <c r="L4175" s="166"/>
    </row>
    <row r="4176">
      <c r="A4176" s="163" t="s">
        <v>222</v>
      </c>
      <c r="B4176" s="163"/>
      <c r="C4176" s="163"/>
      <c r="J4176" s="165"/>
      <c r="K4176" s="166"/>
      <c r="L4176" s="166"/>
    </row>
    <row r="4177">
      <c r="A4177" s="163" t="s">
        <v>222</v>
      </c>
      <c r="B4177" s="163"/>
      <c r="C4177" s="163"/>
      <c r="J4177" s="165"/>
      <c r="K4177" s="166"/>
      <c r="L4177" s="166"/>
    </row>
    <row r="4178">
      <c r="A4178" s="163" t="s">
        <v>222</v>
      </c>
      <c r="B4178" s="163"/>
      <c r="C4178" s="163"/>
      <c r="J4178" s="165"/>
      <c r="K4178" s="166"/>
      <c r="L4178" s="166"/>
    </row>
    <row r="4179">
      <c r="A4179" s="163" t="s">
        <v>222</v>
      </c>
      <c r="B4179" s="163"/>
      <c r="C4179" s="163"/>
      <c r="J4179" s="165"/>
      <c r="K4179" s="166"/>
      <c r="L4179" s="166"/>
    </row>
    <row r="4180">
      <c r="A4180" s="163" t="s">
        <v>222</v>
      </c>
      <c r="B4180" s="163"/>
      <c r="C4180" s="163"/>
      <c r="J4180" s="165"/>
      <c r="K4180" s="166"/>
      <c r="L4180" s="166"/>
    </row>
    <row r="4181">
      <c r="A4181" s="163" t="s">
        <v>222</v>
      </c>
      <c r="B4181" s="163"/>
      <c r="C4181" s="163"/>
      <c r="J4181" s="165"/>
      <c r="K4181" s="166"/>
      <c r="L4181" s="166"/>
    </row>
    <row r="4182">
      <c r="A4182" s="163" t="s">
        <v>222</v>
      </c>
      <c r="B4182" s="163"/>
      <c r="C4182" s="163"/>
      <c r="J4182" s="165"/>
      <c r="K4182" s="166"/>
      <c r="L4182" s="166"/>
    </row>
    <row r="4183">
      <c r="A4183" s="163" t="s">
        <v>222</v>
      </c>
      <c r="B4183" s="163"/>
      <c r="C4183" s="163"/>
      <c r="J4183" s="165"/>
      <c r="K4183" s="166"/>
      <c r="L4183" s="166"/>
    </row>
    <row r="4184">
      <c r="A4184" s="163" t="s">
        <v>222</v>
      </c>
      <c r="B4184" s="163"/>
      <c r="C4184" s="163"/>
      <c r="J4184" s="165"/>
      <c r="K4184" s="166"/>
      <c r="L4184" s="166"/>
    </row>
    <row r="4185">
      <c r="A4185" s="163" t="s">
        <v>222</v>
      </c>
      <c r="B4185" s="163"/>
      <c r="C4185" s="163"/>
      <c r="J4185" s="165"/>
      <c r="K4185" s="166"/>
      <c r="L4185" s="166"/>
    </row>
    <row r="4186">
      <c r="A4186" s="163" t="s">
        <v>222</v>
      </c>
      <c r="B4186" s="163"/>
      <c r="C4186" s="163"/>
      <c r="J4186" s="165"/>
      <c r="K4186" s="166"/>
      <c r="L4186" s="166"/>
    </row>
    <row r="4187">
      <c r="A4187" s="163" t="s">
        <v>222</v>
      </c>
      <c r="B4187" s="163"/>
      <c r="C4187" s="163"/>
      <c r="J4187" s="165"/>
      <c r="K4187" s="166"/>
      <c r="L4187" s="166"/>
    </row>
    <row r="4188">
      <c r="A4188" s="163" t="s">
        <v>222</v>
      </c>
      <c r="B4188" s="163"/>
      <c r="C4188" s="163"/>
      <c r="J4188" s="165"/>
      <c r="K4188" s="166"/>
      <c r="L4188" s="166"/>
    </row>
    <row r="4189">
      <c r="A4189" s="163" t="s">
        <v>222</v>
      </c>
      <c r="B4189" s="163"/>
      <c r="C4189" s="163"/>
      <c r="J4189" s="165"/>
      <c r="K4189" s="166"/>
      <c r="L4189" s="166"/>
    </row>
    <row r="4190">
      <c r="A4190" s="163" t="s">
        <v>222</v>
      </c>
      <c r="B4190" s="163"/>
      <c r="C4190" s="163"/>
      <c r="J4190" s="165"/>
      <c r="K4190" s="166"/>
      <c r="L4190" s="166"/>
    </row>
    <row r="4191">
      <c r="A4191" s="163" t="s">
        <v>222</v>
      </c>
      <c r="B4191" s="163"/>
      <c r="C4191" s="163"/>
      <c r="J4191" s="165"/>
      <c r="K4191" s="166"/>
      <c r="L4191" s="166"/>
    </row>
    <row r="4192">
      <c r="A4192" s="163" t="s">
        <v>222</v>
      </c>
      <c r="B4192" s="163"/>
      <c r="C4192" s="163"/>
      <c r="J4192" s="165"/>
      <c r="K4192" s="166"/>
      <c r="L4192" s="166"/>
    </row>
    <row r="4193">
      <c r="A4193" s="163" t="s">
        <v>222</v>
      </c>
      <c r="B4193" s="163"/>
      <c r="C4193" s="163"/>
      <c r="J4193" s="165"/>
      <c r="K4193" s="166"/>
      <c r="L4193" s="166"/>
    </row>
    <row r="4194">
      <c r="A4194" s="163" t="s">
        <v>222</v>
      </c>
      <c r="B4194" s="163"/>
      <c r="C4194" s="163"/>
      <c r="J4194" s="165"/>
      <c r="K4194" s="166"/>
      <c r="L4194" s="166"/>
    </row>
    <row r="4195">
      <c r="A4195" s="163" t="s">
        <v>222</v>
      </c>
      <c r="B4195" s="163"/>
      <c r="C4195" s="163"/>
      <c r="J4195" s="165"/>
      <c r="K4195" s="166"/>
      <c r="L4195" s="166"/>
    </row>
    <row r="4196">
      <c r="A4196" s="163" t="s">
        <v>222</v>
      </c>
      <c r="B4196" s="163"/>
      <c r="C4196" s="163"/>
      <c r="J4196" s="165"/>
      <c r="K4196" s="166"/>
      <c r="L4196" s="166"/>
    </row>
    <row r="4197">
      <c r="A4197" s="163" t="s">
        <v>222</v>
      </c>
      <c r="B4197" s="163"/>
      <c r="C4197" s="163"/>
      <c r="J4197" s="165"/>
      <c r="K4197" s="166"/>
      <c r="L4197" s="166"/>
    </row>
    <row r="4198">
      <c r="A4198" s="163" t="s">
        <v>222</v>
      </c>
      <c r="B4198" s="163"/>
      <c r="C4198" s="163"/>
      <c r="J4198" s="165"/>
      <c r="K4198" s="166"/>
      <c r="L4198" s="166"/>
    </row>
    <row r="4199">
      <c r="A4199" s="163" t="s">
        <v>222</v>
      </c>
      <c r="B4199" s="163"/>
      <c r="C4199" s="163"/>
      <c r="J4199" s="165"/>
      <c r="K4199" s="166"/>
      <c r="L4199" s="166"/>
    </row>
    <row r="4200">
      <c r="A4200" s="163" t="s">
        <v>222</v>
      </c>
      <c r="B4200" s="163"/>
      <c r="C4200" s="163"/>
      <c r="J4200" s="165"/>
      <c r="K4200" s="166"/>
      <c r="L4200" s="166"/>
    </row>
    <row r="4201">
      <c r="A4201" s="163" t="s">
        <v>222</v>
      </c>
      <c r="B4201" s="163"/>
      <c r="C4201" s="163"/>
      <c r="J4201" s="165"/>
      <c r="K4201" s="166"/>
      <c r="L4201" s="166"/>
    </row>
    <row r="4202">
      <c r="A4202" s="163" t="s">
        <v>222</v>
      </c>
      <c r="B4202" s="163"/>
      <c r="C4202" s="163"/>
      <c r="J4202" s="165"/>
      <c r="K4202" s="166"/>
      <c r="L4202" s="166"/>
    </row>
    <row r="4203">
      <c r="A4203" s="163" t="s">
        <v>222</v>
      </c>
      <c r="B4203" s="163"/>
      <c r="C4203" s="163"/>
      <c r="J4203" s="165"/>
      <c r="K4203" s="166"/>
      <c r="L4203" s="166"/>
    </row>
    <row r="4204">
      <c r="A4204" s="163" t="s">
        <v>222</v>
      </c>
      <c r="B4204" s="163"/>
      <c r="C4204" s="163"/>
      <c r="J4204" s="165"/>
      <c r="K4204" s="166"/>
      <c r="L4204" s="166"/>
    </row>
    <row r="4205">
      <c r="A4205" s="163" t="s">
        <v>222</v>
      </c>
      <c r="B4205" s="163"/>
      <c r="C4205" s="163"/>
      <c r="J4205" s="165"/>
      <c r="K4205" s="166"/>
      <c r="L4205" s="166"/>
    </row>
    <row r="4206">
      <c r="A4206" s="163" t="s">
        <v>222</v>
      </c>
      <c r="B4206" s="163"/>
      <c r="C4206" s="163"/>
      <c r="J4206" s="165"/>
      <c r="K4206" s="166"/>
      <c r="L4206" s="166"/>
    </row>
    <row r="4207">
      <c r="A4207" s="163" t="s">
        <v>222</v>
      </c>
      <c r="B4207" s="163"/>
      <c r="C4207" s="163"/>
      <c r="J4207" s="165"/>
      <c r="K4207" s="166"/>
      <c r="L4207" s="166"/>
    </row>
    <row r="4208">
      <c r="A4208" s="163" t="s">
        <v>222</v>
      </c>
      <c r="B4208" s="163"/>
      <c r="C4208" s="163"/>
      <c r="J4208" s="165"/>
      <c r="K4208" s="166"/>
      <c r="L4208" s="166"/>
    </row>
    <row r="4209">
      <c r="A4209" s="163" t="s">
        <v>222</v>
      </c>
      <c r="B4209" s="163"/>
      <c r="C4209" s="163"/>
      <c r="J4209" s="165"/>
      <c r="K4209" s="166"/>
      <c r="L4209" s="166"/>
    </row>
    <row r="4210">
      <c r="A4210" s="163" t="s">
        <v>222</v>
      </c>
      <c r="B4210" s="163"/>
      <c r="C4210" s="163"/>
      <c r="J4210" s="165"/>
      <c r="K4210" s="166"/>
      <c r="L4210" s="166"/>
    </row>
    <row r="4211">
      <c r="A4211" s="163" t="s">
        <v>222</v>
      </c>
      <c r="B4211" s="163"/>
      <c r="C4211" s="163"/>
      <c r="J4211" s="165"/>
      <c r="K4211" s="166"/>
      <c r="L4211" s="166"/>
    </row>
    <row r="4212">
      <c r="A4212" s="163" t="s">
        <v>222</v>
      </c>
      <c r="B4212" s="163"/>
      <c r="C4212" s="163"/>
      <c r="J4212" s="165"/>
      <c r="K4212" s="166"/>
      <c r="L4212" s="166"/>
    </row>
    <row r="4213">
      <c r="A4213" s="163" t="s">
        <v>222</v>
      </c>
      <c r="B4213" s="163"/>
      <c r="C4213" s="163"/>
      <c r="J4213" s="165"/>
      <c r="K4213" s="166"/>
      <c r="L4213" s="166"/>
    </row>
    <row r="4214">
      <c r="A4214" s="163" t="s">
        <v>222</v>
      </c>
      <c r="B4214" s="163"/>
      <c r="C4214" s="163"/>
      <c r="J4214" s="165"/>
      <c r="K4214" s="166"/>
      <c r="L4214" s="166"/>
    </row>
    <row r="4215">
      <c r="A4215" s="163" t="s">
        <v>222</v>
      </c>
      <c r="B4215" s="163"/>
      <c r="C4215" s="163"/>
      <c r="J4215" s="165"/>
      <c r="K4215" s="166"/>
      <c r="L4215" s="166"/>
    </row>
    <row r="4216">
      <c r="A4216" s="163" t="s">
        <v>222</v>
      </c>
      <c r="B4216" s="163"/>
      <c r="C4216" s="163"/>
      <c r="J4216" s="165"/>
      <c r="K4216" s="166"/>
      <c r="L4216" s="166"/>
    </row>
    <row r="4217">
      <c r="A4217" s="163" t="s">
        <v>222</v>
      </c>
      <c r="B4217" s="163"/>
      <c r="C4217" s="163"/>
      <c r="J4217" s="165"/>
      <c r="K4217" s="166"/>
      <c r="L4217" s="166"/>
    </row>
    <row r="4218">
      <c r="A4218" s="163" t="s">
        <v>222</v>
      </c>
      <c r="B4218" s="163"/>
      <c r="C4218" s="163"/>
      <c r="J4218" s="165"/>
      <c r="K4218" s="166"/>
      <c r="L4218" s="166"/>
    </row>
    <row r="4219">
      <c r="A4219" s="163" t="s">
        <v>222</v>
      </c>
      <c r="B4219" s="163"/>
      <c r="C4219" s="163"/>
      <c r="J4219" s="165"/>
      <c r="K4219" s="166"/>
      <c r="L4219" s="166"/>
    </row>
    <row r="4220">
      <c r="A4220" s="163" t="s">
        <v>222</v>
      </c>
      <c r="B4220" s="163"/>
      <c r="C4220" s="163"/>
      <c r="J4220" s="165"/>
      <c r="K4220" s="166"/>
      <c r="L4220" s="166"/>
    </row>
    <row r="4221">
      <c r="A4221" s="163" t="s">
        <v>222</v>
      </c>
      <c r="B4221" s="163"/>
      <c r="C4221" s="163"/>
      <c r="J4221" s="165"/>
      <c r="K4221" s="166"/>
      <c r="L4221" s="166"/>
    </row>
    <row r="4222">
      <c r="A4222" s="163" t="s">
        <v>222</v>
      </c>
      <c r="B4222" s="163"/>
      <c r="C4222" s="163"/>
      <c r="J4222" s="165"/>
      <c r="K4222" s="166"/>
      <c r="L4222" s="166"/>
    </row>
    <row r="4223">
      <c r="A4223" s="163" t="s">
        <v>222</v>
      </c>
      <c r="B4223" s="163"/>
      <c r="C4223" s="163"/>
      <c r="J4223" s="165"/>
      <c r="K4223" s="166"/>
      <c r="L4223" s="166"/>
    </row>
    <row r="4224">
      <c r="A4224" s="163" t="s">
        <v>222</v>
      </c>
      <c r="B4224" s="163"/>
      <c r="C4224" s="163"/>
      <c r="J4224" s="165"/>
      <c r="K4224" s="166"/>
      <c r="L4224" s="166"/>
    </row>
    <row r="4225">
      <c r="A4225" s="163" t="s">
        <v>222</v>
      </c>
      <c r="B4225" s="163"/>
      <c r="C4225" s="163"/>
      <c r="J4225" s="165"/>
      <c r="K4225" s="166"/>
      <c r="L4225" s="166"/>
    </row>
    <row r="4226">
      <c r="A4226" s="163" t="s">
        <v>222</v>
      </c>
      <c r="B4226" s="163"/>
      <c r="C4226" s="163"/>
      <c r="J4226" s="165"/>
      <c r="K4226" s="166"/>
      <c r="L4226" s="166"/>
    </row>
    <row r="4227">
      <c r="A4227" s="163" t="s">
        <v>222</v>
      </c>
      <c r="B4227" s="163"/>
      <c r="C4227" s="163"/>
      <c r="J4227" s="165"/>
      <c r="K4227" s="166"/>
      <c r="L4227" s="166"/>
    </row>
    <row r="4228">
      <c r="A4228" s="163" t="s">
        <v>222</v>
      </c>
      <c r="B4228" s="163"/>
      <c r="C4228" s="163"/>
      <c r="J4228" s="165"/>
      <c r="K4228" s="166"/>
      <c r="L4228" s="166"/>
    </row>
    <row r="4229">
      <c r="A4229" s="163" t="s">
        <v>222</v>
      </c>
      <c r="B4229" s="163"/>
      <c r="C4229" s="163"/>
      <c r="J4229" s="165"/>
      <c r="K4229" s="166"/>
      <c r="L4229" s="166"/>
    </row>
    <row r="4230">
      <c r="A4230" s="163" t="s">
        <v>222</v>
      </c>
      <c r="B4230" s="163"/>
      <c r="C4230" s="163"/>
      <c r="J4230" s="165"/>
      <c r="K4230" s="166"/>
      <c r="L4230" s="166"/>
    </row>
    <row r="4231">
      <c r="A4231" s="163" t="s">
        <v>222</v>
      </c>
      <c r="B4231" s="163"/>
      <c r="C4231" s="163"/>
      <c r="J4231" s="165"/>
      <c r="K4231" s="166"/>
      <c r="L4231" s="166"/>
    </row>
    <row r="4232">
      <c r="A4232" s="163" t="s">
        <v>222</v>
      </c>
      <c r="B4232" s="163"/>
      <c r="C4232" s="163"/>
      <c r="J4232" s="165"/>
      <c r="K4232" s="166"/>
      <c r="L4232" s="166"/>
    </row>
    <row r="4233">
      <c r="A4233" s="163" t="s">
        <v>222</v>
      </c>
      <c r="B4233" s="163"/>
      <c r="C4233" s="163"/>
      <c r="J4233" s="165"/>
      <c r="K4233" s="166"/>
      <c r="L4233" s="166"/>
    </row>
    <row r="4234">
      <c r="A4234" s="163" t="s">
        <v>222</v>
      </c>
      <c r="B4234" s="163"/>
      <c r="C4234" s="163"/>
      <c r="J4234" s="165"/>
      <c r="K4234" s="166"/>
      <c r="L4234" s="166"/>
    </row>
    <row r="4235">
      <c r="A4235" s="163" t="s">
        <v>222</v>
      </c>
      <c r="B4235" s="163"/>
      <c r="C4235" s="163"/>
      <c r="J4235" s="165"/>
      <c r="K4235" s="166"/>
      <c r="L4235" s="166"/>
    </row>
    <row r="4236">
      <c r="A4236" s="163" t="s">
        <v>222</v>
      </c>
      <c r="B4236" s="163"/>
      <c r="C4236" s="163"/>
      <c r="J4236" s="165"/>
      <c r="K4236" s="166"/>
      <c r="L4236" s="166"/>
    </row>
    <row r="4237">
      <c r="A4237" s="163" t="s">
        <v>222</v>
      </c>
      <c r="B4237" s="163"/>
      <c r="C4237" s="163"/>
      <c r="J4237" s="165"/>
      <c r="K4237" s="166"/>
      <c r="L4237" s="166"/>
    </row>
    <row r="4238">
      <c r="A4238" s="163" t="s">
        <v>222</v>
      </c>
      <c r="B4238" s="163"/>
      <c r="C4238" s="163"/>
      <c r="J4238" s="165"/>
      <c r="K4238" s="166"/>
      <c r="L4238" s="166"/>
    </row>
    <row r="4239">
      <c r="A4239" s="163" t="s">
        <v>222</v>
      </c>
      <c r="B4239" s="163"/>
      <c r="C4239" s="163"/>
      <c r="J4239" s="165"/>
      <c r="K4239" s="166"/>
      <c r="L4239" s="166"/>
    </row>
    <row r="4240">
      <c r="A4240" s="163" t="s">
        <v>222</v>
      </c>
      <c r="B4240" s="163"/>
      <c r="C4240" s="163"/>
      <c r="J4240" s="165"/>
      <c r="K4240" s="166"/>
      <c r="L4240" s="166"/>
    </row>
    <row r="4241">
      <c r="A4241" s="163" t="s">
        <v>222</v>
      </c>
      <c r="B4241" s="163"/>
      <c r="C4241" s="163"/>
      <c r="J4241" s="165"/>
      <c r="K4241" s="166"/>
      <c r="L4241" s="166"/>
    </row>
    <row r="4242">
      <c r="A4242" s="163" t="s">
        <v>222</v>
      </c>
      <c r="B4242" s="163"/>
      <c r="C4242" s="163"/>
      <c r="J4242" s="165"/>
      <c r="K4242" s="166"/>
      <c r="L4242" s="166"/>
    </row>
    <row r="4243">
      <c r="A4243" s="163" t="s">
        <v>222</v>
      </c>
      <c r="B4243" s="163"/>
      <c r="C4243" s="163"/>
      <c r="J4243" s="165"/>
      <c r="K4243" s="166"/>
      <c r="L4243" s="166"/>
    </row>
    <row r="4244">
      <c r="A4244" s="163" t="s">
        <v>222</v>
      </c>
      <c r="B4244" s="163"/>
      <c r="C4244" s="163"/>
      <c r="J4244" s="165"/>
      <c r="K4244" s="166"/>
      <c r="L4244" s="166"/>
    </row>
    <row r="4245">
      <c r="A4245" s="163" t="s">
        <v>222</v>
      </c>
      <c r="B4245" s="163"/>
      <c r="C4245" s="163"/>
      <c r="J4245" s="165"/>
      <c r="K4245" s="166"/>
      <c r="L4245" s="166"/>
    </row>
    <row r="4246">
      <c r="A4246" s="163" t="s">
        <v>222</v>
      </c>
      <c r="B4246" s="163"/>
      <c r="C4246" s="163"/>
      <c r="J4246" s="165"/>
      <c r="K4246" s="166"/>
      <c r="L4246" s="166"/>
    </row>
    <row r="4247">
      <c r="A4247" s="163" t="s">
        <v>222</v>
      </c>
      <c r="B4247" s="163"/>
      <c r="C4247" s="163"/>
      <c r="J4247" s="165"/>
      <c r="K4247" s="166"/>
      <c r="L4247" s="166"/>
    </row>
    <row r="4248">
      <c r="A4248" s="163" t="s">
        <v>222</v>
      </c>
      <c r="B4248" s="163"/>
      <c r="C4248" s="163"/>
      <c r="J4248" s="165"/>
      <c r="K4248" s="166"/>
      <c r="L4248" s="166"/>
    </row>
    <row r="4249">
      <c r="A4249" s="163" t="s">
        <v>222</v>
      </c>
      <c r="B4249" s="163"/>
      <c r="C4249" s="163"/>
      <c r="J4249" s="165"/>
      <c r="K4249" s="166"/>
      <c r="L4249" s="166"/>
    </row>
    <row r="4250">
      <c r="A4250" s="163" t="s">
        <v>222</v>
      </c>
      <c r="B4250" s="163"/>
      <c r="C4250" s="163"/>
      <c r="J4250" s="165"/>
      <c r="K4250" s="166"/>
      <c r="L4250" s="166"/>
    </row>
    <row r="4251">
      <c r="A4251" s="163" t="s">
        <v>222</v>
      </c>
      <c r="B4251" s="163"/>
      <c r="C4251" s="163"/>
      <c r="J4251" s="165"/>
      <c r="K4251" s="166"/>
      <c r="L4251" s="166"/>
    </row>
    <row r="4252">
      <c r="A4252" s="163" t="s">
        <v>222</v>
      </c>
      <c r="B4252" s="163"/>
      <c r="C4252" s="163"/>
      <c r="J4252" s="165"/>
      <c r="K4252" s="166"/>
      <c r="L4252" s="166"/>
    </row>
    <row r="4253">
      <c r="A4253" s="163" t="s">
        <v>222</v>
      </c>
      <c r="B4253" s="163"/>
      <c r="C4253" s="163"/>
      <c r="J4253" s="165"/>
      <c r="K4253" s="166"/>
      <c r="L4253" s="166"/>
    </row>
    <row r="4254">
      <c r="A4254" s="163" t="s">
        <v>222</v>
      </c>
      <c r="B4254" s="163"/>
      <c r="C4254" s="163"/>
      <c r="J4254" s="165"/>
      <c r="K4254" s="166"/>
      <c r="L4254" s="166"/>
    </row>
    <row r="4255">
      <c r="A4255" s="163" t="s">
        <v>222</v>
      </c>
      <c r="B4255" s="163"/>
      <c r="C4255" s="163"/>
      <c r="J4255" s="165"/>
      <c r="K4255" s="166"/>
      <c r="L4255" s="166"/>
    </row>
    <row r="4256">
      <c r="A4256" s="163" t="s">
        <v>222</v>
      </c>
      <c r="B4256" s="163"/>
      <c r="C4256" s="163"/>
      <c r="J4256" s="165"/>
      <c r="K4256" s="166"/>
      <c r="L4256" s="166"/>
    </row>
    <row r="4257">
      <c r="A4257" s="163" t="s">
        <v>222</v>
      </c>
      <c r="B4257" s="163"/>
      <c r="C4257" s="163"/>
      <c r="J4257" s="165"/>
      <c r="K4257" s="166"/>
      <c r="L4257" s="166"/>
    </row>
    <row r="4258">
      <c r="A4258" s="163" t="s">
        <v>222</v>
      </c>
      <c r="B4258" s="163"/>
      <c r="C4258" s="163"/>
      <c r="J4258" s="165"/>
      <c r="K4258" s="166"/>
      <c r="L4258" s="166"/>
    </row>
    <row r="4259">
      <c r="A4259" s="163" t="s">
        <v>222</v>
      </c>
      <c r="B4259" s="163"/>
      <c r="C4259" s="163"/>
      <c r="J4259" s="165"/>
      <c r="K4259" s="166"/>
      <c r="L4259" s="166"/>
    </row>
    <row r="4260">
      <c r="A4260" s="163" t="s">
        <v>222</v>
      </c>
      <c r="B4260" s="163"/>
      <c r="C4260" s="163"/>
      <c r="J4260" s="165"/>
      <c r="K4260" s="166"/>
      <c r="L4260" s="166"/>
    </row>
    <row r="4261">
      <c r="A4261" s="163" t="s">
        <v>222</v>
      </c>
      <c r="B4261" s="163"/>
      <c r="C4261" s="163"/>
      <c r="J4261" s="165"/>
      <c r="K4261" s="166"/>
      <c r="L4261" s="166"/>
    </row>
    <row r="4262">
      <c r="A4262" s="163" t="s">
        <v>222</v>
      </c>
      <c r="B4262" s="163"/>
      <c r="C4262" s="163"/>
      <c r="J4262" s="165"/>
      <c r="K4262" s="166"/>
      <c r="L4262" s="166"/>
    </row>
    <row r="4263">
      <c r="A4263" s="163" t="s">
        <v>222</v>
      </c>
      <c r="B4263" s="163"/>
      <c r="C4263" s="163"/>
      <c r="J4263" s="165"/>
      <c r="K4263" s="166"/>
      <c r="L4263" s="166"/>
    </row>
    <row r="4264">
      <c r="A4264" s="163" t="s">
        <v>222</v>
      </c>
      <c r="B4264" s="163"/>
      <c r="C4264" s="163"/>
      <c r="J4264" s="165"/>
      <c r="K4264" s="166"/>
      <c r="L4264" s="166"/>
    </row>
    <row r="4265">
      <c r="A4265" s="163" t="s">
        <v>222</v>
      </c>
      <c r="B4265" s="163"/>
      <c r="C4265" s="163"/>
      <c r="J4265" s="165"/>
      <c r="K4265" s="166"/>
      <c r="L4265" s="166"/>
    </row>
    <row r="4266">
      <c r="A4266" s="163" t="s">
        <v>222</v>
      </c>
      <c r="B4266" s="163"/>
      <c r="C4266" s="163"/>
      <c r="J4266" s="165"/>
      <c r="K4266" s="166"/>
      <c r="L4266" s="166"/>
    </row>
    <row r="4267">
      <c r="A4267" s="163" t="s">
        <v>222</v>
      </c>
      <c r="B4267" s="163"/>
      <c r="C4267" s="163"/>
      <c r="J4267" s="165"/>
      <c r="K4267" s="166"/>
      <c r="L4267" s="166"/>
    </row>
    <row r="4268">
      <c r="A4268" s="163" t="s">
        <v>222</v>
      </c>
      <c r="B4268" s="163"/>
      <c r="C4268" s="163"/>
      <c r="J4268" s="165"/>
      <c r="K4268" s="166"/>
      <c r="L4268" s="166"/>
    </row>
    <row r="4269">
      <c r="A4269" s="163" t="s">
        <v>222</v>
      </c>
      <c r="B4269" s="163"/>
      <c r="C4269" s="163"/>
      <c r="J4269" s="165"/>
      <c r="K4269" s="166"/>
      <c r="L4269" s="166"/>
    </row>
    <row r="4270">
      <c r="A4270" s="163" t="s">
        <v>222</v>
      </c>
      <c r="B4270" s="163"/>
      <c r="C4270" s="163"/>
      <c r="J4270" s="165"/>
      <c r="K4270" s="166"/>
      <c r="L4270" s="166"/>
    </row>
    <row r="4271">
      <c r="A4271" s="163" t="s">
        <v>222</v>
      </c>
      <c r="B4271" s="163"/>
      <c r="C4271" s="163"/>
      <c r="J4271" s="165"/>
      <c r="K4271" s="166"/>
      <c r="L4271" s="166"/>
    </row>
    <row r="4272">
      <c r="A4272" s="163" t="s">
        <v>222</v>
      </c>
      <c r="B4272" s="163"/>
      <c r="C4272" s="163"/>
      <c r="J4272" s="165"/>
      <c r="K4272" s="166"/>
      <c r="L4272" s="166"/>
    </row>
    <row r="4273">
      <c r="A4273" s="163" t="s">
        <v>222</v>
      </c>
      <c r="B4273" s="163"/>
      <c r="C4273" s="163"/>
      <c r="J4273" s="165"/>
      <c r="K4273" s="166"/>
      <c r="L4273" s="166"/>
    </row>
    <row r="4274">
      <c r="A4274" s="163" t="s">
        <v>222</v>
      </c>
      <c r="B4274" s="163"/>
      <c r="C4274" s="163"/>
      <c r="J4274" s="165"/>
      <c r="K4274" s="166"/>
      <c r="L4274" s="166"/>
    </row>
    <row r="4275">
      <c r="A4275" s="163" t="s">
        <v>222</v>
      </c>
      <c r="B4275" s="163"/>
      <c r="C4275" s="163"/>
      <c r="J4275" s="165"/>
      <c r="K4275" s="166"/>
      <c r="L4275" s="166"/>
    </row>
    <row r="4276">
      <c r="A4276" s="163" t="s">
        <v>222</v>
      </c>
      <c r="B4276" s="163"/>
      <c r="C4276" s="163"/>
      <c r="J4276" s="165"/>
      <c r="K4276" s="166"/>
      <c r="L4276" s="166"/>
    </row>
    <row r="4277">
      <c r="A4277" s="163" t="s">
        <v>222</v>
      </c>
      <c r="B4277" s="163"/>
      <c r="C4277" s="163"/>
      <c r="J4277" s="165"/>
      <c r="K4277" s="166"/>
      <c r="L4277" s="166"/>
    </row>
    <row r="4278">
      <c r="A4278" s="163" t="s">
        <v>222</v>
      </c>
      <c r="B4278" s="163"/>
      <c r="C4278" s="163"/>
      <c r="J4278" s="165"/>
      <c r="K4278" s="166"/>
      <c r="L4278" s="166"/>
    </row>
    <row r="4279">
      <c r="A4279" s="163" t="s">
        <v>222</v>
      </c>
      <c r="B4279" s="163"/>
      <c r="C4279" s="163"/>
      <c r="J4279" s="165"/>
      <c r="K4279" s="166"/>
      <c r="L4279" s="166"/>
    </row>
    <row r="4280">
      <c r="A4280" s="163" t="s">
        <v>222</v>
      </c>
      <c r="B4280" s="163"/>
      <c r="C4280" s="163"/>
      <c r="J4280" s="165"/>
      <c r="K4280" s="166"/>
      <c r="L4280" s="166"/>
    </row>
    <row r="4281">
      <c r="A4281" s="163" t="s">
        <v>222</v>
      </c>
      <c r="B4281" s="163"/>
      <c r="C4281" s="163"/>
      <c r="J4281" s="165"/>
      <c r="K4281" s="166"/>
      <c r="L4281" s="166"/>
    </row>
    <row r="4282">
      <c r="A4282" s="163" t="s">
        <v>222</v>
      </c>
      <c r="B4282" s="163"/>
      <c r="C4282" s="163"/>
      <c r="J4282" s="165"/>
      <c r="K4282" s="166"/>
      <c r="L4282" s="166"/>
    </row>
    <row r="4283">
      <c r="A4283" s="163" t="s">
        <v>222</v>
      </c>
      <c r="B4283" s="163"/>
      <c r="C4283" s="163"/>
      <c r="J4283" s="165"/>
      <c r="K4283" s="166"/>
      <c r="L4283" s="166"/>
    </row>
    <row r="4284">
      <c r="A4284" s="163" t="s">
        <v>222</v>
      </c>
      <c r="B4284" s="163"/>
      <c r="C4284" s="163"/>
      <c r="J4284" s="165"/>
      <c r="K4284" s="166"/>
      <c r="L4284" s="166"/>
    </row>
    <row r="4285">
      <c r="A4285" s="163" t="s">
        <v>222</v>
      </c>
      <c r="B4285" s="163"/>
      <c r="C4285" s="163"/>
      <c r="J4285" s="165"/>
      <c r="K4285" s="166"/>
      <c r="L4285" s="166"/>
    </row>
    <row r="4286">
      <c r="A4286" s="163" t="s">
        <v>222</v>
      </c>
      <c r="B4286" s="163"/>
      <c r="C4286" s="163"/>
      <c r="J4286" s="165"/>
      <c r="K4286" s="166"/>
      <c r="L4286" s="166"/>
    </row>
    <row r="4287">
      <c r="A4287" s="163" t="s">
        <v>222</v>
      </c>
      <c r="B4287" s="163"/>
      <c r="C4287" s="163"/>
      <c r="J4287" s="165"/>
      <c r="K4287" s="166"/>
      <c r="L4287" s="166"/>
    </row>
    <row r="4288">
      <c r="A4288" s="163" t="s">
        <v>222</v>
      </c>
      <c r="B4288" s="163"/>
      <c r="C4288" s="163"/>
      <c r="J4288" s="165"/>
      <c r="K4288" s="166"/>
      <c r="L4288" s="166"/>
    </row>
    <row r="4289">
      <c r="A4289" s="163" t="s">
        <v>222</v>
      </c>
      <c r="B4289" s="163"/>
      <c r="C4289" s="163"/>
      <c r="J4289" s="165"/>
      <c r="K4289" s="166"/>
      <c r="L4289" s="166"/>
    </row>
    <row r="4290">
      <c r="A4290" s="163" t="s">
        <v>222</v>
      </c>
      <c r="B4290" s="163"/>
      <c r="C4290" s="163"/>
      <c r="J4290" s="165"/>
      <c r="K4290" s="166"/>
      <c r="L4290" s="166"/>
    </row>
    <row r="4291">
      <c r="A4291" s="163" t="s">
        <v>222</v>
      </c>
      <c r="B4291" s="163"/>
      <c r="C4291" s="163"/>
      <c r="J4291" s="165"/>
      <c r="K4291" s="166"/>
      <c r="L4291" s="166"/>
    </row>
    <row r="4292">
      <c r="A4292" s="163" t="s">
        <v>222</v>
      </c>
      <c r="B4292" s="163"/>
      <c r="C4292" s="163"/>
      <c r="J4292" s="165"/>
      <c r="K4292" s="166"/>
      <c r="L4292" s="166"/>
    </row>
    <row r="4293">
      <c r="A4293" s="163" t="s">
        <v>222</v>
      </c>
      <c r="B4293" s="163"/>
      <c r="C4293" s="163"/>
      <c r="J4293" s="165"/>
      <c r="K4293" s="166"/>
      <c r="L4293" s="166"/>
    </row>
    <row r="4294">
      <c r="A4294" s="163" t="s">
        <v>222</v>
      </c>
      <c r="B4294" s="163"/>
      <c r="C4294" s="163"/>
      <c r="J4294" s="165"/>
      <c r="K4294" s="166"/>
      <c r="L4294" s="166"/>
    </row>
    <row r="4295">
      <c r="A4295" s="163" t="s">
        <v>222</v>
      </c>
      <c r="B4295" s="163"/>
      <c r="C4295" s="163"/>
      <c r="J4295" s="165"/>
      <c r="K4295" s="166"/>
      <c r="L4295" s="166"/>
    </row>
    <row r="4296">
      <c r="A4296" s="163" t="s">
        <v>222</v>
      </c>
      <c r="B4296" s="163"/>
      <c r="C4296" s="163"/>
      <c r="J4296" s="165"/>
      <c r="K4296" s="166"/>
      <c r="L4296" s="166"/>
    </row>
    <row r="4297">
      <c r="A4297" s="163" t="s">
        <v>222</v>
      </c>
      <c r="B4297" s="163"/>
      <c r="C4297" s="163"/>
      <c r="J4297" s="165"/>
      <c r="K4297" s="166"/>
      <c r="L4297" s="166"/>
    </row>
    <row r="4298">
      <c r="A4298" s="163" t="s">
        <v>222</v>
      </c>
      <c r="B4298" s="163"/>
      <c r="C4298" s="163"/>
      <c r="J4298" s="165"/>
      <c r="K4298" s="166"/>
      <c r="L4298" s="166"/>
    </row>
    <row r="4299">
      <c r="A4299" s="163" t="s">
        <v>222</v>
      </c>
      <c r="B4299" s="163"/>
      <c r="C4299" s="163"/>
      <c r="J4299" s="165"/>
      <c r="K4299" s="166"/>
      <c r="L4299" s="166"/>
    </row>
    <row r="4300">
      <c r="A4300" s="163" t="s">
        <v>222</v>
      </c>
      <c r="B4300" s="163"/>
      <c r="C4300" s="163"/>
      <c r="J4300" s="165"/>
      <c r="K4300" s="166"/>
      <c r="L4300" s="166"/>
    </row>
    <row r="4301">
      <c r="A4301" s="163" t="s">
        <v>222</v>
      </c>
      <c r="B4301" s="163"/>
      <c r="C4301" s="163"/>
      <c r="J4301" s="165"/>
      <c r="K4301" s="166"/>
      <c r="L4301" s="166"/>
    </row>
    <row r="4302">
      <c r="A4302" s="163" t="s">
        <v>222</v>
      </c>
      <c r="B4302" s="163"/>
      <c r="C4302" s="163"/>
      <c r="J4302" s="165"/>
      <c r="K4302" s="166"/>
      <c r="L4302" s="166"/>
    </row>
    <row r="4303">
      <c r="A4303" s="163" t="s">
        <v>222</v>
      </c>
      <c r="B4303" s="163"/>
      <c r="C4303" s="163"/>
      <c r="J4303" s="165"/>
      <c r="K4303" s="166"/>
      <c r="L4303" s="166"/>
    </row>
    <row r="4304">
      <c r="A4304" s="163" t="s">
        <v>222</v>
      </c>
      <c r="B4304" s="163"/>
      <c r="C4304" s="163"/>
      <c r="J4304" s="165"/>
      <c r="K4304" s="166"/>
      <c r="L4304" s="166"/>
    </row>
    <row r="4305">
      <c r="A4305" s="163" t="s">
        <v>222</v>
      </c>
      <c r="B4305" s="163"/>
      <c r="C4305" s="163"/>
      <c r="J4305" s="165"/>
      <c r="K4305" s="166"/>
      <c r="L4305" s="166"/>
    </row>
    <row r="4306">
      <c r="A4306" s="163" t="s">
        <v>222</v>
      </c>
      <c r="B4306" s="163"/>
      <c r="C4306" s="163"/>
      <c r="J4306" s="165"/>
      <c r="K4306" s="166"/>
      <c r="L4306" s="166"/>
    </row>
    <row r="4307">
      <c r="A4307" s="163" t="s">
        <v>222</v>
      </c>
      <c r="B4307" s="163"/>
      <c r="C4307" s="163"/>
      <c r="J4307" s="165"/>
      <c r="K4307" s="166"/>
      <c r="L4307" s="166"/>
    </row>
    <row r="4308">
      <c r="A4308" s="163" t="s">
        <v>222</v>
      </c>
      <c r="B4308" s="163"/>
      <c r="C4308" s="163"/>
      <c r="J4308" s="165"/>
      <c r="K4308" s="166"/>
      <c r="L4308" s="166"/>
    </row>
    <row r="4309">
      <c r="A4309" s="163" t="s">
        <v>222</v>
      </c>
      <c r="B4309" s="163"/>
      <c r="C4309" s="163"/>
      <c r="J4309" s="165"/>
      <c r="K4309" s="166"/>
      <c r="L4309" s="166"/>
    </row>
    <row r="4310">
      <c r="A4310" s="163" t="s">
        <v>222</v>
      </c>
      <c r="B4310" s="163"/>
      <c r="C4310" s="163"/>
      <c r="J4310" s="165"/>
      <c r="K4310" s="166"/>
      <c r="L4310" s="166"/>
    </row>
    <row r="4311">
      <c r="A4311" s="163" t="s">
        <v>222</v>
      </c>
      <c r="B4311" s="163"/>
      <c r="C4311" s="163"/>
      <c r="J4311" s="165"/>
      <c r="K4311" s="166"/>
      <c r="L4311" s="166"/>
    </row>
    <row r="4312">
      <c r="A4312" s="163" t="s">
        <v>222</v>
      </c>
      <c r="B4312" s="163"/>
      <c r="C4312" s="163"/>
      <c r="J4312" s="165"/>
      <c r="K4312" s="166"/>
      <c r="L4312" s="166"/>
    </row>
    <row r="4313">
      <c r="A4313" s="163" t="s">
        <v>222</v>
      </c>
      <c r="B4313" s="163"/>
      <c r="C4313" s="163"/>
      <c r="J4313" s="165"/>
      <c r="K4313" s="166"/>
      <c r="L4313" s="166"/>
    </row>
    <row r="4314">
      <c r="A4314" s="163" t="s">
        <v>222</v>
      </c>
      <c r="B4314" s="163"/>
      <c r="C4314" s="163"/>
      <c r="J4314" s="165"/>
      <c r="K4314" s="166"/>
      <c r="L4314" s="166"/>
    </row>
    <row r="4315">
      <c r="A4315" s="163" t="s">
        <v>222</v>
      </c>
      <c r="B4315" s="163"/>
      <c r="C4315" s="163"/>
      <c r="J4315" s="165"/>
      <c r="K4315" s="166"/>
      <c r="L4315" s="166"/>
    </row>
    <row r="4316">
      <c r="A4316" s="163" t="s">
        <v>222</v>
      </c>
      <c r="B4316" s="163"/>
      <c r="C4316" s="163"/>
      <c r="J4316" s="165"/>
      <c r="K4316" s="166"/>
      <c r="L4316" s="166"/>
    </row>
    <row r="4317">
      <c r="A4317" s="163" t="s">
        <v>222</v>
      </c>
      <c r="B4317" s="163"/>
      <c r="C4317" s="163"/>
      <c r="J4317" s="165"/>
      <c r="K4317" s="166"/>
      <c r="L4317" s="166"/>
    </row>
    <row r="4318">
      <c r="A4318" s="163" t="s">
        <v>222</v>
      </c>
      <c r="B4318" s="163"/>
      <c r="C4318" s="163"/>
      <c r="J4318" s="165"/>
      <c r="K4318" s="166"/>
      <c r="L4318" s="166"/>
    </row>
    <row r="4319">
      <c r="A4319" s="163" t="s">
        <v>222</v>
      </c>
      <c r="B4319" s="163"/>
      <c r="C4319" s="163"/>
      <c r="J4319" s="165"/>
      <c r="K4319" s="166"/>
      <c r="L4319" s="166"/>
    </row>
    <row r="4320">
      <c r="A4320" s="163" t="s">
        <v>222</v>
      </c>
      <c r="B4320" s="163"/>
      <c r="C4320" s="163"/>
      <c r="J4320" s="165"/>
      <c r="K4320" s="166"/>
      <c r="L4320" s="166"/>
    </row>
    <row r="4321">
      <c r="A4321" s="163" t="s">
        <v>222</v>
      </c>
      <c r="B4321" s="163"/>
      <c r="C4321" s="163"/>
      <c r="J4321" s="165"/>
      <c r="K4321" s="166"/>
      <c r="L4321" s="166"/>
    </row>
    <row r="4322">
      <c r="A4322" s="163" t="s">
        <v>222</v>
      </c>
      <c r="B4322" s="163"/>
      <c r="C4322" s="163"/>
      <c r="J4322" s="165"/>
      <c r="K4322" s="166"/>
      <c r="L4322" s="166"/>
    </row>
    <row r="4323">
      <c r="A4323" s="163" t="s">
        <v>222</v>
      </c>
      <c r="B4323" s="163"/>
      <c r="C4323" s="163"/>
      <c r="J4323" s="165"/>
      <c r="K4323" s="166"/>
      <c r="L4323" s="166"/>
    </row>
    <row r="4324">
      <c r="A4324" s="163" t="s">
        <v>222</v>
      </c>
      <c r="B4324" s="163"/>
      <c r="C4324" s="163"/>
      <c r="J4324" s="165"/>
      <c r="K4324" s="166"/>
      <c r="L4324" s="166"/>
    </row>
    <row r="4325">
      <c r="A4325" s="163" t="s">
        <v>222</v>
      </c>
      <c r="B4325" s="163"/>
      <c r="C4325" s="163"/>
      <c r="J4325" s="165"/>
      <c r="K4325" s="166"/>
      <c r="L4325" s="166"/>
    </row>
    <row r="4326">
      <c r="A4326" s="163" t="s">
        <v>222</v>
      </c>
      <c r="B4326" s="163"/>
      <c r="C4326" s="163"/>
      <c r="J4326" s="165"/>
      <c r="K4326" s="166"/>
      <c r="L4326" s="166"/>
    </row>
    <row r="4327">
      <c r="A4327" s="163" t="s">
        <v>222</v>
      </c>
      <c r="B4327" s="163"/>
      <c r="C4327" s="163"/>
      <c r="J4327" s="165"/>
      <c r="K4327" s="166"/>
      <c r="L4327" s="166"/>
    </row>
    <row r="4328">
      <c r="A4328" s="163" t="s">
        <v>222</v>
      </c>
      <c r="B4328" s="163"/>
      <c r="C4328" s="163"/>
      <c r="J4328" s="165"/>
      <c r="K4328" s="166"/>
      <c r="L4328" s="166"/>
    </row>
    <row r="4329">
      <c r="A4329" s="163" t="s">
        <v>222</v>
      </c>
      <c r="B4329" s="163"/>
      <c r="C4329" s="163"/>
      <c r="J4329" s="165"/>
      <c r="K4329" s="166"/>
      <c r="L4329" s="166"/>
    </row>
    <row r="4330">
      <c r="A4330" s="163" t="s">
        <v>222</v>
      </c>
      <c r="B4330" s="163"/>
      <c r="C4330" s="163"/>
      <c r="J4330" s="165"/>
      <c r="K4330" s="166"/>
      <c r="L4330" s="166"/>
    </row>
    <row r="4331">
      <c r="A4331" s="163" t="s">
        <v>222</v>
      </c>
      <c r="B4331" s="163"/>
      <c r="C4331" s="163"/>
      <c r="J4331" s="165"/>
      <c r="K4331" s="166"/>
      <c r="L4331" s="166"/>
    </row>
    <row r="4332">
      <c r="A4332" s="163" t="s">
        <v>222</v>
      </c>
      <c r="B4332" s="163"/>
      <c r="C4332" s="163"/>
      <c r="J4332" s="165"/>
      <c r="K4332" s="166"/>
      <c r="L4332" s="166"/>
    </row>
    <row r="4333">
      <c r="A4333" s="163" t="s">
        <v>222</v>
      </c>
      <c r="B4333" s="163"/>
      <c r="C4333" s="163"/>
      <c r="J4333" s="165"/>
      <c r="K4333" s="166"/>
      <c r="L4333" s="166"/>
    </row>
    <row r="4334">
      <c r="A4334" s="163" t="s">
        <v>222</v>
      </c>
      <c r="B4334" s="163"/>
      <c r="C4334" s="163"/>
      <c r="J4334" s="165"/>
      <c r="K4334" s="166"/>
      <c r="L4334" s="166"/>
    </row>
    <row r="4335">
      <c r="A4335" s="163" t="s">
        <v>222</v>
      </c>
      <c r="B4335" s="163"/>
      <c r="C4335" s="163"/>
      <c r="J4335" s="165"/>
      <c r="K4335" s="166"/>
      <c r="L4335" s="166"/>
    </row>
    <row r="4336">
      <c r="A4336" s="163" t="s">
        <v>222</v>
      </c>
      <c r="B4336" s="163"/>
      <c r="C4336" s="163"/>
      <c r="J4336" s="165"/>
      <c r="K4336" s="166"/>
      <c r="L4336" s="166"/>
    </row>
    <row r="4337">
      <c r="A4337" s="163" t="s">
        <v>222</v>
      </c>
      <c r="B4337" s="163"/>
      <c r="C4337" s="163"/>
      <c r="J4337" s="165"/>
      <c r="K4337" s="166"/>
      <c r="L4337" s="166"/>
    </row>
    <row r="4338">
      <c r="A4338" s="163" t="s">
        <v>222</v>
      </c>
      <c r="B4338" s="163"/>
      <c r="C4338" s="163"/>
      <c r="J4338" s="165"/>
      <c r="K4338" s="166"/>
      <c r="L4338" s="166"/>
    </row>
    <row r="4339">
      <c r="A4339" s="163" t="s">
        <v>222</v>
      </c>
      <c r="B4339" s="163"/>
      <c r="C4339" s="163"/>
      <c r="J4339" s="165"/>
      <c r="K4339" s="166"/>
      <c r="L4339" s="166"/>
    </row>
    <row r="4340">
      <c r="A4340" s="163" t="s">
        <v>222</v>
      </c>
      <c r="B4340" s="163"/>
      <c r="C4340" s="163"/>
      <c r="J4340" s="165"/>
      <c r="K4340" s="166"/>
      <c r="L4340" s="166"/>
    </row>
    <row r="4341">
      <c r="A4341" s="163" t="s">
        <v>222</v>
      </c>
      <c r="B4341" s="163"/>
      <c r="C4341" s="163"/>
      <c r="J4341" s="165"/>
      <c r="K4341" s="166"/>
      <c r="L4341" s="166"/>
    </row>
    <row r="4342">
      <c r="A4342" s="163" t="s">
        <v>222</v>
      </c>
      <c r="B4342" s="163"/>
      <c r="C4342" s="163"/>
      <c r="J4342" s="165"/>
      <c r="K4342" s="166"/>
      <c r="L4342" s="166"/>
    </row>
    <row r="4343">
      <c r="A4343" s="163" t="s">
        <v>222</v>
      </c>
      <c r="B4343" s="163"/>
      <c r="C4343" s="163"/>
      <c r="J4343" s="165"/>
      <c r="K4343" s="166"/>
      <c r="L4343" s="166"/>
    </row>
    <row r="4344">
      <c r="A4344" s="163" t="s">
        <v>222</v>
      </c>
      <c r="B4344" s="163"/>
      <c r="C4344" s="163"/>
      <c r="J4344" s="165"/>
      <c r="K4344" s="166"/>
      <c r="L4344" s="166"/>
    </row>
    <row r="4345">
      <c r="A4345" s="163" t="s">
        <v>222</v>
      </c>
      <c r="B4345" s="163"/>
      <c r="C4345" s="163"/>
      <c r="J4345" s="165"/>
      <c r="K4345" s="166"/>
      <c r="L4345" s="166"/>
    </row>
    <row r="4346">
      <c r="A4346" s="163" t="s">
        <v>222</v>
      </c>
      <c r="B4346" s="163"/>
      <c r="C4346" s="163"/>
      <c r="J4346" s="165"/>
      <c r="K4346" s="166"/>
      <c r="L4346" s="166"/>
    </row>
    <row r="4347">
      <c r="A4347" s="163" t="s">
        <v>222</v>
      </c>
      <c r="B4347" s="163"/>
      <c r="C4347" s="163"/>
      <c r="J4347" s="165"/>
      <c r="K4347" s="166"/>
      <c r="L4347" s="166"/>
    </row>
    <row r="4348">
      <c r="A4348" s="163" t="s">
        <v>222</v>
      </c>
      <c r="B4348" s="163"/>
      <c r="C4348" s="163"/>
      <c r="J4348" s="165"/>
      <c r="K4348" s="166"/>
      <c r="L4348" s="166"/>
    </row>
    <row r="4349">
      <c r="A4349" s="163" t="s">
        <v>222</v>
      </c>
      <c r="B4349" s="163"/>
      <c r="C4349" s="163"/>
      <c r="J4349" s="165"/>
      <c r="K4349" s="166"/>
      <c r="L4349" s="166"/>
    </row>
    <row r="4350">
      <c r="A4350" s="163" t="s">
        <v>222</v>
      </c>
      <c r="B4350" s="163"/>
      <c r="C4350" s="163"/>
      <c r="J4350" s="165"/>
      <c r="K4350" s="166"/>
      <c r="L4350" s="166"/>
    </row>
    <row r="4351">
      <c r="A4351" s="163" t="s">
        <v>222</v>
      </c>
      <c r="B4351" s="163"/>
      <c r="C4351" s="163"/>
      <c r="J4351" s="165"/>
      <c r="K4351" s="166"/>
      <c r="L4351" s="166"/>
    </row>
    <row r="4352">
      <c r="A4352" s="163" t="s">
        <v>222</v>
      </c>
      <c r="B4352" s="163"/>
      <c r="C4352" s="163"/>
      <c r="J4352" s="165"/>
      <c r="K4352" s="166"/>
      <c r="L4352" s="166"/>
    </row>
    <row r="4353">
      <c r="A4353" s="163" t="s">
        <v>222</v>
      </c>
      <c r="B4353" s="163"/>
      <c r="C4353" s="163"/>
      <c r="J4353" s="165"/>
      <c r="K4353" s="166"/>
      <c r="L4353" s="166"/>
    </row>
    <row r="4354">
      <c r="A4354" s="163" t="s">
        <v>222</v>
      </c>
      <c r="B4354" s="163"/>
      <c r="C4354" s="163"/>
      <c r="J4354" s="165"/>
      <c r="K4354" s="166"/>
      <c r="L4354" s="166"/>
    </row>
    <row r="4355">
      <c r="A4355" s="163" t="s">
        <v>222</v>
      </c>
      <c r="B4355" s="163"/>
      <c r="C4355" s="163"/>
      <c r="J4355" s="165"/>
      <c r="K4355" s="166"/>
      <c r="L4355" s="166"/>
    </row>
    <row r="4356">
      <c r="A4356" s="163" t="s">
        <v>222</v>
      </c>
      <c r="B4356" s="163"/>
      <c r="C4356" s="163"/>
      <c r="J4356" s="165"/>
      <c r="K4356" s="166"/>
      <c r="L4356" s="166"/>
    </row>
    <row r="4357">
      <c r="A4357" s="163" t="s">
        <v>222</v>
      </c>
      <c r="B4357" s="163"/>
      <c r="C4357" s="163"/>
      <c r="J4357" s="165"/>
      <c r="K4357" s="166"/>
      <c r="L4357" s="166"/>
    </row>
    <row r="4358">
      <c r="A4358" s="163" t="s">
        <v>222</v>
      </c>
      <c r="B4358" s="163"/>
      <c r="C4358" s="163"/>
      <c r="J4358" s="165"/>
      <c r="K4358" s="166"/>
      <c r="L4358" s="166"/>
    </row>
    <row r="4359">
      <c r="A4359" s="163" t="s">
        <v>222</v>
      </c>
      <c r="B4359" s="163"/>
      <c r="C4359" s="163"/>
      <c r="J4359" s="165"/>
      <c r="K4359" s="166"/>
      <c r="L4359" s="166"/>
    </row>
    <row r="4360">
      <c r="A4360" s="163" t="s">
        <v>222</v>
      </c>
      <c r="B4360" s="163"/>
      <c r="C4360" s="163"/>
      <c r="J4360" s="165"/>
      <c r="K4360" s="166"/>
      <c r="L4360" s="166"/>
    </row>
    <row r="4361">
      <c r="A4361" s="163" t="s">
        <v>222</v>
      </c>
      <c r="B4361" s="163"/>
      <c r="C4361" s="163"/>
      <c r="J4361" s="165"/>
      <c r="K4361" s="166"/>
      <c r="L4361" s="166"/>
    </row>
    <row r="4362">
      <c r="A4362" s="163" t="s">
        <v>222</v>
      </c>
      <c r="B4362" s="163"/>
      <c r="C4362" s="163"/>
      <c r="J4362" s="165"/>
      <c r="K4362" s="166"/>
      <c r="L4362" s="166"/>
    </row>
    <row r="4363">
      <c r="A4363" s="163" t="s">
        <v>222</v>
      </c>
      <c r="B4363" s="163"/>
      <c r="C4363" s="163"/>
      <c r="J4363" s="165"/>
      <c r="K4363" s="166"/>
      <c r="L4363" s="166"/>
    </row>
    <row r="4364">
      <c r="A4364" s="163" t="s">
        <v>222</v>
      </c>
      <c r="B4364" s="163"/>
      <c r="C4364" s="163"/>
      <c r="J4364" s="165"/>
      <c r="K4364" s="166"/>
      <c r="L4364" s="166"/>
    </row>
    <row r="4365">
      <c r="A4365" s="163" t="s">
        <v>222</v>
      </c>
      <c r="B4365" s="163"/>
      <c r="C4365" s="163"/>
      <c r="J4365" s="165"/>
      <c r="K4365" s="166"/>
      <c r="L4365" s="166"/>
    </row>
    <row r="4366">
      <c r="A4366" s="163" t="s">
        <v>222</v>
      </c>
      <c r="B4366" s="163"/>
      <c r="C4366" s="163"/>
      <c r="J4366" s="165"/>
      <c r="K4366" s="166"/>
      <c r="L4366" s="166"/>
    </row>
    <row r="4367">
      <c r="A4367" s="163" t="s">
        <v>222</v>
      </c>
      <c r="B4367" s="163"/>
      <c r="C4367" s="163"/>
      <c r="J4367" s="165"/>
      <c r="K4367" s="166"/>
      <c r="L4367" s="166"/>
    </row>
    <row r="4368">
      <c r="A4368" s="163" t="s">
        <v>222</v>
      </c>
      <c r="B4368" s="163"/>
      <c r="C4368" s="163"/>
      <c r="J4368" s="165"/>
      <c r="K4368" s="166"/>
      <c r="L4368" s="166"/>
    </row>
    <row r="4369">
      <c r="A4369" s="163" t="s">
        <v>222</v>
      </c>
      <c r="B4369" s="163"/>
      <c r="C4369" s="163"/>
      <c r="J4369" s="165"/>
      <c r="K4369" s="166"/>
      <c r="L4369" s="166"/>
    </row>
    <row r="4370">
      <c r="A4370" s="163" t="s">
        <v>222</v>
      </c>
      <c r="B4370" s="163"/>
      <c r="C4370" s="163"/>
      <c r="J4370" s="165"/>
      <c r="K4370" s="166"/>
      <c r="L4370" s="166"/>
    </row>
    <row r="4371">
      <c r="A4371" s="163" t="s">
        <v>222</v>
      </c>
      <c r="B4371" s="163"/>
      <c r="C4371" s="163"/>
      <c r="J4371" s="165"/>
      <c r="K4371" s="166"/>
      <c r="L4371" s="166"/>
    </row>
    <row r="4372">
      <c r="A4372" s="163" t="s">
        <v>222</v>
      </c>
      <c r="B4372" s="163"/>
      <c r="C4372" s="163"/>
      <c r="J4372" s="165"/>
      <c r="K4372" s="166"/>
      <c r="L4372" s="166"/>
    </row>
    <row r="4373">
      <c r="A4373" s="163" t="s">
        <v>222</v>
      </c>
      <c r="B4373" s="163"/>
      <c r="C4373" s="163"/>
      <c r="J4373" s="165"/>
      <c r="K4373" s="166"/>
      <c r="L4373" s="166"/>
    </row>
    <row r="4374">
      <c r="A4374" s="163" t="s">
        <v>222</v>
      </c>
      <c r="B4374" s="163"/>
      <c r="C4374" s="163"/>
      <c r="J4374" s="165"/>
      <c r="K4374" s="166"/>
      <c r="L4374" s="166"/>
    </row>
    <row r="4375">
      <c r="A4375" s="163" t="s">
        <v>222</v>
      </c>
      <c r="B4375" s="163"/>
      <c r="C4375" s="163"/>
      <c r="J4375" s="165"/>
      <c r="K4375" s="166"/>
      <c r="L4375" s="166"/>
    </row>
    <row r="4376">
      <c r="A4376" s="163" t="s">
        <v>222</v>
      </c>
      <c r="B4376" s="163"/>
      <c r="C4376" s="163"/>
      <c r="J4376" s="165"/>
      <c r="K4376" s="166"/>
      <c r="L4376" s="166"/>
    </row>
    <row r="4377">
      <c r="A4377" s="163" t="s">
        <v>222</v>
      </c>
      <c r="B4377" s="163"/>
      <c r="C4377" s="163"/>
      <c r="J4377" s="165"/>
      <c r="K4377" s="166"/>
      <c r="L4377" s="166"/>
    </row>
    <row r="4378">
      <c r="A4378" s="163" t="s">
        <v>222</v>
      </c>
      <c r="B4378" s="163"/>
      <c r="C4378" s="163"/>
      <c r="J4378" s="165"/>
      <c r="K4378" s="166"/>
      <c r="L4378" s="166"/>
    </row>
    <row r="4379">
      <c r="A4379" s="163" t="s">
        <v>222</v>
      </c>
      <c r="B4379" s="163"/>
      <c r="C4379" s="163"/>
      <c r="J4379" s="165"/>
      <c r="K4379" s="166"/>
      <c r="L4379" s="166"/>
    </row>
    <row r="4380">
      <c r="A4380" s="163" t="s">
        <v>222</v>
      </c>
      <c r="B4380" s="163"/>
      <c r="C4380" s="163"/>
      <c r="J4380" s="165"/>
      <c r="K4380" s="166"/>
      <c r="L4380" s="166"/>
    </row>
    <row r="4381">
      <c r="A4381" s="163" t="s">
        <v>222</v>
      </c>
      <c r="B4381" s="163"/>
      <c r="C4381" s="163"/>
      <c r="J4381" s="165"/>
      <c r="K4381" s="166"/>
      <c r="L4381" s="166"/>
    </row>
    <row r="4382">
      <c r="A4382" s="163" t="s">
        <v>222</v>
      </c>
      <c r="B4382" s="163"/>
      <c r="C4382" s="163"/>
      <c r="J4382" s="165"/>
      <c r="K4382" s="166"/>
      <c r="L4382" s="166"/>
    </row>
    <row r="4383">
      <c r="A4383" s="163" t="s">
        <v>222</v>
      </c>
      <c r="B4383" s="163"/>
      <c r="C4383" s="163"/>
      <c r="J4383" s="165"/>
      <c r="K4383" s="166"/>
      <c r="L4383" s="166"/>
    </row>
    <row r="4384">
      <c r="A4384" s="163" t="s">
        <v>222</v>
      </c>
      <c r="B4384" s="163"/>
      <c r="C4384" s="163"/>
      <c r="J4384" s="165"/>
      <c r="K4384" s="166"/>
      <c r="L4384" s="166"/>
    </row>
    <row r="4385">
      <c r="A4385" s="163" t="s">
        <v>222</v>
      </c>
      <c r="B4385" s="163"/>
      <c r="C4385" s="163"/>
      <c r="J4385" s="165"/>
      <c r="K4385" s="166"/>
      <c r="L4385" s="166"/>
    </row>
    <row r="4386">
      <c r="A4386" s="163" t="s">
        <v>222</v>
      </c>
      <c r="B4386" s="163"/>
      <c r="C4386" s="163"/>
      <c r="J4386" s="165"/>
      <c r="K4386" s="166"/>
      <c r="L4386" s="166"/>
    </row>
    <row r="4387">
      <c r="A4387" s="163" t="s">
        <v>222</v>
      </c>
      <c r="B4387" s="163"/>
      <c r="C4387" s="163"/>
      <c r="J4387" s="165"/>
      <c r="K4387" s="166"/>
      <c r="L4387" s="166"/>
    </row>
    <row r="4388">
      <c r="A4388" s="163" t="s">
        <v>222</v>
      </c>
      <c r="B4388" s="163"/>
      <c r="C4388" s="163"/>
      <c r="J4388" s="165"/>
      <c r="K4388" s="166"/>
      <c r="L4388" s="166"/>
    </row>
    <row r="4389">
      <c r="A4389" s="163" t="s">
        <v>222</v>
      </c>
      <c r="B4389" s="163"/>
      <c r="C4389" s="163"/>
      <c r="J4389" s="165"/>
      <c r="K4389" s="166"/>
      <c r="L4389" s="166"/>
    </row>
    <row r="4390">
      <c r="A4390" s="163" t="s">
        <v>222</v>
      </c>
      <c r="B4390" s="163"/>
      <c r="C4390" s="163"/>
      <c r="J4390" s="165"/>
      <c r="K4390" s="166"/>
      <c r="L4390" s="166"/>
    </row>
    <row r="4391">
      <c r="A4391" s="163" t="s">
        <v>222</v>
      </c>
      <c r="B4391" s="163"/>
      <c r="C4391" s="163"/>
      <c r="J4391" s="165"/>
      <c r="K4391" s="166"/>
      <c r="L4391" s="166"/>
    </row>
    <row r="4392">
      <c r="A4392" s="163" t="s">
        <v>222</v>
      </c>
      <c r="B4392" s="163"/>
      <c r="C4392" s="163"/>
      <c r="J4392" s="165"/>
      <c r="K4392" s="166"/>
      <c r="L4392" s="166"/>
    </row>
    <row r="4393">
      <c r="A4393" s="163" t="s">
        <v>222</v>
      </c>
      <c r="B4393" s="163"/>
      <c r="C4393" s="163"/>
      <c r="J4393" s="165"/>
      <c r="K4393" s="166"/>
      <c r="L4393" s="166"/>
    </row>
    <row r="4394">
      <c r="A4394" s="163" t="s">
        <v>222</v>
      </c>
      <c r="B4394" s="163"/>
      <c r="C4394" s="163"/>
      <c r="J4394" s="165"/>
      <c r="K4394" s="166"/>
      <c r="L4394" s="166"/>
    </row>
    <row r="4395">
      <c r="A4395" s="163" t="s">
        <v>222</v>
      </c>
      <c r="B4395" s="163"/>
      <c r="C4395" s="163"/>
      <c r="J4395" s="165"/>
      <c r="K4395" s="166"/>
      <c r="L4395" s="166"/>
    </row>
    <row r="4396">
      <c r="A4396" s="163" t="s">
        <v>222</v>
      </c>
      <c r="B4396" s="163"/>
      <c r="C4396" s="163"/>
      <c r="J4396" s="165"/>
      <c r="K4396" s="166"/>
      <c r="L4396" s="166"/>
    </row>
    <row r="4397">
      <c r="A4397" s="163" t="s">
        <v>222</v>
      </c>
      <c r="B4397" s="163"/>
      <c r="C4397" s="163"/>
      <c r="J4397" s="165"/>
      <c r="K4397" s="166"/>
      <c r="L4397" s="166"/>
    </row>
    <row r="4398">
      <c r="A4398" s="163" t="s">
        <v>222</v>
      </c>
      <c r="B4398" s="163"/>
      <c r="C4398" s="163"/>
      <c r="J4398" s="165"/>
      <c r="K4398" s="166"/>
      <c r="L4398" s="166"/>
    </row>
    <row r="4399">
      <c r="A4399" s="163" t="s">
        <v>222</v>
      </c>
      <c r="B4399" s="163"/>
      <c r="C4399" s="163"/>
      <c r="J4399" s="165"/>
      <c r="K4399" s="166"/>
      <c r="L4399" s="166"/>
    </row>
    <row r="4400">
      <c r="A4400" s="163" t="s">
        <v>222</v>
      </c>
      <c r="B4400" s="163"/>
      <c r="C4400" s="163"/>
      <c r="J4400" s="165"/>
      <c r="K4400" s="166"/>
      <c r="L4400" s="166"/>
    </row>
    <row r="4401">
      <c r="A4401" s="163" t="s">
        <v>222</v>
      </c>
      <c r="B4401" s="163"/>
      <c r="C4401" s="163"/>
      <c r="J4401" s="165"/>
      <c r="K4401" s="166"/>
      <c r="L4401" s="166"/>
    </row>
    <row r="4402">
      <c r="A4402" s="163" t="s">
        <v>222</v>
      </c>
      <c r="B4402" s="163"/>
      <c r="C4402" s="163"/>
      <c r="J4402" s="165"/>
      <c r="K4402" s="166"/>
      <c r="L4402" s="166"/>
    </row>
    <row r="4403">
      <c r="A4403" s="163" t="s">
        <v>222</v>
      </c>
      <c r="B4403" s="163"/>
      <c r="C4403" s="163"/>
      <c r="J4403" s="165"/>
      <c r="K4403" s="166"/>
      <c r="L4403" s="166"/>
    </row>
    <row r="4404">
      <c r="A4404" s="163" t="s">
        <v>222</v>
      </c>
      <c r="B4404" s="163"/>
      <c r="C4404" s="163"/>
      <c r="J4404" s="165"/>
      <c r="K4404" s="166"/>
      <c r="L4404" s="166"/>
    </row>
    <row r="4405">
      <c r="A4405" s="163" t="s">
        <v>222</v>
      </c>
      <c r="B4405" s="163"/>
      <c r="C4405" s="163"/>
      <c r="J4405" s="165"/>
      <c r="K4405" s="166"/>
      <c r="L4405" s="166"/>
    </row>
    <row r="4406">
      <c r="A4406" s="163" t="s">
        <v>222</v>
      </c>
      <c r="B4406" s="163"/>
      <c r="C4406" s="163"/>
      <c r="J4406" s="165"/>
      <c r="K4406" s="166"/>
      <c r="L4406" s="166"/>
    </row>
    <row r="4407">
      <c r="A4407" s="163" t="s">
        <v>222</v>
      </c>
      <c r="B4407" s="163"/>
      <c r="C4407" s="163"/>
      <c r="J4407" s="165"/>
      <c r="K4407" s="166"/>
      <c r="L4407" s="166"/>
    </row>
    <row r="4408">
      <c r="A4408" s="163" t="s">
        <v>222</v>
      </c>
      <c r="B4408" s="163"/>
      <c r="C4408" s="163"/>
      <c r="J4408" s="165"/>
      <c r="K4408" s="166"/>
      <c r="L4408" s="166"/>
    </row>
    <row r="4409">
      <c r="A4409" s="163" t="s">
        <v>222</v>
      </c>
      <c r="B4409" s="163"/>
      <c r="C4409" s="163"/>
      <c r="J4409" s="165"/>
      <c r="K4409" s="166"/>
      <c r="L4409" s="166"/>
    </row>
    <row r="4410">
      <c r="A4410" s="163" t="s">
        <v>222</v>
      </c>
      <c r="B4410" s="163"/>
      <c r="C4410" s="163"/>
      <c r="J4410" s="165"/>
      <c r="K4410" s="166"/>
      <c r="L4410" s="166"/>
    </row>
    <row r="4411">
      <c r="A4411" s="163" t="s">
        <v>222</v>
      </c>
      <c r="B4411" s="163"/>
      <c r="C4411" s="163"/>
      <c r="J4411" s="165"/>
      <c r="K4411" s="166"/>
      <c r="L4411" s="166"/>
    </row>
    <row r="4412">
      <c r="A4412" s="163" t="s">
        <v>222</v>
      </c>
      <c r="B4412" s="163"/>
      <c r="C4412" s="163"/>
      <c r="J4412" s="165"/>
      <c r="K4412" s="166"/>
      <c r="L4412" s="166"/>
    </row>
    <row r="4413">
      <c r="A4413" s="163" t="s">
        <v>222</v>
      </c>
      <c r="B4413" s="163"/>
      <c r="C4413" s="163"/>
      <c r="J4413" s="165"/>
      <c r="K4413" s="166"/>
      <c r="L4413" s="166"/>
    </row>
    <row r="4414">
      <c r="A4414" s="163" t="s">
        <v>222</v>
      </c>
      <c r="B4414" s="163"/>
      <c r="C4414" s="163"/>
      <c r="J4414" s="165"/>
      <c r="K4414" s="166"/>
      <c r="L4414" s="166"/>
    </row>
    <row r="4415">
      <c r="A4415" s="163" t="s">
        <v>222</v>
      </c>
      <c r="B4415" s="163"/>
      <c r="C4415" s="163"/>
      <c r="J4415" s="165"/>
      <c r="K4415" s="166"/>
      <c r="L4415" s="166"/>
    </row>
    <row r="4416">
      <c r="A4416" s="163" t="s">
        <v>222</v>
      </c>
      <c r="B4416" s="163"/>
      <c r="C4416" s="163"/>
      <c r="J4416" s="165"/>
      <c r="K4416" s="166"/>
      <c r="L4416" s="166"/>
    </row>
    <row r="4417">
      <c r="A4417" s="163" t="s">
        <v>222</v>
      </c>
      <c r="B4417" s="163"/>
      <c r="C4417" s="163"/>
      <c r="J4417" s="165"/>
      <c r="K4417" s="166"/>
      <c r="L4417" s="166"/>
    </row>
    <row r="4418">
      <c r="A4418" s="163" t="s">
        <v>222</v>
      </c>
      <c r="B4418" s="163"/>
      <c r="C4418" s="163"/>
      <c r="J4418" s="165"/>
      <c r="K4418" s="166"/>
      <c r="L4418" s="166"/>
    </row>
    <row r="4419">
      <c r="A4419" s="163" t="s">
        <v>222</v>
      </c>
      <c r="B4419" s="163"/>
      <c r="C4419" s="163"/>
      <c r="J4419" s="165"/>
      <c r="K4419" s="166"/>
      <c r="L4419" s="166"/>
    </row>
    <row r="4420">
      <c r="A4420" s="163" t="s">
        <v>222</v>
      </c>
      <c r="B4420" s="163"/>
      <c r="C4420" s="163"/>
      <c r="J4420" s="165"/>
      <c r="K4420" s="166"/>
      <c r="L4420" s="166"/>
    </row>
    <row r="4421">
      <c r="A4421" s="163" t="s">
        <v>222</v>
      </c>
      <c r="B4421" s="163"/>
      <c r="C4421" s="163"/>
      <c r="J4421" s="165"/>
      <c r="K4421" s="166"/>
      <c r="L4421" s="166"/>
    </row>
    <row r="4422">
      <c r="A4422" s="163" t="s">
        <v>222</v>
      </c>
      <c r="B4422" s="163"/>
      <c r="C4422" s="163"/>
      <c r="J4422" s="165"/>
      <c r="K4422" s="166"/>
      <c r="L4422" s="166"/>
    </row>
    <row r="4423">
      <c r="A4423" s="163" t="s">
        <v>222</v>
      </c>
      <c r="B4423" s="163"/>
      <c r="C4423" s="163"/>
      <c r="J4423" s="165"/>
      <c r="K4423" s="166"/>
      <c r="L4423" s="166"/>
    </row>
    <row r="4424">
      <c r="A4424" s="163" t="s">
        <v>222</v>
      </c>
      <c r="B4424" s="163"/>
      <c r="C4424" s="163"/>
      <c r="J4424" s="165"/>
      <c r="K4424" s="166"/>
      <c r="L4424" s="166"/>
    </row>
    <row r="4425">
      <c r="A4425" s="163" t="s">
        <v>222</v>
      </c>
      <c r="B4425" s="163"/>
      <c r="C4425" s="163"/>
      <c r="J4425" s="165"/>
      <c r="K4425" s="166"/>
      <c r="L4425" s="166"/>
    </row>
    <row r="4426">
      <c r="A4426" s="163" t="s">
        <v>222</v>
      </c>
      <c r="B4426" s="163"/>
      <c r="C4426" s="163"/>
      <c r="J4426" s="165"/>
      <c r="K4426" s="166"/>
      <c r="L4426" s="166"/>
    </row>
    <row r="4427">
      <c r="A4427" s="163" t="s">
        <v>222</v>
      </c>
      <c r="B4427" s="163"/>
      <c r="C4427" s="163"/>
      <c r="J4427" s="165"/>
      <c r="K4427" s="166"/>
      <c r="L4427" s="166"/>
    </row>
    <row r="4428">
      <c r="A4428" s="163" t="s">
        <v>222</v>
      </c>
      <c r="B4428" s="163"/>
      <c r="C4428" s="163"/>
      <c r="J4428" s="165"/>
      <c r="K4428" s="166"/>
      <c r="L4428" s="166"/>
    </row>
    <row r="4429">
      <c r="A4429" s="163" t="s">
        <v>222</v>
      </c>
      <c r="B4429" s="163"/>
      <c r="C4429" s="163"/>
      <c r="J4429" s="165"/>
      <c r="K4429" s="166"/>
      <c r="L4429" s="166"/>
    </row>
    <row r="4430">
      <c r="A4430" s="163" t="s">
        <v>222</v>
      </c>
      <c r="B4430" s="163"/>
      <c r="C4430" s="163"/>
      <c r="J4430" s="165"/>
      <c r="K4430" s="166"/>
      <c r="L4430" s="166"/>
    </row>
    <row r="4431">
      <c r="A4431" s="163" t="s">
        <v>222</v>
      </c>
      <c r="B4431" s="163"/>
      <c r="C4431" s="163"/>
      <c r="J4431" s="165"/>
      <c r="K4431" s="166"/>
      <c r="L4431" s="166"/>
    </row>
    <row r="4432">
      <c r="A4432" s="163" t="s">
        <v>222</v>
      </c>
      <c r="B4432" s="163"/>
      <c r="C4432" s="163"/>
      <c r="J4432" s="165"/>
      <c r="K4432" s="166"/>
      <c r="L4432" s="166"/>
    </row>
    <row r="4433">
      <c r="A4433" s="163" t="s">
        <v>222</v>
      </c>
      <c r="B4433" s="163"/>
      <c r="C4433" s="163"/>
      <c r="J4433" s="165"/>
      <c r="K4433" s="166"/>
      <c r="L4433" s="166"/>
    </row>
    <row r="4434">
      <c r="A4434" s="163" t="s">
        <v>222</v>
      </c>
      <c r="B4434" s="163"/>
      <c r="C4434" s="163"/>
      <c r="J4434" s="165"/>
      <c r="K4434" s="166"/>
      <c r="L4434" s="166"/>
    </row>
    <row r="4435">
      <c r="A4435" s="163" t="s">
        <v>222</v>
      </c>
      <c r="B4435" s="163"/>
      <c r="C4435" s="163"/>
      <c r="J4435" s="165"/>
      <c r="K4435" s="166"/>
      <c r="L4435" s="166"/>
    </row>
    <row r="4436">
      <c r="A4436" s="163" t="s">
        <v>222</v>
      </c>
      <c r="B4436" s="163"/>
      <c r="C4436" s="163"/>
      <c r="J4436" s="165"/>
      <c r="K4436" s="166"/>
      <c r="L4436" s="166"/>
    </row>
    <row r="4437">
      <c r="A4437" s="163" t="s">
        <v>222</v>
      </c>
      <c r="B4437" s="163"/>
      <c r="C4437" s="163"/>
      <c r="J4437" s="165"/>
      <c r="K4437" s="166"/>
      <c r="L4437" s="166"/>
    </row>
    <row r="4438">
      <c r="A4438" s="163" t="s">
        <v>222</v>
      </c>
      <c r="B4438" s="163"/>
      <c r="C4438" s="163"/>
      <c r="J4438" s="165"/>
      <c r="K4438" s="166"/>
      <c r="L4438" s="166"/>
    </row>
    <row r="4439">
      <c r="A4439" s="163" t="s">
        <v>222</v>
      </c>
      <c r="B4439" s="163"/>
      <c r="C4439" s="163"/>
      <c r="J4439" s="165"/>
      <c r="K4439" s="166"/>
      <c r="L4439" s="166"/>
    </row>
    <row r="4440">
      <c r="A4440" s="163" t="s">
        <v>222</v>
      </c>
      <c r="B4440" s="163"/>
      <c r="C4440" s="163"/>
      <c r="J4440" s="165"/>
      <c r="K4440" s="166"/>
      <c r="L4440" s="166"/>
    </row>
    <row r="4441">
      <c r="A4441" s="163" t="s">
        <v>222</v>
      </c>
      <c r="B4441" s="163"/>
      <c r="C4441" s="163"/>
      <c r="J4441" s="165"/>
      <c r="K4441" s="166"/>
      <c r="L4441" s="166"/>
    </row>
    <row r="4442">
      <c r="A4442" s="163" t="s">
        <v>222</v>
      </c>
      <c r="B4442" s="163"/>
      <c r="C4442" s="163"/>
      <c r="J4442" s="165"/>
      <c r="K4442" s="166"/>
      <c r="L4442" s="166"/>
    </row>
    <row r="4443">
      <c r="A4443" s="163" t="s">
        <v>222</v>
      </c>
      <c r="B4443" s="163"/>
      <c r="C4443" s="163"/>
      <c r="J4443" s="165"/>
      <c r="K4443" s="166"/>
      <c r="L4443" s="166"/>
    </row>
    <row r="4444">
      <c r="A4444" s="163" t="s">
        <v>222</v>
      </c>
      <c r="B4444" s="163"/>
      <c r="C4444" s="163"/>
      <c r="J4444" s="165"/>
      <c r="K4444" s="166"/>
      <c r="L4444" s="166"/>
    </row>
    <row r="4445">
      <c r="A4445" s="163" t="s">
        <v>222</v>
      </c>
      <c r="B4445" s="163"/>
      <c r="C4445" s="163"/>
      <c r="J4445" s="165"/>
      <c r="K4445" s="166"/>
      <c r="L4445" s="166"/>
    </row>
    <row r="4446">
      <c r="A4446" s="163" t="s">
        <v>222</v>
      </c>
      <c r="B4446" s="163"/>
      <c r="C4446" s="163"/>
      <c r="J4446" s="165"/>
      <c r="K4446" s="166"/>
      <c r="L4446" s="166"/>
    </row>
    <row r="4447">
      <c r="A4447" s="163" t="s">
        <v>222</v>
      </c>
      <c r="B4447" s="163"/>
      <c r="C4447" s="163"/>
      <c r="J4447" s="165"/>
      <c r="K4447" s="166"/>
      <c r="L4447" s="166"/>
    </row>
    <row r="4448">
      <c r="A4448" s="163" t="s">
        <v>222</v>
      </c>
      <c r="B4448" s="163"/>
      <c r="C4448" s="163"/>
      <c r="J4448" s="165"/>
      <c r="K4448" s="166"/>
      <c r="L4448" s="166"/>
    </row>
    <row r="4449">
      <c r="A4449" s="163" t="s">
        <v>222</v>
      </c>
      <c r="B4449" s="163"/>
      <c r="C4449" s="163"/>
      <c r="J4449" s="165"/>
      <c r="K4449" s="166"/>
      <c r="L4449" s="166"/>
    </row>
    <row r="4450">
      <c r="A4450" s="163" t="s">
        <v>222</v>
      </c>
      <c r="B4450" s="163"/>
      <c r="C4450" s="163"/>
      <c r="J4450" s="165"/>
      <c r="K4450" s="166"/>
      <c r="L4450" s="166"/>
    </row>
    <row r="4451">
      <c r="A4451" s="163" t="s">
        <v>222</v>
      </c>
      <c r="B4451" s="163"/>
      <c r="C4451" s="163"/>
      <c r="J4451" s="165"/>
      <c r="K4451" s="166"/>
      <c r="L4451" s="166"/>
    </row>
    <row r="4452">
      <c r="A4452" s="163" t="s">
        <v>222</v>
      </c>
      <c r="B4452" s="163"/>
      <c r="C4452" s="163"/>
      <c r="J4452" s="165"/>
      <c r="K4452" s="166"/>
      <c r="L4452" s="166"/>
    </row>
    <row r="4453">
      <c r="A4453" s="163" t="s">
        <v>222</v>
      </c>
      <c r="B4453" s="163"/>
      <c r="C4453" s="163"/>
      <c r="J4453" s="165"/>
      <c r="K4453" s="166"/>
      <c r="L4453" s="166"/>
    </row>
    <row r="4454">
      <c r="A4454" s="163" t="s">
        <v>222</v>
      </c>
      <c r="B4454" s="163"/>
      <c r="C4454" s="163"/>
      <c r="J4454" s="165"/>
      <c r="K4454" s="166"/>
      <c r="L4454" s="166"/>
    </row>
    <row r="4455">
      <c r="A4455" s="163" t="s">
        <v>222</v>
      </c>
      <c r="B4455" s="163"/>
      <c r="C4455" s="163"/>
      <c r="J4455" s="165"/>
      <c r="K4455" s="166"/>
      <c r="L4455" s="166"/>
    </row>
    <row r="4456">
      <c r="A4456" s="163" t="s">
        <v>222</v>
      </c>
      <c r="B4456" s="163"/>
      <c r="C4456" s="163"/>
      <c r="J4456" s="165"/>
      <c r="K4456" s="166"/>
      <c r="L4456" s="166"/>
    </row>
    <row r="4457">
      <c r="A4457" s="163" t="s">
        <v>222</v>
      </c>
      <c r="B4457" s="163"/>
      <c r="C4457" s="163"/>
      <c r="J4457" s="165"/>
      <c r="K4457" s="166"/>
      <c r="L4457" s="166"/>
    </row>
    <row r="4458">
      <c r="A4458" s="163" t="s">
        <v>222</v>
      </c>
      <c r="B4458" s="163"/>
      <c r="C4458" s="163"/>
      <c r="J4458" s="165"/>
      <c r="K4458" s="166"/>
      <c r="L4458" s="166"/>
    </row>
    <row r="4459">
      <c r="A4459" s="163" t="s">
        <v>222</v>
      </c>
      <c r="B4459" s="163"/>
      <c r="C4459" s="163"/>
      <c r="J4459" s="165"/>
      <c r="K4459" s="166"/>
      <c r="L4459" s="166"/>
    </row>
    <row r="4460">
      <c r="A4460" s="163" t="s">
        <v>222</v>
      </c>
      <c r="B4460" s="163"/>
      <c r="C4460" s="163"/>
      <c r="J4460" s="165"/>
      <c r="K4460" s="166"/>
      <c r="L4460" s="166"/>
    </row>
    <row r="4461">
      <c r="A4461" s="163" t="s">
        <v>222</v>
      </c>
      <c r="B4461" s="163"/>
      <c r="C4461" s="163"/>
      <c r="J4461" s="165"/>
      <c r="K4461" s="166"/>
      <c r="L4461" s="166"/>
    </row>
    <row r="4462">
      <c r="A4462" s="163" t="s">
        <v>222</v>
      </c>
      <c r="B4462" s="163"/>
      <c r="C4462" s="163"/>
      <c r="J4462" s="165"/>
      <c r="K4462" s="166"/>
      <c r="L4462" s="166"/>
    </row>
    <row r="4463">
      <c r="A4463" s="163" t="s">
        <v>222</v>
      </c>
      <c r="B4463" s="163"/>
      <c r="C4463" s="163"/>
      <c r="J4463" s="165"/>
      <c r="K4463" s="166"/>
      <c r="L4463" s="166"/>
    </row>
    <row r="4464">
      <c r="A4464" s="163" t="s">
        <v>222</v>
      </c>
      <c r="B4464" s="163"/>
      <c r="C4464" s="163"/>
      <c r="J4464" s="165"/>
      <c r="K4464" s="166"/>
      <c r="L4464" s="166"/>
    </row>
    <row r="4465">
      <c r="A4465" s="163" t="s">
        <v>222</v>
      </c>
      <c r="B4465" s="163"/>
      <c r="C4465" s="163"/>
      <c r="J4465" s="165"/>
      <c r="K4465" s="166"/>
      <c r="L4465" s="166"/>
    </row>
    <row r="4466">
      <c r="A4466" s="163" t="s">
        <v>222</v>
      </c>
      <c r="B4466" s="163"/>
      <c r="C4466" s="163"/>
      <c r="J4466" s="165"/>
      <c r="K4466" s="166"/>
      <c r="L4466" s="166"/>
    </row>
    <row r="4467">
      <c r="A4467" s="163" t="s">
        <v>222</v>
      </c>
      <c r="B4467" s="163"/>
      <c r="C4467" s="163"/>
      <c r="J4467" s="165"/>
      <c r="K4467" s="166"/>
      <c r="L4467" s="166"/>
    </row>
    <row r="4468">
      <c r="A4468" s="163" t="s">
        <v>222</v>
      </c>
      <c r="B4468" s="163"/>
      <c r="C4468" s="163"/>
      <c r="J4468" s="165"/>
      <c r="K4468" s="166"/>
      <c r="L4468" s="166"/>
    </row>
    <row r="4469">
      <c r="A4469" s="163" t="s">
        <v>222</v>
      </c>
      <c r="B4469" s="163"/>
      <c r="C4469" s="163"/>
      <c r="J4469" s="165"/>
      <c r="K4469" s="166"/>
      <c r="L4469" s="166"/>
    </row>
    <row r="4470">
      <c r="A4470" s="163" t="s">
        <v>222</v>
      </c>
      <c r="B4470" s="163"/>
      <c r="C4470" s="163"/>
      <c r="J4470" s="165"/>
      <c r="K4470" s="166"/>
      <c r="L4470" s="166"/>
    </row>
    <row r="4471">
      <c r="A4471" s="163" t="s">
        <v>222</v>
      </c>
      <c r="B4471" s="163"/>
      <c r="C4471" s="163"/>
      <c r="J4471" s="165"/>
      <c r="K4471" s="166"/>
      <c r="L4471" s="166"/>
    </row>
    <row r="4472">
      <c r="A4472" s="163" t="s">
        <v>222</v>
      </c>
      <c r="B4472" s="163"/>
      <c r="C4472" s="163"/>
      <c r="J4472" s="165"/>
      <c r="K4472" s="166"/>
      <c r="L4472" s="166"/>
    </row>
    <row r="4473">
      <c r="A4473" s="163" t="s">
        <v>222</v>
      </c>
      <c r="B4473" s="163"/>
      <c r="C4473" s="163"/>
      <c r="J4473" s="165"/>
      <c r="K4473" s="166"/>
      <c r="L4473" s="166"/>
    </row>
    <row r="4474">
      <c r="A4474" s="163" t="s">
        <v>222</v>
      </c>
      <c r="B4474" s="163"/>
      <c r="C4474" s="163"/>
      <c r="J4474" s="165"/>
      <c r="K4474" s="166"/>
      <c r="L4474" s="166"/>
    </row>
    <row r="4475">
      <c r="A4475" s="163" t="s">
        <v>222</v>
      </c>
      <c r="B4475" s="163"/>
      <c r="C4475" s="163"/>
      <c r="J4475" s="165"/>
      <c r="K4475" s="166"/>
      <c r="L4475" s="166"/>
    </row>
    <row r="4476">
      <c r="A4476" s="163" t="s">
        <v>222</v>
      </c>
      <c r="B4476" s="163"/>
      <c r="C4476" s="163"/>
      <c r="J4476" s="165"/>
      <c r="K4476" s="166"/>
      <c r="L4476" s="166"/>
    </row>
    <row r="4477">
      <c r="A4477" s="163" t="s">
        <v>222</v>
      </c>
      <c r="B4477" s="163"/>
      <c r="C4477" s="163"/>
      <c r="J4477" s="165"/>
      <c r="K4477" s="166"/>
      <c r="L4477" s="166"/>
    </row>
    <row r="4478">
      <c r="A4478" s="163" t="s">
        <v>222</v>
      </c>
      <c r="B4478" s="163"/>
      <c r="C4478" s="163"/>
      <c r="J4478" s="165"/>
      <c r="K4478" s="166"/>
      <c r="L4478" s="166"/>
    </row>
    <row r="4479">
      <c r="A4479" s="163" t="s">
        <v>222</v>
      </c>
      <c r="B4479" s="163"/>
      <c r="C4479" s="163"/>
      <c r="J4479" s="165"/>
      <c r="K4479" s="166"/>
      <c r="L4479" s="166"/>
    </row>
    <row r="4480">
      <c r="A4480" s="163" t="s">
        <v>222</v>
      </c>
      <c r="B4480" s="163"/>
      <c r="C4480" s="163"/>
      <c r="J4480" s="165"/>
      <c r="K4480" s="166"/>
      <c r="L4480" s="166"/>
    </row>
    <row r="4481">
      <c r="A4481" s="163" t="s">
        <v>222</v>
      </c>
      <c r="B4481" s="163"/>
      <c r="C4481" s="163"/>
      <c r="J4481" s="165"/>
      <c r="K4481" s="166"/>
      <c r="L4481" s="166"/>
    </row>
    <row r="4482">
      <c r="A4482" s="163" t="s">
        <v>222</v>
      </c>
      <c r="B4482" s="163"/>
      <c r="C4482" s="163"/>
      <c r="J4482" s="165"/>
      <c r="K4482" s="166"/>
      <c r="L4482" s="166"/>
    </row>
    <row r="4483">
      <c r="A4483" s="163" t="s">
        <v>222</v>
      </c>
      <c r="B4483" s="163"/>
      <c r="C4483" s="163"/>
      <c r="J4483" s="165"/>
      <c r="K4483" s="166"/>
      <c r="L4483" s="166"/>
    </row>
    <row r="4484">
      <c r="A4484" s="163" t="s">
        <v>222</v>
      </c>
      <c r="B4484" s="163"/>
      <c r="C4484" s="163"/>
      <c r="J4484" s="165"/>
      <c r="K4484" s="166"/>
      <c r="L4484" s="166"/>
    </row>
    <row r="4485">
      <c r="A4485" s="163" t="s">
        <v>222</v>
      </c>
      <c r="B4485" s="163"/>
      <c r="C4485" s="163"/>
      <c r="J4485" s="165"/>
      <c r="K4485" s="166"/>
      <c r="L4485" s="166"/>
    </row>
    <row r="4486">
      <c r="A4486" s="163" t="s">
        <v>222</v>
      </c>
      <c r="B4486" s="163"/>
      <c r="C4486" s="163"/>
      <c r="J4486" s="165"/>
      <c r="K4486" s="166"/>
      <c r="L4486" s="166"/>
    </row>
    <row r="4487">
      <c r="A4487" s="163" t="s">
        <v>222</v>
      </c>
      <c r="B4487" s="163"/>
      <c r="C4487" s="163"/>
      <c r="J4487" s="165"/>
      <c r="K4487" s="166"/>
      <c r="L4487" s="166"/>
    </row>
    <row r="4488">
      <c r="A4488" s="163" t="s">
        <v>222</v>
      </c>
      <c r="B4488" s="163"/>
      <c r="C4488" s="163"/>
      <c r="J4488" s="165"/>
      <c r="K4488" s="166"/>
      <c r="L4488" s="166"/>
    </row>
    <row r="4489">
      <c r="A4489" s="163" t="s">
        <v>222</v>
      </c>
      <c r="B4489" s="163"/>
      <c r="C4489" s="163"/>
      <c r="J4489" s="165"/>
      <c r="K4489" s="166"/>
      <c r="L4489" s="166"/>
    </row>
    <row r="4490">
      <c r="A4490" s="163" t="s">
        <v>222</v>
      </c>
      <c r="B4490" s="163"/>
      <c r="C4490" s="163"/>
      <c r="J4490" s="165"/>
      <c r="K4490" s="166"/>
      <c r="L4490" s="166"/>
    </row>
    <row r="4491">
      <c r="A4491" s="163" t="s">
        <v>222</v>
      </c>
      <c r="B4491" s="163"/>
      <c r="C4491" s="163"/>
      <c r="J4491" s="165"/>
      <c r="K4491" s="166"/>
      <c r="L4491" s="166"/>
    </row>
    <row r="4492">
      <c r="A4492" s="163" t="s">
        <v>222</v>
      </c>
      <c r="B4492" s="163"/>
      <c r="C4492" s="163"/>
      <c r="J4492" s="165"/>
      <c r="K4492" s="166"/>
      <c r="L4492" s="166"/>
    </row>
    <row r="4493">
      <c r="A4493" s="163" t="s">
        <v>222</v>
      </c>
      <c r="B4493" s="163"/>
      <c r="C4493" s="163"/>
      <c r="J4493" s="165"/>
      <c r="K4493" s="166"/>
      <c r="L4493" s="166"/>
    </row>
    <row r="4494">
      <c r="A4494" s="163" t="s">
        <v>222</v>
      </c>
      <c r="B4494" s="163"/>
      <c r="C4494" s="163"/>
      <c r="J4494" s="165"/>
      <c r="K4494" s="166"/>
      <c r="L4494" s="166"/>
    </row>
    <row r="4495">
      <c r="A4495" s="163" t="s">
        <v>222</v>
      </c>
      <c r="B4495" s="163"/>
      <c r="C4495" s="163"/>
      <c r="J4495" s="165"/>
      <c r="K4495" s="166"/>
      <c r="L4495" s="166"/>
    </row>
    <row r="4496">
      <c r="A4496" s="163" t="s">
        <v>222</v>
      </c>
      <c r="B4496" s="163"/>
      <c r="C4496" s="163"/>
      <c r="J4496" s="165"/>
      <c r="K4496" s="166"/>
      <c r="L4496" s="166"/>
    </row>
    <row r="4497">
      <c r="A4497" s="163" t="s">
        <v>222</v>
      </c>
      <c r="B4497" s="163"/>
      <c r="C4497" s="163"/>
      <c r="J4497" s="165"/>
      <c r="K4497" s="166"/>
      <c r="L4497" s="166"/>
    </row>
    <row r="4498">
      <c r="A4498" s="163" t="s">
        <v>222</v>
      </c>
      <c r="B4498" s="163"/>
      <c r="C4498" s="163"/>
      <c r="J4498" s="165"/>
      <c r="K4498" s="166"/>
      <c r="L4498" s="166"/>
    </row>
    <row r="4499">
      <c r="A4499" s="163" t="s">
        <v>222</v>
      </c>
      <c r="B4499" s="163"/>
      <c r="C4499" s="163"/>
      <c r="J4499" s="165"/>
      <c r="K4499" s="166"/>
      <c r="L4499" s="166"/>
    </row>
    <row r="4500">
      <c r="A4500" s="163" t="s">
        <v>222</v>
      </c>
      <c r="B4500" s="163"/>
      <c r="C4500" s="163"/>
      <c r="J4500" s="165"/>
      <c r="K4500" s="166"/>
      <c r="L4500" s="166"/>
    </row>
    <row r="4501">
      <c r="A4501" s="163" t="s">
        <v>222</v>
      </c>
      <c r="B4501" s="163"/>
      <c r="C4501" s="163"/>
      <c r="J4501" s="165"/>
      <c r="K4501" s="166"/>
      <c r="L4501" s="166"/>
    </row>
    <row r="4502">
      <c r="A4502" s="163" t="s">
        <v>222</v>
      </c>
      <c r="B4502" s="163"/>
      <c r="C4502" s="163"/>
      <c r="J4502" s="165"/>
      <c r="K4502" s="166"/>
      <c r="L4502" s="166"/>
    </row>
    <row r="4503">
      <c r="A4503" s="163" t="s">
        <v>222</v>
      </c>
      <c r="B4503" s="163"/>
      <c r="C4503" s="163"/>
      <c r="J4503" s="165"/>
      <c r="K4503" s="166"/>
      <c r="L4503" s="166"/>
    </row>
    <row r="4504">
      <c r="A4504" s="163" t="s">
        <v>222</v>
      </c>
      <c r="B4504" s="163"/>
      <c r="C4504" s="163"/>
      <c r="J4504" s="165"/>
      <c r="K4504" s="166"/>
      <c r="L4504" s="166"/>
    </row>
    <row r="4505">
      <c r="A4505" s="163" t="s">
        <v>222</v>
      </c>
      <c r="B4505" s="163"/>
      <c r="C4505" s="163"/>
      <c r="J4505" s="165"/>
      <c r="K4505" s="166"/>
      <c r="L4505" s="166"/>
    </row>
    <row r="4506">
      <c r="A4506" s="163" t="s">
        <v>222</v>
      </c>
      <c r="B4506" s="163"/>
      <c r="C4506" s="163"/>
      <c r="J4506" s="165"/>
      <c r="K4506" s="166"/>
      <c r="L4506" s="166"/>
    </row>
    <row r="4507">
      <c r="A4507" s="163" t="s">
        <v>222</v>
      </c>
      <c r="B4507" s="163"/>
      <c r="C4507" s="163"/>
      <c r="J4507" s="165"/>
      <c r="K4507" s="166"/>
      <c r="L4507" s="166"/>
    </row>
    <row r="4508">
      <c r="A4508" s="163" t="s">
        <v>222</v>
      </c>
      <c r="B4508" s="163"/>
      <c r="C4508" s="163"/>
      <c r="J4508" s="165"/>
      <c r="K4508" s="166"/>
      <c r="L4508" s="166"/>
    </row>
    <row r="4509">
      <c r="A4509" s="163" t="s">
        <v>222</v>
      </c>
      <c r="B4509" s="163"/>
      <c r="C4509" s="163"/>
      <c r="J4509" s="165"/>
      <c r="K4509" s="166"/>
      <c r="L4509" s="166"/>
    </row>
    <row r="4510">
      <c r="A4510" s="163" t="s">
        <v>222</v>
      </c>
      <c r="B4510" s="163"/>
      <c r="C4510" s="163"/>
      <c r="J4510" s="165"/>
      <c r="K4510" s="166"/>
      <c r="L4510" s="166"/>
    </row>
    <row r="4511">
      <c r="A4511" s="163" t="s">
        <v>222</v>
      </c>
      <c r="B4511" s="163"/>
      <c r="C4511" s="163"/>
      <c r="J4511" s="165"/>
      <c r="K4511" s="166"/>
      <c r="L4511" s="166"/>
    </row>
    <row r="4512">
      <c r="A4512" s="163" t="s">
        <v>222</v>
      </c>
      <c r="B4512" s="163"/>
      <c r="C4512" s="163"/>
      <c r="J4512" s="165"/>
      <c r="K4512" s="166"/>
      <c r="L4512" s="166"/>
    </row>
    <row r="4513">
      <c r="A4513" s="163" t="s">
        <v>222</v>
      </c>
      <c r="B4513" s="163"/>
      <c r="C4513" s="163"/>
      <c r="J4513" s="165"/>
      <c r="K4513" s="166"/>
      <c r="L4513" s="166"/>
    </row>
    <row r="4514">
      <c r="A4514" s="163" t="s">
        <v>222</v>
      </c>
      <c r="B4514" s="163"/>
      <c r="C4514" s="163"/>
      <c r="J4514" s="165"/>
      <c r="K4514" s="166"/>
      <c r="L4514" s="166"/>
    </row>
    <row r="4515">
      <c r="A4515" s="163" t="s">
        <v>222</v>
      </c>
      <c r="B4515" s="163"/>
      <c r="C4515" s="163"/>
      <c r="J4515" s="165"/>
      <c r="K4515" s="166"/>
      <c r="L4515" s="166"/>
    </row>
    <row r="4516">
      <c r="A4516" s="163" t="s">
        <v>222</v>
      </c>
      <c r="B4516" s="163"/>
      <c r="C4516" s="163"/>
      <c r="J4516" s="165"/>
      <c r="K4516" s="166"/>
      <c r="L4516" s="166"/>
    </row>
    <row r="4517">
      <c r="A4517" s="163" t="s">
        <v>222</v>
      </c>
      <c r="B4517" s="163"/>
      <c r="C4517" s="163"/>
      <c r="J4517" s="165"/>
      <c r="K4517" s="166"/>
      <c r="L4517" s="166"/>
    </row>
    <row r="4518">
      <c r="A4518" s="163" t="s">
        <v>222</v>
      </c>
      <c r="B4518" s="163"/>
      <c r="C4518" s="163"/>
      <c r="J4518" s="165"/>
      <c r="K4518" s="166"/>
      <c r="L4518" s="166"/>
    </row>
    <row r="4519">
      <c r="A4519" s="163" t="s">
        <v>222</v>
      </c>
      <c r="B4519" s="163"/>
      <c r="C4519" s="163"/>
      <c r="J4519" s="165"/>
      <c r="K4519" s="166"/>
      <c r="L4519" s="166"/>
    </row>
    <row r="4520">
      <c r="A4520" s="163" t="s">
        <v>222</v>
      </c>
      <c r="B4520" s="163"/>
      <c r="C4520" s="163"/>
      <c r="J4520" s="165"/>
      <c r="K4520" s="166"/>
      <c r="L4520" s="166"/>
    </row>
    <row r="4521">
      <c r="A4521" s="163" t="s">
        <v>222</v>
      </c>
      <c r="B4521" s="163"/>
      <c r="C4521" s="163"/>
      <c r="J4521" s="165"/>
      <c r="K4521" s="166"/>
      <c r="L4521" s="166"/>
    </row>
    <row r="4522">
      <c r="A4522" s="163" t="s">
        <v>222</v>
      </c>
      <c r="B4522" s="163"/>
      <c r="C4522" s="163"/>
      <c r="J4522" s="165"/>
      <c r="K4522" s="166"/>
      <c r="L4522" s="166"/>
    </row>
    <row r="4523">
      <c r="A4523" s="163" t="s">
        <v>222</v>
      </c>
      <c r="B4523" s="163"/>
      <c r="C4523" s="163"/>
      <c r="J4523" s="165"/>
      <c r="K4523" s="166"/>
      <c r="L4523" s="166"/>
    </row>
    <row r="4524">
      <c r="A4524" s="163" t="s">
        <v>222</v>
      </c>
      <c r="B4524" s="163"/>
      <c r="C4524" s="163"/>
      <c r="J4524" s="165"/>
      <c r="K4524" s="166"/>
      <c r="L4524" s="166"/>
    </row>
    <row r="4525">
      <c r="A4525" s="163" t="s">
        <v>222</v>
      </c>
      <c r="B4525" s="163"/>
      <c r="C4525" s="163"/>
      <c r="J4525" s="165"/>
      <c r="K4525" s="166"/>
      <c r="L4525" s="166"/>
    </row>
    <row r="4526">
      <c r="A4526" s="163" t="s">
        <v>222</v>
      </c>
      <c r="B4526" s="163"/>
      <c r="C4526" s="163"/>
      <c r="J4526" s="165"/>
      <c r="K4526" s="166"/>
      <c r="L4526" s="166"/>
    </row>
    <row r="4527">
      <c r="A4527" s="163" t="s">
        <v>222</v>
      </c>
      <c r="B4527" s="163"/>
      <c r="C4527" s="163"/>
      <c r="J4527" s="165"/>
      <c r="K4527" s="166"/>
      <c r="L4527" s="166"/>
    </row>
    <row r="4528">
      <c r="A4528" s="163" t="s">
        <v>222</v>
      </c>
      <c r="B4528" s="163"/>
      <c r="C4528" s="163"/>
      <c r="J4528" s="165"/>
      <c r="K4528" s="166"/>
      <c r="L4528" s="166"/>
    </row>
    <row r="4529">
      <c r="A4529" s="163" t="s">
        <v>222</v>
      </c>
      <c r="B4529" s="163"/>
      <c r="C4529" s="163"/>
      <c r="J4529" s="165"/>
      <c r="K4529" s="166"/>
      <c r="L4529" s="166"/>
    </row>
    <row r="4530">
      <c r="A4530" s="163" t="s">
        <v>222</v>
      </c>
      <c r="B4530" s="163"/>
      <c r="C4530" s="163"/>
      <c r="J4530" s="165"/>
      <c r="K4530" s="166"/>
      <c r="L4530" s="166"/>
    </row>
    <row r="4531">
      <c r="A4531" s="163" t="s">
        <v>222</v>
      </c>
      <c r="B4531" s="163"/>
      <c r="C4531" s="163"/>
      <c r="J4531" s="165"/>
      <c r="K4531" s="166"/>
      <c r="L4531" s="166"/>
    </row>
    <row r="4532">
      <c r="A4532" s="163" t="s">
        <v>222</v>
      </c>
      <c r="B4532" s="163"/>
      <c r="C4532" s="163"/>
      <c r="J4532" s="165"/>
      <c r="K4532" s="166"/>
      <c r="L4532" s="166"/>
    </row>
    <row r="4533">
      <c r="A4533" s="163" t="s">
        <v>222</v>
      </c>
      <c r="B4533" s="163"/>
      <c r="C4533" s="163"/>
      <c r="J4533" s="165"/>
      <c r="K4533" s="166"/>
      <c r="L4533" s="166"/>
    </row>
    <row r="4534">
      <c r="A4534" s="163" t="s">
        <v>222</v>
      </c>
      <c r="B4534" s="163"/>
      <c r="C4534" s="163"/>
      <c r="J4534" s="165"/>
      <c r="K4534" s="166"/>
      <c r="L4534" s="166"/>
    </row>
    <row r="4535">
      <c r="A4535" s="163" t="s">
        <v>222</v>
      </c>
      <c r="B4535" s="163"/>
      <c r="C4535" s="163"/>
      <c r="J4535" s="165"/>
      <c r="K4535" s="166"/>
      <c r="L4535" s="166"/>
    </row>
    <row r="4536">
      <c r="A4536" s="163" t="s">
        <v>222</v>
      </c>
      <c r="B4536" s="163"/>
      <c r="C4536" s="163"/>
      <c r="J4536" s="165"/>
      <c r="K4536" s="166"/>
      <c r="L4536" s="166"/>
    </row>
    <row r="4537">
      <c r="A4537" s="163" t="s">
        <v>222</v>
      </c>
      <c r="B4537" s="163"/>
      <c r="C4537" s="163"/>
      <c r="J4537" s="165"/>
      <c r="K4537" s="166"/>
      <c r="L4537" s="166"/>
    </row>
    <row r="4538">
      <c r="A4538" s="163" t="s">
        <v>222</v>
      </c>
      <c r="B4538" s="163"/>
      <c r="C4538" s="163"/>
      <c r="J4538" s="165"/>
      <c r="K4538" s="166"/>
      <c r="L4538" s="166"/>
    </row>
    <row r="4539">
      <c r="A4539" s="163" t="s">
        <v>222</v>
      </c>
      <c r="B4539" s="163"/>
      <c r="C4539" s="163"/>
      <c r="J4539" s="165"/>
      <c r="K4539" s="166"/>
      <c r="L4539" s="166"/>
    </row>
    <row r="4540">
      <c r="A4540" s="163" t="s">
        <v>222</v>
      </c>
      <c r="B4540" s="163"/>
      <c r="C4540" s="163"/>
      <c r="J4540" s="165"/>
      <c r="K4540" s="166"/>
      <c r="L4540" s="166"/>
    </row>
    <row r="4541">
      <c r="A4541" s="163" t="s">
        <v>222</v>
      </c>
      <c r="B4541" s="163"/>
      <c r="C4541" s="163"/>
      <c r="J4541" s="165"/>
      <c r="K4541" s="166"/>
      <c r="L4541" s="166"/>
    </row>
    <row r="4542">
      <c r="A4542" s="163" t="s">
        <v>222</v>
      </c>
      <c r="B4542" s="163"/>
      <c r="C4542" s="163"/>
      <c r="J4542" s="165"/>
      <c r="K4542" s="166"/>
      <c r="L4542" s="166"/>
    </row>
    <row r="4543">
      <c r="A4543" s="163" t="s">
        <v>222</v>
      </c>
      <c r="B4543" s="163"/>
      <c r="C4543" s="163"/>
      <c r="J4543" s="165"/>
      <c r="K4543" s="166"/>
      <c r="L4543" s="166"/>
    </row>
    <row r="4544">
      <c r="A4544" s="163" t="s">
        <v>222</v>
      </c>
      <c r="B4544" s="163"/>
      <c r="C4544" s="163"/>
      <c r="J4544" s="165"/>
      <c r="K4544" s="166"/>
      <c r="L4544" s="166"/>
    </row>
    <row r="4545">
      <c r="A4545" s="163" t="s">
        <v>222</v>
      </c>
      <c r="B4545" s="163"/>
      <c r="C4545" s="163"/>
      <c r="J4545" s="165"/>
      <c r="K4545" s="166"/>
      <c r="L4545" s="166"/>
    </row>
    <row r="4546">
      <c r="A4546" s="163" t="s">
        <v>222</v>
      </c>
      <c r="B4546" s="163"/>
      <c r="C4546" s="163"/>
      <c r="J4546" s="165"/>
      <c r="K4546" s="166"/>
      <c r="L4546" s="166"/>
    </row>
    <row r="4547">
      <c r="A4547" s="163" t="s">
        <v>222</v>
      </c>
      <c r="B4547" s="163"/>
      <c r="C4547" s="163"/>
      <c r="J4547" s="165"/>
      <c r="K4547" s="166"/>
      <c r="L4547" s="166"/>
    </row>
    <row r="4548">
      <c r="A4548" s="163" t="s">
        <v>222</v>
      </c>
      <c r="B4548" s="163"/>
      <c r="C4548" s="163"/>
      <c r="J4548" s="165"/>
      <c r="K4548" s="166"/>
      <c r="L4548" s="166"/>
    </row>
    <row r="4549">
      <c r="A4549" s="163" t="s">
        <v>222</v>
      </c>
      <c r="B4549" s="163"/>
      <c r="C4549" s="163"/>
      <c r="J4549" s="165"/>
      <c r="K4549" s="166"/>
      <c r="L4549" s="166"/>
    </row>
    <row r="4550">
      <c r="A4550" s="163" t="s">
        <v>222</v>
      </c>
      <c r="B4550" s="163"/>
      <c r="C4550" s="163"/>
      <c r="J4550" s="165"/>
      <c r="K4550" s="166"/>
      <c r="L4550" s="166"/>
    </row>
    <row r="4551">
      <c r="A4551" s="163" t="s">
        <v>222</v>
      </c>
      <c r="B4551" s="163"/>
      <c r="C4551" s="163"/>
      <c r="J4551" s="165"/>
      <c r="K4551" s="166"/>
      <c r="L4551" s="166"/>
    </row>
    <row r="4552">
      <c r="A4552" s="163" t="s">
        <v>222</v>
      </c>
      <c r="B4552" s="163"/>
      <c r="C4552" s="163"/>
      <c r="J4552" s="165"/>
      <c r="K4552" s="166"/>
      <c r="L4552" s="166"/>
    </row>
    <row r="4553">
      <c r="A4553" s="163" t="s">
        <v>222</v>
      </c>
      <c r="B4553" s="163"/>
      <c r="C4553" s="163"/>
      <c r="J4553" s="165"/>
      <c r="K4553" s="166"/>
      <c r="L4553" s="166"/>
    </row>
    <row r="4554">
      <c r="A4554" s="163" t="s">
        <v>222</v>
      </c>
      <c r="B4554" s="163"/>
      <c r="C4554" s="163"/>
      <c r="J4554" s="165"/>
      <c r="K4554" s="166"/>
      <c r="L4554" s="166"/>
    </row>
    <row r="4555">
      <c r="A4555" s="163" t="s">
        <v>222</v>
      </c>
      <c r="B4555" s="163"/>
      <c r="C4555" s="163"/>
      <c r="J4555" s="165"/>
      <c r="K4555" s="166"/>
      <c r="L4555" s="166"/>
    </row>
    <row r="4556">
      <c r="A4556" s="163" t="s">
        <v>222</v>
      </c>
      <c r="B4556" s="163"/>
      <c r="C4556" s="163"/>
      <c r="J4556" s="165"/>
      <c r="K4556" s="166"/>
      <c r="L4556" s="166"/>
    </row>
    <row r="4557">
      <c r="A4557" s="163" t="s">
        <v>222</v>
      </c>
      <c r="B4557" s="163"/>
      <c r="C4557" s="163"/>
      <c r="J4557" s="165"/>
      <c r="K4557" s="166"/>
      <c r="L4557" s="166"/>
    </row>
    <row r="4558">
      <c r="A4558" s="163" t="s">
        <v>222</v>
      </c>
      <c r="B4558" s="163"/>
      <c r="C4558" s="163"/>
      <c r="J4558" s="165"/>
      <c r="K4558" s="166"/>
      <c r="L4558" s="166"/>
    </row>
    <row r="4559">
      <c r="A4559" s="163" t="s">
        <v>222</v>
      </c>
      <c r="B4559" s="163"/>
      <c r="C4559" s="163"/>
      <c r="J4559" s="165"/>
      <c r="K4559" s="166"/>
      <c r="L4559" s="166"/>
    </row>
    <row r="4560">
      <c r="A4560" s="163" t="s">
        <v>222</v>
      </c>
      <c r="B4560" s="163"/>
      <c r="C4560" s="163"/>
      <c r="J4560" s="165"/>
      <c r="K4560" s="166"/>
      <c r="L4560" s="166"/>
    </row>
    <row r="4561">
      <c r="A4561" s="163" t="s">
        <v>222</v>
      </c>
      <c r="B4561" s="163"/>
      <c r="C4561" s="163"/>
      <c r="J4561" s="165"/>
      <c r="K4561" s="166"/>
      <c r="L4561" s="166"/>
    </row>
    <row r="4562">
      <c r="A4562" s="163" t="s">
        <v>222</v>
      </c>
      <c r="B4562" s="163"/>
      <c r="C4562" s="163"/>
      <c r="J4562" s="165"/>
      <c r="K4562" s="166"/>
      <c r="L4562" s="166"/>
    </row>
    <row r="4563">
      <c r="A4563" s="163" t="s">
        <v>222</v>
      </c>
      <c r="B4563" s="163"/>
      <c r="C4563" s="163"/>
      <c r="J4563" s="165"/>
      <c r="K4563" s="166"/>
      <c r="L4563" s="166"/>
    </row>
    <row r="4564">
      <c r="A4564" s="163" t="s">
        <v>222</v>
      </c>
      <c r="B4564" s="163"/>
      <c r="C4564" s="163"/>
      <c r="J4564" s="165"/>
      <c r="K4564" s="166"/>
      <c r="L4564" s="166"/>
    </row>
    <row r="4565">
      <c r="A4565" s="163" t="s">
        <v>222</v>
      </c>
      <c r="B4565" s="163"/>
      <c r="C4565" s="163"/>
      <c r="J4565" s="165"/>
      <c r="K4565" s="166"/>
      <c r="L4565" s="166"/>
    </row>
    <row r="4566">
      <c r="A4566" s="163" t="s">
        <v>222</v>
      </c>
      <c r="B4566" s="163"/>
      <c r="C4566" s="163"/>
      <c r="J4566" s="165"/>
      <c r="K4566" s="166"/>
      <c r="L4566" s="166"/>
    </row>
    <row r="4567">
      <c r="A4567" s="163" t="s">
        <v>222</v>
      </c>
      <c r="B4567" s="163"/>
      <c r="C4567" s="163"/>
      <c r="J4567" s="165"/>
      <c r="K4567" s="166"/>
      <c r="L4567" s="166"/>
    </row>
    <row r="4568">
      <c r="A4568" s="163" t="s">
        <v>222</v>
      </c>
      <c r="B4568" s="163"/>
      <c r="C4568" s="163"/>
      <c r="J4568" s="165"/>
      <c r="K4568" s="166"/>
      <c r="L4568" s="166"/>
    </row>
    <row r="4569">
      <c r="A4569" s="163" t="s">
        <v>222</v>
      </c>
      <c r="B4569" s="163"/>
      <c r="C4569" s="163"/>
      <c r="J4569" s="165"/>
      <c r="K4569" s="166"/>
      <c r="L4569" s="166"/>
    </row>
    <row r="4570">
      <c r="A4570" s="163" t="s">
        <v>222</v>
      </c>
      <c r="B4570" s="163"/>
      <c r="C4570" s="163"/>
      <c r="J4570" s="165"/>
      <c r="K4570" s="166"/>
      <c r="L4570" s="166"/>
    </row>
    <row r="4571">
      <c r="A4571" s="163" t="s">
        <v>222</v>
      </c>
      <c r="B4571" s="163"/>
      <c r="C4571" s="163"/>
      <c r="J4571" s="165"/>
      <c r="K4571" s="166"/>
      <c r="L4571" s="166"/>
    </row>
    <row r="4572">
      <c r="A4572" s="163" t="s">
        <v>222</v>
      </c>
      <c r="B4572" s="163"/>
      <c r="C4572" s="163"/>
      <c r="J4572" s="165"/>
      <c r="K4572" s="166"/>
      <c r="L4572" s="166"/>
    </row>
    <row r="4573">
      <c r="A4573" s="163" t="s">
        <v>222</v>
      </c>
      <c r="B4573" s="163"/>
      <c r="C4573" s="163"/>
      <c r="J4573" s="165"/>
      <c r="K4573" s="166"/>
      <c r="L4573" s="166"/>
    </row>
    <row r="4574">
      <c r="A4574" s="163" t="s">
        <v>222</v>
      </c>
      <c r="B4574" s="163"/>
      <c r="C4574" s="163"/>
      <c r="J4574" s="165"/>
      <c r="K4574" s="166"/>
      <c r="L4574" s="166"/>
    </row>
    <row r="4575">
      <c r="A4575" s="163" t="s">
        <v>222</v>
      </c>
      <c r="B4575" s="163"/>
      <c r="C4575" s="163"/>
      <c r="J4575" s="165"/>
      <c r="K4575" s="166"/>
      <c r="L4575" s="166"/>
    </row>
    <row r="4576">
      <c r="A4576" s="163" t="s">
        <v>222</v>
      </c>
      <c r="B4576" s="163"/>
      <c r="C4576" s="163"/>
      <c r="J4576" s="165"/>
      <c r="K4576" s="166"/>
      <c r="L4576" s="166"/>
    </row>
    <row r="4577">
      <c r="A4577" s="163" t="s">
        <v>222</v>
      </c>
      <c r="B4577" s="163"/>
      <c r="C4577" s="163"/>
      <c r="J4577" s="165"/>
      <c r="K4577" s="166"/>
      <c r="L4577" s="166"/>
    </row>
    <row r="4578">
      <c r="A4578" s="163" t="s">
        <v>222</v>
      </c>
      <c r="B4578" s="163"/>
      <c r="C4578" s="163"/>
      <c r="J4578" s="165"/>
      <c r="K4578" s="166"/>
      <c r="L4578" s="166"/>
    </row>
    <row r="4579">
      <c r="A4579" s="163" t="s">
        <v>222</v>
      </c>
      <c r="B4579" s="163"/>
      <c r="C4579" s="163"/>
      <c r="J4579" s="165"/>
      <c r="K4579" s="166"/>
      <c r="L4579" s="166"/>
    </row>
    <row r="4580">
      <c r="A4580" s="163" t="s">
        <v>222</v>
      </c>
      <c r="B4580" s="163"/>
      <c r="C4580" s="163"/>
      <c r="J4580" s="165"/>
      <c r="K4580" s="166"/>
      <c r="L4580" s="166"/>
    </row>
    <row r="4581">
      <c r="A4581" s="163" t="s">
        <v>222</v>
      </c>
      <c r="B4581" s="163"/>
      <c r="C4581" s="163"/>
      <c r="J4581" s="165"/>
      <c r="K4581" s="166"/>
      <c r="L4581" s="166"/>
    </row>
    <row r="4582">
      <c r="A4582" s="163" t="s">
        <v>222</v>
      </c>
      <c r="B4582" s="163"/>
      <c r="C4582" s="163"/>
      <c r="J4582" s="165"/>
      <c r="K4582" s="166"/>
      <c r="L4582" s="166"/>
    </row>
    <row r="4583">
      <c r="A4583" s="163" t="s">
        <v>222</v>
      </c>
      <c r="B4583" s="163"/>
      <c r="C4583" s="163"/>
      <c r="J4583" s="165"/>
      <c r="K4583" s="166"/>
      <c r="L4583" s="166"/>
    </row>
    <row r="4584">
      <c r="A4584" s="163" t="s">
        <v>222</v>
      </c>
      <c r="B4584" s="163"/>
      <c r="C4584" s="163"/>
      <c r="J4584" s="165"/>
      <c r="K4584" s="166"/>
      <c r="L4584" s="166"/>
    </row>
    <row r="4585">
      <c r="A4585" s="163" t="s">
        <v>222</v>
      </c>
      <c r="B4585" s="163"/>
      <c r="C4585" s="163"/>
      <c r="J4585" s="165"/>
      <c r="K4585" s="166"/>
      <c r="L4585" s="166"/>
    </row>
    <row r="4586">
      <c r="A4586" s="163" t="s">
        <v>222</v>
      </c>
      <c r="B4586" s="163"/>
      <c r="C4586" s="163"/>
      <c r="J4586" s="165"/>
      <c r="K4586" s="166"/>
      <c r="L4586" s="166"/>
    </row>
    <row r="4587">
      <c r="A4587" s="163" t="s">
        <v>222</v>
      </c>
      <c r="B4587" s="163"/>
      <c r="C4587" s="163"/>
      <c r="J4587" s="165"/>
      <c r="K4587" s="166"/>
      <c r="L4587" s="166"/>
    </row>
    <row r="4588">
      <c r="A4588" s="163" t="s">
        <v>222</v>
      </c>
      <c r="B4588" s="163"/>
      <c r="C4588" s="163"/>
      <c r="J4588" s="165"/>
      <c r="K4588" s="166"/>
      <c r="L4588" s="166"/>
    </row>
    <row r="4589">
      <c r="A4589" s="163" t="s">
        <v>222</v>
      </c>
      <c r="B4589" s="163"/>
      <c r="C4589" s="163"/>
      <c r="J4589" s="165"/>
      <c r="K4589" s="166"/>
      <c r="L4589" s="166"/>
    </row>
    <row r="4590">
      <c r="A4590" s="163" t="s">
        <v>222</v>
      </c>
      <c r="B4590" s="163"/>
      <c r="C4590" s="163"/>
      <c r="J4590" s="165"/>
      <c r="K4590" s="166"/>
      <c r="L4590" s="166"/>
    </row>
    <row r="4591">
      <c r="A4591" s="163" t="s">
        <v>222</v>
      </c>
      <c r="B4591" s="163"/>
      <c r="C4591" s="163"/>
      <c r="J4591" s="165"/>
      <c r="K4591" s="166"/>
      <c r="L4591" s="166"/>
    </row>
    <row r="4592">
      <c r="A4592" s="163" t="s">
        <v>222</v>
      </c>
      <c r="B4592" s="163"/>
      <c r="C4592" s="163"/>
      <c r="J4592" s="165"/>
      <c r="K4592" s="166"/>
      <c r="L4592" s="166"/>
    </row>
    <row r="4593">
      <c r="A4593" s="163" t="s">
        <v>222</v>
      </c>
      <c r="B4593" s="163"/>
      <c r="C4593" s="163"/>
      <c r="J4593" s="165"/>
      <c r="K4593" s="166"/>
      <c r="L4593" s="166"/>
    </row>
    <row r="4594">
      <c r="A4594" s="163" t="s">
        <v>222</v>
      </c>
      <c r="B4594" s="163"/>
      <c r="C4594" s="163"/>
      <c r="J4594" s="165"/>
      <c r="K4594" s="166"/>
      <c r="L4594" s="166"/>
    </row>
    <row r="4595">
      <c r="A4595" s="163" t="s">
        <v>222</v>
      </c>
      <c r="B4595" s="163"/>
      <c r="C4595" s="163"/>
      <c r="J4595" s="165"/>
      <c r="K4595" s="166"/>
      <c r="L4595" s="166"/>
    </row>
    <row r="4596">
      <c r="A4596" s="163" t="s">
        <v>222</v>
      </c>
      <c r="B4596" s="163"/>
      <c r="C4596" s="163"/>
      <c r="J4596" s="165"/>
      <c r="K4596" s="166"/>
      <c r="L4596" s="166"/>
    </row>
    <row r="4597">
      <c r="A4597" s="163" t="s">
        <v>222</v>
      </c>
      <c r="B4597" s="163"/>
      <c r="C4597" s="163"/>
      <c r="J4597" s="165"/>
      <c r="K4597" s="166"/>
      <c r="L4597" s="166"/>
    </row>
    <row r="4598">
      <c r="A4598" s="163" t="s">
        <v>222</v>
      </c>
      <c r="B4598" s="163"/>
      <c r="C4598" s="163"/>
      <c r="J4598" s="165"/>
      <c r="K4598" s="166"/>
      <c r="L4598" s="166"/>
    </row>
    <row r="4599">
      <c r="A4599" s="163" t="s">
        <v>222</v>
      </c>
      <c r="B4599" s="163"/>
      <c r="C4599" s="163"/>
      <c r="J4599" s="165"/>
      <c r="K4599" s="166"/>
      <c r="L4599" s="166"/>
    </row>
    <row r="4600">
      <c r="A4600" s="163" t="s">
        <v>222</v>
      </c>
      <c r="B4600" s="163"/>
      <c r="C4600" s="163"/>
      <c r="J4600" s="165"/>
      <c r="K4600" s="166"/>
      <c r="L4600" s="166"/>
    </row>
    <row r="4601">
      <c r="A4601" s="163" t="s">
        <v>222</v>
      </c>
      <c r="B4601" s="163"/>
      <c r="C4601" s="163"/>
      <c r="J4601" s="165"/>
      <c r="K4601" s="166"/>
      <c r="L4601" s="166"/>
    </row>
    <row r="4602">
      <c r="A4602" s="163" t="s">
        <v>222</v>
      </c>
      <c r="B4602" s="163"/>
      <c r="C4602" s="163"/>
      <c r="J4602" s="165"/>
      <c r="K4602" s="166"/>
      <c r="L4602" s="166"/>
    </row>
    <row r="4603">
      <c r="A4603" s="163" t="s">
        <v>222</v>
      </c>
      <c r="B4603" s="163"/>
      <c r="C4603" s="163"/>
      <c r="J4603" s="165"/>
      <c r="K4603" s="166"/>
      <c r="L4603" s="166"/>
    </row>
    <row r="4604">
      <c r="A4604" s="163" t="s">
        <v>222</v>
      </c>
      <c r="B4604" s="163"/>
      <c r="C4604" s="163"/>
      <c r="J4604" s="165"/>
      <c r="K4604" s="166"/>
      <c r="L4604" s="166"/>
    </row>
    <row r="4605">
      <c r="A4605" s="163" t="s">
        <v>222</v>
      </c>
      <c r="B4605" s="163"/>
      <c r="C4605" s="163"/>
      <c r="J4605" s="165"/>
      <c r="K4605" s="166"/>
      <c r="L4605" s="166"/>
    </row>
    <row r="4606">
      <c r="A4606" s="163" t="s">
        <v>222</v>
      </c>
      <c r="B4606" s="163"/>
      <c r="C4606" s="163"/>
      <c r="J4606" s="165"/>
      <c r="K4606" s="166"/>
      <c r="L4606" s="166"/>
    </row>
    <row r="4607">
      <c r="A4607" s="163" t="s">
        <v>222</v>
      </c>
      <c r="B4607" s="163"/>
      <c r="C4607" s="163"/>
      <c r="J4607" s="165"/>
      <c r="K4607" s="166"/>
      <c r="L4607" s="166"/>
    </row>
    <row r="4608">
      <c r="A4608" s="163" t="s">
        <v>222</v>
      </c>
      <c r="B4608" s="163"/>
      <c r="C4608" s="163"/>
      <c r="J4608" s="165"/>
      <c r="K4608" s="166"/>
      <c r="L4608" s="166"/>
    </row>
    <row r="4609">
      <c r="A4609" s="163" t="s">
        <v>222</v>
      </c>
      <c r="B4609" s="163"/>
      <c r="C4609" s="163"/>
      <c r="J4609" s="165"/>
      <c r="K4609" s="166"/>
      <c r="L4609" s="166"/>
    </row>
    <row r="4610">
      <c r="A4610" s="163" t="s">
        <v>222</v>
      </c>
      <c r="B4610" s="163"/>
      <c r="C4610" s="163"/>
      <c r="J4610" s="165"/>
      <c r="K4610" s="166"/>
      <c r="L4610" s="166"/>
    </row>
    <row r="4611">
      <c r="A4611" s="163" t="s">
        <v>222</v>
      </c>
      <c r="B4611" s="163"/>
      <c r="C4611" s="163"/>
      <c r="J4611" s="165"/>
      <c r="K4611" s="166"/>
      <c r="L4611" s="166"/>
    </row>
    <row r="4612">
      <c r="A4612" s="163" t="s">
        <v>222</v>
      </c>
      <c r="B4612" s="163"/>
      <c r="C4612" s="163"/>
      <c r="J4612" s="165"/>
      <c r="K4612" s="166"/>
      <c r="L4612" s="166"/>
    </row>
    <row r="4613">
      <c r="A4613" s="163" t="s">
        <v>222</v>
      </c>
      <c r="B4613" s="163"/>
      <c r="C4613" s="163"/>
      <c r="J4613" s="165"/>
      <c r="K4613" s="166"/>
      <c r="L4613" s="166"/>
    </row>
    <row r="4614">
      <c r="A4614" s="163" t="s">
        <v>222</v>
      </c>
      <c r="B4614" s="163"/>
      <c r="C4614" s="163"/>
      <c r="J4614" s="165"/>
      <c r="K4614" s="166"/>
      <c r="L4614" s="166"/>
    </row>
    <row r="4615">
      <c r="A4615" s="163" t="s">
        <v>222</v>
      </c>
      <c r="B4615" s="163"/>
      <c r="C4615" s="163"/>
      <c r="J4615" s="165"/>
      <c r="K4615" s="166"/>
      <c r="L4615" s="166"/>
    </row>
    <row r="4616">
      <c r="A4616" s="163" t="s">
        <v>222</v>
      </c>
      <c r="B4616" s="163"/>
      <c r="C4616" s="163"/>
      <c r="J4616" s="165"/>
      <c r="K4616" s="166"/>
      <c r="L4616" s="166"/>
    </row>
    <row r="4617">
      <c r="A4617" s="163" t="s">
        <v>222</v>
      </c>
      <c r="B4617" s="163"/>
      <c r="C4617" s="163"/>
      <c r="J4617" s="165"/>
      <c r="K4617" s="166"/>
      <c r="L4617" s="166"/>
    </row>
    <row r="4618">
      <c r="A4618" s="163" t="s">
        <v>222</v>
      </c>
      <c r="B4618" s="163"/>
      <c r="C4618" s="163"/>
      <c r="J4618" s="165"/>
      <c r="K4618" s="166"/>
      <c r="L4618" s="166"/>
    </row>
    <row r="4619">
      <c r="A4619" s="163" t="s">
        <v>222</v>
      </c>
      <c r="B4619" s="163"/>
      <c r="C4619" s="163"/>
      <c r="J4619" s="165"/>
      <c r="K4619" s="166"/>
      <c r="L4619" s="166"/>
    </row>
    <row r="4620">
      <c r="A4620" s="163" t="s">
        <v>222</v>
      </c>
      <c r="B4620" s="163"/>
      <c r="C4620" s="163"/>
      <c r="J4620" s="165"/>
      <c r="K4620" s="166"/>
      <c r="L4620" s="166"/>
    </row>
    <row r="4621">
      <c r="A4621" s="163" t="s">
        <v>222</v>
      </c>
      <c r="B4621" s="163"/>
      <c r="C4621" s="163"/>
      <c r="J4621" s="165"/>
      <c r="K4621" s="166"/>
      <c r="L4621" s="166"/>
    </row>
    <row r="4622">
      <c r="A4622" s="163" t="s">
        <v>222</v>
      </c>
      <c r="B4622" s="163"/>
      <c r="C4622" s="163"/>
      <c r="J4622" s="165"/>
      <c r="K4622" s="166"/>
      <c r="L4622" s="166"/>
    </row>
    <row r="4623">
      <c r="A4623" s="163" t="s">
        <v>222</v>
      </c>
      <c r="B4623" s="163"/>
      <c r="C4623" s="163"/>
      <c r="J4623" s="165"/>
      <c r="K4623" s="166"/>
      <c r="L4623" s="166"/>
    </row>
    <row r="4624">
      <c r="A4624" s="163" t="s">
        <v>222</v>
      </c>
      <c r="B4624" s="163"/>
      <c r="C4624" s="163"/>
      <c r="J4624" s="165"/>
      <c r="K4624" s="166"/>
      <c r="L4624" s="166"/>
    </row>
    <row r="4625">
      <c r="A4625" s="163" t="s">
        <v>222</v>
      </c>
      <c r="B4625" s="163"/>
      <c r="C4625" s="163"/>
      <c r="J4625" s="165"/>
      <c r="K4625" s="166"/>
      <c r="L4625" s="166"/>
    </row>
    <row r="4626">
      <c r="A4626" s="163" t="s">
        <v>222</v>
      </c>
      <c r="B4626" s="163"/>
      <c r="C4626" s="163"/>
      <c r="J4626" s="165"/>
      <c r="K4626" s="166"/>
      <c r="L4626" s="166"/>
    </row>
    <row r="4627">
      <c r="A4627" s="163" t="s">
        <v>222</v>
      </c>
      <c r="B4627" s="163"/>
      <c r="C4627" s="163"/>
      <c r="J4627" s="165"/>
      <c r="K4627" s="166"/>
      <c r="L4627" s="166"/>
    </row>
    <row r="4628">
      <c r="A4628" s="163" t="s">
        <v>222</v>
      </c>
      <c r="B4628" s="163"/>
      <c r="C4628" s="163"/>
      <c r="J4628" s="165"/>
      <c r="K4628" s="166"/>
      <c r="L4628" s="166"/>
    </row>
    <row r="4629">
      <c r="A4629" s="163" t="s">
        <v>222</v>
      </c>
      <c r="B4629" s="163"/>
      <c r="C4629" s="163"/>
      <c r="J4629" s="165"/>
      <c r="K4629" s="166"/>
      <c r="L4629" s="166"/>
    </row>
    <row r="4630">
      <c r="A4630" s="163" t="s">
        <v>222</v>
      </c>
      <c r="B4630" s="163"/>
      <c r="C4630" s="163"/>
      <c r="J4630" s="165"/>
      <c r="K4630" s="166"/>
      <c r="L4630" s="166"/>
    </row>
    <row r="4631">
      <c r="A4631" s="163" t="s">
        <v>222</v>
      </c>
      <c r="B4631" s="163"/>
      <c r="C4631" s="163"/>
      <c r="J4631" s="165"/>
      <c r="K4631" s="166"/>
      <c r="L4631" s="166"/>
    </row>
    <row r="4632">
      <c r="A4632" s="163" t="s">
        <v>222</v>
      </c>
      <c r="B4632" s="163"/>
      <c r="C4632" s="163"/>
      <c r="J4632" s="165"/>
      <c r="K4632" s="166"/>
      <c r="L4632" s="166"/>
    </row>
    <row r="4633">
      <c r="A4633" s="163" t="s">
        <v>222</v>
      </c>
      <c r="B4633" s="163"/>
      <c r="C4633" s="163"/>
      <c r="J4633" s="165"/>
      <c r="K4633" s="166"/>
      <c r="L4633" s="166"/>
    </row>
    <row r="4634">
      <c r="A4634" s="163" t="s">
        <v>222</v>
      </c>
      <c r="B4634" s="163"/>
      <c r="C4634" s="163"/>
      <c r="J4634" s="165"/>
      <c r="K4634" s="166"/>
      <c r="L4634" s="166"/>
    </row>
    <row r="4635">
      <c r="A4635" s="163" t="s">
        <v>222</v>
      </c>
      <c r="B4635" s="163"/>
      <c r="C4635" s="163"/>
      <c r="J4635" s="165"/>
      <c r="K4635" s="166"/>
      <c r="L4635" s="166"/>
    </row>
    <row r="4636">
      <c r="A4636" s="163" t="s">
        <v>222</v>
      </c>
      <c r="B4636" s="163"/>
      <c r="C4636" s="163"/>
      <c r="J4636" s="165"/>
      <c r="K4636" s="166"/>
      <c r="L4636" s="166"/>
    </row>
    <row r="4637">
      <c r="A4637" s="163" t="s">
        <v>222</v>
      </c>
      <c r="B4637" s="163"/>
      <c r="C4637" s="163"/>
      <c r="J4637" s="165"/>
      <c r="K4637" s="166"/>
      <c r="L4637" s="166"/>
    </row>
    <row r="4638">
      <c r="A4638" s="163" t="s">
        <v>222</v>
      </c>
      <c r="B4638" s="163"/>
      <c r="C4638" s="163"/>
      <c r="J4638" s="165"/>
      <c r="K4638" s="166"/>
      <c r="L4638" s="166"/>
    </row>
    <row r="4639">
      <c r="A4639" s="163" t="s">
        <v>222</v>
      </c>
      <c r="B4639" s="163"/>
      <c r="C4639" s="163"/>
      <c r="J4639" s="165"/>
      <c r="K4639" s="166"/>
      <c r="L4639" s="166"/>
    </row>
    <row r="4640">
      <c r="A4640" s="163" t="s">
        <v>222</v>
      </c>
      <c r="B4640" s="163"/>
      <c r="C4640" s="163"/>
      <c r="J4640" s="165"/>
      <c r="K4640" s="166"/>
      <c r="L4640" s="166"/>
    </row>
    <row r="4641">
      <c r="A4641" s="163" t="s">
        <v>222</v>
      </c>
      <c r="B4641" s="163"/>
      <c r="C4641" s="163"/>
      <c r="J4641" s="165"/>
      <c r="K4641" s="166"/>
      <c r="L4641" s="166"/>
    </row>
    <row r="4642">
      <c r="A4642" s="163" t="s">
        <v>222</v>
      </c>
      <c r="B4642" s="163"/>
      <c r="C4642" s="163"/>
      <c r="J4642" s="165"/>
      <c r="K4642" s="166"/>
      <c r="L4642" s="166"/>
    </row>
    <row r="4643">
      <c r="A4643" s="163" t="s">
        <v>222</v>
      </c>
      <c r="B4643" s="163"/>
      <c r="C4643" s="163"/>
      <c r="J4643" s="165"/>
      <c r="K4643" s="166"/>
      <c r="L4643" s="166"/>
    </row>
    <row r="4644">
      <c r="A4644" s="163" t="s">
        <v>222</v>
      </c>
      <c r="B4644" s="163"/>
      <c r="C4644" s="163"/>
      <c r="J4644" s="165"/>
      <c r="K4644" s="166"/>
      <c r="L4644" s="166"/>
    </row>
    <row r="4645">
      <c r="A4645" s="163" t="s">
        <v>222</v>
      </c>
      <c r="B4645" s="163"/>
      <c r="C4645" s="163"/>
      <c r="J4645" s="165"/>
      <c r="K4645" s="166"/>
      <c r="L4645" s="166"/>
    </row>
    <row r="4646">
      <c r="A4646" s="163" t="s">
        <v>222</v>
      </c>
      <c r="B4646" s="163"/>
      <c r="C4646" s="163"/>
      <c r="J4646" s="165"/>
      <c r="K4646" s="166"/>
      <c r="L4646" s="166"/>
    </row>
    <row r="4647">
      <c r="A4647" s="163" t="s">
        <v>222</v>
      </c>
      <c r="B4647" s="163"/>
      <c r="C4647" s="163"/>
      <c r="J4647" s="165"/>
      <c r="K4647" s="166"/>
      <c r="L4647" s="166"/>
    </row>
    <row r="4648">
      <c r="A4648" s="163" t="s">
        <v>222</v>
      </c>
      <c r="B4648" s="163"/>
      <c r="C4648" s="163"/>
      <c r="J4648" s="165"/>
      <c r="K4648" s="166"/>
      <c r="L4648" s="166"/>
    </row>
    <row r="4649">
      <c r="A4649" s="163" t="s">
        <v>222</v>
      </c>
      <c r="B4649" s="163"/>
      <c r="C4649" s="163"/>
      <c r="J4649" s="165"/>
      <c r="K4649" s="166"/>
      <c r="L4649" s="166"/>
    </row>
    <row r="4650">
      <c r="A4650" s="163" t="s">
        <v>222</v>
      </c>
      <c r="B4650" s="163"/>
      <c r="C4650" s="163"/>
      <c r="J4650" s="165"/>
      <c r="K4650" s="166"/>
      <c r="L4650" s="166"/>
    </row>
    <row r="4651">
      <c r="A4651" s="163" t="s">
        <v>222</v>
      </c>
      <c r="B4651" s="163"/>
      <c r="C4651" s="163"/>
      <c r="J4651" s="165"/>
      <c r="K4651" s="166"/>
      <c r="L4651" s="166"/>
    </row>
    <row r="4652">
      <c r="A4652" s="163" t="s">
        <v>222</v>
      </c>
      <c r="B4652" s="163"/>
      <c r="C4652" s="163"/>
      <c r="J4652" s="165"/>
      <c r="K4652" s="166"/>
      <c r="L4652" s="166"/>
    </row>
    <row r="4653">
      <c r="A4653" s="163" t="s">
        <v>222</v>
      </c>
      <c r="B4653" s="163"/>
      <c r="C4653" s="163"/>
      <c r="J4653" s="165"/>
      <c r="K4653" s="166"/>
      <c r="L4653" s="166"/>
    </row>
    <row r="4654">
      <c r="A4654" s="163" t="s">
        <v>222</v>
      </c>
      <c r="B4654" s="163"/>
      <c r="C4654" s="163"/>
      <c r="J4654" s="165"/>
      <c r="K4654" s="166"/>
      <c r="L4654" s="166"/>
    </row>
    <row r="4655">
      <c r="A4655" s="163" t="s">
        <v>222</v>
      </c>
      <c r="B4655" s="163"/>
      <c r="C4655" s="163"/>
      <c r="J4655" s="165"/>
      <c r="K4655" s="166"/>
      <c r="L4655" s="166"/>
    </row>
    <row r="4656">
      <c r="A4656" s="163" t="s">
        <v>222</v>
      </c>
      <c r="B4656" s="163"/>
      <c r="C4656" s="163"/>
      <c r="J4656" s="165"/>
      <c r="K4656" s="166"/>
      <c r="L4656" s="166"/>
    </row>
    <row r="4657">
      <c r="A4657" s="163" t="s">
        <v>222</v>
      </c>
      <c r="B4657" s="163"/>
      <c r="C4657" s="163"/>
      <c r="J4657" s="165"/>
      <c r="K4657" s="166"/>
      <c r="L4657" s="166"/>
    </row>
    <row r="4658">
      <c r="A4658" s="163" t="s">
        <v>222</v>
      </c>
      <c r="B4658" s="163"/>
      <c r="C4658" s="163"/>
      <c r="J4658" s="165"/>
      <c r="K4658" s="166"/>
      <c r="L4658" s="166"/>
    </row>
    <row r="4659">
      <c r="A4659" s="163" t="s">
        <v>222</v>
      </c>
      <c r="B4659" s="163"/>
      <c r="C4659" s="163"/>
      <c r="J4659" s="165"/>
      <c r="K4659" s="166"/>
      <c r="L4659" s="166"/>
    </row>
    <row r="4660">
      <c r="A4660" s="163" t="s">
        <v>222</v>
      </c>
      <c r="B4660" s="163"/>
      <c r="C4660" s="163"/>
      <c r="J4660" s="165"/>
      <c r="K4660" s="166"/>
      <c r="L4660" s="166"/>
    </row>
    <row r="4661">
      <c r="A4661" s="163" t="s">
        <v>222</v>
      </c>
      <c r="B4661" s="163"/>
      <c r="C4661" s="163"/>
      <c r="J4661" s="165"/>
      <c r="K4661" s="166"/>
      <c r="L4661" s="166"/>
    </row>
    <row r="4662">
      <c r="A4662" s="163" t="s">
        <v>222</v>
      </c>
      <c r="B4662" s="163"/>
      <c r="C4662" s="163"/>
      <c r="J4662" s="165"/>
      <c r="K4662" s="166"/>
      <c r="L4662" s="166"/>
    </row>
    <row r="4663">
      <c r="A4663" s="163" t="s">
        <v>222</v>
      </c>
      <c r="B4663" s="163"/>
      <c r="C4663" s="163"/>
      <c r="J4663" s="165"/>
      <c r="K4663" s="166"/>
      <c r="L4663" s="166"/>
    </row>
    <row r="4664">
      <c r="A4664" s="163" t="s">
        <v>222</v>
      </c>
      <c r="B4664" s="163"/>
      <c r="C4664" s="163"/>
      <c r="J4664" s="165"/>
      <c r="K4664" s="166"/>
      <c r="L4664" s="166"/>
    </row>
    <row r="4665">
      <c r="A4665" s="163" t="s">
        <v>222</v>
      </c>
      <c r="B4665" s="163"/>
      <c r="C4665" s="163"/>
      <c r="J4665" s="165"/>
      <c r="K4665" s="166"/>
      <c r="L4665" s="166"/>
    </row>
    <row r="4666">
      <c r="A4666" s="163" t="s">
        <v>222</v>
      </c>
      <c r="B4666" s="163"/>
      <c r="C4666" s="163"/>
      <c r="J4666" s="165"/>
      <c r="K4666" s="166"/>
      <c r="L4666" s="166"/>
    </row>
    <row r="4667">
      <c r="A4667" s="163" t="s">
        <v>222</v>
      </c>
      <c r="B4667" s="163"/>
      <c r="C4667" s="163"/>
      <c r="J4667" s="165"/>
      <c r="K4667" s="166"/>
      <c r="L4667" s="166"/>
    </row>
    <row r="4668">
      <c r="A4668" s="163" t="s">
        <v>222</v>
      </c>
      <c r="B4668" s="163"/>
      <c r="C4668" s="163"/>
      <c r="J4668" s="165"/>
      <c r="K4668" s="166"/>
      <c r="L4668" s="166"/>
    </row>
    <row r="4669">
      <c r="A4669" s="163" t="s">
        <v>222</v>
      </c>
      <c r="B4669" s="163"/>
      <c r="C4669" s="163"/>
      <c r="J4669" s="165"/>
      <c r="K4669" s="166"/>
      <c r="L4669" s="166"/>
    </row>
    <row r="4670">
      <c r="A4670" s="163" t="s">
        <v>222</v>
      </c>
      <c r="B4670" s="163"/>
      <c r="C4670" s="163"/>
      <c r="J4670" s="165"/>
      <c r="K4670" s="166"/>
      <c r="L4670" s="166"/>
    </row>
    <row r="4671">
      <c r="A4671" s="163" t="s">
        <v>222</v>
      </c>
      <c r="B4671" s="163"/>
      <c r="C4671" s="163"/>
      <c r="J4671" s="165"/>
      <c r="K4671" s="166"/>
      <c r="L4671" s="166"/>
    </row>
    <row r="4672">
      <c r="A4672" s="163" t="s">
        <v>222</v>
      </c>
      <c r="B4672" s="163"/>
      <c r="C4672" s="163"/>
      <c r="J4672" s="165"/>
      <c r="K4672" s="166"/>
      <c r="L4672" s="166"/>
    </row>
    <row r="4673">
      <c r="A4673" s="163" t="s">
        <v>222</v>
      </c>
      <c r="B4673" s="163"/>
      <c r="C4673" s="163"/>
      <c r="J4673" s="165"/>
      <c r="K4673" s="166"/>
      <c r="L4673" s="166"/>
    </row>
    <row r="4674">
      <c r="A4674" s="163" t="s">
        <v>222</v>
      </c>
      <c r="B4674" s="163"/>
      <c r="C4674" s="163"/>
      <c r="J4674" s="165"/>
      <c r="K4674" s="166"/>
      <c r="L4674" s="166"/>
    </row>
    <row r="4675">
      <c r="A4675" s="163" t="s">
        <v>222</v>
      </c>
      <c r="B4675" s="163"/>
      <c r="C4675" s="163"/>
      <c r="J4675" s="165"/>
      <c r="K4675" s="166"/>
      <c r="L4675" s="166"/>
    </row>
    <row r="4676">
      <c r="A4676" s="163" t="s">
        <v>222</v>
      </c>
      <c r="B4676" s="163"/>
      <c r="C4676" s="163"/>
      <c r="J4676" s="165"/>
      <c r="K4676" s="166"/>
      <c r="L4676" s="166"/>
    </row>
    <row r="4677">
      <c r="A4677" s="163" t="s">
        <v>222</v>
      </c>
      <c r="B4677" s="163"/>
      <c r="C4677" s="163"/>
      <c r="J4677" s="165"/>
      <c r="K4677" s="166"/>
      <c r="L4677" s="166"/>
    </row>
    <row r="4678">
      <c r="A4678" s="163" t="s">
        <v>222</v>
      </c>
      <c r="B4678" s="163"/>
      <c r="C4678" s="163"/>
      <c r="J4678" s="165"/>
      <c r="K4678" s="166"/>
      <c r="L4678" s="166"/>
    </row>
    <row r="4679">
      <c r="A4679" s="163" t="s">
        <v>222</v>
      </c>
      <c r="B4679" s="163"/>
      <c r="C4679" s="163"/>
      <c r="J4679" s="165"/>
      <c r="K4679" s="166"/>
      <c r="L4679" s="166"/>
    </row>
    <row r="4680">
      <c r="A4680" s="163" t="s">
        <v>222</v>
      </c>
      <c r="B4680" s="163"/>
      <c r="C4680" s="163"/>
      <c r="J4680" s="165"/>
      <c r="K4680" s="166"/>
      <c r="L4680" s="166"/>
    </row>
    <row r="4681">
      <c r="A4681" s="163" t="s">
        <v>222</v>
      </c>
      <c r="B4681" s="163"/>
      <c r="C4681" s="163"/>
      <c r="J4681" s="165"/>
      <c r="K4681" s="166"/>
      <c r="L4681" s="166"/>
    </row>
    <row r="4682">
      <c r="A4682" s="163" t="s">
        <v>222</v>
      </c>
      <c r="B4682" s="163"/>
      <c r="C4682" s="163"/>
      <c r="J4682" s="165"/>
      <c r="K4682" s="166"/>
      <c r="L4682" s="166"/>
    </row>
    <row r="4683">
      <c r="A4683" s="163" t="s">
        <v>222</v>
      </c>
      <c r="B4683" s="163"/>
      <c r="C4683" s="163"/>
      <c r="J4683" s="165"/>
      <c r="K4683" s="166"/>
      <c r="L4683" s="166"/>
    </row>
    <row r="4684">
      <c r="A4684" s="163" t="s">
        <v>222</v>
      </c>
      <c r="B4684" s="163"/>
      <c r="C4684" s="163"/>
      <c r="J4684" s="165"/>
      <c r="K4684" s="166"/>
      <c r="L4684" s="166"/>
    </row>
    <row r="4685">
      <c r="A4685" s="163" t="s">
        <v>222</v>
      </c>
      <c r="B4685" s="163"/>
      <c r="C4685" s="163"/>
      <c r="J4685" s="165"/>
      <c r="K4685" s="166"/>
      <c r="L4685" s="166"/>
    </row>
    <row r="4686">
      <c r="A4686" s="163" t="s">
        <v>222</v>
      </c>
      <c r="B4686" s="163"/>
      <c r="C4686" s="163"/>
      <c r="J4686" s="165"/>
      <c r="K4686" s="166"/>
      <c r="L4686" s="166"/>
    </row>
    <row r="4687">
      <c r="A4687" s="163" t="s">
        <v>222</v>
      </c>
      <c r="B4687" s="163"/>
      <c r="C4687" s="163"/>
      <c r="J4687" s="165"/>
      <c r="K4687" s="166"/>
      <c r="L4687" s="166"/>
    </row>
    <row r="4688">
      <c r="A4688" s="163" t="s">
        <v>222</v>
      </c>
      <c r="B4688" s="163"/>
      <c r="C4688" s="163"/>
      <c r="J4688" s="165"/>
      <c r="K4688" s="166"/>
      <c r="L4688" s="166"/>
    </row>
    <row r="4689">
      <c r="A4689" s="163" t="s">
        <v>222</v>
      </c>
      <c r="B4689" s="163"/>
      <c r="C4689" s="163"/>
      <c r="J4689" s="165"/>
      <c r="K4689" s="166"/>
      <c r="L4689" s="166"/>
    </row>
    <row r="4690">
      <c r="A4690" s="163" t="s">
        <v>222</v>
      </c>
      <c r="B4690" s="163"/>
      <c r="C4690" s="163"/>
      <c r="J4690" s="165"/>
      <c r="K4690" s="166"/>
      <c r="L4690" s="166"/>
    </row>
    <row r="4691">
      <c r="A4691" s="163" t="s">
        <v>222</v>
      </c>
      <c r="B4691" s="163"/>
      <c r="C4691" s="163"/>
      <c r="J4691" s="165"/>
      <c r="K4691" s="166"/>
      <c r="L4691" s="166"/>
    </row>
    <row r="4692">
      <c r="A4692" s="163" t="s">
        <v>222</v>
      </c>
      <c r="B4692" s="163"/>
      <c r="C4692" s="163"/>
      <c r="J4692" s="165"/>
      <c r="K4692" s="166"/>
      <c r="L4692" s="166"/>
    </row>
    <row r="4693">
      <c r="A4693" s="163" t="s">
        <v>222</v>
      </c>
      <c r="B4693" s="163"/>
      <c r="C4693" s="163"/>
      <c r="J4693" s="165"/>
      <c r="K4693" s="166"/>
      <c r="L4693" s="166"/>
    </row>
    <row r="4694">
      <c r="A4694" s="163" t="s">
        <v>222</v>
      </c>
      <c r="B4694" s="163"/>
      <c r="C4694" s="163"/>
      <c r="J4694" s="165"/>
      <c r="K4694" s="166"/>
      <c r="L4694" s="166"/>
    </row>
    <row r="4695">
      <c r="A4695" s="163" t="s">
        <v>222</v>
      </c>
      <c r="B4695" s="163"/>
      <c r="C4695" s="163"/>
      <c r="J4695" s="165"/>
      <c r="K4695" s="166"/>
      <c r="L4695" s="166"/>
    </row>
    <row r="4696">
      <c r="A4696" s="163" t="s">
        <v>222</v>
      </c>
      <c r="B4696" s="163"/>
      <c r="C4696" s="163"/>
      <c r="J4696" s="165"/>
      <c r="K4696" s="166"/>
      <c r="L4696" s="166"/>
    </row>
    <row r="4697">
      <c r="A4697" s="163" t="s">
        <v>222</v>
      </c>
      <c r="B4697" s="163"/>
      <c r="C4697" s="163"/>
      <c r="J4697" s="165"/>
      <c r="K4697" s="166"/>
      <c r="L4697" s="166"/>
    </row>
    <row r="4698">
      <c r="A4698" s="163" t="s">
        <v>222</v>
      </c>
      <c r="B4698" s="163"/>
      <c r="C4698" s="163"/>
      <c r="J4698" s="165"/>
      <c r="K4698" s="166"/>
      <c r="L4698" s="166"/>
    </row>
    <row r="4699">
      <c r="A4699" s="163" t="s">
        <v>222</v>
      </c>
      <c r="B4699" s="163"/>
      <c r="C4699" s="163"/>
      <c r="J4699" s="165"/>
      <c r="K4699" s="166"/>
      <c r="L4699" s="166"/>
    </row>
    <row r="4700">
      <c r="A4700" s="163" t="s">
        <v>222</v>
      </c>
      <c r="B4700" s="163"/>
      <c r="C4700" s="163"/>
      <c r="J4700" s="165"/>
      <c r="K4700" s="166"/>
      <c r="L4700" s="166"/>
    </row>
    <row r="4701">
      <c r="A4701" s="163" t="s">
        <v>222</v>
      </c>
      <c r="B4701" s="163"/>
      <c r="C4701" s="163"/>
      <c r="J4701" s="165"/>
      <c r="K4701" s="166"/>
      <c r="L4701" s="166"/>
    </row>
    <row r="4702">
      <c r="A4702" s="163" t="s">
        <v>222</v>
      </c>
      <c r="B4702" s="163"/>
      <c r="C4702" s="163"/>
      <c r="J4702" s="165"/>
      <c r="K4702" s="166"/>
      <c r="L4702" s="166"/>
    </row>
    <row r="4703">
      <c r="A4703" s="163" t="s">
        <v>222</v>
      </c>
      <c r="B4703" s="163"/>
      <c r="C4703" s="163"/>
      <c r="J4703" s="165"/>
      <c r="K4703" s="166"/>
      <c r="L4703" s="166"/>
    </row>
    <row r="4704">
      <c r="A4704" s="163" t="s">
        <v>222</v>
      </c>
      <c r="B4704" s="163"/>
      <c r="C4704" s="163"/>
      <c r="J4704" s="165"/>
      <c r="K4704" s="166"/>
      <c r="L4704" s="166"/>
    </row>
    <row r="4705">
      <c r="A4705" s="163" t="s">
        <v>222</v>
      </c>
      <c r="B4705" s="163"/>
      <c r="C4705" s="163"/>
      <c r="J4705" s="165"/>
      <c r="K4705" s="166"/>
      <c r="L4705" s="166"/>
    </row>
    <row r="4706">
      <c r="A4706" s="163" t="s">
        <v>222</v>
      </c>
      <c r="B4706" s="163"/>
      <c r="C4706" s="163"/>
      <c r="J4706" s="165"/>
      <c r="K4706" s="166"/>
      <c r="L4706" s="166"/>
    </row>
    <row r="4707">
      <c r="A4707" s="163" t="s">
        <v>222</v>
      </c>
      <c r="B4707" s="163"/>
      <c r="C4707" s="163"/>
      <c r="J4707" s="165"/>
      <c r="K4707" s="166"/>
      <c r="L4707" s="166"/>
    </row>
    <row r="4708">
      <c r="A4708" s="163" t="s">
        <v>222</v>
      </c>
      <c r="B4708" s="163"/>
      <c r="C4708" s="163"/>
      <c r="J4708" s="165"/>
      <c r="K4708" s="166"/>
      <c r="L4708" s="166"/>
    </row>
    <row r="4709">
      <c r="A4709" s="163" t="s">
        <v>222</v>
      </c>
      <c r="B4709" s="163"/>
      <c r="C4709" s="163"/>
      <c r="J4709" s="165"/>
      <c r="K4709" s="166"/>
      <c r="L4709" s="166"/>
    </row>
    <row r="4710">
      <c r="A4710" s="163" t="s">
        <v>222</v>
      </c>
      <c r="B4710" s="163"/>
      <c r="C4710" s="163"/>
      <c r="J4710" s="165"/>
      <c r="K4710" s="166"/>
      <c r="L4710" s="166"/>
    </row>
    <row r="4711">
      <c r="A4711" s="163" t="s">
        <v>222</v>
      </c>
      <c r="B4711" s="163"/>
      <c r="C4711" s="163"/>
      <c r="J4711" s="165"/>
      <c r="K4711" s="166"/>
      <c r="L4711" s="166"/>
    </row>
    <row r="4712">
      <c r="A4712" s="163" t="s">
        <v>222</v>
      </c>
      <c r="B4712" s="163"/>
      <c r="C4712" s="163"/>
      <c r="J4712" s="165"/>
      <c r="K4712" s="166"/>
      <c r="L4712" s="166"/>
    </row>
    <row r="4713">
      <c r="A4713" s="163" t="s">
        <v>222</v>
      </c>
      <c r="B4713" s="163"/>
      <c r="C4713" s="163"/>
      <c r="J4713" s="165"/>
      <c r="K4713" s="166"/>
      <c r="L4713" s="166"/>
    </row>
    <row r="4714">
      <c r="A4714" s="163" t="s">
        <v>222</v>
      </c>
      <c r="B4714" s="163"/>
      <c r="C4714" s="163"/>
      <c r="J4714" s="165"/>
      <c r="K4714" s="166"/>
      <c r="L4714" s="166"/>
    </row>
    <row r="4715">
      <c r="A4715" s="163" t="s">
        <v>222</v>
      </c>
      <c r="B4715" s="163"/>
      <c r="C4715" s="163"/>
      <c r="J4715" s="165"/>
      <c r="K4715" s="166"/>
      <c r="L4715" s="166"/>
    </row>
    <row r="4716">
      <c r="A4716" s="163" t="s">
        <v>222</v>
      </c>
      <c r="B4716" s="163"/>
      <c r="C4716" s="163"/>
      <c r="J4716" s="165"/>
      <c r="K4716" s="166"/>
      <c r="L4716" s="166"/>
    </row>
    <row r="4717">
      <c r="A4717" s="163" t="s">
        <v>222</v>
      </c>
      <c r="B4717" s="163"/>
      <c r="C4717" s="163"/>
      <c r="J4717" s="165"/>
      <c r="K4717" s="166"/>
      <c r="L4717" s="166"/>
    </row>
    <row r="4718">
      <c r="A4718" s="163" t="s">
        <v>222</v>
      </c>
      <c r="B4718" s="163"/>
      <c r="C4718" s="163"/>
      <c r="J4718" s="165"/>
      <c r="K4718" s="166"/>
      <c r="L4718" s="166"/>
    </row>
    <row r="4719">
      <c r="A4719" s="163" t="s">
        <v>222</v>
      </c>
      <c r="B4719" s="163"/>
      <c r="C4719" s="163"/>
      <c r="J4719" s="165"/>
      <c r="K4719" s="166"/>
      <c r="L4719" s="166"/>
    </row>
    <row r="4720">
      <c r="A4720" s="163" t="s">
        <v>222</v>
      </c>
      <c r="B4720" s="163"/>
      <c r="C4720" s="163"/>
      <c r="J4720" s="165"/>
      <c r="K4720" s="166"/>
      <c r="L4720" s="166"/>
    </row>
    <row r="4721">
      <c r="A4721" s="163" t="s">
        <v>222</v>
      </c>
      <c r="B4721" s="163"/>
      <c r="C4721" s="163"/>
      <c r="J4721" s="165"/>
      <c r="K4721" s="166"/>
      <c r="L4721" s="166"/>
    </row>
    <row r="4722">
      <c r="A4722" s="163" t="s">
        <v>222</v>
      </c>
      <c r="B4722" s="163"/>
      <c r="C4722" s="163"/>
      <c r="J4722" s="165"/>
      <c r="K4722" s="166"/>
      <c r="L4722" s="166"/>
    </row>
    <row r="4723">
      <c r="A4723" s="163" t="s">
        <v>222</v>
      </c>
      <c r="B4723" s="163"/>
      <c r="C4723" s="163"/>
      <c r="J4723" s="165"/>
      <c r="K4723" s="166"/>
      <c r="L4723" s="166"/>
    </row>
    <row r="4724">
      <c r="A4724" s="163" t="s">
        <v>222</v>
      </c>
      <c r="B4724" s="163"/>
      <c r="C4724" s="163"/>
      <c r="J4724" s="165"/>
      <c r="K4724" s="166"/>
      <c r="L4724" s="166"/>
    </row>
    <row r="4725">
      <c r="A4725" s="163" t="s">
        <v>222</v>
      </c>
      <c r="B4725" s="163"/>
      <c r="C4725" s="163"/>
      <c r="J4725" s="165"/>
      <c r="K4725" s="166"/>
      <c r="L4725" s="166"/>
    </row>
    <row r="4726">
      <c r="A4726" s="163" t="s">
        <v>222</v>
      </c>
      <c r="B4726" s="163"/>
      <c r="C4726" s="163"/>
      <c r="J4726" s="165"/>
      <c r="K4726" s="166"/>
      <c r="L4726" s="166"/>
    </row>
    <row r="4727">
      <c r="A4727" s="163" t="s">
        <v>222</v>
      </c>
      <c r="B4727" s="163"/>
      <c r="C4727" s="163"/>
      <c r="J4727" s="165"/>
      <c r="K4727" s="166"/>
      <c r="L4727" s="166"/>
    </row>
    <row r="4728">
      <c r="A4728" s="163" t="s">
        <v>222</v>
      </c>
      <c r="B4728" s="163"/>
      <c r="C4728" s="163"/>
      <c r="J4728" s="165"/>
      <c r="K4728" s="166"/>
      <c r="L4728" s="166"/>
    </row>
    <row r="4729">
      <c r="A4729" s="163" t="s">
        <v>222</v>
      </c>
      <c r="B4729" s="163"/>
      <c r="C4729" s="163"/>
      <c r="J4729" s="165"/>
      <c r="K4729" s="166"/>
      <c r="L4729" s="166"/>
    </row>
    <row r="4730">
      <c r="A4730" s="163" t="s">
        <v>222</v>
      </c>
      <c r="B4730" s="163"/>
      <c r="C4730" s="163"/>
      <c r="J4730" s="165"/>
      <c r="K4730" s="166"/>
      <c r="L4730" s="166"/>
    </row>
    <row r="4731">
      <c r="A4731" s="163" t="s">
        <v>222</v>
      </c>
      <c r="B4731" s="163"/>
      <c r="C4731" s="163"/>
      <c r="J4731" s="165"/>
      <c r="K4731" s="166"/>
      <c r="L4731" s="166"/>
    </row>
    <row r="4732">
      <c r="A4732" s="163" t="s">
        <v>222</v>
      </c>
      <c r="B4732" s="163"/>
      <c r="C4732" s="163"/>
      <c r="J4732" s="165"/>
      <c r="K4732" s="166"/>
      <c r="L4732" s="166"/>
    </row>
    <row r="4733">
      <c r="A4733" s="163" t="s">
        <v>222</v>
      </c>
      <c r="B4733" s="163"/>
      <c r="C4733" s="163"/>
      <c r="J4733" s="165"/>
      <c r="K4733" s="166"/>
      <c r="L4733" s="166"/>
    </row>
    <row r="4734">
      <c r="A4734" s="163" t="s">
        <v>222</v>
      </c>
      <c r="B4734" s="163"/>
      <c r="C4734" s="163"/>
      <c r="J4734" s="165"/>
      <c r="K4734" s="166"/>
      <c r="L4734" s="166"/>
    </row>
    <row r="4735">
      <c r="A4735" s="163" t="s">
        <v>222</v>
      </c>
      <c r="B4735" s="163"/>
      <c r="C4735" s="163"/>
      <c r="J4735" s="165"/>
      <c r="K4735" s="166"/>
      <c r="L4735" s="166"/>
    </row>
    <row r="4736">
      <c r="A4736" s="163" t="s">
        <v>222</v>
      </c>
      <c r="B4736" s="163"/>
      <c r="C4736" s="163"/>
      <c r="J4736" s="165"/>
      <c r="K4736" s="166"/>
      <c r="L4736" s="166"/>
    </row>
    <row r="4737">
      <c r="A4737" s="163" t="s">
        <v>222</v>
      </c>
      <c r="B4737" s="163"/>
      <c r="C4737" s="163"/>
      <c r="J4737" s="165"/>
      <c r="K4737" s="166"/>
      <c r="L4737" s="166"/>
    </row>
    <row r="4738">
      <c r="A4738" s="163" t="s">
        <v>222</v>
      </c>
      <c r="B4738" s="163"/>
      <c r="C4738" s="163"/>
      <c r="J4738" s="165"/>
      <c r="K4738" s="166"/>
      <c r="L4738" s="166"/>
    </row>
    <row r="4739">
      <c r="A4739" s="163" t="s">
        <v>222</v>
      </c>
      <c r="B4739" s="163"/>
      <c r="C4739" s="163"/>
      <c r="J4739" s="165"/>
      <c r="K4739" s="166"/>
      <c r="L4739" s="166"/>
    </row>
    <row r="4740">
      <c r="A4740" s="163" t="s">
        <v>222</v>
      </c>
      <c r="B4740" s="163"/>
      <c r="C4740" s="163"/>
      <c r="J4740" s="165"/>
      <c r="K4740" s="166"/>
      <c r="L4740" s="166"/>
    </row>
    <row r="4741">
      <c r="A4741" s="163" t="s">
        <v>222</v>
      </c>
      <c r="B4741" s="163"/>
      <c r="C4741" s="163"/>
      <c r="J4741" s="165"/>
      <c r="K4741" s="166"/>
      <c r="L4741" s="166"/>
    </row>
    <row r="4742">
      <c r="A4742" s="163" t="s">
        <v>222</v>
      </c>
      <c r="B4742" s="163"/>
      <c r="C4742" s="163"/>
      <c r="J4742" s="165"/>
      <c r="K4742" s="166"/>
      <c r="L4742" s="166"/>
    </row>
    <row r="4743">
      <c r="A4743" s="163" t="s">
        <v>222</v>
      </c>
      <c r="B4743" s="163"/>
      <c r="C4743" s="163"/>
      <c r="J4743" s="165"/>
      <c r="K4743" s="166"/>
      <c r="L4743" s="166"/>
    </row>
    <row r="4744">
      <c r="A4744" s="163" t="s">
        <v>222</v>
      </c>
      <c r="B4744" s="163"/>
      <c r="C4744" s="163"/>
      <c r="J4744" s="165"/>
      <c r="K4744" s="166"/>
      <c r="L4744" s="166"/>
    </row>
    <row r="4745">
      <c r="A4745" s="163" t="s">
        <v>222</v>
      </c>
      <c r="B4745" s="163"/>
      <c r="C4745" s="163"/>
      <c r="J4745" s="165"/>
      <c r="K4745" s="166"/>
      <c r="L4745" s="166"/>
    </row>
    <row r="4746">
      <c r="A4746" s="163" t="s">
        <v>222</v>
      </c>
      <c r="B4746" s="163"/>
      <c r="C4746" s="163"/>
      <c r="J4746" s="165"/>
      <c r="K4746" s="166"/>
      <c r="L4746" s="166"/>
    </row>
    <row r="4747">
      <c r="A4747" s="163" t="s">
        <v>222</v>
      </c>
      <c r="B4747" s="163"/>
      <c r="C4747" s="163"/>
      <c r="J4747" s="165"/>
      <c r="K4747" s="166"/>
      <c r="L4747" s="166"/>
    </row>
    <row r="4748">
      <c r="A4748" s="163" t="s">
        <v>222</v>
      </c>
      <c r="B4748" s="163"/>
      <c r="C4748" s="163"/>
      <c r="J4748" s="165"/>
      <c r="K4748" s="166"/>
      <c r="L4748" s="166"/>
    </row>
    <row r="4749">
      <c r="A4749" s="163" t="s">
        <v>222</v>
      </c>
      <c r="B4749" s="163"/>
      <c r="C4749" s="163"/>
      <c r="J4749" s="165"/>
      <c r="K4749" s="166"/>
      <c r="L4749" s="166"/>
    </row>
    <row r="4750">
      <c r="A4750" s="163" t="s">
        <v>222</v>
      </c>
      <c r="B4750" s="163"/>
      <c r="C4750" s="163"/>
      <c r="J4750" s="165"/>
      <c r="K4750" s="166"/>
      <c r="L4750" s="166"/>
    </row>
    <row r="4751">
      <c r="A4751" s="163" t="s">
        <v>222</v>
      </c>
      <c r="B4751" s="163"/>
      <c r="C4751" s="163"/>
      <c r="J4751" s="165"/>
      <c r="K4751" s="166"/>
      <c r="L4751" s="166"/>
    </row>
    <row r="4752">
      <c r="A4752" s="163" t="s">
        <v>222</v>
      </c>
      <c r="B4752" s="163"/>
      <c r="C4752" s="163"/>
      <c r="J4752" s="165"/>
      <c r="K4752" s="166"/>
      <c r="L4752" s="166"/>
    </row>
    <row r="4753">
      <c r="A4753" s="163" t="s">
        <v>222</v>
      </c>
      <c r="B4753" s="163"/>
      <c r="C4753" s="163"/>
      <c r="J4753" s="165"/>
      <c r="K4753" s="166"/>
      <c r="L4753" s="166"/>
    </row>
    <row r="4754">
      <c r="A4754" s="163" t="s">
        <v>222</v>
      </c>
      <c r="B4754" s="163"/>
      <c r="C4754" s="163"/>
      <c r="J4754" s="165"/>
      <c r="K4754" s="166"/>
      <c r="L4754" s="166"/>
    </row>
    <row r="4755">
      <c r="A4755" s="163" t="s">
        <v>222</v>
      </c>
      <c r="B4755" s="163"/>
      <c r="C4755" s="163"/>
      <c r="J4755" s="165"/>
      <c r="K4755" s="166"/>
      <c r="L4755" s="166"/>
    </row>
    <row r="4756">
      <c r="A4756" s="163" t="s">
        <v>222</v>
      </c>
      <c r="B4756" s="163"/>
      <c r="C4756" s="163"/>
      <c r="J4756" s="165"/>
      <c r="K4756" s="166"/>
      <c r="L4756" s="166"/>
    </row>
    <row r="4757">
      <c r="A4757" s="163" t="s">
        <v>222</v>
      </c>
      <c r="B4757" s="163"/>
      <c r="C4757" s="163"/>
      <c r="J4757" s="165"/>
      <c r="K4757" s="166"/>
      <c r="L4757" s="166"/>
    </row>
    <row r="4758">
      <c r="A4758" s="163" t="s">
        <v>222</v>
      </c>
      <c r="B4758" s="163"/>
      <c r="C4758" s="163"/>
      <c r="J4758" s="165"/>
      <c r="K4758" s="166"/>
      <c r="L4758" s="166"/>
    </row>
    <row r="4759">
      <c r="A4759" s="163" t="s">
        <v>222</v>
      </c>
      <c r="B4759" s="163"/>
      <c r="C4759" s="163"/>
      <c r="J4759" s="165"/>
      <c r="K4759" s="166"/>
      <c r="L4759" s="166"/>
    </row>
    <row r="4760">
      <c r="A4760" s="163" t="s">
        <v>222</v>
      </c>
      <c r="B4760" s="163"/>
      <c r="C4760" s="163"/>
      <c r="J4760" s="165"/>
      <c r="K4760" s="166"/>
      <c r="L4760" s="166"/>
    </row>
    <row r="4761">
      <c r="A4761" s="163" t="s">
        <v>222</v>
      </c>
      <c r="B4761" s="163"/>
      <c r="C4761" s="163"/>
      <c r="J4761" s="165"/>
      <c r="K4761" s="166"/>
      <c r="L4761" s="166"/>
    </row>
    <row r="4762">
      <c r="A4762" s="163" t="s">
        <v>222</v>
      </c>
      <c r="B4762" s="163"/>
      <c r="C4762" s="163"/>
      <c r="J4762" s="165"/>
      <c r="K4762" s="166"/>
      <c r="L4762" s="166"/>
    </row>
    <row r="4763">
      <c r="A4763" s="163" t="s">
        <v>222</v>
      </c>
      <c r="B4763" s="163"/>
      <c r="C4763" s="163"/>
      <c r="J4763" s="165"/>
      <c r="K4763" s="166"/>
      <c r="L4763" s="166"/>
    </row>
    <row r="4764">
      <c r="A4764" s="163" t="s">
        <v>222</v>
      </c>
      <c r="B4764" s="163"/>
      <c r="C4764" s="163"/>
      <c r="J4764" s="165"/>
      <c r="K4764" s="166"/>
      <c r="L4764" s="166"/>
    </row>
    <row r="4765">
      <c r="A4765" s="163" t="s">
        <v>222</v>
      </c>
      <c r="B4765" s="163"/>
      <c r="C4765" s="163"/>
      <c r="J4765" s="165"/>
      <c r="K4765" s="166"/>
      <c r="L4765" s="166"/>
    </row>
    <row r="4766">
      <c r="A4766" s="163" t="s">
        <v>222</v>
      </c>
      <c r="B4766" s="163"/>
      <c r="C4766" s="163"/>
      <c r="J4766" s="165"/>
      <c r="K4766" s="166"/>
      <c r="L4766" s="166"/>
    </row>
    <row r="4767">
      <c r="A4767" s="163" t="s">
        <v>222</v>
      </c>
      <c r="B4767" s="163"/>
      <c r="C4767" s="163"/>
      <c r="J4767" s="165"/>
      <c r="K4767" s="166"/>
      <c r="L4767" s="166"/>
    </row>
    <row r="4768">
      <c r="A4768" s="163" t="s">
        <v>222</v>
      </c>
      <c r="B4768" s="163"/>
      <c r="C4768" s="163"/>
      <c r="J4768" s="165"/>
      <c r="K4768" s="166"/>
      <c r="L4768" s="166"/>
    </row>
    <row r="4769">
      <c r="A4769" s="163" t="s">
        <v>222</v>
      </c>
      <c r="B4769" s="163"/>
      <c r="C4769" s="163"/>
      <c r="J4769" s="165"/>
      <c r="K4769" s="166"/>
      <c r="L4769" s="166"/>
    </row>
    <row r="4770">
      <c r="A4770" s="163" t="s">
        <v>222</v>
      </c>
      <c r="B4770" s="163"/>
      <c r="C4770" s="163"/>
      <c r="J4770" s="165"/>
      <c r="K4770" s="166"/>
      <c r="L4770" s="166"/>
    </row>
    <row r="4771">
      <c r="A4771" s="163" t="s">
        <v>222</v>
      </c>
      <c r="B4771" s="163"/>
      <c r="C4771" s="163"/>
      <c r="J4771" s="165"/>
      <c r="K4771" s="166"/>
      <c r="L4771" s="166"/>
    </row>
    <row r="4772">
      <c r="A4772" s="163" t="s">
        <v>222</v>
      </c>
      <c r="B4772" s="163"/>
      <c r="C4772" s="163"/>
      <c r="J4772" s="165"/>
      <c r="K4772" s="166"/>
      <c r="L4772" s="166"/>
    </row>
    <row r="4773">
      <c r="A4773" s="163" t="s">
        <v>222</v>
      </c>
      <c r="B4773" s="163"/>
      <c r="C4773" s="163"/>
      <c r="J4773" s="165"/>
      <c r="K4773" s="166"/>
      <c r="L4773" s="166"/>
    </row>
    <row r="4774">
      <c r="A4774" s="163" t="s">
        <v>222</v>
      </c>
      <c r="B4774" s="163"/>
      <c r="C4774" s="163"/>
      <c r="J4774" s="165"/>
      <c r="K4774" s="166"/>
      <c r="L4774" s="166"/>
    </row>
    <row r="4775">
      <c r="A4775" s="163" t="s">
        <v>222</v>
      </c>
      <c r="B4775" s="163"/>
      <c r="C4775" s="163"/>
      <c r="J4775" s="165"/>
      <c r="K4775" s="166"/>
      <c r="L4775" s="166"/>
    </row>
    <row r="4776">
      <c r="A4776" s="163" t="s">
        <v>222</v>
      </c>
      <c r="B4776" s="163"/>
      <c r="C4776" s="163"/>
      <c r="J4776" s="165"/>
      <c r="K4776" s="166"/>
      <c r="L4776" s="166"/>
    </row>
    <row r="4777">
      <c r="A4777" s="163" t="s">
        <v>222</v>
      </c>
      <c r="B4777" s="163"/>
      <c r="C4777" s="163"/>
      <c r="J4777" s="165"/>
      <c r="K4777" s="166"/>
      <c r="L4777" s="166"/>
    </row>
    <row r="4778">
      <c r="A4778" s="163" t="s">
        <v>222</v>
      </c>
      <c r="B4778" s="163"/>
      <c r="C4778" s="163"/>
      <c r="J4778" s="165"/>
      <c r="K4778" s="166"/>
      <c r="L4778" s="166"/>
    </row>
    <row r="4779">
      <c r="A4779" s="163" t="s">
        <v>222</v>
      </c>
      <c r="B4779" s="163"/>
      <c r="C4779" s="163"/>
      <c r="J4779" s="165"/>
      <c r="K4779" s="166"/>
      <c r="L4779" s="166"/>
    </row>
    <row r="4780">
      <c r="A4780" s="163" t="s">
        <v>222</v>
      </c>
      <c r="B4780" s="163"/>
      <c r="C4780" s="163"/>
      <c r="J4780" s="165"/>
      <c r="K4780" s="166"/>
      <c r="L4780" s="166"/>
    </row>
    <row r="4781">
      <c r="A4781" s="163" t="s">
        <v>222</v>
      </c>
      <c r="B4781" s="163"/>
      <c r="C4781" s="163"/>
      <c r="J4781" s="165"/>
      <c r="K4781" s="166"/>
      <c r="L4781" s="166"/>
    </row>
    <row r="4782">
      <c r="A4782" s="163" t="s">
        <v>222</v>
      </c>
      <c r="B4782" s="163"/>
      <c r="C4782" s="163"/>
      <c r="J4782" s="165"/>
      <c r="K4782" s="166"/>
      <c r="L4782" s="166"/>
    </row>
    <row r="4783">
      <c r="A4783" s="163" t="s">
        <v>222</v>
      </c>
      <c r="B4783" s="163"/>
      <c r="C4783" s="163"/>
      <c r="J4783" s="165"/>
      <c r="K4783" s="166"/>
      <c r="L4783" s="166"/>
    </row>
    <row r="4784">
      <c r="A4784" s="163" t="s">
        <v>222</v>
      </c>
      <c r="B4784" s="163"/>
      <c r="C4784" s="163"/>
      <c r="J4784" s="165"/>
      <c r="K4784" s="166"/>
      <c r="L4784" s="166"/>
    </row>
    <row r="4785">
      <c r="A4785" s="163" t="s">
        <v>222</v>
      </c>
      <c r="B4785" s="163"/>
      <c r="C4785" s="163"/>
      <c r="J4785" s="165"/>
      <c r="K4785" s="166"/>
      <c r="L4785" s="166"/>
    </row>
    <row r="4786">
      <c r="A4786" s="163" t="s">
        <v>222</v>
      </c>
      <c r="B4786" s="163"/>
      <c r="C4786" s="163"/>
      <c r="J4786" s="165"/>
      <c r="K4786" s="166"/>
      <c r="L4786" s="166"/>
    </row>
    <row r="4787">
      <c r="A4787" s="163" t="s">
        <v>222</v>
      </c>
      <c r="B4787" s="163"/>
      <c r="C4787" s="163"/>
      <c r="J4787" s="165"/>
      <c r="K4787" s="166"/>
      <c r="L4787" s="166"/>
    </row>
    <row r="4788">
      <c r="A4788" s="163" t="s">
        <v>222</v>
      </c>
      <c r="B4788" s="163"/>
      <c r="C4788" s="163"/>
      <c r="J4788" s="165"/>
      <c r="K4788" s="166"/>
      <c r="L4788" s="166"/>
    </row>
    <row r="4789">
      <c r="A4789" s="163" t="s">
        <v>222</v>
      </c>
      <c r="B4789" s="163"/>
      <c r="C4789" s="163"/>
      <c r="J4789" s="165"/>
      <c r="K4789" s="166"/>
      <c r="L4789" s="166"/>
    </row>
    <row r="4790">
      <c r="A4790" s="163" t="s">
        <v>222</v>
      </c>
      <c r="B4790" s="163"/>
      <c r="C4790" s="163"/>
      <c r="J4790" s="165"/>
      <c r="K4790" s="166"/>
      <c r="L4790" s="166"/>
    </row>
    <row r="4791">
      <c r="A4791" s="163" t="s">
        <v>222</v>
      </c>
      <c r="B4791" s="163"/>
      <c r="C4791" s="163"/>
      <c r="J4791" s="165"/>
      <c r="K4791" s="166"/>
      <c r="L4791" s="166"/>
    </row>
    <row r="4792">
      <c r="A4792" s="163" t="s">
        <v>222</v>
      </c>
      <c r="B4792" s="163"/>
      <c r="C4792" s="163"/>
      <c r="J4792" s="165"/>
      <c r="K4792" s="166"/>
      <c r="L4792" s="166"/>
    </row>
    <row r="4793">
      <c r="A4793" s="163" t="s">
        <v>222</v>
      </c>
      <c r="B4793" s="163"/>
      <c r="C4793" s="163"/>
      <c r="J4793" s="165"/>
      <c r="K4793" s="166"/>
      <c r="L4793" s="166"/>
    </row>
    <row r="4794">
      <c r="A4794" s="163" t="s">
        <v>222</v>
      </c>
      <c r="B4794" s="163"/>
      <c r="C4794" s="163"/>
      <c r="J4794" s="165"/>
      <c r="K4794" s="166"/>
      <c r="L4794" s="166"/>
    </row>
    <row r="4795">
      <c r="A4795" s="163" t="s">
        <v>222</v>
      </c>
      <c r="B4795" s="163"/>
      <c r="C4795" s="163"/>
      <c r="J4795" s="165"/>
      <c r="K4795" s="166"/>
      <c r="L4795" s="166"/>
    </row>
    <row r="4796">
      <c r="A4796" s="163" t="s">
        <v>222</v>
      </c>
      <c r="B4796" s="163"/>
      <c r="C4796" s="163"/>
      <c r="J4796" s="165"/>
      <c r="K4796" s="166"/>
      <c r="L4796" s="166"/>
    </row>
    <row r="4797">
      <c r="A4797" s="163" t="s">
        <v>222</v>
      </c>
      <c r="B4797" s="163"/>
      <c r="C4797" s="163"/>
      <c r="J4797" s="165"/>
      <c r="K4797" s="166"/>
      <c r="L4797" s="166"/>
    </row>
    <row r="4798">
      <c r="A4798" s="163" t="s">
        <v>222</v>
      </c>
      <c r="B4798" s="163"/>
      <c r="C4798" s="163"/>
      <c r="J4798" s="165"/>
      <c r="K4798" s="166"/>
      <c r="L4798" s="166"/>
    </row>
    <row r="4799">
      <c r="A4799" s="163" t="s">
        <v>222</v>
      </c>
      <c r="B4799" s="163"/>
      <c r="C4799" s="163"/>
      <c r="J4799" s="165"/>
      <c r="K4799" s="166"/>
      <c r="L4799" s="166"/>
    </row>
    <row r="4800">
      <c r="A4800" s="163" t="s">
        <v>222</v>
      </c>
      <c r="B4800" s="163"/>
      <c r="C4800" s="163"/>
      <c r="J4800" s="165"/>
      <c r="K4800" s="166"/>
      <c r="L4800" s="166"/>
    </row>
    <row r="4801">
      <c r="A4801" s="163" t="s">
        <v>222</v>
      </c>
      <c r="B4801" s="163"/>
      <c r="C4801" s="163"/>
      <c r="J4801" s="165"/>
      <c r="K4801" s="166"/>
      <c r="L4801" s="166"/>
    </row>
    <row r="4802">
      <c r="A4802" s="163" t="s">
        <v>222</v>
      </c>
      <c r="B4802" s="163"/>
      <c r="C4802" s="163"/>
      <c r="J4802" s="165"/>
      <c r="K4802" s="166"/>
      <c r="L4802" s="166"/>
    </row>
    <row r="4803">
      <c r="A4803" s="163" t="s">
        <v>222</v>
      </c>
      <c r="B4803" s="163"/>
      <c r="C4803" s="163"/>
      <c r="J4803" s="165"/>
      <c r="K4803" s="166"/>
      <c r="L4803" s="166"/>
    </row>
    <row r="4804">
      <c r="A4804" s="163" t="s">
        <v>222</v>
      </c>
      <c r="B4804" s="163"/>
      <c r="C4804" s="163"/>
      <c r="J4804" s="165"/>
      <c r="K4804" s="166"/>
      <c r="L4804" s="166"/>
    </row>
    <row r="4805">
      <c r="A4805" s="163" t="s">
        <v>222</v>
      </c>
      <c r="B4805" s="163"/>
      <c r="C4805" s="163"/>
      <c r="J4805" s="165"/>
      <c r="K4805" s="166"/>
      <c r="L4805" s="166"/>
    </row>
    <row r="4806">
      <c r="A4806" s="163" t="s">
        <v>222</v>
      </c>
      <c r="B4806" s="163"/>
      <c r="C4806" s="163"/>
      <c r="J4806" s="165"/>
      <c r="K4806" s="166"/>
      <c r="L4806" s="166"/>
    </row>
    <row r="4807">
      <c r="A4807" s="163" t="s">
        <v>222</v>
      </c>
      <c r="B4807" s="163"/>
      <c r="C4807" s="163"/>
      <c r="J4807" s="165"/>
      <c r="K4807" s="166"/>
      <c r="L4807" s="166"/>
    </row>
    <row r="4808">
      <c r="A4808" s="163" t="s">
        <v>222</v>
      </c>
      <c r="B4808" s="163"/>
      <c r="C4808" s="163"/>
      <c r="J4808" s="165"/>
      <c r="K4808" s="166"/>
      <c r="L4808" s="166"/>
    </row>
    <row r="4809">
      <c r="A4809" s="163" t="s">
        <v>222</v>
      </c>
      <c r="B4809" s="163"/>
      <c r="C4809" s="163"/>
      <c r="J4809" s="165"/>
      <c r="K4809" s="166"/>
      <c r="L4809" s="166"/>
    </row>
    <row r="4810">
      <c r="A4810" s="163" t="s">
        <v>222</v>
      </c>
      <c r="B4810" s="163"/>
      <c r="C4810" s="163"/>
      <c r="J4810" s="165"/>
      <c r="K4810" s="166"/>
      <c r="L4810" s="166"/>
    </row>
    <row r="4811">
      <c r="A4811" s="163" t="s">
        <v>222</v>
      </c>
      <c r="B4811" s="163"/>
      <c r="C4811" s="163"/>
      <c r="J4811" s="165"/>
      <c r="K4811" s="166"/>
      <c r="L4811" s="166"/>
    </row>
    <row r="4812">
      <c r="A4812" s="163" t="s">
        <v>222</v>
      </c>
      <c r="B4812" s="163"/>
      <c r="C4812" s="163"/>
      <c r="J4812" s="165"/>
      <c r="K4812" s="166"/>
      <c r="L4812" s="166"/>
    </row>
    <row r="4813">
      <c r="A4813" s="163" t="s">
        <v>222</v>
      </c>
      <c r="B4813" s="163"/>
      <c r="C4813" s="163"/>
      <c r="J4813" s="165"/>
      <c r="K4813" s="166"/>
      <c r="L4813" s="166"/>
    </row>
    <row r="4814">
      <c r="A4814" s="163" t="s">
        <v>222</v>
      </c>
      <c r="B4814" s="163"/>
      <c r="C4814" s="163"/>
      <c r="J4814" s="165"/>
      <c r="K4814" s="166"/>
      <c r="L4814" s="166"/>
    </row>
    <row r="4815">
      <c r="A4815" s="163" t="s">
        <v>222</v>
      </c>
      <c r="B4815" s="163"/>
      <c r="C4815" s="163"/>
      <c r="J4815" s="165"/>
      <c r="K4815" s="166"/>
      <c r="L4815" s="166"/>
    </row>
    <row r="4816">
      <c r="A4816" s="163" t="s">
        <v>222</v>
      </c>
      <c r="B4816" s="163"/>
      <c r="C4816" s="163"/>
      <c r="J4816" s="165"/>
      <c r="K4816" s="166"/>
      <c r="L4816" s="166"/>
    </row>
    <row r="4817">
      <c r="A4817" s="163" t="s">
        <v>222</v>
      </c>
      <c r="B4817" s="163"/>
      <c r="C4817" s="163"/>
      <c r="J4817" s="165"/>
      <c r="K4817" s="166"/>
      <c r="L4817" s="166"/>
    </row>
    <row r="4818">
      <c r="A4818" s="163" t="s">
        <v>222</v>
      </c>
      <c r="B4818" s="163"/>
      <c r="C4818" s="163"/>
      <c r="J4818" s="165"/>
      <c r="K4818" s="166"/>
      <c r="L4818" s="166"/>
    </row>
    <row r="4819">
      <c r="A4819" s="163" t="s">
        <v>222</v>
      </c>
      <c r="B4819" s="163"/>
      <c r="C4819" s="163"/>
      <c r="J4819" s="165"/>
      <c r="K4819" s="166"/>
      <c r="L4819" s="166"/>
    </row>
    <row r="4820">
      <c r="A4820" s="163" t="s">
        <v>222</v>
      </c>
      <c r="B4820" s="163"/>
      <c r="C4820" s="163"/>
      <c r="J4820" s="165"/>
      <c r="K4820" s="166"/>
      <c r="L4820" s="166"/>
    </row>
    <row r="4821">
      <c r="A4821" s="163" t="s">
        <v>222</v>
      </c>
      <c r="B4821" s="163"/>
      <c r="C4821" s="163"/>
      <c r="J4821" s="165"/>
      <c r="K4821" s="166"/>
      <c r="L4821" s="166"/>
    </row>
    <row r="4822">
      <c r="A4822" s="163" t="s">
        <v>222</v>
      </c>
      <c r="B4822" s="163"/>
      <c r="C4822" s="163"/>
      <c r="J4822" s="165"/>
      <c r="K4822" s="166"/>
      <c r="L4822" s="166"/>
    </row>
    <row r="4823">
      <c r="A4823" s="163" t="s">
        <v>222</v>
      </c>
      <c r="B4823" s="163"/>
      <c r="C4823" s="163"/>
      <c r="J4823" s="165"/>
      <c r="K4823" s="166"/>
      <c r="L4823" s="166"/>
    </row>
    <row r="4824">
      <c r="A4824" s="163" t="s">
        <v>222</v>
      </c>
      <c r="B4824" s="163"/>
      <c r="C4824" s="163"/>
      <c r="J4824" s="165"/>
      <c r="K4824" s="166"/>
      <c r="L4824" s="166"/>
    </row>
    <row r="4825">
      <c r="A4825" s="163" t="s">
        <v>222</v>
      </c>
      <c r="B4825" s="163"/>
      <c r="C4825" s="163"/>
      <c r="J4825" s="165"/>
      <c r="K4825" s="166"/>
      <c r="L4825" s="166"/>
    </row>
    <row r="4826">
      <c r="A4826" s="163" t="s">
        <v>222</v>
      </c>
      <c r="B4826" s="163"/>
      <c r="C4826" s="163"/>
      <c r="J4826" s="165"/>
      <c r="K4826" s="166"/>
      <c r="L4826" s="166"/>
    </row>
    <row r="4827">
      <c r="A4827" s="163" t="s">
        <v>222</v>
      </c>
      <c r="B4827" s="163"/>
      <c r="C4827" s="163"/>
      <c r="J4827" s="165"/>
      <c r="K4827" s="166"/>
      <c r="L4827" s="166"/>
    </row>
    <row r="4828">
      <c r="A4828" s="163" t="s">
        <v>222</v>
      </c>
      <c r="B4828" s="163"/>
      <c r="C4828" s="163"/>
      <c r="J4828" s="165"/>
      <c r="K4828" s="166"/>
      <c r="L4828" s="166"/>
    </row>
    <row r="4829">
      <c r="A4829" s="163" t="s">
        <v>222</v>
      </c>
      <c r="B4829" s="163"/>
      <c r="C4829" s="163"/>
      <c r="J4829" s="165"/>
      <c r="K4829" s="166"/>
      <c r="L4829" s="166"/>
    </row>
    <row r="4830">
      <c r="A4830" s="163" t="s">
        <v>222</v>
      </c>
      <c r="B4830" s="163"/>
      <c r="C4830" s="163"/>
      <c r="J4830" s="165"/>
      <c r="K4830" s="166"/>
      <c r="L4830" s="166"/>
    </row>
    <row r="4831">
      <c r="A4831" s="163" t="s">
        <v>222</v>
      </c>
      <c r="B4831" s="163"/>
      <c r="C4831" s="163"/>
      <c r="J4831" s="165"/>
      <c r="K4831" s="166"/>
      <c r="L4831" s="166"/>
    </row>
    <row r="4832">
      <c r="A4832" s="163" t="s">
        <v>222</v>
      </c>
      <c r="B4832" s="163"/>
      <c r="C4832" s="163"/>
      <c r="J4832" s="165"/>
      <c r="K4832" s="166"/>
      <c r="L4832" s="166"/>
    </row>
    <row r="4833">
      <c r="A4833" s="163" t="s">
        <v>222</v>
      </c>
      <c r="B4833" s="163"/>
      <c r="C4833" s="163"/>
      <c r="J4833" s="165"/>
      <c r="K4833" s="166"/>
      <c r="L4833" s="166"/>
    </row>
    <row r="4834">
      <c r="A4834" s="163" t="s">
        <v>222</v>
      </c>
      <c r="B4834" s="163"/>
      <c r="C4834" s="163"/>
      <c r="J4834" s="165"/>
      <c r="K4834" s="166"/>
      <c r="L4834" s="166"/>
    </row>
    <row r="4835">
      <c r="A4835" s="163" t="s">
        <v>222</v>
      </c>
      <c r="B4835" s="163"/>
      <c r="C4835" s="163"/>
      <c r="J4835" s="165"/>
      <c r="K4835" s="166"/>
      <c r="L4835" s="166"/>
    </row>
    <row r="4836">
      <c r="A4836" s="163" t="s">
        <v>222</v>
      </c>
      <c r="B4836" s="163"/>
      <c r="C4836" s="163"/>
      <c r="J4836" s="165"/>
      <c r="K4836" s="166"/>
      <c r="L4836" s="166"/>
    </row>
    <row r="4837">
      <c r="A4837" s="163" t="s">
        <v>222</v>
      </c>
      <c r="B4837" s="163"/>
      <c r="C4837" s="163"/>
      <c r="J4837" s="165"/>
      <c r="K4837" s="166"/>
      <c r="L4837" s="166"/>
    </row>
    <row r="4838">
      <c r="A4838" s="163" t="s">
        <v>222</v>
      </c>
      <c r="B4838" s="163"/>
      <c r="C4838" s="163"/>
      <c r="J4838" s="165"/>
      <c r="K4838" s="166"/>
      <c r="L4838" s="166"/>
    </row>
    <row r="4839">
      <c r="A4839" s="163" t="s">
        <v>222</v>
      </c>
      <c r="B4839" s="163"/>
      <c r="C4839" s="163"/>
      <c r="J4839" s="165"/>
      <c r="K4839" s="166"/>
      <c r="L4839" s="166"/>
    </row>
    <row r="4840">
      <c r="A4840" s="163" t="s">
        <v>222</v>
      </c>
      <c r="B4840" s="163"/>
      <c r="C4840" s="163"/>
      <c r="J4840" s="165"/>
      <c r="K4840" s="166"/>
      <c r="L4840" s="166"/>
    </row>
    <row r="4841">
      <c r="A4841" s="163" t="s">
        <v>222</v>
      </c>
      <c r="B4841" s="163"/>
      <c r="C4841" s="163"/>
      <c r="J4841" s="165"/>
      <c r="K4841" s="166"/>
      <c r="L4841" s="166"/>
    </row>
    <row r="4842">
      <c r="A4842" s="163" t="s">
        <v>222</v>
      </c>
      <c r="B4842" s="163"/>
      <c r="C4842" s="163"/>
      <c r="J4842" s="165"/>
      <c r="K4842" s="166"/>
      <c r="L4842" s="166"/>
    </row>
    <row r="4843">
      <c r="A4843" s="163" t="s">
        <v>222</v>
      </c>
      <c r="B4843" s="163"/>
      <c r="C4843" s="163"/>
      <c r="J4843" s="165"/>
      <c r="K4843" s="166"/>
      <c r="L4843" s="166"/>
    </row>
    <row r="4844">
      <c r="A4844" s="163" t="s">
        <v>222</v>
      </c>
      <c r="B4844" s="163"/>
      <c r="C4844" s="163"/>
      <c r="J4844" s="165"/>
      <c r="K4844" s="166"/>
      <c r="L4844" s="166"/>
    </row>
    <row r="4845">
      <c r="A4845" s="163" t="s">
        <v>222</v>
      </c>
      <c r="B4845" s="163"/>
      <c r="C4845" s="163"/>
      <c r="J4845" s="165"/>
      <c r="K4845" s="166"/>
      <c r="L4845" s="166"/>
    </row>
    <row r="4846">
      <c r="A4846" s="163" t="s">
        <v>222</v>
      </c>
      <c r="B4846" s="163"/>
      <c r="C4846" s="163"/>
      <c r="J4846" s="165"/>
      <c r="K4846" s="166"/>
      <c r="L4846" s="166"/>
    </row>
    <row r="4847">
      <c r="A4847" s="163" t="s">
        <v>222</v>
      </c>
      <c r="B4847" s="163"/>
      <c r="C4847" s="163"/>
      <c r="J4847" s="165"/>
      <c r="K4847" s="166"/>
      <c r="L4847" s="166"/>
    </row>
    <row r="4848">
      <c r="A4848" s="163" t="s">
        <v>222</v>
      </c>
      <c r="B4848" s="163"/>
      <c r="C4848" s="163"/>
      <c r="J4848" s="165"/>
      <c r="K4848" s="166"/>
      <c r="L4848" s="166"/>
    </row>
    <row r="4849">
      <c r="A4849" s="163" t="s">
        <v>222</v>
      </c>
      <c r="B4849" s="163"/>
      <c r="C4849" s="163"/>
      <c r="J4849" s="165"/>
      <c r="K4849" s="166"/>
      <c r="L4849" s="166"/>
    </row>
    <row r="4850">
      <c r="A4850" s="163" t="s">
        <v>222</v>
      </c>
      <c r="B4850" s="163"/>
      <c r="C4850" s="163"/>
      <c r="J4850" s="165"/>
      <c r="K4850" s="166"/>
      <c r="L4850" s="166"/>
    </row>
    <row r="4851">
      <c r="A4851" s="163" t="s">
        <v>222</v>
      </c>
      <c r="B4851" s="163"/>
      <c r="C4851" s="163"/>
      <c r="J4851" s="165"/>
      <c r="K4851" s="166"/>
      <c r="L4851" s="166"/>
    </row>
    <row r="4852">
      <c r="A4852" s="163" t="s">
        <v>222</v>
      </c>
      <c r="B4852" s="163"/>
      <c r="C4852" s="163"/>
      <c r="J4852" s="165"/>
      <c r="K4852" s="166"/>
      <c r="L4852" s="166"/>
    </row>
    <row r="4853">
      <c r="A4853" s="163" t="s">
        <v>222</v>
      </c>
      <c r="B4853" s="163"/>
      <c r="C4853" s="163"/>
      <c r="J4853" s="165"/>
      <c r="K4853" s="166"/>
      <c r="L4853" s="166"/>
    </row>
    <row r="4854">
      <c r="A4854" s="163" t="s">
        <v>222</v>
      </c>
      <c r="B4854" s="163"/>
      <c r="C4854" s="163"/>
      <c r="J4854" s="165"/>
      <c r="K4854" s="166"/>
      <c r="L4854" s="166"/>
    </row>
    <row r="4855">
      <c r="A4855" s="163" t="s">
        <v>222</v>
      </c>
      <c r="B4855" s="163"/>
      <c r="C4855" s="163"/>
      <c r="J4855" s="165"/>
      <c r="K4855" s="166"/>
      <c r="L4855" s="166"/>
    </row>
    <row r="4856">
      <c r="A4856" s="163" t="s">
        <v>222</v>
      </c>
      <c r="B4856" s="163"/>
      <c r="C4856" s="163"/>
      <c r="J4856" s="165"/>
      <c r="K4856" s="166"/>
      <c r="L4856" s="166"/>
    </row>
    <row r="4857">
      <c r="A4857" s="163" t="s">
        <v>222</v>
      </c>
      <c r="B4857" s="163"/>
      <c r="C4857" s="163"/>
      <c r="J4857" s="165"/>
      <c r="K4857" s="166"/>
      <c r="L4857" s="166"/>
    </row>
    <row r="4858">
      <c r="A4858" s="163" t="s">
        <v>222</v>
      </c>
      <c r="B4858" s="163"/>
      <c r="C4858" s="163"/>
      <c r="J4858" s="165"/>
      <c r="K4858" s="166"/>
      <c r="L4858" s="166"/>
    </row>
    <row r="4859">
      <c r="A4859" s="163" t="s">
        <v>222</v>
      </c>
      <c r="B4859" s="163"/>
      <c r="C4859" s="163"/>
      <c r="J4859" s="165"/>
      <c r="K4859" s="166"/>
      <c r="L4859" s="166"/>
    </row>
    <row r="4860">
      <c r="A4860" s="163" t="s">
        <v>222</v>
      </c>
      <c r="B4860" s="163"/>
      <c r="C4860" s="163"/>
      <c r="J4860" s="165"/>
      <c r="K4860" s="166"/>
      <c r="L4860" s="166"/>
    </row>
    <row r="4861">
      <c r="A4861" s="163" t="s">
        <v>222</v>
      </c>
      <c r="B4861" s="163"/>
      <c r="C4861" s="163"/>
      <c r="J4861" s="165"/>
      <c r="K4861" s="166"/>
      <c r="L4861" s="166"/>
    </row>
    <row r="4862">
      <c r="A4862" s="163" t="s">
        <v>222</v>
      </c>
      <c r="B4862" s="163"/>
      <c r="C4862" s="163"/>
      <c r="J4862" s="165"/>
      <c r="K4862" s="166"/>
      <c r="L4862" s="166"/>
    </row>
    <row r="4863">
      <c r="A4863" s="163" t="s">
        <v>222</v>
      </c>
      <c r="B4863" s="163"/>
      <c r="C4863" s="163"/>
      <c r="J4863" s="165"/>
      <c r="K4863" s="166"/>
      <c r="L4863" s="166"/>
    </row>
    <row r="4864">
      <c r="A4864" s="163" t="s">
        <v>222</v>
      </c>
      <c r="B4864" s="163"/>
      <c r="C4864" s="163"/>
      <c r="J4864" s="165"/>
      <c r="K4864" s="166"/>
      <c r="L4864" s="166"/>
    </row>
    <row r="4865">
      <c r="A4865" s="163" t="s">
        <v>222</v>
      </c>
      <c r="B4865" s="163"/>
      <c r="C4865" s="163"/>
      <c r="J4865" s="165"/>
      <c r="K4865" s="166"/>
      <c r="L4865" s="166"/>
    </row>
    <row r="4866">
      <c r="A4866" s="163" t="s">
        <v>222</v>
      </c>
      <c r="B4866" s="163"/>
      <c r="C4866" s="163"/>
      <c r="J4866" s="165"/>
      <c r="K4866" s="166"/>
      <c r="L4866" s="166"/>
    </row>
    <row r="4867">
      <c r="A4867" s="163" t="s">
        <v>222</v>
      </c>
      <c r="B4867" s="163"/>
      <c r="C4867" s="163"/>
      <c r="J4867" s="165"/>
      <c r="K4867" s="166"/>
      <c r="L4867" s="166"/>
    </row>
    <row r="4868">
      <c r="A4868" s="163" t="s">
        <v>222</v>
      </c>
      <c r="B4868" s="163"/>
      <c r="C4868" s="163"/>
      <c r="J4868" s="165"/>
      <c r="K4868" s="166"/>
      <c r="L4868" s="166"/>
    </row>
    <row r="4869">
      <c r="A4869" s="163" t="s">
        <v>222</v>
      </c>
      <c r="B4869" s="163"/>
      <c r="C4869" s="163"/>
      <c r="J4869" s="165"/>
      <c r="K4869" s="166"/>
      <c r="L4869" s="166"/>
    </row>
    <row r="4870">
      <c r="A4870" s="163" t="s">
        <v>222</v>
      </c>
      <c r="B4870" s="163"/>
      <c r="C4870" s="163"/>
      <c r="J4870" s="165"/>
      <c r="K4870" s="166"/>
      <c r="L4870" s="166"/>
    </row>
    <row r="4871">
      <c r="A4871" s="163" t="s">
        <v>222</v>
      </c>
      <c r="B4871" s="163"/>
      <c r="C4871" s="163"/>
      <c r="J4871" s="165"/>
      <c r="K4871" s="166"/>
      <c r="L4871" s="166"/>
    </row>
    <row r="4872">
      <c r="A4872" s="163" t="s">
        <v>222</v>
      </c>
      <c r="B4872" s="163"/>
      <c r="C4872" s="163"/>
      <c r="J4872" s="165"/>
      <c r="K4872" s="166"/>
      <c r="L4872" s="166"/>
    </row>
    <row r="4873">
      <c r="A4873" s="163" t="s">
        <v>222</v>
      </c>
      <c r="B4873" s="163"/>
      <c r="C4873" s="163"/>
      <c r="J4873" s="165"/>
      <c r="K4873" s="166"/>
      <c r="L4873" s="166"/>
    </row>
    <row r="4874">
      <c r="A4874" s="163" t="s">
        <v>222</v>
      </c>
      <c r="B4874" s="163"/>
      <c r="C4874" s="163"/>
      <c r="J4874" s="165"/>
      <c r="K4874" s="166"/>
      <c r="L4874" s="166"/>
    </row>
    <row r="4875">
      <c r="A4875" s="163" t="s">
        <v>222</v>
      </c>
      <c r="B4875" s="163"/>
      <c r="C4875" s="163"/>
      <c r="J4875" s="165"/>
      <c r="K4875" s="166"/>
      <c r="L4875" s="166"/>
    </row>
    <row r="4876">
      <c r="A4876" s="163" t="s">
        <v>222</v>
      </c>
      <c r="B4876" s="163"/>
      <c r="C4876" s="163"/>
      <c r="J4876" s="165"/>
      <c r="K4876" s="166"/>
      <c r="L4876" s="166"/>
    </row>
    <row r="4877">
      <c r="A4877" s="163" t="s">
        <v>222</v>
      </c>
      <c r="B4877" s="163"/>
      <c r="C4877" s="163"/>
      <c r="J4877" s="165"/>
      <c r="K4877" s="166"/>
      <c r="L4877" s="166"/>
    </row>
    <row r="4878">
      <c r="A4878" s="163" t="s">
        <v>222</v>
      </c>
      <c r="B4878" s="163"/>
      <c r="C4878" s="163"/>
      <c r="J4878" s="165"/>
      <c r="K4878" s="166"/>
      <c r="L4878" s="166"/>
    </row>
    <row r="4879">
      <c r="A4879" s="163" t="s">
        <v>222</v>
      </c>
      <c r="B4879" s="163"/>
      <c r="C4879" s="163"/>
      <c r="J4879" s="165"/>
      <c r="K4879" s="166"/>
      <c r="L4879" s="166"/>
    </row>
    <row r="4880">
      <c r="A4880" s="163" t="s">
        <v>222</v>
      </c>
      <c r="B4880" s="163"/>
      <c r="C4880" s="163"/>
      <c r="J4880" s="165"/>
      <c r="K4880" s="166"/>
      <c r="L4880" s="166"/>
    </row>
    <row r="4881">
      <c r="A4881" s="163" t="s">
        <v>222</v>
      </c>
      <c r="B4881" s="163"/>
      <c r="C4881" s="163"/>
      <c r="J4881" s="165"/>
      <c r="K4881" s="166"/>
      <c r="L4881" s="166"/>
    </row>
    <row r="4882">
      <c r="A4882" s="163" t="s">
        <v>222</v>
      </c>
      <c r="B4882" s="163"/>
      <c r="C4882" s="163"/>
      <c r="J4882" s="165"/>
      <c r="K4882" s="166"/>
      <c r="L4882" s="166"/>
    </row>
    <row r="4883">
      <c r="A4883" s="163" t="s">
        <v>222</v>
      </c>
      <c r="B4883" s="163"/>
      <c r="C4883" s="163"/>
      <c r="J4883" s="165"/>
      <c r="K4883" s="166"/>
      <c r="L4883" s="166"/>
    </row>
    <row r="4884">
      <c r="A4884" s="163" t="s">
        <v>222</v>
      </c>
      <c r="B4884" s="163"/>
      <c r="C4884" s="163"/>
      <c r="J4884" s="165"/>
      <c r="K4884" s="166"/>
      <c r="L4884" s="166"/>
    </row>
    <row r="4885">
      <c r="A4885" s="163" t="s">
        <v>222</v>
      </c>
      <c r="B4885" s="163"/>
      <c r="C4885" s="163"/>
      <c r="J4885" s="165"/>
      <c r="K4885" s="166"/>
      <c r="L4885" s="166"/>
    </row>
    <row r="4886">
      <c r="A4886" s="163" t="s">
        <v>222</v>
      </c>
      <c r="B4886" s="163"/>
      <c r="C4886" s="163"/>
      <c r="J4886" s="165"/>
      <c r="K4886" s="166"/>
      <c r="L4886" s="166"/>
    </row>
    <row r="4887">
      <c r="A4887" s="163" t="s">
        <v>222</v>
      </c>
      <c r="B4887" s="163"/>
      <c r="C4887" s="163"/>
      <c r="J4887" s="165"/>
      <c r="K4887" s="166"/>
      <c r="L4887" s="166"/>
    </row>
    <row r="4888">
      <c r="A4888" s="163" t="s">
        <v>222</v>
      </c>
      <c r="B4888" s="163"/>
      <c r="C4888" s="163"/>
      <c r="J4888" s="165"/>
      <c r="K4888" s="166"/>
      <c r="L4888" s="166"/>
    </row>
    <row r="4889">
      <c r="A4889" s="163" t="s">
        <v>222</v>
      </c>
      <c r="B4889" s="163"/>
      <c r="C4889" s="163"/>
      <c r="J4889" s="165"/>
      <c r="K4889" s="166"/>
      <c r="L4889" s="166"/>
    </row>
    <row r="4890">
      <c r="A4890" s="163" t="s">
        <v>222</v>
      </c>
      <c r="B4890" s="163"/>
      <c r="C4890" s="163"/>
      <c r="J4890" s="165"/>
      <c r="K4890" s="166"/>
      <c r="L4890" s="166"/>
    </row>
    <row r="4891">
      <c r="A4891" s="163" t="s">
        <v>222</v>
      </c>
      <c r="B4891" s="163"/>
      <c r="C4891" s="163"/>
      <c r="J4891" s="165"/>
      <c r="K4891" s="166"/>
      <c r="L4891" s="166"/>
    </row>
    <row r="4892">
      <c r="A4892" s="163" t="s">
        <v>222</v>
      </c>
      <c r="B4892" s="163"/>
      <c r="C4892" s="163"/>
      <c r="J4892" s="165"/>
      <c r="K4892" s="166"/>
      <c r="L4892" s="166"/>
    </row>
    <row r="4893">
      <c r="A4893" s="163" t="s">
        <v>222</v>
      </c>
      <c r="B4893" s="163"/>
      <c r="C4893" s="163"/>
      <c r="J4893" s="165"/>
      <c r="K4893" s="166"/>
      <c r="L4893" s="166"/>
    </row>
    <row r="4894">
      <c r="A4894" s="163" t="s">
        <v>222</v>
      </c>
      <c r="B4894" s="163"/>
      <c r="C4894" s="163"/>
      <c r="J4894" s="165"/>
      <c r="K4894" s="166"/>
      <c r="L4894" s="166"/>
    </row>
    <row r="4895">
      <c r="A4895" s="163" t="s">
        <v>222</v>
      </c>
      <c r="B4895" s="163"/>
      <c r="C4895" s="163"/>
      <c r="J4895" s="165"/>
      <c r="K4895" s="166"/>
      <c r="L4895" s="166"/>
    </row>
    <row r="4896">
      <c r="A4896" s="163" t="s">
        <v>222</v>
      </c>
      <c r="B4896" s="163"/>
      <c r="C4896" s="163"/>
      <c r="J4896" s="165"/>
      <c r="K4896" s="166"/>
      <c r="L4896" s="166"/>
    </row>
    <row r="4897">
      <c r="A4897" s="163" t="s">
        <v>222</v>
      </c>
      <c r="B4897" s="163"/>
      <c r="C4897" s="163"/>
      <c r="J4897" s="165"/>
      <c r="K4897" s="166"/>
      <c r="L4897" s="166"/>
    </row>
    <row r="4898">
      <c r="A4898" s="163" t="s">
        <v>222</v>
      </c>
      <c r="B4898" s="163"/>
      <c r="C4898" s="163"/>
      <c r="J4898" s="165"/>
      <c r="K4898" s="166"/>
      <c r="L4898" s="166"/>
    </row>
    <row r="4899">
      <c r="A4899" s="163" t="s">
        <v>222</v>
      </c>
      <c r="B4899" s="163"/>
      <c r="C4899" s="163"/>
      <c r="J4899" s="165"/>
      <c r="K4899" s="166"/>
      <c r="L4899" s="166"/>
    </row>
    <row r="4900">
      <c r="A4900" s="163" t="s">
        <v>222</v>
      </c>
      <c r="B4900" s="163"/>
      <c r="C4900" s="163"/>
      <c r="J4900" s="165"/>
      <c r="K4900" s="166"/>
      <c r="L4900" s="166"/>
    </row>
    <row r="4901">
      <c r="A4901" s="163" t="s">
        <v>222</v>
      </c>
      <c r="B4901" s="163"/>
      <c r="C4901" s="163"/>
      <c r="J4901" s="165"/>
      <c r="K4901" s="166"/>
      <c r="L4901" s="166"/>
    </row>
    <row r="4902">
      <c r="A4902" s="163" t="s">
        <v>222</v>
      </c>
      <c r="B4902" s="163"/>
      <c r="C4902" s="163"/>
      <c r="J4902" s="165"/>
      <c r="K4902" s="166"/>
      <c r="L4902" s="166"/>
    </row>
    <row r="4903">
      <c r="A4903" s="163" t="s">
        <v>222</v>
      </c>
      <c r="B4903" s="163"/>
      <c r="C4903" s="163"/>
      <c r="J4903" s="165"/>
      <c r="K4903" s="166"/>
      <c r="L4903" s="166"/>
    </row>
    <row r="4904">
      <c r="A4904" s="163" t="s">
        <v>222</v>
      </c>
      <c r="B4904" s="163"/>
      <c r="C4904" s="163"/>
      <c r="J4904" s="165"/>
      <c r="K4904" s="166"/>
      <c r="L4904" s="166"/>
    </row>
    <row r="4905">
      <c r="A4905" s="163" t="s">
        <v>222</v>
      </c>
      <c r="B4905" s="163"/>
      <c r="C4905" s="163"/>
      <c r="J4905" s="165"/>
      <c r="K4905" s="166"/>
      <c r="L4905" s="166"/>
    </row>
    <row r="4906">
      <c r="A4906" s="163" t="s">
        <v>222</v>
      </c>
      <c r="B4906" s="163"/>
      <c r="C4906" s="163"/>
      <c r="J4906" s="165"/>
      <c r="K4906" s="166"/>
      <c r="L4906" s="166"/>
    </row>
    <row r="4907">
      <c r="A4907" s="163" t="s">
        <v>222</v>
      </c>
      <c r="B4907" s="163"/>
      <c r="C4907" s="163"/>
      <c r="J4907" s="165"/>
      <c r="K4907" s="166"/>
      <c r="L4907" s="166"/>
    </row>
    <row r="4908">
      <c r="A4908" s="163" t="s">
        <v>222</v>
      </c>
      <c r="B4908" s="163"/>
      <c r="C4908" s="163"/>
      <c r="J4908" s="165"/>
      <c r="K4908" s="166"/>
      <c r="L4908" s="166"/>
    </row>
    <row r="4909">
      <c r="A4909" s="163" t="s">
        <v>222</v>
      </c>
      <c r="B4909" s="163"/>
      <c r="C4909" s="163"/>
      <c r="J4909" s="165"/>
      <c r="K4909" s="166"/>
      <c r="L4909" s="166"/>
    </row>
    <row r="4910">
      <c r="A4910" s="163" t="s">
        <v>222</v>
      </c>
      <c r="B4910" s="163"/>
      <c r="C4910" s="163"/>
      <c r="J4910" s="165"/>
      <c r="K4910" s="166"/>
      <c r="L4910" s="166"/>
    </row>
    <row r="4911">
      <c r="A4911" s="163" t="s">
        <v>222</v>
      </c>
      <c r="B4911" s="163"/>
      <c r="C4911" s="163"/>
      <c r="J4911" s="165"/>
      <c r="K4911" s="166"/>
      <c r="L4911" s="166"/>
    </row>
    <row r="4912">
      <c r="A4912" s="163" t="s">
        <v>222</v>
      </c>
      <c r="B4912" s="163"/>
      <c r="C4912" s="163"/>
      <c r="J4912" s="165"/>
      <c r="K4912" s="166"/>
      <c r="L4912" s="166"/>
    </row>
    <row r="4913">
      <c r="A4913" s="163" t="s">
        <v>222</v>
      </c>
      <c r="B4913" s="163"/>
      <c r="C4913" s="163"/>
      <c r="J4913" s="165"/>
      <c r="K4913" s="166"/>
      <c r="L4913" s="166"/>
    </row>
    <row r="4914">
      <c r="A4914" s="163" t="s">
        <v>222</v>
      </c>
      <c r="B4914" s="163"/>
      <c r="C4914" s="163"/>
      <c r="J4914" s="165"/>
      <c r="K4914" s="166"/>
      <c r="L4914" s="166"/>
    </row>
    <row r="4915">
      <c r="A4915" s="163" t="s">
        <v>222</v>
      </c>
      <c r="B4915" s="163"/>
      <c r="C4915" s="163"/>
      <c r="J4915" s="165"/>
      <c r="K4915" s="166"/>
      <c r="L4915" s="166"/>
    </row>
    <row r="4916">
      <c r="A4916" s="163" t="s">
        <v>222</v>
      </c>
      <c r="B4916" s="163"/>
      <c r="C4916" s="163"/>
      <c r="J4916" s="165"/>
      <c r="K4916" s="166"/>
      <c r="L4916" s="166"/>
    </row>
    <row r="4917">
      <c r="A4917" s="163" t="s">
        <v>222</v>
      </c>
      <c r="B4917" s="163"/>
      <c r="C4917" s="163"/>
      <c r="J4917" s="165"/>
      <c r="K4917" s="166"/>
      <c r="L4917" s="166"/>
    </row>
    <row r="4918">
      <c r="A4918" s="163" t="s">
        <v>222</v>
      </c>
      <c r="B4918" s="163"/>
      <c r="C4918" s="163"/>
      <c r="J4918" s="165"/>
      <c r="K4918" s="166"/>
      <c r="L4918" s="166"/>
    </row>
    <row r="4919">
      <c r="A4919" s="163" t="s">
        <v>222</v>
      </c>
      <c r="B4919" s="163"/>
      <c r="C4919" s="163"/>
      <c r="J4919" s="165"/>
      <c r="K4919" s="166"/>
      <c r="L4919" s="166"/>
    </row>
    <row r="4920">
      <c r="A4920" s="163" t="s">
        <v>222</v>
      </c>
      <c r="B4920" s="163"/>
      <c r="C4920" s="163"/>
      <c r="J4920" s="165"/>
      <c r="K4920" s="166"/>
      <c r="L4920" s="166"/>
    </row>
    <row r="4921">
      <c r="A4921" s="163" t="s">
        <v>222</v>
      </c>
      <c r="B4921" s="163"/>
      <c r="C4921" s="163"/>
      <c r="J4921" s="165"/>
      <c r="K4921" s="166"/>
      <c r="L4921" s="166"/>
    </row>
    <row r="4922">
      <c r="A4922" s="163" t="s">
        <v>222</v>
      </c>
      <c r="B4922" s="163"/>
      <c r="C4922" s="163"/>
      <c r="J4922" s="165"/>
      <c r="K4922" s="166"/>
      <c r="L4922" s="166"/>
    </row>
    <row r="4923">
      <c r="A4923" s="163" t="s">
        <v>222</v>
      </c>
      <c r="B4923" s="163"/>
      <c r="C4923" s="163"/>
      <c r="J4923" s="165"/>
      <c r="K4923" s="166"/>
      <c r="L4923" s="166"/>
    </row>
    <row r="4924">
      <c r="A4924" s="163" t="s">
        <v>222</v>
      </c>
      <c r="B4924" s="163"/>
      <c r="C4924" s="163"/>
      <c r="J4924" s="165"/>
      <c r="K4924" s="166"/>
      <c r="L4924" s="166"/>
    </row>
    <row r="4925">
      <c r="A4925" s="163" t="s">
        <v>222</v>
      </c>
      <c r="B4925" s="163"/>
      <c r="C4925" s="163"/>
      <c r="J4925" s="165"/>
      <c r="K4925" s="166"/>
      <c r="L4925" s="166"/>
    </row>
    <row r="4926">
      <c r="A4926" s="163" t="s">
        <v>222</v>
      </c>
      <c r="B4926" s="163"/>
      <c r="C4926" s="163"/>
      <c r="J4926" s="165"/>
      <c r="K4926" s="166"/>
      <c r="L4926" s="166"/>
    </row>
    <row r="4927">
      <c r="A4927" s="163" t="s">
        <v>222</v>
      </c>
      <c r="B4927" s="163"/>
      <c r="C4927" s="163"/>
      <c r="J4927" s="165"/>
      <c r="K4927" s="166"/>
      <c r="L4927" s="166"/>
    </row>
    <row r="4928">
      <c r="A4928" s="163" t="s">
        <v>222</v>
      </c>
      <c r="B4928" s="163"/>
      <c r="C4928" s="163"/>
      <c r="J4928" s="165"/>
      <c r="K4928" s="166"/>
      <c r="L4928" s="166"/>
    </row>
    <row r="4929">
      <c r="A4929" s="163" t="s">
        <v>222</v>
      </c>
      <c r="B4929" s="163"/>
      <c r="C4929" s="163"/>
      <c r="J4929" s="165"/>
      <c r="K4929" s="166"/>
      <c r="L4929" s="166"/>
    </row>
    <row r="4930">
      <c r="A4930" s="163" t="s">
        <v>222</v>
      </c>
      <c r="B4930" s="163"/>
      <c r="C4930" s="163"/>
      <c r="J4930" s="165"/>
      <c r="K4930" s="166"/>
      <c r="L4930" s="166"/>
    </row>
    <row r="4931">
      <c r="A4931" s="163" t="s">
        <v>222</v>
      </c>
      <c r="B4931" s="163"/>
      <c r="C4931" s="163"/>
      <c r="J4931" s="165"/>
      <c r="K4931" s="166"/>
      <c r="L4931" s="166"/>
    </row>
    <row r="4932">
      <c r="A4932" s="163" t="s">
        <v>222</v>
      </c>
      <c r="B4932" s="163"/>
      <c r="C4932" s="163"/>
      <c r="J4932" s="165"/>
      <c r="K4932" s="166"/>
      <c r="L4932" s="166"/>
    </row>
    <row r="4933">
      <c r="A4933" s="163" t="s">
        <v>222</v>
      </c>
      <c r="B4933" s="163"/>
      <c r="C4933" s="163"/>
      <c r="J4933" s="165"/>
      <c r="K4933" s="166"/>
      <c r="L4933" s="166"/>
    </row>
    <row r="4934">
      <c r="A4934" s="163" t="s">
        <v>222</v>
      </c>
      <c r="B4934" s="163"/>
      <c r="C4934" s="163"/>
      <c r="J4934" s="165"/>
      <c r="K4934" s="166"/>
      <c r="L4934" s="166"/>
    </row>
    <row r="4935">
      <c r="A4935" s="163" t="s">
        <v>222</v>
      </c>
      <c r="B4935" s="163"/>
      <c r="C4935" s="163"/>
      <c r="J4935" s="165"/>
      <c r="K4935" s="166"/>
      <c r="L4935" s="166"/>
    </row>
    <row r="4936">
      <c r="A4936" s="163" t="s">
        <v>222</v>
      </c>
      <c r="B4936" s="163"/>
      <c r="C4936" s="163"/>
      <c r="J4936" s="165"/>
      <c r="K4936" s="166"/>
      <c r="L4936" s="166"/>
    </row>
    <row r="4937">
      <c r="A4937" s="163" t="s">
        <v>222</v>
      </c>
      <c r="B4937" s="163"/>
      <c r="C4937" s="163"/>
      <c r="J4937" s="165"/>
      <c r="K4937" s="166"/>
      <c r="L4937" s="166"/>
    </row>
    <row r="4938">
      <c r="A4938" s="163" t="s">
        <v>222</v>
      </c>
      <c r="B4938" s="163"/>
      <c r="C4938" s="163"/>
      <c r="J4938" s="165"/>
      <c r="K4938" s="166"/>
      <c r="L4938" s="166"/>
    </row>
    <row r="4939">
      <c r="A4939" s="163" t="s">
        <v>222</v>
      </c>
      <c r="B4939" s="163"/>
      <c r="C4939" s="163"/>
      <c r="J4939" s="165"/>
      <c r="K4939" s="166"/>
      <c r="L4939" s="166"/>
    </row>
    <row r="4940">
      <c r="A4940" s="163" t="s">
        <v>222</v>
      </c>
      <c r="B4940" s="163"/>
      <c r="C4940" s="163"/>
      <c r="J4940" s="165"/>
      <c r="K4940" s="166"/>
      <c r="L4940" s="166"/>
    </row>
    <row r="4941">
      <c r="A4941" s="163" t="s">
        <v>222</v>
      </c>
      <c r="B4941" s="163"/>
      <c r="C4941" s="163"/>
      <c r="J4941" s="165"/>
      <c r="K4941" s="166"/>
      <c r="L4941" s="166"/>
    </row>
    <row r="4942">
      <c r="A4942" s="163" t="s">
        <v>222</v>
      </c>
      <c r="B4942" s="163"/>
      <c r="C4942" s="163"/>
      <c r="J4942" s="165"/>
      <c r="K4942" s="166"/>
      <c r="L4942" s="166"/>
    </row>
    <row r="4943">
      <c r="A4943" s="163" t="s">
        <v>222</v>
      </c>
      <c r="B4943" s="163"/>
      <c r="C4943" s="163"/>
      <c r="J4943" s="165"/>
      <c r="K4943" s="166"/>
      <c r="L4943" s="166"/>
    </row>
    <row r="4944">
      <c r="A4944" s="163" t="s">
        <v>222</v>
      </c>
      <c r="B4944" s="163"/>
      <c r="C4944" s="163"/>
      <c r="J4944" s="165"/>
      <c r="K4944" s="166"/>
      <c r="L4944" s="166"/>
    </row>
    <row r="4945">
      <c r="A4945" s="163" t="s">
        <v>222</v>
      </c>
      <c r="B4945" s="163"/>
      <c r="C4945" s="163"/>
      <c r="J4945" s="165"/>
      <c r="K4945" s="166"/>
      <c r="L4945" s="166"/>
    </row>
    <row r="4946">
      <c r="A4946" s="163" t="s">
        <v>222</v>
      </c>
      <c r="B4946" s="163"/>
      <c r="C4946" s="163"/>
      <c r="J4946" s="165"/>
      <c r="K4946" s="166"/>
      <c r="L4946" s="166"/>
    </row>
    <row r="4947">
      <c r="A4947" s="163" t="s">
        <v>222</v>
      </c>
      <c r="B4947" s="163"/>
      <c r="C4947" s="163"/>
      <c r="J4947" s="165"/>
      <c r="K4947" s="166"/>
      <c r="L4947" s="166"/>
    </row>
    <row r="4948">
      <c r="A4948" s="163" t="s">
        <v>222</v>
      </c>
      <c r="B4948" s="163"/>
      <c r="C4948" s="163"/>
      <c r="J4948" s="165"/>
      <c r="K4948" s="166"/>
      <c r="L4948" s="166"/>
    </row>
    <row r="4949">
      <c r="A4949" s="163" t="s">
        <v>222</v>
      </c>
      <c r="B4949" s="163"/>
      <c r="C4949" s="163"/>
      <c r="J4949" s="165"/>
      <c r="K4949" s="166"/>
      <c r="L4949" s="166"/>
    </row>
    <row r="4950">
      <c r="A4950" s="163" t="s">
        <v>222</v>
      </c>
      <c r="B4950" s="163"/>
      <c r="C4950" s="163"/>
      <c r="J4950" s="165"/>
      <c r="K4950" s="166"/>
      <c r="L4950" s="166"/>
    </row>
    <row r="4951">
      <c r="A4951" s="163" t="s">
        <v>222</v>
      </c>
      <c r="B4951" s="163"/>
      <c r="C4951" s="163"/>
      <c r="J4951" s="165"/>
      <c r="K4951" s="166"/>
      <c r="L4951" s="166"/>
    </row>
    <row r="4952">
      <c r="A4952" s="163" t="s">
        <v>222</v>
      </c>
      <c r="B4952" s="163"/>
      <c r="C4952" s="163"/>
      <c r="J4952" s="165"/>
      <c r="K4952" s="166"/>
      <c r="L4952" s="166"/>
    </row>
    <row r="4953">
      <c r="A4953" s="163" t="s">
        <v>222</v>
      </c>
      <c r="B4953" s="163"/>
      <c r="C4953" s="163"/>
      <c r="J4953" s="165"/>
      <c r="K4953" s="166"/>
      <c r="L4953" s="166"/>
    </row>
    <row r="4954">
      <c r="A4954" s="163" t="s">
        <v>222</v>
      </c>
      <c r="B4954" s="163"/>
      <c r="C4954" s="163"/>
      <c r="J4954" s="165"/>
      <c r="K4954" s="166"/>
      <c r="L4954" s="166"/>
    </row>
    <row r="4955">
      <c r="A4955" s="163" t="s">
        <v>222</v>
      </c>
      <c r="B4955" s="163"/>
      <c r="C4955" s="163"/>
      <c r="J4955" s="165"/>
      <c r="K4955" s="166"/>
      <c r="L4955" s="166"/>
    </row>
    <row r="4956">
      <c r="A4956" s="163" t="s">
        <v>222</v>
      </c>
      <c r="B4956" s="163"/>
      <c r="C4956" s="163"/>
      <c r="J4956" s="165"/>
      <c r="K4956" s="166"/>
      <c r="L4956" s="166"/>
    </row>
    <row r="4957">
      <c r="A4957" s="163" t="s">
        <v>222</v>
      </c>
      <c r="B4957" s="163"/>
      <c r="C4957" s="163"/>
      <c r="J4957" s="165"/>
      <c r="K4957" s="166"/>
      <c r="L4957" s="166"/>
    </row>
    <row r="4958">
      <c r="A4958" s="163" t="s">
        <v>222</v>
      </c>
      <c r="B4958" s="163"/>
      <c r="C4958" s="163"/>
      <c r="J4958" s="165"/>
      <c r="K4958" s="166"/>
      <c r="L4958" s="166"/>
    </row>
    <row r="4959">
      <c r="A4959" s="163" t="s">
        <v>222</v>
      </c>
      <c r="B4959" s="163"/>
      <c r="C4959" s="163"/>
      <c r="J4959" s="165"/>
      <c r="K4959" s="166"/>
      <c r="L4959" s="166"/>
    </row>
    <row r="4960">
      <c r="A4960" s="163" t="s">
        <v>222</v>
      </c>
      <c r="B4960" s="163"/>
      <c r="C4960" s="163"/>
      <c r="J4960" s="165"/>
      <c r="K4960" s="166"/>
      <c r="L4960" s="166"/>
    </row>
    <row r="4961">
      <c r="A4961" s="163" t="s">
        <v>222</v>
      </c>
      <c r="B4961" s="163"/>
      <c r="C4961" s="163"/>
      <c r="J4961" s="165"/>
      <c r="K4961" s="166"/>
      <c r="L4961" s="166"/>
    </row>
    <row r="4962">
      <c r="A4962" s="163" t="s">
        <v>222</v>
      </c>
      <c r="B4962" s="163"/>
      <c r="C4962" s="163"/>
      <c r="J4962" s="165"/>
      <c r="K4962" s="166"/>
      <c r="L4962" s="166"/>
    </row>
    <row r="4963">
      <c r="A4963" s="163" t="s">
        <v>222</v>
      </c>
      <c r="B4963" s="163"/>
      <c r="C4963" s="163"/>
      <c r="J4963" s="165"/>
      <c r="K4963" s="166"/>
      <c r="L4963" s="166"/>
    </row>
    <row r="4964">
      <c r="A4964" s="163" t="s">
        <v>222</v>
      </c>
      <c r="B4964" s="163"/>
      <c r="C4964" s="163"/>
      <c r="J4964" s="165"/>
      <c r="K4964" s="166"/>
      <c r="L4964" s="166"/>
    </row>
    <row r="4965">
      <c r="A4965" s="163" t="s">
        <v>222</v>
      </c>
      <c r="B4965" s="163"/>
      <c r="C4965" s="163"/>
      <c r="J4965" s="165"/>
      <c r="K4965" s="166"/>
      <c r="L4965" s="166"/>
    </row>
    <row r="4966">
      <c r="A4966" s="163" t="s">
        <v>222</v>
      </c>
      <c r="B4966" s="163"/>
      <c r="C4966" s="163"/>
      <c r="J4966" s="165"/>
      <c r="K4966" s="166"/>
      <c r="L4966" s="166"/>
    </row>
    <row r="4967">
      <c r="A4967" s="163" t="s">
        <v>222</v>
      </c>
      <c r="B4967" s="163"/>
      <c r="C4967" s="163"/>
      <c r="J4967" s="165"/>
      <c r="K4967" s="166"/>
      <c r="L4967" s="166"/>
    </row>
    <row r="4968">
      <c r="A4968" s="163" t="s">
        <v>222</v>
      </c>
      <c r="B4968" s="163"/>
      <c r="C4968" s="163"/>
      <c r="J4968" s="165"/>
      <c r="K4968" s="166"/>
      <c r="L4968" s="166"/>
    </row>
    <row r="4969">
      <c r="A4969" s="163" t="s">
        <v>222</v>
      </c>
      <c r="B4969" s="163"/>
      <c r="C4969" s="163"/>
      <c r="J4969" s="165"/>
      <c r="K4969" s="166"/>
      <c r="L4969" s="166"/>
    </row>
    <row r="4970">
      <c r="A4970" s="163" t="s">
        <v>222</v>
      </c>
      <c r="B4970" s="163"/>
      <c r="C4970" s="163"/>
      <c r="J4970" s="165"/>
      <c r="K4970" s="166"/>
      <c r="L4970" s="166"/>
    </row>
    <row r="4971">
      <c r="A4971" s="163" t="s">
        <v>222</v>
      </c>
      <c r="B4971" s="163"/>
      <c r="C4971" s="163"/>
      <c r="J4971" s="165"/>
      <c r="K4971" s="166"/>
      <c r="L4971" s="166"/>
    </row>
    <row r="4972">
      <c r="A4972" s="163" t="s">
        <v>222</v>
      </c>
      <c r="B4972" s="163"/>
      <c r="C4972" s="163"/>
      <c r="J4972" s="165"/>
      <c r="K4972" s="166"/>
      <c r="L4972" s="166"/>
    </row>
    <row r="4973">
      <c r="A4973" s="163" t="s">
        <v>222</v>
      </c>
      <c r="B4973" s="163"/>
      <c r="C4973" s="163"/>
      <c r="J4973" s="165"/>
      <c r="K4973" s="166"/>
      <c r="L4973" s="166"/>
    </row>
    <row r="4974">
      <c r="A4974" s="163" t="s">
        <v>222</v>
      </c>
      <c r="B4974" s="163"/>
      <c r="C4974" s="163"/>
      <c r="J4974" s="165"/>
      <c r="K4974" s="166"/>
      <c r="L4974" s="166"/>
    </row>
    <row r="4975">
      <c r="A4975" s="163" t="s">
        <v>222</v>
      </c>
      <c r="B4975" s="163"/>
      <c r="C4975" s="163"/>
      <c r="J4975" s="165"/>
      <c r="K4975" s="166"/>
      <c r="L4975" s="166"/>
    </row>
    <row r="4976">
      <c r="A4976" s="163" t="s">
        <v>222</v>
      </c>
      <c r="B4976" s="163"/>
      <c r="C4976" s="163"/>
      <c r="J4976" s="165"/>
      <c r="K4976" s="166"/>
      <c r="L4976" s="166"/>
    </row>
    <row r="4977">
      <c r="A4977" s="163" t="s">
        <v>222</v>
      </c>
      <c r="B4977" s="163"/>
      <c r="C4977" s="163"/>
      <c r="J4977" s="165"/>
      <c r="K4977" s="166"/>
      <c r="L4977" s="166"/>
    </row>
    <row r="4978">
      <c r="A4978" s="163" t="s">
        <v>222</v>
      </c>
      <c r="B4978" s="163"/>
      <c r="C4978" s="163"/>
      <c r="J4978" s="165"/>
      <c r="K4978" s="166"/>
      <c r="L4978" s="166"/>
    </row>
    <row r="4979">
      <c r="A4979" s="163" t="s">
        <v>222</v>
      </c>
      <c r="B4979" s="163"/>
      <c r="C4979" s="163"/>
      <c r="J4979" s="165"/>
      <c r="K4979" s="166"/>
      <c r="L4979" s="166"/>
    </row>
    <row r="4980">
      <c r="A4980" s="163" t="s">
        <v>222</v>
      </c>
      <c r="B4980" s="163"/>
      <c r="C4980" s="163"/>
      <c r="J4980" s="165"/>
      <c r="K4980" s="166"/>
      <c r="L4980" s="166"/>
    </row>
    <row r="4981">
      <c r="A4981" s="163" t="s">
        <v>222</v>
      </c>
      <c r="B4981" s="163"/>
      <c r="C4981" s="163"/>
      <c r="J4981" s="165"/>
      <c r="K4981" s="166"/>
      <c r="L4981" s="166"/>
    </row>
    <row r="4982">
      <c r="A4982" s="163" t="s">
        <v>222</v>
      </c>
      <c r="B4982" s="163"/>
      <c r="C4982" s="163"/>
      <c r="J4982" s="165"/>
      <c r="K4982" s="166"/>
      <c r="L4982" s="166"/>
    </row>
    <row r="4983">
      <c r="A4983" s="163" t="s">
        <v>222</v>
      </c>
      <c r="B4983" s="163"/>
      <c r="C4983" s="163"/>
      <c r="J4983" s="165"/>
      <c r="K4983" s="166"/>
      <c r="L4983" s="166"/>
    </row>
    <row r="4984">
      <c r="A4984" s="163" t="s">
        <v>222</v>
      </c>
      <c r="B4984" s="163"/>
      <c r="C4984" s="163"/>
      <c r="J4984" s="165"/>
      <c r="K4984" s="166"/>
      <c r="L4984" s="166"/>
    </row>
    <row r="4985">
      <c r="A4985" s="163" t="s">
        <v>222</v>
      </c>
      <c r="B4985" s="163"/>
      <c r="C4985" s="163"/>
      <c r="J4985" s="165"/>
      <c r="K4985" s="166"/>
      <c r="L4985" s="166"/>
    </row>
    <row r="4986">
      <c r="A4986" s="163" t="s">
        <v>222</v>
      </c>
      <c r="B4986" s="163"/>
      <c r="C4986" s="163"/>
      <c r="J4986" s="165"/>
      <c r="K4986" s="166"/>
      <c r="L4986" s="166"/>
    </row>
    <row r="4987">
      <c r="A4987" s="163" t="s">
        <v>222</v>
      </c>
      <c r="B4987" s="163"/>
      <c r="C4987" s="163"/>
      <c r="J4987" s="165"/>
      <c r="K4987" s="166"/>
      <c r="L4987" s="166"/>
    </row>
    <row r="4988">
      <c r="A4988" s="163" t="s">
        <v>222</v>
      </c>
      <c r="B4988" s="163"/>
      <c r="C4988" s="163"/>
      <c r="J4988" s="165"/>
      <c r="K4988" s="166"/>
      <c r="L4988" s="166"/>
    </row>
    <row r="4989">
      <c r="A4989" s="163" t="s">
        <v>222</v>
      </c>
      <c r="B4989" s="163"/>
      <c r="C4989" s="163"/>
      <c r="J4989" s="165"/>
      <c r="K4989" s="166"/>
      <c r="L4989" s="166"/>
    </row>
    <row r="4990">
      <c r="A4990" s="163" t="s">
        <v>222</v>
      </c>
      <c r="B4990" s="163"/>
      <c r="C4990" s="163"/>
      <c r="J4990" s="165"/>
      <c r="K4990" s="166"/>
      <c r="L4990" s="166"/>
    </row>
    <row r="4991">
      <c r="A4991" s="163" t="s">
        <v>222</v>
      </c>
      <c r="B4991" s="163"/>
      <c r="C4991" s="163"/>
      <c r="J4991" s="165"/>
      <c r="K4991" s="166"/>
      <c r="L4991" s="166"/>
    </row>
    <row r="4992">
      <c r="A4992" s="163" t="s">
        <v>222</v>
      </c>
      <c r="B4992" s="163"/>
      <c r="C4992" s="163"/>
      <c r="J4992" s="165"/>
      <c r="K4992" s="166"/>
      <c r="L4992" s="166"/>
    </row>
    <row r="4993">
      <c r="A4993" s="163" t="s">
        <v>222</v>
      </c>
      <c r="B4993" s="163"/>
      <c r="C4993" s="163"/>
      <c r="J4993" s="165"/>
      <c r="K4993" s="166"/>
      <c r="L4993" s="166"/>
    </row>
    <row r="4994">
      <c r="A4994" s="163" t="s">
        <v>222</v>
      </c>
      <c r="B4994" s="163"/>
      <c r="C4994" s="163"/>
      <c r="J4994" s="165"/>
      <c r="K4994" s="166"/>
      <c r="L4994" s="166"/>
    </row>
    <row r="4995">
      <c r="A4995" s="163" t="s">
        <v>222</v>
      </c>
      <c r="B4995" s="163"/>
      <c r="C4995" s="163"/>
      <c r="J4995" s="165"/>
      <c r="K4995" s="166"/>
      <c r="L4995" s="166"/>
    </row>
    <row r="4996">
      <c r="A4996" s="163" t="s">
        <v>222</v>
      </c>
      <c r="B4996" s="163"/>
      <c r="C4996" s="163"/>
      <c r="J4996" s="165"/>
      <c r="K4996" s="166"/>
      <c r="L4996" s="166"/>
    </row>
    <row r="4997">
      <c r="A4997" s="163" t="s">
        <v>222</v>
      </c>
      <c r="B4997" s="163"/>
      <c r="C4997" s="163"/>
      <c r="J4997" s="165"/>
      <c r="K4997" s="166"/>
      <c r="L4997" s="166"/>
    </row>
    <row r="4998">
      <c r="A4998" s="163" t="s">
        <v>222</v>
      </c>
      <c r="B4998" s="163"/>
      <c r="C4998" s="163"/>
      <c r="J4998" s="165"/>
      <c r="K4998" s="166"/>
      <c r="L4998" s="166"/>
    </row>
    <row r="4999">
      <c r="A4999" s="163" t="s">
        <v>222</v>
      </c>
      <c r="B4999" s="163"/>
      <c r="C4999" s="163"/>
      <c r="J4999" s="165"/>
      <c r="K4999" s="166"/>
      <c r="L4999" s="166"/>
    </row>
    <row r="5000">
      <c r="A5000" s="163" t="s">
        <v>222</v>
      </c>
      <c r="B5000" s="163"/>
      <c r="C5000" s="163"/>
      <c r="J5000" s="165"/>
      <c r="K5000" s="166"/>
      <c r="L5000" s="166"/>
    </row>
    <row r="5001">
      <c r="A5001" s="163" t="s">
        <v>222</v>
      </c>
      <c r="B5001" s="163"/>
      <c r="C5001" s="163"/>
      <c r="J5001" s="165"/>
      <c r="K5001" s="166"/>
      <c r="L5001" s="166"/>
    </row>
    <row r="5002">
      <c r="A5002" s="163" t="s">
        <v>222</v>
      </c>
      <c r="B5002" s="163"/>
      <c r="C5002" s="163"/>
      <c r="J5002" s="165"/>
      <c r="K5002" s="166"/>
      <c r="L5002" s="166"/>
    </row>
    <row r="5003">
      <c r="A5003" s="163" t="s">
        <v>222</v>
      </c>
      <c r="B5003" s="163"/>
      <c r="C5003" s="163"/>
      <c r="J5003" s="165"/>
      <c r="K5003" s="166"/>
      <c r="L5003" s="166"/>
    </row>
    <row r="5004">
      <c r="A5004" s="163" t="s">
        <v>222</v>
      </c>
      <c r="B5004" s="163"/>
      <c r="C5004" s="163"/>
      <c r="J5004" s="165"/>
      <c r="K5004" s="166"/>
      <c r="L5004" s="166"/>
    </row>
    <row r="5005">
      <c r="A5005" s="163" t="s">
        <v>222</v>
      </c>
      <c r="B5005" s="163"/>
      <c r="C5005" s="163"/>
      <c r="J5005" s="165"/>
      <c r="K5005" s="166"/>
      <c r="L5005" s="166"/>
    </row>
    <row r="5006">
      <c r="A5006" s="163" t="s">
        <v>222</v>
      </c>
      <c r="B5006" s="163"/>
      <c r="C5006" s="163"/>
      <c r="J5006" s="165"/>
      <c r="K5006" s="166"/>
      <c r="L5006" s="166"/>
    </row>
    <row r="5007">
      <c r="A5007" s="163" t="s">
        <v>222</v>
      </c>
      <c r="B5007" s="163"/>
      <c r="C5007" s="163"/>
      <c r="J5007" s="165"/>
      <c r="K5007" s="166"/>
      <c r="L5007" s="166"/>
    </row>
    <row r="5008">
      <c r="A5008" s="163" t="s">
        <v>222</v>
      </c>
      <c r="B5008" s="163"/>
      <c r="C5008" s="163"/>
      <c r="J5008" s="165"/>
      <c r="K5008" s="166"/>
      <c r="L5008" s="166"/>
    </row>
    <row r="5009">
      <c r="A5009" s="163" t="s">
        <v>222</v>
      </c>
      <c r="B5009" s="163"/>
      <c r="C5009" s="163"/>
      <c r="J5009" s="165"/>
      <c r="K5009" s="166"/>
      <c r="L5009" s="166"/>
    </row>
    <row r="5010">
      <c r="A5010" s="163" t="s">
        <v>222</v>
      </c>
      <c r="B5010" s="163"/>
      <c r="C5010" s="163"/>
      <c r="J5010" s="165"/>
      <c r="K5010" s="166"/>
      <c r="L5010" s="166"/>
    </row>
    <row r="5011">
      <c r="A5011" s="163" t="s">
        <v>222</v>
      </c>
      <c r="B5011" s="163"/>
      <c r="C5011" s="163"/>
      <c r="J5011" s="165"/>
      <c r="K5011" s="166"/>
      <c r="L5011" s="166"/>
    </row>
    <row r="5012">
      <c r="A5012" s="163" t="s">
        <v>222</v>
      </c>
      <c r="B5012" s="163"/>
      <c r="C5012" s="163"/>
      <c r="J5012" s="165"/>
      <c r="K5012" s="166"/>
      <c r="L5012" s="166"/>
    </row>
    <row r="5013">
      <c r="A5013" s="163" t="s">
        <v>222</v>
      </c>
      <c r="B5013" s="163"/>
      <c r="C5013" s="163"/>
      <c r="J5013" s="165"/>
      <c r="K5013" s="166"/>
      <c r="L5013" s="166"/>
    </row>
    <row r="5014">
      <c r="A5014" s="163" t="s">
        <v>222</v>
      </c>
      <c r="B5014" s="163"/>
      <c r="C5014" s="163"/>
      <c r="J5014" s="165"/>
      <c r="K5014" s="166"/>
      <c r="L5014" s="166"/>
    </row>
    <row r="5015">
      <c r="A5015" s="163" t="s">
        <v>222</v>
      </c>
      <c r="B5015" s="163"/>
      <c r="C5015" s="163"/>
      <c r="J5015" s="165"/>
      <c r="K5015" s="166"/>
      <c r="L5015" s="166"/>
    </row>
    <row r="5016">
      <c r="A5016" s="163" t="s">
        <v>222</v>
      </c>
      <c r="B5016" s="163"/>
      <c r="C5016" s="163"/>
      <c r="J5016" s="165"/>
      <c r="K5016" s="166"/>
      <c r="L5016" s="166"/>
    </row>
    <row r="5017">
      <c r="A5017" s="163" t="s">
        <v>222</v>
      </c>
      <c r="B5017" s="163"/>
      <c r="C5017" s="163"/>
      <c r="J5017" s="165"/>
      <c r="K5017" s="166"/>
      <c r="L5017" s="166"/>
    </row>
    <row r="5018">
      <c r="A5018" s="163" t="s">
        <v>222</v>
      </c>
      <c r="B5018" s="163"/>
      <c r="C5018" s="163"/>
      <c r="J5018" s="165"/>
      <c r="K5018" s="166"/>
      <c r="L5018" s="166"/>
    </row>
    <row r="5019">
      <c r="A5019" s="163" t="s">
        <v>222</v>
      </c>
      <c r="B5019" s="163"/>
      <c r="C5019" s="163"/>
      <c r="J5019" s="165"/>
      <c r="K5019" s="166"/>
      <c r="L5019" s="166"/>
    </row>
    <row r="5020">
      <c r="A5020" s="163" t="s">
        <v>222</v>
      </c>
      <c r="B5020" s="163"/>
      <c r="C5020" s="163"/>
      <c r="J5020" s="165"/>
      <c r="K5020" s="166"/>
      <c r="L5020" s="166"/>
    </row>
    <row r="5021">
      <c r="A5021" s="163" t="s">
        <v>222</v>
      </c>
      <c r="B5021" s="163"/>
      <c r="C5021" s="163"/>
      <c r="J5021" s="165"/>
      <c r="K5021" s="166"/>
      <c r="L5021" s="166"/>
    </row>
    <row r="5022">
      <c r="A5022" s="163" t="s">
        <v>222</v>
      </c>
      <c r="B5022" s="163"/>
      <c r="C5022" s="163"/>
      <c r="J5022" s="165"/>
      <c r="K5022" s="166"/>
      <c r="L5022" s="166"/>
    </row>
    <row r="5023">
      <c r="A5023" s="163" t="s">
        <v>222</v>
      </c>
      <c r="B5023" s="163"/>
      <c r="C5023" s="163"/>
      <c r="J5023" s="165"/>
      <c r="K5023" s="166"/>
      <c r="L5023" s="166"/>
    </row>
    <row r="5024">
      <c r="A5024" s="163" t="s">
        <v>222</v>
      </c>
      <c r="B5024" s="163"/>
      <c r="C5024" s="163"/>
      <c r="J5024" s="165"/>
      <c r="K5024" s="166"/>
      <c r="L5024" s="166"/>
    </row>
    <row r="5025">
      <c r="A5025" s="163" t="s">
        <v>222</v>
      </c>
      <c r="B5025" s="163"/>
      <c r="C5025" s="163"/>
      <c r="J5025" s="165"/>
      <c r="K5025" s="166"/>
      <c r="L5025" s="166"/>
    </row>
    <row r="5026">
      <c r="A5026" s="163" t="s">
        <v>222</v>
      </c>
      <c r="B5026" s="163"/>
      <c r="C5026" s="163"/>
      <c r="J5026" s="165"/>
      <c r="K5026" s="166"/>
      <c r="L5026" s="166"/>
    </row>
    <row r="5027">
      <c r="A5027" s="163" t="s">
        <v>222</v>
      </c>
      <c r="B5027" s="163"/>
      <c r="C5027" s="163"/>
      <c r="J5027" s="165"/>
      <c r="K5027" s="166"/>
      <c r="L5027" s="166"/>
    </row>
    <row r="5028">
      <c r="A5028" s="163" t="s">
        <v>222</v>
      </c>
      <c r="B5028" s="163"/>
      <c r="C5028" s="163"/>
      <c r="J5028" s="165"/>
      <c r="K5028" s="166"/>
      <c r="L5028" s="166"/>
    </row>
    <row r="5029">
      <c r="A5029" s="163" t="s">
        <v>222</v>
      </c>
      <c r="B5029" s="163"/>
      <c r="C5029" s="163"/>
      <c r="J5029" s="165"/>
      <c r="K5029" s="166"/>
      <c r="L5029" s="166"/>
    </row>
    <row r="5030">
      <c r="A5030" s="163" t="s">
        <v>222</v>
      </c>
      <c r="B5030" s="163"/>
      <c r="C5030" s="163"/>
      <c r="J5030" s="165"/>
      <c r="K5030" s="166"/>
      <c r="L5030" s="166"/>
    </row>
    <row r="5031">
      <c r="A5031" s="163" t="s">
        <v>222</v>
      </c>
      <c r="B5031" s="163"/>
      <c r="C5031" s="163"/>
      <c r="J5031" s="165"/>
      <c r="K5031" s="166"/>
      <c r="L5031" s="166"/>
    </row>
    <row r="5032">
      <c r="A5032" s="163" t="s">
        <v>222</v>
      </c>
      <c r="B5032" s="163"/>
      <c r="C5032" s="163"/>
      <c r="J5032" s="165"/>
      <c r="K5032" s="166"/>
      <c r="L5032" s="166"/>
    </row>
    <row r="5033">
      <c r="A5033" s="163" t="s">
        <v>222</v>
      </c>
      <c r="B5033" s="163"/>
      <c r="C5033" s="163"/>
      <c r="J5033" s="165"/>
      <c r="K5033" s="166"/>
      <c r="L5033" s="166"/>
    </row>
    <row r="5034">
      <c r="A5034" s="163" t="s">
        <v>222</v>
      </c>
      <c r="B5034" s="163"/>
      <c r="C5034" s="163"/>
      <c r="J5034" s="165"/>
      <c r="K5034" s="166"/>
      <c r="L5034" s="166"/>
    </row>
    <row r="5035">
      <c r="A5035" s="163" t="s">
        <v>222</v>
      </c>
      <c r="B5035" s="163"/>
      <c r="C5035" s="163"/>
      <c r="J5035" s="165"/>
      <c r="K5035" s="166"/>
      <c r="L5035" s="166"/>
    </row>
    <row r="5036">
      <c r="A5036" s="163" t="s">
        <v>222</v>
      </c>
      <c r="B5036" s="163"/>
      <c r="C5036" s="163"/>
      <c r="J5036" s="165"/>
      <c r="K5036" s="166"/>
      <c r="L5036" s="166"/>
    </row>
    <row r="5037">
      <c r="A5037" s="163" t="s">
        <v>222</v>
      </c>
      <c r="B5037" s="163"/>
      <c r="C5037" s="163"/>
      <c r="J5037" s="165"/>
      <c r="K5037" s="166"/>
      <c r="L5037" s="166"/>
    </row>
    <row r="5038">
      <c r="A5038" s="163" t="s">
        <v>222</v>
      </c>
      <c r="B5038" s="163"/>
      <c r="C5038" s="163"/>
      <c r="J5038" s="165"/>
      <c r="K5038" s="166"/>
      <c r="L5038" s="166"/>
    </row>
    <row r="5039">
      <c r="A5039" s="163" t="s">
        <v>222</v>
      </c>
      <c r="B5039" s="163"/>
      <c r="C5039" s="163"/>
      <c r="J5039" s="165"/>
      <c r="K5039" s="166"/>
      <c r="L5039" s="166"/>
    </row>
    <row r="5040">
      <c r="A5040" s="163" t="s">
        <v>222</v>
      </c>
      <c r="B5040" s="163"/>
      <c r="C5040" s="163"/>
      <c r="J5040" s="165"/>
      <c r="K5040" s="166"/>
      <c r="L5040" s="166"/>
    </row>
    <row r="5041">
      <c r="A5041" s="163" t="s">
        <v>222</v>
      </c>
      <c r="B5041" s="163"/>
      <c r="C5041" s="163"/>
      <c r="J5041" s="165"/>
      <c r="K5041" s="166"/>
      <c r="L5041" s="166"/>
    </row>
    <row r="5042">
      <c r="A5042" s="163" t="s">
        <v>222</v>
      </c>
      <c r="B5042" s="163"/>
      <c r="C5042" s="163"/>
      <c r="J5042" s="165"/>
      <c r="K5042" s="166"/>
      <c r="L5042" s="166"/>
    </row>
    <row r="5043">
      <c r="A5043" s="163" t="s">
        <v>222</v>
      </c>
      <c r="B5043" s="163"/>
      <c r="C5043" s="163"/>
      <c r="J5043" s="165"/>
      <c r="K5043" s="166"/>
      <c r="L5043" s="166"/>
    </row>
    <row r="5044">
      <c r="A5044" s="163" t="s">
        <v>222</v>
      </c>
      <c r="B5044" s="163"/>
      <c r="C5044" s="163"/>
      <c r="J5044" s="165"/>
      <c r="K5044" s="166"/>
      <c r="L5044" s="166"/>
    </row>
    <row r="5045">
      <c r="A5045" s="163" t="s">
        <v>222</v>
      </c>
      <c r="B5045" s="163"/>
      <c r="C5045" s="163"/>
      <c r="J5045" s="165"/>
      <c r="K5045" s="166"/>
      <c r="L5045" s="166"/>
    </row>
    <row r="5046">
      <c r="A5046" s="163" t="s">
        <v>222</v>
      </c>
      <c r="B5046" s="163"/>
      <c r="C5046" s="163"/>
      <c r="J5046" s="165"/>
      <c r="K5046" s="166"/>
      <c r="L5046" s="166"/>
    </row>
    <row r="5047">
      <c r="A5047" s="163" t="s">
        <v>222</v>
      </c>
      <c r="B5047" s="163"/>
      <c r="C5047" s="163"/>
      <c r="J5047" s="165"/>
      <c r="K5047" s="166"/>
      <c r="L5047" s="166"/>
    </row>
    <row r="5048">
      <c r="A5048" s="163" t="s">
        <v>222</v>
      </c>
      <c r="B5048" s="163"/>
      <c r="C5048" s="163"/>
      <c r="J5048" s="165"/>
      <c r="K5048" s="166"/>
      <c r="L5048" s="166"/>
    </row>
    <row r="5049">
      <c r="A5049" s="163" t="s">
        <v>222</v>
      </c>
      <c r="B5049" s="163"/>
      <c r="C5049" s="163"/>
      <c r="J5049" s="165"/>
      <c r="K5049" s="166"/>
      <c r="L5049" s="166"/>
    </row>
    <row r="5050">
      <c r="A5050" s="163" t="s">
        <v>222</v>
      </c>
      <c r="B5050" s="163"/>
      <c r="C5050" s="163"/>
      <c r="J5050" s="165"/>
      <c r="K5050" s="166"/>
      <c r="L5050" s="166"/>
    </row>
    <row r="5051">
      <c r="A5051" s="163" t="s">
        <v>222</v>
      </c>
      <c r="B5051" s="163"/>
      <c r="C5051" s="163"/>
      <c r="J5051" s="165"/>
      <c r="K5051" s="166"/>
      <c r="L5051" s="166"/>
    </row>
    <row r="5052">
      <c r="A5052" s="163" t="s">
        <v>222</v>
      </c>
      <c r="B5052" s="163"/>
      <c r="C5052" s="163"/>
      <c r="J5052" s="165"/>
      <c r="K5052" s="166"/>
      <c r="L5052" s="166"/>
    </row>
    <row r="5053">
      <c r="A5053" s="163" t="s">
        <v>222</v>
      </c>
      <c r="B5053" s="163"/>
      <c r="C5053" s="163"/>
      <c r="J5053" s="165"/>
      <c r="K5053" s="166"/>
      <c r="L5053" s="166"/>
    </row>
    <row r="5054">
      <c r="A5054" s="163" t="s">
        <v>222</v>
      </c>
      <c r="B5054" s="163"/>
      <c r="C5054" s="163"/>
      <c r="J5054" s="165"/>
      <c r="K5054" s="166"/>
      <c r="L5054" s="166"/>
    </row>
    <row r="5055">
      <c r="A5055" s="163" t="s">
        <v>222</v>
      </c>
      <c r="B5055" s="163"/>
      <c r="C5055" s="163"/>
      <c r="J5055" s="165"/>
      <c r="K5055" s="166"/>
      <c r="L5055" s="166"/>
    </row>
    <row r="5056">
      <c r="A5056" s="163" t="s">
        <v>222</v>
      </c>
      <c r="B5056" s="163"/>
      <c r="C5056" s="163"/>
      <c r="J5056" s="165"/>
      <c r="K5056" s="166"/>
      <c r="L5056" s="166"/>
    </row>
    <row r="5057">
      <c r="A5057" s="163" t="s">
        <v>222</v>
      </c>
      <c r="B5057" s="163"/>
      <c r="C5057" s="163"/>
      <c r="J5057" s="165"/>
      <c r="K5057" s="166"/>
      <c r="L5057" s="166"/>
    </row>
    <row r="5058">
      <c r="A5058" s="163" t="s">
        <v>222</v>
      </c>
      <c r="B5058" s="163"/>
      <c r="C5058" s="163"/>
      <c r="J5058" s="165"/>
      <c r="K5058" s="166"/>
      <c r="L5058" s="166"/>
    </row>
    <row r="5059">
      <c r="A5059" s="163" t="s">
        <v>222</v>
      </c>
      <c r="B5059" s="163"/>
      <c r="C5059" s="163"/>
      <c r="J5059" s="165"/>
      <c r="K5059" s="166"/>
      <c r="L5059" s="166"/>
    </row>
    <row r="5060">
      <c r="A5060" s="163" t="s">
        <v>222</v>
      </c>
      <c r="B5060" s="163"/>
      <c r="C5060" s="163"/>
      <c r="J5060" s="165"/>
      <c r="K5060" s="166"/>
      <c r="L5060" s="166"/>
    </row>
    <row r="5061">
      <c r="A5061" s="163" t="s">
        <v>222</v>
      </c>
      <c r="B5061" s="163"/>
      <c r="C5061" s="163"/>
      <c r="J5061" s="165"/>
      <c r="K5061" s="166"/>
      <c r="L5061" s="166"/>
    </row>
    <row r="5062">
      <c r="A5062" s="163" t="s">
        <v>222</v>
      </c>
      <c r="B5062" s="163"/>
      <c r="C5062" s="163"/>
      <c r="J5062" s="165"/>
      <c r="K5062" s="166"/>
      <c r="L5062" s="166"/>
    </row>
    <row r="5063">
      <c r="A5063" s="163" t="s">
        <v>222</v>
      </c>
      <c r="B5063" s="163"/>
      <c r="C5063" s="163"/>
      <c r="J5063" s="165"/>
      <c r="K5063" s="166"/>
      <c r="L5063" s="166"/>
    </row>
    <row r="5064">
      <c r="A5064" s="163" t="s">
        <v>222</v>
      </c>
      <c r="B5064" s="163"/>
      <c r="C5064" s="163"/>
      <c r="J5064" s="165"/>
      <c r="K5064" s="166"/>
      <c r="L5064" s="166"/>
    </row>
    <row r="5065">
      <c r="A5065" s="163" t="s">
        <v>222</v>
      </c>
      <c r="B5065" s="163"/>
      <c r="C5065" s="163"/>
      <c r="J5065" s="165"/>
      <c r="K5065" s="166"/>
      <c r="L5065" s="166"/>
    </row>
    <row r="5066">
      <c r="A5066" s="163" t="s">
        <v>222</v>
      </c>
      <c r="B5066" s="163"/>
      <c r="C5066" s="163"/>
      <c r="J5066" s="165"/>
      <c r="K5066" s="166"/>
      <c r="L5066" s="166"/>
    </row>
    <row r="5067">
      <c r="A5067" s="163" t="s">
        <v>222</v>
      </c>
      <c r="B5067" s="163"/>
      <c r="C5067" s="163"/>
      <c r="J5067" s="165"/>
      <c r="K5067" s="166"/>
      <c r="L5067" s="166"/>
    </row>
    <row r="5068">
      <c r="A5068" s="163" t="s">
        <v>222</v>
      </c>
      <c r="B5068" s="163"/>
      <c r="C5068" s="163"/>
      <c r="J5068" s="165"/>
      <c r="K5068" s="166"/>
      <c r="L5068" s="166"/>
    </row>
    <row r="5069">
      <c r="A5069" s="163" t="s">
        <v>222</v>
      </c>
      <c r="B5069" s="163"/>
      <c r="C5069" s="163"/>
      <c r="J5069" s="165"/>
      <c r="K5069" s="166"/>
      <c r="L5069" s="166"/>
    </row>
    <row r="5070">
      <c r="A5070" s="163" t="s">
        <v>222</v>
      </c>
      <c r="B5070" s="163"/>
      <c r="C5070" s="163"/>
      <c r="J5070" s="165"/>
      <c r="K5070" s="166"/>
      <c r="L5070" s="166"/>
    </row>
    <row r="5071">
      <c r="A5071" s="163" t="s">
        <v>222</v>
      </c>
      <c r="B5071" s="163"/>
      <c r="C5071" s="163"/>
      <c r="J5071" s="165"/>
      <c r="K5071" s="166"/>
      <c r="L5071" s="166"/>
    </row>
    <row r="5072">
      <c r="A5072" s="163" t="s">
        <v>222</v>
      </c>
      <c r="B5072" s="163"/>
      <c r="C5072" s="163"/>
      <c r="J5072" s="165"/>
      <c r="K5072" s="166"/>
      <c r="L5072" s="166"/>
    </row>
    <row r="5073">
      <c r="A5073" s="163" t="s">
        <v>222</v>
      </c>
      <c r="B5073" s="163"/>
      <c r="C5073" s="163"/>
      <c r="J5073" s="165"/>
      <c r="K5073" s="166"/>
      <c r="L5073" s="166"/>
    </row>
    <row r="5074">
      <c r="A5074" s="163" t="s">
        <v>222</v>
      </c>
      <c r="B5074" s="163"/>
      <c r="C5074" s="163"/>
      <c r="J5074" s="165"/>
      <c r="K5074" s="166"/>
      <c r="L5074" s="166"/>
    </row>
    <row r="5075">
      <c r="A5075" s="163" t="s">
        <v>222</v>
      </c>
      <c r="B5075" s="163"/>
      <c r="C5075" s="163"/>
      <c r="J5075" s="165"/>
      <c r="K5075" s="166"/>
      <c r="L5075" s="166"/>
    </row>
    <row r="5076">
      <c r="A5076" s="163" t="s">
        <v>222</v>
      </c>
      <c r="B5076" s="163"/>
      <c r="C5076" s="163"/>
      <c r="J5076" s="165"/>
      <c r="K5076" s="166"/>
      <c r="L5076" s="166"/>
    </row>
    <row r="5077">
      <c r="A5077" s="163" t="s">
        <v>222</v>
      </c>
      <c r="B5077" s="163"/>
      <c r="C5077" s="163"/>
      <c r="J5077" s="165"/>
      <c r="K5077" s="166"/>
      <c r="L5077" s="166"/>
    </row>
    <row r="5078">
      <c r="A5078" s="163" t="s">
        <v>222</v>
      </c>
      <c r="B5078" s="163"/>
      <c r="C5078" s="163"/>
      <c r="J5078" s="165"/>
      <c r="K5078" s="166"/>
      <c r="L5078" s="166"/>
    </row>
    <row r="5079">
      <c r="A5079" s="163" t="s">
        <v>222</v>
      </c>
      <c r="B5079" s="163"/>
      <c r="C5079" s="163"/>
      <c r="J5079" s="165"/>
      <c r="K5079" s="166"/>
      <c r="L5079" s="166"/>
    </row>
    <row r="5080">
      <c r="A5080" s="163" t="s">
        <v>222</v>
      </c>
      <c r="B5080" s="163"/>
      <c r="C5080" s="163"/>
      <c r="J5080" s="165"/>
      <c r="K5080" s="166"/>
      <c r="L5080" s="166"/>
    </row>
    <row r="5081">
      <c r="A5081" s="163" t="s">
        <v>222</v>
      </c>
      <c r="B5081" s="163"/>
      <c r="C5081" s="163"/>
      <c r="J5081" s="165"/>
      <c r="K5081" s="166"/>
      <c r="L5081" s="166"/>
    </row>
    <row r="5082">
      <c r="A5082" s="163" t="s">
        <v>222</v>
      </c>
      <c r="B5082" s="163"/>
      <c r="C5082" s="163"/>
      <c r="J5082" s="165"/>
      <c r="K5082" s="166"/>
      <c r="L5082" s="166"/>
    </row>
    <row r="5083">
      <c r="A5083" s="163" t="s">
        <v>222</v>
      </c>
      <c r="B5083" s="163"/>
      <c r="C5083" s="163"/>
      <c r="J5083" s="165"/>
      <c r="K5083" s="166"/>
      <c r="L5083" s="166"/>
    </row>
    <row r="5084">
      <c r="A5084" s="163" t="s">
        <v>222</v>
      </c>
      <c r="B5084" s="163"/>
      <c r="C5084" s="163"/>
      <c r="J5084" s="165"/>
      <c r="K5084" s="166"/>
      <c r="L5084" s="166"/>
    </row>
    <row r="5085">
      <c r="A5085" s="163" t="s">
        <v>222</v>
      </c>
      <c r="B5085" s="163"/>
      <c r="C5085" s="163"/>
      <c r="J5085" s="165"/>
      <c r="K5085" s="166"/>
      <c r="L5085" s="166"/>
    </row>
    <row r="5086">
      <c r="A5086" s="163" t="s">
        <v>222</v>
      </c>
      <c r="B5086" s="163"/>
      <c r="C5086" s="163"/>
      <c r="J5086" s="165"/>
      <c r="K5086" s="166"/>
      <c r="L5086" s="166"/>
    </row>
    <row r="5087">
      <c r="A5087" s="163" t="s">
        <v>222</v>
      </c>
      <c r="B5087" s="163"/>
      <c r="C5087" s="163"/>
      <c r="J5087" s="165"/>
      <c r="K5087" s="166"/>
      <c r="L5087" s="166"/>
    </row>
    <row r="5088">
      <c r="A5088" s="163" t="s">
        <v>222</v>
      </c>
      <c r="B5088" s="163"/>
      <c r="C5088" s="163"/>
      <c r="J5088" s="165"/>
      <c r="K5088" s="166"/>
      <c r="L5088" s="166"/>
    </row>
    <row r="5089">
      <c r="A5089" s="163" t="s">
        <v>222</v>
      </c>
      <c r="B5089" s="163"/>
      <c r="C5089" s="163"/>
      <c r="J5089" s="165"/>
      <c r="K5089" s="166"/>
      <c r="L5089" s="166"/>
    </row>
    <row r="5090">
      <c r="A5090" s="163" t="s">
        <v>222</v>
      </c>
      <c r="B5090" s="163"/>
      <c r="C5090" s="163"/>
      <c r="J5090" s="165"/>
      <c r="K5090" s="166"/>
      <c r="L5090" s="166"/>
    </row>
    <row r="5091">
      <c r="A5091" s="163" t="s">
        <v>222</v>
      </c>
      <c r="B5091" s="163"/>
      <c r="C5091" s="163"/>
      <c r="J5091" s="165"/>
      <c r="K5091" s="166"/>
      <c r="L5091" s="166"/>
    </row>
    <row r="5092">
      <c r="A5092" s="163" t="s">
        <v>222</v>
      </c>
      <c r="B5092" s="163"/>
      <c r="C5092" s="163"/>
      <c r="J5092" s="165"/>
      <c r="K5092" s="166"/>
      <c r="L5092" s="166"/>
    </row>
    <row r="5093">
      <c r="A5093" s="163" t="s">
        <v>222</v>
      </c>
      <c r="B5093" s="163"/>
      <c r="C5093" s="163"/>
      <c r="J5093" s="165"/>
      <c r="K5093" s="166"/>
      <c r="L5093" s="166"/>
    </row>
    <row r="5094">
      <c r="A5094" s="163" t="s">
        <v>222</v>
      </c>
      <c r="B5094" s="163"/>
      <c r="C5094" s="163"/>
      <c r="J5094" s="165"/>
      <c r="K5094" s="166"/>
      <c r="L5094" s="166"/>
    </row>
    <row r="5095">
      <c r="A5095" s="163" t="s">
        <v>222</v>
      </c>
      <c r="B5095" s="163"/>
      <c r="C5095" s="163"/>
      <c r="J5095" s="165"/>
      <c r="K5095" s="166"/>
      <c r="L5095" s="166"/>
    </row>
    <row r="5096">
      <c r="A5096" s="163" t="s">
        <v>222</v>
      </c>
      <c r="B5096" s="163"/>
      <c r="C5096" s="163"/>
      <c r="J5096" s="165"/>
      <c r="K5096" s="166"/>
      <c r="L5096" s="166"/>
    </row>
    <row r="5097">
      <c r="A5097" s="163" t="s">
        <v>222</v>
      </c>
      <c r="B5097" s="163"/>
      <c r="C5097" s="163"/>
      <c r="J5097" s="165"/>
      <c r="K5097" s="166"/>
      <c r="L5097" s="166"/>
    </row>
    <row r="5098">
      <c r="A5098" s="163" t="s">
        <v>222</v>
      </c>
      <c r="B5098" s="163"/>
      <c r="C5098" s="163"/>
      <c r="J5098" s="165"/>
      <c r="K5098" s="166"/>
      <c r="L5098" s="166"/>
    </row>
    <row r="5099">
      <c r="A5099" s="163" t="s">
        <v>222</v>
      </c>
      <c r="B5099" s="163"/>
      <c r="C5099" s="163"/>
      <c r="J5099" s="165"/>
      <c r="K5099" s="166"/>
      <c r="L5099" s="166"/>
    </row>
    <row r="5100">
      <c r="A5100" s="163" t="s">
        <v>222</v>
      </c>
      <c r="B5100" s="163"/>
      <c r="C5100" s="163"/>
      <c r="J5100" s="165"/>
      <c r="K5100" s="166"/>
      <c r="L5100" s="166"/>
    </row>
    <row r="5101">
      <c r="A5101" s="163" t="s">
        <v>222</v>
      </c>
      <c r="B5101" s="163"/>
      <c r="C5101" s="163"/>
      <c r="J5101" s="165"/>
      <c r="K5101" s="166"/>
      <c r="L5101" s="166"/>
    </row>
    <row r="5102">
      <c r="A5102" s="163" t="s">
        <v>222</v>
      </c>
      <c r="B5102" s="163"/>
      <c r="C5102" s="163"/>
      <c r="J5102" s="165"/>
      <c r="K5102" s="166"/>
      <c r="L5102" s="166"/>
    </row>
    <row r="5103">
      <c r="A5103" s="163" t="s">
        <v>222</v>
      </c>
      <c r="B5103" s="163"/>
      <c r="C5103" s="163"/>
      <c r="J5103" s="165"/>
      <c r="K5103" s="166"/>
      <c r="L5103" s="166"/>
    </row>
    <row r="5104">
      <c r="A5104" s="163" t="s">
        <v>222</v>
      </c>
      <c r="B5104" s="163"/>
      <c r="C5104" s="163"/>
      <c r="J5104" s="165"/>
      <c r="K5104" s="166"/>
      <c r="L5104" s="166"/>
    </row>
    <row r="5105">
      <c r="A5105" s="163" t="s">
        <v>222</v>
      </c>
      <c r="B5105" s="163"/>
      <c r="C5105" s="163"/>
      <c r="J5105" s="165"/>
      <c r="K5105" s="166"/>
      <c r="L5105" s="166"/>
    </row>
    <row r="5106">
      <c r="A5106" s="163" t="s">
        <v>222</v>
      </c>
      <c r="B5106" s="163"/>
      <c r="C5106" s="163"/>
      <c r="J5106" s="165"/>
      <c r="K5106" s="166"/>
      <c r="L5106" s="166"/>
    </row>
    <row r="5107">
      <c r="A5107" s="163" t="s">
        <v>222</v>
      </c>
      <c r="B5107" s="163"/>
      <c r="C5107" s="163"/>
      <c r="J5107" s="165"/>
      <c r="K5107" s="166"/>
      <c r="L5107" s="166"/>
    </row>
    <row r="5108">
      <c r="A5108" s="163" t="s">
        <v>222</v>
      </c>
      <c r="B5108" s="163"/>
      <c r="C5108" s="163"/>
      <c r="J5108" s="165"/>
      <c r="K5108" s="166"/>
      <c r="L5108" s="166"/>
    </row>
    <row r="5109">
      <c r="A5109" s="163" t="s">
        <v>222</v>
      </c>
      <c r="B5109" s="163"/>
      <c r="C5109" s="163"/>
      <c r="J5109" s="165"/>
      <c r="K5109" s="166"/>
      <c r="L5109" s="166"/>
    </row>
    <row r="5110">
      <c r="A5110" s="163" t="s">
        <v>222</v>
      </c>
      <c r="B5110" s="163"/>
      <c r="C5110" s="163"/>
      <c r="J5110" s="165"/>
      <c r="K5110" s="166"/>
      <c r="L5110" s="166"/>
    </row>
    <row r="5111">
      <c r="A5111" s="163" t="s">
        <v>222</v>
      </c>
      <c r="B5111" s="163"/>
      <c r="C5111" s="163"/>
      <c r="J5111" s="165"/>
      <c r="K5111" s="166"/>
      <c r="L5111" s="166"/>
    </row>
    <row r="5112">
      <c r="A5112" s="163" t="s">
        <v>222</v>
      </c>
      <c r="B5112" s="163"/>
      <c r="C5112" s="163"/>
      <c r="J5112" s="165"/>
      <c r="K5112" s="166"/>
      <c r="L5112" s="166"/>
    </row>
    <row r="5113">
      <c r="A5113" s="163" t="s">
        <v>222</v>
      </c>
      <c r="B5113" s="163"/>
      <c r="C5113" s="163"/>
      <c r="J5113" s="165"/>
      <c r="K5113" s="166"/>
      <c r="L5113" s="166"/>
    </row>
    <row r="5114">
      <c r="A5114" s="163" t="s">
        <v>222</v>
      </c>
      <c r="B5114" s="163"/>
      <c r="C5114" s="163"/>
      <c r="J5114" s="165"/>
      <c r="K5114" s="166"/>
      <c r="L5114" s="166"/>
    </row>
    <row r="5115">
      <c r="A5115" s="163" t="s">
        <v>222</v>
      </c>
      <c r="B5115" s="163"/>
      <c r="C5115" s="163"/>
      <c r="J5115" s="165"/>
      <c r="K5115" s="166"/>
      <c r="L5115" s="166"/>
    </row>
    <row r="5116">
      <c r="A5116" s="163" t="s">
        <v>222</v>
      </c>
      <c r="B5116" s="163"/>
      <c r="C5116" s="163"/>
      <c r="J5116" s="165"/>
      <c r="K5116" s="166"/>
      <c r="L5116" s="166"/>
    </row>
    <row r="5117">
      <c r="A5117" s="163" t="s">
        <v>222</v>
      </c>
      <c r="B5117" s="163"/>
      <c r="C5117" s="163"/>
      <c r="J5117" s="165"/>
      <c r="K5117" s="166"/>
      <c r="L5117" s="166"/>
    </row>
    <row r="5118">
      <c r="A5118" s="163" t="s">
        <v>222</v>
      </c>
      <c r="B5118" s="163"/>
      <c r="C5118" s="163"/>
      <c r="J5118" s="165"/>
      <c r="K5118" s="166"/>
      <c r="L5118" s="166"/>
    </row>
    <row r="5119">
      <c r="A5119" s="163" t="s">
        <v>222</v>
      </c>
      <c r="B5119" s="163"/>
      <c r="C5119" s="163"/>
      <c r="J5119" s="165"/>
      <c r="K5119" s="166"/>
      <c r="L5119" s="166"/>
    </row>
    <row r="5120">
      <c r="A5120" s="163" t="s">
        <v>222</v>
      </c>
      <c r="B5120" s="163"/>
      <c r="C5120" s="163"/>
      <c r="J5120" s="165"/>
      <c r="K5120" s="166"/>
      <c r="L5120" s="166"/>
    </row>
    <row r="5121">
      <c r="A5121" s="163" t="s">
        <v>222</v>
      </c>
      <c r="B5121" s="163"/>
      <c r="C5121" s="163"/>
      <c r="J5121" s="165"/>
      <c r="K5121" s="166"/>
      <c r="L5121" s="166"/>
    </row>
    <row r="5122">
      <c r="A5122" s="163" t="s">
        <v>222</v>
      </c>
      <c r="B5122" s="163"/>
      <c r="C5122" s="163"/>
      <c r="J5122" s="165"/>
      <c r="K5122" s="166"/>
      <c r="L5122" s="166"/>
    </row>
    <row r="5123">
      <c r="A5123" s="163" t="s">
        <v>222</v>
      </c>
      <c r="B5123" s="163"/>
      <c r="C5123" s="163"/>
      <c r="J5123" s="165"/>
      <c r="K5123" s="166"/>
      <c r="L5123" s="166"/>
    </row>
    <row r="5124">
      <c r="A5124" s="163" t="s">
        <v>222</v>
      </c>
      <c r="B5124" s="163"/>
      <c r="C5124" s="163"/>
      <c r="J5124" s="165"/>
      <c r="K5124" s="166"/>
      <c r="L5124" s="166"/>
    </row>
    <row r="5125">
      <c r="A5125" s="163" t="s">
        <v>222</v>
      </c>
      <c r="B5125" s="163"/>
      <c r="C5125" s="163"/>
      <c r="J5125" s="165"/>
      <c r="K5125" s="166"/>
      <c r="L5125" s="166"/>
    </row>
    <row r="5126">
      <c r="A5126" s="163" t="s">
        <v>222</v>
      </c>
      <c r="B5126" s="163"/>
      <c r="C5126" s="163"/>
      <c r="J5126" s="165"/>
      <c r="K5126" s="166"/>
      <c r="L5126" s="166"/>
    </row>
    <row r="5127">
      <c r="A5127" s="163" t="s">
        <v>222</v>
      </c>
      <c r="B5127" s="163"/>
      <c r="C5127" s="163"/>
      <c r="J5127" s="165"/>
      <c r="K5127" s="166"/>
      <c r="L5127" s="166"/>
    </row>
    <row r="5128">
      <c r="A5128" s="163" t="s">
        <v>222</v>
      </c>
      <c r="B5128" s="163"/>
      <c r="C5128" s="163"/>
      <c r="J5128" s="165"/>
      <c r="K5128" s="166"/>
      <c r="L5128" s="166"/>
    </row>
    <row r="5129">
      <c r="A5129" s="163" t="s">
        <v>222</v>
      </c>
      <c r="B5129" s="163"/>
      <c r="C5129" s="163"/>
      <c r="J5129" s="165"/>
      <c r="K5129" s="166"/>
      <c r="L5129" s="166"/>
    </row>
    <row r="5130">
      <c r="A5130" s="163" t="s">
        <v>222</v>
      </c>
      <c r="B5130" s="163"/>
      <c r="C5130" s="163"/>
      <c r="J5130" s="165"/>
      <c r="K5130" s="166"/>
      <c r="L5130" s="166"/>
    </row>
    <row r="5131">
      <c r="A5131" s="163" t="s">
        <v>222</v>
      </c>
      <c r="B5131" s="163"/>
      <c r="C5131" s="163"/>
      <c r="J5131" s="165"/>
      <c r="K5131" s="166"/>
      <c r="L5131" s="166"/>
    </row>
    <row r="5132">
      <c r="A5132" s="163" t="s">
        <v>222</v>
      </c>
      <c r="B5132" s="163"/>
      <c r="C5132" s="163"/>
      <c r="J5132" s="165"/>
      <c r="K5132" s="166"/>
      <c r="L5132" s="166"/>
    </row>
    <row r="5133">
      <c r="A5133" s="163" t="s">
        <v>222</v>
      </c>
      <c r="B5133" s="163"/>
      <c r="C5133" s="163"/>
      <c r="J5133" s="165"/>
      <c r="K5133" s="166"/>
      <c r="L5133" s="166"/>
    </row>
    <row r="5134">
      <c r="A5134" s="163" t="s">
        <v>222</v>
      </c>
      <c r="B5134" s="163"/>
      <c r="C5134" s="163"/>
      <c r="J5134" s="165"/>
      <c r="K5134" s="166"/>
      <c r="L5134" s="166"/>
    </row>
    <row r="5135">
      <c r="A5135" s="163" t="s">
        <v>222</v>
      </c>
      <c r="B5135" s="163"/>
      <c r="C5135" s="163"/>
      <c r="J5135" s="165"/>
      <c r="K5135" s="166"/>
      <c r="L5135" s="166"/>
    </row>
    <row r="5136">
      <c r="A5136" s="163" t="s">
        <v>222</v>
      </c>
      <c r="B5136" s="163"/>
      <c r="C5136" s="163"/>
      <c r="J5136" s="165"/>
      <c r="K5136" s="166"/>
      <c r="L5136" s="166"/>
    </row>
    <row r="5137">
      <c r="A5137" s="163" t="s">
        <v>222</v>
      </c>
      <c r="B5137" s="163"/>
      <c r="C5137" s="163"/>
      <c r="J5137" s="165"/>
      <c r="K5137" s="166"/>
      <c r="L5137" s="166"/>
    </row>
    <row r="5138">
      <c r="A5138" s="163" t="s">
        <v>222</v>
      </c>
      <c r="B5138" s="163"/>
      <c r="C5138" s="163"/>
      <c r="J5138" s="165"/>
      <c r="K5138" s="166"/>
      <c r="L5138" s="166"/>
    </row>
    <row r="5139">
      <c r="A5139" s="163" t="s">
        <v>222</v>
      </c>
      <c r="B5139" s="163"/>
      <c r="C5139" s="163"/>
      <c r="J5139" s="165"/>
      <c r="K5139" s="166"/>
      <c r="L5139" s="166"/>
    </row>
    <row r="5140">
      <c r="A5140" s="163" t="s">
        <v>222</v>
      </c>
      <c r="B5140" s="163"/>
      <c r="C5140" s="163"/>
      <c r="J5140" s="165"/>
      <c r="K5140" s="166"/>
      <c r="L5140" s="166"/>
    </row>
    <row r="5141">
      <c r="A5141" s="163" t="s">
        <v>222</v>
      </c>
      <c r="B5141" s="163"/>
      <c r="C5141" s="163"/>
      <c r="J5141" s="165"/>
      <c r="K5141" s="166"/>
      <c r="L5141" s="166"/>
    </row>
    <row r="5142">
      <c r="A5142" s="163" t="s">
        <v>222</v>
      </c>
      <c r="B5142" s="163"/>
      <c r="C5142" s="163"/>
      <c r="J5142" s="165"/>
      <c r="K5142" s="166"/>
      <c r="L5142" s="166"/>
    </row>
    <row r="5143">
      <c r="A5143" s="163" t="s">
        <v>222</v>
      </c>
      <c r="B5143" s="163"/>
      <c r="C5143" s="163"/>
      <c r="J5143" s="165"/>
      <c r="K5143" s="166"/>
      <c r="L5143" s="166"/>
    </row>
    <row r="5144">
      <c r="A5144" s="163" t="s">
        <v>222</v>
      </c>
      <c r="B5144" s="163"/>
      <c r="C5144" s="163"/>
      <c r="J5144" s="165"/>
      <c r="K5144" s="166"/>
      <c r="L5144" s="166"/>
    </row>
    <row r="5145">
      <c r="A5145" s="163" t="s">
        <v>222</v>
      </c>
      <c r="B5145" s="163"/>
      <c r="C5145" s="163"/>
      <c r="J5145" s="165"/>
      <c r="K5145" s="166"/>
      <c r="L5145" s="166"/>
    </row>
    <row r="5146">
      <c r="A5146" s="163" t="s">
        <v>222</v>
      </c>
      <c r="B5146" s="163"/>
      <c r="C5146" s="163"/>
      <c r="J5146" s="165"/>
      <c r="K5146" s="166"/>
      <c r="L5146" s="166"/>
    </row>
    <row r="5147">
      <c r="A5147" s="163" t="s">
        <v>222</v>
      </c>
      <c r="B5147" s="163"/>
      <c r="C5147" s="163"/>
      <c r="J5147" s="165"/>
      <c r="K5147" s="166"/>
      <c r="L5147" s="166"/>
    </row>
    <row r="5148">
      <c r="A5148" s="163" t="s">
        <v>222</v>
      </c>
      <c r="B5148" s="163"/>
      <c r="C5148" s="163"/>
      <c r="J5148" s="165"/>
      <c r="K5148" s="166"/>
      <c r="L5148" s="166"/>
    </row>
    <row r="5149">
      <c r="A5149" s="163" t="s">
        <v>222</v>
      </c>
      <c r="B5149" s="163"/>
      <c r="C5149" s="163"/>
      <c r="J5149" s="165"/>
      <c r="K5149" s="166"/>
      <c r="L5149" s="166"/>
    </row>
    <row r="5150">
      <c r="A5150" s="163" t="s">
        <v>222</v>
      </c>
      <c r="B5150" s="163"/>
      <c r="C5150" s="163"/>
      <c r="J5150" s="165"/>
      <c r="K5150" s="166"/>
      <c r="L5150" s="166"/>
    </row>
    <row r="5151">
      <c r="A5151" s="163" t="s">
        <v>222</v>
      </c>
      <c r="B5151" s="163"/>
      <c r="C5151" s="163"/>
      <c r="J5151" s="165"/>
      <c r="K5151" s="166"/>
      <c r="L5151" s="166"/>
    </row>
    <row r="5152">
      <c r="A5152" s="163" t="s">
        <v>222</v>
      </c>
      <c r="B5152" s="163"/>
      <c r="C5152" s="163"/>
      <c r="J5152" s="165"/>
      <c r="K5152" s="166"/>
      <c r="L5152" s="166"/>
    </row>
    <row r="5153">
      <c r="A5153" s="163" t="s">
        <v>222</v>
      </c>
      <c r="B5153" s="163"/>
      <c r="C5153" s="163"/>
      <c r="J5153" s="165"/>
      <c r="K5153" s="166"/>
      <c r="L5153" s="166"/>
    </row>
    <row r="5154">
      <c r="A5154" s="163" t="s">
        <v>222</v>
      </c>
      <c r="B5154" s="163"/>
      <c r="C5154" s="163"/>
      <c r="J5154" s="165"/>
      <c r="K5154" s="166"/>
      <c r="L5154" s="166"/>
    </row>
    <row r="5155">
      <c r="A5155" s="163" t="s">
        <v>222</v>
      </c>
      <c r="B5155" s="163"/>
      <c r="C5155" s="163"/>
      <c r="J5155" s="165"/>
      <c r="K5155" s="166"/>
      <c r="L5155" s="166"/>
    </row>
    <row r="5156">
      <c r="A5156" s="163" t="s">
        <v>222</v>
      </c>
      <c r="B5156" s="163"/>
      <c r="C5156" s="163"/>
      <c r="J5156" s="165"/>
      <c r="K5156" s="166"/>
      <c r="L5156" s="166"/>
    </row>
    <row r="5157">
      <c r="A5157" s="163" t="s">
        <v>222</v>
      </c>
      <c r="B5157" s="163"/>
      <c r="C5157" s="163"/>
      <c r="J5157" s="165"/>
      <c r="K5157" s="166"/>
      <c r="L5157" s="166"/>
    </row>
    <row r="5158">
      <c r="A5158" s="163" t="s">
        <v>222</v>
      </c>
      <c r="B5158" s="163"/>
      <c r="C5158" s="163"/>
      <c r="J5158" s="165"/>
      <c r="K5158" s="166"/>
      <c r="L5158" s="166"/>
    </row>
    <row r="5159">
      <c r="A5159" s="163" t="s">
        <v>222</v>
      </c>
      <c r="B5159" s="163"/>
      <c r="C5159" s="163"/>
      <c r="J5159" s="165"/>
      <c r="K5159" s="166"/>
      <c r="L5159" s="166"/>
    </row>
    <row r="5160">
      <c r="A5160" s="163" t="s">
        <v>222</v>
      </c>
      <c r="B5160" s="163"/>
      <c r="C5160" s="163"/>
      <c r="J5160" s="165"/>
      <c r="K5160" s="166"/>
      <c r="L5160" s="166"/>
    </row>
    <row r="5161">
      <c r="A5161" s="163" t="s">
        <v>222</v>
      </c>
      <c r="B5161" s="163"/>
      <c r="C5161" s="163"/>
      <c r="J5161" s="165"/>
      <c r="K5161" s="166"/>
      <c r="L5161" s="166"/>
    </row>
    <row r="5162">
      <c r="A5162" s="163" t="s">
        <v>222</v>
      </c>
      <c r="B5162" s="163"/>
      <c r="C5162" s="163"/>
      <c r="J5162" s="165"/>
      <c r="K5162" s="166"/>
      <c r="L5162" s="166"/>
    </row>
    <row r="5163">
      <c r="A5163" s="163" t="s">
        <v>222</v>
      </c>
      <c r="B5163" s="163"/>
      <c r="C5163" s="163"/>
      <c r="J5163" s="165"/>
      <c r="K5163" s="166"/>
      <c r="L5163" s="166"/>
    </row>
    <row r="5164">
      <c r="A5164" s="163" t="s">
        <v>222</v>
      </c>
      <c r="B5164" s="163"/>
      <c r="C5164" s="163"/>
      <c r="J5164" s="165"/>
      <c r="K5164" s="166"/>
      <c r="L5164" s="166"/>
    </row>
    <row r="5165">
      <c r="A5165" s="163" t="s">
        <v>222</v>
      </c>
      <c r="B5165" s="163"/>
      <c r="C5165" s="163"/>
      <c r="J5165" s="165"/>
      <c r="K5165" s="166"/>
      <c r="L5165" s="166"/>
    </row>
    <row r="5166">
      <c r="A5166" s="163" t="s">
        <v>222</v>
      </c>
      <c r="B5166" s="163"/>
      <c r="C5166" s="163"/>
      <c r="J5166" s="165"/>
      <c r="K5166" s="166"/>
      <c r="L5166" s="166"/>
    </row>
    <row r="5167">
      <c r="A5167" s="163" t="s">
        <v>222</v>
      </c>
      <c r="B5167" s="163"/>
      <c r="C5167" s="163"/>
      <c r="J5167" s="165"/>
      <c r="K5167" s="166"/>
      <c r="L5167" s="166"/>
    </row>
    <row r="5168">
      <c r="A5168" s="163" t="s">
        <v>222</v>
      </c>
      <c r="B5168" s="163"/>
      <c r="C5168" s="163"/>
      <c r="J5168" s="165"/>
      <c r="K5168" s="166"/>
      <c r="L5168" s="166"/>
    </row>
    <row r="5169">
      <c r="A5169" s="163" t="s">
        <v>222</v>
      </c>
      <c r="B5169" s="163"/>
      <c r="C5169" s="163"/>
      <c r="J5169" s="165"/>
      <c r="K5169" s="166"/>
      <c r="L5169" s="166"/>
    </row>
    <row r="5170">
      <c r="A5170" s="163" t="s">
        <v>222</v>
      </c>
      <c r="B5170" s="163"/>
      <c r="C5170" s="163"/>
      <c r="J5170" s="165"/>
      <c r="K5170" s="166"/>
      <c r="L5170" s="166"/>
    </row>
    <row r="5171">
      <c r="A5171" s="163" t="s">
        <v>222</v>
      </c>
      <c r="B5171" s="163"/>
      <c r="C5171" s="163"/>
      <c r="J5171" s="165"/>
      <c r="K5171" s="166"/>
      <c r="L5171" s="166"/>
    </row>
    <row r="5172">
      <c r="A5172" s="163" t="s">
        <v>222</v>
      </c>
      <c r="B5172" s="163"/>
      <c r="C5172" s="163"/>
      <c r="J5172" s="165"/>
      <c r="K5172" s="166"/>
      <c r="L5172" s="166"/>
    </row>
    <row r="5173">
      <c r="A5173" s="163" t="s">
        <v>222</v>
      </c>
      <c r="B5173" s="163"/>
      <c r="C5173" s="163"/>
      <c r="J5173" s="165"/>
      <c r="K5173" s="166"/>
      <c r="L5173" s="166"/>
    </row>
    <row r="5174">
      <c r="A5174" s="163" t="s">
        <v>222</v>
      </c>
      <c r="B5174" s="163"/>
      <c r="C5174" s="163"/>
      <c r="J5174" s="165"/>
      <c r="K5174" s="166"/>
      <c r="L5174" s="166"/>
    </row>
    <row r="5175">
      <c r="A5175" s="163" t="s">
        <v>222</v>
      </c>
      <c r="B5175" s="163"/>
      <c r="C5175" s="163"/>
      <c r="J5175" s="165"/>
      <c r="K5175" s="166"/>
      <c r="L5175" s="166"/>
    </row>
    <row r="5176">
      <c r="A5176" s="163" t="s">
        <v>222</v>
      </c>
      <c r="B5176" s="163"/>
      <c r="C5176" s="163"/>
      <c r="J5176" s="165"/>
      <c r="K5176" s="166"/>
      <c r="L5176" s="166"/>
    </row>
    <row r="5177">
      <c r="A5177" s="163" t="s">
        <v>222</v>
      </c>
      <c r="B5177" s="163"/>
      <c r="C5177" s="163"/>
      <c r="J5177" s="165"/>
      <c r="K5177" s="166"/>
      <c r="L5177" s="166"/>
    </row>
    <row r="5178">
      <c r="A5178" s="163" t="s">
        <v>222</v>
      </c>
      <c r="B5178" s="163"/>
      <c r="C5178" s="163"/>
      <c r="J5178" s="165"/>
      <c r="K5178" s="166"/>
      <c r="L5178" s="166"/>
    </row>
    <row r="5179">
      <c r="A5179" s="163" t="s">
        <v>222</v>
      </c>
      <c r="B5179" s="163"/>
      <c r="C5179" s="163"/>
      <c r="J5179" s="165"/>
      <c r="K5179" s="166"/>
      <c r="L5179" s="166"/>
    </row>
    <row r="5180">
      <c r="A5180" s="163" t="s">
        <v>222</v>
      </c>
      <c r="B5180" s="163"/>
      <c r="C5180" s="163"/>
      <c r="J5180" s="165"/>
      <c r="K5180" s="166"/>
      <c r="L5180" s="166"/>
    </row>
    <row r="5181">
      <c r="A5181" s="163" t="s">
        <v>222</v>
      </c>
      <c r="B5181" s="163"/>
      <c r="C5181" s="163"/>
      <c r="J5181" s="165"/>
      <c r="K5181" s="166"/>
      <c r="L5181" s="166"/>
    </row>
    <row r="5182">
      <c r="A5182" s="163" t="s">
        <v>222</v>
      </c>
      <c r="B5182" s="163"/>
      <c r="C5182" s="163"/>
      <c r="J5182" s="165"/>
      <c r="K5182" s="166"/>
      <c r="L5182" s="166"/>
    </row>
    <row r="5183">
      <c r="A5183" s="163" t="s">
        <v>222</v>
      </c>
      <c r="B5183" s="163"/>
      <c r="C5183" s="163"/>
      <c r="J5183" s="165"/>
      <c r="K5183" s="166"/>
      <c r="L5183" s="166"/>
    </row>
    <row r="5184">
      <c r="A5184" s="163" t="s">
        <v>222</v>
      </c>
      <c r="B5184" s="163"/>
      <c r="C5184" s="163"/>
      <c r="J5184" s="165"/>
      <c r="K5184" s="166"/>
      <c r="L5184" s="166"/>
    </row>
    <row r="5185">
      <c r="A5185" s="163" t="s">
        <v>222</v>
      </c>
      <c r="B5185" s="163"/>
      <c r="C5185" s="163"/>
      <c r="J5185" s="165"/>
      <c r="K5185" s="166"/>
      <c r="L5185" s="166"/>
    </row>
    <row r="5186">
      <c r="A5186" s="163" t="s">
        <v>222</v>
      </c>
      <c r="B5186" s="163"/>
      <c r="C5186" s="163"/>
      <c r="J5186" s="165"/>
      <c r="K5186" s="166"/>
      <c r="L5186" s="166"/>
    </row>
    <row r="5187">
      <c r="A5187" s="163" t="s">
        <v>222</v>
      </c>
      <c r="B5187" s="163"/>
      <c r="C5187" s="163"/>
      <c r="J5187" s="165"/>
      <c r="K5187" s="166"/>
      <c r="L5187" s="166"/>
    </row>
    <row r="5188">
      <c r="A5188" s="163" t="s">
        <v>222</v>
      </c>
      <c r="B5188" s="163"/>
      <c r="C5188" s="163"/>
      <c r="J5188" s="165"/>
      <c r="K5188" s="166"/>
      <c r="L5188" s="166"/>
    </row>
    <row r="5189">
      <c r="A5189" s="163" t="s">
        <v>222</v>
      </c>
      <c r="B5189" s="163"/>
      <c r="C5189" s="163"/>
      <c r="J5189" s="165"/>
      <c r="K5189" s="166"/>
      <c r="L5189" s="166"/>
    </row>
    <row r="5190">
      <c r="A5190" s="163" t="s">
        <v>222</v>
      </c>
      <c r="B5190" s="163"/>
      <c r="C5190" s="163"/>
      <c r="J5190" s="165"/>
      <c r="K5190" s="166"/>
      <c r="L5190" s="166"/>
    </row>
    <row r="5191">
      <c r="A5191" s="163" t="s">
        <v>222</v>
      </c>
      <c r="B5191" s="163"/>
      <c r="C5191" s="163"/>
      <c r="J5191" s="165"/>
      <c r="K5191" s="166"/>
      <c r="L5191" s="166"/>
    </row>
    <row r="5192">
      <c r="A5192" s="163" t="s">
        <v>222</v>
      </c>
      <c r="B5192" s="163"/>
      <c r="C5192" s="163"/>
      <c r="J5192" s="165"/>
      <c r="K5192" s="166"/>
      <c r="L5192" s="166"/>
    </row>
    <row r="5193">
      <c r="A5193" s="163" t="s">
        <v>222</v>
      </c>
      <c r="B5193" s="163"/>
      <c r="C5193" s="163"/>
      <c r="J5193" s="165"/>
      <c r="K5193" s="166"/>
      <c r="L5193" s="166"/>
    </row>
    <row r="5194">
      <c r="A5194" s="163" t="s">
        <v>222</v>
      </c>
      <c r="B5194" s="163"/>
      <c r="C5194" s="163"/>
      <c r="J5194" s="165"/>
      <c r="K5194" s="166"/>
      <c r="L5194" s="166"/>
    </row>
    <row r="5195">
      <c r="A5195" s="163" t="s">
        <v>222</v>
      </c>
      <c r="B5195" s="163"/>
      <c r="C5195" s="163"/>
      <c r="J5195" s="165"/>
      <c r="K5195" s="166"/>
      <c r="L5195" s="166"/>
    </row>
    <row r="5196">
      <c r="A5196" s="163" t="s">
        <v>222</v>
      </c>
      <c r="B5196" s="163"/>
      <c r="C5196" s="163"/>
      <c r="J5196" s="165"/>
      <c r="K5196" s="166"/>
      <c r="L5196" s="166"/>
    </row>
    <row r="5197">
      <c r="A5197" s="163" t="s">
        <v>222</v>
      </c>
      <c r="B5197" s="163"/>
      <c r="C5197" s="163"/>
      <c r="J5197" s="165"/>
      <c r="K5197" s="166"/>
      <c r="L5197" s="166"/>
    </row>
    <row r="5198">
      <c r="A5198" s="163" t="s">
        <v>222</v>
      </c>
      <c r="B5198" s="163"/>
      <c r="C5198" s="163"/>
      <c r="J5198" s="165"/>
      <c r="K5198" s="166"/>
      <c r="L5198" s="166"/>
    </row>
    <row r="5199">
      <c r="A5199" s="163" t="s">
        <v>222</v>
      </c>
      <c r="B5199" s="163"/>
      <c r="C5199" s="163"/>
      <c r="J5199" s="165"/>
      <c r="K5199" s="166"/>
      <c r="L5199" s="166"/>
    </row>
    <row r="5200">
      <c r="A5200" s="163" t="s">
        <v>222</v>
      </c>
      <c r="B5200" s="163"/>
      <c r="C5200" s="163"/>
      <c r="J5200" s="165"/>
      <c r="K5200" s="166"/>
      <c r="L5200" s="166"/>
    </row>
    <row r="5201">
      <c r="A5201" s="163" t="s">
        <v>222</v>
      </c>
      <c r="B5201" s="163"/>
      <c r="C5201" s="163"/>
      <c r="J5201" s="165"/>
      <c r="K5201" s="166"/>
      <c r="L5201" s="166"/>
    </row>
    <row r="5202">
      <c r="A5202" s="163" t="s">
        <v>222</v>
      </c>
      <c r="B5202" s="163"/>
      <c r="C5202" s="163"/>
      <c r="J5202" s="165"/>
      <c r="K5202" s="166"/>
      <c r="L5202" s="166"/>
    </row>
    <row r="5203">
      <c r="A5203" s="163" t="s">
        <v>222</v>
      </c>
      <c r="B5203" s="163"/>
      <c r="C5203" s="163"/>
      <c r="J5203" s="165"/>
      <c r="K5203" s="166"/>
      <c r="L5203" s="166"/>
    </row>
    <row r="5204">
      <c r="A5204" s="163" t="s">
        <v>222</v>
      </c>
      <c r="B5204" s="163"/>
      <c r="C5204" s="163"/>
      <c r="J5204" s="165"/>
      <c r="K5204" s="166"/>
      <c r="L5204" s="166"/>
    </row>
    <row r="5205">
      <c r="A5205" s="163" t="s">
        <v>222</v>
      </c>
      <c r="B5205" s="163"/>
      <c r="C5205" s="163"/>
      <c r="J5205" s="165"/>
      <c r="K5205" s="166"/>
      <c r="L5205" s="166"/>
    </row>
    <row r="5206">
      <c r="A5206" s="163" t="s">
        <v>222</v>
      </c>
      <c r="B5206" s="163"/>
      <c r="C5206" s="163"/>
      <c r="J5206" s="165"/>
      <c r="K5206" s="166"/>
      <c r="L5206" s="166"/>
    </row>
    <row r="5207">
      <c r="A5207" s="163" t="s">
        <v>222</v>
      </c>
      <c r="B5207" s="163"/>
      <c r="C5207" s="163"/>
      <c r="J5207" s="165"/>
      <c r="K5207" s="166"/>
      <c r="L5207" s="166"/>
    </row>
    <row r="5208">
      <c r="A5208" s="163" t="s">
        <v>222</v>
      </c>
      <c r="B5208" s="163"/>
      <c r="C5208" s="163"/>
      <c r="J5208" s="165"/>
      <c r="K5208" s="166"/>
      <c r="L5208" s="166"/>
    </row>
    <row r="5209">
      <c r="A5209" s="163" t="s">
        <v>222</v>
      </c>
      <c r="B5209" s="163"/>
      <c r="C5209" s="163"/>
      <c r="J5209" s="165"/>
      <c r="K5209" s="166"/>
      <c r="L5209" s="166"/>
    </row>
    <row r="5210">
      <c r="A5210" s="163" t="s">
        <v>222</v>
      </c>
      <c r="B5210" s="163"/>
      <c r="C5210" s="163"/>
      <c r="J5210" s="165"/>
      <c r="K5210" s="166"/>
      <c r="L5210" s="166"/>
    </row>
    <row r="5211">
      <c r="A5211" s="163" t="s">
        <v>222</v>
      </c>
      <c r="B5211" s="163"/>
      <c r="C5211" s="163"/>
      <c r="J5211" s="165"/>
      <c r="K5211" s="166"/>
      <c r="L5211" s="166"/>
    </row>
    <row r="5212">
      <c r="A5212" s="163" t="s">
        <v>222</v>
      </c>
      <c r="B5212" s="163"/>
      <c r="C5212" s="163"/>
      <c r="J5212" s="165"/>
      <c r="K5212" s="166"/>
      <c r="L5212" s="166"/>
    </row>
    <row r="5213">
      <c r="A5213" s="163" t="s">
        <v>222</v>
      </c>
      <c r="B5213" s="163"/>
      <c r="C5213" s="163"/>
      <c r="J5213" s="165"/>
      <c r="K5213" s="166"/>
      <c r="L5213" s="166"/>
    </row>
    <row r="5214">
      <c r="A5214" s="163" t="s">
        <v>222</v>
      </c>
      <c r="B5214" s="163"/>
      <c r="C5214" s="163"/>
      <c r="J5214" s="165"/>
      <c r="K5214" s="166"/>
      <c r="L5214" s="166"/>
    </row>
    <row r="5215">
      <c r="A5215" s="163" t="s">
        <v>222</v>
      </c>
      <c r="B5215" s="163"/>
      <c r="C5215" s="163"/>
      <c r="J5215" s="165"/>
      <c r="K5215" s="166"/>
      <c r="L5215" s="166"/>
    </row>
    <row r="5216">
      <c r="A5216" s="163" t="s">
        <v>222</v>
      </c>
      <c r="B5216" s="163"/>
      <c r="C5216" s="163"/>
      <c r="J5216" s="165"/>
      <c r="K5216" s="166"/>
      <c r="L5216" s="166"/>
    </row>
    <row r="5217">
      <c r="A5217" s="163" t="s">
        <v>222</v>
      </c>
      <c r="B5217" s="163"/>
      <c r="C5217" s="163"/>
      <c r="J5217" s="165"/>
      <c r="K5217" s="166"/>
      <c r="L5217" s="166"/>
    </row>
    <row r="5218">
      <c r="A5218" s="163" t="s">
        <v>222</v>
      </c>
      <c r="B5218" s="163"/>
      <c r="C5218" s="163"/>
      <c r="J5218" s="165"/>
      <c r="K5218" s="166"/>
      <c r="L5218" s="166"/>
    </row>
    <row r="5219">
      <c r="A5219" s="163" t="s">
        <v>222</v>
      </c>
      <c r="B5219" s="163"/>
      <c r="C5219" s="163"/>
      <c r="J5219" s="165"/>
      <c r="K5219" s="166"/>
      <c r="L5219" s="166"/>
    </row>
    <row r="5220">
      <c r="A5220" s="163" t="s">
        <v>222</v>
      </c>
      <c r="B5220" s="163"/>
      <c r="C5220" s="163"/>
      <c r="J5220" s="165"/>
      <c r="K5220" s="166"/>
      <c r="L5220" s="166"/>
    </row>
    <row r="5221">
      <c r="A5221" s="163" t="s">
        <v>222</v>
      </c>
      <c r="B5221" s="163"/>
      <c r="C5221" s="163"/>
      <c r="J5221" s="165"/>
      <c r="K5221" s="166"/>
      <c r="L5221" s="166"/>
    </row>
    <row r="5222">
      <c r="A5222" s="163" t="s">
        <v>222</v>
      </c>
      <c r="B5222" s="163"/>
      <c r="C5222" s="163"/>
      <c r="J5222" s="165"/>
      <c r="K5222" s="166"/>
      <c r="L5222" s="166"/>
    </row>
    <row r="5223">
      <c r="A5223" s="163" t="s">
        <v>222</v>
      </c>
      <c r="B5223" s="163"/>
      <c r="C5223" s="163"/>
      <c r="J5223" s="165"/>
      <c r="K5223" s="166"/>
      <c r="L5223" s="166"/>
    </row>
    <row r="5224">
      <c r="A5224" s="163" t="s">
        <v>222</v>
      </c>
      <c r="B5224" s="163"/>
      <c r="C5224" s="163"/>
      <c r="J5224" s="165"/>
      <c r="K5224" s="166"/>
      <c r="L5224" s="166"/>
    </row>
    <row r="5225">
      <c r="A5225" s="163" t="s">
        <v>222</v>
      </c>
      <c r="B5225" s="163"/>
      <c r="C5225" s="163"/>
      <c r="J5225" s="165"/>
      <c r="K5225" s="166"/>
      <c r="L5225" s="166"/>
    </row>
    <row r="5226">
      <c r="A5226" s="163" t="s">
        <v>222</v>
      </c>
      <c r="B5226" s="163"/>
      <c r="C5226" s="163"/>
      <c r="J5226" s="165"/>
      <c r="K5226" s="166"/>
      <c r="L5226" s="166"/>
    </row>
    <row r="5227">
      <c r="A5227" s="163" t="s">
        <v>222</v>
      </c>
      <c r="B5227" s="163"/>
      <c r="C5227" s="163"/>
      <c r="J5227" s="165"/>
      <c r="K5227" s="166"/>
      <c r="L5227" s="166"/>
    </row>
    <row r="5228">
      <c r="A5228" s="163" t="s">
        <v>222</v>
      </c>
      <c r="B5228" s="163"/>
      <c r="C5228" s="163"/>
      <c r="J5228" s="165"/>
      <c r="K5228" s="166"/>
      <c r="L5228" s="166"/>
    </row>
    <row r="5229">
      <c r="A5229" s="163" t="s">
        <v>222</v>
      </c>
      <c r="B5229" s="163"/>
      <c r="C5229" s="163"/>
      <c r="J5229" s="165"/>
      <c r="K5229" s="166"/>
      <c r="L5229" s="166"/>
    </row>
    <row r="5230">
      <c r="A5230" s="163" t="s">
        <v>222</v>
      </c>
      <c r="B5230" s="163"/>
      <c r="C5230" s="163"/>
      <c r="J5230" s="165"/>
      <c r="K5230" s="166"/>
      <c r="L5230" s="166"/>
    </row>
    <row r="5231">
      <c r="A5231" s="163" t="s">
        <v>222</v>
      </c>
      <c r="B5231" s="163"/>
      <c r="C5231" s="163"/>
      <c r="J5231" s="165"/>
      <c r="K5231" s="166"/>
      <c r="L5231" s="166"/>
    </row>
    <row r="5232">
      <c r="A5232" s="163" t="s">
        <v>222</v>
      </c>
      <c r="B5232" s="163"/>
      <c r="C5232" s="163"/>
      <c r="J5232" s="165"/>
      <c r="K5232" s="166"/>
      <c r="L5232" s="166"/>
    </row>
    <row r="5233">
      <c r="A5233" s="163" t="s">
        <v>222</v>
      </c>
      <c r="B5233" s="163"/>
      <c r="C5233" s="163"/>
      <c r="J5233" s="165"/>
      <c r="K5233" s="166"/>
      <c r="L5233" s="166"/>
    </row>
    <row r="5234">
      <c r="A5234" s="163" t="s">
        <v>222</v>
      </c>
      <c r="B5234" s="163"/>
      <c r="C5234" s="163"/>
      <c r="J5234" s="165"/>
      <c r="K5234" s="166"/>
      <c r="L5234" s="166"/>
    </row>
    <row r="5235">
      <c r="A5235" s="163" t="s">
        <v>222</v>
      </c>
      <c r="B5235" s="163"/>
      <c r="C5235" s="163"/>
      <c r="J5235" s="165"/>
      <c r="K5235" s="166"/>
      <c r="L5235" s="166"/>
    </row>
    <row r="5236">
      <c r="A5236" s="163" t="s">
        <v>222</v>
      </c>
      <c r="B5236" s="163"/>
      <c r="C5236" s="163"/>
      <c r="J5236" s="165"/>
      <c r="K5236" s="166"/>
      <c r="L5236" s="166"/>
    </row>
    <row r="5237">
      <c r="A5237" s="163" t="s">
        <v>222</v>
      </c>
      <c r="B5237" s="163"/>
      <c r="C5237" s="163"/>
      <c r="J5237" s="165"/>
      <c r="K5237" s="166"/>
      <c r="L5237" s="166"/>
    </row>
    <row r="5238">
      <c r="A5238" s="163" t="s">
        <v>222</v>
      </c>
      <c r="B5238" s="163"/>
      <c r="C5238" s="163"/>
      <c r="J5238" s="165"/>
      <c r="K5238" s="166"/>
      <c r="L5238" s="166"/>
    </row>
    <row r="5239">
      <c r="A5239" s="163" t="s">
        <v>222</v>
      </c>
      <c r="B5239" s="163"/>
      <c r="C5239" s="163"/>
      <c r="J5239" s="165"/>
      <c r="K5239" s="166"/>
      <c r="L5239" s="166"/>
    </row>
    <row r="5240">
      <c r="A5240" s="163" t="s">
        <v>222</v>
      </c>
      <c r="B5240" s="163"/>
      <c r="C5240" s="163"/>
      <c r="J5240" s="165"/>
      <c r="K5240" s="166"/>
      <c r="L5240" s="166"/>
    </row>
    <row r="5241">
      <c r="A5241" s="163" t="s">
        <v>222</v>
      </c>
      <c r="B5241" s="163"/>
      <c r="C5241" s="163"/>
      <c r="J5241" s="165"/>
      <c r="K5241" s="166"/>
      <c r="L5241" s="166"/>
    </row>
    <row r="5242">
      <c r="A5242" s="163" t="s">
        <v>222</v>
      </c>
      <c r="B5242" s="163"/>
      <c r="C5242" s="163"/>
      <c r="J5242" s="165"/>
      <c r="K5242" s="166"/>
      <c r="L5242" s="166"/>
    </row>
    <row r="5243">
      <c r="A5243" s="163" t="s">
        <v>222</v>
      </c>
      <c r="B5243" s="163"/>
      <c r="C5243" s="163"/>
      <c r="J5243" s="165"/>
      <c r="K5243" s="166"/>
      <c r="L5243" s="166"/>
    </row>
    <row r="5244">
      <c r="A5244" s="163" t="s">
        <v>222</v>
      </c>
      <c r="B5244" s="163"/>
      <c r="C5244" s="163"/>
      <c r="J5244" s="165"/>
      <c r="K5244" s="166"/>
      <c r="L5244" s="166"/>
    </row>
    <row r="5245">
      <c r="A5245" s="163" t="s">
        <v>222</v>
      </c>
      <c r="B5245" s="163"/>
      <c r="C5245" s="163"/>
      <c r="J5245" s="165"/>
      <c r="K5245" s="166"/>
      <c r="L5245" s="166"/>
    </row>
    <row r="5246">
      <c r="A5246" s="163" t="s">
        <v>222</v>
      </c>
      <c r="B5246" s="163"/>
      <c r="C5246" s="163"/>
      <c r="J5246" s="165"/>
      <c r="K5246" s="166"/>
      <c r="L5246" s="166"/>
    </row>
    <row r="5247">
      <c r="A5247" s="163" t="s">
        <v>222</v>
      </c>
      <c r="B5247" s="163"/>
      <c r="C5247" s="163"/>
      <c r="J5247" s="165"/>
      <c r="K5247" s="166"/>
      <c r="L5247" s="166"/>
    </row>
    <row r="5248">
      <c r="A5248" s="163" t="s">
        <v>222</v>
      </c>
      <c r="B5248" s="163"/>
      <c r="C5248" s="163"/>
      <c r="J5248" s="165"/>
      <c r="K5248" s="166"/>
      <c r="L5248" s="166"/>
    </row>
    <row r="5249">
      <c r="A5249" s="163" t="s">
        <v>222</v>
      </c>
      <c r="B5249" s="163"/>
      <c r="C5249" s="163"/>
      <c r="J5249" s="165"/>
      <c r="K5249" s="166"/>
      <c r="L5249" s="166"/>
    </row>
    <row r="5250">
      <c r="A5250" s="163" t="s">
        <v>222</v>
      </c>
      <c r="B5250" s="163"/>
      <c r="C5250" s="163"/>
      <c r="J5250" s="165"/>
      <c r="K5250" s="166"/>
      <c r="L5250" s="166"/>
    </row>
    <row r="5251">
      <c r="A5251" s="163" t="s">
        <v>222</v>
      </c>
      <c r="B5251" s="163"/>
      <c r="C5251" s="163"/>
      <c r="J5251" s="165"/>
      <c r="K5251" s="166"/>
      <c r="L5251" s="166"/>
    </row>
    <row r="5252">
      <c r="A5252" s="163" t="s">
        <v>222</v>
      </c>
      <c r="B5252" s="163"/>
      <c r="C5252" s="163"/>
      <c r="J5252" s="165"/>
      <c r="K5252" s="166"/>
      <c r="L5252" s="166"/>
    </row>
    <row r="5253">
      <c r="A5253" s="163" t="s">
        <v>222</v>
      </c>
      <c r="B5253" s="163"/>
      <c r="C5253" s="163"/>
      <c r="J5253" s="165"/>
      <c r="K5253" s="166"/>
      <c r="L5253" s="166"/>
    </row>
    <row r="5254">
      <c r="A5254" s="163" t="s">
        <v>222</v>
      </c>
      <c r="B5254" s="163"/>
      <c r="C5254" s="163"/>
      <c r="J5254" s="165"/>
      <c r="K5254" s="166"/>
      <c r="L5254" s="166"/>
    </row>
    <row r="5255">
      <c r="A5255" s="163" t="s">
        <v>222</v>
      </c>
      <c r="B5255" s="163"/>
      <c r="C5255" s="163"/>
      <c r="J5255" s="165"/>
      <c r="K5255" s="166"/>
      <c r="L5255" s="166"/>
    </row>
    <row r="5256">
      <c r="A5256" s="163" t="s">
        <v>222</v>
      </c>
      <c r="B5256" s="163"/>
      <c r="C5256" s="163"/>
      <c r="J5256" s="165"/>
      <c r="K5256" s="166"/>
      <c r="L5256" s="166"/>
    </row>
    <row r="5257">
      <c r="A5257" s="163" t="s">
        <v>222</v>
      </c>
      <c r="B5257" s="163"/>
      <c r="C5257" s="163"/>
      <c r="J5257" s="165"/>
      <c r="K5257" s="166"/>
      <c r="L5257" s="166"/>
    </row>
    <row r="5258">
      <c r="A5258" s="163" t="s">
        <v>222</v>
      </c>
      <c r="B5258" s="163"/>
      <c r="C5258" s="163"/>
      <c r="J5258" s="165"/>
      <c r="K5258" s="166"/>
      <c r="L5258" s="166"/>
    </row>
    <row r="5259">
      <c r="A5259" s="163" t="s">
        <v>222</v>
      </c>
      <c r="B5259" s="163"/>
      <c r="C5259" s="163"/>
      <c r="J5259" s="165"/>
      <c r="K5259" s="166"/>
      <c r="L5259" s="166"/>
    </row>
    <row r="5260">
      <c r="A5260" s="163" t="s">
        <v>222</v>
      </c>
      <c r="B5260" s="163"/>
      <c r="C5260" s="163"/>
      <c r="J5260" s="165"/>
      <c r="K5260" s="166"/>
      <c r="L5260" s="166"/>
    </row>
    <row r="5261">
      <c r="A5261" s="163" t="s">
        <v>222</v>
      </c>
      <c r="B5261" s="163"/>
      <c r="C5261" s="163"/>
      <c r="J5261" s="165"/>
      <c r="K5261" s="166"/>
      <c r="L5261" s="166"/>
    </row>
    <row r="5262">
      <c r="A5262" s="163" t="s">
        <v>222</v>
      </c>
      <c r="B5262" s="163"/>
      <c r="C5262" s="163"/>
      <c r="J5262" s="165"/>
      <c r="K5262" s="166"/>
      <c r="L5262" s="166"/>
    </row>
    <row r="5263">
      <c r="A5263" s="163" t="s">
        <v>222</v>
      </c>
      <c r="B5263" s="163"/>
      <c r="C5263" s="163"/>
      <c r="J5263" s="165"/>
      <c r="K5263" s="166"/>
      <c r="L5263" s="166"/>
    </row>
    <row r="5264">
      <c r="A5264" s="163" t="s">
        <v>222</v>
      </c>
      <c r="B5264" s="163"/>
      <c r="C5264" s="163"/>
      <c r="J5264" s="165"/>
      <c r="K5264" s="166"/>
      <c r="L5264" s="166"/>
    </row>
    <row r="5265">
      <c r="A5265" s="163" t="s">
        <v>222</v>
      </c>
      <c r="B5265" s="163"/>
      <c r="C5265" s="163"/>
      <c r="J5265" s="165"/>
      <c r="K5265" s="166"/>
      <c r="L5265" s="166"/>
    </row>
    <row r="5266">
      <c r="A5266" s="163" t="s">
        <v>222</v>
      </c>
      <c r="B5266" s="163"/>
      <c r="C5266" s="163"/>
      <c r="J5266" s="165"/>
      <c r="K5266" s="166"/>
      <c r="L5266" s="166"/>
    </row>
    <row r="5267">
      <c r="A5267" s="163" t="s">
        <v>222</v>
      </c>
      <c r="B5267" s="163"/>
      <c r="C5267" s="163"/>
      <c r="J5267" s="165"/>
      <c r="K5267" s="166"/>
      <c r="L5267" s="166"/>
    </row>
    <row r="5268">
      <c r="A5268" s="163" t="s">
        <v>222</v>
      </c>
      <c r="B5268" s="163"/>
      <c r="C5268" s="163"/>
      <c r="J5268" s="165"/>
      <c r="K5268" s="166"/>
      <c r="L5268" s="166"/>
    </row>
    <row r="5269">
      <c r="A5269" s="163" t="s">
        <v>222</v>
      </c>
      <c r="B5269" s="163"/>
      <c r="C5269" s="163"/>
      <c r="J5269" s="165"/>
      <c r="K5269" s="166"/>
      <c r="L5269" s="166"/>
    </row>
    <row r="5270">
      <c r="A5270" s="163" t="s">
        <v>222</v>
      </c>
      <c r="B5270" s="163"/>
      <c r="C5270" s="163"/>
      <c r="J5270" s="165"/>
      <c r="K5270" s="166"/>
      <c r="L5270" s="166"/>
    </row>
    <row r="5271">
      <c r="A5271" s="163" t="s">
        <v>222</v>
      </c>
      <c r="B5271" s="163"/>
      <c r="C5271" s="163"/>
      <c r="J5271" s="165"/>
      <c r="K5271" s="166"/>
      <c r="L5271" s="166"/>
    </row>
    <row r="5272">
      <c r="A5272" s="163" t="s">
        <v>222</v>
      </c>
      <c r="B5272" s="163"/>
      <c r="C5272" s="163"/>
      <c r="J5272" s="165"/>
      <c r="K5272" s="166"/>
      <c r="L5272" s="166"/>
    </row>
    <row r="5273">
      <c r="A5273" s="163" t="s">
        <v>222</v>
      </c>
      <c r="B5273" s="163"/>
      <c r="C5273" s="163"/>
      <c r="J5273" s="165"/>
      <c r="K5273" s="166"/>
      <c r="L5273" s="166"/>
    </row>
    <row r="5274">
      <c r="A5274" s="163" t="s">
        <v>222</v>
      </c>
      <c r="B5274" s="163"/>
      <c r="C5274" s="163"/>
      <c r="J5274" s="165"/>
      <c r="K5274" s="166"/>
      <c r="L5274" s="166"/>
    </row>
    <row r="5275">
      <c r="A5275" s="163" t="s">
        <v>222</v>
      </c>
      <c r="B5275" s="163"/>
      <c r="C5275" s="163"/>
      <c r="J5275" s="165"/>
      <c r="K5275" s="166"/>
      <c r="L5275" s="166"/>
    </row>
    <row r="5276">
      <c r="A5276" s="163" t="s">
        <v>222</v>
      </c>
      <c r="B5276" s="163"/>
      <c r="C5276" s="163"/>
      <c r="J5276" s="165"/>
      <c r="K5276" s="166"/>
      <c r="L5276" s="166"/>
    </row>
    <row r="5277">
      <c r="A5277" s="163" t="s">
        <v>222</v>
      </c>
      <c r="B5277" s="163"/>
      <c r="C5277" s="163"/>
      <c r="J5277" s="165"/>
      <c r="K5277" s="166"/>
      <c r="L5277" s="166"/>
    </row>
    <row r="5278">
      <c r="A5278" s="163" t="s">
        <v>222</v>
      </c>
      <c r="B5278" s="163"/>
      <c r="C5278" s="163"/>
      <c r="J5278" s="165"/>
      <c r="K5278" s="166"/>
      <c r="L5278" s="166"/>
    </row>
    <row r="5279">
      <c r="A5279" s="163" t="s">
        <v>222</v>
      </c>
      <c r="B5279" s="163"/>
      <c r="C5279" s="163"/>
      <c r="J5279" s="165"/>
      <c r="K5279" s="166"/>
      <c r="L5279" s="166"/>
    </row>
    <row r="5280">
      <c r="A5280" s="163" t="s">
        <v>222</v>
      </c>
      <c r="B5280" s="163"/>
      <c r="C5280" s="163"/>
      <c r="J5280" s="165"/>
      <c r="K5280" s="166"/>
      <c r="L5280" s="166"/>
    </row>
    <row r="5281">
      <c r="A5281" s="163" t="s">
        <v>222</v>
      </c>
      <c r="B5281" s="163"/>
      <c r="C5281" s="163"/>
      <c r="J5281" s="165"/>
      <c r="K5281" s="166"/>
      <c r="L5281" s="166"/>
    </row>
    <row r="5282">
      <c r="A5282" s="163" t="s">
        <v>222</v>
      </c>
      <c r="B5282" s="163"/>
      <c r="C5282" s="163"/>
      <c r="J5282" s="165"/>
      <c r="K5282" s="166"/>
      <c r="L5282" s="166"/>
    </row>
    <row r="5283">
      <c r="A5283" s="163" t="s">
        <v>222</v>
      </c>
      <c r="B5283" s="163"/>
      <c r="C5283" s="163"/>
      <c r="J5283" s="165"/>
      <c r="K5283" s="166"/>
      <c r="L5283" s="166"/>
    </row>
    <row r="5284">
      <c r="A5284" s="163" t="s">
        <v>222</v>
      </c>
      <c r="B5284" s="163"/>
      <c r="C5284" s="163"/>
      <c r="J5284" s="165"/>
      <c r="K5284" s="166"/>
      <c r="L5284" s="166"/>
    </row>
    <row r="5285">
      <c r="A5285" s="163" t="s">
        <v>222</v>
      </c>
      <c r="B5285" s="163"/>
      <c r="C5285" s="163"/>
      <c r="J5285" s="165"/>
      <c r="K5285" s="166"/>
      <c r="L5285" s="166"/>
    </row>
    <row r="5286">
      <c r="A5286" s="163" t="s">
        <v>222</v>
      </c>
      <c r="B5286" s="163"/>
      <c r="C5286" s="163"/>
      <c r="J5286" s="165"/>
      <c r="K5286" s="166"/>
      <c r="L5286" s="166"/>
    </row>
    <row r="5287">
      <c r="A5287" s="163" t="s">
        <v>222</v>
      </c>
      <c r="B5287" s="163"/>
      <c r="C5287" s="163"/>
      <c r="J5287" s="165"/>
      <c r="K5287" s="166"/>
      <c r="L5287" s="166"/>
    </row>
    <row r="5288">
      <c r="A5288" s="163" t="s">
        <v>222</v>
      </c>
      <c r="B5288" s="163"/>
      <c r="C5288" s="163"/>
      <c r="J5288" s="165"/>
      <c r="K5288" s="166"/>
      <c r="L5288" s="166"/>
    </row>
    <row r="5289">
      <c r="A5289" s="163" t="s">
        <v>222</v>
      </c>
      <c r="B5289" s="163"/>
      <c r="C5289" s="163"/>
      <c r="J5289" s="165"/>
      <c r="K5289" s="166"/>
      <c r="L5289" s="166"/>
    </row>
    <row r="5290">
      <c r="A5290" s="163" t="s">
        <v>222</v>
      </c>
      <c r="B5290" s="163"/>
      <c r="C5290" s="163"/>
      <c r="J5290" s="165"/>
      <c r="K5290" s="166"/>
      <c r="L5290" s="166"/>
    </row>
    <row r="5291">
      <c r="A5291" s="163" t="s">
        <v>222</v>
      </c>
      <c r="B5291" s="163"/>
      <c r="C5291" s="163"/>
      <c r="J5291" s="165"/>
      <c r="K5291" s="166"/>
      <c r="L5291" s="166"/>
    </row>
    <row r="5292">
      <c r="A5292" s="163" t="s">
        <v>222</v>
      </c>
      <c r="B5292" s="163"/>
      <c r="C5292" s="163"/>
      <c r="J5292" s="165"/>
      <c r="K5292" s="166"/>
      <c r="L5292" s="166"/>
    </row>
    <row r="5293">
      <c r="A5293" s="163" t="s">
        <v>222</v>
      </c>
      <c r="B5293" s="163"/>
      <c r="C5293" s="163"/>
      <c r="J5293" s="165"/>
      <c r="K5293" s="166"/>
      <c r="L5293" s="166"/>
    </row>
    <row r="5294">
      <c r="A5294" s="163" t="s">
        <v>222</v>
      </c>
      <c r="B5294" s="163"/>
      <c r="C5294" s="163"/>
      <c r="J5294" s="165"/>
      <c r="K5294" s="166"/>
      <c r="L5294" s="166"/>
    </row>
    <row r="5295">
      <c r="A5295" s="163" t="s">
        <v>222</v>
      </c>
      <c r="B5295" s="163"/>
      <c r="C5295" s="163"/>
      <c r="J5295" s="165"/>
      <c r="K5295" s="166"/>
      <c r="L5295" s="166"/>
    </row>
    <row r="5296">
      <c r="A5296" s="163" t="s">
        <v>222</v>
      </c>
      <c r="B5296" s="163"/>
      <c r="C5296" s="163"/>
      <c r="J5296" s="165"/>
      <c r="K5296" s="166"/>
      <c r="L5296" s="166"/>
    </row>
    <row r="5297">
      <c r="A5297" s="163" t="s">
        <v>222</v>
      </c>
      <c r="B5297" s="163"/>
      <c r="C5297" s="163"/>
      <c r="J5297" s="165"/>
      <c r="K5297" s="166"/>
      <c r="L5297" s="166"/>
    </row>
    <row r="5298">
      <c r="A5298" s="163" t="s">
        <v>222</v>
      </c>
      <c r="B5298" s="163"/>
      <c r="C5298" s="163"/>
      <c r="J5298" s="165"/>
      <c r="K5298" s="166"/>
      <c r="L5298" s="166"/>
    </row>
    <row r="5299">
      <c r="A5299" s="163" t="s">
        <v>222</v>
      </c>
      <c r="B5299" s="163"/>
      <c r="C5299" s="163"/>
      <c r="J5299" s="165"/>
      <c r="K5299" s="166"/>
      <c r="L5299" s="166"/>
    </row>
    <row r="5300">
      <c r="A5300" s="163" t="s">
        <v>222</v>
      </c>
      <c r="B5300" s="163"/>
      <c r="C5300" s="163"/>
      <c r="J5300" s="165"/>
      <c r="K5300" s="166"/>
      <c r="L5300" s="166"/>
    </row>
    <row r="5301">
      <c r="A5301" s="163" t="s">
        <v>222</v>
      </c>
      <c r="B5301" s="163"/>
      <c r="C5301" s="163"/>
      <c r="J5301" s="165"/>
      <c r="K5301" s="166"/>
      <c r="L5301" s="166"/>
    </row>
    <row r="5302">
      <c r="A5302" s="163" t="s">
        <v>222</v>
      </c>
      <c r="B5302" s="163"/>
      <c r="C5302" s="163"/>
      <c r="J5302" s="165"/>
      <c r="K5302" s="166"/>
      <c r="L5302" s="166"/>
    </row>
    <row r="5303">
      <c r="A5303" s="163" t="s">
        <v>222</v>
      </c>
      <c r="B5303" s="163"/>
      <c r="C5303" s="163"/>
      <c r="J5303" s="165"/>
      <c r="K5303" s="166"/>
      <c r="L5303" s="166"/>
    </row>
    <row r="5304">
      <c r="A5304" s="163" t="s">
        <v>222</v>
      </c>
      <c r="B5304" s="163"/>
      <c r="C5304" s="163"/>
      <c r="J5304" s="165"/>
      <c r="K5304" s="166"/>
      <c r="L5304" s="166"/>
    </row>
    <row r="5305">
      <c r="A5305" s="163" t="s">
        <v>222</v>
      </c>
      <c r="B5305" s="163"/>
      <c r="C5305" s="163"/>
      <c r="J5305" s="165"/>
      <c r="K5305" s="166"/>
      <c r="L5305" s="166"/>
    </row>
    <row r="5306">
      <c r="A5306" s="163" t="s">
        <v>222</v>
      </c>
      <c r="B5306" s="163"/>
      <c r="C5306" s="163"/>
      <c r="J5306" s="165"/>
      <c r="K5306" s="166"/>
      <c r="L5306" s="166"/>
    </row>
    <row r="5307">
      <c r="A5307" s="163" t="s">
        <v>222</v>
      </c>
      <c r="B5307" s="163"/>
      <c r="C5307" s="163"/>
      <c r="J5307" s="165"/>
      <c r="K5307" s="166"/>
      <c r="L5307" s="166"/>
    </row>
    <row r="5308">
      <c r="A5308" s="163" t="s">
        <v>222</v>
      </c>
      <c r="B5308" s="163"/>
      <c r="C5308" s="163"/>
      <c r="J5308" s="165"/>
      <c r="K5308" s="166"/>
      <c r="L5308" s="166"/>
    </row>
    <row r="5309">
      <c r="A5309" s="163" t="s">
        <v>222</v>
      </c>
      <c r="B5309" s="163"/>
      <c r="C5309" s="163"/>
      <c r="J5309" s="165"/>
      <c r="K5309" s="166"/>
      <c r="L5309" s="166"/>
    </row>
    <row r="5310">
      <c r="A5310" s="163" t="s">
        <v>222</v>
      </c>
      <c r="B5310" s="163"/>
      <c r="C5310" s="163"/>
      <c r="J5310" s="165"/>
      <c r="K5310" s="166"/>
      <c r="L5310" s="166"/>
    </row>
    <row r="5311">
      <c r="A5311" s="163" t="s">
        <v>222</v>
      </c>
      <c r="B5311" s="163"/>
      <c r="C5311" s="163"/>
      <c r="J5311" s="165"/>
      <c r="K5311" s="166"/>
      <c r="L5311" s="166"/>
    </row>
    <row r="5312">
      <c r="A5312" s="163" t="s">
        <v>222</v>
      </c>
      <c r="B5312" s="163"/>
      <c r="C5312" s="163"/>
      <c r="J5312" s="165"/>
      <c r="K5312" s="166"/>
      <c r="L5312" s="166"/>
    </row>
    <row r="5313">
      <c r="A5313" s="163" t="s">
        <v>222</v>
      </c>
      <c r="B5313" s="163"/>
      <c r="C5313" s="163"/>
      <c r="J5313" s="165"/>
      <c r="K5313" s="166"/>
      <c r="L5313" s="166"/>
    </row>
    <row r="5314">
      <c r="A5314" s="163" t="s">
        <v>222</v>
      </c>
      <c r="B5314" s="163"/>
      <c r="C5314" s="163"/>
      <c r="J5314" s="165"/>
      <c r="K5314" s="166"/>
      <c r="L5314" s="166"/>
    </row>
    <row r="5315">
      <c r="A5315" s="163" t="s">
        <v>222</v>
      </c>
      <c r="B5315" s="163"/>
      <c r="C5315" s="163"/>
      <c r="J5315" s="165"/>
      <c r="K5315" s="166"/>
      <c r="L5315" s="166"/>
    </row>
    <row r="5316">
      <c r="A5316" s="163" t="s">
        <v>222</v>
      </c>
      <c r="B5316" s="163"/>
      <c r="C5316" s="163"/>
      <c r="J5316" s="165"/>
      <c r="K5316" s="166"/>
      <c r="L5316" s="166"/>
    </row>
    <row r="5317">
      <c r="A5317" s="163" t="s">
        <v>222</v>
      </c>
      <c r="B5317" s="163"/>
      <c r="C5317" s="163"/>
      <c r="J5317" s="165"/>
      <c r="K5317" s="166"/>
      <c r="L5317" s="166"/>
    </row>
    <row r="5318">
      <c r="A5318" s="163" t="s">
        <v>222</v>
      </c>
      <c r="B5318" s="163"/>
      <c r="C5318" s="163"/>
      <c r="J5318" s="165"/>
      <c r="K5318" s="166"/>
      <c r="L5318" s="166"/>
    </row>
    <row r="5319">
      <c r="A5319" s="163" t="s">
        <v>222</v>
      </c>
      <c r="B5319" s="163"/>
      <c r="C5319" s="163"/>
      <c r="J5319" s="165"/>
      <c r="K5319" s="166"/>
      <c r="L5319" s="166"/>
    </row>
    <row r="5320">
      <c r="A5320" s="163" t="s">
        <v>222</v>
      </c>
      <c r="B5320" s="163"/>
      <c r="C5320" s="163"/>
      <c r="J5320" s="165"/>
      <c r="K5320" s="166"/>
      <c r="L5320" s="166"/>
    </row>
    <row r="5321">
      <c r="A5321" s="163" t="s">
        <v>222</v>
      </c>
      <c r="B5321" s="163"/>
      <c r="C5321" s="163"/>
      <c r="J5321" s="165"/>
      <c r="K5321" s="166"/>
      <c r="L5321" s="166"/>
    </row>
    <row r="5322">
      <c r="A5322" s="163" t="s">
        <v>222</v>
      </c>
      <c r="B5322" s="163"/>
      <c r="C5322" s="163"/>
      <c r="J5322" s="165"/>
      <c r="K5322" s="166"/>
      <c r="L5322" s="166"/>
    </row>
    <row r="5323">
      <c r="A5323" s="163" t="s">
        <v>222</v>
      </c>
      <c r="B5323" s="163"/>
      <c r="C5323" s="163"/>
      <c r="J5323" s="165"/>
      <c r="K5323" s="166"/>
      <c r="L5323" s="166"/>
    </row>
    <row r="5324">
      <c r="A5324" s="163" t="s">
        <v>222</v>
      </c>
      <c r="B5324" s="163"/>
      <c r="C5324" s="163"/>
      <c r="J5324" s="165"/>
      <c r="K5324" s="166"/>
      <c r="L5324" s="166"/>
    </row>
    <row r="5325">
      <c r="A5325" s="163" t="s">
        <v>222</v>
      </c>
      <c r="B5325" s="163"/>
      <c r="C5325" s="163"/>
      <c r="J5325" s="165"/>
      <c r="K5325" s="166"/>
      <c r="L5325" s="166"/>
    </row>
    <row r="5326">
      <c r="A5326" s="163" t="s">
        <v>222</v>
      </c>
      <c r="B5326" s="163"/>
      <c r="C5326" s="163"/>
      <c r="J5326" s="165"/>
      <c r="K5326" s="166"/>
      <c r="L5326" s="166"/>
    </row>
    <row r="5327">
      <c r="A5327" s="163" t="s">
        <v>222</v>
      </c>
      <c r="B5327" s="163"/>
      <c r="C5327" s="163"/>
      <c r="J5327" s="165"/>
      <c r="K5327" s="166"/>
      <c r="L5327" s="166"/>
    </row>
    <row r="5328">
      <c r="A5328" s="163" t="s">
        <v>222</v>
      </c>
      <c r="B5328" s="163"/>
      <c r="C5328" s="163"/>
      <c r="J5328" s="165"/>
      <c r="K5328" s="166"/>
      <c r="L5328" s="166"/>
    </row>
    <row r="5329">
      <c r="A5329" s="163" t="s">
        <v>222</v>
      </c>
      <c r="B5329" s="163"/>
      <c r="C5329" s="163"/>
      <c r="J5329" s="165"/>
      <c r="K5329" s="166"/>
      <c r="L5329" s="166"/>
    </row>
    <row r="5330">
      <c r="A5330" s="163" t="s">
        <v>222</v>
      </c>
      <c r="B5330" s="163"/>
      <c r="C5330" s="163"/>
      <c r="J5330" s="165"/>
      <c r="K5330" s="166"/>
      <c r="L5330" s="166"/>
    </row>
    <row r="5331">
      <c r="A5331" s="163" t="s">
        <v>222</v>
      </c>
      <c r="B5331" s="163"/>
      <c r="C5331" s="163"/>
      <c r="J5331" s="165"/>
      <c r="K5331" s="166"/>
      <c r="L5331" s="166"/>
    </row>
    <row r="5332">
      <c r="A5332" s="163" t="s">
        <v>222</v>
      </c>
      <c r="B5332" s="163"/>
      <c r="C5332" s="163"/>
      <c r="J5332" s="165"/>
      <c r="K5332" s="166"/>
      <c r="L5332" s="166"/>
    </row>
    <row r="5333">
      <c r="A5333" s="163" t="s">
        <v>222</v>
      </c>
      <c r="B5333" s="163"/>
      <c r="C5333" s="163"/>
      <c r="J5333" s="165"/>
      <c r="K5333" s="166"/>
      <c r="L5333" s="166"/>
    </row>
    <row r="5334">
      <c r="A5334" s="163" t="s">
        <v>222</v>
      </c>
      <c r="B5334" s="163"/>
      <c r="C5334" s="163"/>
      <c r="J5334" s="165"/>
      <c r="K5334" s="166"/>
      <c r="L5334" s="166"/>
    </row>
    <row r="5335">
      <c r="A5335" s="163" t="s">
        <v>222</v>
      </c>
      <c r="B5335" s="163"/>
      <c r="C5335" s="163"/>
      <c r="J5335" s="165"/>
      <c r="K5335" s="166"/>
      <c r="L5335" s="166"/>
    </row>
    <row r="5336">
      <c r="A5336" s="163" t="s">
        <v>222</v>
      </c>
      <c r="B5336" s="163"/>
      <c r="C5336" s="163"/>
      <c r="J5336" s="165"/>
      <c r="K5336" s="166"/>
      <c r="L5336" s="166"/>
    </row>
    <row r="5337">
      <c r="A5337" s="163" t="s">
        <v>222</v>
      </c>
      <c r="B5337" s="163"/>
      <c r="C5337" s="163"/>
      <c r="J5337" s="165"/>
      <c r="K5337" s="166"/>
      <c r="L5337" s="166"/>
    </row>
    <row r="5338">
      <c r="A5338" s="163" t="s">
        <v>222</v>
      </c>
      <c r="B5338" s="163"/>
      <c r="C5338" s="163"/>
      <c r="J5338" s="165"/>
      <c r="K5338" s="166"/>
      <c r="L5338" s="166"/>
    </row>
    <row r="5339">
      <c r="A5339" s="163" t="s">
        <v>222</v>
      </c>
      <c r="B5339" s="163"/>
      <c r="C5339" s="163"/>
      <c r="J5339" s="165"/>
      <c r="K5339" s="166"/>
      <c r="L5339" s="166"/>
    </row>
    <row r="5340">
      <c r="A5340" s="163" t="s">
        <v>222</v>
      </c>
      <c r="B5340" s="163"/>
      <c r="C5340" s="163"/>
      <c r="J5340" s="165"/>
      <c r="K5340" s="166"/>
      <c r="L5340" s="166"/>
    </row>
    <row r="5341">
      <c r="A5341" s="163" t="s">
        <v>222</v>
      </c>
      <c r="B5341" s="163"/>
      <c r="C5341" s="163"/>
      <c r="J5341" s="165"/>
      <c r="K5341" s="166"/>
      <c r="L5341" s="166"/>
    </row>
    <row r="5342">
      <c r="A5342" s="163" t="s">
        <v>222</v>
      </c>
      <c r="B5342" s="163"/>
      <c r="C5342" s="163"/>
      <c r="J5342" s="165"/>
      <c r="K5342" s="166"/>
      <c r="L5342" s="166"/>
    </row>
    <row r="5343">
      <c r="A5343" s="163" t="s">
        <v>222</v>
      </c>
      <c r="B5343" s="163"/>
      <c r="C5343" s="163"/>
      <c r="J5343" s="165"/>
      <c r="K5343" s="166"/>
      <c r="L5343" s="166"/>
    </row>
    <row r="5344">
      <c r="A5344" s="163" t="s">
        <v>222</v>
      </c>
      <c r="B5344" s="163"/>
      <c r="C5344" s="163"/>
      <c r="J5344" s="165"/>
      <c r="K5344" s="166"/>
      <c r="L5344" s="166"/>
    </row>
    <row r="5345">
      <c r="A5345" s="163" t="s">
        <v>222</v>
      </c>
      <c r="B5345" s="163"/>
      <c r="C5345" s="163"/>
      <c r="J5345" s="165"/>
      <c r="K5345" s="166"/>
      <c r="L5345" s="166"/>
    </row>
    <row r="5346">
      <c r="A5346" s="163" t="s">
        <v>222</v>
      </c>
      <c r="B5346" s="163"/>
      <c r="C5346" s="163"/>
      <c r="J5346" s="165"/>
      <c r="K5346" s="166"/>
      <c r="L5346" s="166"/>
    </row>
    <row r="5347">
      <c r="A5347" s="163" t="s">
        <v>222</v>
      </c>
      <c r="B5347" s="163"/>
      <c r="C5347" s="163"/>
      <c r="J5347" s="165"/>
      <c r="K5347" s="166"/>
      <c r="L5347" s="166"/>
    </row>
    <row r="5348">
      <c r="A5348" s="163" t="s">
        <v>222</v>
      </c>
      <c r="B5348" s="163"/>
      <c r="C5348" s="163"/>
      <c r="J5348" s="165"/>
      <c r="K5348" s="166"/>
      <c r="L5348" s="166"/>
    </row>
    <row r="5349">
      <c r="A5349" s="163" t="s">
        <v>222</v>
      </c>
      <c r="B5349" s="163"/>
      <c r="C5349" s="163"/>
      <c r="J5349" s="165"/>
      <c r="K5349" s="166"/>
      <c r="L5349" s="166"/>
    </row>
    <row r="5350">
      <c r="A5350" s="163" t="s">
        <v>222</v>
      </c>
      <c r="B5350" s="163"/>
      <c r="C5350" s="163"/>
      <c r="J5350" s="165"/>
      <c r="K5350" s="166"/>
      <c r="L5350" s="166"/>
    </row>
    <row r="5351">
      <c r="A5351" s="163" t="s">
        <v>222</v>
      </c>
      <c r="B5351" s="163"/>
      <c r="C5351" s="163"/>
      <c r="J5351" s="165"/>
      <c r="K5351" s="166"/>
      <c r="L5351" s="166"/>
    </row>
    <row r="5352">
      <c r="A5352" s="163" t="s">
        <v>222</v>
      </c>
      <c r="B5352" s="163"/>
      <c r="C5352" s="163"/>
      <c r="J5352" s="165"/>
      <c r="K5352" s="166"/>
      <c r="L5352" s="166"/>
    </row>
    <row r="5353">
      <c r="A5353" s="163" t="s">
        <v>222</v>
      </c>
      <c r="B5353" s="163"/>
      <c r="C5353" s="163"/>
      <c r="J5353" s="165"/>
      <c r="K5353" s="166"/>
      <c r="L5353" s="166"/>
    </row>
    <row r="5354">
      <c r="A5354" s="163" t="s">
        <v>222</v>
      </c>
      <c r="B5354" s="163"/>
      <c r="C5354" s="163"/>
      <c r="J5354" s="165"/>
      <c r="K5354" s="166"/>
      <c r="L5354" s="166"/>
    </row>
    <row r="5355">
      <c r="A5355" s="163" t="s">
        <v>222</v>
      </c>
      <c r="B5355" s="163"/>
      <c r="C5355" s="163"/>
      <c r="J5355" s="165"/>
      <c r="K5355" s="166"/>
      <c r="L5355" s="166"/>
    </row>
    <row r="5356">
      <c r="A5356" s="163" t="s">
        <v>222</v>
      </c>
      <c r="B5356" s="163"/>
      <c r="C5356" s="163"/>
      <c r="J5356" s="165"/>
      <c r="K5356" s="166"/>
      <c r="L5356" s="166"/>
    </row>
    <row r="5357">
      <c r="A5357" s="163" t="s">
        <v>222</v>
      </c>
      <c r="B5357" s="163"/>
      <c r="C5357" s="163"/>
      <c r="J5357" s="165"/>
      <c r="K5357" s="166"/>
      <c r="L5357" s="166"/>
    </row>
    <row r="5358">
      <c r="A5358" s="163" t="s">
        <v>222</v>
      </c>
      <c r="B5358" s="163"/>
      <c r="C5358" s="163"/>
      <c r="J5358" s="165"/>
      <c r="K5358" s="166"/>
      <c r="L5358" s="166"/>
    </row>
    <row r="5359">
      <c r="A5359" s="163" t="s">
        <v>222</v>
      </c>
      <c r="B5359" s="163"/>
      <c r="C5359" s="163"/>
      <c r="J5359" s="165"/>
      <c r="K5359" s="166"/>
      <c r="L5359" s="166"/>
    </row>
    <row r="5360">
      <c r="A5360" s="163" t="s">
        <v>222</v>
      </c>
      <c r="B5360" s="163"/>
      <c r="C5360" s="163"/>
      <c r="J5360" s="165"/>
      <c r="K5360" s="166"/>
      <c r="L5360" s="166"/>
    </row>
    <row r="5361">
      <c r="A5361" s="163" t="s">
        <v>222</v>
      </c>
      <c r="B5361" s="163"/>
      <c r="C5361" s="163"/>
      <c r="J5361" s="165"/>
      <c r="K5361" s="166"/>
      <c r="L5361" s="166"/>
    </row>
    <row r="5362">
      <c r="A5362" s="163" t="s">
        <v>222</v>
      </c>
      <c r="B5362" s="163"/>
      <c r="C5362" s="163"/>
      <c r="J5362" s="165"/>
      <c r="K5362" s="166"/>
      <c r="L5362" s="166"/>
    </row>
    <row r="5363">
      <c r="A5363" s="163" t="s">
        <v>222</v>
      </c>
      <c r="B5363" s="163"/>
      <c r="C5363" s="163"/>
      <c r="J5363" s="165"/>
      <c r="K5363" s="166"/>
      <c r="L5363" s="166"/>
    </row>
    <row r="5364">
      <c r="A5364" s="163" t="s">
        <v>222</v>
      </c>
      <c r="B5364" s="163"/>
      <c r="C5364" s="163"/>
      <c r="J5364" s="165"/>
      <c r="K5364" s="166"/>
      <c r="L5364" s="166"/>
    </row>
    <row r="5365">
      <c r="A5365" s="163" t="s">
        <v>222</v>
      </c>
      <c r="B5365" s="163"/>
      <c r="C5365" s="163"/>
      <c r="J5365" s="165"/>
      <c r="K5365" s="166"/>
      <c r="L5365" s="166"/>
    </row>
    <row r="5366">
      <c r="A5366" s="163" t="s">
        <v>222</v>
      </c>
      <c r="B5366" s="163"/>
      <c r="C5366" s="163"/>
      <c r="J5366" s="165"/>
      <c r="K5366" s="166"/>
      <c r="L5366" s="166"/>
    </row>
    <row r="5367">
      <c r="A5367" s="163" t="s">
        <v>222</v>
      </c>
      <c r="B5367" s="163"/>
      <c r="C5367" s="163"/>
      <c r="J5367" s="165"/>
      <c r="K5367" s="166"/>
      <c r="L5367" s="166"/>
    </row>
    <row r="5368">
      <c r="A5368" s="163" t="s">
        <v>222</v>
      </c>
      <c r="B5368" s="163"/>
      <c r="C5368" s="163"/>
      <c r="J5368" s="165"/>
      <c r="K5368" s="166"/>
      <c r="L5368" s="166"/>
    </row>
    <row r="5369">
      <c r="A5369" s="163" t="s">
        <v>222</v>
      </c>
      <c r="B5369" s="163"/>
      <c r="C5369" s="163"/>
      <c r="J5369" s="165"/>
      <c r="K5369" s="166"/>
      <c r="L5369" s="166"/>
    </row>
    <row r="5370">
      <c r="A5370" s="163" t="s">
        <v>222</v>
      </c>
      <c r="B5370" s="163"/>
      <c r="C5370" s="163"/>
      <c r="J5370" s="165"/>
      <c r="K5370" s="166"/>
      <c r="L5370" s="166"/>
    </row>
    <row r="5371">
      <c r="A5371" s="163" t="s">
        <v>222</v>
      </c>
      <c r="B5371" s="163"/>
      <c r="C5371" s="163"/>
      <c r="J5371" s="165"/>
      <c r="K5371" s="166"/>
      <c r="L5371" s="166"/>
    </row>
    <row r="5372">
      <c r="A5372" s="163" t="s">
        <v>222</v>
      </c>
      <c r="B5372" s="163"/>
      <c r="C5372" s="163"/>
      <c r="J5372" s="165"/>
      <c r="K5372" s="166"/>
      <c r="L5372" s="166"/>
    </row>
    <row r="5373">
      <c r="A5373" s="163" t="s">
        <v>222</v>
      </c>
      <c r="B5373" s="163"/>
      <c r="C5373" s="163"/>
      <c r="J5373" s="165"/>
      <c r="K5373" s="166"/>
      <c r="L5373" s="166"/>
    </row>
    <row r="5374">
      <c r="A5374" s="163" t="s">
        <v>222</v>
      </c>
      <c r="B5374" s="163"/>
      <c r="C5374" s="163"/>
      <c r="J5374" s="165"/>
      <c r="K5374" s="166"/>
      <c r="L5374" s="166"/>
    </row>
    <row r="5375">
      <c r="A5375" s="163" t="s">
        <v>222</v>
      </c>
      <c r="B5375" s="163"/>
      <c r="C5375" s="163"/>
      <c r="J5375" s="165"/>
      <c r="K5375" s="166"/>
      <c r="L5375" s="166"/>
    </row>
    <row r="5376">
      <c r="A5376" s="163" t="s">
        <v>222</v>
      </c>
      <c r="B5376" s="163"/>
      <c r="C5376" s="163"/>
      <c r="J5376" s="165"/>
      <c r="K5376" s="166"/>
      <c r="L5376" s="166"/>
    </row>
    <row r="5377">
      <c r="A5377" s="163" t="s">
        <v>222</v>
      </c>
      <c r="B5377" s="163"/>
      <c r="C5377" s="163"/>
      <c r="J5377" s="165"/>
      <c r="K5377" s="166"/>
      <c r="L5377" s="166"/>
    </row>
    <row r="5378">
      <c r="A5378" s="163" t="s">
        <v>222</v>
      </c>
      <c r="B5378" s="163"/>
      <c r="C5378" s="163"/>
      <c r="J5378" s="165"/>
      <c r="K5378" s="166"/>
      <c r="L5378" s="166"/>
    </row>
    <row r="5379">
      <c r="A5379" s="163" t="s">
        <v>222</v>
      </c>
      <c r="B5379" s="163"/>
      <c r="C5379" s="163"/>
      <c r="J5379" s="165"/>
      <c r="K5379" s="166"/>
      <c r="L5379" s="166"/>
    </row>
    <row r="5380">
      <c r="A5380" s="163" t="s">
        <v>222</v>
      </c>
      <c r="B5380" s="163"/>
      <c r="C5380" s="163"/>
      <c r="J5380" s="165"/>
      <c r="K5380" s="166"/>
      <c r="L5380" s="166"/>
    </row>
    <row r="5381">
      <c r="A5381" s="163" t="s">
        <v>222</v>
      </c>
      <c r="B5381" s="163"/>
      <c r="C5381" s="163"/>
      <c r="J5381" s="165"/>
      <c r="K5381" s="166"/>
      <c r="L5381" s="166"/>
    </row>
    <row r="5382">
      <c r="A5382" s="163" t="s">
        <v>222</v>
      </c>
      <c r="B5382" s="163"/>
      <c r="C5382" s="163"/>
      <c r="J5382" s="165"/>
      <c r="K5382" s="166"/>
      <c r="L5382" s="166"/>
    </row>
    <row r="5383">
      <c r="A5383" s="163" t="s">
        <v>222</v>
      </c>
      <c r="B5383" s="163"/>
      <c r="C5383" s="163"/>
      <c r="J5383" s="165"/>
      <c r="K5383" s="166"/>
      <c r="L5383" s="166"/>
    </row>
    <row r="5384">
      <c r="A5384" s="163" t="s">
        <v>222</v>
      </c>
      <c r="B5384" s="163"/>
      <c r="C5384" s="163"/>
      <c r="J5384" s="165"/>
      <c r="K5384" s="166"/>
      <c r="L5384" s="166"/>
    </row>
    <row r="5385">
      <c r="A5385" s="163" t="s">
        <v>222</v>
      </c>
      <c r="B5385" s="163"/>
      <c r="C5385" s="163"/>
      <c r="J5385" s="165"/>
      <c r="K5385" s="166"/>
      <c r="L5385" s="166"/>
    </row>
    <row r="5386">
      <c r="A5386" s="163" t="s">
        <v>222</v>
      </c>
      <c r="B5386" s="163"/>
      <c r="C5386" s="163"/>
      <c r="J5386" s="165"/>
      <c r="K5386" s="166"/>
      <c r="L5386" s="166"/>
    </row>
    <row r="5387">
      <c r="A5387" s="163" t="s">
        <v>222</v>
      </c>
      <c r="B5387" s="163"/>
      <c r="C5387" s="163"/>
      <c r="J5387" s="165"/>
      <c r="K5387" s="166"/>
      <c r="L5387" s="166"/>
    </row>
    <row r="5388">
      <c r="A5388" s="163" t="s">
        <v>222</v>
      </c>
      <c r="B5388" s="163"/>
      <c r="C5388" s="163"/>
      <c r="J5388" s="165"/>
      <c r="K5388" s="166"/>
      <c r="L5388" s="166"/>
    </row>
    <row r="5389">
      <c r="A5389" s="163" t="s">
        <v>222</v>
      </c>
      <c r="B5389" s="163"/>
      <c r="C5389" s="163"/>
      <c r="J5389" s="165"/>
      <c r="K5389" s="166"/>
      <c r="L5389" s="166"/>
    </row>
    <row r="5390">
      <c r="A5390" s="163" t="s">
        <v>222</v>
      </c>
      <c r="B5390" s="163"/>
      <c r="C5390" s="163"/>
      <c r="J5390" s="165"/>
      <c r="K5390" s="166"/>
      <c r="L5390" s="166"/>
    </row>
    <row r="5391">
      <c r="A5391" s="163" t="s">
        <v>222</v>
      </c>
      <c r="B5391" s="163"/>
      <c r="C5391" s="163"/>
      <c r="J5391" s="165"/>
      <c r="K5391" s="166"/>
      <c r="L5391" s="166"/>
    </row>
    <row r="5392">
      <c r="A5392" s="163" t="s">
        <v>222</v>
      </c>
      <c r="B5392" s="163"/>
      <c r="C5392" s="163"/>
      <c r="J5392" s="165"/>
      <c r="K5392" s="166"/>
      <c r="L5392" s="166"/>
    </row>
    <row r="5393">
      <c r="A5393" s="163" t="s">
        <v>222</v>
      </c>
      <c r="B5393" s="163"/>
      <c r="C5393" s="163"/>
      <c r="J5393" s="165"/>
      <c r="K5393" s="166"/>
      <c r="L5393" s="166"/>
    </row>
    <row r="5394">
      <c r="A5394" s="163" t="s">
        <v>222</v>
      </c>
      <c r="B5394" s="163"/>
      <c r="C5394" s="163"/>
      <c r="J5394" s="165"/>
      <c r="K5394" s="166"/>
      <c r="L5394" s="166"/>
    </row>
    <row r="5395">
      <c r="A5395" s="163" t="s">
        <v>222</v>
      </c>
      <c r="B5395" s="163"/>
      <c r="C5395" s="163"/>
      <c r="J5395" s="165"/>
      <c r="K5395" s="166"/>
      <c r="L5395" s="166"/>
    </row>
    <row r="5396">
      <c r="A5396" s="163" t="s">
        <v>222</v>
      </c>
      <c r="B5396" s="163"/>
      <c r="C5396" s="163"/>
      <c r="J5396" s="165"/>
      <c r="K5396" s="166"/>
      <c r="L5396" s="166"/>
    </row>
    <row r="5397">
      <c r="A5397" s="163" t="s">
        <v>222</v>
      </c>
      <c r="B5397" s="163"/>
      <c r="C5397" s="163"/>
      <c r="J5397" s="165"/>
      <c r="K5397" s="166"/>
      <c r="L5397" s="166"/>
    </row>
    <row r="5398">
      <c r="A5398" s="163" t="s">
        <v>222</v>
      </c>
      <c r="B5398" s="163"/>
      <c r="C5398" s="163"/>
      <c r="J5398" s="165"/>
      <c r="K5398" s="166"/>
      <c r="L5398" s="166"/>
    </row>
    <row r="5399">
      <c r="A5399" s="163" t="s">
        <v>222</v>
      </c>
      <c r="B5399" s="163"/>
      <c r="C5399" s="163"/>
      <c r="J5399" s="165"/>
      <c r="K5399" s="166"/>
      <c r="L5399" s="166"/>
    </row>
    <row r="5400">
      <c r="A5400" s="163" t="s">
        <v>222</v>
      </c>
      <c r="B5400" s="163"/>
      <c r="C5400" s="163"/>
      <c r="J5400" s="165"/>
      <c r="K5400" s="166"/>
      <c r="L5400" s="166"/>
    </row>
    <row r="5401">
      <c r="A5401" s="163" t="s">
        <v>222</v>
      </c>
      <c r="B5401" s="163"/>
      <c r="C5401" s="163"/>
      <c r="J5401" s="165"/>
      <c r="K5401" s="166"/>
      <c r="L5401" s="166"/>
    </row>
    <row r="5402">
      <c r="A5402" s="163" t="s">
        <v>222</v>
      </c>
      <c r="B5402" s="163"/>
      <c r="C5402" s="163"/>
      <c r="J5402" s="165"/>
      <c r="K5402" s="166"/>
      <c r="L5402" s="166"/>
    </row>
    <row r="5403">
      <c r="A5403" s="163" t="s">
        <v>222</v>
      </c>
      <c r="B5403" s="163"/>
      <c r="C5403" s="163"/>
      <c r="J5403" s="165"/>
      <c r="K5403" s="166"/>
      <c r="L5403" s="166"/>
    </row>
    <row r="5404">
      <c r="A5404" s="163" t="s">
        <v>222</v>
      </c>
      <c r="B5404" s="163"/>
      <c r="C5404" s="163"/>
      <c r="J5404" s="165"/>
      <c r="K5404" s="166"/>
      <c r="L5404" s="166"/>
    </row>
    <row r="5405">
      <c r="A5405" s="163" t="s">
        <v>222</v>
      </c>
      <c r="B5405" s="163"/>
      <c r="C5405" s="163"/>
      <c r="J5405" s="165"/>
      <c r="K5405" s="166"/>
      <c r="L5405" s="166"/>
    </row>
    <row r="5406">
      <c r="A5406" s="163" t="s">
        <v>222</v>
      </c>
      <c r="B5406" s="163"/>
      <c r="C5406" s="163"/>
      <c r="J5406" s="165"/>
      <c r="K5406" s="166"/>
      <c r="L5406" s="166"/>
    </row>
    <row r="5407">
      <c r="A5407" s="163" t="s">
        <v>222</v>
      </c>
      <c r="B5407" s="163"/>
      <c r="C5407" s="163"/>
      <c r="J5407" s="165"/>
      <c r="K5407" s="166"/>
      <c r="L5407" s="166"/>
    </row>
    <row r="5408">
      <c r="A5408" s="163" t="s">
        <v>222</v>
      </c>
      <c r="B5408" s="163"/>
      <c r="C5408" s="163"/>
      <c r="J5408" s="165"/>
      <c r="K5408" s="166"/>
      <c r="L5408" s="166"/>
    </row>
    <row r="5409">
      <c r="A5409" s="163" t="s">
        <v>222</v>
      </c>
      <c r="B5409" s="163"/>
      <c r="C5409" s="163"/>
      <c r="J5409" s="165"/>
      <c r="K5409" s="166"/>
      <c r="L5409" s="166"/>
    </row>
    <row r="5410">
      <c r="A5410" s="163" t="s">
        <v>222</v>
      </c>
      <c r="B5410" s="163"/>
      <c r="C5410" s="163"/>
      <c r="J5410" s="165"/>
      <c r="K5410" s="166"/>
      <c r="L5410" s="166"/>
    </row>
    <row r="5411">
      <c r="A5411" s="163" t="s">
        <v>222</v>
      </c>
      <c r="B5411" s="163"/>
      <c r="C5411" s="163"/>
      <c r="J5411" s="165"/>
      <c r="K5411" s="166"/>
      <c r="L5411" s="166"/>
    </row>
    <row r="5412">
      <c r="A5412" s="163" t="s">
        <v>222</v>
      </c>
      <c r="B5412" s="163"/>
      <c r="C5412" s="163"/>
      <c r="J5412" s="165"/>
      <c r="K5412" s="166"/>
      <c r="L5412" s="166"/>
    </row>
    <row r="5413">
      <c r="A5413" s="163" t="s">
        <v>222</v>
      </c>
      <c r="B5413" s="163"/>
      <c r="C5413" s="163"/>
      <c r="J5413" s="165"/>
      <c r="K5413" s="166"/>
      <c r="L5413" s="166"/>
    </row>
    <row r="5414">
      <c r="A5414" s="163" t="s">
        <v>222</v>
      </c>
      <c r="B5414" s="163"/>
      <c r="C5414" s="163"/>
      <c r="J5414" s="165"/>
      <c r="K5414" s="166"/>
      <c r="L5414" s="166"/>
    </row>
    <row r="5415">
      <c r="A5415" s="163" t="s">
        <v>222</v>
      </c>
      <c r="B5415" s="163"/>
      <c r="C5415" s="163"/>
      <c r="J5415" s="165"/>
      <c r="K5415" s="166"/>
      <c r="L5415" s="166"/>
    </row>
    <row r="5416">
      <c r="A5416" s="163" t="s">
        <v>222</v>
      </c>
      <c r="B5416" s="163"/>
      <c r="C5416" s="163"/>
      <c r="J5416" s="165"/>
      <c r="K5416" s="166"/>
      <c r="L5416" s="166"/>
    </row>
    <row r="5417">
      <c r="A5417" s="163" t="s">
        <v>222</v>
      </c>
      <c r="B5417" s="163"/>
      <c r="C5417" s="163"/>
      <c r="J5417" s="165"/>
      <c r="K5417" s="166"/>
      <c r="L5417" s="166"/>
    </row>
    <row r="5418">
      <c r="A5418" s="163" t="s">
        <v>222</v>
      </c>
      <c r="B5418" s="163"/>
      <c r="C5418" s="163"/>
      <c r="J5418" s="165"/>
      <c r="K5418" s="166"/>
      <c r="L5418" s="166"/>
    </row>
    <row r="5419">
      <c r="A5419" s="163" t="s">
        <v>222</v>
      </c>
      <c r="B5419" s="163"/>
      <c r="C5419" s="163"/>
      <c r="J5419" s="165"/>
      <c r="K5419" s="166"/>
      <c r="L5419" s="166"/>
    </row>
    <row r="5420">
      <c r="A5420" s="163" t="s">
        <v>222</v>
      </c>
      <c r="B5420" s="163"/>
      <c r="C5420" s="163"/>
      <c r="J5420" s="165"/>
      <c r="K5420" s="166"/>
      <c r="L5420" s="166"/>
    </row>
    <row r="5421">
      <c r="A5421" s="163" t="s">
        <v>222</v>
      </c>
      <c r="B5421" s="163"/>
      <c r="C5421" s="163"/>
      <c r="J5421" s="165"/>
      <c r="K5421" s="166"/>
      <c r="L5421" s="166"/>
    </row>
    <row r="5422">
      <c r="A5422" s="163" t="s">
        <v>222</v>
      </c>
      <c r="B5422" s="163"/>
      <c r="C5422" s="163"/>
      <c r="J5422" s="165"/>
      <c r="K5422" s="166"/>
      <c r="L5422" s="166"/>
    </row>
    <row r="5423">
      <c r="A5423" s="163" t="s">
        <v>222</v>
      </c>
      <c r="B5423" s="163"/>
      <c r="C5423" s="163"/>
      <c r="J5423" s="165"/>
      <c r="K5423" s="166"/>
      <c r="L5423" s="166"/>
    </row>
    <row r="5424">
      <c r="A5424" s="163" t="s">
        <v>222</v>
      </c>
      <c r="B5424" s="163"/>
      <c r="C5424" s="163"/>
      <c r="J5424" s="165"/>
      <c r="K5424" s="166"/>
      <c r="L5424" s="166"/>
    </row>
    <row r="5425">
      <c r="A5425" s="163" t="s">
        <v>222</v>
      </c>
      <c r="B5425" s="163"/>
      <c r="C5425" s="163"/>
      <c r="J5425" s="165"/>
      <c r="K5425" s="166"/>
      <c r="L5425" s="166"/>
    </row>
    <row r="5426">
      <c r="A5426" s="163" t="s">
        <v>222</v>
      </c>
      <c r="B5426" s="163"/>
      <c r="C5426" s="163"/>
      <c r="J5426" s="165"/>
      <c r="K5426" s="166"/>
      <c r="L5426" s="166"/>
    </row>
    <row r="5427">
      <c r="A5427" s="163" t="s">
        <v>222</v>
      </c>
      <c r="B5427" s="163"/>
      <c r="C5427" s="163"/>
      <c r="J5427" s="165"/>
      <c r="K5427" s="166"/>
      <c r="L5427" s="166"/>
    </row>
    <row r="5428">
      <c r="A5428" s="163" t="s">
        <v>222</v>
      </c>
      <c r="B5428" s="163"/>
      <c r="C5428" s="163"/>
      <c r="J5428" s="165"/>
      <c r="K5428" s="166"/>
      <c r="L5428" s="166"/>
    </row>
    <row r="5429">
      <c r="A5429" s="163" t="s">
        <v>222</v>
      </c>
      <c r="B5429" s="163"/>
      <c r="C5429" s="163"/>
      <c r="J5429" s="165"/>
      <c r="K5429" s="166"/>
      <c r="L5429" s="166"/>
    </row>
    <row r="5430">
      <c r="A5430" s="163" t="s">
        <v>222</v>
      </c>
      <c r="B5430" s="163"/>
      <c r="C5430" s="163"/>
      <c r="J5430" s="165"/>
      <c r="K5430" s="166"/>
      <c r="L5430" s="166"/>
    </row>
    <row r="5431">
      <c r="A5431" s="163" t="s">
        <v>222</v>
      </c>
      <c r="B5431" s="163"/>
      <c r="C5431" s="163"/>
      <c r="J5431" s="165"/>
      <c r="K5431" s="166"/>
      <c r="L5431" s="166"/>
    </row>
    <row r="5432">
      <c r="A5432" s="163" t="s">
        <v>222</v>
      </c>
      <c r="B5432" s="163"/>
      <c r="C5432" s="163"/>
      <c r="J5432" s="165"/>
      <c r="K5432" s="166"/>
      <c r="L5432" s="166"/>
    </row>
    <row r="5433">
      <c r="A5433" s="163" t="s">
        <v>222</v>
      </c>
      <c r="B5433" s="163"/>
      <c r="C5433" s="163"/>
      <c r="J5433" s="165"/>
      <c r="K5433" s="166"/>
      <c r="L5433" s="166"/>
    </row>
    <row r="5434">
      <c r="A5434" s="163" t="s">
        <v>222</v>
      </c>
      <c r="B5434" s="163"/>
      <c r="C5434" s="163"/>
      <c r="J5434" s="165"/>
      <c r="K5434" s="166"/>
      <c r="L5434" s="166"/>
    </row>
    <row r="5435">
      <c r="A5435" s="163" t="s">
        <v>222</v>
      </c>
      <c r="B5435" s="163"/>
      <c r="C5435" s="163"/>
      <c r="J5435" s="165"/>
      <c r="K5435" s="166"/>
      <c r="L5435" s="166"/>
    </row>
    <row r="5436">
      <c r="A5436" s="163" t="s">
        <v>222</v>
      </c>
      <c r="B5436" s="163"/>
      <c r="C5436" s="163"/>
      <c r="J5436" s="165"/>
      <c r="K5436" s="166"/>
      <c r="L5436" s="166"/>
    </row>
    <row r="5437">
      <c r="A5437" s="163" t="s">
        <v>222</v>
      </c>
      <c r="B5437" s="163"/>
      <c r="C5437" s="163"/>
      <c r="J5437" s="165"/>
      <c r="K5437" s="166"/>
      <c r="L5437" s="166"/>
    </row>
    <row r="5438">
      <c r="A5438" s="163" t="s">
        <v>222</v>
      </c>
      <c r="B5438" s="163"/>
      <c r="C5438" s="163"/>
      <c r="J5438" s="165"/>
      <c r="K5438" s="166"/>
      <c r="L5438" s="166"/>
    </row>
    <row r="5439">
      <c r="A5439" s="163" t="s">
        <v>222</v>
      </c>
      <c r="B5439" s="163"/>
      <c r="C5439" s="163"/>
      <c r="J5439" s="165"/>
      <c r="K5439" s="166"/>
      <c r="L5439" s="166"/>
    </row>
    <row r="5440">
      <c r="A5440" s="163" t="s">
        <v>222</v>
      </c>
      <c r="B5440" s="163"/>
      <c r="C5440" s="163"/>
      <c r="J5440" s="165"/>
      <c r="K5440" s="166"/>
      <c r="L5440" s="166"/>
    </row>
    <row r="5441">
      <c r="A5441" s="163" t="s">
        <v>222</v>
      </c>
      <c r="B5441" s="163"/>
      <c r="C5441" s="163"/>
      <c r="J5441" s="165"/>
      <c r="K5441" s="166"/>
      <c r="L5441" s="166"/>
    </row>
    <row r="5442">
      <c r="A5442" s="163" t="s">
        <v>222</v>
      </c>
      <c r="B5442" s="163"/>
      <c r="C5442" s="163"/>
      <c r="J5442" s="165"/>
      <c r="K5442" s="166"/>
      <c r="L5442" s="166"/>
    </row>
    <row r="5443">
      <c r="A5443" s="163" t="s">
        <v>222</v>
      </c>
      <c r="B5443" s="163"/>
      <c r="C5443" s="163"/>
      <c r="J5443" s="165"/>
      <c r="K5443" s="166"/>
      <c r="L5443" s="166"/>
    </row>
    <row r="5444">
      <c r="A5444" s="163" t="s">
        <v>222</v>
      </c>
      <c r="B5444" s="163"/>
      <c r="C5444" s="163"/>
      <c r="J5444" s="165"/>
      <c r="K5444" s="166"/>
      <c r="L5444" s="166"/>
    </row>
    <row r="5445">
      <c r="A5445" s="163" t="s">
        <v>222</v>
      </c>
      <c r="B5445" s="163"/>
      <c r="C5445" s="163"/>
      <c r="J5445" s="165"/>
      <c r="K5445" s="166"/>
      <c r="L5445" s="166"/>
    </row>
    <row r="5446">
      <c r="A5446" s="163" t="s">
        <v>222</v>
      </c>
      <c r="B5446" s="163"/>
      <c r="C5446" s="163"/>
      <c r="J5446" s="165"/>
      <c r="K5446" s="166"/>
      <c r="L5446" s="166"/>
    </row>
    <row r="5447">
      <c r="A5447" s="163" t="s">
        <v>222</v>
      </c>
      <c r="B5447" s="163"/>
      <c r="C5447" s="163"/>
      <c r="J5447" s="165"/>
      <c r="K5447" s="166"/>
      <c r="L5447" s="166"/>
    </row>
    <row r="5448">
      <c r="A5448" s="163" t="s">
        <v>222</v>
      </c>
      <c r="B5448" s="163"/>
      <c r="C5448" s="163"/>
      <c r="J5448" s="165"/>
      <c r="K5448" s="166"/>
      <c r="L5448" s="166"/>
    </row>
    <row r="5449">
      <c r="A5449" s="163" t="s">
        <v>222</v>
      </c>
      <c r="B5449" s="163"/>
      <c r="C5449" s="163"/>
      <c r="J5449" s="165"/>
      <c r="K5449" s="166"/>
      <c r="L5449" s="166"/>
    </row>
    <row r="5450">
      <c r="A5450" s="163" t="s">
        <v>222</v>
      </c>
      <c r="B5450" s="163"/>
      <c r="C5450" s="163"/>
      <c r="J5450" s="165"/>
      <c r="K5450" s="166"/>
      <c r="L5450" s="166"/>
    </row>
    <row r="5451">
      <c r="A5451" s="163" t="s">
        <v>222</v>
      </c>
      <c r="B5451" s="163"/>
      <c r="C5451" s="163"/>
      <c r="J5451" s="165"/>
      <c r="K5451" s="166"/>
      <c r="L5451" s="166"/>
    </row>
    <row r="5452">
      <c r="A5452" s="163" t="s">
        <v>222</v>
      </c>
      <c r="B5452" s="163"/>
      <c r="C5452" s="163"/>
      <c r="J5452" s="165"/>
      <c r="K5452" s="166"/>
      <c r="L5452" s="166"/>
    </row>
    <row r="5453">
      <c r="A5453" s="163" t="s">
        <v>222</v>
      </c>
      <c r="B5453" s="163"/>
      <c r="C5453" s="163"/>
      <c r="J5453" s="165"/>
      <c r="K5453" s="166"/>
      <c r="L5453" s="166"/>
    </row>
    <row r="5454">
      <c r="A5454" s="163" t="s">
        <v>222</v>
      </c>
      <c r="B5454" s="163"/>
      <c r="C5454" s="163"/>
      <c r="J5454" s="165"/>
      <c r="K5454" s="166"/>
      <c r="L5454" s="166"/>
    </row>
    <row r="5455">
      <c r="A5455" s="163" t="s">
        <v>222</v>
      </c>
      <c r="B5455" s="163"/>
      <c r="C5455" s="163"/>
      <c r="J5455" s="165"/>
      <c r="K5455" s="166"/>
      <c r="L5455" s="166"/>
    </row>
    <row r="5456">
      <c r="A5456" s="163" t="s">
        <v>222</v>
      </c>
      <c r="B5456" s="163"/>
      <c r="C5456" s="163"/>
      <c r="J5456" s="165"/>
      <c r="K5456" s="166"/>
      <c r="L5456" s="166"/>
    </row>
    <row r="5457">
      <c r="A5457" s="163" t="s">
        <v>222</v>
      </c>
      <c r="B5457" s="163"/>
      <c r="C5457" s="163"/>
      <c r="J5457" s="165"/>
      <c r="K5457" s="166"/>
      <c r="L5457" s="166"/>
    </row>
    <row r="5458">
      <c r="A5458" s="163" t="s">
        <v>222</v>
      </c>
      <c r="B5458" s="163"/>
      <c r="C5458" s="163"/>
      <c r="J5458" s="165"/>
      <c r="K5458" s="166"/>
      <c r="L5458" s="166"/>
    </row>
    <row r="5459">
      <c r="A5459" s="163" t="s">
        <v>222</v>
      </c>
      <c r="B5459" s="163"/>
      <c r="C5459" s="163"/>
      <c r="J5459" s="165"/>
      <c r="K5459" s="166"/>
      <c r="L5459" s="166"/>
    </row>
    <row r="5460">
      <c r="A5460" s="163" t="s">
        <v>222</v>
      </c>
      <c r="B5460" s="163"/>
      <c r="C5460" s="163"/>
      <c r="J5460" s="165"/>
      <c r="K5460" s="166"/>
      <c r="L5460" s="166"/>
    </row>
    <row r="5461">
      <c r="A5461" s="163" t="s">
        <v>222</v>
      </c>
      <c r="B5461" s="163"/>
      <c r="C5461" s="163"/>
      <c r="J5461" s="165"/>
      <c r="K5461" s="166"/>
      <c r="L5461" s="166"/>
    </row>
    <row r="5462">
      <c r="A5462" s="163" t="s">
        <v>222</v>
      </c>
      <c r="B5462" s="163"/>
      <c r="C5462" s="163"/>
      <c r="J5462" s="165"/>
      <c r="K5462" s="166"/>
      <c r="L5462" s="166"/>
    </row>
    <row r="5463">
      <c r="A5463" s="163" t="s">
        <v>222</v>
      </c>
      <c r="B5463" s="163"/>
      <c r="C5463" s="163"/>
      <c r="J5463" s="165"/>
      <c r="K5463" s="166"/>
      <c r="L5463" s="166"/>
    </row>
    <row r="5464">
      <c r="A5464" s="163" t="s">
        <v>222</v>
      </c>
      <c r="B5464" s="163"/>
      <c r="C5464" s="163"/>
      <c r="J5464" s="165"/>
      <c r="K5464" s="166"/>
      <c r="L5464" s="166"/>
    </row>
    <row r="5465">
      <c r="A5465" s="163" t="s">
        <v>222</v>
      </c>
      <c r="B5465" s="163"/>
      <c r="C5465" s="163"/>
      <c r="J5465" s="165"/>
      <c r="K5465" s="166"/>
      <c r="L5465" s="166"/>
    </row>
    <row r="5466">
      <c r="A5466" s="163" t="s">
        <v>222</v>
      </c>
      <c r="B5466" s="163"/>
      <c r="C5466" s="163"/>
      <c r="J5466" s="165"/>
      <c r="K5466" s="166"/>
      <c r="L5466" s="166"/>
    </row>
    <row r="5467">
      <c r="A5467" s="163" t="s">
        <v>222</v>
      </c>
      <c r="B5467" s="163"/>
      <c r="C5467" s="163"/>
      <c r="J5467" s="165"/>
      <c r="K5467" s="166"/>
      <c r="L5467" s="166"/>
    </row>
    <row r="5468">
      <c r="A5468" s="163" t="s">
        <v>222</v>
      </c>
      <c r="B5468" s="163"/>
      <c r="C5468" s="163"/>
      <c r="J5468" s="165"/>
      <c r="K5468" s="166"/>
      <c r="L5468" s="166"/>
    </row>
    <row r="5469">
      <c r="A5469" s="163" t="s">
        <v>222</v>
      </c>
      <c r="B5469" s="163"/>
      <c r="C5469" s="163"/>
      <c r="J5469" s="165"/>
      <c r="K5469" s="166"/>
      <c r="L5469" s="166"/>
    </row>
    <row r="5470">
      <c r="A5470" s="163" t="s">
        <v>222</v>
      </c>
      <c r="B5470" s="163"/>
      <c r="C5470" s="163"/>
      <c r="J5470" s="165"/>
      <c r="K5470" s="166"/>
      <c r="L5470" s="166"/>
    </row>
    <row r="5471">
      <c r="A5471" s="163" t="s">
        <v>222</v>
      </c>
      <c r="B5471" s="163"/>
      <c r="C5471" s="163"/>
      <c r="J5471" s="165"/>
      <c r="K5471" s="166"/>
      <c r="L5471" s="166"/>
    </row>
    <row r="5472">
      <c r="A5472" s="163" t="s">
        <v>222</v>
      </c>
      <c r="B5472" s="163"/>
      <c r="C5472" s="163"/>
      <c r="J5472" s="165"/>
      <c r="K5472" s="166"/>
      <c r="L5472" s="166"/>
    </row>
    <row r="5473">
      <c r="A5473" s="163" t="s">
        <v>222</v>
      </c>
      <c r="B5473" s="163"/>
      <c r="C5473" s="163"/>
      <c r="J5473" s="165"/>
      <c r="K5473" s="166"/>
      <c r="L5473" s="166"/>
    </row>
    <row r="5474">
      <c r="A5474" s="163" t="s">
        <v>222</v>
      </c>
      <c r="B5474" s="163"/>
      <c r="C5474" s="163"/>
      <c r="J5474" s="165"/>
      <c r="K5474" s="166"/>
      <c r="L5474" s="166"/>
    </row>
    <row r="5475">
      <c r="A5475" s="163" t="s">
        <v>222</v>
      </c>
      <c r="B5475" s="163"/>
      <c r="C5475" s="163"/>
      <c r="J5475" s="165"/>
      <c r="K5475" s="166"/>
      <c r="L5475" s="166"/>
    </row>
    <row r="5476">
      <c r="A5476" s="163" t="s">
        <v>222</v>
      </c>
      <c r="B5476" s="163"/>
      <c r="C5476" s="163"/>
      <c r="J5476" s="165"/>
      <c r="K5476" s="166"/>
      <c r="L5476" s="166"/>
    </row>
    <row r="5477">
      <c r="A5477" s="163" t="s">
        <v>222</v>
      </c>
      <c r="B5477" s="163"/>
      <c r="C5477" s="163"/>
      <c r="J5477" s="165"/>
      <c r="K5477" s="166"/>
      <c r="L5477" s="166"/>
    </row>
    <row r="5478">
      <c r="A5478" s="163" t="s">
        <v>222</v>
      </c>
      <c r="B5478" s="163"/>
      <c r="C5478" s="163"/>
      <c r="J5478" s="165"/>
      <c r="K5478" s="166"/>
      <c r="L5478" s="166"/>
    </row>
    <row r="5479">
      <c r="A5479" s="163" t="s">
        <v>222</v>
      </c>
      <c r="B5479" s="163"/>
      <c r="C5479" s="163"/>
      <c r="J5479" s="165"/>
      <c r="K5479" s="166"/>
      <c r="L5479" s="166"/>
    </row>
    <row r="5480">
      <c r="A5480" s="163" t="s">
        <v>222</v>
      </c>
      <c r="B5480" s="163"/>
      <c r="C5480" s="163"/>
      <c r="J5480" s="165"/>
      <c r="K5480" s="166"/>
      <c r="L5480" s="166"/>
    </row>
    <row r="5481">
      <c r="A5481" s="163" t="s">
        <v>222</v>
      </c>
      <c r="B5481" s="163"/>
      <c r="C5481" s="163"/>
      <c r="J5481" s="165"/>
      <c r="K5481" s="166"/>
      <c r="L5481" s="166"/>
    </row>
    <row r="5482">
      <c r="A5482" s="163" t="s">
        <v>222</v>
      </c>
      <c r="B5482" s="163"/>
      <c r="C5482" s="163"/>
      <c r="J5482" s="165"/>
      <c r="K5482" s="166"/>
      <c r="L5482" s="166"/>
    </row>
    <row r="5483">
      <c r="A5483" s="163" t="s">
        <v>222</v>
      </c>
      <c r="B5483" s="163"/>
      <c r="C5483" s="163"/>
      <c r="J5483" s="165"/>
      <c r="K5483" s="166"/>
      <c r="L5483" s="166"/>
    </row>
    <row r="5484">
      <c r="A5484" s="163" t="s">
        <v>222</v>
      </c>
      <c r="B5484" s="163"/>
      <c r="C5484" s="163"/>
      <c r="J5484" s="165"/>
      <c r="K5484" s="166"/>
      <c r="L5484" s="166"/>
    </row>
    <row r="5485">
      <c r="A5485" s="163" t="s">
        <v>222</v>
      </c>
      <c r="B5485" s="163"/>
      <c r="C5485" s="163"/>
      <c r="J5485" s="165"/>
      <c r="K5485" s="166"/>
      <c r="L5485" s="166"/>
    </row>
    <row r="5486">
      <c r="A5486" s="163" t="s">
        <v>222</v>
      </c>
      <c r="B5486" s="163"/>
      <c r="C5486" s="163"/>
      <c r="J5486" s="165"/>
      <c r="K5486" s="166"/>
      <c r="L5486" s="166"/>
    </row>
    <row r="5487">
      <c r="A5487" s="163" t="s">
        <v>222</v>
      </c>
      <c r="B5487" s="163"/>
      <c r="C5487" s="163"/>
      <c r="J5487" s="165"/>
      <c r="K5487" s="166"/>
      <c r="L5487" s="166"/>
    </row>
    <row r="5488">
      <c r="A5488" s="163" t="s">
        <v>222</v>
      </c>
      <c r="B5488" s="163"/>
      <c r="C5488" s="163"/>
      <c r="J5488" s="165"/>
      <c r="K5488" s="166"/>
      <c r="L5488" s="166"/>
    </row>
    <row r="5489">
      <c r="A5489" s="163" t="s">
        <v>222</v>
      </c>
      <c r="B5489" s="163"/>
      <c r="C5489" s="163"/>
      <c r="J5489" s="165"/>
      <c r="K5489" s="166"/>
      <c r="L5489" s="166"/>
    </row>
    <row r="5490">
      <c r="A5490" s="163" t="s">
        <v>222</v>
      </c>
      <c r="B5490" s="163"/>
      <c r="C5490" s="163"/>
      <c r="J5490" s="165"/>
      <c r="K5490" s="166"/>
      <c r="L5490" s="166"/>
    </row>
    <row r="5491">
      <c r="A5491" s="163" t="s">
        <v>222</v>
      </c>
      <c r="B5491" s="163"/>
      <c r="C5491" s="163"/>
      <c r="J5491" s="165"/>
      <c r="K5491" s="166"/>
      <c r="L5491" s="166"/>
    </row>
    <row r="5492">
      <c r="A5492" s="163" t="s">
        <v>222</v>
      </c>
      <c r="B5492" s="163"/>
      <c r="C5492" s="163"/>
      <c r="J5492" s="165"/>
      <c r="K5492" s="166"/>
      <c r="L5492" s="166"/>
    </row>
    <row r="5493">
      <c r="A5493" s="163" t="s">
        <v>222</v>
      </c>
      <c r="B5493" s="163"/>
      <c r="C5493" s="163"/>
      <c r="J5493" s="165"/>
      <c r="K5493" s="166"/>
      <c r="L5493" s="166"/>
    </row>
    <row r="5494">
      <c r="A5494" s="163" t="s">
        <v>222</v>
      </c>
      <c r="B5494" s="163"/>
      <c r="C5494" s="163"/>
      <c r="J5494" s="165"/>
      <c r="K5494" s="166"/>
      <c r="L5494" s="166"/>
    </row>
    <row r="5495">
      <c r="A5495" s="163" t="s">
        <v>222</v>
      </c>
      <c r="B5495" s="163"/>
      <c r="C5495" s="163"/>
      <c r="J5495" s="165"/>
      <c r="K5495" s="166"/>
      <c r="L5495" s="166"/>
    </row>
    <row r="5496">
      <c r="A5496" s="163" t="s">
        <v>222</v>
      </c>
      <c r="B5496" s="163"/>
      <c r="C5496" s="163"/>
      <c r="J5496" s="165"/>
      <c r="K5496" s="166"/>
      <c r="L5496" s="166"/>
    </row>
    <row r="5497">
      <c r="A5497" s="163" t="s">
        <v>222</v>
      </c>
      <c r="B5497" s="163"/>
      <c r="C5497" s="163"/>
      <c r="J5497" s="165"/>
      <c r="K5497" s="166"/>
      <c r="L5497" s="166"/>
    </row>
    <row r="5498">
      <c r="A5498" s="163" t="s">
        <v>222</v>
      </c>
      <c r="B5498" s="163"/>
      <c r="C5498" s="163"/>
      <c r="J5498" s="165"/>
      <c r="K5498" s="166"/>
      <c r="L5498" s="166"/>
    </row>
    <row r="5499">
      <c r="A5499" s="163" t="s">
        <v>222</v>
      </c>
      <c r="B5499" s="163"/>
      <c r="C5499" s="163"/>
      <c r="J5499" s="165"/>
      <c r="K5499" s="166"/>
      <c r="L5499" s="166"/>
    </row>
    <row r="5500">
      <c r="A5500" s="163" t="s">
        <v>222</v>
      </c>
      <c r="B5500" s="163"/>
      <c r="C5500" s="163"/>
      <c r="J5500" s="165"/>
      <c r="K5500" s="166"/>
      <c r="L5500" s="166"/>
    </row>
    <row r="5501">
      <c r="A5501" s="163" t="s">
        <v>222</v>
      </c>
      <c r="B5501" s="163"/>
      <c r="C5501" s="163"/>
      <c r="J5501" s="165"/>
      <c r="K5501" s="166"/>
      <c r="L5501" s="166"/>
    </row>
    <row r="5502">
      <c r="A5502" s="163" t="s">
        <v>222</v>
      </c>
      <c r="B5502" s="163"/>
      <c r="C5502" s="163"/>
      <c r="J5502" s="165"/>
      <c r="K5502" s="166"/>
      <c r="L5502" s="166"/>
    </row>
    <row r="5503">
      <c r="A5503" s="163" t="s">
        <v>222</v>
      </c>
      <c r="B5503" s="163"/>
      <c r="C5503" s="163"/>
      <c r="J5503" s="165"/>
      <c r="K5503" s="166"/>
      <c r="L5503" s="166"/>
    </row>
    <row r="5504">
      <c r="A5504" s="163" t="s">
        <v>222</v>
      </c>
      <c r="B5504" s="163"/>
      <c r="C5504" s="163"/>
      <c r="J5504" s="165"/>
      <c r="K5504" s="166"/>
      <c r="L5504" s="166"/>
    </row>
    <row r="5505">
      <c r="A5505" s="163" t="s">
        <v>222</v>
      </c>
      <c r="B5505" s="163"/>
      <c r="C5505" s="163"/>
      <c r="J5505" s="165"/>
      <c r="K5505" s="166"/>
      <c r="L5505" s="166"/>
    </row>
    <row r="5506">
      <c r="A5506" s="163" t="s">
        <v>222</v>
      </c>
      <c r="B5506" s="163"/>
      <c r="C5506" s="163"/>
      <c r="J5506" s="165"/>
      <c r="K5506" s="166"/>
      <c r="L5506" s="166"/>
    </row>
    <row r="5507">
      <c r="A5507" s="163" t="s">
        <v>222</v>
      </c>
      <c r="B5507" s="163"/>
      <c r="C5507" s="163"/>
      <c r="J5507" s="165"/>
      <c r="K5507" s="166"/>
      <c r="L5507" s="166"/>
    </row>
    <row r="5508">
      <c r="A5508" s="163" t="s">
        <v>222</v>
      </c>
      <c r="B5508" s="163"/>
      <c r="C5508" s="163"/>
      <c r="J5508" s="165"/>
      <c r="K5508" s="166"/>
      <c r="L5508" s="166"/>
    </row>
    <row r="5509">
      <c r="A5509" s="163" t="s">
        <v>222</v>
      </c>
      <c r="B5509" s="163"/>
      <c r="C5509" s="163"/>
      <c r="J5509" s="165"/>
      <c r="K5509" s="166"/>
      <c r="L5509" s="166"/>
    </row>
    <row r="5510">
      <c r="A5510" s="163" t="s">
        <v>222</v>
      </c>
      <c r="B5510" s="163"/>
      <c r="C5510" s="163"/>
      <c r="J5510" s="165"/>
      <c r="K5510" s="166"/>
      <c r="L5510" s="166"/>
    </row>
    <row r="5511">
      <c r="A5511" s="163" t="s">
        <v>222</v>
      </c>
      <c r="B5511" s="163"/>
      <c r="C5511" s="163"/>
      <c r="J5511" s="165"/>
      <c r="K5511" s="166"/>
      <c r="L5511" s="166"/>
    </row>
    <row r="5512">
      <c r="A5512" s="163" t="s">
        <v>222</v>
      </c>
      <c r="B5512" s="163"/>
      <c r="C5512" s="163"/>
      <c r="J5512" s="165"/>
      <c r="K5512" s="166"/>
      <c r="L5512" s="166"/>
    </row>
    <row r="5513">
      <c r="A5513" s="163" t="s">
        <v>222</v>
      </c>
      <c r="B5513" s="163"/>
      <c r="C5513" s="163"/>
      <c r="J5513" s="165"/>
      <c r="K5513" s="166"/>
      <c r="L5513" s="166"/>
    </row>
    <row r="5514">
      <c r="A5514" s="163" t="s">
        <v>222</v>
      </c>
      <c r="B5514" s="163"/>
      <c r="C5514" s="163"/>
      <c r="J5514" s="165"/>
      <c r="K5514" s="166"/>
      <c r="L5514" s="166"/>
    </row>
    <row r="5515">
      <c r="A5515" s="163" t="s">
        <v>222</v>
      </c>
      <c r="B5515" s="163"/>
      <c r="C5515" s="163"/>
      <c r="J5515" s="165"/>
      <c r="K5515" s="166"/>
      <c r="L5515" s="166"/>
    </row>
    <row r="5516">
      <c r="A5516" s="163" t="s">
        <v>222</v>
      </c>
      <c r="B5516" s="163"/>
      <c r="C5516" s="163"/>
      <c r="J5516" s="165"/>
      <c r="K5516" s="166"/>
      <c r="L5516" s="166"/>
    </row>
    <row r="5517">
      <c r="A5517" s="163" t="s">
        <v>222</v>
      </c>
      <c r="B5517" s="163"/>
      <c r="C5517" s="163"/>
      <c r="J5517" s="165"/>
      <c r="K5517" s="166"/>
      <c r="L5517" s="166"/>
    </row>
    <row r="5518">
      <c r="A5518" s="163" t="s">
        <v>222</v>
      </c>
      <c r="B5518" s="163"/>
      <c r="C5518" s="163"/>
      <c r="J5518" s="165"/>
      <c r="K5518" s="166"/>
      <c r="L5518" s="166"/>
    </row>
    <row r="5519">
      <c r="A5519" s="163" t="s">
        <v>222</v>
      </c>
      <c r="B5519" s="163"/>
      <c r="C5519" s="163"/>
      <c r="J5519" s="165"/>
      <c r="K5519" s="166"/>
      <c r="L5519" s="166"/>
    </row>
    <row r="5520">
      <c r="A5520" s="163" t="s">
        <v>222</v>
      </c>
      <c r="B5520" s="163"/>
      <c r="C5520" s="163"/>
      <c r="J5520" s="165"/>
      <c r="K5520" s="166"/>
      <c r="L5520" s="166"/>
    </row>
    <row r="5521">
      <c r="A5521" s="163" t="s">
        <v>222</v>
      </c>
      <c r="B5521" s="163"/>
      <c r="C5521" s="163"/>
      <c r="J5521" s="165"/>
      <c r="K5521" s="166"/>
      <c r="L5521" s="166"/>
    </row>
    <row r="5522">
      <c r="A5522" s="163" t="s">
        <v>222</v>
      </c>
      <c r="B5522" s="163"/>
      <c r="C5522" s="163"/>
      <c r="J5522" s="165"/>
      <c r="K5522" s="166"/>
      <c r="L5522" s="166"/>
    </row>
    <row r="5523">
      <c r="A5523" s="163" t="s">
        <v>222</v>
      </c>
      <c r="B5523" s="163"/>
      <c r="C5523" s="163"/>
      <c r="J5523" s="165"/>
      <c r="K5523" s="166"/>
      <c r="L5523" s="166"/>
    </row>
    <row r="5524">
      <c r="A5524" s="163" t="s">
        <v>222</v>
      </c>
      <c r="B5524" s="163"/>
      <c r="C5524" s="163"/>
      <c r="J5524" s="165"/>
      <c r="K5524" s="166"/>
      <c r="L5524" s="166"/>
    </row>
    <row r="5525">
      <c r="A5525" s="163" t="s">
        <v>222</v>
      </c>
      <c r="B5525" s="163"/>
      <c r="C5525" s="163"/>
      <c r="J5525" s="165"/>
      <c r="K5525" s="166"/>
      <c r="L5525" s="166"/>
    </row>
    <row r="5526">
      <c r="A5526" s="163" t="s">
        <v>222</v>
      </c>
      <c r="B5526" s="163"/>
      <c r="C5526" s="163"/>
      <c r="J5526" s="165"/>
      <c r="K5526" s="166"/>
      <c r="L5526" s="166"/>
    </row>
    <row r="5527">
      <c r="A5527" s="163" t="s">
        <v>222</v>
      </c>
      <c r="B5527" s="163"/>
      <c r="C5527" s="163"/>
      <c r="J5527" s="165"/>
      <c r="K5527" s="166"/>
      <c r="L5527" s="166"/>
    </row>
    <row r="5528">
      <c r="A5528" s="163" t="s">
        <v>222</v>
      </c>
      <c r="B5528" s="163"/>
      <c r="C5528" s="163"/>
      <c r="J5528" s="165"/>
      <c r="K5528" s="166"/>
      <c r="L5528" s="166"/>
    </row>
    <row r="5529">
      <c r="A5529" s="163" t="s">
        <v>222</v>
      </c>
      <c r="B5529" s="163"/>
      <c r="C5529" s="163"/>
      <c r="J5529" s="165"/>
      <c r="K5529" s="166"/>
      <c r="L5529" s="166"/>
    </row>
    <row r="5530">
      <c r="A5530" s="163" t="s">
        <v>222</v>
      </c>
      <c r="B5530" s="163"/>
      <c r="C5530" s="163"/>
      <c r="J5530" s="165"/>
      <c r="K5530" s="166"/>
      <c r="L5530" s="166"/>
    </row>
    <row r="5531">
      <c r="A5531" s="163" t="s">
        <v>222</v>
      </c>
      <c r="B5531" s="163"/>
      <c r="C5531" s="163"/>
      <c r="J5531" s="165"/>
      <c r="K5531" s="166"/>
      <c r="L5531" s="166"/>
    </row>
    <row r="5532">
      <c r="A5532" s="163" t="s">
        <v>222</v>
      </c>
      <c r="B5532" s="163"/>
      <c r="C5532" s="163"/>
      <c r="J5532" s="165"/>
      <c r="K5532" s="166"/>
      <c r="L5532" s="166"/>
    </row>
    <row r="5533">
      <c r="A5533" s="163" t="s">
        <v>222</v>
      </c>
      <c r="B5533" s="163"/>
      <c r="C5533" s="163"/>
      <c r="J5533" s="165"/>
      <c r="K5533" s="166"/>
      <c r="L5533" s="166"/>
    </row>
    <row r="5534">
      <c r="A5534" s="163" t="s">
        <v>222</v>
      </c>
      <c r="B5534" s="163"/>
      <c r="C5534" s="163"/>
      <c r="J5534" s="165"/>
      <c r="K5534" s="166"/>
      <c r="L5534" s="166"/>
    </row>
    <row r="5535">
      <c r="A5535" s="163" t="s">
        <v>222</v>
      </c>
      <c r="B5535" s="163"/>
      <c r="C5535" s="163"/>
      <c r="J5535" s="165"/>
      <c r="K5535" s="166"/>
      <c r="L5535" s="166"/>
    </row>
    <row r="5536">
      <c r="A5536" s="163" t="s">
        <v>222</v>
      </c>
      <c r="B5536" s="163"/>
      <c r="C5536" s="163"/>
      <c r="J5536" s="165"/>
      <c r="K5536" s="166"/>
      <c r="L5536" s="166"/>
    </row>
    <row r="5537">
      <c r="A5537" s="163" t="s">
        <v>222</v>
      </c>
      <c r="B5537" s="163"/>
      <c r="C5537" s="163"/>
      <c r="J5537" s="165"/>
      <c r="K5537" s="166"/>
      <c r="L5537" s="166"/>
    </row>
    <row r="5538">
      <c r="A5538" s="163" t="s">
        <v>222</v>
      </c>
      <c r="B5538" s="163"/>
      <c r="C5538" s="163"/>
      <c r="J5538" s="165"/>
      <c r="K5538" s="166"/>
      <c r="L5538" s="166"/>
    </row>
    <row r="5539">
      <c r="A5539" s="163" t="s">
        <v>222</v>
      </c>
      <c r="B5539" s="163"/>
      <c r="C5539" s="163"/>
      <c r="J5539" s="165"/>
      <c r="K5539" s="166"/>
      <c r="L5539" s="166"/>
    </row>
    <row r="5540">
      <c r="A5540" s="163" t="s">
        <v>222</v>
      </c>
      <c r="B5540" s="163"/>
      <c r="C5540" s="163"/>
      <c r="J5540" s="165"/>
      <c r="K5540" s="166"/>
      <c r="L5540" s="166"/>
    </row>
    <row r="5541">
      <c r="A5541" s="163" t="s">
        <v>222</v>
      </c>
      <c r="B5541" s="163"/>
      <c r="C5541" s="163"/>
      <c r="J5541" s="165"/>
      <c r="K5541" s="166"/>
      <c r="L5541" s="166"/>
    </row>
    <row r="5542">
      <c r="A5542" s="163" t="s">
        <v>222</v>
      </c>
      <c r="B5542" s="163"/>
      <c r="C5542" s="163"/>
      <c r="J5542" s="165"/>
      <c r="K5542" s="166"/>
      <c r="L5542" s="166"/>
    </row>
    <row r="5543">
      <c r="A5543" s="163" t="s">
        <v>222</v>
      </c>
      <c r="B5543" s="163"/>
      <c r="C5543" s="163"/>
      <c r="J5543" s="165"/>
      <c r="K5543" s="166"/>
      <c r="L5543" s="166"/>
    </row>
    <row r="5544">
      <c r="A5544" s="163" t="s">
        <v>222</v>
      </c>
      <c r="B5544" s="163"/>
      <c r="C5544" s="163"/>
      <c r="J5544" s="165"/>
      <c r="K5544" s="166"/>
      <c r="L5544" s="166"/>
    </row>
    <row r="5545">
      <c r="A5545" s="163" t="s">
        <v>222</v>
      </c>
      <c r="B5545" s="163"/>
      <c r="C5545" s="163"/>
      <c r="J5545" s="165"/>
      <c r="K5545" s="166"/>
      <c r="L5545" s="166"/>
    </row>
    <row r="5546">
      <c r="A5546" s="163" t="s">
        <v>222</v>
      </c>
      <c r="B5546" s="163"/>
      <c r="C5546" s="163"/>
      <c r="J5546" s="165"/>
      <c r="K5546" s="166"/>
      <c r="L5546" s="166"/>
    </row>
    <row r="5547">
      <c r="A5547" s="163" t="s">
        <v>222</v>
      </c>
      <c r="B5547" s="163"/>
      <c r="C5547" s="163"/>
      <c r="J5547" s="165"/>
      <c r="K5547" s="166"/>
      <c r="L5547" s="166"/>
    </row>
    <row r="5548">
      <c r="A5548" s="163" t="s">
        <v>222</v>
      </c>
      <c r="B5548" s="163"/>
      <c r="C5548" s="163"/>
      <c r="J5548" s="165"/>
      <c r="K5548" s="166"/>
      <c r="L5548" s="166"/>
    </row>
    <row r="5549">
      <c r="A5549" s="163" t="s">
        <v>222</v>
      </c>
      <c r="B5549" s="163"/>
      <c r="C5549" s="163"/>
      <c r="J5549" s="165"/>
      <c r="K5549" s="166"/>
      <c r="L5549" s="166"/>
    </row>
    <row r="5550">
      <c r="A5550" s="163" t="s">
        <v>222</v>
      </c>
      <c r="B5550" s="163"/>
      <c r="C5550" s="163"/>
      <c r="J5550" s="165"/>
      <c r="K5550" s="166"/>
      <c r="L5550" s="166"/>
    </row>
    <row r="5551">
      <c r="A5551" s="163" t="s">
        <v>222</v>
      </c>
      <c r="B5551" s="163"/>
      <c r="C5551" s="163"/>
      <c r="J5551" s="165"/>
      <c r="K5551" s="166"/>
      <c r="L5551" s="166"/>
    </row>
    <row r="5552">
      <c r="A5552" s="163" t="s">
        <v>222</v>
      </c>
      <c r="B5552" s="163"/>
      <c r="C5552" s="163"/>
      <c r="J5552" s="165"/>
      <c r="K5552" s="166"/>
      <c r="L5552" s="166"/>
    </row>
    <row r="5553">
      <c r="A5553" s="163" t="s">
        <v>222</v>
      </c>
      <c r="B5553" s="163"/>
      <c r="C5553" s="163"/>
      <c r="J5553" s="165"/>
      <c r="K5553" s="166"/>
      <c r="L5553" s="166"/>
    </row>
    <row r="5554">
      <c r="A5554" s="163" t="s">
        <v>222</v>
      </c>
      <c r="B5554" s="163"/>
      <c r="C5554" s="163"/>
      <c r="J5554" s="165"/>
      <c r="K5554" s="166"/>
      <c r="L5554" s="166"/>
    </row>
    <row r="5555">
      <c r="A5555" s="163" t="s">
        <v>222</v>
      </c>
      <c r="B5555" s="163"/>
      <c r="C5555" s="163"/>
      <c r="J5555" s="165"/>
      <c r="K5555" s="166"/>
      <c r="L5555" s="166"/>
    </row>
    <row r="5556">
      <c r="A5556" s="163" t="s">
        <v>222</v>
      </c>
      <c r="B5556" s="163"/>
      <c r="C5556" s="163"/>
      <c r="J5556" s="165"/>
      <c r="K5556" s="166"/>
      <c r="L5556" s="166"/>
    </row>
    <row r="5557">
      <c r="A5557" s="163" t="s">
        <v>222</v>
      </c>
      <c r="B5557" s="163"/>
      <c r="C5557" s="163"/>
      <c r="J5557" s="165"/>
      <c r="K5557" s="166"/>
      <c r="L5557" s="166"/>
    </row>
    <row r="5558">
      <c r="A5558" s="163" t="s">
        <v>222</v>
      </c>
      <c r="B5558" s="163"/>
      <c r="C5558" s="163"/>
      <c r="J5558" s="165"/>
      <c r="K5558" s="166"/>
      <c r="L5558" s="166"/>
    </row>
    <row r="5559">
      <c r="A5559" s="163" t="s">
        <v>222</v>
      </c>
      <c r="B5559" s="163"/>
      <c r="C5559" s="163"/>
      <c r="J5559" s="165"/>
      <c r="K5559" s="166"/>
      <c r="L5559" s="166"/>
    </row>
    <row r="5560">
      <c r="A5560" s="163" t="s">
        <v>222</v>
      </c>
      <c r="B5560" s="163"/>
      <c r="C5560" s="163"/>
      <c r="J5560" s="165"/>
      <c r="K5560" s="166"/>
      <c r="L5560" s="166"/>
    </row>
    <row r="5561">
      <c r="A5561" s="163" t="s">
        <v>222</v>
      </c>
      <c r="B5561" s="163"/>
      <c r="C5561" s="163"/>
      <c r="J5561" s="165"/>
      <c r="K5561" s="166"/>
      <c r="L5561" s="166"/>
    </row>
    <row r="5562">
      <c r="A5562" s="163" t="s">
        <v>222</v>
      </c>
      <c r="B5562" s="163"/>
      <c r="C5562" s="163"/>
      <c r="J5562" s="165"/>
      <c r="K5562" s="166"/>
      <c r="L5562" s="166"/>
    </row>
    <row r="5563">
      <c r="A5563" s="163" t="s">
        <v>222</v>
      </c>
      <c r="B5563" s="163"/>
      <c r="C5563" s="163"/>
      <c r="J5563" s="165"/>
      <c r="K5563" s="166"/>
      <c r="L5563" s="166"/>
    </row>
    <row r="5564">
      <c r="A5564" s="163" t="s">
        <v>222</v>
      </c>
      <c r="B5564" s="163"/>
      <c r="C5564" s="163"/>
      <c r="J5564" s="165"/>
      <c r="K5564" s="166"/>
      <c r="L5564" s="166"/>
    </row>
    <row r="5565">
      <c r="A5565" s="163" t="s">
        <v>222</v>
      </c>
      <c r="B5565" s="163"/>
      <c r="C5565" s="163"/>
      <c r="J5565" s="165"/>
      <c r="K5565" s="166"/>
      <c r="L5565" s="166"/>
    </row>
    <row r="5566">
      <c r="A5566" s="163" t="s">
        <v>222</v>
      </c>
      <c r="B5566" s="163"/>
      <c r="C5566" s="163"/>
      <c r="J5566" s="165"/>
      <c r="K5566" s="166"/>
      <c r="L5566" s="166"/>
    </row>
    <row r="5567">
      <c r="A5567" s="163" t="s">
        <v>222</v>
      </c>
      <c r="B5567" s="163"/>
      <c r="C5567" s="163"/>
      <c r="J5567" s="165"/>
      <c r="K5567" s="166"/>
      <c r="L5567" s="166"/>
    </row>
    <row r="5568">
      <c r="A5568" s="163" t="s">
        <v>222</v>
      </c>
      <c r="B5568" s="163"/>
      <c r="C5568" s="163"/>
      <c r="J5568" s="165"/>
      <c r="K5568" s="166"/>
      <c r="L5568" s="166"/>
    </row>
    <row r="5569">
      <c r="A5569" s="163" t="s">
        <v>222</v>
      </c>
      <c r="B5569" s="163"/>
      <c r="C5569" s="163"/>
      <c r="J5569" s="165"/>
      <c r="K5569" s="166"/>
      <c r="L5569" s="166"/>
    </row>
    <row r="5570">
      <c r="A5570" s="163" t="s">
        <v>222</v>
      </c>
      <c r="B5570" s="163"/>
      <c r="C5570" s="163"/>
      <c r="J5570" s="165"/>
      <c r="K5570" s="166"/>
      <c r="L5570" s="166"/>
    </row>
    <row r="5571">
      <c r="A5571" s="163" t="s">
        <v>222</v>
      </c>
      <c r="B5571" s="163"/>
      <c r="C5571" s="163"/>
      <c r="J5571" s="165"/>
      <c r="K5571" s="166"/>
      <c r="L5571" s="166"/>
    </row>
    <row r="5572">
      <c r="A5572" s="163" t="s">
        <v>222</v>
      </c>
      <c r="B5572" s="163"/>
      <c r="C5572" s="163"/>
      <c r="J5572" s="165"/>
      <c r="K5572" s="166"/>
      <c r="L5572" s="166"/>
    </row>
    <row r="5573">
      <c r="A5573" s="163" t="s">
        <v>222</v>
      </c>
      <c r="B5573" s="163"/>
      <c r="C5573" s="163"/>
      <c r="J5573" s="165"/>
      <c r="K5573" s="166"/>
      <c r="L5573" s="166"/>
    </row>
    <row r="5574">
      <c r="A5574" s="163" t="s">
        <v>222</v>
      </c>
      <c r="B5574" s="163"/>
      <c r="C5574" s="163"/>
      <c r="J5574" s="165"/>
      <c r="K5574" s="166"/>
      <c r="L5574" s="166"/>
    </row>
    <row r="5575">
      <c r="A5575" s="163" t="s">
        <v>222</v>
      </c>
      <c r="B5575" s="163"/>
      <c r="C5575" s="163"/>
      <c r="J5575" s="165"/>
      <c r="K5575" s="166"/>
      <c r="L5575" s="166"/>
    </row>
    <row r="5576">
      <c r="A5576" s="163" t="s">
        <v>222</v>
      </c>
      <c r="B5576" s="163"/>
      <c r="C5576" s="163"/>
      <c r="J5576" s="165"/>
      <c r="K5576" s="166"/>
      <c r="L5576" s="166"/>
    </row>
    <row r="5577">
      <c r="A5577" s="163" t="s">
        <v>222</v>
      </c>
      <c r="B5577" s="163"/>
      <c r="C5577" s="163"/>
      <c r="J5577" s="165"/>
      <c r="K5577" s="166"/>
      <c r="L5577" s="166"/>
    </row>
    <row r="5578">
      <c r="A5578" s="163" t="s">
        <v>222</v>
      </c>
      <c r="B5578" s="163"/>
      <c r="C5578" s="163"/>
      <c r="J5578" s="165"/>
      <c r="K5578" s="166"/>
      <c r="L5578" s="166"/>
    </row>
    <row r="5579">
      <c r="A5579" s="163" t="s">
        <v>222</v>
      </c>
      <c r="B5579" s="163"/>
      <c r="C5579" s="163"/>
      <c r="J5579" s="165"/>
      <c r="K5579" s="166"/>
      <c r="L5579" s="166"/>
    </row>
    <row r="5580">
      <c r="A5580" s="163" t="s">
        <v>222</v>
      </c>
      <c r="B5580" s="163"/>
      <c r="C5580" s="163"/>
      <c r="J5580" s="165"/>
      <c r="K5580" s="166"/>
      <c r="L5580" s="166"/>
    </row>
    <row r="5581">
      <c r="A5581" s="163" t="s">
        <v>222</v>
      </c>
      <c r="B5581" s="163"/>
      <c r="C5581" s="163"/>
      <c r="J5581" s="165"/>
      <c r="K5581" s="166"/>
      <c r="L5581" s="166"/>
    </row>
    <row r="5582">
      <c r="A5582" s="163" t="s">
        <v>222</v>
      </c>
      <c r="B5582" s="163"/>
      <c r="C5582" s="163"/>
      <c r="J5582" s="165"/>
      <c r="K5582" s="166"/>
      <c r="L5582" s="166"/>
    </row>
    <row r="5583">
      <c r="A5583" s="163" t="s">
        <v>222</v>
      </c>
      <c r="B5583" s="163"/>
      <c r="C5583" s="163"/>
      <c r="J5583" s="165"/>
      <c r="K5583" s="166"/>
      <c r="L5583" s="166"/>
    </row>
    <row r="5584">
      <c r="A5584" s="163" t="s">
        <v>222</v>
      </c>
      <c r="B5584" s="163"/>
      <c r="C5584" s="163"/>
      <c r="J5584" s="165"/>
      <c r="K5584" s="166"/>
      <c r="L5584" s="166"/>
    </row>
    <row r="5585">
      <c r="A5585" s="163" t="s">
        <v>222</v>
      </c>
      <c r="B5585" s="163"/>
      <c r="C5585" s="163"/>
      <c r="J5585" s="165"/>
      <c r="K5585" s="166"/>
      <c r="L5585" s="166"/>
    </row>
    <row r="5586">
      <c r="A5586" s="163" t="s">
        <v>222</v>
      </c>
      <c r="B5586" s="163"/>
      <c r="C5586" s="163"/>
      <c r="J5586" s="165"/>
      <c r="K5586" s="166"/>
      <c r="L5586" s="166"/>
    </row>
    <row r="5587">
      <c r="A5587" s="163" t="s">
        <v>222</v>
      </c>
      <c r="B5587" s="163"/>
      <c r="C5587" s="163"/>
      <c r="J5587" s="165"/>
      <c r="K5587" s="166"/>
      <c r="L5587" s="166"/>
    </row>
    <row r="5588">
      <c r="A5588" s="163" t="s">
        <v>222</v>
      </c>
      <c r="B5588" s="163"/>
      <c r="C5588" s="163"/>
      <c r="J5588" s="165"/>
      <c r="K5588" s="166"/>
      <c r="L5588" s="166"/>
    </row>
    <row r="5589">
      <c r="A5589" s="163" t="s">
        <v>222</v>
      </c>
      <c r="B5589" s="163"/>
      <c r="C5589" s="163"/>
      <c r="J5589" s="165"/>
      <c r="K5589" s="166"/>
      <c r="L5589" s="166"/>
    </row>
    <row r="5590">
      <c r="A5590" s="163" t="s">
        <v>222</v>
      </c>
      <c r="B5590" s="163"/>
      <c r="C5590" s="163"/>
      <c r="J5590" s="165"/>
      <c r="K5590" s="166"/>
      <c r="L5590" s="166"/>
    </row>
    <row r="5591">
      <c r="A5591" s="163" t="s">
        <v>222</v>
      </c>
      <c r="B5591" s="163"/>
      <c r="C5591" s="163"/>
      <c r="J5591" s="165"/>
      <c r="K5591" s="166"/>
      <c r="L5591" s="166"/>
    </row>
    <row r="5592">
      <c r="A5592" s="163" t="s">
        <v>222</v>
      </c>
      <c r="B5592" s="163"/>
      <c r="C5592" s="163"/>
      <c r="J5592" s="165"/>
      <c r="K5592" s="166"/>
      <c r="L5592" s="166"/>
    </row>
    <row r="5593">
      <c r="A5593" s="163" t="s">
        <v>222</v>
      </c>
      <c r="B5593" s="163"/>
      <c r="C5593" s="163"/>
      <c r="J5593" s="165"/>
      <c r="K5593" s="166"/>
      <c r="L5593" s="166"/>
    </row>
    <row r="5594">
      <c r="A5594" s="163" t="s">
        <v>222</v>
      </c>
      <c r="B5594" s="163"/>
      <c r="C5594" s="163"/>
      <c r="J5594" s="165"/>
      <c r="K5594" s="166"/>
      <c r="L5594" s="166"/>
    </row>
    <row r="5595">
      <c r="A5595" s="163" t="s">
        <v>222</v>
      </c>
      <c r="B5595" s="163"/>
      <c r="C5595" s="163"/>
      <c r="J5595" s="165"/>
      <c r="K5595" s="166"/>
      <c r="L5595" s="166"/>
    </row>
    <row r="5596">
      <c r="A5596" s="163" t="s">
        <v>222</v>
      </c>
      <c r="B5596" s="163"/>
      <c r="C5596" s="163"/>
      <c r="J5596" s="165"/>
      <c r="K5596" s="166"/>
      <c r="L5596" s="166"/>
    </row>
    <row r="5597">
      <c r="A5597" s="163" t="s">
        <v>222</v>
      </c>
      <c r="B5597" s="163"/>
      <c r="C5597" s="163"/>
      <c r="J5597" s="165"/>
      <c r="K5597" s="166"/>
      <c r="L5597" s="166"/>
    </row>
    <row r="5598">
      <c r="A5598" s="163" t="s">
        <v>222</v>
      </c>
      <c r="B5598" s="163"/>
      <c r="C5598" s="163"/>
      <c r="J5598" s="165"/>
      <c r="K5598" s="166"/>
      <c r="L5598" s="166"/>
    </row>
    <row r="5599">
      <c r="A5599" s="163" t="s">
        <v>222</v>
      </c>
      <c r="B5599" s="163"/>
      <c r="C5599" s="163"/>
      <c r="J5599" s="165"/>
      <c r="K5599" s="166"/>
      <c r="L5599" s="166"/>
    </row>
    <row r="5600">
      <c r="A5600" s="163" t="s">
        <v>222</v>
      </c>
      <c r="B5600" s="163"/>
      <c r="C5600" s="163"/>
      <c r="J5600" s="165"/>
      <c r="K5600" s="166"/>
      <c r="L5600" s="166"/>
    </row>
    <row r="5601">
      <c r="A5601" s="163" t="s">
        <v>222</v>
      </c>
      <c r="B5601" s="163"/>
      <c r="C5601" s="163"/>
      <c r="J5601" s="165"/>
      <c r="K5601" s="166"/>
      <c r="L5601" s="166"/>
    </row>
    <row r="5602">
      <c r="A5602" s="163" t="s">
        <v>222</v>
      </c>
      <c r="B5602" s="163"/>
      <c r="C5602" s="163"/>
      <c r="J5602" s="165"/>
      <c r="K5602" s="166"/>
      <c r="L5602" s="166"/>
    </row>
    <row r="5603">
      <c r="A5603" s="163" t="s">
        <v>222</v>
      </c>
      <c r="B5603" s="163"/>
      <c r="C5603" s="163"/>
      <c r="J5603" s="165"/>
      <c r="K5603" s="166"/>
      <c r="L5603" s="166"/>
    </row>
    <row r="5604">
      <c r="A5604" s="163" t="s">
        <v>222</v>
      </c>
      <c r="B5604" s="163"/>
      <c r="C5604" s="163"/>
      <c r="J5604" s="165"/>
      <c r="K5604" s="166"/>
      <c r="L5604" s="166"/>
    </row>
    <row r="5605">
      <c r="A5605" s="163" t="s">
        <v>222</v>
      </c>
      <c r="B5605" s="163"/>
      <c r="C5605" s="163"/>
      <c r="J5605" s="165"/>
      <c r="K5605" s="166"/>
      <c r="L5605" s="166"/>
    </row>
    <row r="5606">
      <c r="A5606" s="163" t="s">
        <v>222</v>
      </c>
      <c r="B5606" s="163"/>
      <c r="C5606" s="163"/>
      <c r="J5606" s="165"/>
      <c r="K5606" s="166"/>
      <c r="L5606" s="166"/>
    </row>
    <row r="5607">
      <c r="A5607" s="163" t="s">
        <v>222</v>
      </c>
      <c r="B5607" s="163"/>
      <c r="C5607" s="163"/>
      <c r="J5607" s="165"/>
      <c r="K5607" s="166"/>
      <c r="L5607" s="166"/>
    </row>
    <row r="5608">
      <c r="A5608" s="163" t="s">
        <v>222</v>
      </c>
      <c r="B5608" s="163"/>
      <c r="C5608" s="163"/>
      <c r="J5608" s="165"/>
      <c r="K5608" s="166"/>
      <c r="L5608" s="166"/>
    </row>
    <row r="5609">
      <c r="A5609" s="163" t="s">
        <v>222</v>
      </c>
      <c r="B5609" s="163"/>
      <c r="C5609" s="163"/>
      <c r="J5609" s="165"/>
      <c r="K5609" s="166"/>
      <c r="L5609" s="166"/>
    </row>
    <row r="5610">
      <c r="A5610" s="163" t="s">
        <v>222</v>
      </c>
      <c r="B5610" s="163"/>
      <c r="C5610" s="163"/>
      <c r="J5610" s="165"/>
      <c r="K5610" s="166"/>
      <c r="L5610" s="166"/>
    </row>
    <row r="5611">
      <c r="A5611" s="163" t="s">
        <v>222</v>
      </c>
      <c r="B5611" s="163"/>
      <c r="C5611" s="163"/>
      <c r="J5611" s="165"/>
      <c r="K5611" s="166"/>
      <c r="L5611" s="166"/>
    </row>
    <row r="5612">
      <c r="A5612" s="163" t="s">
        <v>222</v>
      </c>
      <c r="B5612" s="163"/>
      <c r="C5612" s="163"/>
      <c r="J5612" s="165"/>
      <c r="K5612" s="166"/>
      <c r="L5612" s="166"/>
    </row>
    <row r="5613">
      <c r="A5613" s="163" t="s">
        <v>222</v>
      </c>
      <c r="B5613" s="163"/>
      <c r="C5613" s="163"/>
      <c r="J5613" s="165"/>
      <c r="K5613" s="166"/>
      <c r="L5613" s="166"/>
    </row>
    <row r="5614">
      <c r="A5614" s="163" t="s">
        <v>222</v>
      </c>
      <c r="B5614" s="163"/>
      <c r="C5614" s="163"/>
      <c r="J5614" s="165"/>
      <c r="K5614" s="166"/>
      <c r="L5614" s="166"/>
    </row>
    <row r="5615">
      <c r="A5615" s="163" t="s">
        <v>222</v>
      </c>
      <c r="B5615" s="163"/>
      <c r="C5615" s="163"/>
      <c r="J5615" s="165"/>
      <c r="K5615" s="166"/>
      <c r="L5615" s="166"/>
    </row>
    <row r="5616">
      <c r="A5616" s="163" t="s">
        <v>222</v>
      </c>
      <c r="B5616" s="163"/>
      <c r="C5616" s="163"/>
      <c r="J5616" s="165"/>
      <c r="K5616" s="166"/>
      <c r="L5616" s="166"/>
    </row>
    <row r="5617">
      <c r="A5617" s="163" t="s">
        <v>222</v>
      </c>
      <c r="B5617" s="163"/>
      <c r="C5617" s="163"/>
      <c r="J5617" s="165"/>
      <c r="K5617" s="166"/>
      <c r="L5617" s="166"/>
    </row>
    <row r="5618">
      <c r="A5618" s="163" t="s">
        <v>222</v>
      </c>
      <c r="B5618" s="163"/>
      <c r="C5618" s="163"/>
      <c r="J5618" s="165"/>
      <c r="K5618" s="166"/>
      <c r="L5618" s="166"/>
    </row>
    <row r="5619">
      <c r="A5619" s="163" t="s">
        <v>222</v>
      </c>
      <c r="B5619" s="163"/>
      <c r="C5619" s="163"/>
      <c r="J5619" s="165"/>
      <c r="K5619" s="166"/>
      <c r="L5619" s="166"/>
    </row>
    <row r="5620">
      <c r="A5620" s="163" t="s">
        <v>222</v>
      </c>
      <c r="B5620" s="163"/>
      <c r="C5620" s="163"/>
      <c r="J5620" s="165"/>
      <c r="K5620" s="166"/>
      <c r="L5620" s="166"/>
    </row>
    <row r="5621">
      <c r="A5621" s="163" t="s">
        <v>222</v>
      </c>
      <c r="B5621" s="163"/>
      <c r="C5621" s="163"/>
      <c r="J5621" s="165"/>
      <c r="K5621" s="166"/>
      <c r="L5621" s="166"/>
    </row>
    <row r="5622">
      <c r="A5622" s="163" t="s">
        <v>222</v>
      </c>
      <c r="B5622" s="163"/>
      <c r="C5622" s="163"/>
      <c r="J5622" s="165"/>
      <c r="K5622" s="166"/>
      <c r="L5622" s="166"/>
    </row>
    <row r="5623">
      <c r="A5623" s="163" t="s">
        <v>222</v>
      </c>
      <c r="B5623" s="163"/>
      <c r="C5623" s="163"/>
      <c r="J5623" s="165"/>
      <c r="K5623" s="166"/>
      <c r="L5623" s="166"/>
    </row>
    <row r="5624">
      <c r="A5624" s="163" t="s">
        <v>222</v>
      </c>
      <c r="B5624" s="163"/>
      <c r="C5624" s="163"/>
      <c r="J5624" s="165"/>
      <c r="K5624" s="166"/>
      <c r="L5624" s="166"/>
    </row>
    <row r="5625">
      <c r="A5625" s="163" t="s">
        <v>222</v>
      </c>
      <c r="B5625" s="163"/>
      <c r="C5625" s="163"/>
      <c r="J5625" s="165"/>
      <c r="K5625" s="166"/>
      <c r="L5625" s="166"/>
    </row>
    <row r="5626">
      <c r="A5626" s="163" t="s">
        <v>222</v>
      </c>
      <c r="B5626" s="163"/>
      <c r="C5626" s="163"/>
      <c r="J5626" s="165"/>
      <c r="K5626" s="166"/>
      <c r="L5626" s="166"/>
    </row>
    <row r="5627">
      <c r="A5627" s="163" t="s">
        <v>222</v>
      </c>
      <c r="B5627" s="163"/>
      <c r="C5627" s="163"/>
      <c r="J5627" s="165"/>
      <c r="K5627" s="166"/>
      <c r="L5627" s="166"/>
    </row>
    <row r="5628">
      <c r="A5628" s="163" t="s">
        <v>222</v>
      </c>
      <c r="B5628" s="163"/>
      <c r="C5628" s="163"/>
      <c r="J5628" s="165"/>
      <c r="K5628" s="166"/>
      <c r="L5628" s="166"/>
    </row>
    <row r="5629">
      <c r="A5629" s="163" t="s">
        <v>222</v>
      </c>
      <c r="B5629" s="163"/>
      <c r="C5629" s="163"/>
      <c r="J5629" s="165"/>
      <c r="K5629" s="166"/>
      <c r="L5629" s="166"/>
    </row>
    <row r="5630">
      <c r="A5630" s="163" t="s">
        <v>222</v>
      </c>
      <c r="B5630" s="163"/>
      <c r="C5630" s="163"/>
      <c r="J5630" s="165"/>
      <c r="K5630" s="166"/>
      <c r="L5630" s="166"/>
    </row>
    <row r="5631">
      <c r="A5631" s="163" t="s">
        <v>222</v>
      </c>
      <c r="B5631" s="163"/>
      <c r="C5631" s="163"/>
      <c r="J5631" s="165"/>
      <c r="K5631" s="166"/>
      <c r="L5631" s="166"/>
    </row>
    <row r="5632">
      <c r="A5632" s="163" t="s">
        <v>222</v>
      </c>
      <c r="B5632" s="163"/>
      <c r="C5632" s="163"/>
      <c r="J5632" s="165"/>
      <c r="K5632" s="166"/>
      <c r="L5632" s="166"/>
    </row>
    <row r="5633">
      <c r="A5633" s="163" t="s">
        <v>222</v>
      </c>
      <c r="B5633" s="163"/>
      <c r="C5633" s="163"/>
      <c r="J5633" s="165"/>
      <c r="K5633" s="166"/>
      <c r="L5633" s="166"/>
    </row>
    <row r="5634">
      <c r="A5634" s="163" t="s">
        <v>222</v>
      </c>
      <c r="B5634" s="163"/>
      <c r="C5634" s="163"/>
      <c r="J5634" s="165"/>
      <c r="K5634" s="166"/>
      <c r="L5634" s="166"/>
    </row>
    <row r="5635">
      <c r="A5635" s="163" t="s">
        <v>222</v>
      </c>
      <c r="B5635" s="163"/>
      <c r="C5635" s="163"/>
      <c r="J5635" s="165"/>
      <c r="K5635" s="166"/>
      <c r="L5635" s="166"/>
    </row>
    <row r="5636">
      <c r="A5636" s="163" t="s">
        <v>222</v>
      </c>
      <c r="B5636" s="163"/>
      <c r="C5636" s="163"/>
      <c r="J5636" s="165"/>
      <c r="K5636" s="166"/>
      <c r="L5636" s="166"/>
    </row>
    <row r="5637">
      <c r="A5637" s="163" t="s">
        <v>222</v>
      </c>
      <c r="B5637" s="163"/>
      <c r="C5637" s="163"/>
      <c r="J5637" s="165"/>
      <c r="K5637" s="166"/>
      <c r="L5637" s="166"/>
    </row>
    <row r="5638">
      <c r="A5638" s="163" t="s">
        <v>222</v>
      </c>
      <c r="B5638" s="163"/>
      <c r="C5638" s="163"/>
      <c r="J5638" s="165"/>
      <c r="K5638" s="166"/>
      <c r="L5638" s="166"/>
    </row>
    <row r="5639">
      <c r="A5639" s="163" t="s">
        <v>222</v>
      </c>
      <c r="B5639" s="163"/>
      <c r="C5639" s="163"/>
      <c r="J5639" s="165"/>
      <c r="K5639" s="166"/>
      <c r="L5639" s="166"/>
    </row>
    <row r="5640">
      <c r="A5640" s="163" t="s">
        <v>222</v>
      </c>
      <c r="B5640" s="163"/>
      <c r="C5640" s="163"/>
      <c r="J5640" s="165"/>
      <c r="K5640" s="166"/>
      <c r="L5640" s="166"/>
    </row>
    <row r="5641">
      <c r="A5641" s="163" t="s">
        <v>222</v>
      </c>
      <c r="B5641" s="163"/>
      <c r="C5641" s="163"/>
      <c r="J5641" s="165"/>
      <c r="K5641" s="166"/>
      <c r="L5641" s="166"/>
    </row>
    <row r="5642">
      <c r="A5642" s="163" t="s">
        <v>222</v>
      </c>
      <c r="B5642" s="163"/>
      <c r="C5642" s="163"/>
      <c r="J5642" s="165"/>
      <c r="K5642" s="166"/>
      <c r="L5642" s="166"/>
    </row>
    <row r="5643">
      <c r="A5643" s="163" t="s">
        <v>222</v>
      </c>
      <c r="B5643" s="163"/>
      <c r="C5643" s="163"/>
      <c r="J5643" s="165"/>
      <c r="K5643" s="166"/>
      <c r="L5643" s="166"/>
    </row>
    <row r="5644">
      <c r="A5644" s="163" t="s">
        <v>222</v>
      </c>
      <c r="B5644" s="163"/>
      <c r="C5644" s="163"/>
      <c r="J5644" s="165"/>
      <c r="K5644" s="166"/>
      <c r="L5644" s="166"/>
    </row>
    <row r="5645">
      <c r="A5645" s="163" t="s">
        <v>222</v>
      </c>
      <c r="B5645" s="163"/>
      <c r="C5645" s="163"/>
      <c r="J5645" s="165"/>
      <c r="K5645" s="166"/>
      <c r="L5645" s="166"/>
    </row>
    <row r="5646">
      <c r="A5646" s="163" t="s">
        <v>222</v>
      </c>
      <c r="B5646" s="163"/>
      <c r="C5646" s="163"/>
      <c r="J5646" s="165"/>
      <c r="K5646" s="166"/>
      <c r="L5646" s="166"/>
    </row>
    <row r="5647">
      <c r="A5647" s="163" t="s">
        <v>222</v>
      </c>
      <c r="B5647" s="163"/>
      <c r="C5647" s="163"/>
      <c r="J5647" s="165"/>
      <c r="K5647" s="166"/>
      <c r="L5647" s="166"/>
    </row>
    <row r="5648">
      <c r="A5648" s="163" t="s">
        <v>222</v>
      </c>
      <c r="B5648" s="163"/>
      <c r="C5648" s="163"/>
      <c r="J5648" s="165"/>
      <c r="K5648" s="166"/>
      <c r="L5648" s="166"/>
    </row>
    <row r="5649">
      <c r="A5649" s="163" t="s">
        <v>222</v>
      </c>
      <c r="B5649" s="163"/>
      <c r="C5649" s="163"/>
      <c r="J5649" s="165"/>
      <c r="K5649" s="166"/>
      <c r="L5649" s="166"/>
    </row>
    <row r="5650">
      <c r="A5650" s="163" t="s">
        <v>222</v>
      </c>
      <c r="B5650" s="163"/>
      <c r="C5650" s="163"/>
      <c r="J5650" s="165"/>
      <c r="K5650" s="166"/>
      <c r="L5650" s="166"/>
    </row>
    <row r="5651">
      <c r="A5651" s="163" t="s">
        <v>222</v>
      </c>
      <c r="B5651" s="163"/>
      <c r="C5651" s="163"/>
      <c r="J5651" s="165"/>
      <c r="K5651" s="166"/>
      <c r="L5651" s="166"/>
    </row>
    <row r="5652">
      <c r="A5652" s="163" t="s">
        <v>222</v>
      </c>
      <c r="B5652" s="163"/>
      <c r="C5652" s="163"/>
      <c r="J5652" s="165"/>
      <c r="K5652" s="166"/>
      <c r="L5652" s="166"/>
    </row>
    <row r="5653">
      <c r="A5653" s="163" t="s">
        <v>222</v>
      </c>
      <c r="B5653" s="163"/>
      <c r="C5653" s="163"/>
      <c r="J5653" s="165"/>
      <c r="K5653" s="166"/>
      <c r="L5653" s="166"/>
    </row>
    <row r="5654">
      <c r="A5654" s="163" t="s">
        <v>222</v>
      </c>
      <c r="B5654" s="163"/>
      <c r="C5654" s="163"/>
      <c r="J5654" s="165"/>
      <c r="K5654" s="166"/>
      <c r="L5654" s="166"/>
    </row>
    <row r="5655">
      <c r="A5655" s="163" t="s">
        <v>222</v>
      </c>
      <c r="B5655" s="163"/>
      <c r="C5655" s="163"/>
      <c r="J5655" s="165"/>
      <c r="K5655" s="166"/>
      <c r="L5655" s="166"/>
    </row>
    <row r="5656">
      <c r="A5656" s="163" t="s">
        <v>222</v>
      </c>
      <c r="B5656" s="163"/>
      <c r="C5656" s="163"/>
      <c r="J5656" s="165"/>
      <c r="K5656" s="166"/>
      <c r="L5656" s="166"/>
    </row>
    <row r="5657">
      <c r="A5657" s="163" t="s">
        <v>222</v>
      </c>
      <c r="B5657" s="163"/>
      <c r="C5657" s="163"/>
      <c r="J5657" s="165"/>
      <c r="K5657" s="166"/>
      <c r="L5657" s="166"/>
    </row>
    <row r="5658">
      <c r="A5658" s="163" t="s">
        <v>222</v>
      </c>
      <c r="B5658" s="163"/>
      <c r="C5658" s="163"/>
      <c r="J5658" s="165"/>
      <c r="K5658" s="166"/>
      <c r="L5658" s="166"/>
    </row>
    <row r="5659">
      <c r="A5659" s="163" t="s">
        <v>222</v>
      </c>
      <c r="B5659" s="163"/>
      <c r="C5659" s="163"/>
      <c r="J5659" s="165"/>
      <c r="K5659" s="166"/>
      <c r="L5659" s="166"/>
    </row>
    <row r="5660">
      <c r="A5660" s="163" t="s">
        <v>222</v>
      </c>
      <c r="B5660" s="163"/>
      <c r="C5660" s="163"/>
      <c r="J5660" s="165"/>
      <c r="K5660" s="166"/>
      <c r="L5660" s="166"/>
    </row>
    <row r="5661">
      <c r="A5661" s="163" t="s">
        <v>222</v>
      </c>
      <c r="B5661" s="163"/>
      <c r="C5661" s="163"/>
      <c r="J5661" s="165"/>
      <c r="K5661" s="166"/>
      <c r="L5661" s="166"/>
    </row>
    <row r="5662">
      <c r="A5662" s="163" t="s">
        <v>222</v>
      </c>
      <c r="B5662" s="163"/>
      <c r="C5662" s="163"/>
      <c r="J5662" s="165"/>
      <c r="K5662" s="166"/>
      <c r="L5662" s="166"/>
    </row>
    <row r="5663">
      <c r="A5663" s="163" t="s">
        <v>222</v>
      </c>
      <c r="B5663" s="163"/>
      <c r="C5663" s="163"/>
      <c r="J5663" s="165"/>
      <c r="K5663" s="166"/>
      <c r="L5663" s="166"/>
    </row>
    <row r="5664">
      <c r="A5664" s="163" t="s">
        <v>222</v>
      </c>
      <c r="B5664" s="163"/>
      <c r="C5664" s="163"/>
      <c r="J5664" s="165"/>
      <c r="K5664" s="166"/>
      <c r="L5664" s="166"/>
    </row>
    <row r="5665">
      <c r="A5665" s="163" t="s">
        <v>222</v>
      </c>
      <c r="B5665" s="163"/>
      <c r="C5665" s="163"/>
      <c r="J5665" s="165"/>
      <c r="K5665" s="166"/>
      <c r="L5665" s="166"/>
    </row>
    <row r="5666">
      <c r="A5666" s="163" t="s">
        <v>222</v>
      </c>
      <c r="B5666" s="163"/>
      <c r="C5666" s="163"/>
      <c r="J5666" s="165"/>
      <c r="K5666" s="166"/>
      <c r="L5666" s="166"/>
    </row>
    <row r="5667">
      <c r="A5667" s="163" t="s">
        <v>222</v>
      </c>
      <c r="B5667" s="163"/>
      <c r="C5667" s="163"/>
      <c r="J5667" s="165"/>
      <c r="K5667" s="166"/>
      <c r="L5667" s="166"/>
    </row>
    <row r="5668">
      <c r="A5668" s="163" t="s">
        <v>222</v>
      </c>
      <c r="B5668" s="163"/>
      <c r="C5668" s="163"/>
      <c r="J5668" s="165"/>
      <c r="K5668" s="166"/>
      <c r="L5668" s="166"/>
    </row>
    <row r="5669">
      <c r="A5669" s="163" t="s">
        <v>222</v>
      </c>
      <c r="B5669" s="163"/>
      <c r="C5669" s="163"/>
      <c r="J5669" s="165"/>
      <c r="K5669" s="166"/>
      <c r="L5669" s="166"/>
    </row>
    <row r="5670">
      <c r="A5670" s="163" t="s">
        <v>222</v>
      </c>
      <c r="B5670" s="163"/>
      <c r="C5670" s="163"/>
      <c r="J5670" s="165"/>
      <c r="K5670" s="166"/>
      <c r="L5670" s="166"/>
    </row>
    <row r="5671">
      <c r="A5671" s="163" t="s">
        <v>222</v>
      </c>
      <c r="B5671" s="163"/>
      <c r="C5671" s="163"/>
      <c r="J5671" s="165"/>
      <c r="K5671" s="166"/>
      <c r="L5671" s="166"/>
    </row>
    <row r="5672">
      <c r="A5672" s="163" t="s">
        <v>222</v>
      </c>
      <c r="B5672" s="163"/>
      <c r="C5672" s="163"/>
      <c r="J5672" s="165"/>
      <c r="K5672" s="166"/>
      <c r="L5672" s="166"/>
    </row>
    <row r="5673">
      <c r="A5673" s="163" t="s">
        <v>222</v>
      </c>
      <c r="B5673" s="163"/>
      <c r="C5673" s="163"/>
      <c r="J5673" s="165"/>
      <c r="K5673" s="166"/>
      <c r="L5673" s="166"/>
    </row>
    <row r="5674">
      <c r="A5674" s="163" t="s">
        <v>222</v>
      </c>
      <c r="B5674" s="163"/>
      <c r="C5674" s="163"/>
      <c r="J5674" s="165"/>
      <c r="K5674" s="166"/>
      <c r="L5674" s="166"/>
    </row>
    <row r="5675">
      <c r="A5675" s="163" t="s">
        <v>222</v>
      </c>
      <c r="B5675" s="163"/>
      <c r="C5675" s="163"/>
      <c r="J5675" s="165"/>
      <c r="K5675" s="166"/>
      <c r="L5675" s="166"/>
    </row>
    <row r="5676">
      <c r="A5676" s="163" t="s">
        <v>222</v>
      </c>
      <c r="B5676" s="163"/>
      <c r="C5676" s="163"/>
      <c r="J5676" s="165"/>
      <c r="K5676" s="166"/>
      <c r="L5676" s="166"/>
    </row>
    <row r="5677">
      <c r="A5677" s="163" t="s">
        <v>222</v>
      </c>
      <c r="B5677" s="163"/>
      <c r="C5677" s="163"/>
      <c r="J5677" s="165"/>
      <c r="K5677" s="166"/>
      <c r="L5677" s="166"/>
    </row>
    <row r="5678">
      <c r="A5678" s="163" t="s">
        <v>222</v>
      </c>
      <c r="B5678" s="163"/>
      <c r="C5678" s="163"/>
      <c r="J5678" s="165"/>
      <c r="K5678" s="166"/>
      <c r="L5678" s="166"/>
    </row>
    <row r="5679">
      <c r="A5679" s="163" t="s">
        <v>222</v>
      </c>
      <c r="B5679" s="163"/>
      <c r="C5679" s="163"/>
      <c r="J5679" s="165"/>
      <c r="K5679" s="166"/>
      <c r="L5679" s="166"/>
    </row>
    <row r="5680">
      <c r="A5680" s="163" t="s">
        <v>222</v>
      </c>
      <c r="B5680" s="163"/>
      <c r="C5680" s="163"/>
      <c r="J5680" s="165"/>
      <c r="K5680" s="166"/>
      <c r="L5680" s="166"/>
    </row>
    <row r="5681">
      <c r="A5681" s="163" t="s">
        <v>222</v>
      </c>
      <c r="B5681" s="163"/>
      <c r="C5681" s="163"/>
      <c r="J5681" s="165"/>
      <c r="K5681" s="166"/>
      <c r="L5681" s="166"/>
    </row>
    <row r="5682">
      <c r="A5682" s="163" t="s">
        <v>222</v>
      </c>
      <c r="B5682" s="163"/>
      <c r="C5682" s="163"/>
      <c r="J5682" s="165"/>
      <c r="K5682" s="166"/>
      <c r="L5682" s="166"/>
    </row>
    <row r="5683">
      <c r="A5683" s="163" t="s">
        <v>222</v>
      </c>
      <c r="B5683" s="163"/>
      <c r="C5683" s="163"/>
      <c r="J5683" s="165"/>
      <c r="K5683" s="166"/>
      <c r="L5683" s="166"/>
    </row>
    <row r="5684">
      <c r="A5684" s="163" t="s">
        <v>222</v>
      </c>
      <c r="B5684" s="163"/>
      <c r="C5684" s="163"/>
      <c r="J5684" s="165"/>
      <c r="K5684" s="166"/>
      <c r="L5684" s="166"/>
    </row>
    <row r="5685">
      <c r="A5685" s="163" t="s">
        <v>222</v>
      </c>
      <c r="B5685" s="163"/>
      <c r="C5685" s="163"/>
      <c r="J5685" s="165"/>
      <c r="K5685" s="166"/>
      <c r="L5685" s="166"/>
    </row>
    <row r="5686">
      <c r="A5686" s="163" t="s">
        <v>222</v>
      </c>
      <c r="B5686" s="163"/>
      <c r="C5686" s="163"/>
      <c r="J5686" s="165"/>
      <c r="K5686" s="166"/>
      <c r="L5686" s="166"/>
    </row>
    <row r="5687">
      <c r="A5687" s="163" t="s">
        <v>222</v>
      </c>
      <c r="B5687" s="163"/>
      <c r="C5687" s="163"/>
      <c r="J5687" s="165"/>
      <c r="K5687" s="166"/>
      <c r="L5687" s="166"/>
    </row>
    <row r="5688">
      <c r="A5688" s="163" t="s">
        <v>222</v>
      </c>
      <c r="B5688" s="163"/>
      <c r="C5688" s="163"/>
      <c r="J5688" s="165"/>
      <c r="K5688" s="166"/>
      <c r="L5688" s="166"/>
    </row>
    <row r="5689">
      <c r="A5689" s="163" t="s">
        <v>222</v>
      </c>
      <c r="B5689" s="163"/>
      <c r="C5689" s="163"/>
      <c r="J5689" s="165"/>
      <c r="K5689" s="166"/>
      <c r="L5689" s="166"/>
    </row>
    <row r="5690">
      <c r="A5690" s="163" t="s">
        <v>222</v>
      </c>
      <c r="B5690" s="163"/>
      <c r="C5690" s="163"/>
      <c r="J5690" s="165"/>
      <c r="K5690" s="166"/>
      <c r="L5690" s="166"/>
    </row>
    <row r="5691">
      <c r="A5691" s="163" t="s">
        <v>222</v>
      </c>
      <c r="B5691" s="163"/>
      <c r="C5691" s="163"/>
      <c r="J5691" s="165"/>
      <c r="K5691" s="166"/>
      <c r="L5691" s="166"/>
    </row>
    <row r="5692">
      <c r="A5692" s="163" t="s">
        <v>222</v>
      </c>
      <c r="B5692" s="163"/>
      <c r="C5692" s="163"/>
      <c r="J5692" s="165"/>
      <c r="K5692" s="166"/>
      <c r="L5692" s="166"/>
    </row>
    <row r="5693">
      <c r="A5693" s="163" t="s">
        <v>222</v>
      </c>
      <c r="B5693" s="163"/>
      <c r="C5693" s="163"/>
      <c r="J5693" s="165"/>
      <c r="K5693" s="166"/>
      <c r="L5693" s="166"/>
    </row>
    <row r="5694">
      <c r="A5694" s="163" t="s">
        <v>222</v>
      </c>
      <c r="B5694" s="163"/>
      <c r="C5694" s="163"/>
      <c r="J5694" s="165"/>
      <c r="K5694" s="166"/>
      <c r="L5694" s="166"/>
    </row>
    <row r="5695">
      <c r="A5695" s="163" t="s">
        <v>222</v>
      </c>
      <c r="B5695" s="163"/>
      <c r="C5695" s="163"/>
      <c r="J5695" s="165"/>
      <c r="K5695" s="166"/>
      <c r="L5695" s="166"/>
    </row>
    <row r="5696">
      <c r="A5696" s="163" t="s">
        <v>222</v>
      </c>
      <c r="B5696" s="163"/>
      <c r="C5696" s="163"/>
      <c r="J5696" s="165"/>
      <c r="K5696" s="166"/>
      <c r="L5696" s="166"/>
    </row>
    <row r="5697">
      <c r="A5697" s="163" t="s">
        <v>222</v>
      </c>
      <c r="B5697" s="163"/>
      <c r="C5697" s="163"/>
      <c r="J5697" s="165"/>
      <c r="K5697" s="166"/>
      <c r="L5697" s="166"/>
    </row>
    <row r="5698">
      <c r="A5698" s="163" t="s">
        <v>222</v>
      </c>
      <c r="B5698" s="163"/>
      <c r="C5698" s="163"/>
      <c r="J5698" s="165"/>
      <c r="K5698" s="166"/>
      <c r="L5698" s="166"/>
    </row>
    <row r="5699">
      <c r="A5699" s="163" t="s">
        <v>222</v>
      </c>
      <c r="B5699" s="163"/>
      <c r="C5699" s="163"/>
      <c r="J5699" s="165"/>
      <c r="K5699" s="166"/>
      <c r="L5699" s="166"/>
    </row>
    <row r="5700">
      <c r="A5700" s="163" t="s">
        <v>222</v>
      </c>
      <c r="B5700" s="163"/>
      <c r="C5700" s="163"/>
      <c r="J5700" s="165"/>
      <c r="K5700" s="166"/>
      <c r="L5700" s="166"/>
    </row>
    <row r="5701">
      <c r="A5701" s="163" t="s">
        <v>222</v>
      </c>
      <c r="B5701" s="163"/>
      <c r="C5701" s="163"/>
      <c r="J5701" s="165"/>
      <c r="K5701" s="166"/>
      <c r="L5701" s="166"/>
    </row>
    <row r="5702">
      <c r="A5702" s="163" t="s">
        <v>222</v>
      </c>
      <c r="B5702" s="163"/>
      <c r="C5702" s="163"/>
      <c r="J5702" s="165"/>
      <c r="K5702" s="166"/>
      <c r="L5702" s="166"/>
    </row>
    <row r="5703">
      <c r="A5703" s="163" t="s">
        <v>222</v>
      </c>
      <c r="B5703" s="163"/>
      <c r="C5703" s="163"/>
      <c r="J5703" s="165"/>
      <c r="K5703" s="166"/>
      <c r="L5703" s="166"/>
    </row>
    <row r="5704">
      <c r="A5704" s="163" t="s">
        <v>222</v>
      </c>
      <c r="B5704" s="163"/>
      <c r="C5704" s="163"/>
      <c r="J5704" s="165"/>
      <c r="K5704" s="166"/>
      <c r="L5704" s="166"/>
    </row>
    <row r="5705">
      <c r="A5705" s="163" t="s">
        <v>222</v>
      </c>
      <c r="B5705" s="163"/>
      <c r="C5705" s="163"/>
      <c r="J5705" s="165"/>
      <c r="K5705" s="166"/>
      <c r="L5705" s="166"/>
    </row>
    <row r="5706">
      <c r="A5706" s="163" t="s">
        <v>222</v>
      </c>
      <c r="B5706" s="163"/>
      <c r="C5706" s="163"/>
      <c r="J5706" s="165"/>
      <c r="K5706" s="166"/>
      <c r="L5706" s="166"/>
    </row>
    <row r="5707">
      <c r="A5707" s="163" t="s">
        <v>222</v>
      </c>
      <c r="B5707" s="163"/>
      <c r="C5707" s="163"/>
      <c r="J5707" s="165"/>
      <c r="K5707" s="166"/>
      <c r="L5707" s="166"/>
    </row>
    <row r="5708">
      <c r="A5708" s="163" t="s">
        <v>222</v>
      </c>
      <c r="B5708" s="163"/>
      <c r="C5708" s="163"/>
      <c r="J5708" s="165"/>
      <c r="K5708" s="166"/>
      <c r="L5708" s="166"/>
    </row>
    <row r="5709">
      <c r="A5709" s="163" t="s">
        <v>222</v>
      </c>
      <c r="B5709" s="163"/>
      <c r="C5709" s="163"/>
      <c r="J5709" s="165"/>
      <c r="K5709" s="166"/>
      <c r="L5709" s="166"/>
    </row>
    <row r="5710">
      <c r="A5710" s="163" t="s">
        <v>222</v>
      </c>
      <c r="B5710" s="163"/>
      <c r="C5710" s="163"/>
      <c r="J5710" s="165"/>
      <c r="K5710" s="166"/>
      <c r="L5710" s="166"/>
    </row>
    <row r="5711">
      <c r="A5711" s="163" t="s">
        <v>222</v>
      </c>
      <c r="B5711" s="163"/>
      <c r="C5711" s="163"/>
      <c r="J5711" s="165"/>
      <c r="K5711" s="166"/>
      <c r="L5711" s="166"/>
    </row>
    <row r="5712">
      <c r="A5712" s="163" t="s">
        <v>222</v>
      </c>
      <c r="B5712" s="163"/>
      <c r="C5712" s="163"/>
      <c r="J5712" s="165"/>
      <c r="K5712" s="166"/>
      <c r="L5712" s="166"/>
    </row>
    <row r="5713">
      <c r="A5713" s="163" t="s">
        <v>222</v>
      </c>
      <c r="B5713" s="163"/>
      <c r="C5713" s="163"/>
      <c r="J5713" s="165"/>
      <c r="K5713" s="166"/>
      <c r="L5713" s="166"/>
    </row>
    <row r="5714">
      <c r="A5714" s="163" t="s">
        <v>222</v>
      </c>
      <c r="B5714" s="163"/>
      <c r="C5714" s="163"/>
      <c r="J5714" s="165"/>
      <c r="K5714" s="166"/>
      <c r="L5714" s="166"/>
    </row>
    <row r="5715">
      <c r="A5715" s="163" t="s">
        <v>222</v>
      </c>
      <c r="B5715" s="163"/>
      <c r="C5715" s="163"/>
      <c r="J5715" s="165"/>
      <c r="K5715" s="166"/>
      <c r="L5715" s="166"/>
    </row>
    <row r="5716">
      <c r="A5716" s="163" t="s">
        <v>222</v>
      </c>
      <c r="B5716" s="163"/>
      <c r="C5716" s="163"/>
      <c r="J5716" s="165"/>
      <c r="K5716" s="166"/>
      <c r="L5716" s="166"/>
    </row>
    <row r="5717">
      <c r="A5717" s="163" t="s">
        <v>222</v>
      </c>
      <c r="B5717" s="163"/>
      <c r="C5717" s="163"/>
      <c r="J5717" s="165"/>
      <c r="K5717" s="166"/>
      <c r="L5717" s="166"/>
    </row>
    <row r="5718">
      <c r="A5718" s="163" t="s">
        <v>222</v>
      </c>
      <c r="B5718" s="163"/>
      <c r="C5718" s="163"/>
      <c r="J5718" s="165"/>
      <c r="K5718" s="166"/>
      <c r="L5718" s="166"/>
    </row>
    <row r="5719">
      <c r="A5719" s="163" t="s">
        <v>222</v>
      </c>
      <c r="B5719" s="163"/>
      <c r="C5719" s="163"/>
      <c r="J5719" s="165"/>
      <c r="K5719" s="166"/>
      <c r="L5719" s="166"/>
    </row>
    <row r="5720">
      <c r="A5720" s="163" t="s">
        <v>222</v>
      </c>
      <c r="B5720" s="163"/>
      <c r="C5720" s="163"/>
      <c r="J5720" s="165"/>
      <c r="K5720" s="166"/>
      <c r="L5720" s="166"/>
    </row>
    <row r="5721">
      <c r="A5721" s="163" t="s">
        <v>222</v>
      </c>
      <c r="B5721" s="163"/>
      <c r="C5721" s="163"/>
      <c r="J5721" s="165"/>
      <c r="K5721" s="166"/>
      <c r="L5721" s="166"/>
    </row>
    <row r="5722">
      <c r="A5722" s="163" t="s">
        <v>222</v>
      </c>
      <c r="B5722" s="163"/>
      <c r="C5722" s="163"/>
      <c r="J5722" s="165"/>
      <c r="K5722" s="166"/>
      <c r="L5722" s="166"/>
    </row>
    <row r="5723">
      <c r="A5723" s="163" t="s">
        <v>222</v>
      </c>
      <c r="B5723" s="163"/>
      <c r="C5723" s="163"/>
      <c r="J5723" s="165"/>
      <c r="K5723" s="166"/>
      <c r="L5723" s="166"/>
    </row>
    <row r="5724">
      <c r="A5724" s="163" t="s">
        <v>222</v>
      </c>
      <c r="B5724" s="163"/>
      <c r="C5724" s="163"/>
      <c r="J5724" s="165"/>
      <c r="K5724" s="166"/>
      <c r="L5724" s="166"/>
    </row>
    <row r="5725">
      <c r="A5725" s="163" t="s">
        <v>222</v>
      </c>
      <c r="B5725" s="163"/>
      <c r="C5725" s="163"/>
      <c r="J5725" s="165"/>
      <c r="K5725" s="166"/>
      <c r="L5725" s="166"/>
    </row>
    <row r="5726">
      <c r="A5726" s="163" t="s">
        <v>222</v>
      </c>
      <c r="B5726" s="163"/>
      <c r="C5726" s="163"/>
      <c r="J5726" s="165"/>
      <c r="K5726" s="166"/>
      <c r="L5726" s="166"/>
    </row>
    <row r="5727">
      <c r="A5727" s="163" t="s">
        <v>222</v>
      </c>
      <c r="B5727" s="163"/>
      <c r="C5727" s="163"/>
      <c r="J5727" s="165"/>
      <c r="K5727" s="166"/>
      <c r="L5727" s="166"/>
    </row>
    <row r="5728">
      <c r="A5728" s="163" t="s">
        <v>222</v>
      </c>
      <c r="B5728" s="163"/>
      <c r="C5728" s="163"/>
      <c r="J5728" s="165"/>
      <c r="K5728" s="166"/>
      <c r="L5728" s="166"/>
    </row>
    <row r="5729">
      <c r="A5729" s="163" t="s">
        <v>222</v>
      </c>
      <c r="B5729" s="163"/>
      <c r="C5729" s="163"/>
      <c r="J5729" s="165"/>
      <c r="K5729" s="166"/>
      <c r="L5729" s="166"/>
    </row>
    <row r="5730">
      <c r="A5730" s="163" t="s">
        <v>222</v>
      </c>
      <c r="B5730" s="163"/>
      <c r="C5730" s="163"/>
      <c r="J5730" s="165"/>
      <c r="K5730" s="166"/>
      <c r="L5730" s="166"/>
    </row>
    <row r="5731">
      <c r="A5731" s="163" t="s">
        <v>222</v>
      </c>
      <c r="B5731" s="163"/>
      <c r="C5731" s="163"/>
      <c r="J5731" s="165"/>
      <c r="K5731" s="166"/>
      <c r="L5731" s="166"/>
    </row>
    <row r="5732">
      <c r="A5732" s="163" t="s">
        <v>222</v>
      </c>
      <c r="B5732" s="163"/>
      <c r="C5732" s="163"/>
      <c r="J5732" s="165"/>
      <c r="K5732" s="166"/>
      <c r="L5732" s="166"/>
    </row>
    <row r="5733">
      <c r="A5733" s="163" t="s">
        <v>222</v>
      </c>
      <c r="B5733" s="163"/>
      <c r="C5733" s="163"/>
      <c r="J5733" s="165"/>
      <c r="K5733" s="166"/>
      <c r="L5733" s="166"/>
    </row>
    <row r="5734">
      <c r="A5734" s="163" t="s">
        <v>222</v>
      </c>
      <c r="B5734" s="163"/>
      <c r="C5734" s="163"/>
      <c r="J5734" s="165"/>
      <c r="K5734" s="166"/>
      <c r="L5734" s="166"/>
    </row>
    <row r="5735">
      <c r="A5735" s="163" t="s">
        <v>222</v>
      </c>
      <c r="B5735" s="163"/>
      <c r="C5735" s="163"/>
      <c r="J5735" s="165"/>
      <c r="K5735" s="166"/>
      <c r="L5735" s="166"/>
    </row>
    <row r="5736">
      <c r="A5736" s="163" t="s">
        <v>222</v>
      </c>
      <c r="B5736" s="163"/>
      <c r="C5736" s="163"/>
      <c r="J5736" s="165"/>
      <c r="K5736" s="166"/>
      <c r="L5736" s="166"/>
    </row>
    <row r="5737">
      <c r="A5737" s="163" t="s">
        <v>222</v>
      </c>
      <c r="B5737" s="163"/>
      <c r="C5737" s="163"/>
      <c r="J5737" s="165"/>
      <c r="K5737" s="166"/>
      <c r="L5737" s="166"/>
    </row>
    <row r="5738">
      <c r="A5738" s="163" t="s">
        <v>222</v>
      </c>
      <c r="B5738" s="163"/>
      <c r="C5738" s="163"/>
      <c r="J5738" s="165"/>
      <c r="K5738" s="166"/>
      <c r="L5738" s="166"/>
    </row>
    <row r="5739">
      <c r="A5739" s="163" t="s">
        <v>222</v>
      </c>
      <c r="B5739" s="163"/>
      <c r="C5739" s="163"/>
      <c r="J5739" s="165"/>
      <c r="K5739" s="166"/>
      <c r="L5739" s="166"/>
    </row>
    <row r="5740">
      <c r="A5740" s="163" t="s">
        <v>222</v>
      </c>
      <c r="B5740" s="163"/>
      <c r="C5740" s="163"/>
      <c r="J5740" s="165"/>
      <c r="K5740" s="166"/>
      <c r="L5740" s="166"/>
    </row>
    <row r="5741">
      <c r="A5741" s="163" t="s">
        <v>222</v>
      </c>
      <c r="B5741" s="163"/>
      <c r="C5741" s="163"/>
      <c r="J5741" s="165"/>
      <c r="K5741" s="166"/>
      <c r="L5741" s="166"/>
    </row>
    <row r="5742">
      <c r="A5742" s="163" t="s">
        <v>222</v>
      </c>
      <c r="B5742" s="163"/>
      <c r="C5742" s="163"/>
      <c r="J5742" s="165"/>
      <c r="K5742" s="166"/>
      <c r="L5742" s="166"/>
    </row>
    <row r="5743">
      <c r="A5743" s="163" t="s">
        <v>222</v>
      </c>
      <c r="B5743" s="163"/>
      <c r="C5743" s="163"/>
      <c r="J5743" s="165"/>
      <c r="K5743" s="166"/>
      <c r="L5743" s="166"/>
    </row>
    <row r="5744">
      <c r="A5744" s="163" t="s">
        <v>222</v>
      </c>
      <c r="B5744" s="163"/>
      <c r="C5744" s="163"/>
      <c r="J5744" s="165"/>
      <c r="K5744" s="166"/>
      <c r="L5744" s="166"/>
    </row>
    <row r="5745">
      <c r="A5745" s="163" t="s">
        <v>222</v>
      </c>
      <c r="B5745" s="163"/>
      <c r="C5745" s="163"/>
      <c r="J5745" s="165"/>
      <c r="K5745" s="166"/>
      <c r="L5745" s="166"/>
    </row>
    <row r="5746">
      <c r="A5746" s="163" t="s">
        <v>222</v>
      </c>
      <c r="B5746" s="163"/>
      <c r="C5746" s="163"/>
      <c r="J5746" s="165"/>
      <c r="K5746" s="166"/>
      <c r="L5746" s="166"/>
    </row>
    <row r="5747">
      <c r="A5747" s="163" t="s">
        <v>222</v>
      </c>
      <c r="B5747" s="163"/>
      <c r="C5747" s="163"/>
      <c r="J5747" s="165"/>
      <c r="K5747" s="166"/>
      <c r="L5747" s="166"/>
    </row>
    <row r="5748">
      <c r="A5748" s="163" t="s">
        <v>222</v>
      </c>
      <c r="B5748" s="163"/>
      <c r="C5748" s="163"/>
      <c r="J5748" s="165"/>
      <c r="K5748" s="166"/>
      <c r="L5748" s="166"/>
    </row>
    <row r="5749">
      <c r="A5749" s="163" t="s">
        <v>222</v>
      </c>
      <c r="B5749" s="163"/>
      <c r="C5749" s="163"/>
      <c r="J5749" s="165"/>
      <c r="K5749" s="166"/>
      <c r="L5749" s="166"/>
    </row>
    <row r="5750">
      <c r="A5750" s="163" t="s">
        <v>222</v>
      </c>
      <c r="B5750" s="163"/>
      <c r="C5750" s="163"/>
      <c r="J5750" s="165"/>
      <c r="K5750" s="166"/>
      <c r="L5750" s="166"/>
    </row>
    <row r="5751">
      <c r="A5751" s="163" t="s">
        <v>222</v>
      </c>
      <c r="B5751" s="163"/>
      <c r="C5751" s="163"/>
      <c r="J5751" s="165"/>
      <c r="K5751" s="166"/>
      <c r="L5751" s="166"/>
    </row>
    <row r="5752">
      <c r="A5752" s="163" t="s">
        <v>222</v>
      </c>
      <c r="B5752" s="163"/>
      <c r="C5752" s="163"/>
      <c r="J5752" s="165"/>
      <c r="K5752" s="166"/>
      <c r="L5752" s="166"/>
    </row>
    <row r="5753">
      <c r="A5753" s="163" t="s">
        <v>222</v>
      </c>
      <c r="B5753" s="163"/>
      <c r="C5753" s="163"/>
      <c r="J5753" s="165"/>
      <c r="K5753" s="166"/>
      <c r="L5753" s="166"/>
    </row>
    <row r="5754">
      <c r="A5754" s="163" t="s">
        <v>222</v>
      </c>
      <c r="B5754" s="163"/>
      <c r="C5754" s="163"/>
      <c r="J5754" s="165"/>
      <c r="K5754" s="166"/>
      <c r="L5754" s="166"/>
    </row>
    <row r="5755">
      <c r="A5755" s="163" t="s">
        <v>222</v>
      </c>
      <c r="B5755" s="163"/>
      <c r="C5755" s="163"/>
      <c r="J5755" s="165"/>
      <c r="K5755" s="166"/>
      <c r="L5755" s="166"/>
    </row>
    <row r="5756">
      <c r="A5756" s="163" t="s">
        <v>222</v>
      </c>
      <c r="B5756" s="163"/>
      <c r="C5756" s="163"/>
      <c r="J5756" s="165"/>
      <c r="K5756" s="166"/>
      <c r="L5756" s="166"/>
    </row>
    <row r="5757">
      <c r="A5757" s="163" t="s">
        <v>222</v>
      </c>
      <c r="B5757" s="163"/>
      <c r="C5757" s="163"/>
      <c r="J5757" s="165"/>
      <c r="K5757" s="166"/>
      <c r="L5757" s="166"/>
    </row>
    <row r="5758">
      <c r="A5758" s="163" t="s">
        <v>222</v>
      </c>
      <c r="B5758" s="163"/>
      <c r="C5758" s="163"/>
      <c r="J5758" s="165"/>
      <c r="K5758" s="166"/>
      <c r="L5758" s="166"/>
    </row>
    <row r="5759">
      <c r="A5759" s="163" t="s">
        <v>222</v>
      </c>
      <c r="B5759" s="163"/>
      <c r="C5759" s="163"/>
      <c r="J5759" s="165"/>
      <c r="K5759" s="166"/>
      <c r="L5759" s="166"/>
    </row>
    <row r="5760">
      <c r="A5760" s="163" t="s">
        <v>222</v>
      </c>
      <c r="B5760" s="163"/>
      <c r="C5760" s="163"/>
      <c r="J5760" s="165"/>
      <c r="K5760" s="166"/>
      <c r="L5760" s="166"/>
    </row>
    <row r="5761">
      <c r="A5761" s="163" t="s">
        <v>222</v>
      </c>
      <c r="B5761" s="163"/>
      <c r="C5761" s="163"/>
      <c r="J5761" s="165"/>
      <c r="K5761" s="166"/>
      <c r="L5761" s="166"/>
    </row>
    <row r="5762">
      <c r="A5762" s="163" t="s">
        <v>222</v>
      </c>
      <c r="B5762" s="163"/>
      <c r="C5762" s="163"/>
      <c r="J5762" s="165"/>
      <c r="K5762" s="166"/>
      <c r="L5762" s="166"/>
    </row>
    <row r="5763">
      <c r="A5763" s="163" t="s">
        <v>222</v>
      </c>
      <c r="B5763" s="163"/>
      <c r="C5763" s="163"/>
      <c r="J5763" s="165"/>
      <c r="K5763" s="166"/>
      <c r="L5763" s="166"/>
    </row>
    <row r="5764">
      <c r="A5764" s="163" t="s">
        <v>222</v>
      </c>
      <c r="B5764" s="163"/>
      <c r="C5764" s="163"/>
      <c r="J5764" s="165"/>
      <c r="K5764" s="166"/>
      <c r="L5764" s="166"/>
    </row>
    <row r="5765">
      <c r="A5765" s="163" t="s">
        <v>222</v>
      </c>
      <c r="B5765" s="163"/>
      <c r="C5765" s="163"/>
      <c r="J5765" s="165"/>
      <c r="K5765" s="166"/>
      <c r="L5765" s="166"/>
    </row>
    <row r="5766">
      <c r="A5766" s="163" t="s">
        <v>222</v>
      </c>
      <c r="B5766" s="163"/>
      <c r="C5766" s="163"/>
      <c r="J5766" s="165"/>
      <c r="K5766" s="166"/>
      <c r="L5766" s="166"/>
    </row>
    <row r="5767">
      <c r="A5767" s="163" t="s">
        <v>222</v>
      </c>
      <c r="B5767" s="163"/>
      <c r="C5767" s="163"/>
      <c r="J5767" s="165"/>
      <c r="K5767" s="166"/>
      <c r="L5767" s="166"/>
    </row>
    <row r="5768">
      <c r="A5768" s="163" t="s">
        <v>222</v>
      </c>
      <c r="B5768" s="163"/>
      <c r="C5768" s="163"/>
      <c r="J5768" s="165"/>
      <c r="K5768" s="166"/>
      <c r="L5768" s="166"/>
    </row>
    <row r="5769">
      <c r="A5769" s="163" t="s">
        <v>222</v>
      </c>
      <c r="B5769" s="163"/>
      <c r="C5769" s="163"/>
      <c r="J5769" s="165"/>
      <c r="K5769" s="166"/>
      <c r="L5769" s="166"/>
    </row>
    <row r="5770">
      <c r="A5770" s="163" t="s">
        <v>222</v>
      </c>
      <c r="B5770" s="163"/>
      <c r="C5770" s="163"/>
      <c r="J5770" s="165"/>
      <c r="K5770" s="166"/>
      <c r="L5770" s="166"/>
    </row>
    <row r="5771">
      <c r="A5771" s="163" t="s">
        <v>222</v>
      </c>
      <c r="B5771" s="163"/>
      <c r="C5771" s="163"/>
      <c r="J5771" s="165"/>
      <c r="K5771" s="166"/>
      <c r="L5771" s="166"/>
    </row>
    <row r="5772">
      <c r="A5772" s="163" t="s">
        <v>222</v>
      </c>
      <c r="B5772" s="163"/>
      <c r="C5772" s="163"/>
      <c r="J5772" s="165"/>
      <c r="K5772" s="166"/>
      <c r="L5772" s="166"/>
    </row>
    <row r="5773">
      <c r="A5773" s="163" t="s">
        <v>222</v>
      </c>
      <c r="B5773" s="163"/>
      <c r="C5773" s="163"/>
      <c r="J5773" s="165"/>
      <c r="K5773" s="166"/>
      <c r="L5773" s="166"/>
    </row>
    <row r="5774">
      <c r="A5774" s="163" t="s">
        <v>222</v>
      </c>
      <c r="B5774" s="163"/>
      <c r="C5774" s="163"/>
      <c r="J5774" s="165"/>
      <c r="K5774" s="166"/>
      <c r="L5774" s="166"/>
    </row>
    <row r="5775">
      <c r="A5775" s="163" t="s">
        <v>222</v>
      </c>
      <c r="B5775" s="163"/>
      <c r="C5775" s="163"/>
      <c r="J5775" s="165"/>
      <c r="K5775" s="166"/>
      <c r="L5775" s="166"/>
    </row>
    <row r="5776">
      <c r="A5776" s="163" t="s">
        <v>222</v>
      </c>
      <c r="B5776" s="163"/>
      <c r="C5776" s="163"/>
      <c r="J5776" s="165"/>
      <c r="K5776" s="166"/>
      <c r="L5776" s="166"/>
    </row>
    <row r="5777">
      <c r="A5777" s="163" t="s">
        <v>222</v>
      </c>
      <c r="B5777" s="163"/>
      <c r="C5777" s="163"/>
      <c r="J5777" s="165"/>
      <c r="K5777" s="166"/>
      <c r="L5777" s="166"/>
    </row>
    <row r="5778">
      <c r="A5778" s="163" t="s">
        <v>222</v>
      </c>
      <c r="B5778" s="163"/>
      <c r="C5778" s="163"/>
      <c r="J5778" s="165"/>
      <c r="K5778" s="166"/>
      <c r="L5778" s="166"/>
    </row>
    <row r="5779">
      <c r="A5779" s="163" t="s">
        <v>222</v>
      </c>
      <c r="B5779" s="163"/>
      <c r="C5779" s="163"/>
      <c r="J5779" s="165"/>
      <c r="K5779" s="166"/>
      <c r="L5779" s="166"/>
    </row>
    <row r="5780">
      <c r="A5780" s="163" t="s">
        <v>222</v>
      </c>
      <c r="B5780" s="163"/>
      <c r="C5780" s="163"/>
      <c r="J5780" s="165"/>
      <c r="K5780" s="166"/>
      <c r="L5780" s="166"/>
    </row>
    <row r="5781">
      <c r="A5781" s="163" t="s">
        <v>222</v>
      </c>
      <c r="B5781" s="163"/>
      <c r="C5781" s="163"/>
      <c r="J5781" s="165"/>
      <c r="K5781" s="166"/>
      <c r="L5781" s="166"/>
    </row>
    <row r="5782">
      <c r="A5782" s="163" t="s">
        <v>222</v>
      </c>
      <c r="B5782" s="163"/>
      <c r="C5782" s="163"/>
      <c r="J5782" s="165"/>
      <c r="K5782" s="166"/>
      <c r="L5782" s="166"/>
    </row>
    <row r="5783">
      <c r="A5783" s="163" t="s">
        <v>222</v>
      </c>
      <c r="B5783" s="163"/>
      <c r="C5783" s="163"/>
      <c r="J5783" s="165"/>
      <c r="K5783" s="166"/>
      <c r="L5783" s="166"/>
    </row>
    <row r="5784">
      <c r="A5784" s="163" t="s">
        <v>222</v>
      </c>
      <c r="B5784" s="163"/>
      <c r="C5784" s="163"/>
      <c r="J5784" s="165"/>
      <c r="K5784" s="166"/>
      <c r="L5784" s="166"/>
    </row>
    <row r="5785">
      <c r="A5785" s="163" t="s">
        <v>222</v>
      </c>
      <c r="B5785" s="163"/>
      <c r="C5785" s="163"/>
      <c r="J5785" s="165"/>
      <c r="K5785" s="166"/>
      <c r="L5785" s="166"/>
    </row>
    <row r="5786">
      <c r="A5786" s="163" t="s">
        <v>222</v>
      </c>
      <c r="B5786" s="163"/>
      <c r="C5786" s="163"/>
      <c r="J5786" s="165"/>
      <c r="K5786" s="166"/>
      <c r="L5786" s="166"/>
    </row>
    <row r="5787">
      <c r="A5787" s="163" t="s">
        <v>222</v>
      </c>
      <c r="B5787" s="163"/>
      <c r="C5787" s="163"/>
      <c r="J5787" s="165"/>
      <c r="K5787" s="166"/>
      <c r="L5787" s="166"/>
    </row>
    <row r="5788">
      <c r="A5788" s="163" t="s">
        <v>222</v>
      </c>
      <c r="B5788" s="163"/>
      <c r="C5788" s="163"/>
      <c r="J5788" s="165"/>
      <c r="K5788" s="166"/>
      <c r="L5788" s="166"/>
    </row>
    <row r="5789">
      <c r="A5789" s="163" t="s">
        <v>222</v>
      </c>
      <c r="B5789" s="163"/>
      <c r="C5789" s="163"/>
      <c r="J5789" s="165"/>
      <c r="K5789" s="166"/>
      <c r="L5789" s="166"/>
    </row>
    <row r="5790">
      <c r="A5790" s="163" t="s">
        <v>222</v>
      </c>
      <c r="B5790" s="163"/>
      <c r="C5790" s="163"/>
      <c r="J5790" s="165"/>
      <c r="K5790" s="166"/>
      <c r="L5790" s="166"/>
    </row>
    <row r="5791">
      <c r="A5791" s="163" t="s">
        <v>222</v>
      </c>
      <c r="B5791" s="163"/>
      <c r="C5791" s="163"/>
      <c r="J5791" s="165"/>
      <c r="K5791" s="166"/>
      <c r="L5791" s="166"/>
    </row>
    <row r="5792">
      <c r="A5792" s="163" t="s">
        <v>222</v>
      </c>
      <c r="B5792" s="163"/>
      <c r="C5792" s="163"/>
      <c r="J5792" s="165"/>
      <c r="K5792" s="166"/>
      <c r="L5792" s="166"/>
    </row>
    <row r="5793">
      <c r="A5793" s="163" t="s">
        <v>222</v>
      </c>
      <c r="B5793" s="163"/>
      <c r="C5793" s="163"/>
      <c r="J5793" s="165"/>
      <c r="K5793" s="166"/>
      <c r="L5793" s="166"/>
    </row>
    <row r="5794">
      <c r="A5794" s="163" t="s">
        <v>222</v>
      </c>
      <c r="B5794" s="163"/>
      <c r="C5794" s="163"/>
      <c r="J5794" s="165"/>
      <c r="K5794" s="166"/>
      <c r="L5794" s="166"/>
    </row>
    <row r="5795">
      <c r="A5795" s="163" t="s">
        <v>222</v>
      </c>
      <c r="B5795" s="163"/>
      <c r="C5795" s="163"/>
      <c r="J5795" s="165"/>
      <c r="K5795" s="166"/>
      <c r="L5795" s="166"/>
    </row>
    <row r="5796">
      <c r="A5796" s="163" t="s">
        <v>222</v>
      </c>
      <c r="B5796" s="163"/>
      <c r="C5796" s="163"/>
      <c r="J5796" s="165"/>
      <c r="K5796" s="166"/>
      <c r="L5796" s="166"/>
    </row>
    <row r="5797">
      <c r="A5797" s="163" t="s">
        <v>222</v>
      </c>
      <c r="B5797" s="163"/>
      <c r="C5797" s="163"/>
      <c r="J5797" s="165"/>
      <c r="K5797" s="166"/>
      <c r="L5797" s="166"/>
    </row>
    <row r="5798">
      <c r="A5798" s="163" t="s">
        <v>222</v>
      </c>
      <c r="B5798" s="163"/>
      <c r="C5798" s="163"/>
      <c r="J5798" s="165"/>
      <c r="K5798" s="166"/>
      <c r="L5798" s="166"/>
    </row>
    <row r="5799">
      <c r="A5799" s="163" t="s">
        <v>222</v>
      </c>
      <c r="B5799" s="163"/>
      <c r="C5799" s="163"/>
      <c r="J5799" s="165"/>
      <c r="K5799" s="166"/>
      <c r="L5799" s="166"/>
    </row>
    <row r="5800">
      <c r="A5800" s="163" t="s">
        <v>222</v>
      </c>
      <c r="B5800" s="163"/>
      <c r="C5800" s="163"/>
      <c r="J5800" s="165"/>
      <c r="K5800" s="166"/>
      <c r="L5800" s="166"/>
    </row>
    <row r="5801">
      <c r="A5801" s="163" t="s">
        <v>222</v>
      </c>
      <c r="B5801" s="163"/>
      <c r="C5801" s="163"/>
      <c r="J5801" s="165"/>
      <c r="K5801" s="166"/>
      <c r="L5801" s="166"/>
    </row>
    <row r="5802">
      <c r="A5802" s="163" t="s">
        <v>222</v>
      </c>
      <c r="B5802" s="163"/>
      <c r="C5802" s="163"/>
      <c r="J5802" s="165"/>
      <c r="K5802" s="166"/>
      <c r="L5802" s="166"/>
    </row>
    <row r="5803">
      <c r="A5803" s="163" t="s">
        <v>222</v>
      </c>
      <c r="B5803" s="163"/>
      <c r="C5803" s="163"/>
      <c r="J5803" s="165"/>
      <c r="K5803" s="166"/>
      <c r="L5803" s="166"/>
    </row>
    <row r="5804">
      <c r="A5804" s="163" t="s">
        <v>222</v>
      </c>
      <c r="B5804" s="163"/>
      <c r="C5804" s="163"/>
      <c r="J5804" s="165"/>
      <c r="K5804" s="166"/>
      <c r="L5804" s="166"/>
    </row>
    <row r="5805">
      <c r="A5805" s="163" t="s">
        <v>222</v>
      </c>
      <c r="B5805" s="163"/>
      <c r="C5805" s="163"/>
      <c r="J5805" s="165"/>
      <c r="K5805" s="166"/>
      <c r="L5805" s="166"/>
    </row>
    <row r="5806">
      <c r="A5806" s="163" t="s">
        <v>222</v>
      </c>
      <c r="B5806" s="163"/>
      <c r="C5806" s="163"/>
      <c r="J5806" s="165"/>
      <c r="K5806" s="166"/>
      <c r="L5806" s="166"/>
    </row>
    <row r="5807">
      <c r="A5807" s="163" t="s">
        <v>222</v>
      </c>
      <c r="B5807" s="163"/>
      <c r="C5807" s="163"/>
      <c r="J5807" s="165"/>
      <c r="K5807" s="166"/>
      <c r="L5807" s="166"/>
    </row>
    <row r="5808">
      <c r="A5808" s="163" t="s">
        <v>222</v>
      </c>
      <c r="B5808" s="163"/>
      <c r="C5808" s="163"/>
      <c r="J5808" s="165"/>
      <c r="K5808" s="166"/>
      <c r="L5808" s="166"/>
    </row>
    <row r="5809">
      <c r="A5809" s="163" t="s">
        <v>222</v>
      </c>
      <c r="B5809" s="163"/>
      <c r="C5809" s="163"/>
      <c r="J5809" s="165"/>
      <c r="K5809" s="166"/>
      <c r="L5809" s="166"/>
    </row>
    <row r="5810">
      <c r="A5810" s="163" t="s">
        <v>222</v>
      </c>
      <c r="B5810" s="163"/>
      <c r="C5810" s="163"/>
      <c r="J5810" s="165"/>
      <c r="K5810" s="166"/>
      <c r="L5810" s="166"/>
    </row>
    <row r="5811">
      <c r="A5811" s="163" t="s">
        <v>222</v>
      </c>
      <c r="B5811" s="163"/>
      <c r="C5811" s="163"/>
      <c r="J5811" s="165"/>
      <c r="K5811" s="166"/>
      <c r="L5811" s="166"/>
    </row>
    <row r="5812">
      <c r="A5812" s="163" t="s">
        <v>222</v>
      </c>
      <c r="B5812" s="163"/>
      <c r="C5812" s="163"/>
      <c r="J5812" s="165"/>
      <c r="K5812" s="166"/>
      <c r="L5812" s="166"/>
    </row>
    <row r="5813">
      <c r="A5813" s="163" t="s">
        <v>222</v>
      </c>
      <c r="B5813" s="163"/>
      <c r="C5813" s="163"/>
      <c r="J5813" s="165"/>
      <c r="K5813" s="166"/>
      <c r="L5813" s="166"/>
    </row>
    <row r="5814">
      <c r="A5814" s="163" t="s">
        <v>222</v>
      </c>
      <c r="B5814" s="163"/>
      <c r="C5814" s="163"/>
      <c r="J5814" s="165"/>
      <c r="K5814" s="166"/>
      <c r="L5814" s="166"/>
    </row>
    <row r="5815">
      <c r="A5815" s="163" t="s">
        <v>222</v>
      </c>
      <c r="B5815" s="163"/>
      <c r="C5815" s="163"/>
      <c r="J5815" s="165"/>
      <c r="K5815" s="166"/>
      <c r="L5815" s="166"/>
    </row>
    <row r="5816">
      <c r="A5816" s="163" t="s">
        <v>222</v>
      </c>
      <c r="B5816" s="163"/>
      <c r="C5816" s="163"/>
      <c r="J5816" s="165"/>
      <c r="K5816" s="166"/>
      <c r="L5816" s="166"/>
    </row>
    <row r="5817">
      <c r="A5817" s="163" t="s">
        <v>222</v>
      </c>
      <c r="B5817" s="163"/>
      <c r="C5817" s="163"/>
      <c r="J5817" s="165"/>
      <c r="K5817" s="166"/>
      <c r="L5817" s="166"/>
    </row>
    <row r="5818">
      <c r="A5818" s="163" t="s">
        <v>222</v>
      </c>
      <c r="B5818" s="163"/>
      <c r="C5818" s="163"/>
      <c r="J5818" s="165"/>
      <c r="K5818" s="166"/>
      <c r="L5818" s="166"/>
    </row>
    <row r="5819">
      <c r="A5819" s="163" t="s">
        <v>222</v>
      </c>
      <c r="B5819" s="163"/>
      <c r="C5819" s="163"/>
      <c r="J5819" s="165"/>
      <c r="K5819" s="166"/>
      <c r="L5819" s="166"/>
    </row>
    <row r="5820">
      <c r="A5820" s="163" t="s">
        <v>222</v>
      </c>
      <c r="B5820" s="163"/>
      <c r="C5820" s="163"/>
      <c r="J5820" s="165"/>
      <c r="K5820" s="166"/>
      <c r="L5820" s="166"/>
    </row>
    <row r="5821">
      <c r="A5821" s="163" t="s">
        <v>222</v>
      </c>
      <c r="B5821" s="163"/>
      <c r="C5821" s="163"/>
      <c r="J5821" s="165"/>
      <c r="K5821" s="166"/>
      <c r="L5821" s="166"/>
    </row>
    <row r="5822">
      <c r="A5822" s="163" t="s">
        <v>222</v>
      </c>
      <c r="B5822" s="163"/>
      <c r="C5822" s="163"/>
      <c r="J5822" s="165"/>
      <c r="K5822" s="166"/>
      <c r="L5822" s="166"/>
    </row>
    <row r="5823">
      <c r="A5823" s="163" t="s">
        <v>222</v>
      </c>
      <c r="B5823" s="163"/>
      <c r="C5823" s="163"/>
      <c r="J5823" s="165"/>
      <c r="K5823" s="166"/>
      <c r="L5823" s="166"/>
    </row>
    <row r="5824">
      <c r="A5824" s="163" t="s">
        <v>222</v>
      </c>
      <c r="B5824" s="163"/>
      <c r="C5824" s="163"/>
      <c r="J5824" s="165"/>
      <c r="K5824" s="166"/>
      <c r="L5824" s="166"/>
    </row>
    <row r="5825">
      <c r="A5825" s="163" t="s">
        <v>222</v>
      </c>
      <c r="B5825" s="163"/>
      <c r="C5825" s="163"/>
      <c r="J5825" s="165"/>
      <c r="K5825" s="166"/>
      <c r="L5825" s="166"/>
    </row>
    <row r="5826">
      <c r="A5826" s="163" t="s">
        <v>222</v>
      </c>
      <c r="B5826" s="163"/>
      <c r="C5826" s="163"/>
      <c r="J5826" s="165"/>
      <c r="K5826" s="166"/>
      <c r="L5826" s="166"/>
    </row>
    <row r="5827">
      <c r="A5827" s="163" t="s">
        <v>222</v>
      </c>
      <c r="B5827" s="163"/>
      <c r="C5827" s="163"/>
      <c r="J5827" s="165"/>
      <c r="K5827" s="166"/>
      <c r="L5827" s="166"/>
    </row>
    <row r="5828">
      <c r="A5828" s="163" t="s">
        <v>222</v>
      </c>
      <c r="B5828" s="163"/>
      <c r="C5828" s="163"/>
      <c r="J5828" s="165"/>
      <c r="K5828" s="166"/>
      <c r="L5828" s="166"/>
    </row>
    <row r="5829">
      <c r="A5829" s="163" t="s">
        <v>222</v>
      </c>
      <c r="B5829" s="163"/>
      <c r="C5829" s="163"/>
      <c r="J5829" s="165"/>
      <c r="K5829" s="166"/>
      <c r="L5829" s="166"/>
    </row>
    <row r="5830">
      <c r="A5830" s="163" t="s">
        <v>222</v>
      </c>
      <c r="B5830" s="163"/>
      <c r="C5830" s="163"/>
      <c r="J5830" s="165"/>
      <c r="K5830" s="166"/>
      <c r="L5830" s="166"/>
    </row>
    <row r="5831">
      <c r="A5831" s="163" t="s">
        <v>222</v>
      </c>
      <c r="B5831" s="163"/>
      <c r="C5831" s="163"/>
      <c r="J5831" s="165"/>
      <c r="K5831" s="166"/>
      <c r="L5831" s="166"/>
    </row>
    <row r="5832">
      <c r="A5832" s="163" t="s">
        <v>222</v>
      </c>
      <c r="B5832" s="163"/>
      <c r="C5832" s="163"/>
      <c r="J5832" s="165"/>
      <c r="K5832" s="166"/>
      <c r="L5832" s="166"/>
    </row>
    <row r="5833">
      <c r="A5833" s="163" t="s">
        <v>222</v>
      </c>
      <c r="B5833" s="163"/>
      <c r="C5833" s="163"/>
      <c r="J5833" s="165"/>
      <c r="K5833" s="166"/>
      <c r="L5833" s="166"/>
    </row>
    <row r="5834">
      <c r="A5834" s="163" t="s">
        <v>222</v>
      </c>
      <c r="B5834" s="163"/>
      <c r="C5834" s="163"/>
      <c r="J5834" s="165"/>
      <c r="K5834" s="166"/>
      <c r="L5834" s="166"/>
    </row>
    <row r="5835">
      <c r="A5835" s="163" t="s">
        <v>222</v>
      </c>
      <c r="B5835" s="163"/>
      <c r="C5835" s="163"/>
      <c r="J5835" s="165"/>
      <c r="K5835" s="166"/>
      <c r="L5835" s="166"/>
    </row>
    <row r="5836">
      <c r="A5836" s="163" t="s">
        <v>222</v>
      </c>
      <c r="B5836" s="163"/>
      <c r="C5836" s="163"/>
      <c r="J5836" s="165"/>
      <c r="K5836" s="166"/>
      <c r="L5836" s="166"/>
    </row>
    <row r="5837">
      <c r="A5837" s="163" t="s">
        <v>222</v>
      </c>
      <c r="B5837" s="163"/>
      <c r="C5837" s="163"/>
      <c r="J5837" s="165"/>
      <c r="K5837" s="166"/>
      <c r="L5837" s="166"/>
    </row>
    <row r="5838">
      <c r="A5838" s="163" t="s">
        <v>222</v>
      </c>
      <c r="B5838" s="163"/>
      <c r="C5838" s="163"/>
      <c r="J5838" s="165"/>
      <c r="K5838" s="166"/>
      <c r="L5838" s="166"/>
    </row>
    <row r="5839">
      <c r="A5839" s="163" t="s">
        <v>222</v>
      </c>
      <c r="B5839" s="163"/>
      <c r="C5839" s="163"/>
      <c r="J5839" s="165"/>
      <c r="K5839" s="166"/>
      <c r="L5839" s="166"/>
    </row>
    <row r="5840">
      <c r="A5840" s="163" t="s">
        <v>222</v>
      </c>
      <c r="B5840" s="163"/>
      <c r="C5840" s="163"/>
      <c r="J5840" s="165"/>
      <c r="K5840" s="166"/>
      <c r="L5840" s="166"/>
    </row>
    <row r="5841">
      <c r="A5841" s="163" t="s">
        <v>222</v>
      </c>
      <c r="B5841" s="163"/>
      <c r="C5841" s="163"/>
      <c r="J5841" s="165"/>
      <c r="K5841" s="166"/>
      <c r="L5841" s="166"/>
    </row>
    <row r="5842">
      <c r="A5842" s="163" t="s">
        <v>222</v>
      </c>
      <c r="B5842" s="163"/>
      <c r="C5842" s="163"/>
      <c r="J5842" s="165"/>
      <c r="K5842" s="166"/>
      <c r="L5842" s="166"/>
    </row>
    <row r="5843">
      <c r="A5843" s="163" t="s">
        <v>222</v>
      </c>
      <c r="B5843" s="163"/>
      <c r="C5843" s="163"/>
      <c r="J5843" s="165"/>
      <c r="K5843" s="166"/>
      <c r="L5843" s="166"/>
    </row>
    <row r="5844">
      <c r="A5844" s="163" t="s">
        <v>222</v>
      </c>
      <c r="B5844" s="163"/>
      <c r="C5844" s="163"/>
      <c r="J5844" s="165"/>
      <c r="K5844" s="166"/>
      <c r="L5844" s="166"/>
    </row>
    <row r="5845">
      <c r="A5845" s="163" t="s">
        <v>222</v>
      </c>
      <c r="B5845" s="163"/>
      <c r="C5845" s="163"/>
      <c r="J5845" s="165"/>
      <c r="K5845" s="166"/>
      <c r="L5845" s="166"/>
    </row>
    <row r="5846">
      <c r="A5846" s="163" t="s">
        <v>222</v>
      </c>
      <c r="B5846" s="163"/>
      <c r="C5846" s="163"/>
      <c r="J5846" s="165"/>
      <c r="K5846" s="166"/>
      <c r="L5846" s="166"/>
    </row>
    <row r="5847">
      <c r="A5847" s="163" t="s">
        <v>222</v>
      </c>
      <c r="B5847" s="163"/>
      <c r="C5847" s="163"/>
      <c r="J5847" s="165"/>
      <c r="K5847" s="166"/>
      <c r="L5847" s="166"/>
    </row>
    <row r="5848">
      <c r="A5848" s="163" t="s">
        <v>222</v>
      </c>
      <c r="B5848" s="163"/>
      <c r="C5848" s="163"/>
      <c r="J5848" s="165"/>
      <c r="K5848" s="166"/>
      <c r="L5848" s="166"/>
    </row>
    <row r="5849">
      <c r="A5849" s="163" t="s">
        <v>222</v>
      </c>
      <c r="B5849" s="163"/>
      <c r="C5849" s="163"/>
      <c r="J5849" s="165"/>
      <c r="K5849" s="166"/>
      <c r="L5849" s="166"/>
    </row>
    <row r="5850">
      <c r="A5850" s="163" t="s">
        <v>222</v>
      </c>
      <c r="B5850" s="163"/>
      <c r="C5850" s="163"/>
      <c r="J5850" s="165"/>
      <c r="K5850" s="166"/>
      <c r="L5850" s="166"/>
    </row>
    <row r="5851">
      <c r="A5851" s="163" t="s">
        <v>222</v>
      </c>
      <c r="B5851" s="163"/>
      <c r="C5851" s="163"/>
      <c r="J5851" s="165"/>
      <c r="K5851" s="166"/>
      <c r="L5851" s="166"/>
    </row>
    <row r="5852">
      <c r="A5852" s="163" t="s">
        <v>222</v>
      </c>
      <c r="B5852" s="163"/>
      <c r="C5852" s="163"/>
      <c r="J5852" s="165"/>
      <c r="K5852" s="166"/>
      <c r="L5852" s="166"/>
    </row>
    <row r="5853">
      <c r="A5853" s="163" t="s">
        <v>222</v>
      </c>
      <c r="B5853" s="163"/>
      <c r="C5853" s="163"/>
      <c r="J5853" s="165"/>
      <c r="K5853" s="166"/>
      <c r="L5853" s="166"/>
    </row>
    <row r="5854">
      <c r="A5854" s="163" t="s">
        <v>222</v>
      </c>
      <c r="B5854" s="163"/>
      <c r="C5854" s="163"/>
      <c r="J5854" s="165"/>
      <c r="K5854" s="166"/>
      <c r="L5854" s="166"/>
    </row>
    <row r="5855">
      <c r="A5855" s="163" t="s">
        <v>222</v>
      </c>
      <c r="B5855" s="163"/>
      <c r="C5855" s="163"/>
      <c r="J5855" s="165"/>
      <c r="K5855" s="166"/>
      <c r="L5855" s="166"/>
    </row>
    <row r="5856">
      <c r="A5856" s="163" t="s">
        <v>222</v>
      </c>
      <c r="B5856" s="163"/>
      <c r="C5856" s="163"/>
      <c r="J5856" s="165"/>
      <c r="K5856" s="166"/>
      <c r="L5856" s="166"/>
    </row>
    <row r="5857">
      <c r="A5857" s="163" t="s">
        <v>222</v>
      </c>
      <c r="B5857" s="163"/>
      <c r="C5857" s="163"/>
      <c r="J5857" s="165"/>
      <c r="K5857" s="166"/>
      <c r="L5857" s="166"/>
    </row>
    <row r="5858">
      <c r="A5858" s="163" t="s">
        <v>222</v>
      </c>
      <c r="B5858" s="163"/>
      <c r="C5858" s="163"/>
      <c r="J5858" s="165"/>
      <c r="K5858" s="166"/>
      <c r="L5858" s="166"/>
    </row>
    <row r="5859">
      <c r="A5859" s="163" t="s">
        <v>222</v>
      </c>
      <c r="B5859" s="163"/>
      <c r="C5859" s="163"/>
      <c r="J5859" s="165"/>
      <c r="K5859" s="166"/>
      <c r="L5859" s="166"/>
    </row>
    <row r="5860">
      <c r="A5860" s="163" t="s">
        <v>222</v>
      </c>
      <c r="B5860" s="163"/>
      <c r="C5860" s="163"/>
      <c r="J5860" s="165"/>
      <c r="K5860" s="166"/>
      <c r="L5860" s="166"/>
    </row>
    <row r="5861">
      <c r="A5861" s="163" t="s">
        <v>222</v>
      </c>
      <c r="B5861" s="163"/>
      <c r="C5861" s="163"/>
      <c r="J5861" s="165"/>
      <c r="K5861" s="166"/>
      <c r="L5861" s="166"/>
    </row>
    <row r="5862">
      <c r="A5862" s="163" t="s">
        <v>222</v>
      </c>
      <c r="B5862" s="163"/>
      <c r="C5862" s="163"/>
      <c r="J5862" s="165"/>
      <c r="K5862" s="166"/>
      <c r="L5862" s="166"/>
    </row>
    <row r="5863">
      <c r="A5863" s="163" t="s">
        <v>222</v>
      </c>
      <c r="B5863" s="163"/>
      <c r="C5863" s="163"/>
      <c r="J5863" s="165"/>
      <c r="K5863" s="166"/>
      <c r="L5863" s="166"/>
    </row>
    <row r="5864">
      <c r="A5864" s="163" t="s">
        <v>222</v>
      </c>
      <c r="B5864" s="163"/>
      <c r="C5864" s="163"/>
      <c r="J5864" s="165"/>
      <c r="K5864" s="166"/>
      <c r="L5864" s="166"/>
    </row>
    <row r="5865">
      <c r="A5865" s="163" t="s">
        <v>222</v>
      </c>
      <c r="B5865" s="163"/>
      <c r="C5865" s="163"/>
      <c r="J5865" s="165"/>
      <c r="K5865" s="166"/>
      <c r="L5865" s="166"/>
    </row>
    <row r="5866">
      <c r="A5866" s="163" t="s">
        <v>222</v>
      </c>
      <c r="B5866" s="163"/>
      <c r="C5866" s="163"/>
      <c r="J5866" s="165"/>
      <c r="K5866" s="166"/>
      <c r="L5866" s="166"/>
    </row>
    <row r="5867">
      <c r="A5867" s="163" t="s">
        <v>222</v>
      </c>
      <c r="B5867" s="163"/>
      <c r="C5867" s="163"/>
      <c r="J5867" s="165"/>
      <c r="K5867" s="166"/>
      <c r="L5867" s="166"/>
    </row>
    <row r="5868">
      <c r="A5868" s="163" t="s">
        <v>222</v>
      </c>
      <c r="B5868" s="163"/>
      <c r="C5868" s="163"/>
      <c r="J5868" s="165"/>
      <c r="K5868" s="166"/>
      <c r="L5868" s="166"/>
    </row>
    <row r="5869">
      <c r="A5869" s="163" t="s">
        <v>222</v>
      </c>
      <c r="B5869" s="163"/>
      <c r="C5869" s="163"/>
      <c r="J5869" s="165"/>
      <c r="K5869" s="166"/>
      <c r="L5869" s="166"/>
    </row>
    <row r="5870">
      <c r="A5870" s="163" t="s">
        <v>222</v>
      </c>
      <c r="B5870" s="163"/>
      <c r="C5870" s="163"/>
      <c r="J5870" s="165"/>
      <c r="K5870" s="166"/>
      <c r="L5870" s="166"/>
    </row>
    <row r="5871">
      <c r="A5871" s="163" t="s">
        <v>222</v>
      </c>
      <c r="B5871" s="163"/>
      <c r="C5871" s="163"/>
      <c r="J5871" s="165"/>
      <c r="K5871" s="166"/>
      <c r="L5871" s="166"/>
    </row>
    <row r="5872">
      <c r="A5872" s="163" t="s">
        <v>222</v>
      </c>
      <c r="B5872" s="163"/>
      <c r="C5872" s="163"/>
      <c r="J5872" s="165"/>
      <c r="K5872" s="166"/>
      <c r="L5872" s="166"/>
    </row>
    <row r="5873">
      <c r="A5873" s="163" t="s">
        <v>222</v>
      </c>
      <c r="B5873" s="163"/>
      <c r="C5873" s="163"/>
      <c r="J5873" s="165"/>
      <c r="K5873" s="166"/>
      <c r="L5873" s="166"/>
    </row>
    <row r="5874">
      <c r="A5874" s="163" t="s">
        <v>222</v>
      </c>
      <c r="B5874" s="163"/>
      <c r="C5874" s="163"/>
      <c r="J5874" s="165"/>
      <c r="K5874" s="166"/>
      <c r="L5874" s="166"/>
    </row>
    <row r="5875">
      <c r="A5875" s="163" t="s">
        <v>222</v>
      </c>
      <c r="B5875" s="163"/>
      <c r="C5875" s="163"/>
      <c r="J5875" s="165"/>
      <c r="K5875" s="166"/>
      <c r="L5875" s="166"/>
    </row>
    <row r="5876">
      <c r="A5876" s="163" t="s">
        <v>222</v>
      </c>
      <c r="B5876" s="163"/>
      <c r="C5876" s="163"/>
      <c r="J5876" s="165"/>
      <c r="K5876" s="166"/>
      <c r="L5876" s="166"/>
    </row>
    <row r="5877">
      <c r="A5877" s="163" t="s">
        <v>222</v>
      </c>
      <c r="B5877" s="163"/>
      <c r="C5877" s="163"/>
      <c r="J5877" s="165"/>
      <c r="K5877" s="166"/>
      <c r="L5877" s="166"/>
    </row>
    <row r="5878">
      <c r="A5878" s="163" t="s">
        <v>222</v>
      </c>
      <c r="B5878" s="163"/>
      <c r="C5878" s="163"/>
      <c r="J5878" s="165"/>
      <c r="K5878" s="166"/>
      <c r="L5878" s="166"/>
    </row>
    <row r="5879">
      <c r="A5879" s="163" t="s">
        <v>222</v>
      </c>
      <c r="B5879" s="163"/>
      <c r="C5879" s="163"/>
      <c r="J5879" s="165"/>
      <c r="K5879" s="166"/>
      <c r="L5879" s="166"/>
    </row>
    <row r="5880">
      <c r="A5880" s="163" t="s">
        <v>222</v>
      </c>
      <c r="B5880" s="163"/>
      <c r="C5880" s="163"/>
      <c r="J5880" s="165"/>
      <c r="K5880" s="166"/>
      <c r="L5880" s="166"/>
    </row>
    <row r="5881">
      <c r="A5881" s="163" t="s">
        <v>222</v>
      </c>
      <c r="B5881" s="163"/>
      <c r="C5881" s="163"/>
      <c r="J5881" s="165"/>
      <c r="K5881" s="166"/>
      <c r="L5881" s="166"/>
    </row>
    <row r="5882">
      <c r="A5882" s="163" t="s">
        <v>222</v>
      </c>
      <c r="B5882" s="163"/>
      <c r="C5882" s="163"/>
      <c r="J5882" s="165"/>
      <c r="K5882" s="166"/>
      <c r="L5882" s="166"/>
    </row>
    <row r="5883">
      <c r="A5883" s="163" t="s">
        <v>222</v>
      </c>
      <c r="B5883" s="163"/>
      <c r="C5883" s="163"/>
      <c r="J5883" s="165"/>
      <c r="K5883" s="166"/>
      <c r="L5883" s="166"/>
    </row>
    <row r="5884">
      <c r="A5884" s="163" t="s">
        <v>222</v>
      </c>
      <c r="B5884" s="163"/>
      <c r="C5884" s="163"/>
      <c r="J5884" s="165"/>
      <c r="K5884" s="166"/>
      <c r="L5884" s="166"/>
    </row>
    <row r="5885">
      <c r="A5885" s="163" t="s">
        <v>222</v>
      </c>
      <c r="B5885" s="163"/>
      <c r="C5885" s="163"/>
      <c r="J5885" s="165"/>
      <c r="K5885" s="166"/>
      <c r="L5885" s="166"/>
    </row>
    <row r="5886">
      <c r="A5886" s="163" t="s">
        <v>222</v>
      </c>
      <c r="B5886" s="163"/>
      <c r="C5886" s="163"/>
      <c r="J5886" s="165"/>
      <c r="K5886" s="166"/>
      <c r="L5886" s="166"/>
    </row>
    <row r="5887">
      <c r="A5887" s="163" t="s">
        <v>222</v>
      </c>
      <c r="B5887" s="163"/>
      <c r="C5887" s="163"/>
      <c r="J5887" s="165"/>
      <c r="K5887" s="166"/>
      <c r="L5887" s="166"/>
    </row>
    <row r="5888">
      <c r="A5888" s="163" t="s">
        <v>222</v>
      </c>
      <c r="B5888" s="163"/>
      <c r="C5888" s="163"/>
      <c r="J5888" s="165"/>
      <c r="K5888" s="166"/>
      <c r="L5888" s="166"/>
    </row>
    <row r="5889">
      <c r="A5889" s="163" t="s">
        <v>222</v>
      </c>
      <c r="B5889" s="163"/>
      <c r="C5889" s="163"/>
      <c r="J5889" s="165"/>
      <c r="K5889" s="166"/>
      <c r="L5889" s="166"/>
    </row>
    <row r="5890">
      <c r="A5890" s="163" t="s">
        <v>222</v>
      </c>
      <c r="B5890" s="163"/>
      <c r="C5890" s="163"/>
      <c r="J5890" s="165"/>
      <c r="K5890" s="166"/>
      <c r="L5890" s="166"/>
    </row>
    <row r="5891">
      <c r="A5891" s="163" t="s">
        <v>222</v>
      </c>
      <c r="B5891" s="163"/>
      <c r="C5891" s="163"/>
      <c r="J5891" s="165"/>
      <c r="K5891" s="166"/>
      <c r="L5891" s="166"/>
    </row>
    <row r="5892">
      <c r="A5892" s="163" t="s">
        <v>222</v>
      </c>
      <c r="B5892" s="163"/>
      <c r="C5892" s="163"/>
      <c r="J5892" s="165"/>
      <c r="K5892" s="166"/>
      <c r="L5892" s="166"/>
    </row>
    <row r="5893">
      <c r="A5893" s="163" t="s">
        <v>222</v>
      </c>
      <c r="B5893" s="163"/>
      <c r="C5893" s="163"/>
      <c r="J5893" s="165"/>
      <c r="K5893" s="166"/>
      <c r="L5893" s="166"/>
    </row>
    <row r="5894">
      <c r="A5894" s="163" t="s">
        <v>222</v>
      </c>
      <c r="B5894" s="163"/>
      <c r="C5894" s="163"/>
      <c r="J5894" s="165"/>
      <c r="K5894" s="166"/>
      <c r="L5894" s="166"/>
    </row>
    <row r="5895">
      <c r="A5895" s="163" t="s">
        <v>222</v>
      </c>
      <c r="B5895" s="163"/>
      <c r="C5895" s="163"/>
      <c r="J5895" s="165"/>
      <c r="K5895" s="166"/>
      <c r="L5895" s="166"/>
    </row>
    <row r="5896">
      <c r="A5896" s="163" t="s">
        <v>222</v>
      </c>
      <c r="B5896" s="163"/>
      <c r="C5896" s="163"/>
      <c r="J5896" s="165"/>
      <c r="K5896" s="166"/>
      <c r="L5896" s="166"/>
    </row>
    <row r="5897">
      <c r="A5897" s="163" t="s">
        <v>222</v>
      </c>
      <c r="B5897" s="163"/>
      <c r="C5897" s="163"/>
      <c r="J5897" s="165"/>
      <c r="K5897" s="166"/>
      <c r="L5897" s="166"/>
    </row>
    <row r="5898">
      <c r="A5898" s="163" t="s">
        <v>222</v>
      </c>
      <c r="B5898" s="163"/>
      <c r="C5898" s="163"/>
      <c r="J5898" s="165"/>
      <c r="K5898" s="166"/>
      <c r="L5898" s="166"/>
    </row>
    <row r="5899">
      <c r="A5899" s="163" t="s">
        <v>222</v>
      </c>
      <c r="B5899" s="163"/>
      <c r="C5899" s="163"/>
      <c r="J5899" s="165"/>
      <c r="K5899" s="166"/>
      <c r="L5899" s="166"/>
    </row>
    <row r="5900">
      <c r="A5900" s="163" t="s">
        <v>222</v>
      </c>
      <c r="B5900" s="163"/>
      <c r="C5900" s="163"/>
      <c r="J5900" s="165"/>
      <c r="K5900" s="166"/>
      <c r="L5900" s="166"/>
    </row>
    <row r="5901">
      <c r="A5901" s="163" t="s">
        <v>222</v>
      </c>
      <c r="B5901" s="163"/>
      <c r="C5901" s="163"/>
      <c r="J5901" s="165"/>
      <c r="K5901" s="166"/>
      <c r="L5901" s="166"/>
    </row>
    <row r="5902">
      <c r="A5902" s="163" t="s">
        <v>222</v>
      </c>
      <c r="B5902" s="163"/>
      <c r="C5902" s="163"/>
      <c r="J5902" s="165"/>
      <c r="K5902" s="166"/>
      <c r="L5902" s="166"/>
    </row>
    <row r="5903">
      <c r="A5903" s="163" t="s">
        <v>222</v>
      </c>
      <c r="B5903" s="163"/>
      <c r="C5903" s="163"/>
      <c r="J5903" s="165"/>
      <c r="K5903" s="166"/>
      <c r="L5903" s="166"/>
    </row>
    <row r="5904">
      <c r="A5904" s="163" t="s">
        <v>222</v>
      </c>
      <c r="B5904" s="163"/>
      <c r="C5904" s="163"/>
      <c r="J5904" s="165"/>
      <c r="K5904" s="166"/>
      <c r="L5904" s="166"/>
    </row>
    <row r="5905">
      <c r="A5905" s="163" t="s">
        <v>222</v>
      </c>
      <c r="B5905" s="163"/>
      <c r="C5905" s="163"/>
      <c r="J5905" s="165"/>
      <c r="K5905" s="166"/>
      <c r="L5905" s="166"/>
    </row>
    <row r="5906">
      <c r="A5906" s="163" t="s">
        <v>222</v>
      </c>
      <c r="B5906" s="163"/>
      <c r="C5906" s="163"/>
      <c r="J5906" s="165"/>
      <c r="K5906" s="166"/>
      <c r="L5906" s="166"/>
    </row>
    <row r="5907">
      <c r="A5907" s="163" t="s">
        <v>222</v>
      </c>
      <c r="B5907" s="163"/>
      <c r="C5907" s="163"/>
      <c r="J5907" s="165"/>
      <c r="K5907" s="166"/>
      <c r="L5907" s="166"/>
    </row>
    <row r="5908">
      <c r="A5908" s="163" t="s">
        <v>222</v>
      </c>
      <c r="B5908" s="163"/>
      <c r="C5908" s="163"/>
      <c r="J5908" s="165"/>
      <c r="K5908" s="166"/>
      <c r="L5908" s="166"/>
    </row>
    <row r="5909">
      <c r="A5909" s="163" t="s">
        <v>222</v>
      </c>
      <c r="B5909" s="163"/>
      <c r="C5909" s="163"/>
      <c r="J5909" s="165"/>
      <c r="K5909" s="166"/>
      <c r="L5909" s="166"/>
    </row>
    <row r="5910">
      <c r="A5910" s="163" t="s">
        <v>222</v>
      </c>
      <c r="B5910" s="163"/>
      <c r="C5910" s="163"/>
      <c r="J5910" s="165"/>
      <c r="K5910" s="166"/>
      <c r="L5910" s="166"/>
    </row>
    <row r="5911">
      <c r="A5911" s="163" t="s">
        <v>222</v>
      </c>
      <c r="B5911" s="163"/>
      <c r="C5911" s="163"/>
      <c r="J5911" s="165"/>
      <c r="K5911" s="166"/>
      <c r="L5911" s="166"/>
    </row>
    <row r="5912">
      <c r="A5912" s="163" t="s">
        <v>222</v>
      </c>
      <c r="B5912" s="163"/>
      <c r="C5912" s="163"/>
      <c r="J5912" s="165"/>
      <c r="K5912" s="166"/>
      <c r="L5912" s="166"/>
    </row>
    <row r="5913">
      <c r="A5913" s="163" t="s">
        <v>222</v>
      </c>
      <c r="B5913" s="163"/>
      <c r="C5913" s="163"/>
      <c r="J5913" s="165"/>
      <c r="K5913" s="166"/>
      <c r="L5913" s="166"/>
    </row>
    <row r="5914">
      <c r="A5914" s="163" t="s">
        <v>222</v>
      </c>
      <c r="B5914" s="163"/>
      <c r="C5914" s="163"/>
      <c r="J5914" s="165"/>
      <c r="K5914" s="166"/>
      <c r="L5914" s="166"/>
    </row>
    <row r="5915">
      <c r="A5915" s="163" t="s">
        <v>222</v>
      </c>
      <c r="B5915" s="163"/>
      <c r="C5915" s="163"/>
      <c r="J5915" s="165"/>
      <c r="K5915" s="166"/>
      <c r="L5915" s="166"/>
    </row>
    <row r="5916">
      <c r="A5916" s="163" t="s">
        <v>222</v>
      </c>
      <c r="B5916" s="163"/>
      <c r="C5916" s="163"/>
      <c r="J5916" s="165"/>
      <c r="K5916" s="166"/>
      <c r="L5916" s="166"/>
    </row>
    <row r="5917">
      <c r="A5917" s="163" t="s">
        <v>222</v>
      </c>
      <c r="B5917" s="163"/>
      <c r="C5917" s="163"/>
      <c r="J5917" s="165"/>
      <c r="K5917" s="166"/>
      <c r="L5917" s="166"/>
    </row>
    <row r="5918">
      <c r="A5918" s="163" t="s">
        <v>222</v>
      </c>
      <c r="B5918" s="163"/>
      <c r="C5918" s="163"/>
      <c r="J5918" s="165"/>
      <c r="K5918" s="166"/>
      <c r="L5918" s="166"/>
    </row>
    <row r="5919">
      <c r="A5919" s="163" t="s">
        <v>222</v>
      </c>
      <c r="B5919" s="163"/>
      <c r="C5919" s="163"/>
      <c r="J5919" s="165"/>
      <c r="K5919" s="166"/>
      <c r="L5919" s="166"/>
    </row>
    <row r="5920">
      <c r="A5920" s="163" t="s">
        <v>222</v>
      </c>
      <c r="B5920" s="163"/>
      <c r="C5920" s="163"/>
      <c r="J5920" s="165"/>
      <c r="K5920" s="166"/>
      <c r="L5920" s="166"/>
    </row>
    <row r="5921">
      <c r="A5921" s="163" t="s">
        <v>222</v>
      </c>
      <c r="B5921" s="163"/>
      <c r="C5921" s="163"/>
      <c r="J5921" s="165"/>
      <c r="K5921" s="166"/>
      <c r="L5921" s="166"/>
    </row>
    <row r="5922">
      <c r="A5922" s="163" t="s">
        <v>222</v>
      </c>
      <c r="B5922" s="163"/>
      <c r="C5922" s="163"/>
      <c r="J5922" s="165"/>
      <c r="K5922" s="166"/>
      <c r="L5922" s="166"/>
    </row>
    <row r="5923">
      <c r="A5923" s="163" t="s">
        <v>222</v>
      </c>
      <c r="B5923" s="163"/>
      <c r="C5923" s="163"/>
      <c r="J5923" s="165"/>
      <c r="K5923" s="166"/>
      <c r="L5923" s="166"/>
    </row>
    <row r="5924">
      <c r="A5924" s="163" t="s">
        <v>222</v>
      </c>
      <c r="B5924" s="163"/>
      <c r="C5924" s="163"/>
      <c r="J5924" s="165"/>
      <c r="K5924" s="166"/>
      <c r="L5924" s="166"/>
    </row>
    <row r="5925">
      <c r="A5925" s="163" t="s">
        <v>222</v>
      </c>
      <c r="B5925" s="163"/>
      <c r="C5925" s="163"/>
      <c r="J5925" s="165"/>
      <c r="K5925" s="166"/>
      <c r="L5925" s="166"/>
    </row>
    <row r="5926">
      <c r="A5926" s="163" t="s">
        <v>222</v>
      </c>
      <c r="B5926" s="163"/>
      <c r="C5926" s="163"/>
      <c r="J5926" s="165"/>
      <c r="K5926" s="166"/>
      <c r="L5926" s="166"/>
    </row>
    <row r="5927">
      <c r="A5927" s="163" t="s">
        <v>222</v>
      </c>
      <c r="B5927" s="163"/>
      <c r="C5927" s="163"/>
      <c r="J5927" s="165"/>
      <c r="K5927" s="166"/>
      <c r="L5927" s="166"/>
    </row>
    <row r="5928">
      <c r="A5928" s="163" t="s">
        <v>222</v>
      </c>
      <c r="B5928" s="163"/>
      <c r="C5928" s="163"/>
      <c r="J5928" s="165"/>
      <c r="K5928" s="166"/>
      <c r="L5928" s="166"/>
    </row>
    <row r="5929">
      <c r="A5929" s="163" t="s">
        <v>222</v>
      </c>
      <c r="B5929" s="163"/>
      <c r="C5929" s="163"/>
      <c r="J5929" s="165"/>
      <c r="K5929" s="166"/>
      <c r="L5929" s="166"/>
    </row>
    <row r="5930">
      <c r="A5930" s="163" t="s">
        <v>222</v>
      </c>
      <c r="B5930" s="163"/>
      <c r="C5930" s="163"/>
      <c r="J5930" s="165"/>
      <c r="K5930" s="166"/>
      <c r="L5930" s="166"/>
    </row>
    <row r="5931">
      <c r="A5931" s="163" t="s">
        <v>222</v>
      </c>
      <c r="B5931" s="163"/>
      <c r="C5931" s="163"/>
      <c r="J5931" s="165"/>
      <c r="K5931" s="166"/>
      <c r="L5931" s="166"/>
    </row>
    <row r="5932">
      <c r="A5932" s="163" t="s">
        <v>222</v>
      </c>
      <c r="B5932" s="163"/>
      <c r="C5932" s="163"/>
      <c r="J5932" s="165"/>
      <c r="K5932" s="166"/>
      <c r="L5932" s="166"/>
    </row>
    <row r="5933">
      <c r="A5933" s="163" t="s">
        <v>222</v>
      </c>
      <c r="B5933" s="163"/>
      <c r="C5933" s="163"/>
      <c r="J5933" s="165"/>
      <c r="K5933" s="166"/>
      <c r="L5933" s="166"/>
    </row>
    <row r="5934">
      <c r="A5934" s="163" t="s">
        <v>222</v>
      </c>
      <c r="B5934" s="163"/>
      <c r="C5934" s="163"/>
      <c r="J5934" s="165"/>
      <c r="K5934" s="166"/>
      <c r="L5934" s="166"/>
    </row>
    <row r="5935">
      <c r="A5935" s="163" t="s">
        <v>222</v>
      </c>
      <c r="B5935" s="163"/>
      <c r="C5935" s="163"/>
      <c r="J5935" s="165"/>
      <c r="K5935" s="166"/>
      <c r="L5935" s="166"/>
    </row>
    <row r="5936">
      <c r="A5936" s="163" t="s">
        <v>222</v>
      </c>
      <c r="B5936" s="163"/>
      <c r="C5936" s="163"/>
      <c r="J5936" s="165"/>
      <c r="K5936" s="166"/>
      <c r="L5936" s="166"/>
    </row>
    <row r="5937">
      <c r="A5937" s="163" t="s">
        <v>222</v>
      </c>
      <c r="B5937" s="163"/>
      <c r="C5937" s="163"/>
      <c r="J5937" s="165"/>
      <c r="K5937" s="166"/>
      <c r="L5937" s="166"/>
    </row>
    <row r="5938">
      <c r="A5938" s="163" t="s">
        <v>222</v>
      </c>
      <c r="B5938" s="163"/>
      <c r="C5938" s="163"/>
      <c r="J5938" s="165"/>
      <c r="K5938" s="166"/>
      <c r="L5938" s="166"/>
    </row>
    <row r="5939">
      <c r="A5939" s="163" t="s">
        <v>222</v>
      </c>
      <c r="B5939" s="163"/>
      <c r="C5939" s="163"/>
      <c r="J5939" s="165"/>
      <c r="K5939" s="166"/>
      <c r="L5939" s="166"/>
    </row>
    <row r="5940">
      <c r="A5940" s="163" t="s">
        <v>222</v>
      </c>
      <c r="B5940" s="163"/>
      <c r="C5940" s="163"/>
      <c r="J5940" s="165"/>
      <c r="K5940" s="166"/>
      <c r="L5940" s="166"/>
    </row>
    <row r="5941">
      <c r="A5941" s="163" t="s">
        <v>222</v>
      </c>
      <c r="B5941" s="163"/>
      <c r="C5941" s="163"/>
      <c r="J5941" s="165"/>
      <c r="K5941" s="166"/>
      <c r="L5941" s="166"/>
    </row>
    <row r="5942">
      <c r="A5942" s="163" t="s">
        <v>222</v>
      </c>
      <c r="B5942" s="163"/>
      <c r="C5942" s="163"/>
      <c r="J5942" s="165"/>
      <c r="K5942" s="166"/>
      <c r="L5942" s="166"/>
    </row>
    <row r="5943">
      <c r="A5943" s="163" t="s">
        <v>222</v>
      </c>
      <c r="B5943" s="163"/>
      <c r="C5943" s="163"/>
      <c r="J5943" s="165"/>
      <c r="K5943" s="166"/>
      <c r="L5943" s="166"/>
    </row>
    <row r="5944">
      <c r="A5944" s="163" t="s">
        <v>222</v>
      </c>
      <c r="B5944" s="163"/>
      <c r="C5944" s="163"/>
      <c r="J5944" s="165"/>
      <c r="K5944" s="166"/>
      <c r="L5944" s="166"/>
    </row>
    <row r="5945">
      <c r="A5945" s="163" t="s">
        <v>222</v>
      </c>
      <c r="B5945" s="163"/>
      <c r="C5945" s="163"/>
      <c r="J5945" s="165"/>
      <c r="K5945" s="166"/>
      <c r="L5945" s="166"/>
    </row>
    <row r="5946">
      <c r="A5946" s="163" t="s">
        <v>222</v>
      </c>
      <c r="B5946" s="163"/>
      <c r="C5946" s="163"/>
      <c r="J5946" s="165"/>
      <c r="K5946" s="166"/>
      <c r="L5946" s="166"/>
    </row>
    <row r="5947">
      <c r="A5947" s="163" t="s">
        <v>222</v>
      </c>
      <c r="B5947" s="163"/>
      <c r="C5947" s="163"/>
      <c r="J5947" s="165"/>
      <c r="K5947" s="166"/>
      <c r="L5947" s="166"/>
    </row>
    <row r="5948">
      <c r="A5948" s="163" t="s">
        <v>222</v>
      </c>
      <c r="B5948" s="163"/>
      <c r="C5948" s="163"/>
      <c r="J5948" s="165"/>
      <c r="K5948" s="166"/>
      <c r="L5948" s="166"/>
    </row>
    <row r="5949">
      <c r="A5949" s="163" t="s">
        <v>222</v>
      </c>
      <c r="B5949" s="163"/>
      <c r="C5949" s="163"/>
      <c r="J5949" s="165"/>
      <c r="K5949" s="166"/>
      <c r="L5949" s="166"/>
    </row>
    <row r="5950">
      <c r="A5950" s="163" t="s">
        <v>222</v>
      </c>
      <c r="B5950" s="163"/>
      <c r="C5950" s="163"/>
      <c r="J5950" s="165"/>
      <c r="K5950" s="166"/>
      <c r="L5950" s="166"/>
    </row>
    <row r="5951">
      <c r="A5951" s="163" t="s">
        <v>222</v>
      </c>
      <c r="B5951" s="163"/>
      <c r="C5951" s="163"/>
      <c r="J5951" s="165"/>
      <c r="K5951" s="166"/>
      <c r="L5951" s="166"/>
    </row>
    <row r="5952">
      <c r="A5952" s="163" t="s">
        <v>222</v>
      </c>
      <c r="B5952" s="163"/>
      <c r="C5952" s="163"/>
      <c r="J5952" s="165"/>
      <c r="K5952" s="166"/>
      <c r="L5952" s="166"/>
    </row>
    <row r="5953">
      <c r="A5953" s="163" t="s">
        <v>222</v>
      </c>
      <c r="B5953" s="163"/>
      <c r="C5953" s="163"/>
      <c r="J5953" s="165"/>
      <c r="K5953" s="166"/>
      <c r="L5953" s="166"/>
    </row>
    <row r="5954">
      <c r="A5954" s="163" t="s">
        <v>222</v>
      </c>
      <c r="B5954" s="163"/>
      <c r="C5954" s="163"/>
      <c r="J5954" s="165"/>
      <c r="K5954" s="166"/>
      <c r="L5954" s="166"/>
    </row>
    <row r="5955">
      <c r="A5955" s="163" t="s">
        <v>222</v>
      </c>
      <c r="B5955" s="163"/>
      <c r="C5955" s="163"/>
      <c r="J5955" s="165"/>
      <c r="K5955" s="166"/>
      <c r="L5955" s="166"/>
    </row>
    <row r="5956">
      <c r="A5956" s="163" t="s">
        <v>222</v>
      </c>
      <c r="B5956" s="163"/>
      <c r="C5956" s="163"/>
      <c r="J5956" s="165"/>
      <c r="K5956" s="166"/>
      <c r="L5956" s="166"/>
    </row>
    <row r="5957">
      <c r="A5957" s="163" t="s">
        <v>222</v>
      </c>
      <c r="B5957" s="163"/>
      <c r="C5957" s="163"/>
      <c r="J5957" s="165"/>
      <c r="K5957" s="166"/>
      <c r="L5957" s="166"/>
    </row>
    <row r="5958">
      <c r="A5958" s="163" t="s">
        <v>222</v>
      </c>
      <c r="B5958" s="163"/>
      <c r="C5958" s="163"/>
      <c r="J5958" s="165"/>
      <c r="K5958" s="166"/>
      <c r="L5958" s="166"/>
    </row>
    <row r="5959">
      <c r="A5959" s="163" t="s">
        <v>222</v>
      </c>
      <c r="B5959" s="163"/>
      <c r="C5959" s="163"/>
      <c r="J5959" s="165"/>
      <c r="K5959" s="166"/>
      <c r="L5959" s="166"/>
    </row>
    <row r="5960">
      <c r="A5960" s="163" t="s">
        <v>222</v>
      </c>
      <c r="B5960" s="163"/>
      <c r="C5960" s="163"/>
      <c r="J5960" s="165"/>
      <c r="K5960" s="166"/>
      <c r="L5960" s="166"/>
    </row>
    <row r="5961">
      <c r="A5961" s="163" t="s">
        <v>222</v>
      </c>
      <c r="B5961" s="163"/>
      <c r="C5961" s="163"/>
      <c r="J5961" s="165"/>
      <c r="K5961" s="166"/>
      <c r="L5961" s="166"/>
    </row>
    <row r="5962">
      <c r="A5962" s="163" t="s">
        <v>222</v>
      </c>
      <c r="B5962" s="163"/>
      <c r="C5962" s="163"/>
      <c r="J5962" s="165"/>
      <c r="K5962" s="166"/>
      <c r="L5962" s="166"/>
    </row>
    <row r="5963">
      <c r="A5963" s="163" t="s">
        <v>222</v>
      </c>
      <c r="B5963" s="163"/>
      <c r="C5963" s="163"/>
      <c r="J5963" s="165"/>
      <c r="K5963" s="166"/>
      <c r="L5963" s="166"/>
    </row>
    <row r="5964">
      <c r="A5964" s="163" t="s">
        <v>222</v>
      </c>
      <c r="B5964" s="163"/>
      <c r="C5964" s="163"/>
      <c r="J5964" s="165"/>
      <c r="K5964" s="166"/>
      <c r="L5964" s="166"/>
    </row>
    <row r="5965">
      <c r="A5965" s="163" t="s">
        <v>222</v>
      </c>
      <c r="B5965" s="163"/>
      <c r="C5965" s="163"/>
      <c r="J5965" s="165"/>
      <c r="K5965" s="166"/>
      <c r="L5965" s="166"/>
    </row>
    <row r="5966">
      <c r="A5966" s="163" t="s">
        <v>222</v>
      </c>
      <c r="B5966" s="163"/>
      <c r="C5966" s="163"/>
      <c r="J5966" s="165"/>
      <c r="K5966" s="166"/>
      <c r="L5966" s="166"/>
    </row>
    <row r="5967">
      <c r="A5967" s="163" t="s">
        <v>222</v>
      </c>
      <c r="B5967" s="163"/>
      <c r="C5967" s="163"/>
      <c r="J5967" s="165"/>
      <c r="K5967" s="166"/>
      <c r="L5967" s="166"/>
    </row>
    <row r="5968">
      <c r="A5968" s="163" t="s">
        <v>222</v>
      </c>
      <c r="B5968" s="163"/>
      <c r="C5968" s="163"/>
      <c r="J5968" s="165"/>
      <c r="K5968" s="166"/>
      <c r="L5968" s="166"/>
    </row>
    <row r="5969">
      <c r="A5969" s="163" t="s">
        <v>222</v>
      </c>
      <c r="B5969" s="163"/>
      <c r="C5969" s="163"/>
      <c r="J5969" s="165"/>
      <c r="K5969" s="166"/>
      <c r="L5969" s="166"/>
    </row>
    <row r="5970">
      <c r="A5970" s="163" t="s">
        <v>222</v>
      </c>
      <c r="B5970" s="163"/>
      <c r="C5970" s="163"/>
      <c r="J5970" s="165"/>
      <c r="K5970" s="166"/>
      <c r="L5970" s="166"/>
    </row>
    <row r="5971">
      <c r="A5971" s="163" t="s">
        <v>222</v>
      </c>
      <c r="B5971" s="163"/>
      <c r="C5971" s="163"/>
      <c r="J5971" s="165"/>
      <c r="K5971" s="166"/>
      <c r="L5971" s="166"/>
    </row>
    <row r="5972">
      <c r="A5972" s="163" t="s">
        <v>222</v>
      </c>
      <c r="B5972" s="163"/>
      <c r="C5972" s="163"/>
      <c r="J5972" s="165"/>
      <c r="K5972" s="166"/>
      <c r="L5972" s="166"/>
    </row>
    <row r="5973">
      <c r="A5973" s="163" t="s">
        <v>222</v>
      </c>
      <c r="B5973" s="163"/>
      <c r="C5973" s="163"/>
      <c r="J5973" s="165"/>
      <c r="K5973" s="166"/>
      <c r="L5973" s="166"/>
    </row>
    <row r="5974">
      <c r="A5974" s="163" t="s">
        <v>222</v>
      </c>
      <c r="B5974" s="163"/>
      <c r="C5974" s="163"/>
      <c r="J5974" s="165"/>
      <c r="K5974" s="166"/>
      <c r="L5974" s="166"/>
    </row>
    <row r="5975">
      <c r="A5975" s="163" t="s">
        <v>222</v>
      </c>
      <c r="B5975" s="163"/>
      <c r="C5975" s="163"/>
      <c r="J5975" s="165"/>
      <c r="K5975" s="166"/>
      <c r="L5975" s="166"/>
    </row>
    <row r="5976">
      <c r="A5976" s="163" t="s">
        <v>222</v>
      </c>
      <c r="B5976" s="163"/>
      <c r="C5976" s="163"/>
      <c r="J5976" s="165"/>
      <c r="K5976" s="166"/>
      <c r="L5976" s="166"/>
    </row>
    <row r="5977">
      <c r="A5977" s="163" t="s">
        <v>222</v>
      </c>
      <c r="B5977" s="163"/>
      <c r="C5977" s="163"/>
      <c r="J5977" s="165"/>
      <c r="K5977" s="166"/>
      <c r="L5977" s="166"/>
    </row>
    <row r="5978">
      <c r="A5978" s="163" t="s">
        <v>222</v>
      </c>
      <c r="B5978" s="163"/>
      <c r="C5978" s="163"/>
      <c r="J5978" s="165"/>
      <c r="K5978" s="166"/>
      <c r="L5978" s="166"/>
    </row>
    <row r="5979">
      <c r="A5979" s="163" t="s">
        <v>222</v>
      </c>
      <c r="B5979" s="163"/>
      <c r="C5979" s="163"/>
      <c r="J5979" s="165"/>
      <c r="K5979" s="166"/>
      <c r="L5979" s="166"/>
    </row>
    <row r="5980">
      <c r="A5980" s="163" t="s">
        <v>222</v>
      </c>
      <c r="B5980" s="163"/>
      <c r="C5980" s="163"/>
      <c r="J5980" s="165"/>
      <c r="K5980" s="166"/>
      <c r="L5980" s="166"/>
    </row>
    <row r="5981">
      <c r="A5981" s="163" t="s">
        <v>222</v>
      </c>
      <c r="B5981" s="163"/>
      <c r="C5981" s="163"/>
      <c r="J5981" s="165"/>
      <c r="K5981" s="166"/>
      <c r="L5981" s="166"/>
    </row>
    <row r="5982">
      <c r="A5982" s="163" t="s">
        <v>222</v>
      </c>
      <c r="B5982" s="163"/>
      <c r="C5982" s="163"/>
      <c r="J5982" s="165"/>
      <c r="K5982" s="166"/>
      <c r="L5982" s="166"/>
    </row>
    <row r="5983">
      <c r="A5983" s="163" t="s">
        <v>222</v>
      </c>
      <c r="B5983" s="163"/>
      <c r="C5983" s="163"/>
      <c r="J5983" s="165"/>
      <c r="K5983" s="166"/>
      <c r="L5983" s="166"/>
    </row>
    <row r="5984">
      <c r="A5984" s="163" t="s">
        <v>222</v>
      </c>
      <c r="B5984" s="163"/>
      <c r="C5984" s="163"/>
      <c r="J5984" s="165"/>
      <c r="K5984" s="166"/>
      <c r="L5984" s="166"/>
    </row>
    <row r="5985">
      <c r="A5985" s="163" t="s">
        <v>222</v>
      </c>
      <c r="B5985" s="163"/>
      <c r="C5985" s="163"/>
      <c r="J5985" s="165"/>
      <c r="K5985" s="166"/>
      <c r="L5985" s="166"/>
    </row>
    <row r="5986">
      <c r="A5986" s="163" t="s">
        <v>222</v>
      </c>
      <c r="B5986" s="163"/>
      <c r="C5986" s="163"/>
      <c r="J5986" s="165"/>
      <c r="K5986" s="166"/>
      <c r="L5986" s="166"/>
    </row>
    <row r="5987">
      <c r="A5987" s="163" t="s">
        <v>222</v>
      </c>
      <c r="B5987" s="163"/>
      <c r="C5987" s="163"/>
      <c r="J5987" s="165"/>
      <c r="K5987" s="166"/>
      <c r="L5987" s="166"/>
    </row>
    <row r="5988">
      <c r="A5988" s="163" t="s">
        <v>222</v>
      </c>
      <c r="B5988" s="163"/>
      <c r="C5988" s="163"/>
      <c r="J5988" s="165"/>
      <c r="K5988" s="166"/>
      <c r="L5988" s="166"/>
    </row>
    <row r="5989">
      <c r="A5989" s="163" t="s">
        <v>222</v>
      </c>
      <c r="B5989" s="163"/>
      <c r="C5989" s="163"/>
      <c r="J5989" s="165"/>
      <c r="K5989" s="166"/>
      <c r="L5989" s="166"/>
    </row>
    <row r="5990">
      <c r="A5990" s="163" t="s">
        <v>222</v>
      </c>
      <c r="B5990" s="163"/>
      <c r="C5990" s="163"/>
      <c r="J5990" s="165"/>
      <c r="K5990" s="166"/>
      <c r="L5990" s="166"/>
    </row>
    <row r="5991">
      <c r="A5991" s="163" t="s">
        <v>222</v>
      </c>
      <c r="B5991" s="163"/>
      <c r="C5991" s="163"/>
      <c r="J5991" s="165"/>
      <c r="K5991" s="166"/>
      <c r="L5991" s="166"/>
    </row>
    <row r="5992">
      <c r="A5992" s="163" t="s">
        <v>222</v>
      </c>
      <c r="B5992" s="163"/>
      <c r="C5992" s="163"/>
      <c r="J5992" s="165"/>
      <c r="K5992" s="166"/>
      <c r="L5992" s="166"/>
    </row>
    <row r="5993">
      <c r="A5993" s="163" t="s">
        <v>222</v>
      </c>
      <c r="B5993" s="163"/>
      <c r="C5993" s="163"/>
      <c r="J5993" s="165"/>
      <c r="K5993" s="166"/>
      <c r="L5993" s="166"/>
    </row>
    <row r="5994">
      <c r="A5994" s="163" t="s">
        <v>222</v>
      </c>
      <c r="B5994" s="163"/>
      <c r="C5994" s="163"/>
      <c r="J5994" s="165"/>
      <c r="K5994" s="166"/>
      <c r="L5994" s="166"/>
    </row>
    <row r="5995">
      <c r="A5995" s="163" t="s">
        <v>222</v>
      </c>
      <c r="B5995" s="163"/>
      <c r="C5995" s="163"/>
      <c r="J5995" s="165"/>
      <c r="K5995" s="166"/>
      <c r="L5995" s="166"/>
    </row>
    <row r="5996">
      <c r="A5996" s="163" t="s">
        <v>222</v>
      </c>
      <c r="B5996" s="163"/>
      <c r="C5996" s="163"/>
      <c r="J5996" s="165"/>
      <c r="K5996" s="166"/>
      <c r="L5996" s="166"/>
    </row>
    <row r="5997">
      <c r="A5997" s="163" t="s">
        <v>222</v>
      </c>
      <c r="B5997" s="163"/>
      <c r="C5997" s="163"/>
      <c r="J5997" s="165"/>
      <c r="K5997" s="166"/>
      <c r="L5997" s="166"/>
    </row>
    <row r="5998">
      <c r="A5998" s="163" t="s">
        <v>222</v>
      </c>
      <c r="B5998" s="163"/>
      <c r="C5998" s="163"/>
      <c r="J5998" s="165"/>
      <c r="K5998" s="166"/>
      <c r="L5998" s="166"/>
    </row>
    <row r="5999">
      <c r="A5999" s="163" t="s">
        <v>222</v>
      </c>
      <c r="B5999" s="163"/>
      <c r="C5999" s="163"/>
      <c r="J5999" s="165"/>
      <c r="K5999" s="166"/>
      <c r="L5999" s="166"/>
    </row>
    <row r="6000">
      <c r="A6000" s="163" t="s">
        <v>222</v>
      </c>
      <c r="B6000" s="163"/>
      <c r="C6000" s="163"/>
      <c r="J6000" s="165"/>
      <c r="K6000" s="166"/>
      <c r="L6000" s="166"/>
    </row>
    <row r="6001">
      <c r="A6001" s="163" t="s">
        <v>222</v>
      </c>
      <c r="B6001" s="163"/>
      <c r="C6001" s="163"/>
      <c r="J6001" s="165"/>
      <c r="K6001" s="166"/>
      <c r="L6001" s="166"/>
    </row>
    <row r="6002">
      <c r="A6002" s="163" t="s">
        <v>222</v>
      </c>
      <c r="B6002" s="163"/>
      <c r="C6002" s="163"/>
      <c r="J6002" s="165"/>
      <c r="K6002" s="166"/>
      <c r="L6002" s="166"/>
    </row>
    <row r="6003">
      <c r="A6003" s="163" t="s">
        <v>222</v>
      </c>
      <c r="B6003" s="163"/>
      <c r="C6003" s="163"/>
      <c r="J6003" s="165"/>
      <c r="K6003" s="166"/>
      <c r="L6003" s="166"/>
    </row>
    <row r="6004">
      <c r="A6004" s="163" t="s">
        <v>222</v>
      </c>
      <c r="B6004" s="163"/>
      <c r="C6004" s="163"/>
      <c r="J6004" s="165"/>
      <c r="K6004" s="166"/>
      <c r="L6004" s="166"/>
    </row>
    <row r="6005">
      <c r="A6005" s="163" t="s">
        <v>222</v>
      </c>
      <c r="B6005" s="163"/>
      <c r="C6005" s="163"/>
      <c r="J6005" s="165"/>
      <c r="K6005" s="166"/>
      <c r="L6005" s="166"/>
    </row>
    <row r="6006">
      <c r="A6006" s="163" t="s">
        <v>222</v>
      </c>
      <c r="B6006" s="163"/>
      <c r="C6006" s="163"/>
      <c r="J6006" s="165"/>
      <c r="K6006" s="166"/>
      <c r="L6006" s="166"/>
    </row>
    <row r="6007">
      <c r="A6007" s="163" t="s">
        <v>222</v>
      </c>
      <c r="B6007" s="163"/>
      <c r="C6007" s="163"/>
      <c r="J6007" s="165"/>
      <c r="K6007" s="166"/>
      <c r="L6007" s="166"/>
    </row>
    <row r="6008">
      <c r="A6008" s="163" t="s">
        <v>222</v>
      </c>
      <c r="B6008" s="163"/>
      <c r="C6008" s="163"/>
      <c r="J6008" s="165"/>
      <c r="K6008" s="166"/>
      <c r="L6008" s="166"/>
    </row>
    <row r="6009">
      <c r="A6009" s="163" t="s">
        <v>222</v>
      </c>
      <c r="B6009" s="163"/>
      <c r="C6009" s="163"/>
      <c r="J6009" s="165"/>
      <c r="K6009" s="166"/>
      <c r="L6009" s="166"/>
    </row>
    <row r="6010">
      <c r="A6010" s="163" t="s">
        <v>222</v>
      </c>
      <c r="B6010" s="163"/>
      <c r="C6010" s="163"/>
      <c r="J6010" s="165"/>
      <c r="K6010" s="166"/>
      <c r="L6010" s="166"/>
    </row>
    <row r="6011">
      <c r="A6011" s="163" t="s">
        <v>222</v>
      </c>
      <c r="B6011" s="163"/>
      <c r="C6011" s="163"/>
      <c r="J6011" s="165"/>
      <c r="K6011" s="166"/>
      <c r="L6011" s="166"/>
    </row>
    <row r="6012">
      <c r="A6012" s="163" t="s">
        <v>222</v>
      </c>
      <c r="B6012" s="163"/>
      <c r="C6012" s="163"/>
      <c r="J6012" s="165"/>
      <c r="K6012" s="166"/>
      <c r="L6012" s="166"/>
    </row>
    <row r="6013">
      <c r="A6013" s="163" t="s">
        <v>222</v>
      </c>
      <c r="B6013" s="163"/>
      <c r="C6013" s="163"/>
      <c r="J6013" s="165"/>
      <c r="K6013" s="166"/>
      <c r="L6013" s="166"/>
    </row>
    <row r="6014">
      <c r="A6014" s="163" t="s">
        <v>222</v>
      </c>
      <c r="B6014" s="163"/>
      <c r="C6014" s="163"/>
      <c r="J6014" s="165"/>
      <c r="K6014" s="166"/>
      <c r="L6014" s="166"/>
    </row>
    <row r="6015">
      <c r="A6015" s="163" t="s">
        <v>222</v>
      </c>
      <c r="B6015" s="163"/>
      <c r="C6015" s="163"/>
      <c r="J6015" s="165"/>
      <c r="K6015" s="166"/>
      <c r="L6015" s="166"/>
    </row>
    <row r="6016">
      <c r="A6016" s="163" t="s">
        <v>222</v>
      </c>
      <c r="B6016" s="163"/>
      <c r="C6016" s="163"/>
      <c r="J6016" s="165"/>
      <c r="K6016" s="166"/>
      <c r="L6016" s="166"/>
    </row>
    <row r="6017">
      <c r="A6017" s="163" t="s">
        <v>222</v>
      </c>
      <c r="B6017" s="163"/>
      <c r="C6017" s="163"/>
      <c r="J6017" s="165"/>
      <c r="K6017" s="166"/>
      <c r="L6017" s="166"/>
    </row>
    <row r="6018">
      <c r="A6018" s="163" t="s">
        <v>222</v>
      </c>
      <c r="B6018" s="163"/>
      <c r="C6018" s="163"/>
      <c r="J6018" s="165"/>
      <c r="K6018" s="166"/>
      <c r="L6018" s="166"/>
    </row>
    <row r="6019">
      <c r="A6019" s="163" t="s">
        <v>222</v>
      </c>
      <c r="B6019" s="163"/>
      <c r="C6019" s="163"/>
      <c r="J6019" s="165"/>
      <c r="K6019" s="166"/>
      <c r="L6019" s="166"/>
    </row>
    <row r="6020">
      <c r="A6020" s="163" t="s">
        <v>222</v>
      </c>
      <c r="B6020" s="163"/>
      <c r="C6020" s="163"/>
      <c r="J6020" s="165"/>
      <c r="K6020" s="166"/>
      <c r="L6020" s="166"/>
    </row>
    <row r="6021">
      <c r="A6021" s="163" t="s">
        <v>222</v>
      </c>
      <c r="B6021" s="163"/>
      <c r="C6021" s="163"/>
      <c r="J6021" s="165"/>
      <c r="K6021" s="166"/>
      <c r="L6021" s="166"/>
    </row>
    <row r="6022">
      <c r="A6022" s="163" t="s">
        <v>222</v>
      </c>
      <c r="B6022" s="163"/>
      <c r="C6022" s="163"/>
      <c r="J6022" s="165"/>
      <c r="K6022" s="166"/>
      <c r="L6022" s="166"/>
    </row>
    <row r="6023">
      <c r="A6023" s="163" t="s">
        <v>222</v>
      </c>
      <c r="B6023" s="163"/>
      <c r="C6023" s="163"/>
      <c r="J6023" s="165"/>
      <c r="K6023" s="166"/>
      <c r="L6023" s="166"/>
    </row>
    <row r="6024">
      <c r="A6024" s="163" t="s">
        <v>222</v>
      </c>
      <c r="B6024" s="163"/>
      <c r="C6024" s="163"/>
      <c r="J6024" s="165"/>
      <c r="K6024" s="166"/>
      <c r="L6024" s="166"/>
    </row>
    <row r="6025">
      <c r="A6025" s="163" t="s">
        <v>222</v>
      </c>
      <c r="B6025" s="163"/>
      <c r="C6025" s="163"/>
      <c r="J6025" s="165"/>
      <c r="K6025" s="166"/>
      <c r="L6025" s="166"/>
    </row>
    <row r="6026">
      <c r="A6026" s="163" t="s">
        <v>222</v>
      </c>
      <c r="B6026" s="163"/>
      <c r="C6026" s="163"/>
      <c r="J6026" s="165"/>
      <c r="K6026" s="166"/>
      <c r="L6026" s="166"/>
    </row>
    <row r="6027">
      <c r="A6027" s="163" t="s">
        <v>222</v>
      </c>
      <c r="B6027" s="163"/>
      <c r="C6027" s="163"/>
      <c r="J6027" s="165"/>
      <c r="K6027" s="166"/>
      <c r="L6027" s="166"/>
    </row>
    <row r="6028">
      <c r="A6028" s="163" t="s">
        <v>222</v>
      </c>
      <c r="B6028" s="163"/>
      <c r="C6028" s="163"/>
      <c r="J6028" s="165"/>
      <c r="K6028" s="166"/>
      <c r="L6028" s="166"/>
    </row>
    <row r="6029">
      <c r="A6029" s="163" t="s">
        <v>222</v>
      </c>
      <c r="B6029" s="163"/>
      <c r="C6029" s="163"/>
      <c r="J6029" s="165"/>
      <c r="K6029" s="166"/>
      <c r="L6029" s="166"/>
    </row>
    <row r="6030">
      <c r="A6030" s="163" t="s">
        <v>222</v>
      </c>
      <c r="B6030" s="163"/>
      <c r="C6030" s="163"/>
      <c r="J6030" s="165"/>
      <c r="K6030" s="166"/>
      <c r="L6030" s="166"/>
    </row>
    <row r="6031">
      <c r="A6031" s="163" t="s">
        <v>222</v>
      </c>
      <c r="B6031" s="163"/>
      <c r="C6031" s="163"/>
      <c r="J6031" s="165"/>
      <c r="K6031" s="166"/>
      <c r="L6031" s="166"/>
    </row>
    <row r="6032">
      <c r="A6032" s="163" t="s">
        <v>222</v>
      </c>
      <c r="B6032" s="163"/>
      <c r="C6032" s="163"/>
      <c r="J6032" s="165"/>
      <c r="K6032" s="166"/>
      <c r="L6032" s="166"/>
    </row>
    <row r="6033">
      <c r="A6033" s="163" t="s">
        <v>222</v>
      </c>
      <c r="B6033" s="163"/>
      <c r="C6033" s="163"/>
      <c r="J6033" s="165"/>
      <c r="K6033" s="166"/>
      <c r="L6033" s="166"/>
    </row>
    <row r="6034">
      <c r="A6034" s="163" t="s">
        <v>222</v>
      </c>
      <c r="B6034" s="163"/>
      <c r="C6034" s="163"/>
      <c r="J6034" s="165"/>
      <c r="K6034" s="166"/>
      <c r="L6034" s="166"/>
    </row>
    <row r="6035">
      <c r="A6035" s="163" t="s">
        <v>222</v>
      </c>
      <c r="B6035" s="163"/>
      <c r="C6035" s="163"/>
      <c r="J6035" s="165"/>
      <c r="K6035" s="166"/>
      <c r="L6035" s="166"/>
    </row>
    <row r="6036">
      <c r="A6036" s="163" t="s">
        <v>222</v>
      </c>
      <c r="B6036" s="163"/>
      <c r="C6036" s="163"/>
      <c r="J6036" s="165"/>
      <c r="K6036" s="166"/>
      <c r="L6036" s="166"/>
    </row>
    <row r="6037">
      <c r="A6037" s="163" t="s">
        <v>222</v>
      </c>
      <c r="B6037" s="163"/>
      <c r="C6037" s="163"/>
      <c r="J6037" s="165"/>
      <c r="K6037" s="166"/>
      <c r="L6037" s="166"/>
    </row>
    <row r="6038">
      <c r="A6038" s="163" t="s">
        <v>222</v>
      </c>
      <c r="B6038" s="163"/>
      <c r="C6038" s="163"/>
      <c r="J6038" s="165"/>
      <c r="K6038" s="166"/>
      <c r="L6038" s="166"/>
    </row>
    <row r="6039">
      <c r="A6039" s="163" t="s">
        <v>222</v>
      </c>
      <c r="B6039" s="163"/>
      <c r="C6039" s="163"/>
      <c r="J6039" s="165"/>
      <c r="K6039" s="166"/>
      <c r="L6039" s="166"/>
    </row>
    <row r="6040">
      <c r="A6040" s="163" t="s">
        <v>222</v>
      </c>
      <c r="B6040" s="163"/>
      <c r="C6040" s="163"/>
      <c r="J6040" s="165"/>
      <c r="K6040" s="166"/>
      <c r="L6040" s="166"/>
    </row>
    <row r="6041">
      <c r="A6041" s="163" t="s">
        <v>222</v>
      </c>
      <c r="B6041" s="163"/>
      <c r="C6041" s="163"/>
      <c r="J6041" s="165"/>
      <c r="K6041" s="166"/>
      <c r="L6041" s="166"/>
    </row>
    <row r="6042">
      <c r="A6042" s="163" t="s">
        <v>222</v>
      </c>
      <c r="B6042" s="163"/>
      <c r="C6042" s="163"/>
      <c r="J6042" s="165"/>
      <c r="K6042" s="166"/>
      <c r="L6042" s="166"/>
    </row>
    <row r="6043">
      <c r="A6043" s="163" t="s">
        <v>222</v>
      </c>
      <c r="B6043" s="163"/>
      <c r="C6043" s="163"/>
      <c r="J6043" s="165"/>
      <c r="K6043" s="166"/>
      <c r="L6043" s="166"/>
    </row>
    <row r="6044">
      <c r="A6044" s="163" t="s">
        <v>222</v>
      </c>
      <c r="B6044" s="163"/>
      <c r="C6044" s="163"/>
      <c r="J6044" s="165"/>
      <c r="K6044" s="166"/>
      <c r="L6044" s="166"/>
    </row>
    <row r="6045">
      <c r="A6045" s="163" t="s">
        <v>222</v>
      </c>
      <c r="B6045" s="163"/>
      <c r="C6045" s="163"/>
      <c r="J6045" s="165"/>
      <c r="K6045" s="166"/>
      <c r="L6045" s="166"/>
    </row>
    <row r="6046">
      <c r="A6046" s="163" t="s">
        <v>222</v>
      </c>
      <c r="B6046" s="163"/>
      <c r="C6046" s="163"/>
      <c r="J6046" s="165"/>
      <c r="K6046" s="166"/>
      <c r="L6046" s="166"/>
    </row>
    <row r="6047">
      <c r="A6047" s="163" t="s">
        <v>222</v>
      </c>
      <c r="B6047" s="163"/>
      <c r="C6047" s="163"/>
      <c r="J6047" s="165"/>
      <c r="K6047" s="166"/>
      <c r="L6047" s="166"/>
    </row>
    <row r="6048">
      <c r="A6048" s="163" t="s">
        <v>222</v>
      </c>
      <c r="B6048" s="163"/>
      <c r="C6048" s="163"/>
      <c r="J6048" s="165"/>
      <c r="K6048" s="166"/>
      <c r="L6048" s="166"/>
    </row>
    <row r="6049">
      <c r="A6049" s="163" t="s">
        <v>222</v>
      </c>
      <c r="B6049" s="163"/>
      <c r="C6049" s="163"/>
      <c r="J6049" s="165"/>
      <c r="K6049" s="166"/>
      <c r="L6049" s="166"/>
    </row>
    <row r="6050">
      <c r="A6050" s="163" t="s">
        <v>222</v>
      </c>
      <c r="B6050" s="163"/>
      <c r="C6050" s="163"/>
      <c r="J6050" s="165"/>
      <c r="K6050" s="166"/>
      <c r="L6050" s="166"/>
    </row>
    <row r="6051">
      <c r="A6051" s="163" t="s">
        <v>222</v>
      </c>
      <c r="B6051" s="163"/>
      <c r="C6051" s="163"/>
      <c r="J6051" s="165"/>
      <c r="K6051" s="166"/>
      <c r="L6051" s="166"/>
    </row>
    <row r="6052">
      <c r="A6052" s="163" t="s">
        <v>222</v>
      </c>
      <c r="B6052" s="163"/>
      <c r="C6052" s="163"/>
      <c r="J6052" s="165"/>
      <c r="K6052" s="166"/>
      <c r="L6052" s="166"/>
    </row>
    <row r="6053">
      <c r="A6053" s="163" t="s">
        <v>222</v>
      </c>
      <c r="B6053" s="163"/>
      <c r="C6053" s="163"/>
      <c r="J6053" s="165"/>
      <c r="K6053" s="166"/>
      <c r="L6053" s="166"/>
    </row>
    <row r="6054">
      <c r="A6054" s="163" t="s">
        <v>222</v>
      </c>
      <c r="B6054" s="163"/>
      <c r="C6054" s="163"/>
      <c r="J6054" s="165"/>
      <c r="K6054" s="166"/>
      <c r="L6054" s="166"/>
    </row>
    <row r="6055">
      <c r="A6055" s="163" t="s">
        <v>222</v>
      </c>
      <c r="B6055" s="163"/>
      <c r="C6055" s="163"/>
      <c r="J6055" s="165"/>
      <c r="K6055" s="166"/>
      <c r="L6055" s="166"/>
    </row>
    <row r="6056">
      <c r="A6056" s="163" t="s">
        <v>222</v>
      </c>
      <c r="B6056" s="163"/>
      <c r="C6056" s="163"/>
      <c r="J6056" s="165"/>
      <c r="K6056" s="166"/>
      <c r="L6056" s="166"/>
    </row>
    <row r="6057">
      <c r="A6057" s="163" t="s">
        <v>222</v>
      </c>
      <c r="B6057" s="163"/>
      <c r="C6057" s="163"/>
      <c r="J6057" s="165"/>
      <c r="K6057" s="166"/>
      <c r="L6057" s="166"/>
    </row>
    <row r="6058">
      <c r="A6058" s="163" t="s">
        <v>222</v>
      </c>
      <c r="B6058" s="163"/>
      <c r="C6058" s="163"/>
      <c r="J6058" s="165"/>
      <c r="K6058" s="166"/>
      <c r="L6058" s="166"/>
    </row>
    <row r="6059">
      <c r="A6059" s="163" t="s">
        <v>222</v>
      </c>
      <c r="B6059" s="163"/>
      <c r="C6059" s="163"/>
      <c r="J6059" s="165"/>
      <c r="K6059" s="166"/>
      <c r="L6059" s="166"/>
    </row>
    <row r="6060">
      <c r="A6060" s="163" t="s">
        <v>222</v>
      </c>
      <c r="B6060" s="163"/>
      <c r="C6060" s="163"/>
      <c r="J6060" s="165"/>
      <c r="K6060" s="166"/>
      <c r="L6060" s="166"/>
    </row>
    <row r="6061">
      <c r="A6061" s="163" t="s">
        <v>222</v>
      </c>
      <c r="B6061" s="163"/>
      <c r="C6061" s="163"/>
      <c r="J6061" s="165"/>
      <c r="K6061" s="166"/>
      <c r="L6061" s="166"/>
    </row>
    <row r="6062">
      <c r="A6062" s="163" t="s">
        <v>222</v>
      </c>
      <c r="B6062" s="163"/>
      <c r="C6062" s="163"/>
      <c r="J6062" s="165"/>
      <c r="K6062" s="166"/>
      <c r="L6062" s="166"/>
    </row>
    <row r="6063">
      <c r="A6063" s="163" t="s">
        <v>222</v>
      </c>
      <c r="B6063" s="163"/>
      <c r="C6063" s="163"/>
      <c r="J6063" s="165"/>
      <c r="K6063" s="166"/>
      <c r="L6063" s="166"/>
    </row>
    <row r="6064">
      <c r="A6064" s="163" t="s">
        <v>222</v>
      </c>
      <c r="B6064" s="163"/>
      <c r="C6064" s="163"/>
      <c r="J6064" s="165"/>
      <c r="K6064" s="166"/>
      <c r="L6064" s="166"/>
    </row>
    <row r="6065">
      <c r="A6065" s="163" t="s">
        <v>222</v>
      </c>
      <c r="B6065" s="163"/>
      <c r="C6065" s="163"/>
      <c r="J6065" s="165"/>
      <c r="K6065" s="166"/>
      <c r="L6065" s="166"/>
    </row>
    <row r="6066">
      <c r="A6066" s="163" t="s">
        <v>222</v>
      </c>
      <c r="B6066" s="163"/>
      <c r="C6066" s="163"/>
      <c r="J6066" s="165"/>
      <c r="K6066" s="166"/>
      <c r="L6066" s="166"/>
    </row>
    <row r="6067">
      <c r="A6067" s="163" t="s">
        <v>222</v>
      </c>
      <c r="B6067" s="163"/>
      <c r="C6067" s="163"/>
      <c r="J6067" s="165"/>
      <c r="K6067" s="166"/>
      <c r="L6067" s="166"/>
    </row>
    <row r="6068">
      <c r="A6068" s="163" t="s">
        <v>222</v>
      </c>
      <c r="B6068" s="163"/>
      <c r="C6068" s="163"/>
      <c r="J6068" s="165"/>
      <c r="K6068" s="166"/>
      <c r="L6068" s="166"/>
    </row>
    <row r="6069">
      <c r="A6069" s="163" t="s">
        <v>222</v>
      </c>
      <c r="B6069" s="163"/>
      <c r="C6069" s="163"/>
      <c r="J6069" s="165"/>
      <c r="K6069" s="166"/>
      <c r="L6069" s="166"/>
    </row>
    <row r="6070">
      <c r="A6070" s="163" t="s">
        <v>222</v>
      </c>
      <c r="B6070" s="163"/>
      <c r="C6070" s="163"/>
      <c r="J6070" s="165"/>
      <c r="K6070" s="166"/>
      <c r="L6070" s="166"/>
    </row>
    <row r="6071">
      <c r="A6071" s="163" t="s">
        <v>222</v>
      </c>
      <c r="B6071" s="163"/>
      <c r="C6071" s="163"/>
      <c r="J6071" s="165"/>
      <c r="K6071" s="166"/>
      <c r="L6071" s="166"/>
    </row>
    <row r="6072">
      <c r="A6072" s="163" t="s">
        <v>222</v>
      </c>
      <c r="B6072" s="163"/>
      <c r="C6072" s="163"/>
      <c r="J6072" s="165"/>
      <c r="K6072" s="166"/>
      <c r="L6072" s="166"/>
    </row>
    <row r="6073">
      <c r="A6073" s="163" t="s">
        <v>222</v>
      </c>
      <c r="B6073" s="163"/>
      <c r="C6073" s="163"/>
      <c r="J6073" s="165"/>
      <c r="K6073" s="166"/>
      <c r="L6073" s="166"/>
    </row>
    <row r="6074">
      <c r="A6074" s="163" t="s">
        <v>222</v>
      </c>
      <c r="B6074" s="163"/>
      <c r="C6074" s="163"/>
      <c r="J6074" s="165"/>
      <c r="K6074" s="166"/>
      <c r="L6074" s="166"/>
    </row>
    <row r="6075">
      <c r="A6075" s="163" t="s">
        <v>222</v>
      </c>
      <c r="B6075" s="163"/>
      <c r="C6075" s="163"/>
      <c r="J6075" s="165"/>
      <c r="K6075" s="166"/>
      <c r="L6075" s="166"/>
    </row>
    <row r="6076">
      <c r="A6076" s="163" t="s">
        <v>222</v>
      </c>
      <c r="B6076" s="163"/>
      <c r="C6076" s="163"/>
      <c r="J6076" s="165"/>
      <c r="K6076" s="166"/>
      <c r="L6076" s="166"/>
    </row>
    <row r="6077">
      <c r="A6077" s="163" t="s">
        <v>222</v>
      </c>
      <c r="B6077" s="163"/>
      <c r="C6077" s="163"/>
      <c r="J6077" s="165"/>
      <c r="K6077" s="166"/>
      <c r="L6077" s="166"/>
    </row>
    <row r="6078">
      <c r="A6078" s="163" t="s">
        <v>222</v>
      </c>
      <c r="B6078" s="163"/>
      <c r="C6078" s="163"/>
      <c r="J6078" s="165"/>
      <c r="K6078" s="166"/>
      <c r="L6078" s="166"/>
    </row>
    <row r="6079">
      <c r="A6079" s="163" t="s">
        <v>222</v>
      </c>
      <c r="B6079" s="163"/>
      <c r="C6079" s="163"/>
      <c r="J6079" s="165"/>
      <c r="K6079" s="166"/>
      <c r="L6079" s="166"/>
    </row>
    <row r="6080">
      <c r="A6080" s="163" t="s">
        <v>222</v>
      </c>
      <c r="B6080" s="163"/>
      <c r="C6080" s="163"/>
      <c r="J6080" s="165"/>
      <c r="K6080" s="166"/>
      <c r="L6080" s="166"/>
    </row>
    <row r="6081">
      <c r="A6081" s="163" t="s">
        <v>222</v>
      </c>
      <c r="B6081" s="163"/>
      <c r="C6081" s="163"/>
      <c r="J6081" s="165"/>
      <c r="K6081" s="166"/>
      <c r="L6081" s="166"/>
    </row>
    <row r="6082">
      <c r="A6082" s="163" t="s">
        <v>222</v>
      </c>
      <c r="B6082" s="163"/>
      <c r="C6082" s="163"/>
      <c r="J6082" s="165"/>
      <c r="K6082" s="166"/>
      <c r="L6082" s="166"/>
    </row>
    <row r="6083">
      <c r="A6083" s="163" t="s">
        <v>222</v>
      </c>
      <c r="B6083" s="163"/>
      <c r="C6083" s="163"/>
      <c r="J6083" s="165"/>
      <c r="K6083" s="166"/>
      <c r="L6083" s="166"/>
    </row>
    <row r="6084">
      <c r="A6084" s="163" t="s">
        <v>222</v>
      </c>
      <c r="B6084" s="163"/>
      <c r="C6084" s="163"/>
      <c r="J6084" s="165"/>
      <c r="K6084" s="166"/>
      <c r="L6084" s="166"/>
    </row>
    <row r="6085">
      <c r="A6085" s="163" t="s">
        <v>222</v>
      </c>
      <c r="B6085" s="163"/>
      <c r="C6085" s="163"/>
      <c r="J6085" s="165"/>
      <c r="K6085" s="166"/>
      <c r="L6085" s="166"/>
    </row>
    <row r="6086">
      <c r="A6086" s="163" t="s">
        <v>222</v>
      </c>
      <c r="B6086" s="163"/>
      <c r="C6086" s="163"/>
      <c r="J6086" s="165"/>
      <c r="K6086" s="166"/>
      <c r="L6086" s="166"/>
    </row>
    <row r="6087">
      <c r="A6087" s="163" t="s">
        <v>222</v>
      </c>
      <c r="B6087" s="163"/>
      <c r="C6087" s="163"/>
      <c r="J6087" s="165"/>
      <c r="K6087" s="166"/>
      <c r="L6087" s="166"/>
    </row>
    <row r="6088">
      <c r="A6088" s="163" t="s">
        <v>222</v>
      </c>
      <c r="B6088" s="163"/>
      <c r="C6088" s="163"/>
      <c r="J6088" s="165"/>
      <c r="K6088" s="166"/>
      <c r="L6088" s="166"/>
    </row>
    <row r="6089">
      <c r="A6089" s="163" t="s">
        <v>222</v>
      </c>
      <c r="B6089" s="163"/>
      <c r="C6089" s="163"/>
      <c r="J6089" s="165"/>
      <c r="K6089" s="166"/>
      <c r="L6089" s="166"/>
    </row>
    <row r="6090">
      <c r="A6090" s="163" t="s">
        <v>222</v>
      </c>
      <c r="B6090" s="163"/>
      <c r="C6090" s="163"/>
      <c r="J6090" s="165"/>
      <c r="K6090" s="166"/>
      <c r="L6090" s="166"/>
    </row>
    <row r="6091">
      <c r="A6091" s="163" t="s">
        <v>222</v>
      </c>
      <c r="B6091" s="163"/>
      <c r="C6091" s="163"/>
      <c r="J6091" s="165"/>
      <c r="K6091" s="166"/>
      <c r="L6091" s="166"/>
    </row>
    <row r="6092">
      <c r="A6092" s="163" t="s">
        <v>222</v>
      </c>
      <c r="B6092" s="163"/>
      <c r="C6092" s="163"/>
      <c r="J6092" s="165"/>
      <c r="K6092" s="166"/>
      <c r="L6092" s="166"/>
    </row>
    <row r="6093">
      <c r="A6093" s="163" t="s">
        <v>222</v>
      </c>
      <c r="B6093" s="163"/>
      <c r="C6093" s="163"/>
      <c r="J6093" s="165"/>
      <c r="K6093" s="166"/>
      <c r="L6093" s="166"/>
    </row>
    <row r="6094">
      <c r="A6094" s="163" t="s">
        <v>222</v>
      </c>
      <c r="B6094" s="163"/>
      <c r="C6094" s="163"/>
      <c r="J6094" s="165"/>
      <c r="K6094" s="166"/>
      <c r="L6094" s="166"/>
    </row>
    <row r="6095">
      <c r="A6095" s="163" t="s">
        <v>222</v>
      </c>
      <c r="B6095" s="163"/>
      <c r="C6095" s="163"/>
      <c r="J6095" s="165"/>
      <c r="K6095" s="166"/>
      <c r="L6095" s="166"/>
    </row>
    <row r="6096">
      <c r="A6096" s="163" t="s">
        <v>222</v>
      </c>
      <c r="B6096" s="163"/>
      <c r="C6096" s="163"/>
      <c r="J6096" s="165"/>
      <c r="K6096" s="166"/>
      <c r="L6096" s="166"/>
    </row>
    <row r="6097">
      <c r="A6097" s="163" t="s">
        <v>222</v>
      </c>
      <c r="B6097" s="163"/>
      <c r="C6097" s="163"/>
      <c r="J6097" s="165"/>
      <c r="K6097" s="166"/>
      <c r="L6097" s="166"/>
    </row>
    <row r="6098">
      <c r="A6098" s="163" t="s">
        <v>222</v>
      </c>
      <c r="B6098" s="163"/>
      <c r="C6098" s="163"/>
      <c r="J6098" s="165"/>
      <c r="K6098" s="166"/>
      <c r="L6098" s="166"/>
    </row>
    <row r="6099">
      <c r="A6099" s="163" t="s">
        <v>222</v>
      </c>
      <c r="B6099" s="163"/>
      <c r="C6099" s="163"/>
      <c r="J6099" s="165"/>
      <c r="K6099" s="166"/>
      <c r="L6099" s="166"/>
    </row>
    <row r="6100">
      <c r="A6100" s="163" t="s">
        <v>222</v>
      </c>
      <c r="B6100" s="163"/>
      <c r="C6100" s="163"/>
      <c r="J6100" s="165"/>
      <c r="K6100" s="166"/>
      <c r="L6100" s="166"/>
    </row>
    <row r="6101">
      <c r="A6101" s="163" t="s">
        <v>222</v>
      </c>
      <c r="B6101" s="163"/>
      <c r="C6101" s="163"/>
      <c r="J6101" s="165"/>
      <c r="K6101" s="166"/>
      <c r="L6101" s="166"/>
    </row>
    <row r="6102">
      <c r="A6102" s="163" t="s">
        <v>222</v>
      </c>
      <c r="B6102" s="163"/>
      <c r="C6102" s="163"/>
      <c r="J6102" s="165"/>
      <c r="K6102" s="166"/>
      <c r="L6102" s="166"/>
    </row>
    <row r="6103">
      <c r="A6103" s="163" t="s">
        <v>222</v>
      </c>
      <c r="B6103" s="163"/>
      <c r="C6103" s="163"/>
      <c r="J6103" s="165"/>
      <c r="K6103" s="166"/>
      <c r="L6103" s="166"/>
    </row>
    <row r="6104">
      <c r="A6104" s="163" t="s">
        <v>222</v>
      </c>
      <c r="B6104" s="163"/>
      <c r="C6104" s="163"/>
      <c r="J6104" s="165"/>
      <c r="K6104" s="166"/>
      <c r="L6104" s="166"/>
    </row>
    <row r="6105">
      <c r="A6105" s="163" t="s">
        <v>222</v>
      </c>
      <c r="B6105" s="163"/>
      <c r="C6105" s="163"/>
      <c r="J6105" s="165"/>
      <c r="K6105" s="166"/>
      <c r="L6105" s="166"/>
    </row>
    <row r="6106">
      <c r="A6106" s="163" t="s">
        <v>222</v>
      </c>
      <c r="B6106" s="163"/>
      <c r="C6106" s="163"/>
      <c r="J6106" s="165"/>
      <c r="K6106" s="166"/>
      <c r="L6106" s="166"/>
    </row>
    <row r="6107">
      <c r="A6107" s="163" t="s">
        <v>222</v>
      </c>
      <c r="B6107" s="163"/>
      <c r="C6107" s="163"/>
      <c r="J6107" s="165"/>
      <c r="K6107" s="166"/>
      <c r="L6107" s="166"/>
    </row>
    <row r="6108">
      <c r="A6108" s="163" t="s">
        <v>222</v>
      </c>
      <c r="B6108" s="163"/>
      <c r="C6108" s="163"/>
      <c r="J6108" s="165"/>
      <c r="K6108" s="166"/>
      <c r="L6108" s="166"/>
    </row>
    <row r="6109">
      <c r="A6109" s="163" t="s">
        <v>222</v>
      </c>
      <c r="B6109" s="163"/>
      <c r="C6109" s="163"/>
      <c r="J6109" s="165"/>
      <c r="K6109" s="166"/>
      <c r="L6109" s="166"/>
    </row>
    <row r="6110">
      <c r="A6110" s="163" t="s">
        <v>222</v>
      </c>
      <c r="B6110" s="163"/>
      <c r="C6110" s="163"/>
      <c r="J6110" s="165"/>
      <c r="K6110" s="166"/>
      <c r="L6110" s="166"/>
    </row>
    <row r="6111">
      <c r="A6111" s="163" t="s">
        <v>222</v>
      </c>
      <c r="B6111" s="163"/>
      <c r="C6111" s="163"/>
      <c r="J6111" s="165"/>
      <c r="K6111" s="166"/>
      <c r="L6111" s="166"/>
    </row>
    <row r="6112">
      <c r="A6112" s="163" t="s">
        <v>222</v>
      </c>
      <c r="B6112" s="163"/>
      <c r="C6112" s="163"/>
      <c r="J6112" s="165"/>
      <c r="K6112" s="166"/>
      <c r="L6112" s="166"/>
    </row>
    <row r="6113">
      <c r="A6113" s="163" t="s">
        <v>222</v>
      </c>
      <c r="B6113" s="163"/>
      <c r="C6113" s="163"/>
      <c r="J6113" s="165"/>
      <c r="K6113" s="166"/>
      <c r="L6113" s="166"/>
    </row>
    <row r="6114">
      <c r="A6114" s="163" t="s">
        <v>222</v>
      </c>
      <c r="B6114" s="163"/>
      <c r="C6114" s="163"/>
      <c r="J6114" s="165"/>
      <c r="K6114" s="166"/>
      <c r="L6114" s="166"/>
    </row>
    <row r="6115">
      <c r="A6115" s="163" t="s">
        <v>222</v>
      </c>
      <c r="B6115" s="163"/>
      <c r="C6115" s="163"/>
      <c r="J6115" s="165"/>
      <c r="K6115" s="166"/>
      <c r="L6115" s="166"/>
    </row>
    <row r="6116">
      <c r="A6116" s="163" t="s">
        <v>222</v>
      </c>
      <c r="B6116" s="163"/>
      <c r="C6116" s="163"/>
      <c r="J6116" s="165"/>
      <c r="K6116" s="166"/>
      <c r="L6116" s="166"/>
    </row>
    <row r="6117">
      <c r="A6117" s="163" t="s">
        <v>222</v>
      </c>
      <c r="B6117" s="163"/>
      <c r="C6117" s="163"/>
      <c r="J6117" s="165"/>
      <c r="K6117" s="166"/>
      <c r="L6117" s="166"/>
    </row>
    <row r="6118">
      <c r="A6118" s="163" t="s">
        <v>222</v>
      </c>
      <c r="B6118" s="163"/>
      <c r="C6118" s="163"/>
      <c r="J6118" s="165"/>
      <c r="K6118" s="166"/>
      <c r="L6118" s="166"/>
    </row>
    <row r="6119">
      <c r="A6119" s="163" t="s">
        <v>222</v>
      </c>
      <c r="B6119" s="163"/>
      <c r="C6119" s="163"/>
      <c r="J6119" s="165"/>
      <c r="K6119" s="166"/>
      <c r="L6119" s="166"/>
    </row>
    <row r="6120">
      <c r="A6120" s="163" t="s">
        <v>222</v>
      </c>
      <c r="B6120" s="163"/>
      <c r="C6120" s="163"/>
      <c r="J6120" s="165"/>
      <c r="K6120" s="166"/>
      <c r="L6120" s="166"/>
    </row>
    <row r="6121">
      <c r="A6121" s="163" t="s">
        <v>222</v>
      </c>
      <c r="B6121" s="163"/>
      <c r="C6121" s="163"/>
      <c r="J6121" s="165"/>
      <c r="K6121" s="166"/>
      <c r="L6121" s="166"/>
    </row>
    <row r="6122">
      <c r="A6122" s="163" t="s">
        <v>222</v>
      </c>
      <c r="B6122" s="163"/>
      <c r="C6122" s="163"/>
      <c r="J6122" s="165"/>
      <c r="K6122" s="166"/>
      <c r="L6122" s="166"/>
    </row>
    <row r="6123">
      <c r="A6123" s="163" t="s">
        <v>222</v>
      </c>
      <c r="B6123" s="163"/>
      <c r="C6123" s="163"/>
      <c r="J6123" s="165"/>
      <c r="K6123" s="166"/>
      <c r="L6123" s="166"/>
    </row>
    <row r="6124">
      <c r="A6124" s="163" t="s">
        <v>222</v>
      </c>
      <c r="B6124" s="163"/>
      <c r="C6124" s="163"/>
      <c r="J6124" s="165"/>
      <c r="K6124" s="166"/>
      <c r="L6124" s="166"/>
    </row>
    <row r="6125">
      <c r="A6125" s="163" t="s">
        <v>222</v>
      </c>
      <c r="B6125" s="163"/>
      <c r="C6125" s="163"/>
      <c r="J6125" s="165"/>
      <c r="K6125" s="166"/>
      <c r="L6125" s="166"/>
    </row>
    <row r="6126">
      <c r="A6126" s="163" t="s">
        <v>222</v>
      </c>
      <c r="B6126" s="163"/>
      <c r="C6126" s="163"/>
      <c r="J6126" s="165"/>
      <c r="K6126" s="166"/>
      <c r="L6126" s="166"/>
    </row>
    <row r="6127">
      <c r="A6127" s="163" t="s">
        <v>222</v>
      </c>
      <c r="B6127" s="163"/>
      <c r="C6127" s="163"/>
      <c r="J6127" s="165"/>
      <c r="K6127" s="166"/>
      <c r="L6127" s="166"/>
    </row>
    <row r="6128">
      <c r="A6128" s="163" t="s">
        <v>222</v>
      </c>
      <c r="B6128" s="163"/>
      <c r="C6128" s="163"/>
      <c r="J6128" s="165"/>
      <c r="K6128" s="166"/>
      <c r="L6128" s="166"/>
    </row>
    <row r="6129">
      <c r="A6129" s="163" t="s">
        <v>222</v>
      </c>
      <c r="B6129" s="163"/>
      <c r="C6129" s="163"/>
      <c r="J6129" s="165"/>
      <c r="K6129" s="166"/>
      <c r="L6129" s="166"/>
    </row>
    <row r="6130">
      <c r="A6130" s="163" t="s">
        <v>222</v>
      </c>
      <c r="B6130" s="163"/>
      <c r="C6130" s="163"/>
      <c r="J6130" s="165"/>
      <c r="K6130" s="166"/>
      <c r="L6130" s="166"/>
    </row>
    <row r="6131">
      <c r="A6131" s="163" t="s">
        <v>222</v>
      </c>
      <c r="B6131" s="163"/>
      <c r="C6131" s="163"/>
      <c r="J6131" s="165"/>
      <c r="K6131" s="166"/>
      <c r="L6131" s="166"/>
    </row>
    <row r="6132">
      <c r="A6132" s="163" t="s">
        <v>222</v>
      </c>
      <c r="B6132" s="163"/>
      <c r="C6132" s="163"/>
      <c r="J6132" s="165"/>
      <c r="K6132" s="166"/>
      <c r="L6132" s="166"/>
    </row>
    <row r="6133">
      <c r="A6133" s="163" t="s">
        <v>222</v>
      </c>
      <c r="B6133" s="163"/>
      <c r="C6133" s="163"/>
      <c r="J6133" s="165"/>
      <c r="K6133" s="166"/>
      <c r="L6133" s="166"/>
    </row>
    <row r="6134">
      <c r="A6134" s="163" t="s">
        <v>222</v>
      </c>
      <c r="B6134" s="163"/>
      <c r="C6134" s="163"/>
      <c r="J6134" s="165"/>
      <c r="K6134" s="166"/>
      <c r="L6134" s="166"/>
    </row>
    <row r="6135">
      <c r="A6135" s="163" t="s">
        <v>222</v>
      </c>
      <c r="B6135" s="163"/>
      <c r="C6135" s="163"/>
      <c r="J6135" s="165"/>
      <c r="K6135" s="166"/>
      <c r="L6135" s="166"/>
    </row>
    <row r="6136">
      <c r="A6136" s="163" t="s">
        <v>222</v>
      </c>
      <c r="B6136" s="163"/>
      <c r="C6136" s="163"/>
      <c r="J6136" s="165"/>
      <c r="K6136" s="166"/>
      <c r="L6136" s="166"/>
    </row>
    <row r="6137">
      <c r="A6137" s="163" t="s">
        <v>222</v>
      </c>
      <c r="B6137" s="163"/>
      <c r="C6137" s="163"/>
      <c r="J6137" s="165"/>
      <c r="K6137" s="166"/>
      <c r="L6137" s="166"/>
    </row>
    <row r="6138">
      <c r="A6138" s="163" t="s">
        <v>222</v>
      </c>
      <c r="B6138" s="163"/>
      <c r="C6138" s="163"/>
      <c r="J6138" s="165"/>
      <c r="K6138" s="166"/>
      <c r="L6138" s="166"/>
    </row>
    <row r="6139">
      <c r="A6139" s="163" t="s">
        <v>222</v>
      </c>
      <c r="B6139" s="163"/>
      <c r="C6139" s="163"/>
      <c r="J6139" s="165"/>
      <c r="K6139" s="166"/>
      <c r="L6139" s="166"/>
    </row>
    <row r="6140">
      <c r="A6140" s="163" t="s">
        <v>222</v>
      </c>
      <c r="B6140" s="163"/>
      <c r="C6140" s="163"/>
      <c r="J6140" s="165"/>
      <c r="K6140" s="166"/>
      <c r="L6140" s="166"/>
    </row>
    <row r="6141">
      <c r="A6141" s="163" t="s">
        <v>222</v>
      </c>
      <c r="B6141" s="163"/>
      <c r="C6141" s="163"/>
      <c r="J6141" s="165"/>
      <c r="K6141" s="166"/>
      <c r="L6141" s="166"/>
    </row>
    <row r="6142">
      <c r="A6142" s="163" t="s">
        <v>222</v>
      </c>
      <c r="B6142" s="163"/>
      <c r="C6142" s="163"/>
      <c r="J6142" s="165"/>
      <c r="K6142" s="166"/>
      <c r="L6142" s="166"/>
    </row>
    <row r="6143">
      <c r="A6143" s="163" t="s">
        <v>222</v>
      </c>
      <c r="B6143" s="163"/>
      <c r="C6143" s="163"/>
      <c r="J6143" s="165"/>
      <c r="K6143" s="166"/>
      <c r="L6143" s="166"/>
    </row>
    <row r="6144">
      <c r="A6144" s="163" t="s">
        <v>222</v>
      </c>
      <c r="B6144" s="163"/>
      <c r="C6144" s="163"/>
      <c r="J6144" s="165"/>
      <c r="K6144" s="166"/>
      <c r="L6144" s="166"/>
    </row>
    <row r="6145">
      <c r="A6145" s="163" t="s">
        <v>222</v>
      </c>
      <c r="B6145" s="163"/>
      <c r="C6145" s="163"/>
      <c r="J6145" s="165"/>
      <c r="K6145" s="166"/>
      <c r="L6145" s="166"/>
    </row>
    <row r="6146">
      <c r="A6146" s="163" t="s">
        <v>222</v>
      </c>
      <c r="B6146" s="163"/>
      <c r="C6146" s="163"/>
      <c r="J6146" s="165"/>
      <c r="K6146" s="166"/>
      <c r="L6146" s="166"/>
    </row>
    <row r="6147">
      <c r="A6147" s="163" t="s">
        <v>222</v>
      </c>
      <c r="B6147" s="163"/>
      <c r="C6147" s="163"/>
      <c r="J6147" s="165"/>
      <c r="K6147" s="166"/>
      <c r="L6147" s="166"/>
    </row>
    <row r="6148">
      <c r="A6148" s="163" t="s">
        <v>222</v>
      </c>
      <c r="B6148" s="163"/>
      <c r="C6148" s="163"/>
      <c r="J6148" s="165"/>
      <c r="K6148" s="166"/>
      <c r="L6148" s="166"/>
    </row>
    <row r="6149">
      <c r="A6149" s="163" t="s">
        <v>222</v>
      </c>
      <c r="B6149" s="163"/>
      <c r="C6149" s="163"/>
      <c r="J6149" s="165"/>
      <c r="K6149" s="166"/>
      <c r="L6149" s="166"/>
    </row>
    <row r="6150">
      <c r="A6150" s="163" t="s">
        <v>222</v>
      </c>
      <c r="B6150" s="163"/>
      <c r="C6150" s="163"/>
      <c r="J6150" s="165"/>
      <c r="K6150" s="166"/>
      <c r="L6150" s="166"/>
    </row>
    <row r="6151">
      <c r="A6151" s="163" t="s">
        <v>222</v>
      </c>
      <c r="B6151" s="163"/>
      <c r="C6151" s="163"/>
      <c r="J6151" s="165"/>
      <c r="K6151" s="166"/>
      <c r="L6151" s="166"/>
    </row>
    <row r="6152">
      <c r="A6152" s="163" t="s">
        <v>222</v>
      </c>
      <c r="B6152" s="163"/>
      <c r="C6152" s="163"/>
      <c r="J6152" s="165"/>
      <c r="K6152" s="166"/>
      <c r="L6152" s="166"/>
    </row>
    <row r="6153">
      <c r="A6153" s="163" t="s">
        <v>222</v>
      </c>
      <c r="B6153" s="163"/>
      <c r="C6153" s="163"/>
      <c r="J6153" s="165"/>
      <c r="K6153" s="166"/>
      <c r="L6153" s="166"/>
    </row>
    <row r="6154">
      <c r="A6154" s="163" t="s">
        <v>222</v>
      </c>
      <c r="B6154" s="163"/>
      <c r="C6154" s="163"/>
      <c r="J6154" s="165"/>
      <c r="K6154" s="166"/>
      <c r="L6154" s="166"/>
    </row>
    <row r="6155">
      <c r="A6155" s="163" t="s">
        <v>222</v>
      </c>
      <c r="B6155" s="163"/>
      <c r="C6155" s="163"/>
      <c r="J6155" s="165"/>
      <c r="K6155" s="166"/>
      <c r="L6155" s="166"/>
    </row>
    <row r="6156">
      <c r="A6156" s="163" t="s">
        <v>222</v>
      </c>
      <c r="B6156" s="163"/>
      <c r="C6156" s="163"/>
      <c r="J6156" s="165"/>
      <c r="K6156" s="166"/>
      <c r="L6156" s="166"/>
    </row>
    <row r="6157">
      <c r="A6157" s="163" t="s">
        <v>222</v>
      </c>
      <c r="B6157" s="163"/>
      <c r="C6157" s="163"/>
      <c r="J6157" s="165"/>
      <c r="K6157" s="166"/>
      <c r="L6157" s="166"/>
    </row>
    <row r="6158">
      <c r="A6158" s="163" t="s">
        <v>222</v>
      </c>
      <c r="B6158" s="163"/>
      <c r="C6158" s="163"/>
      <c r="J6158" s="165"/>
      <c r="K6158" s="166"/>
      <c r="L6158" s="166"/>
    </row>
    <row r="6159">
      <c r="A6159" s="163" t="s">
        <v>222</v>
      </c>
      <c r="B6159" s="163"/>
      <c r="C6159" s="163"/>
      <c r="J6159" s="165"/>
      <c r="K6159" s="166"/>
      <c r="L6159" s="166"/>
    </row>
    <row r="6160">
      <c r="A6160" s="163" t="s">
        <v>222</v>
      </c>
      <c r="B6160" s="163"/>
      <c r="C6160" s="163"/>
      <c r="J6160" s="165"/>
      <c r="K6160" s="166"/>
      <c r="L6160" s="166"/>
    </row>
    <row r="6161">
      <c r="A6161" s="163" t="s">
        <v>222</v>
      </c>
      <c r="B6161" s="163"/>
      <c r="C6161" s="163"/>
      <c r="J6161" s="165"/>
      <c r="K6161" s="166"/>
      <c r="L6161" s="166"/>
    </row>
    <row r="6162">
      <c r="A6162" s="163" t="s">
        <v>222</v>
      </c>
      <c r="B6162" s="163"/>
      <c r="C6162" s="163"/>
      <c r="J6162" s="165"/>
      <c r="K6162" s="166"/>
      <c r="L6162" s="166"/>
    </row>
    <row r="6163">
      <c r="A6163" s="163" t="s">
        <v>222</v>
      </c>
      <c r="B6163" s="163"/>
      <c r="C6163" s="163"/>
      <c r="J6163" s="165"/>
      <c r="K6163" s="166"/>
      <c r="L6163" s="166"/>
    </row>
    <row r="6164">
      <c r="A6164" s="163" t="s">
        <v>222</v>
      </c>
      <c r="B6164" s="163"/>
      <c r="C6164" s="163"/>
      <c r="J6164" s="165"/>
      <c r="K6164" s="166"/>
      <c r="L6164" s="166"/>
    </row>
    <row r="6165">
      <c r="A6165" s="163" t="s">
        <v>222</v>
      </c>
      <c r="B6165" s="163"/>
      <c r="C6165" s="163"/>
      <c r="J6165" s="165"/>
      <c r="K6165" s="166"/>
      <c r="L6165" s="166"/>
    </row>
    <row r="6166">
      <c r="A6166" s="163" t="s">
        <v>222</v>
      </c>
      <c r="B6166" s="163"/>
      <c r="C6166" s="163"/>
      <c r="J6166" s="165"/>
      <c r="K6166" s="166"/>
      <c r="L6166" s="166"/>
    </row>
    <row r="6167">
      <c r="A6167" s="163" t="s">
        <v>222</v>
      </c>
      <c r="B6167" s="163"/>
      <c r="C6167" s="163"/>
      <c r="J6167" s="165"/>
      <c r="K6167" s="166"/>
      <c r="L6167" s="166"/>
    </row>
    <row r="6168">
      <c r="A6168" s="163" t="s">
        <v>222</v>
      </c>
      <c r="B6168" s="163"/>
      <c r="C6168" s="163"/>
      <c r="J6168" s="165"/>
      <c r="K6168" s="166"/>
      <c r="L6168" s="166"/>
    </row>
    <row r="6169">
      <c r="A6169" s="163" t="s">
        <v>222</v>
      </c>
      <c r="B6169" s="163"/>
      <c r="C6169" s="163"/>
      <c r="J6169" s="165"/>
      <c r="K6169" s="166"/>
      <c r="L6169" s="166"/>
    </row>
    <row r="6170">
      <c r="A6170" s="163" t="s">
        <v>222</v>
      </c>
      <c r="B6170" s="163"/>
      <c r="C6170" s="163"/>
      <c r="J6170" s="165"/>
      <c r="K6170" s="166"/>
      <c r="L6170" s="166"/>
    </row>
    <row r="6171">
      <c r="A6171" s="163" t="s">
        <v>222</v>
      </c>
      <c r="B6171" s="163"/>
      <c r="C6171" s="163"/>
      <c r="J6171" s="165"/>
      <c r="K6171" s="166"/>
      <c r="L6171" s="166"/>
    </row>
    <row r="6172">
      <c r="A6172" s="163" t="s">
        <v>222</v>
      </c>
      <c r="B6172" s="163"/>
      <c r="C6172" s="163"/>
      <c r="J6172" s="165"/>
      <c r="K6172" s="166"/>
      <c r="L6172" s="166"/>
    </row>
    <row r="6173">
      <c r="A6173" s="163" t="s">
        <v>222</v>
      </c>
      <c r="B6173" s="163"/>
      <c r="C6173" s="163"/>
      <c r="J6173" s="165"/>
      <c r="K6173" s="166"/>
      <c r="L6173" s="166"/>
    </row>
    <row r="6174">
      <c r="A6174" s="163" t="s">
        <v>222</v>
      </c>
      <c r="B6174" s="163"/>
      <c r="C6174" s="163"/>
      <c r="J6174" s="165"/>
      <c r="K6174" s="166"/>
      <c r="L6174" s="166"/>
    </row>
    <row r="6175">
      <c r="A6175" s="163" t="s">
        <v>222</v>
      </c>
      <c r="B6175" s="163"/>
      <c r="C6175" s="163"/>
      <c r="J6175" s="165"/>
      <c r="K6175" s="166"/>
      <c r="L6175" s="166"/>
    </row>
    <row r="6176">
      <c r="A6176" s="163" t="s">
        <v>222</v>
      </c>
      <c r="B6176" s="163"/>
      <c r="C6176" s="163"/>
      <c r="J6176" s="165"/>
      <c r="K6176" s="166"/>
      <c r="L6176" s="166"/>
    </row>
    <row r="6177">
      <c r="A6177" s="163" t="s">
        <v>222</v>
      </c>
      <c r="B6177" s="163"/>
      <c r="C6177" s="163"/>
      <c r="J6177" s="165"/>
      <c r="K6177" s="166"/>
      <c r="L6177" s="166"/>
    </row>
    <row r="6178">
      <c r="A6178" s="163" t="s">
        <v>222</v>
      </c>
      <c r="B6178" s="163"/>
      <c r="C6178" s="163"/>
      <c r="J6178" s="165"/>
      <c r="K6178" s="166"/>
      <c r="L6178" s="166"/>
    </row>
    <row r="6179">
      <c r="A6179" s="163" t="s">
        <v>222</v>
      </c>
      <c r="B6179" s="163"/>
      <c r="C6179" s="163"/>
      <c r="J6179" s="165"/>
      <c r="K6179" s="166"/>
      <c r="L6179" s="166"/>
    </row>
    <row r="6180">
      <c r="A6180" s="163" t="s">
        <v>222</v>
      </c>
      <c r="B6180" s="163"/>
      <c r="C6180" s="163"/>
      <c r="J6180" s="165"/>
      <c r="K6180" s="166"/>
      <c r="L6180" s="166"/>
    </row>
    <row r="6181">
      <c r="A6181" s="163" t="s">
        <v>222</v>
      </c>
      <c r="B6181" s="163"/>
      <c r="C6181" s="163"/>
      <c r="J6181" s="165"/>
      <c r="K6181" s="166"/>
      <c r="L6181" s="166"/>
    </row>
    <row r="6182">
      <c r="A6182" s="163" t="s">
        <v>222</v>
      </c>
      <c r="B6182" s="163"/>
      <c r="C6182" s="163"/>
      <c r="J6182" s="165"/>
      <c r="K6182" s="166"/>
      <c r="L6182" s="166"/>
    </row>
    <row r="6183">
      <c r="A6183" s="163" t="s">
        <v>222</v>
      </c>
      <c r="B6183" s="163"/>
      <c r="C6183" s="163"/>
      <c r="J6183" s="165"/>
      <c r="K6183" s="166"/>
      <c r="L6183" s="166"/>
    </row>
    <row r="6184">
      <c r="A6184" s="163" t="s">
        <v>222</v>
      </c>
      <c r="B6184" s="163"/>
      <c r="C6184" s="163"/>
      <c r="J6184" s="165"/>
      <c r="K6184" s="166"/>
      <c r="L6184" s="166"/>
    </row>
    <row r="6185">
      <c r="A6185" s="163" t="s">
        <v>222</v>
      </c>
      <c r="B6185" s="163"/>
      <c r="C6185" s="163"/>
      <c r="J6185" s="165"/>
      <c r="K6185" s="166"/>
      <c r="L6185" s="166"/>
    </row>
    <row r="6186">
      <c r="A6186" s="163" t="s">
        <v>222</v>
      </c>
      <c r="B6186" s="163"/>
      <c r="C6186" s="163"/>
      <c r="J6186" s="165"/>
      <c r="K6186" s="166"/>
      <c r="L6186" s="166"/>
    </row>
    <row r="6187">
      <c r="A6187" s="163" t="s">
        <v>222</v>
      </c>
      <c r="B6187" s="163"/>
      <c r="C6187" s="163"/>
      <c r="J6187" s="165"/>
      <c r="K6187" s="166"/>
      <c r="L6187" s="166"/>
    </row>
    <row r="6188">
      <c r="A6188" s="163" t="s">
        <v>222</v>
      </c>
      <c r="B6188" s="163"/>
      <c r="C6188" s="163"/>
      <c r="J6188" s="165"/>
      <c r="K6188" s="166"/>
      <c r="L6188" s="166"/>
    </row>
    <row r="6189">
      <c r="A6189" s="163" t="s">
        <v>222</v>
      </c>
      <c r="B6189" s="163"/>
      <c r="C6189" s="163"/>
      <c r="J6189" s="165"/>
      <c r="K6189" s="166"/>
      <c r="L6189" s="166"/>
    </row>
    <row r="6190">
      <c r="A6190" s="163" t="s">
        <v>222</v>
      </c>
      <c r="B6190" s="163"/>
      <c r="C6190" s="163"/>
      <c r="J6190" s="165"/>
      <c r="K6190" s="166"/>
      <c r="L6190" s="166"/>
    </row>
    <row r="6191">
      <c r="A6191" s="163" t="s">
        <v>222</v>
      </c>
      <c r="B6191" s="163"/>
      <c r="C6191" s="163"/>
      <c r="J6191" s="165"/>
      <c r="K6191" s="166"/>
      <c r="L6191" s="166"/>
    </row>
    <row r="6192">
      <c r="A6192" s="163" t="s">
        <v>222</v>
      </c>
      <c r="B6192" s="163"/>
      <c r="C6192" s="163"/>
      <c r="J6192" s="165"/>
      <c r="K6192" s="166"/>
      <c r="L6192" s="166"/>
    </row>
    <row r="6193">
      <c r="A6193" s="163" t="s">
        <v>222</v>
      </c>
      <c r="B6193" s="163"/>
      <c r="C6193" s="163"/>
      <c r="J6193" s="165"/>
      <c r="K6193" s="166"/>
      <c r="L6193" s="166"/>
    </row>
    <row r="6194">
      <c r="A6194" s="163" t="s">
        <v>222</v>
      </c>
      <c r="B6194" s="163"/>
      <c r="C6194" s="163"/>
      <c r="J6194" s="165"/>
      <c r="K6194" s="166"/>
      <c r="L6194" s="166"/>
    </row>
    <row r="6195">
      <c r="A6195" s="163" t="s">
        <v>222</v>
      </c>
      <c r="B6195" s="163"/>
      <c r="C6195" s="163"/>
      <c r="J6195" s="165"/>
      <c r="K6195" s="166"/>
      <c r="L6195" s="166"/>
    </row>
    <row r="6196">
      <c r="A6196" s="163" t="s">
        <v>222</v>
      </c>
      <c r="B6196" s="163"/>
      <c r="C6196" s="163"/>
      <c r="J6196" s="165"/>
      <c r="K6196" s="166"/>
      <c r="L6196" s="166"/>
    </row>
    <row r="6197">
      <c r="A6197" s="163" t="s">
        <v>222</v>
      </c>
      <c r="B6197" s="163"/>
      <c r="C6197" s="163"/>
      <c r="J6197" s="165"/>
      <c r="K6197" s="166"/>
      <c r="L6197" s="166"/>
    </row>
    <row r="6198">
      <c r="A6198" s="163" t="s">
        <v>222</v>
      </c>
      <c r="B6198" s="163"/>
      <c r="C6198" s="163"/>
      <c r="J6198" s="165"/>
      <c r="K6198" s="166"/>
      <c r="L6198" s="166"/>
    </row>
    <row r="6199">
      <c r="A6199" s="163" t="s">
        <v>222</v>
      </c>
      <c r="B6199" s="163"/>
      <c r="C6199" s="163"/>
      <c r="J6199" s="165"/>
      <c r="K6199" s="166"/>
      <c r="L6199" s="166"/>
    </row>
    <row r="6200">
      <c r="A6200" s="163" t="s">
        <v>222</v>
      </c>
      <c r="B6200" s="163"/>
      <c r="C6200" s="163"/>
      <c r="J6200" s="165"/>
      <c r="K6200" s="166"/>
      <c r="L6200" s="166"/>
    </row>
    <row r="6201">
      <c r="A6201" s="163" t="s">
        <v>222</v>
      </c>
      <c r="B6201" s="163"/>
      <c r="C6201" s="163"/>
      <c r="J6201" s="165"/>
      <c r="K6201" s="166"/>
      <c r="L6201" s="166"/>
    </row>
    <row r="6202">
      <c r="A6202" s="163" t="s">
        <v>222</v>
      </c>
      <c r="B6202" s="163"/>
      <c r="C6202" s="163"/>
      <c r="J6202" s="165"/>
      <c r="K6202" s="166"/>
      <c r="L6202" s="166"/>
    </row>
    <row r="6203">
      <c r="A6203" s="163" t="s">
        <v>222</v>
      </c>
      <c r="B6203" s="163"/>
      <c r="C6203" s="163"/>
      <c r="J6203" s="165"/>
      <c r="K6203" s="166"/>
      <c r="L6203" s="166"/>
    </row>
    <row r="6204">
      <c r="A6204" s="163" t="s">
        <v>222</v>
      </c>
      <c r="B6204" s="163"/>
      <c r="C6204" s="163"/>
      <c r="J6204" s="165"/>
      <c r="K6204" s="166"/>
      <c r="L6204" s="166"/>
    </row>
    <row r="6205">
      <c r="A6205" s="163" t="s">
        <v>222</v>
      </c>
      <c r="B6205" s="163"/>
      <c r="C6205" s="163"/>
      <c r="J6205" s="165"/>
      <c r="K6205" s="166"/>
      <c r="L6205" s="166"/>
    </row>
    <row r="6206">
      <c r="A6206" s="163" t="s">
        <v>222</v>
      </c>
      <c r="B6206" s="163"/>
      <c r="C6206" s="163"/>
      <c r="J6206" s="165"/>
      <c r="K6206" s="166"/>
      <c r="L6206" s="166"/>
    </row>
    <row r="6207">
      <c r="A6207" s="163" t="s">
        <v>222</v>
      </c>
      <c r="B6207" s="163"/>
      <c r="C6207" s="163"/>
      <c r="J6207" s="165"/>
      <c r="K6207" s="166"/>
      <c r="L6207" s="166"/>
    </row>
    <row r="6208">
      <c r="A6208" s="163" t="s">
        <v>222</v>
      </c>
      <c r="B6208" s="163"/>
      <c r="C6208" s="163"/>
      <c r="J6208" s="165"/>
      <c r="K6208" s="166"/>
      <c r="L6208" s="166"/>
    </row>
    <row r="6209">
      <c r="A6209" s="163" t="s">
        <v>222</v>
      </c>
      <c r="B6209" s="163"/>
      <c r="C6209" s="163"/>
      <c r="J6209" s="165"/>
      <c r="K6209" s="166"/>
      <c r="L6209" s="166"/>
    </row>
    <row r="6210">
      <c r="A6210" s="163" t="s">
        <v>222</v>
      </c>
      <c r="B6210" s="163"/>
      <c r="C6210" s="163"/>
      <c r="J6210" s="165"/>
      <c r="K6210" s="166"/>
      <c r="L6210" s="166"/>
    </row>
    <row r="6211">
      <c r="A6211" s="163" t="s">
        <v>222</v>
      </c>
      <c r="B6211" s="163"/>
      <c r="C6211" s="163"/>
      <c r="J6211" s="165"/>
      <c r="K6211" s="166"/>
      <c r="L6211" s="166"/>
    </row>
    <row r="6212">
      <c r="A6212" s="163" t="s">
        <v>222</v>
      </c>
      <c r="B6212" s="163"/>
      <c r="C6212" s="163"/>
      <c r="J6212" s="165"/>
      <c r="K6212" s="166"/>
      <c r="L6212" s="166"/>
    </row>
    <row r="6213">
      <c r="A6213" s="163" t="s">
        <v>222</v>
      </c>
      <c r="B6213" s="163"/>
      <c r="C6213" s="163"/>
      <c r="J6213" s="165"/>
      <c r="K6213" s="166"/>
      <c r="L6213" s="166"/>
    </row>
    <row r="6214">
      <c r="A6214" s="163" t="s">
        <v>222</v>
      </c>
      <c r="B6214" s="163"/>
      <c r="C6214" s="163"/>
      <c r="J6214" s="165"/>
      <c r="K6214" s="166"/>
      <c r="L6214" s="166"/>
    </row>
    <row r="6215">
      <c r="A6215" s="163" t="s">
        <v>222</v>
      </c>
      <c r="B6215" s="163"/>
      <c r="C6215" s="163"/>
      <c r="J6215" s="165"/>
      <c r="K6215" s="166"/>
      <c r="L6215" s="166"/>
    </row>
    <row r="6216">
      <c r="A6216" s="163" t="s">
        <v>222</v>
      </c>
      <c r="B6216" s="163"/>
      <c r="C6216" s="163"/>
      <c r="J6216" s="165"/>
      <c r="K6216" s="166"/>
      <c r="L6216" s="166"/>
    </row>
    <row r="6217">
      <c r="A6217" s="163" t="s">
        <v>222</v>
      </c>
      <c r="B6217" s="163"/>
      <c r="C6217" s="163"/>
      <c r="J6217" s="165"/>
      <c r="K6217" s="166"/>
      <c r="L6217" s="166"/>
    </row>
    <row r="6218">
      <c r="A6218" s="163" t="s">
        <v>222</v>
      </c>
      <c r="B6218" s="163"/>
      <c r="C6218" s="163"/>
      <c r="J6218" s="165"/>
      <c r="K6218" s="166"/>
      <c r="L6218" s="166"/>
    </row>
    <row r="6219">
      <c r="A6219" s="163" t="s">
        <v>222</v>
      </c>
      <c r="B6219" s="163"/>
      <c r="C6219" s="163"/>
      <c r="J6219" s="165"/>
      <c r="K6219" s="166"/>
      <c r="L6219" s="166"/>
    </row>
    <row r="6220">
      <c r="A6220" s="163" t="s">
        <v>222</v>
      </c>
      <c r="B6220" s="163"/>
      <c r="C6220" s="163"/>
      <c r="J6220" s="165"/>
      <c r="K6220" s="166"/>
      <c r="L6220" s="166"/>
    </row>
    <row r="6221">
      <c r="A6221" s="163" t="s">
        <v>222</v>
      </c>
      <c r="B6221" s="163"/>
      <c r="C6221" s="163"/>
      <c r="J6221" s="165"/>
      <c r="K6221" s="166"/>
      <c r="L6221" s="166"/>
    </row>
    <row r="6222">
      <c r="A6222" s="163" t="s">
        <v>222</v>
      </c>
      <c r="B6222" s="163"/>
      <c r="C6222" s="163"/>
      <c r="J6222" s="165"/>
      <c r="K6222" s="166"/>
      <c r="L6222" s="166"/>
    </row>
    <row r="6223">
      <c r="A6223" s="163" t="s">
        <v>222</v>
      </c>
      <c r="B6223" s="163"/>
      <c r="C6223" s="163"/>
      <c r="J6223" s="165"/>
      <c r="K6223" s="166"/>
      <c r="L6223" s="166"/>
    </row>
    <row r="6224">
      <c r="A6224" s="163" t="s">
        <v>222</v>
      </c>
      <c r="B6224" s="163"/>
      <c r="C6224" s="163"/>
      <c r="J6224" s="165"/>
      <c r="K6224" s="166"/>
      <c r="L6224" s="166"/>
    </row>
    <row r="6225">
      <c r="A6225" s="163" t="s">
        <v>222</v>
      </c>
      <c r="B6225" s="163"/>
      <c r="C6225" s="163"/>
      <c r="J6225" s="165"/>
      <c r="K6225" s="166"/>
      <c r="L6225" s="166"/>
    </row>
    <row r="6226">
      <c r="A6226" s="163" t="s">
        <v>222</v>
      </c>
      <c r="B6226" s="163"/>
      <c r="C6226" s="163"/>
      <c r="J6226" s="165"/>
      <c r="K6226" s="166"/>
      <c r="L6226" s="166"/>
    </row>
    <row r="6227">
      <c r="A6227" s="163" t="s">
        <v>222</v>
      </c>
      <c r="B6227" s="163"/>
      <c r="C6227" s="163"/>
      <c r="J6227" s="165"/>
      <c r="K6227" s="166"/>
      <c r="L6227" s="166"/>
    </row>
    <row r="6228">
      <c r="A6228" s="163" t="s">
        <v>222</v>
      </c>
      <c r="B6228" s="163"/>
      <c r="C6228" s="163"/>
      <c r="J6228" s="165"/>
      <c r="K6228" s="166"/>
      <c r="L6228" s="166"/>
    </row>
    <row r="6229">
      <c r="A6229" s="163" t="s">
        <v>222</v>
      </c>
      <c r="B6229" s="163"/>
      <c r="C6229" s="163"/>
      <c r="J6229" s="165"/>
      <c r="K6229" s="166"/>
      <c r="L6229" s="166"/>
    </row>
    <row r="6230">
      <c r="A6230" s="163" t="s">
        <v>222</v>
      </c>
      <c r="B6230" s="163"/>
      <c r="C6230" s="163"/>
      <c r="J6230" s="165"/>
      <c r="K6230" s="166"/>
      <c r="L6230" s="166"/>
    </row>
    <row r="6231">
      <c r="A6231" s="163" t="s">
        <v>222</v>
      </c>
      <c r="B6231" s="163"/>
      <c r="C6231" s="163"/>
      <c r="J6231" s="165"/>
      <c r="K6231" s="166"/>
      <c r="L6231" s="166"/>
    </row>
    <row r="6232">
      <c r="A6232" s="163" t="s">
        <v>222</v>
      </c>
      <c r="B6232" s="163"/>
      <c r="C6232" s="163"/>
      <c r="J6232" s="165"/>
      <c r="K6232" s="166"/>
      <c r="L6232" s="166"/>
    </row>
    <row r="6233">
      <c r="A6233" s="163" t="s">
        <v>222</v>
      </c>
      <c r="B6233" s="163"/>
      <c r="C6233" s="163"/>
      <c r="J6233" s="165"/>
      <c r="K6233" s="166"/>
      <c r="L6233" s="166"/>
    </row>
    <row r="6234">
      <c r="A6234" s="163" t="s">
        <v>222</v>
      </c>
      <c r="B6234" s="163"/>
      <c r="C6234" s="163"/>
      <c r="J6234" s="165"/>
      <c r="K6234" s="166"/>
      <c r="L6234" s="166"/>
    </row>
    <row r="6235">
      <c r="A6235" s="163" t="s">
        <v>222</v>
      </c>
      <c r="B6235" s="163"/>
      <c r="C6235" s="163"/>
      <c r="J6235" s="165"/>
      <c r="K6235" s="166"/>
      <c r="L6235" s="166"/>
    </row>
    <row r="6236">
      <c r="A6236" s="163" t="s">
        <v>222</v>
      </c>
      <c r="B6236" s="163"/>
      <c r="C6236" s="163"/>
      <c r="J6236" s="165"/>
      <c r="K6236" s="166"/>
      <c r="L6236" s="166"/>
    </row>
    <row r="6237">
      <c r="A6237" s="163" t="s">
        <v>222</v>
      </c>
      <c r="B6237" s="163"/>
      <c r="C6237" s="163"/>
      <c r="J6237" s="165"/>
      <c r="K6237" s="166"/>
      <c r="L6237" s="166"/>
    </row>
    <row r="6238">
      <c r="A6238" s="163" t="s">
        <v>222</v>
      </c>
      <c r="B6238" s="163"/>
      <c r="C6238" s="163"/>
      <c r="J6238" s="165"/>
      <c r="K6238" s="166"/>
      <c r="L6238" s="166"/>
    </row>
    <row r="6239">
      <c r="A6239" s="163" t="s">
        <v>222</v>
      </c>
      <c r="B6239" s="163"/>
      <c r="C6239" s="163"/>
      <c r="J6239" s="165"/>
      <c r="K6239" s="166"/>
      <c r="L6239" s="166"/>
    </row>
    <row r="6240">
      <c r="A6240" s="163" t="s">
        <v>222</v>
      </c>
      <c r="B6240" s="163"/>
      <c r="C6240" s="163"/>
      <c r="J6240" s="165"/>
      <c r="K6240" s="166"/>
      <c r="L6240" s="166"/>
    </row>
    <row r="6241">
      <c r="A6241" s="163" t="s">
        <v>222</v>
      </c>
      <c r="B6241" s="163"/>
      <c r="C6241" s="163"/>
      <c r="J6241" s="165"/>
      <c r="K6241" s="166"/>
      <c r="L6241" s="166"/>
    </row>
    <row r="6242">
      <c r="A6242" s="163" t="s">
        <v>222</v>
      </c>
      <c r="B6242" s="163"/>
      <c r="C6242" s="163"/>
      <c r="J6242" s="165"/>
      <c r="K6242" s="166"/>
      <c r="L6242" s="166"/>
    </row>
    <row r="6243">
      <c r="A6243" s="163" t="s">
        <v>222</v>
      </c>
      <c r="B6243" s="163"/>
      <c r="C6243" s="163"/>
      <c r="J6243" s="165"/>
      <c r="K6243" s="166"/>
      <c r="L6243" s="166"/>
    </row>
    <row r="6244">
      <c r="A6244" s="163" t="s">
        <v>222</v>
      </c>
      <c r="B6244" s="163"/>
      <c r="C6244" s="163"/>
      <c r="J6244" s="165"/>
      <c r="K6244" s="166"/>
      <c r="L6244" s="166"/>
    </row>
    <row r="6245">
      <c r="A6245" s="163" t="s">
        <v>222</v>
      </c>
      <c r="B6245" s="163"/>
      <c r="C6245" s="163"/>
      <c r="J6245" s="165"/>
      <c r="K6245" s="166"/>
      <c r="L6245" s="166"/>
    </row>
    <row r="6246">
      <c r="A6246" s="163" t="s">
        <v>222</v>
      </c>
      <c r="B6246" s="163"/>
      <c r="C6246" s="163"/>
      <c r="J6246" s="165"/>
      <c r="K6246" s="166"/>
      <c r="L6246" s="166"/>
    </row>
    <row r="6247">
      <c r="A6247" s="163" t="s">
        <v>222</v>
      </c>
      <c r="B6247" s="163"/>
      <c r="C6247" s="163"/>
      <c r="J6247" s="165"/>
      <c r="K6247" s="166"/>
      <c r="L6247" s="166"/>
    </row>
    <row r="6248">
      <c r="A6248" s="163" t="s">
        <v>222</v>
      </c>
      <c r="B6248" s="163"/>
      <c r="C6248" s="163"/>
      <c r="J6248" s="165"/>
      <c r="K6248" s="166"/>
      <c r="L6248" s="166"/>
    </row>
    <row r="6249">
      <c r="A6249" s="163" t="s">
        <v>222</v>
      </c>
      <c r="B6249" s="163"/>
      <c r="C6249" s="163"/>
      <c r="J6249" s="165"/>
      <c r="K6249" s="166"/>
      <c r="L6249" s="166"/>
    </row>
    <row r="6250">
      <c r="A6250" s="163" t="s">
        <v>222</v>
      </c>
      <c r="B6250" s="163"/>
      <c r="C6250" s="163"/>
      <c r="J6250" s="165"/>
      <c r="K6250" s="166"/>
      <c r="L6250" s="166"/>
    </row>
    <row r="6251">
      <c r="A6251" s="163" t="s">
        <v>222</v>
      </c>
      <c r="B6251" s="163"/>
      <c r="C6251" s="163"/>
      <c r="J6251" s="165"/>
      <c r="K6251" s="166"/>
      <c r="L6251" s="166"/>
    </row>
    <row r="6252">
      <c r="A6252" s="163" t="s">
        <v>222</v>
      </c>
      <c r="B6252" s="163"/>
      <c r="C6252" s="163"/>
      <c r="J6252" s="165"/>
      <c r="K6252" s="166"/>
      <c r="L6252" s="166"/>
    </row>
    <row r="6253">
      <c r="A6253" s="163" t="s">
        <v>222</v>
      </c>
      <c r="B6253" s="163"/>
      <c r="C6253" s="163"/>
      <c r="J6253" s="165"/>
      <c r="K6253" s="166"/>
      <c r="L6253" s="166"/>
    </row>
    <row r="6254">
      <c r="A6254" s="163" t="s">
        <v>222</v>
      </c>
      <c r="B6254" s="163"/>
      <c r="C6254" s="163"/>
      <c r="J6254" s="165"/>
      <c r="K6254" s="166"/>
      <c r="L6254" s="166"/>
    </row>
    <row r="6255">
      <c r="A6255" s="163" t="s">
        <v>222</v>
      </c>
      <c r="B6255" s="163"/>
      <c r="C6255" s="163"/>
      <c r="J6255" s="165"/>
      <c r="K6255" s="166"/>
      <c r="L6255" s="166"/>
    </row>
    <row r="6256">
      <c r="A6256" s="163" t="s">
        <v>222</v>
      </c>
      <c r="B6256" s="163"/>
      <c r="C6256" s="163"/>
      <c r="J6256" s="165"/>
      <c r="K6256" s="166"/>
      <c r="L6256" s="166"/>
    </row>
    <row r="6257">
      <c r="A6257" s="163" t="s">
        <v>222</v>
      </c>
      <c r="B6257" s="163"/>
      <c r="C6257" s="163"/>
      <c r="J6257" s="165"/>
      <c r="K6257" s="166"/>
      <c r="L6257" s="166"/>
    </row>
    <row r="6258">
      <c r="A6258" s="163" t="s">
        <v>222</v>
      </c>
      <c r="B6258" s="163"/>
      <c r="C6258" s="163"/>
      <c r="J6258" s="165"/>
      <c r="K6258" s="166"/>
      <c r="L6258" s="166"/>
    </row>
    <row r="6259">
      <c r="A6259" s="163" t="s">
        <v>222</v>
      </c>
      <c r="B6259" s="163"/>
      <c r="C6259" s="163"/>
      <c r="J6259" s="165"/>
      <c r="K6259" s="166"/>
      <c r="L6259" s="166"/>
    </row>
    <row r="6260">
      <c r="A6260" s="163" t="s">
        <v>222</v>
      </c>
      <c r="B6260" s="163"/>
      <c r="C6260" s="163"/>
      <c r="J6260" s="165"/>
      <c r="K6260" s="166"/>
      <c r="L6260" s="166"/>
    </row>
    <row r="6261">
      <c r="A6261" s="163" t="s">
        <v>222</v>
      </c>
      <c r="B6261" s="163"/>
      <c r="C6261" s="163"/>
      <c r="J6261" s="165"/>
      <c r="K6261" s="166"/>
      <c r="L6261" s="166"/>
    </row>
    <row r="6262">
      <c r="A6262" s="163" t="s">
        <v>222</v>
      </c>
      <c r="B6262" s="163"/>
      <c r="C6262" s="163"/>
      <c r="J6262" s="165"/>
      <c r="K6262" s="166"/>
      <c r="L6262" s="166"/>
    </row>
    <row r="6263">
      <c r="A6263" s="163" t="s">
        <v>222</v>
      </c>
      <c r="B6263" s="163"/>
      <c r="C6263" s="163"/>
      <c r="J6263" s="165"/>
      <c r="K6263" s="166"/>
      <c r="L6263" s="166"/>
    </row>
    <row r="6264">
      <c r="A6264" s="163" t="s">
        <v>222</v>
      </c>
      <c r="B6264" s="163"/>
      <c r="C6264" s="163"/>
      <c r="J6264" s="165"/>
      <c r="K6264" s="166"/>
      <c r="L6264" s="166"/>
    </row>
    <row r="6265">
      <c r="A6265" s="163" t="s">
        <v>222</v>
      </c>
      <c r="B6265" s="163"/>
      <c r="C6265" s="163"/>
      <c r="J6265" s="165"/>
      <c r="K6265" s="166"/>
      <c r="L6265" s="166"/>
    </row>
    <row r="6266">
      <c r="A6266" s="163" t="s">
        <v>222</v>
      </c>
      <c r="B6266" s="163"/>
      <c r="C6266" s="163"/>
      <c r="J6266" s="165"/>
      <c r="K6266" s="166"/>
      <c r="L6266" s="166"/>
    </row>
    <row r="6267">
      <c r="A6267" s="163" t="s">
        <v>222</v>
      </c>
      <c r="B6267" s="163"/>
      <c r="C6267" s="163"/>
      <c r="J6267" s="165"/>
      <c r="K6267" s="166"/>
      <c r="L6267" s="166"/>
    </row>
    <row r="6268">
      <c r="A6268" s="163" t="s">
        <v>222</v>
      </c>
      <c r="B6268" s="163"/>
      <c r="C6268" s="163"/>
      <c r="J6268" s="165"/>
      <c r="K6268" s="166"/>
      <c r="L6268" s="166"/>
    </row>
    <row r="6269">
      <c r="A6269" s="163" t="s">
        <v>222</v>
      </c>
      <c r="B6269" s="163"/>
      <c r="C6269" s="163"/>
      <c r="J6269" s="165"/>
      <c r="K6269" s="166"/>
      <c r="L6269" s="166"/>
    </row>
    <row r="6270">
      <c r="A6270" s="163" t="s">
        <v>222</v>
      </c>
      <c r="B6270" s="163"/>
      <c r="C6270" s="163"/>
      <c r="J6270" s="165"/>
      <c r="K6270" s="166"/>
      <c r="L6270" s="166"/>
    </row>
    <row r="6271">
      <c r="A6271" s="163" t="s">
        <v>222</v>
      </c>
      <c r="B6271" s="163"/>
      <c r="C6271" s="163"/>
      <c r="J6271" s="165"/>
      <c r="K6271" s="166"/>
      <c r="L6271" s="166"/>
    </row>
    <row r="6272">
      <c r="A6272" s="163" t="s">
        <v>222</v>
      </c>
      <c r="B6272" s="163"/>
      <c r="C6272" s="163"/>
      <c r="J6272" s="165"/>
      <c r="K6272" s="166"/>
      <c r="L6272" s="166"/>
    </row>
    <row r="6273">
      <c r="A6273" s="163" t="s">
        <v>222</v>
      </c>
      <c r="B6273" s="163"/>
      <c r="C6273" s="163"/>
      <c r="J6273" s="165"/>
      <c r="K6273" s="166"/>
      <c r="L6273" s="166"/>
    </row>
    <row r="6274">
      <c r="A6274" s="163" t="s">
        <v>222</v>
      </c>
      <c r="B6274" s="163"/>
      <c r="C6274" s="163"/>
      <c r="J6274" s="165"/>
      <c r="K6274" s="166"/>
      <c r="L6274" s="166"/>
    </row>
    <row r="6275">
      <c r="A6275" s="163" t="s">
        <v>222</v>
      </c>
      <c r="B6275" s="163"/>
      <c r="C6275" s="163"/>
      <c r="J6275" s="165"/>
      <c r="K6275" s="166"/>
      <c r="L6275" s="166"/>
    </row>
    <row r="6276">
      <c r="A6276" s="163" t="s">
        <v>222</v>
      </c>
      <c r="B6276" s="163"/>
      <c r="C6276" s="163"/>
      <c r="J6276" s="165"/>
      <c r="K6276" s="166"/>
      <c r="L6276" s="166"/>
    </row>
    <row r="6277">
      <c r="A6277" s="163" t="s">
        <v>222</v>
      </c>
      <c r="B6277" s="163"/>
      <c r="C6277" s="163"/>
      <c r="J6277" s="165"/>
      <c r="K6277" s="166"/>
      <c r="L6277" s="166"/>
    </row>
    <row r="6278">
      <c r="A6278" s="163" t="s">
        <v>222</v>
      </c>
      <c r="B6278" s="163"/>
      <c r="C6278" s="163"/>
      <c r="J6278" s="165"/>
      <c r="K6278" s="166"/>
      <c r="L6278" s="166"/>
    </row>
    <row r="6279">
      <c r="A6279" s="163" t="s">
        <v>222</v>
      </c>
      <c r="B6279" s="163"/>
      <c r="C6279" s="163"/>
      <c r="J6279" s="165"/>
      <c r="K6279" s="166"/>
      <c r="L6279" s="166"/>
    </row>
    <row r="6280">
      <c r="A6280" s="163" t="s">
        <v>222</v>
      </c>
      <c r="B6280" s="163"/>
      <c r="C6280" s="163"/>
      <c r="J6280" s="165"/>
      <c r="K6280" s="166"/>
      <c r="L6280" s="166"/>
    </row>
    <row r="6281">
      <c r="A6281" s="163" t="s">
        <v>222</v>
      </c>
      <c r="B6281" s="163"/>
      <c r="C6281" s="163"/>
      <c r="J6281" s="165"/>
      <c r="K6281" s="166"/>
      <c r="L6281" s="166"/>
    </row>
    <row r="6282">
      <c r="A6282" s="163" t="s">
        <v>222</v>
      </c>
      <c r="B6282" s="163"/>
      <c r="C6282" s="163"/>
      <c r="J6282" s="165"/>
      <c r="K6282" s="166"/>
      <c r="L6282" s="166"/>
    </row>
    <row r="6283">
      <c r="A6283" s="163" t="s">
        <v>222</v>
      </c>
      <c r="B6283" s="163"/>
      <c r="C6283" s="163"/>
      <c r="J6283" s="165"/>
      <c r="K6283" s="166"/>
      <c r="L6283" s="166"/>
    </row>
    <row r="6284">
      <c r="A6284" s="163" t="s">
        <v>222</v>
      </c>
      <c r="B6284" s="163"/>
      <c r="C6284" s="163"/>
      <c r="J6284" s="165"/>
      <c r="K6284" s="166"/>
      <c r="L6284" s="166"/>
    </row>
    <row r="6285">
      <c r="A6285" s="163" t="s">
        <v>222</v>
      </c>
      <c r="B6285" s="163"/>
      <c r="C6285" s="163"/>
      <c r="J6285" s="165"/>
      <c r="K6285" s="166"/>
      <c r="L6285" s="166"/>
    </row>
    <row r="6286">
      <c r="A6286" s="163" t="s">
        <v>222</v>
      </c>
      <c r="B6286" s="163"/>
      <c r="C6286" s="163"/>
      <c r="J6286" s="165"/>
      <c r="K6286" s="166"/>
      <c r="L6286" s="166"/>
    </row>
    <row r="6287">
      <c r="A6287" s="163" t="s">
        <v>222</v>
      </c>
      <c r="B6287" s="163"/>
      <c r="C6287" s="163"/>
      <c r="J6287" s="165"/>
      <c r="K6287" s="166"/>
      <c r="L6287" s="166"/>
    </row>
    <row r="6288">
      <c r="A6288" s="163" t="s">
        <v>222</v>
      </c>
      <c r="B6288" s="163"/>
      <c r="C6288" s="163"/>
      <c r="J6288" s="165"/>
      <c r="K6288" s="166"/>
      <c r="L6288" s="166"/>
    </row>
    <row r="6289">
      <c r="A6289" s="163" t="s">
        <v>222</v>
      </c>
      <c r="B6289" s="163"/>
      <c r="C6289" s="163"/>
      <c r="J6289" s="165"/>
      <c r="K6289" s="166"/>
      <c r="L6289" s="166"/>
    </row>
    <row r="6290">
      <c r="A6290" s="163" t="s">
        <v>222</v>
      </c>
      <c r="B6290" s="163"/>
      <c r="C6290" s="163"/>
      <c r="J6290" s="165"/>
      <c r="K6290" s="166"/>
      <c r="L6290" s="166"/>
    </row>
    <row r="6291">
      <c r="A6291" s="163" t="s">
        <v>222</v>
      </c>
      <c r="B6291" s="163"/>
      <c r="C6291" s="163"/>
      <c r="J6291" s="165"/>
      <c r="K6291" s="166"/>
      <c r="L6291" s="166"/>
    </row>
    <row r="6292">
      <c r="A6292" s="163" t="s">
        <v>222</v>
      </c>
      <c r="B6292" s="163"/>
      <c r="C6292" s="163"/>
      <c r="J6292" s="165"/>
      <c r="K6292" s="166"/>
      <c r="L6292" s="166"/>
    </row>
    <row r="6293">
      <c r="A6293" s="163" t="s">
        <v>222</v>
      </c>
      <c r="B6293" s="163"/>
      <c r="C6293" s="163"/>
      <c r="J6293" s="165"/>
      <c r="K6293" s="166"/>
      <c r="L6293" s="166"/>
    </row>
    <row r="6294">
      <c r="A6294" s="163" t="s">
        <v>222</v>
      </c>
      <c r="B6294" s="163"/>
      <c r="C6294" s="163"/>
      <c r="J6294" s="165"/>
      <c r="K6294" s="166"/>
      <c r="L6294" s="166"/>
    </row>
    <row r="6295">
      <c r="A6295" s="163" t="s">
        <v>222</v>
      </c>
      <c r="B6295" s="163"/>
      <c r="C6295" s="163"/>
      <c r="J6295" s="165"/>
      <c r="K6295" s="166"/>
      <c r="L6295" s="166"/>
    </row>
    <row r="6296">
      <c r="A6296" s="163" t="s">
        <v>222</v>
      </c>
      <c r="B6296" s="163"/>
      <c r="C6296" s="163"/>
      <c r="J6296" s="165"/>
      <c r="K6296" s="166"/>
      <c r="L6296" s="166"/>
    </row>
    <row r="6297">
      <c r="A6297" s="163" t="s">
        <v>222</v>
      </c>
      <c r="B6297" s="163"/>
      <c r="C6297" s="163"/>
      <c r="J6297" s="165"/>
      <c r="K6297" s="166"/>
      <c r="L6297" s="166"/>
    </row>
    <row r="6298">
      <c r="A6298" s="163" t="s">
        <v>222</v>
      </c>
      <c r="B6298" s="163"/>
      <c r="C6298" s="163"/>
      <c r="J6298" s="165"/>
      <c r="K6298" s="166"/>
      <c r="L6298" s="166"/>
    </row>
    <row r="6299">
      <c r="A6299" s="163" t="s">
        <v>222</v>
      </c>
      <c r="B6299" s="163"/>
      <c r="C6299" s="163"/>
      <c r="J6299" s="165"/>
      <c r="K6299" s="166"/>
      <c r="L6299" s="166"/>
    </row>
    <row r="6300">
      <c r="A6300" s="163" t="s">
        <v>222</v>
      </c>
      <c r="B6300" s="163"/>
      <c r="C6300" s="163"/>
      <c r="J6300" s="165"/>
      <c r="K6300" s="166"/>
      <c r="L6300" s="166"/>
    </row>
    <row r="6301">
      <c r="A6301" s="163" t="s">
        <v>222</v>
      </c>
      <c r="B6301" s="163"/>
      <c r="C6301" s="163"/>
      <c r="J6301" s="165"/>
      <c r="K6301" s="166"/>
      <c r="L6301" s="166"/>
    </row>
    <row r="6302">
      <c r="A6302" s="163" t="s">
        <v>222</v>
      </c>
      <c r="B6302" s="163"/>
      <c r="C6302" s="163"/>
      <c r="J6302" s="165"/>
      <c r="K6302" s="166"/>
      <c r="L6302" s="166"/>
    </row>
    <row r="6303">
      <c r="A6303" s="163" t="s">
        <v>222</v>
      </c>
      <c r="B6303" s="163"/>
      <c r="C6303" s="163"/>
      <c r="J6303" s="165"/>
      <c r="K6303" s="166"/>
      <c r="L6303" s="166"/>
    </row>
    <row r="6304">
      <c r="A6304" s="163" t="s">
        <v>222</v>
      </c>
      <c r="B6304" s="163"/>
      <c r="C6304" s="163"/>
      <c r="J6304" s="165"/>
      <c r="K6304" s="166"/>
      <c r="L6304" s="166"/>
    </row>
    <row r="6305">
      <c r="A6305" s="163" t="s">
        <v>222</v>
      </c>
      <c r="B6305" s="163"/>
      <c r="C6305" s="163"/>
      <c r="J6305" s="165"/>
      <c r="K6305" s="166"/>
      <c r="L6305" s="166"/>
    </row>
    <row r="6306">
      <c r="A6306" s="163" t="s">
        <v>222</v>
      </c>
      <c r="B6306" s="163"/>
      <c r="C6306" s="163"/>
      <c r="J6306" s="165"/>
      <c r="K6306" s="166"/>
      <c r="L6306" s="166"/>
    </row>
    <row r="6307">
      <c r="A6307" s="163" t="s">
        <v>222</v>
      </c>
      <c r="B6307" s="163"/>
      <c r="C6307" s="163"/>
      <c r="J6307" s="165"/>
      <c r="K6307" s="166"/>
      <c r="L6307" s="166"/>
    </row>
    <row r="6308">
      <c r="A6308" s="163" t="s">
        <v>222</v>
      </c>
      <c r="B6308" s="163"/>
      <c r="C6308" s="163"/>
      <c r="J6308" s="165"/>
      <c r="K6308" s="166"/>
      <c r="L6308" s="166"/>
    </row>
    <row r="6309">
      <c r="A6309" s="163" t="s">
        <v>222</v>
      </c>
      <c r="B6309" s="163"/>
      <c r="C6309" s="163"/>
      <c r="J6309" s="165"/>
      <c r="K6309" s="166"/>
      <c r="L6309" s="166"/>
    </row>
    <row r="6310">
      <c r="A6310" s="163" t="s">
        <v>222</v>
      </c>
      <c r="B6310" s="163"/>
      <c r="C6310" s="163"/>
      <c r="J6310" s="165"/>
      <c r="K6310" s="166"/>
      <c r="L6310" s="166"/>
    </row>
    <row r="6311">
      <c r="A6311" s="163" t="s">
        <v>222</v>
      </c>
      <c r="B6311" s="163"/>
      <c r="C6311" s="163"/>
      <c r="J6311" s="165"/>
      <c r="K6311" s="166"/>
      <c r="L6311" s="166"/>
    </row>
    <row r="6312">
      <c r="A6312" s="163" t="s">
        <v>222</v>
      </c>
      <c r="B6312" s="163"/>
      <c r="C6312" s="163"/>
      <c r="J6312" s="165"/>
      <c r="K6312" s="166"/>
      <c r="L6312" s="166"/>
    </row>
    <row r="6313">
      <c r="A6313" s="163" t="s">
        <v>222</v>
      </c>
      <c r="B6313" s="163"/>
      <c r="C6313" s="163"/>
      <c r="J6313" s="165"/>
      <c r="K6313" s="166"/>
      <c r="L6313" s="166"/>
    </row>
    <row r="6314">
      <c r="A6314" s="163" t="s">
        <v>222</v>
      </c>
      <c r="B6314" s="163"/>
      <c r="C6314" s="163"/>
      <c r="J6314" s="165"/>
      <c r="K6314" s="166"/>
      <c r="L6314" s="166"/>
    </row>
    <row r="6315">
      <c r="A6315" s="163" t="s">
        <v>222</v>
      </c>
      <c r="B6315" s="163"/>
      <c r="C6315" s="163"/>
      <c r="J6315" s="165"/>
      <c r="K6315" s="166"/>
      <c r="L6315" s="166"/>
    </row>
    <row r="6316">
      <c r="A6316" s="163" t="s">
        <v>222</v>
      </c>
      <c r="B6316" s="163"/>
      <c r="C6316" s="163"/>
      <c r="J6316" s="165"/>
      <c r="K6316" s="166"/>
      <c r="L6316" s="166"/>
    </row>
    <row r="6317">
      <c r="A6317" s="163" t="s">
        <v>222</v>
      </c>
      <c r="B6317" s="163"/>
      <c r="C6317" s="163"/>
      <c r="J6317" s="165"/>
      <c r="K6317" s="166"/>
      <c r="L6317" s="166"/>
    </row>
    <row r="6318">
      <c r="A6318" s="163" t="s">
        <v>222</v>
      </c>
      <c r="B6318" s="163"/>
      <c r="C6318" s="163"/>
      <c r="J6318" s="165"/>
      <c r="K6318" s="166"/>
      <c r="L6318" s="166"/>
    </row>
    <row r="6319">
      <c r="A6319" s="163" t="s">
        <v>222</v>
      </c>
      <c r="B6319" s="163"/>
      <c r="C6319" s="163"/>
      <c r="J6319" s="165"/>
      <c r="K6319" s="166"/>
      <c r="L6319" s="166"/>
    </row>
    <row r="6320">
      <c r="A6320" s="163" t="s">
        <v>222</v>
      </c>
      <c r="B6320" s="163"/>
      <c r="C6320" s="163"/>
      <c r="J6320" s="165"/>
      <c r="K6320" s="166"/>
      <c r="L6320" s="166"/>
    </row>
    <row r="6321">
      <c r="A6321" s="163" t="s">
        <v>222</v>
      </c>
      <c r="B6321" s="163"/>
      <c r="C6321" s="163"/>
      <c r="J6321" s="165"/>
      <c r="K6321" s="166"/>
      <c r="L6321" s="166"/>
    </row>
    <row r="6322">
      <c r="A6322" s="163" t="s">
        <v>222</v>
      </c>
      <c r="B6322" s="163"/>
      <c r="C6322" s="163"/>
      <c r="J6322" s="165"/>
      <c r="K6322" s="166"/>
      <c r="L6322" s="166"/>
    </row>
    <row r="6323">
      <c r="A6323" s="163" t="s">
        <v>222</v>
      </c>
      <c r="B6323" s="163"/>
      <c r="C6323" s="163"/>
      <c r="J6323" s="165"/>
      <c r="K6323" s="166"/>
      <c r="L6323" s="166"/>
    </row>
    <row r="6324">
      <c r="A6324" s="163" t="s">
        <v>222</v>
      </c>
      <c r="B6324" s="163"/>
      <c r="C6324" s="163"/>
      <c r="J6324" s="165"/>
      <c r="K6324" s="166"/>
      <c r="L6324" s="166"/>
    </row>
    <row r="6325">
      <c r="A6325" s="163" t="s">
        <v>222</v>
      </c>
      <c r="B6325" s="163"/>
      <c r="C6325" s="163"/>
      <c r="J6325" s="165"/>
      <c r="K6325" s="166"/>
      <c r="L6325" s="166"/>
    </row>
    <row r="6326">
      <c r="A6326" s="163" t="s">
        <v>222</v>
      </c>
      <c r="B6326" s="163"/>
      <c r="C6326" s="163"/>
      <c r="J6326" s="165"/>
      <c r="K6326" s="166"/>
      <c r="L6326" s="166"/>
    </row>
    <row r="6327">
      <c r="A6327" s="163" t="s">
        <v>222</v>
      </c>
      <c r="B6327" s="163"/>
      <c r="C6327" s="163"/>
      <c r="J6327" s="165"/>
      <c r="K6327" s="166"/>
      <c r="L6327" s="166"/>
    </row>
    <row r="6328">
      <c r="A6328" s="163" t="s">
        <v>222</v>
      </c>
      <c r="B6328" s="163"/>
      <c r="C6328" s="163"/>
      <c r="J6328" s="165"/>
      <c r="K6328" s="166"/>
      <c r="L6328" s="166"/>
    </row>
    <row r="6329">
      <c r="A6329" s="163" t="s">
        <v>222</v>
      </c>
      <c r="B6329" s="163"/>
      <c r="C6329" s="163"/>
      <c r="J6329" s="165"/>
      <c r="K6329" s="166"/>
      <c r="L6329" s="166"/>
    </row>
    <row r="6330">
      <c r="A6330" s="163" t="s">
        <v>222</v>
      </c>
      <c r="B6330" s="163"/>
      <c r="C6330" s="163"/>
      <c r="J6330" s="165"/>
      <c r="K6330" s="166"/>
      <c r="L6330" s="166"/>
    </row>
    <row r="6331">
      <c r="A6331" s="163" t="s">
        <v>222</v>
      </c>
      <c r="B6331" s="163"/>
      <c r="C6331" s="163"/>
      <c r="J6331" s="165"/>
      <c r="K6331" s="166"/>
      <c r="L6331" s="166"/>
    </row>
    <row r="6332">
      <c r="A6332" s="163" t="s">
        <v>222</v>
      </c>
      <c r="B6332" s="163"/>
      <c r="C6332" s="163"/>
      <c r="J6332" s="165"/>
      <c r="K6332" s="166"/>
      <c r="L6332" s="166"/>
    </row>
    <row r="6333">
      <c r="A6333" s="163" t="s">
        <v>222</v>
      </c>
      <c r="B6333" s="163"/>
      <c r="C6333" s="163"/>
      <c r="J6333" s="165"/>
      <c r="K6333" s="166"/>
      <c r="L6333" s="166"/>
    </row>
    <row r="6334">
      <c r="A6334" s="163" t="s">
        <v>222</v>
      </c>
      <c r="B6334" s="163"/>
      <c r="C6334" s="163"/>
      <c r="J6334" s="165"/>
      <c r="K6334" s="166"/>
      <c r="L6334" s="166"/>
    </row>
    <row r="6335">
      <c r="A6335" s="163" t="s">
        <v>222</v>
      </c>
      <c r="B6335" s="163"/>
      <c r="C6335" s="163"/>
      <c r="J6335" s="165"/>
      <c r="K6335" s="166"/>
      <c r="L6335" s="166"/>
    </row>
    <row r="6336">
      <c r="A6336" s="163" t="s">
        <v>222</v>
      </c>
      <c r="B6336" s="163"/>
      <c r="C6336" s="163"/>
      <c r="J6336" s="165"/>
      <c r="K6336" s="166"/>
      <c r="L6336" s="166"/>
    </row>
    <row r="6337">
      <c r="A6337" s="163" t="s">
        <v>222</v>
      </c>
      <c r="B6337" s="163"/>
      <c r="C6337" s="163"/>
      <c r="J6337" s="165"/>
      <c r="K6337" s="166"/>
      <c r="L6337" s="166"/>
    </row>
    <row r="6338">
      <c r="A6338" s="163" t="s">
        <v>222</v>
      </c>
      <c r="B6338" s="163"/>
      <c r="C6338" s="163"/>
      <c r="J6338" s="165"/>
      <c r="K6338" s="166"/>
      <c r="L6338" s="166"/>
    </row>
    <row r="6339">
      <c r="A6339" s="163" t="s">
        <v>222</v>
      </c>
      <c r="B6339" s="163"/>
      <c r="C6339" s="163"/>
      <c r="J6339" s="165"/>
      <c r="K6339" s="166"/>
      <c r="L6339" s="166"/>
    </row>
    <row r="6340">
      <c r="A6340" s="163" t="s">
        <v>222</v>
      </c>
      <c r="B6340" s="163"/>
      <c r="C6340" s="163"/>
      <c r="J6340" s="165"/>
      <c r="K6340" s="166"/>
      <c r="L6340" s="166"/>
    </row>
    <row r="6341">
      <c r="A6341" s="163" t="s">
        <v>222</v>
      </c>
      <c r="B6341" s="163"/>
      <c r="C6341" s="163"/>
      <c r="J6341" s="165"/>
      <c r="K6341" s="166"/>
      <c r="L6341" s="166"/>
    </row>
    <row r="6342">
      <c r="A6342" s="163" t="s">
        <v>222</v>
      </c>
      <c r="B6342" s="163"/>
      <c r="C6342" s="163"/>
      <c r="J6342" s="165"/>
      <c r="K6342" s="166"/>
      <c r="L6342" s="166"/>
    </row>
    <row r="6343">
      <c r="A6343" s="163" t="s">
        <v>222</v>
      </c>
      <c r="B6343" s="163"/>
      <c r="C6343" s="163"/>
      <c r="J6343" s="165"/>
      <c r="K6343" s="166"/>
      <c r="L6343" s="166"/>
    </row>
    <row r="6344">
      <c r="A6344" s="163" t="s">
        <v>222</v>
      </c>
      <c r="B6344" s="163"/>
      <c r="C6344" s="163"/>
      <c r="J6344" s="165"/>
      <c r="K6344" s="166"/>
      <c r="L6344" s="166"/>
    </row>
    <row r="6345">
      <c r="A6345" s="163" t="s">
        <v>222</v>
      </c>
      <c r="B6345" s="163"/>
      <c r="C6345" s="163"/>
      <c r="J6345" s="165"/>
      <c r="K6345" s="166"/>
      <c r="L6345" s="166"/>
    </row>
    <row r="6346">
      <c r="A6346" s="163" t="s">
        <v>222</v>
      </c>
      <c r="B6346" s="163"/>
      <c r="C6346" s="163"/>
      <c r="J6346" s="165"/>
      <c r="K6346" s="166"/>
      <c r="L6346" s="166"/>
    </row>
    <row r="6347">
      <c r="A6347" s="163" t="s">
        <v>222</v>
      </c>
      <c r="B6347" s="163"/>
      <c r="C6347" s="163"/>
      <c r="J6347" s="165"/>
      <c r="K6347" s="166"/>
      <c r="L6347" s="166"/>
    </row>
    <row r="6348">
      <c r="A6348" s="163" t="s">
        <v>222</v>
      </c>
      <c r="B6348" s="163"/>
      <c r="C6348" s="163"/>
      <c r="J6348" s="165"/>
      <c r="K6348" s="166"/>
      <c r="L6348" s="166"/>
    </row>
    <row r="6349">
      <c r="A6349" s="163" t="s">
        <v>222</v>
      </c>
      <c r="B6349" s="163"/>
      <c r="C6349" s="163"/>
      <c r="J6349" s="165"/>
      <c r="K6349" s="166"/>
      <c r="L6349" s="166"/>
    </row>
    <row r="6350">
      <c r="A6350" s="163" t="s">
        <v>222</v>
      </c>
      <c r="B6350" s="163"/>
      <c r="C6350" s="163"/>
      <c r="J6350" s="165"/>
      <c r="K6350" s="166"/>
      <c r="L6350" s="166"/>
    </row>
    <row r="6351">
      <c r="A6351" s="163" t="s">
        <v>222</v>
      </c>
      <c r="B6351" s="163"/>
      <c r="C6351" s="163"/>
      <c r="J6351" s="165"/>
      <c r="K6351" s="166"/>
      <c r="L6351" s="166"/>
    </row>
    <row r="6352">
      <c r="A6352" s="163" t="s">
        <v>222</v>
      </c>
      <c r="B6352" s="163"/>
      <c r="C6352" s="163"/>
      <c r="J6352" s="165"/>
      <c r="K6352" s="166"/>
      <c r="L6352" s="166"/>
    </row>
    <row r="6353">
      <c r="A6353" s="163" t="s">
        <v>222</v>
      </c>
      <c r="B6353" s="163"/>
      <c r="C6353" s="163"/>
      <c r="J6353" s="165"/>
      <c r="K6353" s="166"/>
      <c r="L6353" s="166"/>
    </row>
    <row r="6354">
      <c r="A6354" s="163" t="s">
        <v>222</v>
      </c>
      <c r="B6354" s="163"/>
      <c r="C6354" s="163"/>
      <c r="J6354" s="165"/>
      <c r="K6354" s="166"/>
      <c r="L6354" s="166"/>
    </row>
    <row r="6355">
      <c r="A6355" s="163" t="s">
        <v>222</v>
      </c>
      <c r="B6355" s="163"/>
      <c r="C6355" s="163"/>
      <c r="J6355" s="165"/>
      <c r="K6355" s="166"/>
      <c r="L6355" s="166"/>
    </row>
    <row r="6356">
      <c r="A6356" s="163" t="s">
        <v>222</v>
      </c>
      <c r="B6356" s="163"/>
      <c r="C6356" s="163"/>
      <c r="J6356" s="165"/>
      <c r="K6356" s="166"/>
      <c r="L6356" s="166"/>
    </row>
    <row r="6357">
      <c r="A6357" s="163" t="s">
        <v>222</v>
      </c>
      <c r="B6357" s="163"/>
      <c r="C6357" s="163"/>
      <c r="J6357" s="165"/>
      <c r="K6357" s="166"/>
      <c r="L6357" s="166"/>
    </row>
    <row r="6358">
      <c r="A6358" s="163" t="s">
        <v>222</v>
      </c>
      <c r="B6358" s="163"/>
      <c r="C6358" s="163"/>
      <c r="J6358" s="165"/>
      <c r="K6358" s="166"/>
      <c r="L6358" s="166"/>
    </row>
    <row r="6359">
      <c r="A6359" s="163" t="s">
        <v>222</v>
      </c>
      <c r="B6359" s="163"/>
      <c r="C6359" s="163"/>
      <c r="J6359" s="165"/>
      <c r="K6359" s="166"/>
      <c r="L6359" s="166"/>
    </row>
    <row r="6360">
      <c r="A6360" s="163" t="s">
        <v>222</v>
      </c>
      <c r="B6360" s="163"/>
      <c r="C6360" s="163"/>
      <c r="J6360" s="165"/>
      <c r="K6360" s="166"/>
      <c r="L6360" s="166"/>
    </row>
    <row r="6361">
      <c r="A6361" s="163" t="s">
        <v>222</v>
      </c>
      <c r="B6361" s="163"/>
      <c r="C6361" s="163"/>
      <c r="J6361" s="165"/>
      <c r="K6361" s="166"/>
      <c r="L6361" s="166"/>
    </row>
    <row r="6362">
      <c r="A6362" s="163" t="s">
        <v>222</v>
      </c>
      <c r="B6362" s="163"/>
      <c r="C6362" s="163"/>
      <c r="J6362" s="165"/>
      <c r="K6362" s="166"/>
      <c r="L6362" s="166"/>
    </row>
    <row r="6363">
      <c r="A6363" s="163" t="s">
        <v>222</v>
      </c>
      <c r="B6363" s="163"/>
      <c r="C6363" s="163"/>
      <c r="J6363" s="165"/>
      <c r="K6363" s="166"/>
      <c r="L6363" s="166"/>
    </row>
    <row r="6364">
      <c r="A6364" s="163" t="s">
        <v>222</v>
      </c>
      <c r="B6364" s="163"/>
      <c r="C6364" s="163"/>
      <c r="J6364" s="165"/>
      <c r="K6364" s="166"/>
      <c r="L6364" s="166"/>
    </row>
    <row r="6365">
      <c r="A6365" s="163" t="s">
        <v>222</v>
      </c>
      <c r="B6365" s="163"/>
      <c r="C6365" s="163"/>
      <c r="J6365" s="165"/>
      <c r="K6365" s="166"/>
      <c r="L6365" s="166"/>
    </row>
    <row r="6366">
      <c r="A6366" s="163" t="s">
        <v>222</v>
      </c>
      <c r="B6366" s="163"/>
      <c r="C6366" s="163"/>
      <c r="J6366" s="165"/>
      <c r="K6366" s="166"/>
      <c r="L6366" s="166"/>
    </row>
    <row r="6367">
      <c r="A6367" s="163" t="s">
        <v>222</v>
      </c>
      <c r="B6367" s="163"/>
      <c r="C6367" s="163"/>
      <c r="J6367" s="165"/>
      <c r="K6367" s="166"/>
      <c r="L6367" s="166"/>
    </row>
    <row r="6368">
      <c r="A6368" s="163" t="s">
        <v>222</v>
      </c>
      <c r="B6368" s="163"/>
      <c r="C6368" s="163"/>
      <c r="J6368" s="165"/>
      <c r="K6368" s="166"/>
      <c r="L6368" s="166"/>
    </row>
    <row r="6369">
      <c r="A6369" s="163" t="s">
        <v>222</v>
      </c>
      <c r="B6369" s="163"/>
      <c r="C6369" s="163"/>
      <c r="J6369" s="165"/>
      <c r="K6369" s="166"/>
      <c r="L6369" s="166"/>
    </row>
    <row r="6370">
      <c r="A6370" s="163" t="s">
        <v>222</v>
      </c>
      <c r="B6370" s="163"/>
      <c r="C6370" s="163"/>
      <c r="J6370" s="165"/>
      <c r="K6370" s="166"/>
      <c r="L6370" s="166"/>
    </row>
    <row r="6371">
      <c r="A6371" s="163" t="s">
        <v>222</v>
      </c>
      <c r="B6371" s="163"/>
      <c r="C6371" s="163"/>
      <c r="J6371" s="165"/>
      <c r="K6371" s="166"/>
      <c r="L6371" s="166"/>
    </row>
    <row r="6372">
      <c r="A6372" s="163" t="s">
        <v>222</v>
      </c>
      <c r="B6372" s="163"/>
      <c r="C6372" s="163"/>
      <c r="J6372" s="165"/>
      <c r="K6372" s="166"/>
      <c r="L6372" s="166"/>
    </row>
    <row r="6373">
      <c r="A6373" s="163" t="s">
        <v>222</v>
      </c>
      <c r="B6373" s="163"/>
      <c r="C6373" s="163"/>
      <c r="J6373" s="165"/>
      <c r="K6373" s="166"/>
      <c r="L6373" s="166"/>
    </row>
    <row r="6374">
      <c r="A6374" s="163" t="s">
        <v>222</v>
      </c>
      <c r="B6374" s="163"/>
      <c r="C6374" s="163"/>
      <c r="J6374" s="165"/>
      <c r="K6374" s="166"/>
      <c r="L6374" s="166"/>
    </row>
    <row r="6375">
      <c r="A6375" s="163" t="s">
        <v>222</v>
      </c>
      <c r="B6375" s="163"/>
      <c r="C6375" s="163"/>
      <c r="J6375" s="165"/>
      <c r="K6375" s="166"/>
      <c r="L6375" s="166"/>
    </row>
    <row r="6376">
      <c r="A6376" s="163" t="s">
        <v>222</v>
      </c>
      <c r="B6376" s="163"/>
      <c r="C6376" s="163"/>
      <c r="J6376" s="165"/>
      <c r="K6376" s="166"/>
      <c r="L6376" s="166"/>
    </row>
    <row r="6377">
      <c r="A6377" s="163" t="s">
        <v>222</v>
      </c>
      <c r="B6377" s="163"/>
      <c r="C6377" s="163"/>
      <c r="J6377" s="165"/>
      <c r="K6377" s="166"/>
      <c r="L6377" s="166"/>
    </row>
    <row r="6378">
      <c r="A6378" s="163" t="s">
        <v>222</v>
      </c>
      <c r="B6378" s="163"/>
      <c r="C6378" s="163"/>
      <c r="J6378" s="165"/>
      <c r="K6378" s="166"/>
      <c r="L6378" s="166"/>
    </row>
    <row r="6379">
      <c r="A6379" s="163" t="s">
        <v>222</v>
      </c>
      <c r="B6379" s="163"/>
      <c r="C6379" s="163"/>
      <c r="J6379" s="165"/>
      <c r="K6379" s="166"/>
      <c r="L6379" s="166"/>
    </row>
    <row r="6380">
      <c r="A6380" s="163" t="s">
        <v>222</v>
      </c>
      <c r="B6380" s="163"/>
      <c r="C6380" s="163"/>
      <c r="J6380" s="165"/>
      <c r="K6380" s="166"/>
      <c r="L6380" s="166"/>
    </row>
    <row r="6381">
      <c r="A6381" s="163" t="s">
        <v>222</v>
      </c>
      <c r="B6381" s="163"/>
      <c r="C6381" s="163"/>
      <c r="J6381" s="165"/>
      <c r="K6381" s="166"/>
      <c r="L6381" s="166"/>
    </row>
    <row r="6382">
      <c r="A6382" s="163" t="s">
        <v>222</v>
      </c>
      <c r="B6382" s="163"/>
      <c r="C6382" s="163"/>
      <c r="J6382" s="165"/>
      <c r="K6382" s="166"/>
      <c r="L6382" s="166"/>
    </row>
    <row r="6383">
      <c r="A6383" s="163" t="s">
        <v>222</v>
      </c>
      <c r="B6383" s="163"/>
      <c r="C6383" s="163"/>
      <c r="J6383" s="165"/>
      <c r="K6383" s="166"/>
      <c r="L6383" s="166"/>
    </row>
    <row r="6384">
      <c r="A6384" s="163" t="s">
        <v>222</v>
      </c>
      <c r="B6384" s="163"/>
      <c r="C6384" s="163"/>
      <c r="J6384" s="165"/>
      <c r="K6384" s="166"/>
      <c r="L6384" s="166"/>
    </row>
    <row r="6385">
      <c r="A6385" s="163" t="s">
        <v>222</v>
      </c>
      <c r="B6385" s="163"/>
      <c r="C6385" s="163"/>
      <c r="J6385" s="165"/>
      <c r="K6385" s="166"/>
      <c r="L6385" s="166"/>
    </row>
    <row r="6386">
      <c r="A6386" s="163" t="s">
        <v>222</v>
      </c>
      <c r="B6386" s="163"/>
      <c r="C6386" s="163"/>
      <c r="J6386" s="165"/>
      <c r="K6386" s="166"/>
      <c r="L6386" s="166"/>
    </row>
    <row r="6387">
      <c r="A6387" s="163" t="s">
        <v>222</v>
      </c>
      <c r="B6387" s="163"/>
      <c r="C6387" s="163"/>
      <c r="J6387" s="165"/>
      <c r="K6387" s="166"/>
      <c r="L6387" s="166"/>
    </row>
    <row r="6388">
      <c r="A6388" s="163" t="s">
        <v>222</v>
      </c>
      <c r="B6388" s="163"/>
      <c r="C6388" s="163"/>
      <c r="J6388" s="165"/>
      <c r="K6388" s="166"/>
      <c r="L6388" s="166"/>
    </row>
    <row r="6389">
      <c r="A6389" s="163" t="s">
        <v>222</v>
      </c>
      <c r="B6389" s="163"/>
      <c r="C6389" s="163"/>
      <c r="J6389" s="165"/>
      <c r="K6389" s="166"/>
      <c r="L6389" s="166"/>
    </row>
    <row r="6390">
      <c r="A6390" s="163" t="s">
        <v>222</v>
      </c>
      <c r="B6390" s="163"/>
      <c r="C6390" s="163"/>
      <c r="J6390" s="165"/>
      <c r="K6390" s="166"/>
      <c r="L6390" s="166"/>
    </row>
    <row r="6391">
      <c r="A6391" s="163" t="s">
        <v>222</v>
      </c>
      <c r="B6391" s="163"/>
      <c r="C6391" s="163"/>
      <c r="J6391" s="165"/>
      <c r="K6391" s="166"/>
      <c r="L6391" s="166"/>
    </row>
    <row r="6392">
      <c r="A6392" s="163" t="s">
        <v>222</v>
      </c>
      <c r="B6392" s="163"/>
      <c r="C6392" s="163"/>
      <c r="J6392" s="165"/>
      <c r="K6392" s="166"/>
      <c r="L6392" s="166"/>
    </row>
    <row r="6393">
      <c r="A6393" s="163" t="s">
        <v>222</v>
      </c>
      <c r="B6393" s="163"/>
      <c r="C6393" s="163"/>
      <c r="J6393" s="165"/>
      <c r="K6393" s="166"/>
      <c r="L6393" s="166"/>
    </row>
    <row r="6394">
      <c r="A6394" s="163" t="s">
        <v>222</v>
      </c>
      <c r="B6394" s="163"/>
      <c r="C6394" s="163"/>
      <c r="J6394" s="165"/>
      <c r="K6394" s="166"/>
      <c r="L6394" s="166"/>
    </row>
    <row r="6395">
      <c r="A6395" s="163" t="s">
        <v>222</v>
      </c>
      <c r="B6395" s="163"/>
      <c r="C6395" s="163"/>
      <c r="J6395" s="165"/>
      <c r="K6395" s="166"/>
      <c r="L6395" s="166"/>
    </row>
    <row r="6396">
      <c r="A6396" s="163" t="s">
        <v>222</v>
      </c>
      <c r="B6396" s="163"/>
      <c r="C6396" s="163"/>
      <c r="J6396" s="165"/>
      <c r="K6396" s="166"/>
      <c r="L6396" s="166"/>
    </row>
    <row r="6397">
      <c r="A6397" s="163" t="s">
        <v>222</v>
      </c>
      <c r="B6397" s="163"/>
      <c r="C6397" s="163"/>
      <c r="J6397" s="165"/>
      <c r="K6397" s="166"/>
      <c r="L6397" s="166"/>
    </row>
    <row r="6398">
      <c r="A6398" s="163" t="s">
        <v>222</v>
      </c>
      <c r="B6398" s="163"/>
      <c r="C6398" s="163"/>
      <c r="J6398" s="165"/>
      <c r="K6398" s="166"/>
      <c r="L6398" s="166"/>
    </row>
    <row r="6399">
      <c r="A6399" s="163" t="s">
        <v>222</v>
      </c>
      <c r="B6399" s="163"/>
      <c r="C6399" s="163"/>
      <c r="J6399" s="165"/>
      <c r="K6399" s="166"/>
      <c r="L6399" s="166"/>
    </row>
    <row r="6400">
      <c r="A6400" s="163" t="s">
        <v>222</v>
      </c>
      <c r="B6400" s="163"/>
      <c r="C6400" s="163"/>
      <c r="J6400" s="165"/>
      <c r="K6400" s="166"/>
      <c r="L6400" s="166"/>
    </row>
    <row r="6401">
      <c r="A6401" s="163" t="s">
        <v>222</v>
      </c>
      <c r="B6401" s="163"/>
      <c r="C6401" s="163"/>
      <c r="J6401" s="165"/>
      <c r="K6401" s="166"/>
      <c r="L6401" s="166"/>
    </row>
    <row r="6402">
      <c r="A6402" s="163" t="s">
        <v>222</v>
      </c>
      <c r="B6402" s="163"/>
      <c r="C6402" s="163"/>
      <c r="J6402" s="165"/>
      <c r="K6402" s="166"/>
      <c r="L6402" s="166"/>
    </row>
    <row r="6403">
      <c r="A6403" s="163" t="s">
        <v>222</v>
      </c>
      <c r="B6403" s="163"/>
      <c r="C6403" s="163"/>
      <c r="J6403" s="165"/>
      <c r="K6403" s="166"/>
      <c r="L6403" s="166"/>
    </row>
    <row r="6404">
      <c r="A6404" s="163" t="s">
        <v>222</v>
      </c>
      <c r="B6404" s="163"/>
      <c r="C6404" s="163"/>
      <c r="J6404" s="165"/>
      <c r="K6404" s="166"/>
      <c r="L6404" s="166"/>
    </row>
    <row r="6405">
      <c r="A6405" s="163" t="s">
        <v>222</v>
      </c>
      <c r="B6405" s="163"/>
      <c r="C6405" s="163"/>
      <c r="J6405" s="165"/>
      <c r="K6405" s="166"/>
      <c r="L6405" s="166"/>
    </row>
    <row r="6406">
      <c r="A6406" s="163" t="s">
        <v>222</v>
      </c>
      <c r="B6406" s="163"/>
      <c r="C6406" s="163"/>
      <c r="J6406" s="165"/>
      <c r="K6406" s="166"/>
      <c r="L6406" s="166"/>
    </row>
    <row r="6407">
      <c r="A6407" s="163" t="s">
        <v>222</v>
      </c>
      <c r="B6407" s="163"/>
      <c r="C6407" s="163"/>
      <c r="J6407" s="165"/>
      <c r="K6407" s="166"/>
      <c r="L6407" s="166"/>
    </row>
    <row r="6408">
      <c r="A6408" s="163" t="s">
        <v>222</v>
      </c>
      <c r="B6408" s="163"/>
      <c r="C6408" s="163"/>
      <c r="J6408" s="165"/>
      <c r="K6408" s="166"/>
      <c r="L6408" s="166"/>
    </row>
    <row r="6409">
      <c r="A6409" s="163" t="s">
        <v>222</v>
      </c>
      <c r="B6409" s="163"/>
      <c r="C6409" s="163"/>
      <c r="J6409" s="165"/>
      <c r="K6409" s="166"/>
      <c r="L6409" s="166"/>
    </row>
    <row r="6410">
      <c r="A6410" s="163" t="s">
        <v>222</v>
      </c>
      <c r="B6410" s="163"/>
      <c r="C6410" s="163"/>
      <c r="J6410" s="165"/>
      <c r="K6410" s="166"/>
      <c r="L6410" s="166"/>
    </row>
    <row r="6411">
      <c r="A6411" s="163" t="s">
        <v>222</v>
      </c>
      <c r="B6411" s="163"/>
      <c r="C6411" s="163"/>
      <c r="J6411" s="165"/>
      <c r="K6411" s="166"/>
      <c r="L6411" s="166"/>
    </row>
    <row r="6412">
      <c r="A6412" s="163" t="s">
        <v>222</v>
      </c>
      <c r="B6412" s="163"/>
      <c r="C6412" s="163"/>
      <c r="J6412" s="165"/>
      <c r="K6412" s="166"/>
      <c r="L6412" s="166"/>
    </row>
    <row r="6413">
      <c r="A6413" s="163" t="s">
        <v>222</v>
      </c>
      <c r="B6413" s="163"/>
      <c r="C6413" s="163"/>
      <c r="J6413" s="165"/>
      <c r="K6413" s="166"/>
      <c r="L6413" s="166"/>
    </row>
    <row r="6414">
      <c r="A6414" s="163" t="s">
        <v>222</v>
      </c>
      <c r="B6414" s="163"/>
      <c r="C6414" s="163"/>
      <c r="J6414" s="165"/>
      <c r="K6414" s="166"/>
      <c r="L6414" s="166"/>
    </row>
    <row r="6415">
      <c r="A6415" s="163" t="s">
        <v>222</v>
      </c>
      <c r="B6415" s="163"/>
      <c r="C6415" s="163"/>
      <c r="J6415" s="165"/>
      <c r="K6415" s="166"/>
      <c r="L6415" s="166"/>
    </row>
    <row r="6416">
      <c r="A6416" s="163" t="s">
        <v>222</v>
      </c>
      <c r="B6416" s="163"/>
      <c r="C6416" s="163"/>
      <c r="J6416" s="165"/>
      <c r="K6416" s="166"/>
      <c r="L6416" s="166"/>
    </row>
    <row r="6417">
      <c r="A6417" s="163" t="s">
        <v>222</v>
      </c>
      <c r="B6417" s="163"/>
      <c r="C6417" s="163"/>
      <c r="J6417" s="165"/>
      <c r="K6417" s="166"/>
      <c r="L6417" s="166"/>
    </row>
    <row r="6418">
      <c r="A6418" s="163" t="s">
        <v>222</v>
      </c>
      <c r="B6418" s="163"/>
      <c r="C6418" s="163"/>
      <c r="J6418" s="165"/>
      <c r="K6418" s="166"/>
      <c r="L6418" s="166"/>
    </row>
    <row r="6419">
      <c r="A6419" s="163" t="s">
        <v>222</v>
      </c>
      <c r="B6419" s="163"/>
      <c r="C6419" s="163"/>
      <c r="J6419" s="165"/>
      <c r="K6419" s="166"/>
      <c r="L6419" s="166"/>
    </row>
    <row r="6420">
      <c r="A6420" s="163" t="s">
        <v>222</v>
      </c>
      <c r="B6420" s="163"/>
      <c r="C6420" s="163"/>
      <c r="J6420" s="165"/>
      <c r="K6420" s="166"/>
      <c r="L6420" s="166"/>
    </row>
    <row r="6421">
      <c r="A6421" s="163" t="s">
        <v>222</v>
      </c>
      <c r="B6421" s="163"/>
      <c r="C6421" s="163"/>
      <c r="J6421" s="165"/>
      <c r="K6421" s="166"/>
      <c r="L6421" s="166"/>
    </row>
    <row r="6422">
      <c r="A6422" s="163" t="s">
        <v>222</v>
      </c>
      <c r="B6422" s="163"/>
      <c r="C6422" s="163"/>
      <c r="J6422" s="165"/>
      <c r="K6422" s="166"/>
      <c r="L6422" s="166"/>
    </row>
    <row r="6423">
      <c r="A6423" s="163" t="s">
        <v>222</v>
      </c>
      <c r="B6423" s="163"/>
      <c r="C6423" s="163"/>
      <c r="J6423" s="165"/>
      <c r="K6423" s="166"/>
      <c r="L6423" s="166"/>
    </row>
    <row r="6424">
      <c r="A6424" s="163" t="s">
        <v>222</v>
      </c>
      <c r="B6424" s="163"/>
      <c r="C6424" s="163"/>
      <c r="J6424" s="165"/>
      <c r="K6424" s="166"/>
      <c r="L6424" s="166"/>
    </row>
    <row r="6425">
      <c r="A6425" s="163" t="s">
        <v>222</v>
      </c>
      <c r="B6425" s="163"/>
      <c r="C6425" s="163"/>
      <c r="J6425" s="165"/>
      <c r="K6425" s="166"/>
      <c r="L6425" s="166"/>
    </row>
    <row r="6426">
      <c r="A6426" s="163" t="s">
        <v>222</v>
      </c>
      <c r="B6426" s="163"/>
      <c r="C6426" s="163"/>
      <c r="J6426" s="165"/>
      <c r="K6426" s="166"/>
      <c r="L6426" s="166"/>
    </row>
    <row r="6427">
      <c r="A6427" s="163" t="s">
        <v>222</v>
      </c>
      <c r="B6427" s="163"/>
      <c r="C6427" s="163"/>
      <c r="J6427" s="165"/>
      <c r="K6427" s="166"/>
      <c r="L6427" s="166"/>
    </row>
    <row r="6428">
      <c r="A6428" s="163" t="s">
        <v>222</v>
      </c>
      <c r="B6428" s="163"/>
      <c r="C6428" s="163"/>
      <c r="J6428" s="165"/>
      <c r="K6428" s="166"/>
      <c r="L6428" s="166"/>
    </row>
    <row r="6429">
      <c r="A6429" s="163" t="s">
        <v>222</v>
      </c>
      <c r="B6429" s="163"/>
      <c r="C6429" s="163"/>
      <c r="J6429" s="165"/>
      <c r="K6429" s="166"/>
      <c r="L6429" s="166"/>
    </row>
    <row r="6430">
      <c r="A6430" s="163" t="s">
        <v>222</v>
      </c>
      <c r="B6430" s="163"/>
      <c r="C6430" s="163"/>
      <c r="J6430" s="165"/>
      <c r="K6430" s="166"/>
      <c r="L6430" s="166"/>
    </row>
    <row r="6431">
      <c r="A6431" s="163" t="s">
        <v>222</v>
      </c>
      <c r="B6431" s="163"/>
      <c r="C6431" s="163"/>
      <c r="J6431" s="165"/>
      <c r="K6431" s="166"/>
      <c r="L6431" s="166"/>
    </row>
    <row r="6432">
      <c r="A6432" s="163" t="s">
        <v>222</v>
      </c>
      <c r="B6432" s="163"/>
      <c r="C6432" s="163"/>
      <c r="J6432" s="165"/>
      <c r="K6432" s="166"/>
      <c r="L6432" s="166"/>
    </row>
    <row r="6433">
      <c r="A6433" s="163" t="s">
        <v>222</v>
      </c>
      <c r="B6433" s="163"/>
      <c r="C6433" s="163"/>
      <c r="J6433" s="165"/>
      <c r="K6433" s="166"/>
      <c r="L6433" s="166"/>
    </row>
    <row r="6434">
      <c r="A6434" s="163" t="s">
        <v>222</v>
      </c>
      <c r="B6434" s="163"/>
      <c r="C6434" s="163"/>
      <c r="J6434" s="165"/>
      <c r="K6434" s="166"/>
      <c r="L6434" s="166"/>
    </row>
    <row r="6435">
      <c r="A6435" s="163" t="s">
        <v>222</v>
      </c>
      <c r="B6435" s="163"/>
      <c r="C6435" s="163"/>
      <c r="J6435" s="165"/>
      <c r="K6435" s="166"/>
      <c r="L6435" s="166"/>
    </row>
    <row r="6436">
      <c r="A6436" s="163" t="s">
        <v>222</v>
      </c>
      <c r="B6436" s="163"/>
      <c r="C6436" s="163"/>
      <c r="J6436" s="165"/>
      <c r="K6436" s="166"/>
      <c r="L6436" s="166"/>
    </row>
    <row r="6437">
      <c r="A6437" s="163" t="s">
        <v>222</v>
      </c>
      <c r="B6437" s="163"/>
      <c r="C6437" s="163"/>
      <c r="J6437" s="165"/>
      <c r="K6437" s="166"/>
      <c r="L6437" s="166"/>
    </row>
    <row r="6438">
      <c r="A6438" s="163" t="s">
        <v>222</v>
      </c>
      <c r="B6438" s="163"/>
      <c r="C6438" s="163"/>
      <c r="J6438" s="165"/>
      <c r="K6438" s="166"/>
      <c r="L6438" s="166"/>
    </row>
    <row r="6439">
      <c r="A6439" s="163" t="s">
        <v>222</v>
      </c>
      <c r="B6439" s="163"/>
      <c r="C6439" s="163"/>
      <c r="J6439" s="165"/>
      <c r="K6439" s="166"/>
      <c r="L6439" s="166"/>
    </row>
    <row r="6440">
      <c r="A6440" s="163" t="s">
        <v>222</v>
      </c>
      <c r="B6440" s="163"/>
      <c r="C6440" s="163"/>
      <c r="J6440" s="165"/>
      <c r="K6440" s="166"/>
      <c r="L6440" s="166"/>
    </row>
    <row r="6441">
      <c r="A6441" s="163" t="s">
        <v>222</v>
      </c>
      <c r="B6441" s="163"/>
      <c r="C6441" s="163"/>
      <c r="J6441" s="165"/>
      <c r="K6441" s="166"/>
      <c r="L6441" s="166"/>
    </row>
    <row r="6442">
      <c r="A6442" s="163" t="s">
        <v>222</v>
      </c>
      <c r="B6442" s="163"/>
      <c r="C6442" s="163"/>
      <c r="J6442" s="165"/>
      <c r="K6442" s="166"/>
      <c r="L6442" s="166"/>
    </row>
    <row r="6443">
      <c r="A6443" s="163" t="s">
        <v>222</v>
      </c>
      <c r="B6443" s="163"/>
      <c r="C6443" s="163"/>
      <c r="J6443" s="165"/>
      <c r="K6443" s="166"/>
      <c r="L6443" s="166"/>
    </row>
    <row r="6444">
      <c r="A6444" s="163" t="s">
        <v>222</v>
      </c>
      <c r="B6444" s="163"/>
      <c r="C6444" s="163"/>
      <c r="J6444" s="165"/>
      <c r="K6444" s="166"/>
      <c r="L6444" s="166"/>
    </row>
    <row r="6445">
      <c r="A6445" s="163" t="s">
        <v>222</v>
      </c>
      <c r="B6445" s="163"/>
      <c r="C6445" s="163"/>
      <c r="J6445" s="165"/>
      <c r="K6445" s="166"/>
      <c r="L6445" s="166"/>
    </row>
    <row r="6446">
      <c r="A6446" s="163" t="s">
        <v>222</v>
      </c>
      <c r="B6446" s="163"/>
      <c r="C6446" s="163"/>
      <c r="J6446" s="165"/>
      <c r="K6446" s="166"/>
      <c r="L6446" s="166"/>
    </row>
    <row r="6447">
      <c r="A6447" s="163" t="s">
        <v>222</v>
      </c>
      <c r="B6447" s="163"/>
      <c r="C6447" s="163"/>
      <c r="J6447" s="165"/>
      <c r="K6447" s="166"/>
      <c r="L6447" s="166"/>
    </row>
    <row r="6448">
      <c r="A6448" s="163" t="s">
        <v>222</v>
      </c>
      <c r="B6448" s="163"/>
      <c r="C6448" s="163"/>
      <c r="J6448" s="165"/>
      <c r="K6448" s="166"/>
      <c r="L6448" s="166"/>
    </row>
    <row r="6449">
      <c r="A6449" s="163" t="s">
        <v>222</v>
      </c>
      <c r="B6449" s="163"/>
      <c r="C6449" s="163"/>
      <c r="J6449" s="165"/>
      <c r="K6449" s="166"/>
      <c r="L6449" s="166"/>
    </row>
    <row r="6450">
      <c r="A6450" s="163" t="s">
        <v>222</v>
      </c>
      <c r="B6450" s="163"/>
      <c r="C6450" s="163"/>
      <c r="J6450" s="165"/>
      <c r="K6450" s="166"/>
      <c r="L6450" s="166"/>
    </row>
    <row r="6451">
      <c r="A6451" s="163" t="s">
        <v>222</v>
      </c>
      <c r="B6451" s="163"/>
      <c r="C6451" s="163"/>
      <c r="J6451" s="165"/>
      <c r="K6451" s="166"/>
      <c r="L6451" s="166"/>
    </row>
    <row r="6452">
      <c r="A6452" s="163" t="s">
        <v>222</v>
      </c>
      <c r="B6452" s="163"/>
      <c r="C6452" s="163"/>
      <c r="J6452" s="165"/>
      <c r="K6452" s="166"/>
      <c r="L6452" s="166"/>
    </row>
    <row r="6453">
      <c r="A6453" s="163" t="s">
        <v>222</v>
      </c>
      <c r="B6453" s="163"/>
      <c r="C6453" s="163"/>
      <c r="J6453" s="165"/>
      <c r="K6453" s="166"/>
      <c r="L6453" s="166"/>
    </row>
    <row r="6454">
      <c r="A6454" s="163" t="s">
        <v>222</v>
      </c>
      <c r="B6454" s="163"/>
      <c r="C6454" s="163"/>
      <c r="J6454" s="165"/>
      <c r="K6454" s="166"/>
      <c r="L6454" s="166"/>
    </row>
    <row r="6455">
      <c r="A6455" s="163" t="s">
        <v>222</v>
      </c>
      <c r="B6455" s="163"/>
      <c r="C6455" s="163"/>
      <c r="J6455" s="165"/>
      <c r="K6455" s="166"/>
      <c r="L6455" s="166"/>
    </row>
    <row r="6456">
      <c r="A6456" s="163" t="s">
        <v>222</v>
      </c>
      <c r="B6456" s="163"/>
      <c r="C6456" s="163"/>
      <c r="J6456" s="165"/>
      <c r="K6456" s="166"/>
      <c r="L6456" s="166"/>
    </row>
    <row r="6457">
      <c r="A6457" s="163" t="s">
        <v>222</v>
      </c>
      <c r="B6457" s="163"/>
      <c r="C6457" s="163"/>
      <c r="J6457" s="165"/>
      <c r="K6457" s="166"/>
      <c r="L6457" s="166"/>
    </row>
    <row r="6458">
      <c r="A6458" s="163" t="s">
        <v>222</v>
      </c>
      <c r="B6458" s="163"/>
      <c r="C6458" s="163"/>
      <c r="J6458" s="165"/>
      <c r="K6458" s="166"/>
      <c r="L6458" s="166"/>
    </row>
    <row r="6459">
      <c r="A6459" s="163" t="s">
        <v>222</v>
      </c>
      <c r="B6459" s="163"/>
      <c r="C6459" s="163"/>
      <c r="J6459" s="165"/>
      <c r="K6459" s="166"/>
      <c r="L6459" s="166"/>
    </row>
    <row r="6460">
      <c r="A6460" s="163" t="s">
        <v>222</v>
      </c>
      <c r="B6460" s="163"/>
      <c r="C6460" s="163"/>
      <c r="J6460" s="165"/>
      <c r="K6460" s="166"/>
      <c r="L6460" s="166"/>
    </row>
    <row r="6461">
      <c r="A6461" s="163" t="s">
        <v>222</v>
      </c>
      <c r="B6461" s="163"/>
      <c r="C6461" s="163"/>
      <c r="J6461" s="165"/>
      <c r="K6461" s="166"/>
      <c r="L6461" s="166"/>
    </row>
    <row r="6462">
      <c r="A6462" s="163" t="s">
        <v>222</v>
      </c>
      <c r="B6462" s="163"/>
      <c r="C6462" s="163"/>
      <c r="J6462" s="165"/>
      <c r="K6462" s="166"/>
      <c r="L6462" s="166"/>
    </row>
    <row r="6463">
      <c r="A6463" s="163" t="s">
        <v>222</v>
      </c>
      <c r="B6463" s="163"/>
      <c r="C6463" s="163"/>
      <c r="J6463" s="165"/>
      <c r="K6463" s="166"/>
      <c r="L6463" s="166"/>
    </row>
    <row r="6464">
      <c r="A6464" s="163" t="s">
        <v>222</v>
      </c>
      <c r="B6464" s="163"/>
      <c r="C6464" s="163"/>
      <c r="J6464" s="165"/>
      <c r="K6464" s="166"/>
      <c r="L6464" s="166"/>
    </row>
    <row r="6465">
      <c r="A6465" s="163" t="s">
        <v>222</v>
      </c>
      <c r="B6465" s="163"/>
      <c r="C6465" s="163"/>
      <c r="J6465" s="165"/>
      <c r="K6465" s="166"/>
      <c r="L6465" s="166"/>
    </row>
    <row r="6466">
      <c r="A6466" s="163" t="s">
        <v>222</v>
      </c>
      <c r="B6466" s="163"/>
      <c r="C6466" s="163"/>
      <c r="J6466" s="165"/>
      <c r="K6466" s="166"/>
      <c r="L6466" s="166"/>
    </row>
    <row r="6467">
      <c r="A6467" s="163" t="s">
        <v>222</v>
      </c>
      <c r="B6467" s="163"/>
      <c r="C6467" s="163"/>
      <c r="J6467" s="165"/>
      <c r="K6467" s="166"/>
      <c r="L6467" s="166"/>
    </row>
    <row r="6468">
      <c r="A6468" s="163" t="s">
        <v>222</v>
      </c>
      <c r="B6468" s="163"/>
      <c r="C6468" s="163"/>
      <c r="J6468" s="165"/>
      <c r="K6468" s="166"/>
      <c r="L6468" s="166"/>
    </row>
    <row r="6469">
      <c r="A6469" s="163" t="s">
        <v>222</v>
      </c>
      <c r="B6469" s="163"/>
      <c r="C6469" s="163"/>
      <c r="J6469" s="165"/>
      <c r="K6469" s="166"/>
      <c r="L6469" s="166"/>
    </row>
    <row r="6470">
      <c r="A6470" s="163" t="s">
        <v>222</v>
      </c>
      <c r="B6470" s="163"/>
      <c r="C6470" s="163"/>
      <c r="J6470" s="165"/>
      <c r="K6470" s="166"/>
      <c r="L6470" s="166"/>
    </row>
    <row r="6471">
      <c r="A6471" s="163" t="s">
        <v>222</v>
      </c>
      <c r="B6471" s="163"/>
      <c r="C6471" s="163"/>
      <c r="J6471" s="165"/>
      <c r="K6471" s="166"/>
      <c r="L6471" s="166"/>
    </row>
    <row r="6472">
      <c r="A6472" s="163" t="s">
        <v>222</v>
      </c>
      <c r="B6472" s="163"/>
      <c r="C6472" s="163"/>
      <c r="J6472" s="165"/>
      <c r="K6472" s="166"/>
      <c r="L6472" s="166"/>
    </row>
    <row r="6473">
      <c r="A6473" s="163" t="s">
        <v>222</v>
      </c>
      <c r="B6473" s="163"/>
      <c r="C6473" s="163"/>
      <c r="J6473" s="165"/>
      <c r="K6473" s="166"/>
      <c r="L6473" s="166"/>
    </row>
    <row r="6474">
      <c r="A6474" s="163" t="s">
        <v>222</v>
      </c>
      <c r="B6474" s="163"/>
      <c r="C6474" s="163"/>
      <c r="J6474" s="165"/>
      <c r="K6474" s="166"/>
      <c r="L6474" s="166"/>
    </row>
    <row r="6475">
      <c r="A6475" s="163" t="s">
        <v>222</v>
      </c>
      <c r="B6475" s="163"/>
      <c r="C6475" s="163"/>
      <c r="J6475" s="165"/>
      <c r="K6475" s="166"/>
      <c r="L6475" s="166"/>
    </row>
    <row r="6476">
      <c r="A6476" s="163" t="s">
        <v>222</v>
      </c>
      <c r="B6476" s="163"/>
      <c r="C6476" s="163"/>
      <c r="J6476" s="165"/>
      <c r="K6476" s="166"/>
      <c r="L6476" s="166"/>
    </row>
    <row r="6477">
      <c r="A6477" s="163" t="s">
        <v>222</v>
      </c>
      <c r="B6477" s="163"/>
      <c r="C6477" s="163"/>
      <c r="J6477" s="165"/>
      <c r="K6477" s="166"/>
      <c r="L6477" s="166"/>
    </row>
    <row r="6478">
      <c r="A6478" s="163" t="s">
        <v>222</v>
      </c>
      <c r="B6478" s="163"/>
      <c r="C6478" s="163"/>
      <c r="J6478" s="165"/>
      <c r="K6478" s="166"/>
      <c r="L6478" s="166"/>
    </row>
    <row r="6479">
      <c r="A6479" s="163" t="s">
        <v>222</v>
      </c>
      <c r="B6479" s="163"/>
      <c r="C6479" s="163"/>
      <c r="J6479" s="165"/>
      <c r="K6479" s="166"/>
      <c r="L6479" s="166"/>
    </row>
    <row r="6480">
      <c r="A6480" s="163" t="s">
        <v>222</v>
      </c>
      <c r="B6480" s="163"/>
      <c r="C6480" s="163"/>
      <c r="J6480" s="165"/>
      <c r="K6480" s="166"/>
      <c r="L6480" s="166"/>
    </row>
    <row r="6481">
      <c r="A6481" s="163" t="s">
        <v>222</v>
      </c>
      <c r="B6481" s="163"/>
      <c r="C6481" s="163"/>
      <c r="J6481" s="165"/>
      <c r="K6481" s="166"/>
      <c r="L6481" s="166"/>
    </row>
    <row r="6482">
      <c r="A6482" s="163" t="s">
        <v>222</v>
      </c>
      <c r="B6482" s="163"/>
      <c r="C6482" s="163"/>
      <c r="J6482" s="165"/>
      <c r="K6482" s="166"/>
      <c r="L6482" s="166"/>
    </row>
    <row r="6483">
      <c r="A6483" s="163" t="s">
        <v>222</v>
      </c>
      <c r="B6483" s="163"/>
      <c r="C6483" s="163"/>
      <c r="J6483" s="165"/>
      <c r="K6483" s="166"/>
      <c r="L6483" s="166"/>
    </row>
    <row r="6484">
      <c r="A6484" s="163" t="s">
        <v>222</v>
      </c>
      <c r="B6484" s="163"/>
      <c r="C6484" s="163"/>
      <c r="J6484" s="165"/>
      <c r="K6484" s="166"/>
      <c r="L6484" s="166"/>
    </row>
    <row r="6485">
      <c r="A6485" s="163" t="s">
        <v>222</v>
      </c>
      <c r="B6485" s="163"/>
      <c r="C6485" s="163"/>
      <c r="J6485" s="165"/>
      <c r="K6485" s="166"/>
      <c r="L6485" s="166"/>
    </row>
    <row r="6486">
      <c r="A6486" s="163" t="s">
        <v>222</v>
      </c>
      <c r="B6486" s="163"/>
      <c r="C6486" s="163"/>
      <c r="J6486" s="165"/>
      <c r="K6486" s="166"/>
      <c r="L6486" s="166"/>
    </row>
    <row r="6487">
      <c r="A6487" s="163" t="s">
        <v>222</v>
      </c>
      <c r="B6487" s="163"/>
      <c r="C6487" s="163"/>
      <c r="J6487" s="165"/>
      <c r="K6487" s="166"/>
      <c r="L6487" s="166"/>
    </row>
    <row r="6488">
      <c r="A6488" s="163" t="s">
        <v>222</v>
      </c>
      <c r="B6488" s="163"/>
      <c r="C6488" s="163"/>
      <c r="J6488" s="165"/>
      <c r="K6488" s="166"/>
      <c r="L6488" s="166"/>
    </row>
    <row r="6489">
      <c r="A6489" s="163" t="s">
        <v>222</v>
      </c>
      <c r="B6489" s="163"/>
      <c r="C6489" s="163"/>
      <c r="J6489" s="165"/>
      <c r="K6489" s="166"/>
      <c r="L6489" s="166"/>
    </row>
    <row r="6490">
      <c r="A6490" s="163" t="s">
        <v>222</v>
      </c>
      <c r="B6490" s="163"/>
      <c r="C6490" s="163"/>
      <c r="J6490" s="165"/>
      <c r="K6490" s="166"/>
      <c r="L6490" s="166"/>
    </row>
    <row r="6491">
      <c r="A6491" s="163" t="s">
        <v>222</v>
      </c>
      <c r="B6491" s="163"/>
      <c r="C6491" s="163"/>
      <c r="J6491" s="165"/>
      <c r="K6491" s="166"/>
      <c r="L6491" s="166"/>
    </row>
    <row r="6492">
      <c r="A6492" s="163" t="s">
        <v>222</v>
      </c>
      <c r="B6492" s="163"/>
      <c r="C6492" s="163"/>
      <c r="J6492" s="165"/>
      <c r="K6492" s="166"/>
      <c r="L6492" s="166"/>
    </row>
    <row r="6493">
      <c r="A6493" s="163" t="s">
        <v>222</v>
      </c>
      <c r="B6493" s="163"/>
      <c r="C6493" s="163"/>
      <c r="J6493" s="165"/>
      <c r="K6493" s="166"/>
      <c r="L6493" s="166"/>
    </row>
    <row r="6494">
      <c r="A6494" s="163" t="s">
        <v>222</v>
      </c>
      <c r="B6494" s="163"/>
      <c r="C6494" s="163"/>
      <c r="J6494" s="165"/>
      <c r="K6494" s="166"/>
      <c r="L6494" s="166"/>
    </row>
    <row r="6495">
      <c r="A6495" s="163" t="s">
        <v>222</v>
      </c>
      <c r="B6495" s="163"/>
      <c r="C6495" s="163"/>
      <c r="J6495" s="165"/>
      <c r="K6495" s="166"/>
      <c r="L6495" s="166"/>
    </row>
    <row r="6496">
      <c r="A6496" s="163" t="s">
        <v>222</v>
      </c>
      <c r="B6496" s="163"/>
      <c r="C6496" s="163"/>
      <c r="J6496" s="165"/>
      <c r="K6496" s="166"/>
      <c r="L6496" s="166"/>
    </row>
    <row r="6497">
      <c r="A6497" s="163" t="s">
        <v>222</v>
      </c>
      <c r="B6497" s="163"/>
      <c r="C6497" s="163"/>
      <c r="J6497" s="165"/>
      <c r="K6497" s="166"/>
      <c r="L6497" s="166"/>
    </row>
    <row r="6498">
      <c r="A6498" s="163" t="s">
        <v>222</v>
      </c>
      <c r="B6498" s="163"/>
      <c r="C6498" s="163"/>
      <c r="J6498" s="165"/>
      <c r="K6498" s="166"/>
      <c r="L6498" s="166"/>
    </row>
    <row r="6499">
      <c r="A6499" s="163" t="s">
        <v>222</v>
      </c>
      <c r="B6499" s="163"/>
      <c r="C6499" s="163"/>
      <c r="J6499" s="165"/>
      <c r="K6499" s="166"/>
      <c r="L6499" s="166"/>
    </row>
    <row r="6500">
      <c r="A6500" s="163" t="s">
        <v>222</v>
      </c>
      <c r="B6500" s="163"/>
      <c r="C6500" s="163"/>
      <c r="J6500" s="165"/>
      <c r="K6500" s="166"/>
      <c r="L6500" s="166"/>
    </row>
    <row r="6501">
      <c r="A6501" s="163" t="s">
        <v>222</v>
      </c>
      <c r="B6501" s="163"/>
      <c r="C6501" s="163"/>
      <c r="J6501" s="165"/>
      <c r="K6501" s="166"/>
      <c r="L6501" s="166"/>
    </row>
    <row r="6502">
      <c r="A6502" s="163" t="s">
        <v>222</v>
      </c>
      <c r="B6502" s="163"/>
      <c r="C6502" s="163"/>
      <c r="J6502" s="165"/>
      <c r="K6502" s="166"/>
      <c r="L6502" s="166"/>
    </row>
    <row r="6503">
      <c r="A6503" s="163" t="s">
        <v>222</v>
      </c>
      <c r="B6503" s="163"/>
      <c r="C6503" s="163"/>
      <c r="J6503" s="165"/>
      <c r="K6503" s="166"/>
      <c r="L6503" s="166"/>
    </row>
    <row r="6504">
      <c r="A6504" s="163" t="s">
        <v>222</v>
      </c>
      <c r="B6504" s="163"/>
      <c r="C6504" s="163"/>
      <c r="J6504" s="165"/>
      <c r="K6504" s="166"/>
      <c r="L6504" s="166"/>
    </row>
    <row r="6505">
      <c r="A6505" s="163" t="s">
        <v>222</v>
      </c>
      <c r="B6505" s="163"/>
      <c r="C6505" s="163"/>
      <c r="J6505" s="165"/>
      <c r="K6505" s="166"/>
      <c r="L6505" s="166"/>
    </row>
    <row r="6506">
      <c r="A6506" s="163" t="s">
        <v>222</v>
      </c>
      <c r="B6506" s="163"/>
      <c r="C6506" s="163"/>
      <c r="J6506" s="165"/>
      <c r="K6506" s="166"/>
      <c r="L6506" s="166"/>
    </row>
    <row r="6507">
      <c r="A6507" s="163" t="s">
        <v>222</v>
      </c>
      <c r="B6507" s="163"/>
      <c r="C6507" s="163"/>
      <c r="J6507" s="165"/>
      <c r="K6507" s="166"/>
      <c r="L6507" s="166"/>
    </row>
    <row r="6508">
      <c r="A6508" s="163" t="s">
        <v>222</v>
      </c>
      <c r="B6508" s="163"/>
      <c r="C6508" s="163"/>
      <c r="J6508" s="165"/>
      <c r="K6508" s="166"/>
      <c r="L6508" s="166"/>
    </row>
    <row r="6509">
      <c r="A6509" s="163" t="s">
        <v>222</v>
      </c>
      <c r="B6509" s="163"/>
      <c r="C6509" s="163"/>
      <c r="J6509" s="165"/>
      <c r="K6509" s="166"/>
      <c r="L6509" s="166"/>
    </row>
    <row r="6510">
      <c r="A6510" s="163" t="s">
        <v>222</v>
      </c>
      <c r="B6510" s="163"/>
      <c r="C6510" s="163"/>
      <c r="J6510" s="165"/>
      <c r="K6510" s="166"/>
      <c r="L6510" s="166"/>
    </row>
    <row r="6511">
      <c r="A6511" s="163" t="s">
        <v>222</v>
      </c>
      <c r="B6511" s="163"/>
      <c r="C6511" s="163"/>
      <c r="J6511" s="165"/>
      <c r="K6511" s="166"/>
      <c r="L6511" s="166"/>
    </row>
    <row r="6512">
      <c r="A6512" s="163" t="s">
        <v>222</v>
      </c>
      <c r="B6512" s="163"/>
      <c r="C6512" s="163"/>
      <c r="J6512" s="165"/>
      <c r="K6512" s="166"/>
      <c r="L6512" s="166"/>
    </row>
    <row r="6513">
      <c r="A6513" s="163" t="s">
        <v>222</v>
      </c>
      <c r="B6513" s="163"/>
      <c r="C6513" s="163"/>
      <c r="J6513" s="165"/>
      <c r="K6513" s="166"/>
      <c r="L6513" s="166"/>
    </row>
    <row r="6514">
      <c r="A6514" s="163" t="s">
        <v>222</v>
      </c>
      <c r="B6514" s="163"/>
      <c r="C6514" s="163"/>
      <c r="J6514" s="165"/>
      <c r="K6514" s="166"/>
      <c r="L6514" s="166"/>
    </row>
    <row r="6515">
      <c r="A6515" s="163" t="s">
        <v>222</v>
      </c>
      <c r="B6515" s="163"/>
      <c r="C6515" s="163"/>
      <c r="J6515" s="165"/>
      <c r="K6515" s="166"/>
      <c r="L6515" s="166"/>
    </row>
    <row r="6516">
      <c r="A6516" s="163" t="s">
        <v>222</v>
      </c>
      <c r="B6516" s="163"/>
      <c r="C6516" s="163"/>
      <c r="J6516" s="165"/>
      <c r="K6516" s="166"/>
      <c r="L6516" s="166"/>
    </row>
    <row r="6517">
      <c r="A6517" s="163" t="s">
        <v>222</v>
      </c>
      <c r="B6517" s="163"/>
      <c r="C6517" s="163"/>
      <c r="J6517" s="165"/>
      <c r="K6517" s="166"/>
      <c r="L6517" s="166"/>
    </row>
    <row r="6518">
      <c r="A6518" s="163" t="s">
        <v>222</v>
      </c>
      <c r="B6518" s="163"/>
      <c r="C6518" s="163"/>
      <c r="J6518" s="165"/>
      <c r="K6518" s="166"/>
      <c r="L6518" s="166"/>
    </row>
    <row r="6519">
      <c r="A6519" s="163" t="s">
        <v>222</v>
      </c>
      <c r="B6519" s="163"/>
      <c r="C6519" s="163"/>
      <c r="J6519" s="165"/>
      <c r="K6519" s="166"/>
      <c r="L6519" s="166"/>
    </row>
    <row r="6520">
      <c r="A6520" s="163" t="s">
        <v>222</v>
      </c>
      <c r="B6520" s="163"/>
      <c r="C6520" s="163"/>
      <c r="J6520" s="165"/>
      <c r="K6520" s="166"/>
      <c r="L6520" s="166"/>
    </row>
    <row r="6521">
      <c r="A6521" s="163" t="s">
        <v>222</v>
      </c>
      <c r="B6521" s="163"/>
      <c r="C6521" s="163"/>
      <c r="J6521" s="165"/>
      <c r="K6521" s="166"/>
      <c r="L6521" s="166"/>
    </row>
    <row r="6522">
      <c r="A6522" s="163" t="s">
        <v>222</v>
      </c>
      <c r="B6522" s="163"/>
      <c r="C6522" s="163"/>
      <c r="J6522" s="165"/>
      <c r="K6522" s="166"/>
      <c r="L6522" s="166"/>
    </row>
    <row r="6523">
      <c r="A6523" s="163" t="s">
        <v>222</v>
      </c>
      <c r="B6523" s="163"/>
      <c r="C6523" s="163"/>
      <c r="J6523" s="165"/>
      <c r="K6523" s="166"/>
      <c r="L6523" s="166"/>
    </row>
    <row r="6524">
      <c r="A6524" s="163" t="s">
        <v>222</v>
      </c>
      <c r="B6524" s="163"/>
      <c r="C6524" s="163"/>
      <c r="J6524" s="165"/>
      <c r="K6524" s="166"/>
      <c r="L6524" s="166"/>
    </row>
    <row r="6525">
      <c r="A6525" s="163" t="s">
        <v>222</v>
      </c>
      <c r="B6525" s="163"/>
      <c r="C6525" s="163"/>
      <c r="J6525" s="165"/>
      <c r="K6525" s="166"/>
      <c r="L6525" s="166"/>
    </row>
    <row r="6526">
      <c r="A6526" s="163" t="s">
        <v>222</v>
      </c>
      <c r="B6526" s="163"/>
      <c r="C6526" s="163"/>
      <c r="J6526" s="165"/>
      <c r="K6526" s="166"/>
      <c r="L6526" s="166"/>
    </row>
    <row r="6527">
      <c r="A6527" s="163" t="s">
        <v>222</v>
      </c>
      <c r="B6527" s="163"/>
      <c r="C6527" s="163"/>
      <c r="J6527" s="165"/>
      <c r="K6527" s="166"/>
      <c r="L6527" s="166"/>
    </row>
    <row r="6528">
      <c r="A6528" s="163" t="s">
        <v>222</v>
      </c>
      <c r="B6528" s="163"/>
      <c r="C6528" s="163"/>
      <c r="J6528" s="165"/>
      <c r="K6528" s="166"/>
      <c r="L6528" s="166"/>
    </row>
    <row r="6529">
      <c r="A6529" s="163" t="s">
        <v>222</v>
      </c>
      <c r="B6529" s="163"/>
      <c r="C6529" s="163"/>
      <c r="J6529" s="165"/>
      <c r="K6529" s="166"/>
      <c r="L6529" s="166"/>
    </row>
    <row r="6530">
      <c r="A6530" s="163" t="s">
        <v>222</v>
      </c>
      <c r="B6530" s="163"/>
      <c r="C6530" s="163"/>
      <c r="J6530" s="165"/>
      <c r="K6530" s="166"/>
      <c r="L6530" s="166"/>
    </row>
    <row r="6531">
      <c r="A6531" s="163" t="s">
        <v>222</v>
      </c>
      <c r="B6531" s="163"/>
      <c r="C6531" s="163"/>
      <c r="J6531" s="165"/>
      <c r="K6531" s="166"/>
      <c r="L6531" s="166"/>
    </row>
    <row r="6532">
      <c r="A6532" s="163" t="s">
        <v>222</v>
      </c>
      <c r="B6532" s="163"/>
      <c r="C6532" s="163"/>
      <c r="J6532" s="165"/>
      <c r="K6532" s="166"/>
      <c r="L6532" s="166"/>
    </row>
    <row r="6533">
      <c r="A6533" s="163" t="s">
        <v>222</v>
      </c>
      <c r="B6533" s="163"/>
      <c r="C6533" s="163"/>
      <c r="J6533" s="165"/>
      <c r="K6533" s="166"/>
      <c r="L6533" s="166"/>
    </row>
    <row r="6534">
      <c r="A6534" s="163" t="s">
        <v>222</v>
      </c>
      <c r="B6534" s="163"/>
      <c r="C6534" s="163"/>
      <c r="J6534" s="165"/>
      <c r="K6534" s="166"/>
      <c r="L6534" s="166"/>
    </row>
    <row r="6535">
      <c r="A6535" s="163" t="s">
        <v>222</v>
      </c>
      <c r="B6535" s="163"/>
      <c r="C6535" s="163"/>
      <c r="J6535" s="165"/>
      <c r="K6535" s="166"/>
      <c r="L6535" s="166"/>
    </row>
    <row r="6536">
      <c r="A6536" s="163" t="s">
        <v>222</v>
      </c>
      <c r="B6536" s="163"/>
      <c r="C6536" s="163"/>
      <c r="J6536" s="165"/>
      <c r="K6536" s="166"/>
      <c r="L6536" s="166"/>
    </row>
    <row r="6537">
      <c r="A6537" s="163" t="s">
        <v>222</v>
      </c>
      <c r="B6537" s="163"/>
      <c r="C6537" s="163"/>
      <c r="J6537" s="165"/>
      <c r="K6537" s="166"/>
      <c r="L6537" s="166"/>
    </row>
    <row r="6538">
      <c r="A6538" s="163" t="s">
        <v>222</v>
      </c>
      <c r="B6538" s="163"/>
      <c r="C6538" s="163"/>
      <c r="J6538" s="165"/>
      <c r="K6538" s="166"/>
      <c r="L6538" s="166"/>
    </row>
    <row r="6539">
      <c r="A6539" s="163" t="s">
        <v>222</v>
      </c>
      <c r="B6539" s="163"/>
      <c r="C6539" s="163"/>
      <c r="J6539" s="165"/>
      <c r="K6539" s="166"/>
      <c r="L6539" s="166"/>
    </row>
    <row r="6540">
      <c r="A6540" s="163" t="s">
        <v>222</v>
      </c>
      <c r="B6540" s="163"/>
      <c r="C6540" s="163"/>
      <c r="J6540" s="165"/>
      <c r="K6540" s="166"/>
      <c r="L6540" s="166"/>
    </row>
    <row r="6541">
      <c r="A6541" s="163" t="s">
        <v>222</v>
      </c>
      <c r="B6541" s="163"/>
      <c r="C6541" s="163"/>
      <c r="J6541" s="165"/>
      <c r="K6541" s="166"/>
      <c r="L6541" s="166"/>
    </row>
    <row r="6542">
      <c r="A6542" s="163" t="s">
        <v>222</v>
      </c>
      <c r="B6542" s="163"/>
      <c r="C6542" s="163"/>
      <c r="J6542" s="165"/>
      <c r="K6542" s="166"/>
      <c r="L6542" s="166"/>
    </row>
    <row r="6543">
      <c r="A6543" s="163" t="s">
        <v>222</v>
      </c>
      <c r="B6543" s="163"/>
      <c r="C6543" s="163"/>
      <c r="J6543" s="165"/>
      <c r="K6543" s="166"/>
      <c r="L6543" s="166"/>
    </row>
    <row r="6544">
      <c r="A6544" s="163" t="s">
        <v>222</v>
      </c>
      <c r="B6544" s="163"/>
      <c r="C6544" s="163"/>
      <c r="J6544" s="165"/>
      <c r="K6544" s="166"/>
      <c r="L6544" s="166"/>
    </row>
    <row r="6545">
      <c r="A6545" s="163" t="s">
        <v>222</v>
      </c>
      <c r="B6545" s="163"/>
      <c r="C6545" s="163"/>
      <c r="J6545" s="165"/>
      <c r="K6545" s="166"/>
      <c r="L6545" s="166"/>
    </row>
    <row r="6546">
      <c r="A6546" s="163" t="s">
        <v>222</v>
      </c>
      <c r="B6546" s="163"/>
      <c r="C6546" s="163"/>
      <c r="J6546" s="165"/>
      <c r="K6546" s="166"/>
      <c r="L6546" s="166"/>
    </row>
    <row r="6547">
      <c r="A6547" s="163" t="s">
        <v>222</v>
      </c>
      <c r="B6547" s="163"/>
      <c r="C6547" s="163"/>
      <c r="J6547" s="165"/>
      <c r="K6547" s="166"/>
      <c r="L6547" s="166"/>
    </row>
    <row r="6548">
      <c r="A6548" s="163" t="s">
        <v>222</v>
      </c>
      <c r="B6548" s="163"/>
      <c r="C6548" s="163"/>
      <c r="J6548" s="165"/>
      <c r="K6548" s="166"/>
      <c r="L6548" s="166"/>
    </row>
    <row r="6549">
      <c r="A6549" s="163" t="s">
        <v>222</v>
      </c>
      <c r="B6549" s="163"/>
      <c r="C6549" s="163"/>
      <c r="J6549" s="165"/>
      <c r="K6549" s="166"/>
      <c r="L6549" s="166"/>
    </row>
    <row r="6550">
      <c r="A6550" s="163" t="s">
        <v>222</v>
      </c>
      <c r="B6550" s="163"/>
      <c r="C6550" s="163"/>
      <c r="J6550" s="165"/>
      <c r="K6550" s="166"/>
      <c r="L6550" s="166"/>
    </row>
    <row r="6551">
      <c r="A6551" s="163" t="s">
        <v>222</v>
      </c>
      <c r="B6551" s="163"/>
      <c r="C6551" s="163"/>
      <c r="J6551" s="165"/>
      <c r="K6551" s="166"/>
      <c r="L6551" s="166"/>
    </row>
    <row r="6552">
      <c r="A6552" s="163" t="s">
        <v>222</v>
      </c>
      <c r="B6552" s="163"/>
      <c r="C6552" s="163"/>
      <c r="J6552" s="165"/>
      <c r="K6552" s="166"/>
      <c r="L6552" s="166"/>
    </row>
    <row r="6553">
      <c r="A6553" s="163" t="s">
        <v>222</v>
      </c>
      <c r="B6553" s="163"/>
      <c r="C6553" s="163"/>
      <c r="J6553" s="165"/>
      <c r="K6553" s="166"/>
      <c r="L6553" s="166"/>
    </row>
    <row r="6554">
      <c r="A6554" s="163" t="s">
        <v>222</v>
      </c>
      <c r="B6554" s="163"/>
      <c r="C6554" s="163"/>
      <c r="J6554" s="165"/>
      <c r="K6554" s="166"/>
      <c r="L6554" s="166"/>
    </row>
    <row r="6555">
      <c r="A6555" s="163" t="s">
        <v>222</v>
      </c>
      <c r="B6555" s="163"/>
      <c r="C6555" s="163"/>
      <c r="J6555" s="165"/>
      <c r="K6555" s="166"/>
      <c r="L6555" s="166"/>
    </row>
    <row r="6556">
      <c r="A6556" s="163" t="s">
        <v>222</v>
      </c>
      <c r="B6556" s="163"/>
      <c r="C6556" s="163"/>
      <c r="J6556" s="165"/>
      <c r="K6556" s="166"/>
      <c r="L6556" s="166"/>
    </row>
    <row r="6557">
      <c r="A6557" s="163" t="s">
        <v>222</v>
      </c>
      <c r="B6557" s="163"/>
      <c r="C6557" s="163"/>
      <c r="J6557" s="165"/>
      <c r="K6557" s="166"/>
      <c r="L6557" s="166"/>
    </row>
    <row r="6558">
      <c r="A6558" s="163" t="s">
        <v>222</v>
      </c>
      <c r="B6558" s="163"/>
      <c r="C6558" s="163"/>
      <c r="J6558" s="165"/>
      <c r="K6558" s="166"/>
      <c r="L6558" s="166"/>
    </row>
    <row r="6559">
      <c r="A6559" s="163" t="s">
        <v>222</v>
      </c>
      <c r="B6559" s="163"/>
      <c r="C6559" s="163"/>
      <c r="J6559" s="165"/>
      <c r="K6559" s="166"/>
      <c r="L6559" s="166"/>
    </row>
    <row r="6560">
      <c r="A6560" s="163" t="s">
        <v>222</v>
      </c>
      <c r="B6560" s="163"/>
      <c r="C6560" s="163"/>
      <c r="J6560" s="165"/>
      <c r="K6560" s="166"/>
      <c r="L6560" s="166"/>
    </row>
    <row r="6561">
      <c r="A6561" s="163" t="s">
        <v>222</v>
      </c>
      <c r="B6561" s="163"/>
      <c r="C6561" s="163"/>
      <c r="J6561" s="165"/>
      <c r="K6561" s="166"/>
      <c r="L6561" s="166"/>
    </row>
    <row r="6562">
      <c r="A6562" s="163" t="s">
        <v>222</v>
      </c>
      <c r="B6562" s="163"/>
      <c r="C6562" s="163"/>
      <c r="J6562" s="165"/>
      <c r="K6562" s="166"/>
      <c r="L6562" s="166"/>
    </row>
    <row r="6563">
      <c r="A6563" s="163" t="s">
        <v>222</v>
      </c>
      <c r="B6563" s="163"/>
      <c r="C6563" s="163"/>
      <c r="J6563" s="165"/>
      <c r="K6563" s="166"/>
      <c r="L6563" s="166"/>
    </row>
    <row r="6564">
      <c r="A6564" s="163" t="s">
        <v>222</v>
      </c>
      <c r="B6564" s="163"/>
      <c r="C6564" s="163"/>
      <c r="J6564" s="165"/>
      <c r="K6564" s="166"/>
      <c r="L6564" s="166"/>
    </row>
    <row r="6565">
      <c r="A6565" s="163" t="s">
        <v>222</v>
      </c>
      <c r="B6565" s="163"/>
      <c r="C6565" s="163"/>
      <c r="J6565" s="165"/>
      <c r="K6565" s="166"/>
      <c r="L6565" s="166"/>
    </row>
    <row r="6566">
      <c r="A6566" s="163" t="s">
        <v>222</v>
      </c>
      <c r="B6566" s="163"/>
      <c r="C6566" s="163"/>
      <c r="J6566" s="165"/>
      <c r="K6566" s="166"/>
      <c r="L6566" s="166"/>
    </row>
    <row r="6567">
      <c r="A6567" s="163" t="s">
        <v>222</v>
      </c>
      <c r="B6567" s="163"/>
      <c r="C6567" s="163"/>
      <c r="J6567" s="165"/>
      <c r="K6567" s="166"/>
      <c r="L6567" s="166"/>
    </row>
    <row r="6568">
      <c r="A6568" s="163" t="s">
        <v>222</v>
      </c>
      <c r="B6568" s="163"/>
      <c r="C6568" s="163"/>
      <c r="J6568" s="165"/>
      <c r="K6568" s="166"/>
      <c r="L6568" s="166"/>
    </row>
    <row r="6569">
      <c r="A6569" s="163" t="s">
        <v>222</v>
      </c>
      <c r="B6569" s="163"/>
      <c r="C6569" s="163"/>
      <c r="J6569" s="165"/>
      <c r="K6569" s="166"/>
      <c r="L6569" s="166"/>
    </row>
    <row r="6570">
      <c r="A6570" s="163" t="s">
        <v>222</v>
      </c>
      <c r="B6570" s="163"/>
      <c r="C6570" s="163"/>
      <c r="J6570" s="165"/>
      <c r="K6570" s="166"/>
      <c r="L6570" s="166"/>
    </row>
    <row r="6571">
      <c r="A6571" s="163" t="s">
        <v>222</v>
      </c>
      <c r="B6571" s="163"/>
      <c r="C6571" s="163"/>
      <c r="J6571" s="165"/>
      <c r="K6571" s="166"/>
      <c r="L6571" s="166"/>
    </row>
    <row r="6572">
      <c r="A6572" s="163" t="s">
        <v>222</v>
      </c>
      <c r="B6572" s="163"/>
      <c r="C6572" s="163"/>
      <c r="J6572" s="165"/>
      <c r="K6572" s="166"/>
      <c r="L6572" s="166"/>
    </row>
    <row r="6573">
      <c r="A6573" s="163" t="s">
        <v>222</v>
      </c>
      <c r="B6573" s="163"/>
      <c r="C6573" s="163"/>
      <c r="J6573" s="165"/>
      <c r="K6573" s="166"/>
      <c r="L6573" s="166"/>
    </row>
    <row r="6574">
      <c r="A6574" s="163" t="s">
        <v>222</v>
      </c>
      <c r="B6574" s="163"/>
      <c r="C6574" s="163"/>
      <c r="J6574" s="165"/>
      <c r="K6574" s="166"/>
      <c r="L6574" s="166"/>
    </row>
    <row r="6575">
      <c r="A6575" s="163" t="s">
        <v>222</v>
      </c>
      <c r="B6575" s="163"/>
      <c r="C6575" s="163"/>
      <c r="J6575" s="165"/>
      <c r="K6575" s="166"/>
      <c r="L6575" s="166"/>
    </row>
    <row r="6576">
      <c r="A6576" s="163" t="s">
        <v>222</v>
      </c>
      <c r="B6576" s="163"/>
      <c r="C6576" s="163"/>
      <c r="J6576" s="165"/>
      <c r="K6576" s="166"/>
      <c r="L6576" s="166"/>
    </row>
    <row r="6577">
      <c r="A6577" s="163" t="s">
        <v>222</v>
      </c>
      <c r="B6577" s="163"/>
      <c r="C6577" s="163"/>
      <c r="J6577" s="165"/>
      <c r="K6577" s="166"/>
      <c r="L6577" s="166"/>
    </row>
    <row r="6578">
      <c r="A6578" s="163" t="s">
        <v>222</v>
      </c>
      <c r="B6578" s="163"/>
      <c r="C6578" s="163"/>
      <c r="J6578" s="165"/>
      <c r="K6578" s="166"/>
      <c r="L6578" s="166"/>
    </row>
    <row r="6579">
      <c r="A6579" s="163" t="s">
        <v>222</v>
      </c>
      <c r="B6579" s="163"/>
      <c r="C6579" s="163"/>
      <c r="J6579" s="165"/>
      <c r="K6579" s="166"/>
      <c r="L6579" s="166"/>
    </row>
    <row r="6580">
      <c r="A6580" s="163" t="s">
        <v>222</v>
      </c>
      <c r="B6580" s="163"/>
      <c r="C6580" s="163"/>
      <c r="J6580" s="165"/>
      <c r="K6580" s="166"/>
      <c r="L6580" s="166"/>
    </row>
    <row r="6581">
      <c r="A6581" s="163" t="s">
        <v>222</v>
      </c>
      <c r="B6581" s="163"/>
      <c r="C6581" s="163"/>
      <c r="J6581" s="165"/>
      <c r="K6581" s="166"/>
      <c r="L6581" s="166"/>
    </row>
    <row r="6582">
      <c r="A6582" s="163" t="s">
        <v>222</v>
      </c>
      <c r="B6582" s="163"/>
      <c r="C6582" s="163"/>
      <c r="J6582" s="165"/>
      <c r="K6582" s="166"/>
      <c r="L6582" s="166"/>
    </row>
    <row r="6583">
      <c r="A6583" s="163" t="s">
        <v>222</v>
      </c>
      <c r="B6583" s="163"/>
      <c r="C6583" s="163"/>
      <c r="J6583" s="165"/>
      <c r="K6583" s="166"/>
      <c r="L6583" s="166"/>
    </row>
    <row r="6584">
      <c r="A6584" s="163" t="s">
        <v>222</v>
      </c>
      <c r="B6584" s="163"/>
      <c r="C6584" s="163"/>
      <c r="J6584" s="165"/>
      <c r="K6584" s="166"/>
      <c r="L6584" s="166"/>
    </row>
    <row r="6585">
      <c r="A6585" s="163" t="s">
        <v>222</v>
      </c>
      <c r="B6585" s="163"/>
      <c r="C6585" s="163"/>
      <c r="J6585" s="165"/>
      <c r="K6585" s="166"/>
      <c r="L6585" s="166"/>
    </row>
    <row r="6586">
      <c r="A6586" s="163" t="s">
        <v>222</v>
      </c>
      <c r="B6586" s="163"/>
      <c r="C6586" s="163"/>
      <c r="J6586" s="165"/>
      <c r="K6586" s="166"/>
      <c r="L6586" s="166"/>
    </row>
    <row r="6587">
      <c r="A6587" s="163" t="s">
        <v>222</v>
      </c>
      <c r="B6587" s="163"/>
      <c r="C6587" s="163"/>
      <c r="J6587" s="165"/>
      <c r="K6587" s="166"/>
      <c r="L6587" s="166"/>
    </row>
    <row r="6588">
      <c r="A6588" s="163" t="s">
        <v>222</v>
      </c>
      <c r="B6588" s="163"/>
      <c r="C6588" s="163"/>
      <c r="J6588" s="165"/>
      <c r="K6588" s="166"/>
      <c r="L6588" s="166"/>
    </row>
    <row r="6589">
      <c r="A6589" s="163" t="s">
        <v>222</v>
      </c>
      <c r="B6589" s="163"/>
      <c r="C6589" s="163"/>
      <c r="J6589" s="165"/>
      <c r="K6589" s="166"/>
      <c r="L6589" s="166"/>
    </row>
    <row r="6590">
      <c r="A6590" s="163" t="s">
        <v>222</v>
      </c>
      <c r="B6590" s="163"/>
      <c r="C6590" s="163"/>
      <c r="J6590" s="165"/>
      <c r="K6590" s="166"/>
      <c r="L6590" s="166"/>
    </row>
    <row r="6591">
      <c r="A6591" s="163" t="s">
        <v>222</v>
      </c>
      <c r="B6591" s="163"/>
      <c r="C6591" s="163"/>
      <c r="J6591" s="165"/>
      <c r="K6591" s="166"/>
      <c r="L6591" s="166"/>
    </row>
    <row r="6592">
      <c r="A6592" s="163" t="s">
        <v>222</v>
      </c>
      <c r="B6592" s="163"/>
      <c r="C6592" s="163"/>
      <c r="J6592" s="165"/>
      <c r="K6592" s="166"/>
      <c r="L6592" s="166"/>
    </row>
    <row r="6593">
      <c r="A6593" s="163" t="s">
        <v>222</v>
      </c>
      <c r="B6593" s="163"/>
      <c r="C6593" s="163"/>
      <c r="J6593" s="165"/>
      <c r="K6593" s="166"/>
      <c r="L6593" s="166"/>
    </row>
    <row r="6594">
      <c r="A6594" s="163" t="s">
        <v>222</v>
      </c>
      <c r="B6594" s="163"/>
      <c r="C6594" s="163"/>
      <c r="J6594" s="165"/>
      <c r="K6594" s="166"/>
      <c r="L6594" s="166"/>
    </row>
    <row r="6595">
      <c r="A6595" s="163" t="s">
        <v>222</v>
      </c>
      <c r="B6595" s="163"/>
      <c r="C6595" s="163"/>
      <c r="J6595" s="165"/>
      <c r="K6595" s="166"/>
      <c r="L6595" s="166"/>
    </row>
    <row r="6596">
      <c r="A6596" s="163" t="s">
        <v>222</v>
      </c>
      <c r="B6596" s="163"/>
      <c r="C6596" s="163"/>
      <c r="J6596" s="165"/>
      <c r="K6596" s="166"/>
      <c r="L6596" s="166"/>
    </row>
    <row r="6597">
      <c r="A6597" s="163" t="s">
        <v>222</v>
      </c>
      <c r="B6597" s="163"/>
      <c r="C6597" s="163"/>
      <c r="J6597" s="165"/>
      <c r="K6597" s="166"/>
      <c r="L6597" s="166"/>
    </row>
    <row r="6598">
      <c r="A6598" s="163" t="s">
        <v>222</v>
      </c>
      <c r="B6598" s="163"/>
      <c r="C6598" s="163"/>
      <c r="J6598" s="165"/>
      <c r="K6598" s="166"/>
      <c r="L6598" s="166"/>
    </row>
    <row r="6599">
      <c r="A6599" s="163" t="s">
        <v>222</v>
      </c>
      <c r="B6599" s="163"/>
      <c r="C6599" s="163"/>
      <c r="J6599" s="165"/>
      <c r="K6599" s="166"/>
      <c r="L6599" s="166"/>
    </row>
    <row r="6600">
      <c r="A6600" s="163" t="s">
        <v>222</v>
      </c>
      <c r="B6600" s="163"/>
      <c r="C6600" s="163"/>
      <c r="J6600" s="165"/>
      <c r="K6600" s="166"/>
      <c r="L6600" s="166"/>
    </row>
    <row r="6601">
      <c r="A6601" s="163" t="s">
        <v>222</v>
      </c>
      <c r="B6601" s="163"/>
      <c r="C6601" s="163"/>
      <c r="J6601" s="165"/>
      <c r="K6601" s="166"/>
      <c r="L6601" s="166"/>
    </row>
    <row r="6602">
      <c r="A6602" s="163" t="s">
        <v>222</v>
      </c>
      <c r="B6602" s="163"/>
      <c r="C6602" s="163"/>
      <c r="J6602" s="165"/>
      <c r="K6602" s="166"/>
      <c r="L6602" s="166"/>
    </row>
    <row r="6603">
      <c r="A6603" s="163" t="s">
        <v>222</v>
      </c>
      <c r="B6603" s="163"/>
      <c r="C6603" s="163"/>
      <c r="J6603" s="165"/>
      <c r="K6603" s="166"/>
      <c r="L6603" s="166"/>
    </row>
    <row r="6604">
      <c r="A6604" s="163" t="s">
        <v>222</v>
      </c>
      <c r="B6604" s="163"/>
      <c r="C6604" s="163"/>
      <c r="J6604" s="165"/>
      <c r="K6604" s="166"/>
      <c r="L6604" s="166"/>
    </row>
    <row r="6605">
      <c r="A6605" s="163" t="s">
        <v>222</v>
      </c>
      <c r="B6605" s="163"/>
      <c r="C6605" s="163"/>
      <c r="J6605" s="165"/>
      <c r="K6605" s="166"/>
      <c r="L6605" s="166"/>
    </row>
    <row r="6606">
      <c r="A6606" s="163" t="s">
        <v>222</v>
      </c>
      <c r="B6606" s="163"/>
      <c r="C6606" s="163"/>
      <c r="J6606" s="165"/>
      <c r="K6606" s="166"/>
      <c r="L6606" s="166"/>
    </row>
    <row r="6607">
      <c r="A6607" s="163" t="s">
        <v>222</v>
      </c>
      <c r="B6607" s="163"/>
      <c r="C6607" s="163"/>
      <c r="J6607" s="165"/>
      <c r="K6607" s="166"/>
      <c r="L6607" s="166"/>
    </row>
    <row r="6608">
      <c r="A6608" s="163" t="s">
        <v>222</v>
      </c>
      <c r="B6608" s="163"/>
      <c r="C6608" s="163"/>
      <c r="J6608" s="165"/>
      <c r="K6608" s="166"/>
      <c r="L6608" s="166"/>
    </row>
    <row r="6609">
      <c r="A6609" s="163" t="s">
        <v>222</v>
      </c>
      <c r="B6609" s="163"/>
      <c r="C6609" s="163"/>
      <c r="J6609" s="165"/>
      <c r="K6609" s="166"/>
      <c r="L6609" s="166"/>
    </row>
    <row r="6610">
      <c r="A6610" s="163" t="s">
        <v>222</v>
      </c>
      <c r="B6610" s="163"/>
      <c r="C6610" s="163"/>
      <c r="J6610" s="165"/>
      <c r="K6610" s="166"/>
      <c r="L6610" s="166"/>
    </row>
    <row r="6611">
      <c r="A6611" s="163" t="s">
        <v>222</v>
      </c>
      <c r="B6611" s="163"/>
      <c r="C6611" s="163"/>
      <c r="J6611" s="165"/>
      <c r="K6611" s="166"/>
      <c r="L6611" s="166"/>
    </row>
    <row r="6612">
      <c r="A6612" s="163" t="s">
        <v>222</v>
      </c>
      <c r="B6612" s="163"/>
      <c r="C6612" s="163"/>
      <c r="J6612" s="165"/>
      <c r="K6612" s="166"/>
      <c r="L6612" s="166"/>
    </row>
    <row r="6613">
      <c r="A6613" s="163" t="s">
        <v>222</v>
      </c>
      <c r="B6613" s="163"/>
      <c r="C6613" s="163"/>
      <c r="J6613" s="165"/>
      <c r="K6613" s="166"/>
      <c r="L6613" s="166"/>
    </row>
    <row r="6614">
      <c r="A6614" s="163" t="s">
        <v>222</v>
      </c>
      <c r="B6614" s="163"/>
      <c r="C6614" s="163"/>
      <c r="J6614" s="165"/>
      <c r="K6614" s="166"/>
      <c r="L6614" s="166"/>
    </row>
    <row r="6615">
      <c r="A6615" s="163" t="s">
        <v>222</v>
      </c>
      <c r="B6615" s="163"/>
      <c r="C6615" s="163"/>
      <c r="J6615" s="165"/>
      <c r="K6615" s="166"/>
      <c r="L6615" s="166"/>
    </row>
    <row r="6616">
      <c r="A6616" s="163" t="s">
        <v>222</v>
      </c>
      <c r="B6616" s="163"/>
      <c r="C6616" s="163"/>
      <c r="J6616" s="165"/>
      <c r="K6616" s="166"/>
      <c r="L6616" s="166"/>
    </row>
    <row r="6617">
      <c r="A6617" s="163" t="s">
        <v>222</v>
      </c>
      <c r="B6617" s="163"/>
      <c r="C6617" s="163"/>
      <c r="J6617" s="165"/>
      <c r="K6617" s="166"/>
      <c r="L6617" s="166"/>
    </row>
    <row r="6618">
      <c r="A6618" s="163" t="s">
        <v>222</v>
      </c>
      <c r="B6618" s="163"/>
      <c r="C6618" s="163"/>
      <c r="J6618" s="165"/>
      <c r="K6618" s="166"/>
      <c r="L6618" s="166"/>
    </row>
    <row r="6619">
      <c r="A6619" s="163" t="s">
        <v>222</v>
      </c>
      <c r="B6619" s="163"/>
      <c r="C6619" s="163"/>
      <c r="J6619" s="165"/>
      <c r="K6619" s="166"/>
      <c r="L6619" s="166"/>
    </row>
    <row r="6620">
      <c r="A6620" s="163" t="s">
        <v>222</v>
      </c>
      <c r="B6620" s="163"/>
      <c r="C6620" s="163"/>
      <c r="J6620" s="165"/>
      <c r="K6620" s="166"/>
      <c r="L6620" s="166"/>
    </row>
    <row r="6621">
      <c r="A6621" s="163" t="s">
        <v>222</v>
      </c>
      <c r="B6621" s="163"/>
      <c r="C6621" s="163"/>
      <c r="J6621" s="165"/>
      <c r="K6621" s="166"/>
      <c r="L6621" s="166"/>
    </row>
    <row r="6622">
      <c r="A6622" s="163" t="s">
        <v>222</v>
      </c>
      <c r="B6622" s="163"/>
      <c r="C6622" s="163"/>
      <c r="J6622" s="165"/>
      <c r="K6622" s="166"/>
      <c r="L6622" s="166"/>
    </row>
    <row r="6623">
      <c r="A6623" s="163" t="s">
        <v>222</v>
      </c>
      <c r="B6623" s="163"/>
      <c r="C6623" s="163"/>
      <c r="J6623" s="165"/>
      <c r="K6623" s="166"/>
      <c r="L6623" s="166"/>
    </row>
    <row r="6624">
      <c r="A6624" s="163" t="s">
        <v>222</v>
      </c>
      <c r="B6624" s="163"/>
      <c r="C6624" s="163"/>
      <c r="J6624" s="165"/>
      <c r="K6624" s="166"/>
      <c r="L6624" s="166"/>
    </row>
    <row r="6625">
      <c r="A6625" s="163" t="s">
        <v>222</v>
      </c>
      <c r="B6625" s="163"/>
      <c r="C6625" s="163"/>
      <c r="J6625" s="165"/>
      <c r="K6625" s="166"/>
      <c r="L6625" s="166"/>
    </row>
    <row r="6626">
      <c r="A6626" s="163" t="s">
        <v>222</v>
      </c>
      <c r="B6626" s="163"/>
      <c r="C6626" s="163"/>
      <c r="J6626" s="165"/>
      <c r="K6626" s="166"/>
      <c r="L6626" s="166"/>
    </row>
    <row r="6627">
      <c r="A6627" s="163" t="s">
        <v>222</v>
      </c>
      <c r="B6627" s="163"/>
      <c r="C6627" s="163"/>
      <c r="J6627" s="165"/>
      <c r="K6627" s="166"/>
      <c r="L6627" s="166"/>
    </row>
    <row r="6628">
      <c r="A6628" s="163" t="s">
        <v>222</v>
      </c>
      <c r="B6628" s="163"/>
      <c r="C6628" s="163"/>
      <c r="J6628" s="165"/>
      <c r="K6628" s="166"/>
      <c r="L6628" s="166"/>
    </row>
    <row r="6629">
      <c r="A6629" s="163" t="s">
        <v>222</v>
      </c>
      <c r="B6629" s="163"/>
      <c r="C6629" s="163"/>
      <c r="J6629" s="165"/>
      <c r="K6629" s="166"/>
      <c r="L6629" s="166"/>
    </row>
    <row r="6630">
      <c r="A6630" s="163" t="s">
        <v>222</v>
      </c>
      <c r="B6630" s="163"/>
      <c r="C6630" s="163"/>
      <c r="J6630" s="165"/>
      <c r="K6630" s="166"/>
      <c r="L6630" s="166"/>
    </row>
    <row r="6631">
      <c r="A6631" s="163" t="s">
        <v>222</v>
      </c>
      <c r="B6631" s="163"/>
      <c r="C6631" s="163"/>
      <c r="J6631" s="165"/>
      <c r="K6631" s="166"/>
      <c r="L6631" s="166"/>
    </row>
    <row r="6632">
      <c r="A6632" s="163" t="s">
        <v>222</v>
      </c>
      <c r="B6632" s="163"/>
      <c r="C6632" s="163"/>
      <c r="J6632" s="165"/>
      <c r="K6632" s="166"/>
      <c r="L6632" s="166"/>
    </row>
    <row r="6633">
      <c r="A6633" s="163" t="s">
        <v>222</v>
      </c>
      <c r="B6633" s="163"/>
      <c r="C6633" s="163"/>
      <c r="J6633" s="165"/>
      <c r="K6633" s="166"/>
      <c r="L6633" s="166"/>
    </row>
    <row r="6634">
      <c r="A6634" s="163" t="s">
        <v>222</v>
      </c>
      <c r="B6634" s="163"/>
      <c r="C6634" s="163"/>
      <c r="J6634" s="165"/>
      <c r="K6634" s="166"/>
      <c r="L6634" s="166"/>
    </row>
    <row r="6635">
      <c r="A6635" s="163" t="s">
        <v>222</v>
      </c>
      <c r="B6635" s="163"/>
      <c r="C6635" s="163"/>
      <c r="J6635" s="165"/>
      <c r="K6635" s="166"/>
      <c r="L6635" s="166"/>
    </row>
    <row r="6636">
      <c r="A6636" s="163" t="s">
        <v>222</v>
      </c>
      <c r="B6636" s="163"/>
      <c r="C6636" s="163"/>
      <c r="J6636" s="165"/>
      <c r="K6636" s="166"/>
      <c r="L6636" s="166"/>
    </row>
    <row r="6637">
      <c r="A6637" s="163" t="s">
        <v>222</v>
      </c>
      <c r="B6637" s="163"/>
      <c r="C6637" s="163"/>
      <c r="J6637" s="165"/>
      <c r="K6637" s="166"/>
      <c r="L6637" s="166"/>
    </row>
    <row r="6638">
      <c r="A6638" s="163" t="s">
        <v>222</v>
      </c>
      <c r="B6638" s="163"/>
      <c r="C6638" s="163"/>
      <c r="J6638" s="165"/>
      <c r="K6638" s="166"/>
      <c r="L6638" s="166"/>
    </row>
    <row r="6639">
      <c r="A6639" s="163" t="s">
        <v>222</v>
      </c>
      <c r="B6639" s="163"/>
      <c r="C6639" s="163"/>
      <c r="J6639" s="165"/>
      <c r="K6639" s="166"/>
      <c r="L6639" s="166"/>
    </row>
    <row r="6640">
      <c r="A6640" s="163" t="s">
        <v>222</v>
      </c>
      <c r="B6640" s="163"/>
      <c r="C6640" s="163"/>
      <c r="J6640" s="165"/>
      <c r="K6640" s="166"/>
      <c r="L6640" s="166"/>
    </row>
    <row r="6641">
      <c r="A6641" s="163" t="s">
        <v>222</v>
      </c>
      <c r="B6641" s="163"/>
      <c r="C6641" s="163"/>
      <c r="J6641" s="165"/>
      <c r="K6641" s="166"/>
      <c r="L6641" s="166"/>
    </row>
    <row r="6642">
      <c r="A6642" s="163" t="s">
        <v>222</v>
      </c>
      <c r="B6642" s="163"/>
      <c r="C6642" s="163"/>
      <c r="J6642" s="165"/>
      <c r="K6642" s="166"/>
      <c r="L6642" s="166"/>
    </row>
    <row r="6643">
      <c r="A6643" s="163" t="s">
        <v>222</v>
      </c>
      <c r="B6643" s="163"/>
      <c r="C6643" s="163"/>
      <c r="J6643" s="165"/>
      <c r="K6643" s="166"/>
      <c r="L6643" s="166"/>
    </row>
    <row r="6644">
      <c r="A6644" s="163" t="s">
        <v>222</v>
      </c>
      <c r="B6644" s="163"/>
      <c r="C6644" s="163"/>
      <c r="J6644" s="165"/>
      <c r="K6644" s="166"/>
      <c r="L6644" s="166"/>
    </row>
    <row r="6645">
      <c r="A6645" s="163" t="s">
        <v>222</v>
      </c>
      <c r="B6645" s="163"/>
      <c r="C6645" s="163"/>
      <c r="J6645" s="165"/>
      <c r="K6645" s="166"/>
      <c r="L6645" s="166"/>
    </row>
    <row r="6646">
      <c r="A6646" s="163" t="s">
        <v>222</v>
      </c>
      <c r="B6646" s="163"/>
      <c r="C6646" s="163"/>
      <c r="J6646" s="165"/>
      <c r="K6646" s="166"/>
      <c r="L6646" s="166"/>
    </row>
    <row r="6647">
      <c r="A6647" s="163" t="s">
        <v>222</v>
      </c>
      <c r="B6647" s="163"/>
      <c r="C6647" s="163"/>
      <c r="J6647" s="165"/>
      <c r="K6647" s="166"/>
      <c r="L6647" s="166"/>
    </row>
    <row r="6648">
      <c r="A6648" s="163" t="s">
        <v>222</v>
      </c>
      <c r="B6648" s="163"/>
      <c r="C6648" s="163"/>
      <c r="J6648" s="165"/>
      <c r="K6648" s="166"/>
      <c r="L6648" s="166"/>
    </row>
    <row r="6649">
      <c r="A6649" s="163" t="s">
        <v>222</v>
      </c>
      <c r="B6649" s="163"/>
      <c r="C6649" s="163"/>
      <c r="J6649" s="165"/>
      <c r="K6649" s="166"/>
      <c r="L6649" s="166"/>
    </row>
    <row r="6650">
      <c r="A6650" s="163" t="s">
        <v>222</v>
      </c>
      <c r="B6650" s="163"/>
      <c r="C6650" s="163"/>
      <c r="J6650" s="165"/>
      <c r="K6650" s="166"/>
      <c r="L6650" s="166"/>
    </row>
    <row r="6651">
      <c r="A6651" s="163" t="s">
        <v>222</v>
      </c>
      <c r="B6651" s="163"/>
      <c r="C6651" s="163"/>
      <c r="J6651" s="165"/>
      <c r="K6651" s="166"/>
      <c r="L6651" s="166"/>
    </row>
    <row r="6652">
      <c r="A6652" s="163" t="s">
        <v>222</v>
      </c>
      <c r="B6652" s="163"/>
      <c r="C6652" s="163"/>
      <c r="J6652" s="165"/>
      <c r="K6652" s="166"/>
      <c r="L6652" s="166"/>
    </row>
    <row r="6653">
      <c r="A6653" s="163" t="s">
        <v>222</v>
      </c>
      <c r="B6653" s="163"/>
      <c r="C6653" s="163"/>
      <c r="J6653" s="165"/>
      <c r="K6653" s="166"/>
      <c r="L6653" s="166"/>
    </row>
    <row r="6654">
      <c r="A6654" s="163" t="s">
        <v>222</v>
      </c>
      <c r="B6654" s="163"/>
      <c r="C6654" s="163"/>
      <c r="J6654" s="165"/>
      <c r="K6654" s="166"/>
      <c r="L6654" s="166"/>
    </row>
    <row r="6655">
      <c r="A6655" s="163" t="s">
        <v>222</v>
      </c>
      <c r="B6655" s="163"/>
      <c r="C6655" s="163"/>
      <c r="J6655" s="165"/>
      <c r="K6655" s="166"/>
      <c r="L6655" s="166"/>
    </row>
    <row r="6656">
      <c r="A6656" s="163" t="s">
        <v>222</v>
      </c>
      <c r="B6656" s="163"/>
      <c r="C6656" s="163"/>
      <c r="J6656" s="165"/>
      <c r="K6656" s="166"/>
      <c r="L6656" s="166"/>
    </row>
    <row r="6657">
      <c r="A6657" s="163" t="s">
        <v>222</v>
      </c>
      <c r="B6657" s="163"/>
      <c r="C6657" s="163"/>
      <c r="J6657" s="165"/>
      <c r="K6657" s="166"/>
      <c r="L6657" s="166"/>
    </row>
    <row r="6658">
      <c r="A6658" s="163" t="s">
        <v>222</v>
      </c>
      <c r="B6658" s="163"/>
      <c r="C6658" s="163"/>
      <c r="J6658" s="165"/>
      <c r="K6658" s="166"/>
      <c r="L6658" s="166"/>
    </row>
    <row r="6659">
      <c r="A6659" s="163" t="s">
        <v>222</v>
      </c>
      <c r="B6659" s="163"/>
      <c r="C6659" s="163"/>
      <c r="J6659" s="165"/>
      <c r="K6659" s="166"/>
      <c r="L6659" s="166"/>
    </row>
    <row r="6660">
      <c r="A6660" s="163" t="s">
        <v>222</v>
      </c>
      <c r="B6660" s="163"/>
      <c r="C6660" s="163"/>
      <c r="J6660" s="165"/>
      <c r="K6660" s="166"/>
      <c r="L6660" s="166"/>
    </row>
    <row r="6661">
      <c r="A6661" s="163" t="s">
        <v>222</v>
      </c>
      <c r="B6661" s="163"/>
      <c r="C6661" s="163"/>
      <c r="J6661" s="165"/>
      <c r="K6661" s="166"/>
      <c r="L6661" s="166"/>
    </row>
    <row r="6662">
      <c r="A6662" s="163" t="s">
        <v>222</v>
      </c>
      <c r="B6662" s="163"/>
      <c r="C6662" s="163"/>
      <c r="J6662" s="165"/>
      <c r="K6662" s="166"/>
      <c r="L6662" s="166"/>
    </row>
    <row r="6663">
      <c r="A6663" s="163" t="s">
        <v>222</v>
      </c>
      <c r="B6663" s="163"/>
      <c r="C6663" s="163"/>
      <c r="J6663" s="165"/>
      <c r="K6663" s="166"/>
      <c r="L6663" s="166"/>
    </row>
    <row r="6664">
      <c r="A6664" s="163" t="s">
        <v>222</v>
      </c>
      <c r="B6664" s="163"/>
      <c r="C6664" s="163"/>
      <c r="J6664" s="165"/>
      <c r="K6664" s="166"/>
      <c r="L6664" s="166"/>
    </row>
    <row r="6665">
      <c r="A6665" s="163" t="s">
        <v>222</v>
      </c>
      <c r="B6665" s="163"/>
      <c r="C6665" s="163"/>
      <c r="J6665" s="165"/>
      <c r="K6665" s="166"/>
      <c r="L6665" s="166"/>
    </row>
    <row r="6666">
      <c r="A6666" s="163" t="s">
        <v>222</v>
      </c>
      <c r="B6666" s="163"/>
      <c r="C6666" s="163"/>
      <c r="J6666" s="165"/>
      <c r="K6666" s="166"/>
      <c r="L6666" s="166"/>
    </row>
    <row r="6667">
      <c r="A6667" s="163" t="s">
        <v>222</v>
      </c>
      <c r="B6667" s="163"/>
      <c r="C6667" s="163"/>
      <c r="J6667" s="165"/>
      <c r="K6667" s="166"/>
      <c r="L6667" s="166"/>
    </row>
    <row r="6668">
      <c r="A6668" s="163" t="s">
        <v>222</v>
      </c>
      <c r="B6668" s="163"/>
      <c r="C6668" s="163"/>
      <c r="J6668" s="165"/>
      <c r="K6668" s="166"/>
      <c r="L6668" s="166"/>
    </row>
    <row r="6669">
      <c r="A6669" s="163" t="s">
        <v>222</v>
      </c>
      <c r="B6669" s="163"/>
      <c r="C6669" s="163"/>
      <c r="J6669" s="165"/>
      <c r="K6669" s="166"/>
      <c r="L6669" s="166"/>
    </row>
    <row r="6670">
      <c r="A6670" s="163" t="s">
        <v>222</v>
      </c>
      <c r="B6670" s="163"/>
      <c r="C6670" s="163"/>
      <c r="J6670" s="165"/>
      <c r="K6670" s="166"/>
      <c r="L6670" s="166"/>
    </row>
    <row r="6671">
      <c r="A6671" s="163" t="s">
        <v>222</v>
      </c>
      <c r="B6671" s="163"/>
      <c r="C6671" s="163"/>
      <c r="J6671" s="165"/>
      <c r="K6671" s="166"/>
      <c r="L6671" s="166"/>
    </row>
    <row r="6672">
      <c r="A6672" s="163" t="s">
        <v>222</v>
      </c>
      <c r="B6672" s="163"/>
      <c r="C6672" s="163"/>
      <c r="J6672" s="165"/>
      <c r="K6672" s="166"/>
      <c r="L6672" s="166"/>
    </row>
    <row r="6673">
      <c r="A6673" s="163" t="s">
        <v>222</v>
      </c>
      <c r="B6673" s="163"/>
      <c r="C6673" s="163"/>
      <c r="J6673" s="165"/>
      <c r="K6673" s="166"/>
      <c r="L6673" s="166"/>
    </row>
    <row r="6674">
      <c r="A6674" s="163" t="s">
        <v>222</v>
      </c>
      <c r="B6674" s="163"/>
      <c r="C6674" s="163"/>
      <c r="J6674" s="165"/>
      <c r="K6674" s="166"/>
      <c r="L6674" s="166"/>
    </row>
    <row r="6675">
      <c r="A6675" s="163" t="s">
        <v>222</v>
      </c>
      <c r="B6675" s="163"/>
      <c r="C6675" s="163"/>
      <c r="J6675" s="165"/>
      <c r="K6675" s="166"/>
      <c r="L6675" s="166"/>
    </row>
    <row r="6676">
      <c r="A6676" s="163" t="s">
        <v>222</v>
      </c>
      <c r="B6676" s="163"/>
      <c r="C6676" s="163"/>
      <c r="J6676" s="165"/>
      <c r="K6676" s="166"/>
      <c r="L6676" s="166"/>
    </row>
    <row r="6677">
      <c r="A6677" s="163" t="s">
        <v>222</v>
      </c>
      <c r="B6677" s="163"/>
      <c r="C6677" s="163"/>
      <c r="J6677" s="165"/>
      <c r="K6677" s="166"/>
      <c r="L6677" s="166"/>
    </row>
    <row r="6678">
      <c r="A6678" s="163" t="s">
        <v>222</v>
      </c>
      <c r="B6678" s="163"/>
      <c r="C6678" s="163"/>
      <c r="J6678" s="165"/>
      <c r="K6678" s="166"/>
      <c r="L6678" s="166"/>
    </row>
    <row r="6679">
      <c r="A6679" s="163" t="s">
        <v>222</v>
      </c>
      <c r="B6679" s="163"/>
      <c r="C6679" s="163"/>
      <c r="J6679" s="165"/>
      <c r="K6679" s="166"/>
      <c r="L6679" s="166"/>
    </row>
    <row r="6680">
      <c r="A6680" s="163" t="s">
        <v>222</v>
      </c>
      <c r="B6680" s="163"/>
      <c r="C6680" s="163"/>
      <c r="J6680" s="165"/>
      <c r="K6680" s="166"/>
      <c r="L6680" s="166"/>
    </row>
    <row r="6681">
      <c r="A6681" s="163" t="s">
        <v>222</v>
      </c>
      <c r="B6681" s="163"/>
      <c r="C6681" s="163"/>
      <c r="J6681" s="165"/>
      <c r="K6681" s="166"/>
      <c r="L6681" s="166"/>
    </row>
    <row r="6682">
      <c r="A6682" s="163" t="s">
        <v>222</v>
      </c>
      <c r="B6682" s="163"/>
      <c r="C6682" s="163"/>
      <c r="J6682" s="165"/>
      <c r="K6682" s="166"/>
      <c r="L6682" s="166"/>
    </row>
    <row r="6683">
      <c r="A6683" s="163" t="s">
        <v>222</v>
      </c>
      <c r="B6683" s="163"/>
      <c r="C6683" s="163"/>
      <c r="J6683" s="165"/>
      <c r="K6683" s="166"/>
      <c r="L6683" s="166"/>
    </row>
    <row r="6684">
      <c r="A6684" s="163" t="s">
        <v>222</v>
      </c>
      <c r="B6684" s="163"/>
      <c r="C6684" s="163"/>
      <c r="J6684" s="165"/>
      <c r="K6684" s="166"/>
      <c r="L6684" s="166"/>
    </row>
    <row r="6685">
      <c r="A6685" s="163" t="s">
        <v>222</v>
      </c>
      <c r="B6685" s="163"/>
      <c r="C6685" s="163"/>
      <c r="J6685" s="165"/>
      <c r="K6685" s="166"/>
      <c r="L6685" s="166"/>
    </row>
    <row r="6686">
      <c r="A6686" s="163" t="s">
        <v>222</v>
      </c>
      <c r="B6686" s="163"/>
      <c r="C6686" s="163"/>
      <c r="J6686" s="165"/>
      <c r="K6686" s="166"/>
      <c r="L6686" s="166"/>
    </row>
    <row r="6687">
      <c r="A6687" s="163" t="s">
        <v>222</v>
      </c>
      <c r="B6687" s="163"/>
      <c r="C6687" s="163"/>
      <c r="J6687" s="165"/>
      <c r="K6687" s="166"/>
      <c r="L6687" s="166"/>
    </row>
    <row r="6688">
      <c r="A6688" s="163" t="s">
        <v>222</v>
      </c>
      <c r="B6688" s="163"/>
      <c r="C6688" s="163"/>
      <c r="J6688" s="165"/>
      <c r="K6688" s="166"/>
      <c r="L6688" s="166"/>
    </row>
    <row r="6689">
      <c r="A6689" s="163" t="s">
        <v>222</v>
      </c>
      <c r="B6689" s="163"/>
      <c r="C6689" s="163"/>
      <c r="J6689" s="165"/>
      <c r="K6689" s="166"/>
      <c r="L6689" s="166"/>
    </row>
    <row r="6690">
      <c r="A6690" s="163" t="s">
        <v>222</v>
      </c>
      <c r="B6690" s="163"/>
      <c r="C6690" s="163"/>
      <c r="J6690" s="165"/>
      <c r="K6690" s="166"/>
      <c r="L6690" s="166"/>
    </row>
    <row r="6691">
      <c r="A6691" s="163" t="s">
        <v>222</v>
      </c>
      <c r="B6691" s="163"/>
      <c r="C6691" s="163"/>
      <c r="J6691" s="165"/>
      <c r="K6691" s="166"/>
      <c r="L6691" s="166"/>
    </row>
    <row r="6692">
      <c r="A6692" s="163" t="s">
        <v>222</v>
      </c>
      <c r="B6692" s="163"/>
      <c r="C6692" s="163"/>
      <c r="J6692" s="165"/>
      <c r="K6692" s="166"/>
      <c r="L6692" s="166"/>
    </row>
    <row r="6693">
      <c r="A6693" s="163" t="s">
        <v>222</v>
      </c>
      <c r="B6693" s="163"/>
      <c r="C6693" s="163"/>
      <c r="J6693" s="165"/>
      <c r="K6693" s="166"/>
      <c r="L6693" s="166"/>
    </row>
    <row r="6694">
      <c r="A6694" s="163" t="s">
        <v>222</v>
      </c>
      <c r="B6694" s="163"/>
      <c r="C6694" s="163"/>
      <c r="J6694" s="165"/>
      <c r="K6694" s="166"/>
      <c r="L6694" s="166"/>
    </row>
    <row r="6695">
      <c r="A6695" s="163" t="s">
        <v>222</v>
      </c>
      <c r="B6695" s="163"/>
      <c r="C6695" s="163"/>
      <c r="J6695" s="165"/>
      <c r="K6695" s="166"/>
      <c r="L6695" s="166"/>
    </row>
    <row r="6696">
      <c r="A6696" s="163" t="s">
        <v>222</v>
      </c>
      <c r="B6696" s="163"/>
      <c r="C6696" s="163"/>
      <c r="J6696" s="165"/>
      <c r="K6696" s="166"/>
      <c r="L6696" s="166"/>
    </row>
    <row r="6697">
      <c r="A6697" s="163" t="s">
        <v>222</v>
      </c>
      <c r="B6697" s="163"/>
      <c r="C6697" s="163"/>
      <c r="J6697" s="165"/>
      <c r="K6697" s="166"/>
      <c r="L6697" s="166"/>
    </row>
    <row r="6698">
      <c r="A6698" s="163" t="s">
        <v>222</v>
      </c>
      <c r="B6698" s="163"/>
      <c r="C6698" s="163"/>
      <c r="J6698" s="165"/>
      <c r="K6698" s="166"/>
      <c r="L6698" s="166"/>
    </row>
    <row r="6699">
      <c r="A6699" s="163" t="s">
        <v>222</v>
      </c>
      <c r="B6699" s="163"/>
      <c r="C6699" s="163"/>
      <c r="J6699" s="165"/>
      <c r="K6699" s="166"/>
      <c r="L6699" s="166"/>
    </row>
    <row r="6700">
      <c r="A6700" s="163" t="s">
        <v>222</v>
      </c>
      <c r="B6700" s="163"/>
      <c r="C6700" s="163"/>
      <c r="J6700" s="165"/>
      <c r="K6700" s="166"/>
      <c r="L6700" s="166"/>
    </row>
    <row r="6701">
      <c r="A6701" s="163" t="s">
        <v>222</v>
      </c>
      <c r="B6701" s="163"/>
      <c r="C6701" s="163"/>
      <c r="J6701" s="165"/>
      <c r="K6701" s="166"/>
      <c r="L6701" s="166"/>
    </row>
    <row r="6702">
      <c r="A6702" s="163" t="s">
        <v>222</v>
      </c>
      <c r="B6702" s="163"/>
      <c r="C6702" s="163"/>
      <c r="J6702" s="165"/>
      <c r="K6702" s="166"/>
      <c r="L6702" s="166"/>
    </row>
    <row r="6703">
      <c r="A6703" s="163" t="s">
        <v>222</v>
      </c>
      <c r="B6703" s="163"/>
      <c r="C6703" s="163"/>
      <c r="J6703" s="165"/>
      <c r="K6703" s="166"/>
      <c r="L6703" s="166"/>
    </row>
    <row r="6704">
      <c r="A6704" s="163" t="s">
        <v>222</v>
      </c>
      <c r="B6704" s="163"/>
      <c r="C6704" s="163"/>
      <c r="J6704" s="165"/>
      <c r="K6704" s="166"/>
      <c r="L6704" s="166"/>
    </row>
    <row r="6705">
      <c r="A6705" s="163" t="s">
        <v>222</v>
      </c>
      <c r="B6705" s="163"/>
      <c r="C6705" s="163"/>
      <c r="J6705" s="165"/>
      <c r="K6705" s="166"/>
      <c r="L6705" s="166"/>
    </row>
    <row r="6706">
      <c r="A6706" s="163" t="s">
        <v>222</v>
      </c>
      <c r="B6706" s="163"/>
      <c r="C6706" s="163"/>
      <c r="J6706" s="165"/>
      <c r="K6706" s="166"/>
      <c r="L6706" s="166"/>
    </row>
    <row r="6707">
      <c r="A6707" s="163" t="s">
        <v>222</v>
      </c>
      <c r="B6707" s="163"/>
      <c r="C6707" s="163"/>
      <c r="J6707" s="165"/>
      <c r="K6707" s="166"/>
      <c r="L6707" s="166"/>
    </row>
    <row r="6708">
      <c r="A6708" s="163" t="s">
        <v>222</v>
      </c>
      <c r="B6708" s="163"/>
      <c r="C6708" s="163"/>
      <c r="J6708" s="165"/>
      <c r="K6708" s="166"/>
      <c r="L6708" s="166"/>
    </row>
    <row r="6709">
      <c r="A6709" s="163" t="s">
        <v>222</v>
      </c>
      <c r="B6709" s="163"/>
      <c r="C6709" s="163"/>
      <c r="J6709" s="165"/>
      <c r="K6709" s="166"/>
      <c r="L6709" s="166"/>
    </row>
    <row r="6710">
      <c r="A6710" s="163" t="s">
        <v>222</v>
      </c>
      <c r="B6710" s="163"/>
      <c r="C6710" s="163"/>
      <c r="J6710" s="165"/>
      <c r="K6710" s="166"/>
      <c r="L6710" s="166"/>
    </row>
    <row r="6711">
      <c r="A6711" s="163" t="s">
        <v>222</v>
      </c>
      <c r="B6711" s="163"/>
      <c r="C6711" s="163"/>
      <c r="J6711" s="165"/>
      <c r="K6711" s="166"/>
      <c r="L6711" s="166"/>
    </row>
    <row r="6712">
      <c r="A6712" s="163" t="s">
        <v>222</v>
      </c>
      <c r="B6712" s="163"/>
      <c r="C6712" s="163"/>
      <c r="J6712" s="165"/>
      <c r="K6712" s="166"/>
      <c r="L6712" s="166"/>
    </row>
    <row r="6713">
      <c r="A6713" s="163" t="s">
        <v>222</v>
      </c>
      <c r="B6713" s="163"/>
      <c r="C6713" s="163"/>
      <c r="J6713" s="165"/>
      <c r="K6713" s="166"/>
      <c r="L6713" s="166"/>
    </row>
    <row r="6714">
      <c r="A6714" s="163" t="s">
        <v>222</v>
      </c>
      <c r="B6714" s="163"/>
      <c r="C6714" s="163"/>
      <c r="J6714" s="165"/>
      <c r="K6714" s="166"/>
      <c r="L6714" s="166"/>
    </row>
    <row r="6715">
      <c r="A6715" s="163" t="s">
        <v>222</v>
      </c>
      <c r="B6715" s="163"/>
      <c r="C6715" s="163"/>
      <c r="J6715" s="165"/>
      <c r="K6715" s="166"/>
      <c r="L6715" s="166"/>
    </row>
    <row r="6716">
      <c r="A6716" s="163" t="s">
        <v>222</v>
      </c>
      <c r="B6716" s="163"/>
      <c r="C6716" s="163"/>
      <c r="J6716" s="165"/>
      <c r="K6716" s="166"/>
      <c r="L6716" s="166"/>
    </row>
    <row r="6717">
      <c r="A6717" s="163" t="s">
        <v>222</v>
      </c>
      <c r="B6717" s="163"/>
      <c r="C6717" s="163"/>
      <c r="J6717" s="165"/>
      <c r="K6717" s="166"/>
      <c r="L6717" s="166"/>
    </row>
    <row r="6718">
      <c r="A6718" s="163" t="s">
        <v>222</v>
      </c>
      <c r="B6718" s="163"/>
      <c r="C6718" s="163"/>
      <c r="J6718" s="165"/>
      <c r="K6718" s="166"/>
      <c r="L6718" s="166"/>
    </row>
    <row r="6719">
      <c r="A6719" s="163" t="s">
        <v>222</v>
      </c>
      <c r="B6719" s="163"/>
      <c r="C6719" s="163"/>
      <c r="J6719" s="165"/>
      <c r="K6719" s="166"/>
      <c r="L6719" s="166"/>
    </row>
    <row r="6720">
      <c r="A6720" s="163" t="s">
        <v>222</v>
      </c>
      <c r="B6720" s="163"/>
      <c r="C6720" s="163"/>
      <c r="J6720" s="165"/>
      <c r="K6720" s="166"/>
      <c r="L6720" s="166"/>
    </row>
    <row r="6721">
      <c r="A6721" s="163" t="s">
        <v>222</v>
      </c>
      <c r="B6721" s="163"/>
      <c r="C6721" s="163"/>
      <c r="J6721" s="165"/>
      <c r="K6721" s="166"/>
      <c r="L6721" s="166"/>
    </row>
    <row r="6722">
      <c r="A6722" s="163" t="s">
        <v>222</v>
      </c>
      <c r="B6722" s="163"/>
      <c r="C6722" s="163"/>
      <c r="J6722" s="165"/>
      <c r="K6722" s="166"/>
      <c r="L6722" s="166"/>
    </row>
    <row r="6723">
      <c r="A6723" s="163" t="s">
        <v>222</v>
      </c>
      <c r="B6723" s="163"/>
      <c r="C6723" s="163"/>
      <c r="J6723" s="165"/>
      <c r="K6723" s="166"/>
      <c r="L6723" s="166"/>
    </row>
    <row r="6724">
      <c r="A6724" s="163" t="s">
        <v>222</v>
      </c>
      <c r="B6724" s="163"/>
      <c r="C6724" s="163"/>
      <c r="J6724" s="165"/>
      <c r="K6724" s="166"/>
      <c r="L6724" s="166"/>
    </row>
    <row r="6725">
      <c r="A6725" s="163" t="s">
        <v>222</v>
      </c>
      <c r="B6725" s="163"/>
      <c r="C6725" s="163"/>
      <c r="J6725" s="165"/>
      <c r="K6725" s="166"/>
      <c r="L6725" s="166"/>
    </row>
    <row r="6726">
      <c r="A6726" s="163" t="s">
        <v>222</v>
      </c>
      <c r="B6726" s="163"/>
      <c r="C6726" s="163"/>
      <c r="J6726" s="165"/>
      <c r="K6726" s="166"/>
      <c r="L6726" s="166"/>
    </row>
    <row r="6727">
      <c r="A6727" s="163" t="s">
        <v>222</v>
      </c>
      <c r="B6727" s="163"/>
      <c r="C6727" s="163"/>
      <c r="J6727" s="165"/>
      <c r="K6727" s="166"/>
      <c r="L6727" s="166"/>
    </row>
    <row r="6728">
      <c r="A6728" s="163" t="s">
        <v>222</v>
      </c>
      <c r="B6728" s="163"/>
      <c r="C6728" s="163"/>
      <c r="J6728" s="165"/>
      <c r="K6728" s="166"/>
      <c r="L6728" s="166"/>
    </row>
    <row r="6729">
      <c r="A6729" s="163" t="s">
        <v>222</v>
      </c>
      <c r="B6729" s="163"/>
      <c r="C6729" s="163"/>
      <c r="J6729" s="165"/>
      <c r="K6729" s="166"/>
      <c r="L6729" s="166"/>
    </row>
    <row r="6730">
      <c r="A6730" s="163" t="s">
        <v>222</v>
      </c>
      <c r="B6730" s="163"/>
      <c r="C6730" s="163"/>
      <c r="J6730" s="165"/>
      <c r="K6730" s="166"/>
      <c r="L6730" s="166"/>
    </row>
    <row r="6731">
      <c r="A6731" s="163" t="s">
        <v>222</v>
      </c>
      <c r="B6731" s="163"/>
      <c r="C6731" s="163"/>
      <c r="J6731" s="165"/>
      <c r="K6731" s="166"/>
      <c r="L6731" s="166"/>
    </row>
    <row r="6732">
      <c r="A6732" s="163" t="s">
        <v>222</v>
      </c>
      <c r="B6732" s="163"/>
      <c r="C6732" s="163"/>
      <c r="J6732" s="165"/>
      <c r="K6732" s="166"/>
      <c r="L6732" s="166"/>
    </row>
    <row r="6733">
      <c r="A6733" s="163" t="s">
        <v>222</v>
      </c>
      <c r="B6733" s="163"/>
      <c r="C6733" s="163"/>
      <c r="J6733" s="165"/>
      <c r="K6733" s="166"/>
      <c r="L6733" s="166"/>
    </row>
    <row r="6734">
      <c r="A6734" s="163" t="s">
        <v>222</v>
      </c>
      <c r="B6734" s="163"/>
      <c r="C6734" s="163"/>
      <c r="J6734" s="165"/>
      <c r="K6734" s="166"/>
      <c r="L6734" s="166"/>
    </row>
    <row r="6735">
      <c r="A6735" s="163" t="s">
        <v>222</v>
      </c>
      <c r="B6735" s="163"/>
      <c r="C6735" s="163"/>
      <c r="J6735" s="165"/>
      <c r="K6735" s="166"/>
      <c r="L6735" s="166"/>
    </row>
    <row r="6736">
      <c r="A6736" s="163" t="s">
        <v>222</v>
      </c>
      <c r="B6736" s="163"/>
      <c r="C6736" s="163"/>
      <c r="J6736" s="165"/>
      <c r="K6736" s="166"/>
      <c r="L6736" s="166"/>
    </row>
    <row r="6737">
      <c r="A6737" s="163" t="s">
        <v>222</v>
      </c>
      <c r="B6737" s="163"/>
      <c r="C6737" s="163"/>
      <c r="J6737" s="165"/>
      <c r="K6737" s="166"/>
      <c r="L6737" s="166"/>
    </row>
    <row r="6738">
      <c r="A6738" s="163" t="s">
        <v>222</v>
      </c>
      <c r="B6738" s="163"/>
      <c r="C6738" s="163"/>
      <c r="J6738" s="165"/>
      <c r="K6738" s="166"/>
      <c r="L6738" s="166"/>
    </row>
    <row r="6739">
      <c r="A6739" s="163" t="s">
        <v>222</v>
      </c>
      <c r="B6739" s="163"/>
      <c r="C6739" s="163"/>
      <c r="J6739" s="165"/>
      <c r="K6739" s="166"/>
      <c r="L6739" s="166"/>
    </row>
    <row r="6740">
      <c r="A6740" s="163" t="s">
        <v>222</v>
      </c>
      <c r="B6740" s="163"/>
      <c r="C6740" s="163"/>
      <c r="J6740" s="165"/>
      <c r="K6740" s="166"/>
      <c r="L6740" s="166"/>
    </row>
    <row r="6741">
      <c r="A6741" s="163" t="s">
        <v>222</v>
      </c>
      <c r="B6741" s="163"/>
      <c r="C6741" s="163"/>
      <c r="J6741" s="165"/>
      <c r="K6741" s="166"/>
      <c r="L6741" s="166"/>
    </row>
    <row r="6742">
      <c r="A6742" s="163" t="s">
        <v>222</v>
      </c>
      <c r="B6742" s="163"/>
      <c r="C6742" s="163"/>
      <c r="J6742" s="165"/>
      <c r="K6742" s="166"/>
      <c r="L6742" s="166"/>
    </row>
    <row r="6743">
      <c r="A6743" s="163" t="s">
        <v>222</v>
      </c>
      <c r="B6743" s="163"/>
      <c r="C6743" s="163"/>
      <c r="J6743" s="165"/>
      <c r="K6743" s="166"/>
      <c r="L6743" s="166"/>
    </row>
    <row r="6744">
      <c r="A6744" s="163" t="s">
        <v>222</v>
      </c>
      <c r="B6744" s="163"/>
      <c r="C6744" s="163"/>
      <c r="J6744" s="165"/>
      <c r="K6744" s="166"/>
      <c r="L6744" s="166"/>
    </row>
    <row r="6745">
      <c r="A6745" s="163" t="s">
        <v>222</v>
      </c>
      <c r="B6745" s="163"/>
      <c r="C6745" s="163"/>
      <c r="J6745" s="165"/>
      <c r="K6745" s="166"/>
      <c r="L6745" s="166"/>
    </row>
    <row r="6746">
      <c r="A6746" s="163" t="s">
        <v>222</v>
      </c>
      <c r="B6746" s="163"/>
      <c r="C6746" s="163"/>
      <c r="J6746" s="165"/>
      <c r="K6746" s="166"/>
      <c r="L6746" s="166"/>
    </row>
    <row r="6747">
      <c r="A6747" s="163" t="s">
        <v>222</v>
      </c>
      <c r="B6747" s="163"/>
      <c r="C6747" s="163"/>
      <c r="J6747" s="165"/>
      <c r="K6747" s="166"/>
      <c r="L6747" s="166"/>
    </row>
    <row r="6748">
      <c r="A6748" s="163" t="s">
        <v>222</v>
      </c>
      <c r="B6748" s="163"/>
      <c r="C6748" s="163"/>
      <c r="J6748" s="165"/>
      <c r="K6748" s="166"/>
      <c r="L6748" s="166"/>
    </row>
    <row r="6749">
      <c r="A6749" s="163" t="s">
        <v>222</v>
      </c>
      <c r="B6749" s="163"/>
      <c r="C6749" s="163"/>
      <c r="J6749" s="165"/>
      <c r="K6749" s="166"/>
      <c r="L6749" s="166"/>
    </row>
    <row r="6750">
      <c r="A6750" s="163" t="s">
        <v>222</v>
      </c>
      <c r="B6750" s="163"/>
      <c r="C6750" s="163"/>
      <c r="J6750" s="165"/>
      <c r="K6750" s="166"/>
      <c r="L6750" s="166"/>
    </row>
    <row r="6751">
      <c r="A6751" s="163" t="s">
        <v>222</v>
      </c>
      <c r="B6751" s="163"/>
      <c r="C6751" s="163"/>
      <c r="J6751" s="165"/>
      <c r="K6751" s="166"/>
      <c r="L6751" s="166"/>
    </row>
    <row r="6752">
      <c r="A6752" s="163" t="s">
        <v>222</v>
      </c>
      <c r="B6752" s="163"/>
      <c r="C6752" s="163"/>
      <c r="J6752" s="165"/>
      <c r="K6752" s="166"/>
      <c r="L6752" s="166"/>
    </row>
    <row r="6753">
      <c r="A6753" s="163" t="s">
        <v>222</v>
      </c>
      <c r="B6753" s="163"/>
      <c r="C6753" s="163"/>
      <c r="J6753" s="165"/>
      <c r="K6753" s="166"/>
      <c r="L6753" s="166"/>
    </row>
    <row r="6754">
      <c r="A6754" s="163" t="s">
        <v>222</v>
      </c>
      <c r="B6754" s="163"/>
      <c r="C6754" s="163"/>
      <c r="J6754" s="165"/>
      <c r="K6754" s="166"/>
      <c r="L6754" s="166"/>
    </row>
    <row r="6755">
      <c r="A6755" s="163" t="s">
        <v>222</v>
      </c>
      <c r="B6755" s="163"/>
      <c r="C6755" s="163"/>
      <c r="J6755" s="165"/>
      <c r="K6755" s="166"/>
      <c r="L6755" s="166"/>
    </row>
    <row r="6756">
      <c r="A6756" s="163" t="s">
        <v>222</v>
      </c>
      <c r="B6756" s="163"/>
      <c r="C6756" s="163"/>
      <c r="J6756" s="165"/>
      <c r="K6756" s="166"/>
      <c r="L6756" s="166"/>
    </row>
    <row r="6757">
      <c r="A6757" s="163" t="s">
        <v>222</v>
      </c>
      <c r="B6757" s="163"/>
      <c r="C6757" s="163"/>
      <c r="J6757" s="165"/>
      <c r="K6757" s="166"/>
      <c r="L6757" s="166"/>
    </row>
    <row r="6758">
      <c r="A6758" s="163" t="s">
        <v>222</v>
      </c>
      <c r="B6758" s="163"/>
      <c r="C6758" s="163"/>
      <c r="J6758" s="165"/>
      <c r="K6758" s="166"/>
      <c r="L6758" s="166"/>
    </row>
    <row r="6759">
      <c r="A6759" s="163" t="s">
        <v>222</v>
      </c>
      <c r="B6759" s="163"/>
      <c r="C6759" s="163"/>
      <c r="J6759" s="165"/>
      <c r="K6759" s="166"/>
      <c r="L6759" s="166"/>
    </row>
    <row r="6760">
      <c r="A6760" s="163" t="s">
        <v>222</v>
      </c>
      <c r="B6760" s="163"/>
      <c r="C6760" s="163"/>
      <c r="J6760" s="165"/>
      <c r="K6760" s="166"/>
      <c r="L6760" s="166"/>
    </row>
    <row r="6761">
      <c r="A6761" s="163" t="s">
        <v>222</v>
      </c>
      <c r="B6761" s="163"/>
      <c r="C6761" s="163"/>
      <c r="J6761" s="165"/>
      <c r="K6761" s="166"/>
      <c r="L6761" s="166"/>
    </row>
    <row r="6762">
      <c r="A6762" s="163" t="s">
        <v>222</v>
      </c>
      <c r="B6762" s="163"/>
      <c r="C6762" s="163"/>
      <c r="J6762" s="165"/>
      <c r="K6762" s="166"/>
      <c r="L6762" s="166"/>
    </row>
    <row r="6763">
      <c r="A6763" s="163" t="s">
        <v>222</v>
      </c>
      <c r="B6763" s="163"/>
      <c r="C6763" s="163"/>
      <c r="J6763" s="165"/>
      <c r="K6763" s="166"/>
      <c r="L6763" s="166"/>
    </row>
    <row r="6764">
      <c r="A6764" s="163" t="s">
        <v>222</v>
      </c>
      <c r="B6764" s="163"/>
      <c r="C6764" s="163"/>
      <c r="J6764" s="165"/>
      <c r="K6764" s="166"/>
      <c r="L6764" s="166"/>
    </row>
    <row r="6765">
      <c r="A6765" s="163" t="s">
        <v>222</v>
      </c>
      <c r="B6765" s="163"/>
      <c r="C6765" s="163"/>
      <c r="J6765" s="165"/>
      <c r="K6765" s="166"/>
      <c r="L6765" s="166"/>
    </row>
    <row r="6766">
      <c r="A6766" s="163" t="s">
        <v>222</v>
      </c>
      <c r="B6766" s="163"/>
      <c r="C6766" s="163"/>
      <c r="J6766" s="165"/>
      <c r="K6766" s="166"/>
      <c r="L6766" s="166"/>
    </row>
    <row r="6767">
      <c r="A6767" s="163" t="s">
        <v>222</v>
      </c>
      <c r="B6767" s="163"/>
      <c r="C6767" s="163"/>
      <c r="J6767" s="165"/>
      <c r="K6767" s="166"/>
      <c r="L6767" s="166"/>
    </row>
    <row r="6768">
      <c r="A6768" s="163" t="s">
        <v>222</v>
      </c>
      <c r="B6768" s="163"/>
      <c r="C6768" s="163"/>
      <c r="J6768" s="165"/>
      <c r="K6768" s="166"/>
      <c r="L6768" s="166"/>
    </row>
    <row r="6769">
      <c r="A6769" s="163" t="s">
        <v>222</v>
      </c>
      <c r="B6769" s="163"/>
      <c r="C6769" s="163"/>
      <c r="J6769" s="165"/>
      <c r="K6769" s="166"/>
      <c r="L6769" s="166"/>
    </row>
    <row r="6770">
      <c r="A6770" s="163" t="s">
        <v>222</v>
      </c>
      <c r="B6770" s="163"/>
      <c r="C6770" s="163"/>
      <c r="J6770" s="165"/>
      <c r="K6770" s="166"/>
      <c r="L6770" s="166"/>
    </row>
    <row r="6771">
      <c r="A6771" s="163" t="s">
        <v>222</v>
      </c>
      <c r="B6771" s="163"/>
      <c r="C6771" s="163"/>
      <c r="J6771" s="165"/>
      <c r="K6771" s="166"/>
      <c r="L6771" s="166"/>
    </row>
    <row r="6772">
      <c r="A6772" s="163" t="s">
        <v>222</v>
      </c>
      <c r="B6772" s="163"/>
      <c r="C6772" s="163"/>
      <c r="J6772" s="165"/>
      <c r="K6772" s="166"/>
      <c r="L6772" s="166"/>
    </row>
    <row r="6773">
      <c r="A6773" s="163" t="s">
        <v>222</v>
      </c>
      <c r="B6773" s="163"/>
      <c r="C6773" s="163"/>
      <c r="J6773" s="165"/>
      <c r="K6773" s="166"/>
      <c r="L6773" s="166"/>
    </row>
    <row r="6774">
      <c r="A6774" s="163" t="s">
        <v>222</v>
      </c>
      <c r="B6774" s="163"/>
      <c r="C6774" s="163"/>
      <c r="J6774" s="165"/>
      <c r="K6774" s="166"/>
      <c r="L6774" s="166"/>
    </row>
    <row r="6775">
      <c r="A6775" s="163" t="s">
        <v>222</v>
      </c>
      <c r="B6775" s="163"/>
      <c r="C6775" s="163"/>
      <c r="J6775" s="165"/>
      <c r="K6775" s="166"/>
      <c r="L6775" s="166"/>
    </row>
    <row r="6776">
      <c r="A6776" s="163" t="s">
        <v>222</v>
      </c>
      <c r="B6776" s="163"/>
      <c r="C6776" s="163"/>
      <c r="J6776" s="165"/>
      <c r="K6776" s="166"/>
      <c r="L6776" s="166"/>
    </row>
    <row r="6777">
      <c r="A6777" s="163" t="s">
        <v>222</v>
      </c>
      <c r="B6777" s="163"/>
      <c r="C6777" s="163"/>
      <c r="J6777" s="165"/>
      <c r="K6777" s="166"/>
      <c r="L6777" s="166"/>
    </row>
    <row r="6778">
      <c r="A6778" s="163" t="s">
        <v>222</v>
      </c>
      <c r="B6778" s="163"/>
      <c r="C6778" s="163"/>
      <c r="J6778" s="165"/>
      <c r="K6778" s="166"/>
      <c r="L6778" s="166"/>
    </row>
    <row r="6779">
      <c r="A6779" s="163" t="s">
        <v>222</v>
      </c>
      <c r="B6779" s="163"/>
      <c r="C6779" s="163"/>
      <c r="J6779" s="165"/>
      <c r="K6779" s="166"/>
      <c r="L6779" s="166"/>
    </row>
    <row r="6780">
      <c r="A6780" s="163" t="s">
        <v>222</v>
      </c>
      <c r="B6780" s="163"/>
      <c r="C6780" s="163"/>
      <c r="J6780" s="165"/>
      <c r="K6780" s="166"/>
      <c r="L6780" s="166"/>
    </row>
    <row r="6781">
      <c r="A6781" s="163" t="s">
        <v>222</v>
      </c>
      <c r="B6781" s="163"/>
      <c r="C6781" s="163"/>
      <c r="J6781" s="165"/>
      <c r="K6781" s="166"/>
      <c r="L6781" s="166"/>
    </row>
    <row r="6782">
      <c r="A6782" s="163" t="s">
        <v>222</v>
      </c>
      <c r="B6782" s="163"/>
      <c r="C6782" s="163"/>
      <c r="J6782" s="165"/>
      <c r="K6782" s="166"/>
      <c r="L6782" s="166"/>
    </row>
    <row r="6783">
      <c r="A6783" s="163" t="s">
        <v>222</v>
      </c>
      <c r="B6783" s="163"/>
      <c r="C6783" s="163"/>
      <c r="J6783" s="165"/>
      <c r="K6783" s="166"/>
      <c r="L6783" s="166"/>
    </row>
    <row r="6784">
      <c r="A6784" s="163" t="s">
        <v>222</v>
      </c>
      <c r="B6784" s="163"/>
      <c r="C6784" s="163"/>
      <c r="J6784" s="165"/>
      <c r="K6784" s="166"/>
      <c r="L6784" s="166"/>
    </row>
    <row r="6785">
      <c r="A6785" s="163" t="s">
        <v>222</v>
      </c>
      <c r="B6785" s="163"/>
      <c r="C6785" s="163"/>
      <c r="J6785" s="165"/>
      <c r="K6785" s="166"/>
      <c r="L6785" s="166"/>
    </row>
    <row r="6786">
      <c r="A6786" s="163" t="s">
        <v>222</v>
      </c>
      <c r="B6786" s="163"/>
      <c r="C6786" s="163"/>
      <c r="J6786" s="165"/>
      <c r="K6786" s="166"/>
      <c r="L6786" s="166"/>
    </row>
    <row r="6787">
      <c r="A6787" s="163" t="s">
        <v>222</v>
      </c>
      <c r="B6787" s="163"/>
      <c r="C6787" s="163"/>
      <c r="J6787" s="165"/>
      <c r="K6787" s="166"/>
      <c r="L6787" s="166"/>
    </row>
    <row r="6788">
      <c r="A6788" s="163" t="s">
        <v>222</v>
      </c>
      <c r="B6788" s="163"/>
      <c r="C6788" s="163"/>
      <c r="J6788" s="165"/>
      <c r="K6788" s="166"/>
      <c r="L6788" s="166"/>
    </row>
    <row r="6789">
      <c r="A6789" s="163" t="s">
        <v>222</v>
      </c>
      <c r="B6789" s="163"/>
      <c r="C6789" s="163"/>
      <c r="J6789" s="165"/>
      <c r="K6789" s="166"/>
      <c r="L6789" s="166"/>
    </row>
    <row r="6790">
      <c r="A6790" s="163" t="s">
        <v>222</v>
      </c>
      <c r="B6790" s="163"/>
      <c r="C6790" s="163"/>
      <c r="J6790" s="165"/>
      <c r="K6790" s="166"/>
      <c r="L6790" s="166"/>
    </row>
    <row r="6791">
      <c r="A6791" s="163" t="s">
        <v>222</v>
      </c>
      <c r="B6791" s="163"/>
      <c r="C6791" s="163"/>
      <c r="J6791" s="165"/>
      <c r="K6791" s="166"/>
      <c r="L6791" s="166"/>
    </row>
    <row r="6792">
      <c r="A6792" s="163" t="s">
        <v>222</v>
      </c>
      <c r="B6792" s="163"/>
      <c r="C6792" s="163"/>
      <c r="J6792" s="165"/>
      <c r="K6792" s="166"/>
      <c r="L6792" s="166"/>
    </row>
    <row r="6793">
      <c r="A6793" s="163" t="s">
        <v>222</v>
      </c>
      <c r="B6793" s="163"/>
      <c r="C6793" s="163"/>
      <c r="J6793" s="165"/>
      <c r="K6793" s="166"/>
      <c r="L6793" s="166"/>
    </row>
    <row r="6794">
      <c r="A6794" s="163" t="s">
        <v>222</v>
      </c>
      <c r="B6794" s="163"/>
      <c r="C6794" s="163"/>
      <c r="J6794" s="165"/>
      <c r="K6794" s="166"/>
      <c r="L6794" s="166"/>
    </row>
    <row r="6795">
      <c r="A6795" s="163" t="s">
        <v>222</v>
      </c>
      <c r="B6795" s="163"/>
      <c r="C6795" s="163"/>
      <c r="J6795" s="165"/>
      <c r="K6795" s="166"/>
      <c r="L6795" s="166"/>
    </row>
    <row r="6796">
      <c r="A6796" s="163" t="s">
        <v>222</v>
      </c>
      <c r="B6796" s="163"/>
      <c r="C6796" s="163"/>
      <c r="J6796" s="165"/>
      <c r="K6796" s="166"/>
      <c r="L6796" s="166"/>
    </row>
    <row r="6797">
      <c r="A6797" s="163" t="s">
        <v>222</v>
      </c>
      <c r="B6797" s="163"/>
      <c r="C6797" s="163"/>
      <c r="J6797" s="165"/>
      <c r="K6797" s="166"/>
      <c r="L6797" s="166"/>
    </row>
    <row r="6798">
      <c r="A6798" s="163" t="s">
        <v>222</v>
      </c>
      <c r="B6798" s="163"/>
      <c r="C6798" s="163"/>
      <c r="J6798" s="165"/>
      <c r="K6798" s="166"/>
      <c r="L6798" s="166"/>
    </row>
    <row r="6799">
      <c r="A6799" s="163" t="s">
        <v>222</v>
      </c>
      <c r="B6799" s="163"/>
      <c r="C6799" s="163"/>
      <c r="J6799" s="165"/>
      <c r="K6799" s="166"/>
      <c r="L6799" s="166"/>
    </row>
    <row r="6800">
      <c r="A6800" s="163" t="s">
        <v>222</v>
      </c>
      <c r="B6800" s="163"/>
      <c r="C6800" s="163"/>
      <c r="J6800" s="165"/>
      <c r="K6800" s="166"/>
      <c r="L6800" s="166"/>
    </row>
    <row r="6801">
      <c r="A6801" s="163" t="s">
        <v>222</v>
      </c>
      <c r="B6801" s="163"/>
      <c r="C6801" s="163"/>
      <c r="J6801" s="165"/>
      <c r="K6801" s="166"/>
      <c r="L6801" s="166"/>
    </row>
    <row r="6802">
      <c r="A6802" s="163" t="s">
        <v>222</v>
      </c>
      <c r="B6802" s="163"/>
      <c r="C6802" s="163"/>
      <c r="J6802" s="165"/>
      <c r="K6802" s="166"/>
      <c r="L6802" s="166"/>
    </row>
    <row r="6803">
      <c r="A6803" s="163" t="s">
        <v>222</v>
      </c>
      <c r="B6803" s="163"/>
      <c r="C6803" s="163"/>
      <c r="J6803" s="165"/>
      <c r="K6803" s="166"/>
      <c r="L6803" s="166"/>
    </row>
    <row r="6804">
      <c r="A6804" s="163" t="s">
        <v>222</v>
      </c>
      <c r="B6804" s="163"/>
      <c r="C6804" s="163"/>
      <c r="J6804" s="165"/>
      <c r="K6804" s="166"/>
      <c r="L6804" s="166"/>
    </row>
    <row r="6805">
      <c r="A6805" s="163" t="s">
        <v>222</v>
      </c>
      <c r="B6805" s="163"/>
      <c r="C6805" s="163"/>
      <c r="J6805" s="165"/>
      <c r="K6805" s="166"/>
      <c r="L6805" s="166"/>
    </row>
    <row r="6806">
      <c r="A6806" s="163" t="s">
        <v>222</v>
      </c>
      <c r="B6806" s="163"/>
      <c r="C6806" s="163"/>
      <c r="J6806" s="165"/>
      <c r="K6806" s="166"/>
      <c r="L6806" s="166"/>
    </row>
    <row r="6807">
      <c r="A6807" s="163" t="s">
        <v>222</v>
      </c>
      <c r="B6807" s="163"/>
      <c r="C6807" s="163"/>
      <c r="J6807" s="165"/>
      <c r="K6807" s="166"/>
      <c r="L6807" s="166"/>
    </row>
    <row r="6808">
      <c r="A6808" s="163" t="s">
        <v>222</v>
      </c>
      <c r="B6808" s="163"/>
      <c r="C6808" s="163"/>
      <c r="J6808" s="165"/>
      <c r="K6808" s="166"/>
      <c r="L6808" s="166"/>
    </row>
    <row r="6809">
      <c r="A6809" s="163" t="s">
        <v>222</v>
      </c>
      <c r="B6809" s="163"/>
      <c r="C6809" s="163"/>
      <c r="J6809" s="165"/>
      <c r="K6809" s="166"/>
      <c r="L6809" s="166"/>
    </row>
    <row r="6810">
      <c r="A6810" s="163" t="s">
        <v>222</v>
      </c>
      <c r="B6810" s="163"/>
      <c r="C6810" s="163"/>
      <c r="J6810" s="165"/>
      <c r="K6810" s="166"/>
      <c r="L6810" s="166"/>
    </row>
    <row r="6811">
      <c r="A6811" s="163" t="s">
        <v>222</v>
      </c>
      <c r="B6811" s="163"/>
      <c r="C6811" s="163"/>
      <c r="J6811" s="165"/>
      <c r="K6811" s="166"/>
      <c r="L6811" s="166"/>
    </row>
    <row r="6812">
      <c r="A6812" s="163" t="s">
        <v>222</v>
      </c>
      <c r="B6812" s="163"/>
      <c r="C6812" s="163"/>
      <c r="J6812" s="165"/>
      <c r="K6812" s="166"/>
      <c r="L6812" s="166"/>
    </row>
    <row r="6813">
      <c r="A6813" s="163" t="s">
        <v>222</v>
      </c>
      <c r="B6813" s="163"/>
      <c r="C6813" s="163"/>
      <c r="J6813" s="165"/>
      <c r="K6813" s="166"/>
      <c r="L6813" s="166"/>
    </row>
    <row r="6814">
      <c r="A6814" s="163" t="s">
        <v>222</v>
      </c>
      <c r="B6814" s="163"/>
      <c r="C6814" s="163"/>
      <c r="J6814" s="165"/>
      <c r="K6814" s="166"/>
      <c r="L6814" s="166"/>
    </row>
    <row r="6815">
      <c r="A6815" s="163" t="s">
        <v>222</v>
      </c>
      <c r="B6815" s="163"/>
      <c r="C6815" s="163"/>
      <c r="J6815" s="165"/>
      <c r="K6815" s="166"/>
      <c r="L6815" s="166"/>
    </row>
    <row r="6816">
      <c r="A6816" s="163" t="s">
        <v>222</v>
      </c>
      <c r="B6816" s="163"/>
      <c r="C6816" s="163"/>
      <c r="J6816" s="165"/>
      <c r="K6816" s="166"/>
      <c r="L6816" s="166"/>
    </row>
    <row r="6817">
      <c r="A6817" s="163" t="s">
        <v>222</v>
      </c>
      <c r="B6817" s="163"/>
      <c r="C6817" s="163"/>
      <c r="J6817" s="165"/>
      <c r="K6817" s="166"/>
      <c r="L6817" s="166"/>
    </row>
    <row r="6818">
      <c r="A6818" s="163" t="s">
        <v>222</v>
      </c>
      <c r="B6818" s="163"/>
      <c r="C6818" s="163"/>
      <c r="J6818" s="165"/>
      <c r="K6818" s="166"/>
      <c r="L6818" s="166"/>
    </row>
    <row r="6819">
      <c r="A6819" s="163" t="s">
        <v>222</v>
      </c>
      <c r="B6819" s="163"/>
      <c r="C6819" s="163"/>
      <c r="J6819" s="165"/>
      <c r="K6819" s="166"/>
      <c r="L6819" s="166"/>
    </row>
    <row r="6820">
      <c r="A6820" s="163" t="s">
        <v>222</v>
      </c>
      <c r="B6820" s="163"/>
      <c r="C6820" s="163"/>
      <c r="J6820" s="165"/>
      <c r="K6820" s="166"/>
      <c r="L6820" s="166"/>
    </row>
    <row r="6821">
      <c r="A6821" s="163" t="s">
        <v>222</v>
      </c>
      <c r="B6821" s="163"/>
      <c r="C6821" s="163"/>
      <c r="J6821" s="165"/>
      <c r="K6821" s="166"/>
      <c r="L6821" s="166"/>
    </row>
    <row r="6822">
      <c r="A6822" s="163" t="s">
        <v>222</v>
      </c>
      <c r="B6822" s="163"/>
      <c r="C6822" s="163"/>
      <c r="J6822" s="165"/>
      <c r="K6822" s="166"/>
      <c r="L6822" s="166"/>
    </row>
    <row r="6823">
      <c r="A6823" s="163" t="s">
        <v>222</v>
      </c>
      <c r="B6823" s="163"/>
      <c r="C6823" s="163"/>
      <c r="J6823" s="165"/>
      <c r="K6823" s="166"/>
      <c r="L6823" s="166"/>
    </row>
    <row r="6824">
      <c r="A6824" s="163" t="s">
        <v>222</v>
      </c>
      <c r="B6824" s="163"/>
      <c r="C6824" s="163"/>
      <c r="J6824" s="165"/>
      <c r="K6824" s="166"/>
      <c r="L6824" s="166"/>
    </row>
    <row r="6825">
      <c r="A6825" s="163" t="s">
        <v>222</v>
      </c>
      <c r="B6825" s="163"/>
      <c r="C6825" s="163"/>
      <c r="J6825" s="165"/>
      <c r="K6825" s="166"/>
      <c r="L6825" s="166"/>
    </row>
    <row r="6826">
      <c r="A6826" s="163" t="s">
        <v>222</v>
      </c>
      <c r="B6826" s="163"/>
      <c r="C6826" s="163"/>
      <c r="J6826" s="165"/>
      <c r="K6826" s="166"/>
      <c r="L6826" s="166"/>
    </row>
    <row r="6827">
      <c r="A6827" s="163" t="s">
        <v>222</v>
      </c>
      <c r="B6827" s="163"/>
      <c r="C6827" s="163"/>
      <c r="J6827" s="165"/>
      <c r="K6827" s="166"/>
      <c r="L6827" s="166"/>
    </row>
    <row r="6828">
      <c r="A6828" s="163" t="s">
        <v>222</v>
      </c>
      <c r="B6828" s="163"/>
      <c r="C6828" s="163"/>
      <c r="J6828" s="165"/>
      <c r="K6828" s="166"/>
      <c r="L6828" s="166"/>
    </row>
    <row r="6829">
      <c r="A6829" s="163" t="s">
        <v>222</v>
      </c>
      <c r="B6829" s="163"/>
      <c r="C6829" s="163"/>
      <c r="J6829" s="165"/>
      <c r="K6829" s="166"/>
      <c r="L6829" s="166"/>
    </row>
    <row r="6830">
      <c r="A6830" s="163" t="s">
        <v>222</v>
      </c>
      <c r="B6830" s="163"/>
      <c r="C6830" s="163"/>
      <c r="J6830" s="165"/>
      <c r="K6830" s="166"/>
      <c r="L6830" s="166"/>
    </row>
    <row r="6831">
      <c r="A6831" s="163" t="s">
        <v>222</v>
      </c>
      <c r="B6831" s="163"/>
      <c r="C6831" s="163"/>
      <c r="J6831" s="165"/>
      <c r="K6831" s="166"/>
      <c r="L6831" s="166"/>
    </row>
    <row r="6832">
      <c r="A6832" s="163" t="s">
        <v>222</v>
      </c>
      <c r="B6832" s="163"/>
      <c r="C6832" s="163"/>
      <c r="J6832" s="165"/>
      <c r="K6832" s="166"/>
      <c r="L6832" s="166"/>
    </row>
    <row r="6833">
      <c r="A6833" s="163" t="s">
        <v>222</v>
      </c>
      <c r="B6833" s="163"/>
      <c r="C6833" s="163"/>
      <c r="J6833" s="165"/>
      <c r="K6833" s="166"/>
      <c r="L6833" s="166"/>
    </row>
    <row r="6834">
      <c r="A6834" s="163" t="s">
        <v>222</v>
      </c>
      <c r="B6834" s="163"/>
      <c r="C6834" s="163"/>
      <c r="J6834" s="165"/>
      <c r="K6834" s="166"/>
      <c r="L6834" s="166"/>
    </row>
    <row r="6835">
      <c r="A6835" s="163" t="s">
        <v>222</v>
      </c>
      <c r="B6835" s="163"/>
      <c r="C6835" s="163"/>
      <c r="J6835" s="165"/>
      <c r="K6835" s="166"/>
      <c r="L6835" s="166"/>
    </row>
    <row r="6836">
      <c r="A6836" s="163" t="s">
        <v>222</v>
      </c>
      <c r="B6836" s="163"/>
      <c r="C6836" s="163"/>
      <c r="J6836" s="165"/>
      <c r="K6836" s="166"/>
      <c r="L6836" s="166"/>
    </row>
    <row r="6837">
      <c r="A6837" s="163" t="s">
        <v>222</v>
      </c>
      <c r="B6837" s="163"/>
      <c r="C6837" s="163"/>
      <c r="J6837" s="165"/>
      <c r="K6837" s="166"/>
      <c r="L6837" s="166"/>
    </row>
    <row r="6838">
      <c r="A6838" s="163" t="s">
        <v>222</v>
      </c>
      <c r="B6838" s="163"/>
      <c r="C6838" s="163"/>
      <c r="J6838" s="165"/>
      <c r="K6838" s="166"/>
      <c r="L6838" s="166"/>
    </row>
    <row r="6839">
      <c r="A6839" s="163" t="s">
        <v>222</v>
      </c>
      <c r="B6839" s="163"/>
      <c r="C6839" s="163"/>
      <c r="J6839" s="165"/>
      <c r="K6839" s="166"/>
      <c r="L6839" s="166"/>
    </row>
    <row r="6840">
      <c r="A6840" s="163" t="s">
        <v>222</v>
      </c>
      <c r="B6840" s="163"/>
      <c r="C6840" s="163"/>
      <c r="J6840" s="165"/>
      <c r="K6840" s="166"/>
      <c r="L6840" s="166"/>
    </row>
    <row r="6841">
      <c r="A6841" s="163" t="s">
        <v>222</v>
      </c>
      <c r="B6841" s="163"/>
      <c r="C6841" s="163"/>
      <c r="J6841" s="165"/>
      <c r="K6841" s="166"/>
      <c r="L6841" s="166"/>
    </row>
    <row r="6842">
      <c r="A6842" s="163" t="s">
        <v>222</v>
      </c>
      <c r="B6842" s="163"/>
      <c r="C6842" s="163"/>
      <c r="J6842" s="165"/>
      <c r="K6842" s="166"/>
      <c r="L6842" s="166"/>
    </row>
    <row r="6843">
      <c r="A6843" s="163" t="s">
        <v>222</v>
      </c>
      <c r="B6843" s="163"/>
      <c r="C6843" s="163"/>
      <c r="J6843" s="165"/>
      <c r="K6843" s="166"/>
      <c r="L6843" s="166"/>
    </row>
    <row r="6844">
      <c r="A6844" s="163" t="s">
        <v>222</v>
      </c>
      <c r="B6844" s="163"/>
      <c r="C6844" s="163"/>
      <c r="J6844" s="165"/>
      <c r="K6844" s="166"/>
      <c r="L6844" s="166"/>
    </row>
    <row r="6845">
      <c r="A6845" s="163" t="s">
        <v>222</v>
      </c>
      <c r="B6845" s="163"/>
      <c r="C6845" s="163"/>
      <c r="J6845" s="165"/>
      <c r="K6845" s="166"/>
      <c r="L6845" s="166"/>
    </row>
    <row r="6846">
      <c r="A6846" s="163" t="s">
        <v>222</v>
      </c>
      <c r="B6846" s="163"/>
      <c r="C6846" s="163"/>
      <c r="J6846" s="165"/>
      <c r="K6846" s="166"/>
      <c r="L6846" s="166"/>
    </row>
    <row r="6847">
      <c r="A6847" s="163" t="s">
        <v>222</v>
      </c>
      <c r="B6847" s="163"/>
      <c r="C6847" s="163"/>
      <c r="J6847" s="165"/>
      <c r="K6847" s="166"/>
      <c r="L6847" s="166"/>
    </row>
    <row r="6848">
      <c r="A6848" s="163" t="s">
        <v>222</v>
      </c>
      <c r="B6848" s="163"/>
      <c r="C6848" s="163"/>
      <c r="J6848" s="165"/>
      <c r="K6848" s="166"/>
      <c r="L6848" s="166"/>
    </row>
    <row r="6849">
      <c r="A6849" s="163" t="s">
        <v>222</v>
      </c>
      <c r="B6849" s="163"/>
      <c r="C6849" s="163"/>
      <c r="J6849" s="165"/>
      <c r="K6849" s="166"/>
      <c r="L6849" s="166"/>
    </row>
    <row r="6850">
      <c r="A6850" s="163" t="s">
        <v>222</v>
      </c>
      <c r="B6850" s="163"/>
      <c r="C6850" s="163"/>
      <c r="J6850" s="165"/>
      <c r="K6850" s="166"/>
      <c r="L6850" s="166"/>
    </row>
    <row r="6851">
      <c r="A6851" s="163" t="s">
        <v>222</v>
      </c>
      <c r="B6851" s="163"/>
      <c r="C6851" s="163"/>
      <c r="J6851" s="165"/>
      <c r="K6851" s="166"/>
      <c r="L6851" s="166"/>
    </row>
    <row r="6852">
      <c r="A6852" s="163" t="s">
        <v>222</v>
      </c>
      <c r="B6852" s="163"/>
      <c r="C6852" s="163"/>
      <c r="J6852" s="165"/>
      <c r="K6852" s="166"/>
      <c r="L6852" s="166"/>
    </row>
    <row r="6853">
      <c r="A6853" s="163" t="s">
        <v>222</v>
      </c>
      <c r="B6853" s="163"/>
      <c r="C6853" s="163"/>
      <c r="J6853" s="165"/>
      <c r="K6853" s="166"/>
      <c r="L6853" s="166"/>
    </row>
    <row r="6854">
      <c r="A6854" s="163" t="s">
        <v>222</v>
      </c>
      <c r="B6854" s="163"/>
      <c r="C6854" s="163"/>
      <c r="J6854" s="165"/>
      <c r="K6854" s="166"/>
      <c r="L6854" s="166"/>
    </row>
    <row r="6855">
      <c r="A6855" s="163" t="s">
        <v>222</v>
      </c>
      <c r="B6855" s="163"/>
      <c r="C6855" s="163"/>
      <c r="J6855" s="165"/>
      <c r="K6855" s="166"/>
      <c r="L6855" s="166"/>
    </row>
    <row r="6856">
      <c r="A6856" s="163" t="s">
        <v>222</v>
      </c>
      <c r="B6856" s="163"/>
      <c r="C6856" s="163"/>
      <c r="J6856" s="165"/>
      <c r="K6856" s="166"/>
      <c r="L6856" s="166"/>
    </row>
    <row r="6857">
      <c r="A6857" s="163" t="s">
        <v>222</v>
      </c>
      <c r="B6857" s="163"/>
      <c r="C6857" s="163"/>
      <c r="J6857" s="165"/>
      <c r="K6857" s="166"/>
      <c r="L6857" s="166"/>
    </row>
    <row r="6858">
      <c r="A6858" s="163" t="s">
        <v>222</v>
      </c>
      <c r="B6858" s="163"/>
      <c r="C6858" s="163"/>
      <c r="J6858" s="165"/>
      <c r="K6858" s="166"/>
      <c r="L6858" s="166"/>
    </row>
    <row r="6859">
      <c r="A6859" s="163" t="s">
        <v>222</v>
      </c>
      <c r="B6859" s="163"/>
      <c r="C6859" s="163"/>
      <c r="J6859" s="165"/>
      <c r="K6859" s="166"/>
      <c r="L6859" s="166"/>
    </row>
    <row r="6860">
      <c r="A6860" s="163" t="s">
        <v>222</v>
      </c>
      <c r="B6860" s="163"/>
      <c r="C6860" s="163"/>
      <c r="J6860" s="165"/>
      <c r="K6860" s="166"/>
      <c r="L6860" s="166"/>
    </row>
    <row r="6861">
      <c r="A6861" s="163" t="s">
        <v>222</v>
      </c>
      <c r="B6861" s="163"/>
      <c r="C6861" s="163"/>
      <c r="J6861" s="165"/>
      <c r="K6861" s="166"/>
      <c r="L6861" s="166"/>
    </row>
    <row r="6862">
      <c r="A6862" s="163" t="s">
        <v>222</v>
      </c>
      <c r="B6862" s="163"/>
      <c r="C6862" s="163"/>
      <c r="J6862" s="165"/>
      <c r="K6862" s="166"/>
      <c r="L6862" s="166"/>
    </row>
    <row r="6863">
      <c r="A6863" s="163" t="s">
        <v>222</v>
      </c>
      <c r="B6863" s="163"/>
      <c r="C6863" s="163"/>
      <c r="J6863" s="165"/>
      <c r="K6863" s="166"/>
      <c r="L6863" s="166"/>
    </row>
    <row r="6864">
      <c r="A6864" s="163" t="s">
        <v>222</v>
      </c>
      <c r="B6864" s="163"/>
      <c r="C6864" s="163"/>
      <c r="J6864" s="165"/>
      <c r="K6864" s="166"/>
      <c r="L6864" s="166"/>
    </row>
    <row r="6865">
      <c r="A6865" s="163" t="s">
        <v>222</v>
      </c>
      <c r="B6865" s="163"/>
      <c r="C6865" s="163"/>
      <c r="J6865" s="165"/>
      <c r="K6865" s="166"/>
      <c r="L6865" s="166"/>
    </row>
    <row r="6866">
      <c r="A6866" s="163" t="s">
        <v>222</v>
      </c>
      <c r="B6866" s="163"/>
      <c r="C6866" s="163"/>
      <c r="J6866" s="165"/>
      <c r="K6866" s="166"/>
      <c r="L6866" s="166"/>
    </row>
    <row r="6867">
      <c r="A6867" s="163" t="s">
        <v>222</v>
      </c>
      <c r="B6867" s="163"/>
      <c r="C6867" s="163"/>
      <c r="J6867" s="165"/>
      <c r="K6867" s="166"/>
      <c r="L6867" s="166"/>
    </row>
    <row r="6868">
      <c r="A6868" s="163" t="s">
        <v>222</v>
      </c>
      <c r="B6868" s="163"/>
      <c r="C6868" s="163"/>
      <c r="J6868" s="165"/>
      <c r="K6868" s="166"/>
      <c r="L6868" s="166"/>
    </row>
    <row r="6869">
      <c r="A6869" s="163" t="s">
        <v>222</v>
      </c>
      <c r="B6869" s="163"/>
      <c r="C6869" s="163"/>
      <c r="J6869" s="165"/>
      <c r="K6869" s="166"/>
      <c r="L6869" s="166"/>
    </row>
    <row r="6870">
      <c r="A6870" s="163" t="s">
        <v>222</v>
      </c>
      <c r="B6870" s="163"/>
      <c r="C6870" s="163"/>
      <c r="J6870" s="165"/>
      <c r="K6870" s="166"/>
      <c r="L6870" s="166"/>
    </row>
    <row r="6871">
      <c r="A6871" s="163" t="s">
        <v>222</v>
      </c>
      <c r="B6871" s="163"/>
      <c r="C6871" s="163"/>
      <c r="J6871" s="165"/>
      <c r="K6871" s="166"/>
      <c r="L6871" s="166"/>
    </row>
    <row r="6872">
      <c r="A6872" s="163" t="s">
        <v>222</v>
      </c>
      <c r="B6872" s="163"/>
      <c r="C6872" s="163"/>
      <c r="J6872" s="165"/>
      <c r="K6872" s="166"/>
      <c r="L6872" s="166"/>
    </row>
    <row r="6873">
      <c r="A6873" s="163" t="s">
        <v>222</v>
      </c>
      <c r="B6873" s="163"/>
      <c r="C6873" s="163"/>
      <c r="J6873" s="165"/>
      <c r="K6873" s="166"/>
      <c r="L6873" s="166"/>
    </row>
    <row r="6874">
      <c r="A6874" s="163" t="s">
        <v>222</v>
      </c>
      <c r="B6874" s="163"/>
      <c r="C6874" s="163"/>
      <c r="J6874" s="165"/>
      <c r="K6874" s="166"/>
      <c r="L6874" s="166"/>
    </row>
    <row r="6875">
      <c r="A6875" s="163" t="s">
        <v>222</v>
      </c>
      <c r="B6875" s="163"/>
      <c r="C6875" s="163"/>
      <c r="J6875" s="165"/>
      <c r="K6875" s="166"/>
      <c r="L6875" s="166"/>
    </row>
    <row r="6876">
      <c r="A6876" s="163" t="s">
        <v>222</v>
      </c>
      <c r="B6876" s="163"/>
      <c r="C6876" s="163"/>
      <c r="J6876" s="165"/>
      <c r="K6876" s="166"/>
      <c r="L6876" s="166"/>
    </row>
    <row r="6877">
      <c r="A6877" s="163" t="s">
        <v>222</v>
      </c>
      <c r="B6877" s="163"/>
      <c r="C6877" s="163"/>
      <c r="J6877" s="165"/>
      <c r="K6877" s="166"/>
      <c r="L6877" s="166"/>
    </row>
    <row r="6878">
      <c r="A6878" s="163" t="s">
        <v>222</v>
      </c>
      <c r="B6878" s="163"/>
      <c r="C6878" s="163"/>
      <c r="J6878" s="165"/>
      <c r="K6878" s="166"/>
      <c r="L6878" s="166"/>
    </row>
    <row r="6879">
      <c r="A6879" s="163" t="s">
        <v>222</v>
      </c>
      <c r="B6879" s="163"/>
      <c r="C6879" s="163"/>
      <c r="J6879" s="165"/>
      <c r="K6879" s="166"/>
      <c r="L6879" s="166"/>
    </row>
    <row r="6880">
      <c r="A6880" s="163" t="s">
        <v>222</v>
      </c>
      <c r="B6880" s="163"/>
      <c r="C6880" s="163"/>
      <c r="J6880" s="165"/>
      <c r="K6880" s="166"/>
      <c r="L6880" s="166"/>
    </row>
    <row r="6881">
      <c r="A6881" s="163" t="s">
        <v>222</v>
      </c>
      <c r="B6881" s="163"/>
      <c r="C6881" s="163"/>
      <c r="J6881" s="165"/>
      <c r="K6881" s="166"/>
      <c r="L6881" s="166"/>
    </row>
    <row r="6882">
      <c r="A6882" s="163" t="s">
        <v>222</v>
      </c>
      <c r="B6882" s="163"/>
      <c r="C6882" s="163"/>
      <c r="J6882" s="165"/>
      <c r="K6882" s="166"/>
      <c r="L6882" s="166"/>
    </row>
    <row r="6883">
      <c r="A6883" s="163" t="s">
        <v>222</v>
      </c>
      <c r="B6883" s="163"/>
      <c r="C6883" s="163"/>
      <c r="J6883" s="165"/>
      <c r="K6883" s="166"/>
      <c r="L6883" s="166"/>
    </row>
    <row r="6884">
      <c r="A6884" s="163" t="s">
        <v>222</v>
      </c>
      <c r="B6884" s="163"/>
      <c r="C6884" s="163"/>
      <c r="J6884" s="165"/>
      <c r="K6884" s="166"/>
      <c r="L6884" s="166"/>
    </row>
    <row r="6885">
      <c r="A6885" s="163" t="s">
        <v>222</v>
      </c>
      <c r="B6885" s="163"/>
      <c r="C6885" s="163"/>
      <c r="J6885" s="165"/>
      <c r="K6885" s="166"/>
      <c r="L6885" s="166"/>
    </row>
    <row r="6886">
      <c r="A6886" s="163" t="s">
        <v>222</v>
      </c>
      <c r="B6886" s="163"/>
      <c r="C6886" s="163"/>
      <c r="J6886" s="165"/>
      <c r="K6886" s="166"/>
      <c r="L6886" s="166"/>
    </row>
    <row r="6887">
      <c r="A6887" s="163" t="s">
        <v>222</v>
      </c>
      <c r="B6887" s="163"/>
      <c r="C6887" s="163"/>
      <c r="J6887" s="165"/>
      <c r="K6887" s="166"/>
      <c r="L6887" s="166"/>
    </row>
    <row r="6888">
      <c r="A6888" s="163" t="s">
        <v>222</v>
      </c>
      <c r="B6888" s="163"/>
      <c r="C6888" s="163"/>
      <c r="J6888" s="165"/>
      <c r="K6888" s="166"/>
      <c r="L6888" s="166"/>
    </row>
    <row r="6889">
      <c r="A6889" s="163" t="s">
        <v>222</v>
      </c>
      <c r="B6889" s="163"/>
      <c r="C6889" s="163"/>
      <c r="J6889" s="165"/>
      <c r="K6889" s="166"/>
      <c r="L6889" s="166"/>
    </row>
    <row r="6890">
      <c r="A6890" s="163" t="s">
        <v>222</v>
      </c>
      <c r="B6890" s="163"/>
      <c r="C6890" s="163"/>
      <c r="J6890" s="165"/>
      <c r="K6890" s="166"/>
      <c r="L6890" s="166"/>
    </row>
    <row r="6891">
      <c r="A6891" s="163" t="s">
        <v>222</v>
      </c>
      <c r="B6891" s="163"/>
      <c r="C6891" s="163"/>
      <c r="J6891" s="165"/>
      <c r="K6891" s="166"/>
      <c r="L6891" s="166"/>
    </row>
    <row r="6892">
      <c r="A6892" s="163" t="s">
        <v>222</v>
      </c>
      <c r="B6892" s="163"/>
      <c r="C6892" s="163"/>
      <c r="J6892" s="165"/>
      <c r="K6892" s="166"/>
      <c r="L6892" s="166"/>
    </row>
    <row r="6893">
      <c r="A6893" s="163" t="s">
        <v>222</v>
      </c>
      <c r="B6893" s="163"/>
      <c r="C6893" s="163"/>
      <c r="J6893" s="165"/>
      <c r="K6893" s="166"/>
      <c r="L6893" s="166"/>
    </row>
    <row r="6894">
      <c r="A6894" s="163" t="s">
        <v>222</v>
      </c>
      <c r="B6894" s="163"/>
      <c r="C6894" s="163"/>
      <c r="J6894" s="165"/>
      <c r="K6894" s="166"/>
      <c r="L6894" s="166"/>
    </row>
    <row r="6895">
      <c r="A6895" s="163" t="s">
        <v>222</v>
      </c>
      <c r="B6895" s="163"/>
      <c r="C6895" s="163"/>
      <c r="J6895" s="165"/>
      <c r="K6895" s="166"/>
      <c r="L6895" s="166"/>
    </row>
    <row r="6896">
      <c r="A6896" s="163" t="s">
        <v>222</v>
      </c>
      <c r="B6896" s="163"/>
      <c r="C6896" s="163"/>
      <c r="J6896" s="165"/>
      <c r="K6896" s="166"/>
      <c r="L6896" s="166"/>
    </row>
    <row r="6897">
      <c r="A6897" s="163" t="s">
        <v>222</v>
      </c>
      <c r="B6897" s="163"/>
      <c r="C6897" s="163"/>
      <c r="J6897" s="165"/>
      <c r="K6897" s="166"/>
      <c r="L6897" s="166"/>
    </row>
    <row r="6898">
      <c r="A6898" s="163" t="s">
        <v>222</v>
      </c>
      <c r="B6898" s="163"/>
      <c r="C6898" s="163"/>
      <c r="J6898" s="165"/>
      <c r="K6898" s="166"/>
      <c r="L6898" s="166"/>
    </row>
    <row r="6899">
      <c r="A6899" s="163" t="s">
        <v>222</v>
      </c>
      <c r="B6899" s="163"/>
      <c r="C6899" s="163"/>
      <c r="J6899" s="165"/>
      <c r="K6899" s="166"/>
      <c r="L6899" s="166"/>
    </row>
    <row r="6900">
      <c r="A6900" s="163" t="s">
        <v>222</v>
      </c>
      <c r="B6900" s="163"/>
      <c r="C6900" s="163"/>
      <c r="J6900" s="165"/>
      <c r="K6900" s="166"/>
      <c r="L6900" s="166"/>
    </row>
    <row r="6901">
      <c r="A6901" s="163" t="s">
        <v>222</v>
      </c>
      <c r="B6901" s="163"/>
      <c r="C6901" s="163"/>
      <c r="J6901" s="165"/>
      <c r="K6901" s="166"/>
      <c r="L6901" s="166"/>
    </row>
    <row r="6902">
      <c r="A6902" s="163" t="s">
        <v>222</v>
      </c>
      <c r="B6902" s="163"/>
      <c r="C6902" s="163"/>
      <c r="J6902" s="165"/>
      <c r="K6902" s="166"/>
      <c r="L6902" s="166"/>
    </row>
    <row r="6903">
      <c r="A6903" s="163" t="s">
        <v>222</v>
      </c>
      <c r="B6903" s="163"/>
      <c r="C6903" s="163"/>
      <c r="J6903" s="165"/>
      <c r="K6903" s="166"/>
      <c r="L6903" s="166"/>
    </row>
    <row r="6904">
      <c r="A6904" s="163" t="s">
        <v>222</v>
      </c>
      <c r="B6904" s="163"/>
      <c r="C6904" s="163"/>
      <c r="J6904" s="165"/>
      <c r="K6904" s="166"/>
      <c r="L6904" s="166"/>
    </row>
    <row r="6905">
      <c r="A6905" s="163" t="s">
        <v>222</v>
      </c>
      <c r="B6905" s="163"/>
      <c r="C6905" s="163"/>
      <c r="J6905" s="165"/>
      <c r="K6905" s="166"/>
      <c r="L6905" s="166"/>
    </row>
    <row r="6906">
      <c r="A6906" s="163" t="s">
        <v>222</v>
      </c>
      <c r="B6906" s="163"/>
      <c r="C6906" s="163"/>
      <c r="J6906" s="165"/>
      <c r="K6906" s="166"/>
      <c r="L6906" s="166"/>
    </row>
    <row r="6907">
      <c r="A6907" s="163" t="s">
        <v>222</v>
      </c>
      <c r="B6907" s="163"/>
      <c r="C6907" s="163"/>
      <c r="J6907" s="165"/>
      <c r="K6907" s="166"/>
      <c r="L6907" s="166"/>
    </row>
    <row r="6908">
      <c r="A6908" s="163" t="s">
        <v>222</v>
      </c>
      <c r="B6908" s="163"/>
      <c r="C6908" s="163"/>
      <c r="J6908" s="165"/>
      <c r="K6908" s="166"/>
      <c r="L6908" s="166"/>
    </row>
    <row r="6909">
      <c r="A6909" s="163" t="s">
        <v>222</v>
      </c>
      <c r="B6909" s="163"/>
      <c r="C6909" s="163"/>
      <c r="J6909" s="165"/>
      <c r="K6909" s="166"/>
      <c r="L6909" s="166"/>
    </row>
    <row r="6910">
      <c r="A6910" s="163" t="s">
        <v>222</v>
      </c>
      <c r="B6910" s="163"/>
      <c r="C6910" s="163"/>
      <c r="J6910" s="165"/>
      <c r="K6910" s="166"/>
      <c r="L6910" s="166"/>
    </row>
    <row r="6911">
      <c r="A6911" s="163" t="s">
        <v>222</v>
      </c>
      <c r="B6911" s="163"/>
      <c r="C6911" s="163"/>
      <c r="J6911" s="165"/>
      <c r="K6911" s="166"/>
      <c r="L6911" s="166"/>
    </row>
    <row r="6912">
      <c r="A6912" s="163" t="s">
        <v>222</v>
      </c>
      <c r="B6912" s="163"/>
      <c r="C6912" s="163"/>
      <c r="J6912" s="165"/>
      <c r="K6912" s="166"/>
      <c r="L6912" s="166"/>
    </row>
    <row r="6913">
      <c r="A6913" s="163" t="s">
        <v>222</v>
      </c>
      <c r="B6913" s="163"/>
      <c r="C6913" s="163"/>
      <c r="J6913" s="165"/>
      <c r="K6913" s="166"/>
      <c r="L6913" s="166"/>
    </row>
    <row r="6914">
      <c r="A6914" s="163" t="s">
        <v>222</v>
      </c>
      <c r="B6914" s="163"/>
      <c r="C6914" s="163"/>
      <c r="J6914" s="165"/>
      <c r="K6914" s="166"/>
      <c r="L6914" s="166"/>
    </row>
    <row r="6915">
      <c r="A6915" s="163" t="s">
        <v>222</v>
      </c>
      <c r="B6915" s="163"/>
      <c r="C6915" s="163"/>
      <c r="J6915" s="165"/>
      <c r="K6915" s="166"/>
      <c r="L6915" s="166"/>
    </row>
    <row r="6916">
      <c r="A6916" s="163" t="s">
        <v>222</v>
      </c>
      <c r="B6916" s="163"/>
      <c r="C6916" s="163"/>
      <c r="J6916" s="165"/>
      <c r="K6916" s="166"/>
      <c r="L6916" s="166"/>
    </row>
    <row r="6917">
      <c r="A6917" s="163" t="s">
        <v>222</v>
      </c>
      <c r="B6917" s="163"/>
      <c r="C6917" s="163"/>
      <c r="J6917" s="165"/>
      <c r="K6917" s="166"/>
      <c r="L6917" s="166"/>
    </row>
    <row r="6918">
      <c r="A6918" s="163" t="s">
        <v>222</v>
      </c>
      <c r="B6918" s="163"/>
      <c r="C6918" s="163"/>
      <c r="J6918" s="165"/>
      <c r="K6918" s="166"/>
      <c r="L6918" s="166"/>
    </row>
    <row r="6919">
      <c r="A6919" s="163" t="s">
        <v>222</v>
      </c>
      <c r="B6919" s="163"/>
      <c r="C6919" s="163"/>
      <c r="J6919" s="165"/>
      <c r="K6919" s="166"/>
      <c r="L6919" s="166"/>
    </row>
    <row r="6920">
      <c r="A6920" s="163" t="s">
        <v>222</v>
      </c>
      <c r="B6920" s="163"/>
      <c r="C6920" s="163"/>
      <c r="J6920" s="165"/>
      <c r="K6920" s="166"/>
      <c r="L6920" s="166"/>
    </row>
    <row r="6921">
      <c r="A6921" s="163" t="s">
        <v>222</v>
      </c>
      <c r="B6921" s="163"/>
      <c r="C6921" s="163"/>
      <c r="J6921" s="165"/>
      <c r="K6921" s="166"/>
      <c r="L6921" s="166"/>
    </row>
    <row r="6922">
      <c r="A6922" s="163" t="s">
        <v>222</v>
      </c>
      <c r="B6922" s="163"/>
      <c r="C6922" s="163"/>
      <c r="J6922" s="165"/>
      <c r="K6922" s="166"/>
      <c r="L6922" s="166"/>
    </row>
    <row r="6923">
      <c r="A6923" s="163" t="s">
        <v>222</v>
      </c>
      <c r="B6923" s="163"/>
      <c r="C6923" s="163"/>
      <c r="J6923" s="165"/>
      <c r="K6923" s="166"/>
      <c r="L6923" s="166"/>
    </row>
    <row r="6924">
      <c r="A6924" s="163" t="s">
        <v>222</v>
      </c>
      <c r="B6924" s="163"/>
      <c r="C6924" s="163"/>
      <c r="J6924" s="165"/>
      <c r="K6924" s="166"/>
      <c r="L6924" s="166"/>
    </row>
    <row r="6925">
      <c r="A6925" s="163" t="s">
        <v>222</v>
      </c>
      <c r="B6925" s="163"/>
      <c r="C6925" s="163"/>
      <c r="J6925" s="165"/>
      <c r="K6925" s="166"/>
      <c r="L6925" s="166"/>
    </row>
    <row r="6926">
      <c r="A6926" s="163" t="s">
        <v>222</v>
      </c>
      <c r="B6926" s="163"/>
      <c r="C6926" s="163"/>
      <c r="J6926" s="165"/>
      <c r="K6926" s="166"/>
      <c r="L6926" s="166"/>
    </row>
    <row r="6927">
      <c r="A6927" s="163" t="s">
        <v>222</v>
      </c>
      <c r="B6927" s="163"/>
      <c r="C6927" s="163"/>
      <c r="J6927" s="165"/>
      <c r="K6927" s="166"/>
      <c r="L6927" s="166"/>
    </row>
    <row r="6928">
      <c r="A6928" s="163" t="s">
        <v>222</v>
      </c>
      <c r="B6928" s="163"/>
      <c r="C6928" s="163"/>
      <c r="J6928" s="165"/>
      <c r="K6928" s="166"/>
      <c r="L6928" s="166"/>
    </row>
    <row r="6929">
      <c r="A6929" s="163" t="s">
        <v>222</v>
      </c>
      <c r="B6929" s="163"/>
      <c r="C6929" s="163"/>
      <c r="J6929" s="165"/>
      <c r="K6929" s="166"/>
      <c r="L6929" s="166"/>
    </row>
    <row r="6930">
      <c r="A6930" s="163" t="s">
        <v>222</v>
      </c>
      <c r="B6930" s="163"/>
      <c r="C6930" s="163"/>
      <c r="J6930" s="165"/>
      <c r="K6930" s="166"/>
      <c r="L6930" s="166"/>
    </row>
    <row r="6931">
      <c r="A6931" s="163" t="s">
        <v>222</v>
      </c>
      <c r="B6931" s="163"/>
      <c r="C6931" s="163"/>
      <c r="J6931" s="165"/>
      <c r="K6931" s="166"/>
      <c r="L6931" s="166"/>
    </row>
    <row r="6932">
      <c r="A6932" s="163" t="s">
        <v>222</v>
      </c>
      <c r="B6932" s="163"/>
      <c r="C6932" s="163"/>
      <c r="J6932" s="165"/>
      <c r="K6932" s="166"/>
      <c r="L6932" s="166"/>
    </row>
    <row r="6933">
      <c r="A6933" s="163" t="s">
        <v>222</v>
      </c>
      <c r="B6933" s="163"/>
      <c r="C6933" s="163"/>
      <c r="J6933" s="165"/>
      <c r="K6933" s="166"/>
      <c r="L6933" s="166"/>
    </row>
    <row r="6934">
      <c r="A6934" s="163" t="s">
        <v>222</v>
      </c>
      <c r="B6934" s="163"/>
      <c r="C6934" s="163"/>
      <c r="J6934" s="165"/>
      <c r="K6934" s="166"/>
      <c r="L6934" s="166"/>
    </row>
    <row r="6935">
      <c r="A6935" s="163" t="s">
        <v>222</v>
      </c>
      <c r="B6935" s="163"/>
      <c r="C6935" s="163"/>
      <c r="J6935" s="165"/>
      <c r="K6935" s="166"/>
      <c r="L6935" s="166"/>
    </row>
    <row r="6936">
      <c r="A6936" s="163" t="s">
        <v>222</v>
      </c>
      <c r="B6936" s="163"/>
      <c r="C6936" s="163"/>
      <c r="J6936" s="165"/>
      <c r="K6936" s="166"/>
      <c r="L6936" s="166"/>
    </row>
    <row r="6937">
      <c r="A6937" s="163" t="s">
        <v>222</v>
      </c>
      <c r="B6937" s="163"/>
      <c r="C6937" s="163"/>
      <c r="J6937" s="165"/>
      <c r="K6937" s="166"/>
      <c r="L6937" s="166"/>
    </row>
    <row r="6938">
      <c r="A6938" s="163" t="s">
        <v>222</v>
      </c>
      <c r="B6938" s="163"/>
      <c r="C6938" s="163"/>
      <c r="J6938" s="165"/>
      <c r="K6938" s="166"/>
      <c r="L6938" s="166"/>
    </row>
    <row r="6939">
      <c r="A6939" s="163" t="s">
        <v>222</v>
      </c>
      <c r="B6939" s="163"/>
      <c r="C6939" s="163"/>
      <c r="J6939" s="165"/>
      <c r="K6939" s="166"/>
      <c r="L6939" s="166"/>
    </row>
    <row r="6940">
      <c r="A6940" s="163" t="s">
        <v>222</v>
      </c>
      <c r="B6940" s="163"/>
      <c r="C6940" s="163"/>
      <c r="J6940" s="165"/>
      <c r="K6940" s="166"/>
      <c r="L6940" s="166"/>
    </row>
    <row r="6941">
      <c r="A6941" s="163" t="s">
        <v>222</v>
      </c>
      <c r="B6941" s="163"/>
      <c r="C6941" s="163"/>
      <c r="J6941" s="165"/>
      <c r="K6941" s="166"/>
      <c r="L6941" s="166"/>
    </row>
    <row r="6942">
      <c r="A6942" s="163" t="s">
        <v>222</v>
      </c>
      <c r="B6942" s="163"/>
      <c r="C6942" s="163"/>
      <c r="J6942" s="165"/>
      <c r="K6942" s="166"/>
      <c r="L6942" s="166"/>
    </row>
    <row r="6943">
      <c r="A6943" s="163" t="s">
        <v>222</v>
      </c>
      <c r="B6943" s="163"/>
      <c r="C6943" s="163"/>
      <c r="J6943" s="165"/>
      <c r="K6943" s="166"/>
      <c r="L6943" s="166"/>
    </row>
    <row r="6944">
      <c r="A6944" s="163" t="s">
        <v>222</v>
      </c>
      <c r="B6944" s="163"/>
      <c r="C6944" s="163"/>
      <c r="J6944" s="165"/>
      <c r="K6944" s="166"/>
      <c r="L6944" s="166"/>
    </row>
    <row r="6945">
      <c r="A6945" s="163" t="s">
        <v>222</v>
      </c>
      <c r="B6945" s="163"/>
      <c r="C6945" s="163"/>
      <c r="J6945" s="165"/>
      <c r="K6945" s="166"/>
      <c r="L6945" s="166"/>
    </row>
    <row r="6946">
      <c r="A6946" s="163" t="s">
        <v>222</v>
      </c>
      <c r="B6946" s="163"/>
      <c r="C6946" s="163"/>
      <c r="J6946" s="165"/>
      <c r="K6946" s="166"/>
      <c r="L6946" s="166"/>
    </row>
    <row r="6947">
      <c r="A6947" s="163" t="s">
        <v>222</v>
      </c>
      <c r="B6947" s="163"/>
      <c r="C6947" s="163"/>
      <c r="J6947" s="165"/>
      <c r="K6947" s="166"/>
      <c r="L6947" s="166"/>
    </row>
    <row r="6948">
      <c r="A6948" s="163" t="s">
        <v>222</v>
      </c>
      <c r="B6948" s="163"/>
      <c r="C6948" s="163"/>
      <c r="J6948" s="165"/>
      <c r="K6948" s="166"/>
      <c r="L6948" s="166"/>
    </row>
    <row r="6949">
      <c r="A6949" s="163" t="s">
        <v>222</v>
      </c>
      <c r="B6949" s="163"/>
      <c r="C6949" s="163"/>
      <c r="J6949" s="165"/>
      <c r="K6949" s="166"/>
      <c r="L6949" s="166"/>
    </row>
    <row r="6950">
      <c r="A6950" s="163" t="s">
        <v>222</v>
      </c>
      <c r="B6950" s="163"/>
      <c r="C6950" s="163"/>
      <c r="J6950" s="165"/>
      <c r="K6950" s="166"/>
      <c r="L6950" s="166"/>
    </row>
    <row r="6951">
      <c r="A6951" s="163" t="s">
        <v>222</v>
      </c>
      <c r="B6951" s="163"/>
      <c r="C6951" s="163"/>
      <c r="J6951" s="165"/>
      <c r="K6951" s="166"/>
      <c r="L6951" s="166"/>
    </row>
    <row r="6952">
      <c r="A6952" s="163" t="s">
        <v>222</v>
      </c>
      <c r="B6952" s="163"/>
      <c r="C6952" s="163"/>
      <c r="J6952" s="165"/>
      <c r="K6952" s="166"/>
      <c r="L6952" s="166"/>
    </row>
    <row r="6953">
      <c r="A6953" s="163" t="s">
        <v>222</v>
      </c>
      <c r="B6953" s="163"/>
      <c r="C6953" s="163"/>
      <c r="J6953" s="165"/>
      <c r="K6953" s="166"/>
      <c r="L6953" s="166"/>
    </row>
    <row r="6954">
      <c r="A6954" s="163" t="s">
        <v>222</v>
      </c>
      <c r="B6954" s="163"/>
      <c r="C6954" s="163"/>
      <c r="J6954" s="165"/>
      <c r="K6954" s="166"/>
      <c r="L6954" s="166"/>
    </row>
    <row r="6955">
      <c r="A6955" s="163" t="s">
        <v>222</v>
      </c>
      <c r="B6955" s="163"/>
      <c r="C6955" s="163"/>
      <c r="J6955" s="165"/>
      <c r="K6955" s="166"/>
      <c r="L6955" s="166"/>
    </row>
    <row r="6956">
      <c r="A6956" s="163" t="s">
        <v>222</v>
      </c>
      <c r="B6956" s="163"/>
      <c r="C6956" s="163"/>
      <c r="J6956" s="165"/>
      <c r="K6956" s="166"/>
      <c r="L6956" s="166"/>
    </row>
    <row r="6957">
      <c r="A6957" s="163" t="s">
        <v>222</v>
      </c>
      <c r="B6957" s="163"/>
      <c r="C6957" s="163"/>
      <c r="J6957" s="165"/>
      <c r="K6957" s="166"/>
      <c r="L6957" s="166"/>
    </row>
    <row r="6958">
      <c r="A6958" s="163" t="s">
        <v>222</v>
      </c>
      <c r="B6958" s="163"/>
      <c r="C6958" s="163"/>
      <c r="J6958" s="165"/>
      <c r="K6958" s="166"/>
      <c r="L6958" s="166"/>
    </row>
    <row r="6959">
      <c r="A6959" s="163" t="s">
        <v>222</v>
      </c>
      <c r="B6959" s="163"/>
      <c r="C6959" s="163"/>
      <c r="J6959" s="165"/>
      <c r="K6959" s="166"/>
      <c r="L6959" s="166"/>
    </row>
    <row r="6960">
      <c r="A6960" s="163" t="s">
        <v>222</v>
      </c>
      <c r="B6960" s="163"/>
      <c r="C6960" s="163"/>
      <c r="J6960" s="165"/>
      <c r="K6960" s="166"/>
      <c r="L6960" s="166"/>
    </row>
    <row r="6961">
      <c r="A6961" s="163" t="s">
        <v>222</v>
      </c>
      <c r="B6961" s="163"/>
      <c r="C6961" s="163"/>
      <c r="J6961" s="165"/>
      <c r="K6961" s="166"/>
      <c r="L6961" s="166"/>
    </row>
    <row r="6962">
      <c r="A6962" s="163" t="s">
        <v>222</v>
      </c>
      <c r="B6962" s="163"/>
      <c r="C6962" s="163"/>
      <c r="J6962" s="165"/>
      <c r="K6962" s="166"/>
      <c r="L6962" s="166"/>
    </row>
    <row r="6963">
      <c r="A6963" s="163" t="s">
        <v>222</v>
      </c>
      <c r="B6963" s="163"/>
      <c r="C6963" s="163"/>
      <c r="J6963" s="165"/>
      <c r="K6963" s="166"/>
      <c r="L6963" s="166"/>
    </row>
    <row r="6964">
      <c r="A6964" s="163" t="s">
        <v>222</v>
      </c>
      <c r="B6964" s="163"/>
      <c r="C6964" s="163"/>
      <c r="J6964" s="165"/>
      <c r="K6964" s="166"/>
      <c r="L6964" s="166"/>
    </row>
    <row r="6965">
      <c r="A6965" s="163" t="s">
        <v>222</v>
      </c>
      <c r="B6965" s="163"/>
      <c r="C6965" s="163"/>
      <c r="J6965" s="165"/>
      <c r="K6965" s="166"/>
      <c r="L6965" s="166"/>
    </row>
    <row r="6966">
      <c r="A6966" s="163" t="s">
        <v>222</v>
      </c>
      <c r="B6966" s="163"/>
      <c r="C6966" s="163"/>
      <c r="J6966" s="165"/>
      <c r="K6966" s="166"/>
      <c r="L6966" s="166"/>
    </row>
    <row r="6967">
      <c r="A6967" s="163" t="s">
        <v>222</v>
      </c>
      <c r="B6967" s="163"/>
      <c r="C6967" s="163"/>
      <c r="J6967" s="165"/>
      <c r="K6967" s="166"/>
      <c r="L6967" s="166"/>
    </row>
    <row r="6968">
      <c r="A6968" s="163" t="s">
        <v>222</v>
      </c>
      <c r="B6968" s="163"/>
      <c r="C6968" s="163"/>
      <c r="J6968" s="165"/>
      <c r="K6968" s="166"/>
      <c r="L6968" s="166"/>
    </row>
    <row r="6969">
      <c r="A6969" s="163" t="s">
        <v>222</v>
      </c>
      <c r="B6969" s="163"/>
      <c r="C6969" s="163"/>
      <c r="J6969" s="165"/>
      <c r="K6969" s="166"/>
      <c r="L6969" s="166"/>
    </row>
    <row r="6970">
      <c r="A6970" s="163" t="s">
        <v>222</v>
      </c>
      <c r="B6970" s="163"/>
      <c r="C6970" s="163"/>
      <c r="J6970" s="165"/>
      <c r="K6970" s="166"/>
      <c r="L6970" s="166"/>
    </row>
    <row r="6971">
      <c r="A6971" s="163" t="s">
        <v>222</v>
      </c>
      <c r="B6971" s="163"/>
      <c r="C6971" s="163"/>
      <c r="J6971" s="165"/>
      <c r="K6971" s="166"/>
      <c r="L6971" s="166"/>
    </row>
    <row r="6972">
      <c r="A6972" s="163" t="s">
        <v>222</v>
      </c>
      <c r="B6972" s="163"/>
      <c r="C6972" s="163"/>
      <c r="J6972" s="165"/>
      <c r="K6972" s="166"/>
      <c r="L6972" s="166"/>
    </row>
    <row r="6973">
      <c r="A6973" s="163" t="s">
        <v>222</v>
      </c>
      <c r="B6973" s="163"/>
      <c r="C6973" s="163"/>
      <c r="J6973" s="165"/>
      <c r="K6973" s="166"/>
      <c r="L6973" s="166"/>
    </row>
    <row r="6974">
      <c r="A6974" s="163" t="s">
        <v>222</v>
      </c>
      <c r="B6974" s="163"/>
      <c r="C6974" s="163"/>
      <c r="J6974" s="165"/>
      <c r="K6974" s="166"/>
      <c r="L6974" s="166"/>
    </row>
    <row r="6975">
      <c r="A6975" s="163" t="s">
        <v>222</v>
      </c>
      <c r="B6975" s="163"/>
      <c r="C6975" s="163"/>
      <c r="J6975" s="165"/>
      <c r="K6975" s="166"/>
      <c r="L6975" s="166"/>
    </row>
    <row r="6976">
      <c r="A6976" s="163" t="s">
        <v>222</v>
      </c>
      <c r="B6976" s="163"/>
      <c r="C6976" s="163"/>
      <c r="J6976" s="165"/>
      <c r="K6976" s="166"/>
      <c r="L6976" s="166"/>
    </row>
    <row r="6977">
      <c r="A6977" s="163" t="s">
        <v>222</v>
      </c>
      <c r="B6977" s="163"/>
      <c r="C6977" s="163"/>
      <c r="J6977" s="165"/>
      <c r="K6977" s="166"/>
      <c r="L6977" s="166"/>
    </row>
    <row r="6978">
      <c r="A6978" s="163" t="s">
        <v>222</v>
      </c>
      <c r="B6978" s="163"/>
      <c r="C6978" s="163"/>
      <c r="J6978" s="165"/>
      <c r="K6978" s="166"/>
      <c r="L6978" s="166"/>
    </row>
    <row r="6979">
      <c r="A6979" s="163" t="s">
        <v>222</v>
      </c>
      <c r="B6979" s="163"/>
      <c r="C6979" s="163"/>
      <c r="J6979" s="165"/>
      <c r="K6979" s="166"/>
      <c r="L6979" s="166"/>
    </row>
    <row r="6980">
      <c r="A6980" s="163" t="s">
        <v>222</v>
      </c>
      <c r="B6980" s="163"/>
      <c r="C6980" s="163"/>
      <c r="J6980" s="165"/>
      <c r="K6980" s="166"/>
      <c r="L6980" s="166"/>
    </row>
    <row r="6981">
      <c r="A6981" s="163" t="s">
        <v>222</v>
      </c>
      <c r="B6981" s="163"/>
      <c r="C6981" s="163"/>
      <c r="J6981" s="165"/>
      <c r="K6981" s="166"/>
      <c r="L6981" s="166"/>
    </row>
    <row r="6982">
      <c r="A6982" s="163" t="s">
        <v>222</v>
      </c>
      <c r="B6982" s="163"/>
      <c r="C6982" s="163"/>
      <c r="J6982" s="165"/>
      <c r="K6982" s="166"/>
      <c r="L6982" s="166"/>
    </row>
    <row r="6983">
      <c r="A6983" s="163" t="s">
        <v>222</v>
      </c>
      <c r="B6983" s="163"/>
      <c r="C6983" s="163"/>
      <c r="J6983" s="165"/>
      <c r="K6983" s="166"/>
      <c r="L6983" s="166"/>
    </row>
    <row r="6984">
      <c r="A6984" s="163" t="s">
        <v>222</v>
      </c>
      <c r="B6984" s="163"/>
      <c r="C6984" s="163"/>
      <c r="J6984" s="165"/>
      <c r="K6984" s="166"/>
      <c r="L6984" s="166"/>
    </row>
    <row r="6985">
      <c r="A6985" s="163" t="s">
        <v>222</v>
      </c>
      <c r="B6985" s="163"/>
      <c r="C6985" s="163"/>
      <c r="J6985" s="165"/>
      <c r="K6985" s="166"/>
      <c r="L6985" s="166"/>
    </row>
    <row r="6986">
      <c r="A6986" s="163" t="s">
        <v>222</v>
      </c>
      <c r="B6986" s="163"/>
      <c r="C6986" s="163"/>
      <c r="J6986" s="165"/>
      <c r="K6986" s="166"/>
      <c r="L6986" s="166"/>
    </row>
    <row r="6987">
      <c r="A6987" s="163" t="s">
        <v>222</v>
      </c>
      <c r="B6987" s="163"/>
      <c r="C6987" s="163"/>
      <c r="J6987" s="165"/>
      <c r="K6987" s="166"/>
      <c r="L6987" s="166"/>
    </row>
    <row r="6988">
      <c r="A6988" s="163" t="s">
        <v>222</v>
      </c>
      <c r="B6988" s="163"/>
      <c r="C6988" s="163"/>
      <c r="J6988" s="165"/>
      <c r="K6988" s="166"/>
      <c r="L6988" s="166"/>
    </row>
    <row r="6989">
      <c r="A6989" s="163" t="s">
        <v>222</v>
      </c>
      <c r="B6989" s="163"/>
      <c r="C6989" s="163"/>
      <c r="J6989" s="165"/>
      <c r="K6989" s="166"/>
      <c r="L6989" s="166"/>
    </row>
    <row r="6990">
      <c r="A6990" s="163" t="s">
        <v>222</v>
      </c>
      <c r="B6990" s="163"/>
      <c r="C6990" s="163"/>
      <c r="J6990" s="165"/>
      <c r="K6990" s="166"/>
      <c r="L6990" s="166"/>
    </row>
    <row r="6991">
      <c r="A6991" s="163" t="s">
        <v>222</v>
      </c>
      <c r="B6991" s="163"/>
      <c r="C6991" s="163"/>
      <c r="J6991" s="165"/>
      <c r="K6991" s="166"/>
      <c r="L6991" s="166"/>
    </row>
    <row r="6992">
      <c r="A6992" s="163" t="s">
        <v>222</v>
      </c>
      <c r="B6992" s="163"/>
      <c r="C6992" s="163"/>
      <c r="J6992" s="165"/>
      <c r="K6992" s="166"/>
      <c r="L6992" s="166"/>
    </row>
    <row r="6993">
      <c r="A6993" s="163" t="s">
        <v>222</v>
      </c>
      <c r="B6993" s="163"/>
      <c r="C6993" s="163"/>
      <c r="J6993" s="165"/>
      <c r="K6993" s="166"/>
      <c r="L6993" s="166"/>
    </row>
    <row r="6994">
      <c r="A6994" s="163" t="s">
        <v>222</v>
      </c>
      <c r="B6994" s="163"/>
      <c r="C6994" s="163"/>
      <c r="J6994" s="165"/>
      <c r="K6994" s="166"/>
      <c r="L6994" s="166"/>
    </row>
    <row r="6995">
      <c r="A6995" s="163" t="s">
        <v>222</v>
      </c>
      <c r="B6995" s="163"/>
      <c r="C6995" s="163"/>
      <c r="J6995" s="165"/>
      <c r="K6995" s="166"/>
      <c r="L6995" s="166"/>
    </row>
    <row r="6996">
      <c r="A6996" s="163" t="s">
        <v>222</v>
      </c>
      <c r="B6996" s="163"/>
      <c r="C6996" s="163"/>
      <c r="J6996" s="165"/>
      <c r="K6996" s="166"/>
      <c r="L6996" s="166"/>
    </row>
    <row r="6997">
      <c r="A6997" s="163" t="s">
        <v>222</v>
      </c>
      <c r="B6997" s="163"/>
      <c r="C6997" s="163"/>
      <c r="J6997" s="165"/>
      <c r="K6997" s="166"/>
      <c r="L6997" s="166"/>
    </row>
    <row r="6998">
      <c r="A6998" s="163" t="s">
        <v>222</v>
      </c>
      <c r="B6998" s="163"/>
      <c r="C6998" s="163"/>
      <c r="J6998" s="165"/>
      <c r="K6998" s="166"/>
      <c r="L6998" s="166"/>
    </row>
    <row r="6999">
      <c r="A6999" s="163" t="s">
        <v>222</v>
      </c>
      <c r="B6999" s="163"/>
      <c r="C6999" s="163"/>
      <c r="J6999" s="165"/>
      <c r="K6999" s="166"/>
      <c r="L6999" s="166"/>
    </row>
    <row r="7000">
      <c r="A7000" s="163" t="s">
        <v>222</v>
      </c>
      <c r="B7000" s="163"/>
      <c r="C7000" s="163"/>
      <c r="J7000" s="165"/>
      <c r="K7000" s="166"/>
      <c r="L7000" s="166"/>
    </row>
    <row r="7001">
      <c r="A7001" s="163" t="s">
        <v>222</v>
      </c>
      <c r="B7001" s="163"/>
      <c r="C7001" s="163"/>
      <c r="J7001" s="165"/>
      <c r="K7001" s="166"/>
      <c r="L7001" s="166"/>
    </row>
    <row r="7002">
      <c r="A7002" s="163" t="s">
        <v>222</v>
      </c>
      <c r="B7002" s="163"/>
      <c r="C7002" s="163"/>
      <c r="J7002" s="165"/>
      <c r="K7002" s="166"/>
      <c r="L7002" s="166"/>
    </row>
    <row r="7003">
      <c r="A7003" s="163" t="s">
        <v>222</v>
      </c>
      <c r="B7003" s="163"/>
      <c r="C7003" s="163"/>
      <c r="J7003" s="165"/>
      <c r="K7003" s="166"/>
      <c r="L7003" s="166"/>
    </row>
    <row r="7004">
      <c r="A7004" s="163" t="s">
        <v>222</v>
      </c>
      <c r="B7004" s="163"/>
      <c r="C7004" s="163"/>
      <c r="J7004" s="165"/>
      <c r="K7004" s="166"/>
      <c r="L7004" s="166"/>
    </row>
    <row r="7005">
      <c r="A7005" s="163" t="s">
        <v>222</v>
      </c>
      <c r="B7005" s="163"/>
      <c r="C7005" s="163"/>
      <c r="J7005" s="165"/>
      <c r="K7005" s="166"/>
      <c r="L7005" s="166"/>
    </row>
    <row r="7006">
      <c r="A7006" s="163" t="s">
        <v>222</v>
      </c>
      <c r="B7006" s="163"/>
      <c r="C7006" s="163"/>
      <c r="J7006" s="165"/>
      <c r="K7006" s="166"/>
      <c r="L7006" s="166"/>
    </row>
    <row r="7007">
      <c r="A7007" s="163" t="s">
        <v>222</v>
      </c>
      <c r="B7007" s="163"/>
      <c r="C7007" s="163"/>
      <c r="J7007" s="165"/>
      <c r="K7007" s="166"/>
      <c r="L7007" s="166"/>
    </row>
    <row r="7008">
      <c r="A7008" s="163" t="s">
        <v>222</v>
      </c>
      <c r="B7008" s="163"/>
      <c r="C7008" s="163"/>
      <c r="J7008" s="165"/>
      <c r="K7008" s="166"/>
      <c r="L7008" s="166"/>
    </row>
    <row r="7009">
      <c r="A7009" s="163" t="s">
        <v>222</v>
      </c>
      <c r="B7009" s="163"/>
      <c r="C7009" s="163"/>
      <c r="J7009" s="165"/>
      <c r="K7009" s="166"/>
      <c r="L7009" s="166"/>
    </row>
    <row r="7010">
      <c r="A7010" s="163" t="s">
        <v>222</v>
      </c>
      <c r="B7010" s="163"/>
      <c r="C7010" s="163"/>
      <c r="J7010" s="165"/>
      <c r="K7010" s="166"/>
      <c r="L7010" s="166"/>
    </row>
    <row r="7011">
      <c r="A7011" s="163" t="s">
        <v>222</v>
      </c>
      <c r="B7011" s="163"/>
      <c r="C7011" s="163"/>
      <c r="J7011" s="165"/>
      <c r="K7011" s="166"/>
      <c r="L7011" s="166"/>
    </row>
    <row r="7012">
      <c r="A7012" s="163" t="s">
        <v>222</v>
      </c>
      <c r="B7012" s="163"/>
      <c r="C7012" s="163"/>
      <c r="J7012" s="165"/>
      <c r="K7012" s="166"/>
      <c r="L7012" s="166"/>
    </row>
    <row r="7013">
      <c r="A7013" s="163" t="s">
        <v>222</v>
      </c>
      <c r="B7013" s="163"/>
      <c r="C7013" s="163"/>
      <c r="J7013" s="165"/>
      <c r="K7013" s="166"/>
      <c r="L7013" s="166"/>
    </row>
    <row r="7014">
      <c r="A7014" s="163" t="s">
        <v>222</v>
      </c>
      <c r="B7014" s="163"/>
      <c r="C7014" s="163"/>
      <c r="J7014" s="165"/>
      <c r="K7014" s="166"/>
      <c r="L7014" s="166"/>
    </row>
    <row r="7015">
      <c r="A7015" s="163" t="s">
        <v>222</v>
      </c>
      <c r="B7015" s="163"/>
      <c r="C7015" s="163"/>
      <c r="J7015" s="165"/>
      <c r="K7015" s="166"/>
      <c r="L7015" s="166"/>
    </row>
    <row r="7016">
      <c r="A7016" s="163" t="s">
        <v>222</v>
      </c>
      <c r="B7016" s="163"/>
      <c r="C7016" s="163"/>
      <c r="J7016" s="165"/>
      <c r="K7016" s="166"/>
      <c r="L7016" s="166"/>
    </row>
    <row r="7017">
      <c r="A7017" s="163" t="s">
        <v>222</v>
      </c>
      <c r="B7017" s="163"/>
      <c r="C7017" s="163"/>
      <c r="J7017" s="165"/>
      <c r="K7017" s="166"/>
      <c r="L7017" s="166"/>
    </row>
    <row r="7018">
      <c r="A7018" s="163" t="s">
        <v>222</v>
      </c>
      <c r="B7018" s="163"/>
      <c r="C7018" s="163"/>
      <c r="J7018" s="165"/>
      <c r="K7018" s="166"/>
      <c r="L7018" s="166"/>
    </row>
    <row r="7019">
      <c r="A7019" s="163" t="s">
        <v>222</v>
      </c>
      <c r="B7019" s="163"/>
      <c r="C7019" s="163"/>
      <c r="J7019" s="165"/>
      <c r="K7019" s="166"/>
      <c r="L7019" s="166"/>
    </row>
    <row r="7020">
      <c r="A7020" s="163" t="s">
        <v>222</v>
      </c>
      <c r="B7020" s="163"/>
      <c r="C7020" s="163"/>
      <c r="J7020" s="165"/>
      <c r="K7020" s="166"/>
      <c r="L7020" s="166"/>
    </row>
    <row r="7021">
      <c r="A7021" s="163" t="s">
        <v>222</v>
      </c>
      <c r="B7021" s="163"/>
      <c r="C7021" s="163"/>
      <c r="J7021" s="165"/>
      <c r="K7021" s="166"/>
      <c r="L7021" s="166"/>
    </row>
    <row r="7022">
      <c r="A7022" s="163" t="s">
        <v>222</v>
      </c>
      <c r="B7022" s="163"/>
      <c r="C7022" s="163"/>
      <c r="J7022" s="165"/>
      <c r="K7022" s="166"/>
      <c r="L7022" s="166"/>
    </row>
    <row r="7023">
      <c r="A7023" s="163" t="s">
        <v>222</v>
      </c>
      <c r="B7023" s="163"/>
      <c r="C7023" s="163"/>
      <c r="J7023" s="165"/>
      <c r="K7023" s="166"/>
      <c r="L7023" s="166"/>
    </row>
    <row r="7024">
      <c r="A7024" s="163" t="s">
        <v>222</v>
      </c>
      <c r="B7024" s="163"/>
      <c r="C7024" s="163"/>
      <c r="J7024" s="165"/>
      <c r="K7024" s="166"/>
      <c r="L7024" s="166"/>
    </row>
    <row r="7025">
      <c r="A7025" s="163" t="s">
        <v>222</v>
      </c>
      <c r="B7025" s="163"/>
      <c r="C7025" s="163"/>
      <c r="J7025" s="165"/>
      <c r="K7025" s="166"/>
      <c r="L7025" s="166"/>
    </row>
    <row r="7026">
      <c r="A7026" s="163" t="s">
        <v>222</v>
      </c>
      <c r="B7026" s="163"/>
      <c r="C7026" s="163"/>
      <c r="J7026" s="165"/>
      <c r="K7026" s="166"/>
      <c r="L7026" s="166"/>
    </row>
    <row r="7027">
      <c r="A7027" s="163" t="s">
        <v>222</v>
      </c>
      <c r="B7027" s="163"/>
      <c r="C7027" s="163"/>
      <c r="J7027" s="165"/>
      <c r="K7027" s="166"/>
      <c r="L7027" s="166"/>
    </row>
    <row r="7028">
      <c r="A7028" s="163" t="s">
        <v>222</v>
      </c>
      <c r="B7028" s="163"/>
      <c r="C7028" s="163"/>
      <c r="J7028" s="165"/>
      <c r="K7028" s="166"/>
      <c r="L7028" s="166"/>
    </row>
    <row r="7029">
      <c r="A7029" s="163" t="s">
        <v>222</v>
      </c>
      <c r="B7029" s="163"/>
      <c r="C7029" s="163"/>
      <c r="J7029" s="165"/>
      <c r="K7029" s="166"/>
      <c r="L7029" s="166"/>
    </row>
    <row r="7030">
      <c r="A7030" s="163" t="s">
        <v>222</v>
      </c>
      <c r="B7030" s="163"/>
      <c r="C7030" s="163"/>
      <c r="J7030" s="165"/>
      <c r="K7030" s="166"/>
      <c r="L7030" s="166"/>
    </row>
    <row r="7031">
      <c r="A7031" s="163" t="s">
        <v>222</v>
      </c>
      <c r="B7031" s="163"/>
      <c r="C7031" s="163"/>
      <c r="J7031" s="165"/>
      <c r="K7031" s="166"/>
      <c r="L7031" s="166"/>
    </row>
    <row r="7032">
      <c r="A7032" s="163" t="s">
        <v>222</v>
      </c>
      <c r="B7032" s="163"/>
      <c r="C7032" s="163"/>
      <c r="J7032" s="165"/>
      <c r="K7032" s="166"/>
      <c r="L7032" s="166"/>
    </row>
    <row r="7033">
      <c r="A7033" s="163" t="s">
        <v>222</v>
      </c>
      <c r="B7033" s="163"/>
      <c r="C7033" s="163"/>
      <c r="J7033" s="165"/>
      <c r="K7033" s="166"/>
      <c r="L7033" s="166"/>
    </row>
    <row r="7034">
      <c r="A7034" s="163" t="s">
        <v>222</v>
      </c>
      <c r="B7034" s="163"/>
      <c r="C7034" s="163"/>
      <c r="J7034" s="165"/>
      <c r="K7034" s="166"/>
      <c r="L7034" s="166"/>
    </row>
    <row r="7035">
      <c r="A7035" s="163" t="s">
        <v>222</v>
      </c>
      <c r="B7035" s="163"/>
      <c r="C7035" s="163"/>
      <c r="J7035" s="165"/>
      <c r="K7035" s="166"/>
      <c r="L7035" s="166"/>
    </row>
    <row r="7036">
      <c r="A7036" s="163" t="s">
        <v>222</v>
      </c>
      <c r="B7036" s="163"/>
      <c r="C7036" s="163"/>
      <c r="J7036" s="165"/>
      <c r="K7036" s="166"/>
      <c r="L7036" s="166"/>
    </row>
    <row r="7037">
      <c r="A7037" s="163" t="s">
        <v>222</v>
      </c>
      <c r="B7037" s="163"/>
      <c r="C7037" s="163"/>
      <c r="J7037" s="165"/>
      <c r="K7037" s="166"/>
      <c r="L7037" s="166"/>
    </row>
    <row r="7038">
      <c r="A7038" s="163" t="s">
        <v>222</v>
      </c>
      <c r="B7038" s="163"/>
      <c r="C7038" s="163"/>
      <c r="J7038" s="165"/>
      <c r="K7038" s="166"/>
      <c r="L7038" s="166"/>
    </row>
    <row r="7039">
      <c r="A7039" s="163" t="s">
        <v>222</v>
      </c>
      <c r="B7039" s="163"/>
      <c r="C7039" s="163"/>
      <c r="J7039" s="165"/>
      <c r="K7039" s="166"/>
      <c r="L7039" s="166"/>
    </row>
    <row r="7040">
      <c r="A7040" s="163" t="s">
        <v>222</v>
      </c>
      <c r="B7040" s="163"/>
      <c r="C7040" s="163"/>
      <c r="J7040" s="165"/>
      <c r="K7040" s="166"/>
      <c r="L7040" s="166"/>
    </row>
    <row r="7041">
      <c r="A7041" s="163" t="s">
        <v>222</v>
      </c>
      <c r="B7041" s="163"/>
      <c r="C7041" s="163"/>
      <c r="J7041" s="165"/>
      <c r="K7041" s="166"/>
      <c r="L7041" s="166"/>
    </row>
    <row r="7042">
      <c r="A7042" s="163" t="s">
        <v>222</v>
      </c>
      <c r="B7042" s="163"/>
      <c r="C7042" s="163"/>
      <c r="J7042" s="165"/>
      <c r="K7042" s="166"/>
      <c r="L7042" s="166"/>
    </row>
    <row r="7043">
      <c r="A7043" s="163" t="s">
        <v>222</v>
      </c>
      <c r="B7043" s="163"/>
      <c r="C7043" s="163"/>
      <c r="J7043" s="165"/>
      <c r="K7043" s="166"/>
      <c r="L7043" s="166"/>
    </row>
    <row r="7044">
      <c r="A7044" s="163" t="s">
        <v>222</v>
      </c>
      <c r="B7044" s="163"/>
      <c r="C7044" s="163"/>
      <c r="J7044" s="165"/>
      <c r="K7044" s="166"/>
      <c r="L7044" s="166"/>
    </row>
    <row r="7045">
      <c r="A7045" s="163" t="s">
        <v>222</v>
      </c>
      <c r="B7045" s="163"/>
      <c r="C7045" s="163"/>
      <c r="J7045" s="165"/>
      <c r="K7045" s="166"/>
      <c r="L7045" s="166"/>
    </row>
    <row r="7046">
      <c r="A7046" s="163" t="s">
        <v>222</v>
      </c>
      <c r="B7046" s="163"/>
      <c r="C7046" s="163"/>
      <c r="J7046" s="165"/>
      <c r="K7046" s="166"/>
      <c r="L7046" s="166"/>
    </row>
    <row r="7047">
      <c r="A7047" s="163" t="s">
        <v>222</v>
      </c>
      <c r="B7047" s="163"/>
      <c r="C7047" s="163"/>
      <c r="J7047" s="165"/>
      <c r="K7047" s="166"/>
      <c r="L7047" s="166"/>
    </row>
    <row r="7048">
      <c r="A7048" s="163" t="s">
        <v>222</v>
      </c>
      <c r="B7048" s="163"/>
      <c r="C7048" s="163"/>
      <c r="J7048" s="165"/>
      <c r="K7048" s="166"/>
      <c r="L7048" s="166"/>
    </row>
    <row r="7049">
      <c r="A7049" s="163" t="s">
        <v>222</v>
      </c>
      <c r="B7049" s="163"/>
      <c r="C7049" s="163"/>
      <c r="J7049" s="165"/>
      <c r="K7049" s="166"/>
      <c r="L7049" s="166"/>
    </row>
    <row r="7050">
      <c r="A7050" s="163" t="s">
        <v>222</v>
      </c>
      <c r="B7050" s="163"/>
      <c r="C7050" s="163"/>
      <c r="J7050" s="165"/>
      <c r="K7050" s="166"/>
      <c r="L7050" s="166"/>
    </row>
    <row r="7051">
      <c r="A7051" s="163" t="s">
        <v>222</v>
      </c>
      <c r="B7051" s="163"/>
      <c r="C7051" s="163"/>
      <c r="J7051" s="165"/>
      <c r="K7051" s="166"/>
      <c r="L7051" s="166"/>
    </row>
    <row r="7052">
      <c r="A7052" s="163" t="s">
        <v>222</v>
      </c>
      <c r="B7052" s="163"/>
      <c r="C7052" s="163"/>
      <c r="J7052" s="165"/>
      <c r="K7052" s="166"/>
      <c r="L7052" s="166"/>
    </row>
    <row r="7053">
      <c r="A7053" s="163" t="s">
        <v>222</v>
      </c>
      <c r="B7053" s="163"/>
      <c r="C7053" s="163"/>
      <c r="J7053" s="165"/>
      <c r="K7053" s="166"/>
      <c r="L7053" s="166"/>
    </row>
    <row r="7054">
      <c r="A7054" s="163" t="s">
        <v>222</v>
      </c>
      <c r="B7054" s="163"/>
      <c r="C7054" s="163"/>
      <c r="J7054" s="165"/>
      <c r="K7054" s="166"/>
      <c r="L7054" s="166"/>
    </row>
    <row r="7055">
      <c r="A7055" s="163" t="s">
        <v>222</v>
      </c>
      <c r="B7055" s="163"/>
      <c r="C7055" s="163"/>
      <c r="J7055" s="165"/>
      <c r="K7055" s="166"/>
      <c r="L7055" s="166"/>
    </row>
    <row r="7056">
      <c r="A7056" s="163" t="s">
        <v>222</v>
      </c>
      <c r="B7056" s="163"/>
      <c r="C7056" s="163"/>
      <c r="J7056" s="165"/>
      <c r="K7056" s="166"/>
      <c r="L7056" s="166"/>
    </row>
    <row r="7057">
      <c r="A7057" s="163" t="s">
        <v>222</v>
      </c>
      <c r="B7057" s="163"/>
      <c r="C7057" s="163"/>
      <c r="J7057" s="165"/>
      <c r="K7057" s="166"/>
      <c r="L7057" s="166"/>
    </row>
    <row r="7058">
      <c r="A7058" s="163" t="s">
        <v>222</v>
      </c>
      <c r="B7058" s="163"/>
      <c r="C7058" s="163"/>
      <c r="J7058" s="165"/>
      <c r="K7058" s="166"/>
      <c r="L7058" s="166"/>
    </row>
    <row r="7059">
      <c r="A7059" s="163" t="s">
        <v>222</v>
      </c>
      <c r="B7059" s="163"/>
      <c r="C7059" s="163"/>
      <c r="J7059" s="165"/>
      <c r="K7059" s="166"/>
      <c r="L7059" s="166"/>
    </row>
    <row r="7060">
      <c r="A7060" s="163" t="s">
        <v>222</v>
      </c>
      <c r="B7060" s="163"/>
      <c r="C7060" s="163"/>
      <c r="J7060" s="165"/>
      <c r="K7060" s="166"/>
      <c r="L7060" s="166"/>
    </row>
    <row r="7061">
      <c r="A7061" s="163" t="s">
        <v>222</v>
      </c>
      <c r="B7061" s="163"/>
      <c r="C7061" s="163"/>
      <c r="J7061" s="165"/>
      <c r="K7061" s="166"/>
      <c r="L7061" s="166"/>
    </row>
    <row r="7062">
      <c r="A7062" s="163" t="s">
        <v>222</v>
      </c>
      <c r="B7062" s="163"/>
      <c r="C7062" s="163"/>
      <c r="J7062" s="165"/>
      <c r="K7062" s="166"/>
      <c r="L7062" s="166"/>
    </row>
    <row r="7063">
      <c r="A7063" s="163" t="s">
        <v>222</v>
      </c>
      <c r="B7063" s="163"/>
      <c r="C7063" s="163"/>
      <c r="J7063" s="165"/>
      <c r="K7063" s="166"/>
      <c r="L7063" s="166"/>
    </row>
    <row r="7064">
      <c r="A7064" s="163" t="s">
        <v>222</v>
      </c>
      <c r="B7064" s="163"/>
      <c r="C7064" s="163"/>
      <c r="J7064" s="165"/>
      <c r="K7064" s="166"/>
      <c r="L7064" s="166"/>
    </row>
    <row r="7065">
      <c r="A7065" s="163" t="s">
        <v>222</v>
      </c>
      <c r="B7065" s="163"/>
      <c r="C7065" s="163"/>
      <c r="J7065" s="165"/>
      <c r="K7065" s="166"/>
      <c r="L7065" s="166"/>
    </row>
    <row r="7066">
      <c r="A7066" s="163" t="s">
        <v>222</v>
      </c>
      <c r="B7066" s="163"/>
      <c r="C7066" s="163"/>
      <c r="J7066" s="165"/>
      <c r="K7066" s="166"/>
      <c r="L7066" s="166"/>
    </row>
    <row r="7067">
      <c r="A7067" s="163" t="s">
        <v>222</v>
      </c>
      <c r="B7067" s="163"/>
      <c r="C7067" s="163"/>
      <c r="J7067" s="165"/>
      <c r="K7067" s="166"/>
      <c r="L7067" s="166"/>
    </row>
    <row r="7068">
      <c r="A7068" s="163" t="s">
        <v>222</v>
      </c>
      <c r="B7068" s="163"/>
      <c r="C7068" s="163"/>
      <c r="J7068" s="165"/>
      <c r="K7068" s="166"/>
      <c r="L7068" s="166"/>
    </row>
    <row r="7069">
      <c r="A7069" s="163" t="s">
        <v>222</v>
      </c>
      <c r="B7069" s="163"/>
      <c r="C7069" s="163"/>
      <c r="J7069" s="165"/>
      <c r="K7069" s="166"/>
      <c r="L7069" s="166"/>
    </row>
    <row r="7070">
      <c r="A7070" s="163" t="s">
        <v>222</v>
      </c>
      <c r="B7070" s="163"/>
      <c r="C7070" s="163"/>
      <c r="J7070" s="165"/>
      <c r="K7070" s="166"/>
      <c r="L7070" s="166"/>
    </row>
    <row r="7071">
      <c r="A7071" s="163" t="s">
        <v>222</v>
      </c>
      <c r="B7071" s="163"/>
      <c r="C7071" s="163"/>
      <c r="J7071" s="165"/>
      <c r="K7071" s="166"/>
      <c r="L7071" s="166"/>
    </row>
    <row r="7072">
      <c r="A7072" s="163" t="s">
        <v>222</v>
      </c>
      <c r="B7072" s="163"/>
      <c r="C7072" s="163"/>
      <c r="J7072" s="165"/>
      <c r="K7072" s="166"/>
      <c r="L7072" s="166"/>
    </row>
    <row r="7073">
      <c r="A7073" s="163" t="s">
        <v>222</v>
      </c>
      <c r="B7073" s="163"/>
      <c r="C7073" s="163"/>
      <c r="J7073" s="165"/>
      <c r="K7073" s="166"/>
      <c r="L7073" s="166"/>
    </row>
    <row r="7074">
      <c r="A7074" s="163" t="s">
        <v>222</v>
      </c>
      <c r="B7074" s="163"/>
      <c r="C7074" s="163"/>
      <c r="J7074" s="165"/>
      <c r="K7074" s="166"/>
      <c r="L7074" s="166"/>
    </row>
    <row r="7075">
      <c r="A7075" s="163" t="s">
        <v>222</v>
      </c>
      <c r="B7075" s="163"/>
      <c r="C7075" s="163"/>
      <c r="J7075" s="165"/>
      <c r="K7075" s="166"/>
      <c r="L7075" s="166"/>
    </row>
    <row r="7076">
      <c r="A7076" s="163" t="s">
        <v>222</v>
      </c>
      <c r="B7076" s="163"/>
      <c r="C7076" s="163"/>
      <c r="J7076" s="165"/>
      <c r="K7076" s="166"/>
      <c r="L7076" s="166"/>
    </row>
    <row r="7077">
      <c r="A7077" s="163" t="s">
        <v>222</v>
      </c>
      <c r="B7077" s="163"/>
      <c r="C7077" s="163"/>
      <c r="J7077" s="165"/>
      <c r="K7077" s="166"/>
      <c r="L7077" s="166"/>
    </row>
    <row r="7078">
      <c r="A7078" s="163" t="s">
        <v>222</v>
      </c>
      <c r="B7078" s="163"/>
      <c r="C7078" s="163"/>
      <c r="J7078" s="165"/>
      <c r="K7078" s="166"/>
      <c r="L7078" s="166"/>
    </row>
    <row r="7079">
      <c r="A7079" s="163" t="s">
        <v>222</v>
      </c>
      <c r="B7079" s="163"/>
      <c r="C7079" s="163"/>
      <c r="J7079" s="165"/>
      <c r="K7079" s="166"/>
      <c r="L7079" s="166"/>
    </row>
    <row r="7080">
      <c r="A7080" s="163" t="s">
        <v>222</v>
      </c>
      <c r="B7080" s="163"/>
      <c r="C7080" s="163"/>
      <c r="J7080" s="165"/>
      <c r="K7080" s="166"/>
      <c r="L7080" s="166"/>
    </row>
    <row r="7081">
      <c r="A7081" s="163" t="s">
        <v>222</v>
      </c>
      <c r="B7081" s="163"/>
      <c r="C7081" s="163"/>
      <c r="J7081" s="165"/>
      <c r="K7081" s="166"/>
      <c r="L7081" s="166"/>
    </row>
    <row r="7082">
      <c r="A7082" s="163" t="s">
        <v>222</v>
      </c>
      <c r="B7082" s="163"/>
      <c r="C7082" s="163"/>
      <c r="J7082" s="165"/>
      <c r="K7082" s="166"/>
      <c r="L7082" s="166"/>
    </row>
    <row r="7083">
      <c r="A7083" s="163" t="s">
        <v>222</v>
      </c>
      <c r="B7083" s="163"/>
      <c r="C7083" s="163"/>
      <c r="J7083" s="165"/>
      <c r="K7083" s="166"/>
      <c r="L7083" s="166"/>
    </row>
    <row r="7084">
      <c r="A7084" s="163" t="s">
        <v>222</v>
      </c>
      <c r="B7084" s="163"/>
      <c r="C7084" s="163"/>
      <c r="J7084" s="165"/>
      <c r="K7084" s="166"/>
      <c r="L7084" s="166"/>
    </row>
    <row r="7085">
      <c r="A7085" s="163" t="s">
        <v>222</v>
      </c>
      <c r="B7085" s="163"/>
      <c r="C7085" s="163"/>
      <c r="J7085" s="165"/>
      <c r="K7085" s="166"/>
      <c r="L7085" s="166"/>
    </row>
    <row r="7086">
      <c r="A7086" s="163" t="s">
        <v>222</v>
      </c>
      <c r="B7086" s="163"/>
      <c r="C7086" s="163"/>
      <c r="J7086" s="165"/>
      <c r="K7086" s="166"/>
      <c r="L7086" s="166"/>
    </row>
    <row r="7087">
      <c r="A7087" s="163" t="s">
        <v>222</v>
      </c>
      <c r="B7087" s="163"/>
      <c r="C7087" s="163"/>
      <c r="J7087" s="165"/>
      <c r="K7087" s="166"/>
      <c r="L7087" s="166"/>
    </row>
    <row r="7088">
      <c r="A7088" s="163" t="s">
        <v>222</v>
      </c>
      <c r="B7088" s="163"/>
      <c r="C7088" s="163"/>
      <c r="J7088" s="165"/>
      <c r="K7088" s="166"/>
      <c r="L7088" s="166"/>
    </row>
    <row r="7089">
      <c r="A7089" s="163" t="s">
        <v>222</v>
      </c>
      <c r="B7089" s="163"/>
      <c r="C7089" s="163"/>
      <c r="J7089" s="165"/>
      <c r="K7089" s="166"/>
      <c r="L7089" s="166"/>
    </row>
    <row r="7090">
      <c r="A7090" s="163" t="s">
        <v>222</v>
      </c>
      <c r="B7090" s="163"/>
      <c r="C7090" s="163"/>
      <c r="J7090" s="165"/>
      <c r="K7090" s="166"/>
      <c r="L7090" s="166"/>
    </row>
    <row r="7091">
      <c r="A7091" s="163" t="s">
        <v>222</v>
      </c>
      <c r="B7091" s="163"/>
      <c r="C7091" s="163"/>
      <c r="J7091" s="165"/>
      <c r="K7091" s="166"/>
      <c r="L7091" s="166"/>
    </row>
    <row r="7092">
      <c r="A7092" s="163" t="s">
        <v>222</v>
      </c>
      <c r="B7092" s="163"/>
      <c r="C7092" s="163"/>
      <c r="J7092" s="165"/>
      <c r="K7092" s="166"/>
      <c r="L7092" s="166"/>
    </row>
    <row r="7093">
      <c r="A7093" s="163" t="s">
        <v>222</v>
      </c>
      <c r="B7093" s="163"/>
      <c r="C7093" s="163"/>
      <c r="J7093" s="165"/>
      <c r="K7093" s="166"/>
      <c r="L7093" s="166"/>
    </row>
    <row r="7094">
      <c r="A7094" s="163" t="s">
        <v>222</v>
      </c>
      <c r="B7094" s="163"/>
      <c r="C7094" s="163"/>
      <c r="J7094" s="165"/>
      <c r="K7094" s="166"/>
      <c r="L7094" s="166"/>
    </row>
    <row r="7095">
      <c r="A7095" s="163" t="s">
        <v>222</v>
      </c>
      <c r="B7095" s="163"/>
      <c r="C7095" s="163"/>
      <c r="J7095" s="165"/>
      <c r="K7095" s="166"/>
      <c r="L7095" s="166"/>
    </row>
    <row r="7096">
      <c r="A7096" s="163" t="s">
        <v>222</v>
      </c>
      <c r="B7096" s="163"/>
      <c r="C7096" s="163"/>
      <c r="J7096" s="165"/>
      <c r="K7096" s="166"/>
      <c r="L7096" s="166"/>
    </row>
    <row r="7097">
      <c r="A7097" s="163" t="s">
        <v>222</v>
      </c>
      <c r="B7097" s="163"/>
      <c r="C7097" s="163"/>
      <c r="J7097" s="165"/>
      <c r="K7097" s="166"/>
      <c r="L7097" s="166"/>
    </row>
    <row r="7098">
      <c r="A7098" s="163" t="s">
        <v>222</v>
      </c>
      <c r="B7098" s="163"/>
      <c r="C7098" s="163"/>
      <c r="J7098" s="165"/>
      <c r="K7098" s="166"/>
      <c r="L7098" s="166"/>
    </row>
    <row r="7099">
      <c r="A7099" s="163" t="s">
        <v>222</v>
      </c>
      <c r="B7099" s="163"/>
      <c r="C7099" s="163"/>
      <c r="J7099" s="165"/>
      <c r="K7099" s="166"/>
      <c r="L7099" s="166"/>
    </row>
    <row r="7100">
      <c r="A7100" s="163" t="s">
        <v>222</v>
      </c>
      <c r="B7100" s="163"/>
      <c r="C7100" s="163"/>
      <c r="J7100" s="165"/>
      <c r="K7100" s="166"/>
      <c r="L7100" s="166"/>
    </row>
    <row r="7101">
      <c r="A7101" s="163" t="s">
        <v>222</v>
      </c>
      <c r="B7101" s="163"/>
      <c r="C7101" s="163"/>
      <c r="J7101" s="165"/>
      <c r="K7101" s="166"/>
      <c r="L7101" s="166"/>
    </row>
    <row r="7102">
      <c r="A7102" s="163" t="s">
        <v>222</v>
      </c>
      <c r="B7102" s="163"/>
      <c r="C7102" s="163"/>
      <c r="J7102" s="165"/>
      <c r="K7102" s="166"/>
      <c r="L7102" s="166"/>
    </row>
    <row r="7103">
      <c r="A7103" s="163" t="s">
        <v>222</v>
      </c>
      <c r="B7103" s="163"/>
      <c r="C7103" s="163"/>
      <c r="J7103" s="165"/>
      <c r="K7103" s="166"/>
      <c r="L7103" s="166"/>
    </row>
    <row r="7104">
      <c r="A7104" s="163" t="s">
        <v>222</v>
      </c>
      <c r="B7104" s="163"/>
      <c r="C7104" s="163"/>
      <c r="J7104" s="165"/>
      <c r="K7104" s="166"/>
      <c r="L7104" s="166"/>
    </row>
    <row r="7105">
      <c r="A7105" s="163" t="s">
        <v>222</v>
      </c>
      <c r="B7105" s="163"/>
      <c r="C7105" s="163"/>
      <c r="J7105" s="165"/>
      <c r="K7105" s="166"/>
      <c r="L7105" s="166"/>
    </row>
    <row r="7106">
      <c r="A7106" s="163" t="s">
        <v>222</v>
      </c>
      <c r="B7106" s="163"/>
      <c r="C7106" s="163"/>
      <c r="J7106" s="165"/>
      <c r="K7106" s="166"/>
      <c r="L7106" s="166"/>
    </row>
    <row r="7107">
      <c r="A7107" s="163" t="s">
        <v>222</v>
      </c>
      <c r="B7107" s="163"/>
      <c r="C7107" s="163"/>
      <c r="J7107" s="165"/>
      <c r="K7107" s="166"/>
      <c r="L7107" s="166"/>
    </row>
    <row r="7108">
      <c r="A7108" s="163" t="s">
        <v>222</v>
      </c>
      <c r="B7108" s="163"/>
      <c r="C7108" s="163"/>
      <c r="J7108" s="165"/>
      <c r="K7108" s="166"/>
      <c r="L7108" s="166"/>
    </row>
    <row r="7109">
      <c r="A7109" s="163" t="s">
        <v>222</v>
      </c>
      <c r="B7109" s="163"/>
      <c r="C7109" s="163"/>
      <c r="J7109" s="165"/>
      <c r="K7109" s="166"/>
      <c r="L7109" s="166"/>
    </row>
    <row r="7110">
      <c r="A7110" s="163" t="s">
        <v>222</v>
      </c>
      <c r="B7110" s="163"/>
      <c r="C7110" s="163"/>
      <c r="J7110" s="165"/>
      <c r="K7110" s="166"/>
      <c r="L7110" s="166"/>
    </row>
    <row r="7111">
      <c r="A7111" s="163" t="s">
        <v>222</v>
      </c>
      <c r="B7111" s="163"/>
      <c r="C7111" s="163"/>
      <c r="J7111" s="165"/>
      <c r="K7111" s="166"/>
      <c r="L7111" s="166"/>
    </row>
    <row r="7112">
      <c r="A7112" s="163" t="s">
        <v>222</v>
      </c>
      <c r="B7112" s="163"/>
      <c r="C7112" s="163"/>
      <c r="J7112" s="165"/>
      <c r="K7112" s="166"/>
      <c r="L7112" s="166"/>
    </row>
    <row r="7113">
      <c r="A7113" s="163" t="s">
        <v>222</v>
      </c>
      <c r="B7113" s="163"/>
      <c r="C7113" s="163"/>
      <c r="J7113" s="165"/>
      <c r="K7113" s="166"/>
      <c r="L7113" s="166"/>
    </row>
    <row r="7114">
      <c r="A7114" s="163" t="s">
        <v>222</v>
      </c>
      <c r="B7114" s="163"/>
      <c r="C7114" s="163"/>
      <c r="J7114" s="165"/>
      <c r="K7114" s="166"/>
      <c r="L7114" s="166"/>
    </row>
    <row r="7115">
      <c r="A7115" s="163" t="s">
        <v>222</v>
      </c>
      <c r="B7115" s="163"/>
      <c r="C7115" s="163"/>
      <c r="J7115" s="165"/>
      <c r="K7115" s="166"/>
      <c r="L7115" s="166"/>
    </row>
    <row r="7116">
      <c r="A7116" s="163" t="s">
        <v>222</v>
      </c>
      <c r="B7116" s="163"/>
      <c r="C7116" s="163"/>
      <c r="J7116" s="165"/>
      <c r="K7116" s="166"/>
      <c r="L7116" s="166"/>
    </row>
    <row r="7117">
      <c r="A7117" s="163" t="s">
        <v>222</v>
      </c>
      <c r="B7117" s="163"/>
      <c r="C7117" s="163"/>
      <c r="J7117" s="165"/>
      <c r="K7117" s="166"/>
      <c r="L7117" s="166"/>
    </row>
    <row r="7118">
      <c r="A7118" s="163" t="s">
        <v>222</v>
      </c>
      <c r="B7118" s="163"/>
      <c r="C7118" s="163"/>
      <c r="J7118" s="165"/>
      <c r="K7118" s="166"/>
      <c r="L7118" s="166"/>
    </row>
    <row r="7119">
      <c r="A7119" s="163" t="s">
        <v>222</v>
      </c>
      <c r="B7119" s="163"/>
      <c r="C7119" s="163"/>
      <c r="J7119" s="165"/>
      <c r="K7119" s="166"/>
      <c r="L7119" s="166"/>
    </row>
    <row r="7120">
      <c r="A7120" s="163" t="s">
        <v>222</v>
      </c>
      <c r="B7120" s="163"/>
      <c r="C7120" s="163"/>
      <c r="J7120" s="165"/>
      <c r="K7120" s="166"/>
      <c r="L7120" s="166"/>
    </row>
    <row r="7121">
      <c r="A7121" s="163" t="s">
        <v>222</v>
      </c>
      <c r="B7121" s="163"/>
      <c r="C7121" s="163"/>
      <c r="J7121" s="165"/>
      <c r="K7121" s="166"/>
      <c r="L7121" s="166"/>
    </row>
    <row r="7122">
      <c r="A7122" s="163" t="s">
        <v>222</v>
      </c>
      <c r="B7122" s="163"/>
      <c r="C7122" s="163"/>
      <c r="J7122" s="165"/>
      <c r="K7122" s="166"/>
      <c r="L7122" s="166"/>
    </row>
    <row r="7123">
      <c r="A7123" s="163" t="s">
        <v>222</v>
      </c>
      <c r="B7123" s="163"/>
      <c r="C7123" s="163"/>
      <c r="J7123" s="165"/>
      <c r="K7123" s="166"/>
      <c r="L7123" s="166"/>
    </row>
    <row r="7124">
      <c r="A7124" s="163" t="s">
        <v>222</v>
      </c>
      <c r="B7124" s="163"/>
      <c r="C7124" s="163"/>
      <c r="J7124" s="165"/>
      <c r="K7124" s="166"/>
      <c r="L7124" s="166"/>
    </row>
    <row r="7125">
      <c r="A7125" s="163" t="s">
        <v>222</v>
      </c>
      <c r="B7125" s="163"/>
      <c r="C7125" s="163"/>
      <c r="J7125" s="165"/>
      <c r="K7125" s="166"/>
      <c r="L7125" s="166"/>
    </row>
    <row r="7126">
      <c r="A7126" s="163" t="s">
        <v>222</v>
      </c>
      <c r="B7126" s="163"/>
      <c r="C7126" s="163"/>
      <c r="J7126" s="165"/>
      <c r="K7126" s="166"/>
      <c r="L7126" s="166"/>
    </row>
    <row r="7127">
      <c r="A7127" s="163" t="s">
        <v>222</v>
      </c>
      <c r="B7127" s="163"/>
      <c r="C7127" s="163"/>
      <c r="J7127" s="165"/>
      <c r="K7127" s="166"/>
      <c r="L7127" s="166"/>
    </row>
    <row r="7128">
      <c r="A7128" s="163" t="s">
        <v>222</v>
      </c>
      <c r="B7128" s="163"/>
      <c r="C7128" s="163"/>
      <c r="J7128" s="165"/>
      <c r="K7128" s="166"/>
      <c r="L7128" s="166"/>
    </row>
    <row r="7129">
      <c r="A7129" s="163" t="s">
        <v>222</v>
      </c>
      <c r="B7129" s="163"/>
      <c r="C7129" s="163"/>
      <c r="J7129" s="165"/>
      <c r="K7129" s="166"/>
      <c r="L7129" s="166"/>
    </row>
    <row r="7130">
      <c r="A7130" s="163" t="s">
        <v>222</v>
      </c>
      <c r="B7130" s="163"/>
      <c r="C7130" s="163"/>
      <c r="J7130" s="165"/>
      <c r="K7130" s="166"/>
      <c r="L7130" s="166"/>
    </row>
    <row r="7131">
      <c r="A7131" s="163" t="s">
        <v>222</v>
      </c>
      <c r="B7131" s="163"/>
      <c r="C7131" s="163"/>
      <c r="J7131" s="165"/>
      <c r="K7131" s="166"/>
      <c r="L7131" s="166"/>
    </row>
    <row r="7132">
      <c r="A7132" s="163" t="s">
        <v>222</v>
      </c>
      <c r="B7132" s="163"/>
      <c r="C7132" s="163"/>
      <c r="J7132" s="165"/>
      <c r="K7132" s="166"/>
      <c r="L7132" s="166"/>
    </row>
    <row r="7133">
      <c r="A7133" s="163" t="s">
        <v>222</v>
      </c>
      <c r="B7133" s="163"/>
      <c r="C7133" s="163"/>
      <c r="J7133" s="165"/>
      <c r="K7133" s="166"/>
      <c r="L7133" s="166"/>
    </row>
    <row r="7134">
      <c r="A7134" s="163" t="s">
        <v>222</v>
      </c>
      <c r="B7134" s="163"/>
      <c r="C7134" s="163"/>
      <c r="J7134" s="165"/>
      <c r="K7134" s="166"/>
      <c r="L7134" s="166"/>
    </row>
    <row r="7135">
      <c r="A7135" s="163" t="s">
        <v>222</v>
      </c>
      <c r="B7135" s="163"/>
      <c r="C7135" s="163"/>
      <c r="J7135" s="165"/>
      <c r="K7135" s="166"/>
      <c r="L7135" s="166"/>
    </row>
    <row r="7136">
      <c r="A7136" s="163" t="s">
        <v>222</v>
      </c>
      <c r="B7136" s="163"/>
      <c r="C7136" s="163"/>
      <c r="J7136" s="165"/>
      <c r="K7136" s="166"/>
      <c r="L7136" s="166"/>
    </row>
    <row r="7137">
      <c r="A7137" s="163" t="s">
        <v>222</v>
      </c>
      <c r="B7137" s="163"/>
      <c r="C7137" s="163"/>
      <c r="J7137" s="165"/>
      <c r="K7137" s="166"/>
      <c r="L7137" s="166"/>
    </row>
    <row r="7138">
      <c r="A7138" s="163" t="s">
        <v>222</v>
      </c>
      <c r="B7138" s="163"/>
      <c r="C7138" s="163"/>
      <c r="J7138" s="165"/>
      <c r="K7138" s="166"/>
      <c r="L7138" s="166"/>
    </row>
    <row r="7139">
      <c r="A7139" s="163" t="s">
        <v>222</v>
      </c>
      <c r="B7139" s="163"/>
      <c r="C7139" s="163"/>
      <c r="J7139" s="165"/>
      <c r="K7139" s="166"/>
      <c r="L7139" s="166"/>
    </row>
    <row r="7140">
      <c r="A7140" s="163" t="s">
        <v>222</v>
      </c>
      <c r="B7140" s="163"/>
      <c r="C7140" s="163"/>
      <c r="J7140" s="165"/>
      <c r="K7140" s="166"/>
      <c r="L7140" s="166"/>
    </row>
    <row r="7141">
      <c r="A7141" s="163" t="s">
        <v>222</v>
      </c>
      <c r="B7141" s="163"/>
      <c r="C7141" s="163"/>
      <c r="J7141" s="165"/>
      <c r="K7141" s="166"/>
      <c r="L7141" s="166"/>
    </row>
    <row r="7142">
      <c r="A7142" s="163" t="s">
        <v>222</v>
      </c>
      <c r="B7142" s="163"/>
      <c r="C7142" s="163"/>
      <c r="J7142" s="165"/>
      <c r="K7142" s="166"/>
      <c r="L7142" s="166"/>
    </row>
    <row r="7143">
      <c r="A7143" s="163" t="s">
        <v>222</v>
      </c>
      <c r="B7143" s="163"/>
      <c r="C7143" s="163"/>
      <c r="J7143" s="165"/>
      <c r="K7143" s="166"/>
      <c r="L7143" s="166"/>
    </row>
    <row r="7144">
      <c r="A7144" s="163" t="s">
        <v>222</v>
      </c>
      <c r="B7144" s="163"/>
      <c r="C7144" s="163"/>
      <c r="J7144" s="165"/>
      <c r="K7144" s="166"/>
      <c r="L7144" s="166"/>
    </row>
    <row r="7145">
      <c r="A7145" s="163" t="s">
        <v>222</v>
      </c>
      <c r="B7145" s="163"/>
      <c r="C7145" s="163"/>
      <c r="J7145" s="165"/>
      <c r="K7145" s="166"/>
      <c r="L7145" s="166"/>
    </row>
    <row r="7146">
      <c r="A7146" s="163" t="s">
        <v>222</v>
      </c>
      <c r="B7146" s="163"/>
      <c r="C7146" s="163"/>
      <c r="J7146" s="165"/>
      <c r="K7146" s="166"/>
      <c r="L7146" s="166"/>
    </row>
    <row r="7147">
      <c r="A7147" s="163" t="s">
        <v>222</v>
      </c>
      <c r="B7147" s="163"/>
      <c r="C7147" s="163"/>
      <c r="J7147" s="165"/>
      <c r="K7147" s="166"/>
      <c r="L7147" s="166"/>
    </row>
    <row r="7148">
      <c r="A7148" s="163" t="s">
        <v>222</v>
      </c>
      <c r="B7148" s="163"/>
      <c r="C7148" s="163"/>
      <c r="J7148" s="165"/>
      <c r="K7148" s="166"/>
      <c r="L7148" s="166"/>
    </row>
    <row r="7149">
      <c r="A7149" s="163" t="s">
        <v>222</v>
      </c>
      <c r="B7149" s="163"/>
      <c r="C7149" s="163"/>
      <c r="J7149" s="165"/>
      <c r="K7149" s="166"/>
      <c r="L7149" s="166"/>
    </row>
    <row r="7150">
      <c r="A7150" s="163" t="s">
        <v>222</v>
      </c>
      <c r="B7150" s="163"/>
      <c r="C7150" s="163"/>
      <c r="J7150" s="165"/>
      <c r="K7150" s="166"/>
      <c r="L7150" s="166"/>
    </row>
    <row r="7151">
      <c r="A7151" s="163" t="s">
        <v>222</v>
      </c>
      <c r="B7151" s="163"/>
      <c r="C7151" s="163"/>
      <c r="J7151" s="165"/>
      <c r="K7151" s="166"/>
      <c r="L7151" s="166"/>
    </row>
    <row r="7152">
      <c r="A7152" s="163" t="s">
        <v>222</v>
      </c>
      <c r="B7152" s="163"/>
      <c r="C7152" s="163"/>
      <c r="J7152" s="165"/>
      <c r="K7152" s="166"/>
      <c r="L7152" s="166"/>
    </row>
    <row r="7153">
      <c r="A7153" s="163" t="s">
        <v>222</v>
      </c>
      <c r="B7153" s="163"/>
      <c r="C7153" s="163"/>
      <c r="J7153" s="165"/>
      <c r="K7153" s="166"/>
      <c r="L7153" s="166"/>
    </row>
    <row r="7154">
      <c r="A7154" s="163" t="s">
        <v>222</v>
      </c>
      <c r="B7154" s="163"/>
      <c r="C7154" s="163"/>
      <c r="J7154" s="165"/>
      <c r="K7154" s="166"/>
      <c r="L7154" s="166"/>
    </row>
    <row r="7155">
      <c r="A7155" s="163" t="s">
        <v>222</v>
      </c>
      <c r="B7155" s="163"/>
      <c r="C7155" s="163"/>
      <c r="J7155" s="165"/>
      <c r="K7155" s="166"/>
      <c r="L7155" s="166"/>
    </row>
    <row r="7156">
      <c r="A7156" s="163" t="s">
        <v>222</v>
      </c>
      <c r="B7156" s="163"/>
      <c r="C7156" s="163"/>
      <c r="J7156" s="165"/>
      <c r="K7156" s="166"/>
      <c r="L7156" s="166"/>
    </row>
    <row r="7157">
      <c r="A7157" s="163" t="s">
        <v>222</v>
      </c>
      <c r="B7157" s="163"/>
      <c r="C7157" s="163"/>
      <c r="J7157" s="165"/>
      <c r="K7157" s="166"/>
      <c r="L7157" s="166"/>
    </row>
    <row r="7158">
      <c r="A7158" s="163" t="s">
        <v>222</v>
      </c>
      <c r="B7158" s="163"/>
      <c r="C7158" s="163"/>
      <c r="J7158" s="165"/>
      <c r="K7158" s="166"/>
      <c r="L7158" s="166"/>
    </row>
    <row r="7159">
      <c r="A7159" s="163" t="s">
        <v>222</v>
      </c>
      <c r="B7159" s="163"/>
      <c r="C7159" s="163"/>
      <c r="J7159" s="165"/>
      <c r="K7159" s="166"/>
      <c r="L7159" s="166"/>
    </row>
    <row r="7160">
      <c r="A7160" s="163" t="s">
        <v>222</v>
      </c>
      <c r="B7160" s="163"/>
      <c r="C7160" s="163"/>
      <c r="J7160" s="165"/>
      <c r="K7160" s="166"/>
      <c r="L7160" s="166"/>
    </row>
    <row r="7161">
      <c r="A7161" s="163" t="s">
        <v>222</v>
      </c>
      <c r="B7161" s="163"/>
      <c r="C7161" s="163"/>
      <c r="J7161" s="165"/>
      <c r="K7161" s="166"/>
      <c r="L7161" s="166"/>
    </row>
    <row r="7162">
      <c r="A7162" s="163" t="s">
        <v>222</v>
      </c>
      <c r="B7162" s="163"/>
      <c r="C7162" s="163"/>
      <c r="J7162" s="165"/>
      <c r="K7162" s="166"/>
      <c r="L7162" s="166"/>
    </row>
    <row r="7163">
      <c r="A7163" s="163" t="s">
        <v>222</v>
      </c>
      <c r="B7163" s="163"/>
      <c r="C7163" s="163"/>
      <c r="J7163" s="165"/>
      <c r="K7163" s="166"/>
      <c r="L7163" s="166"/>
    </row>
    <row r="7164">
      <c r="A7164" s="163" t="s">
        <v>222</v>
      </c>
      <c r="B7164" s="163"/>
      <c r="C7164" s="163"/>
      <c r="J7164" s="165"/>
      <c r="K7164" s="166"/>
      <c r="L7164" s="166"/>
    </row>
    <row r="7165">
      <c r="A7165" s="163" t="s">
        <v>222</v>
      </c>
      <c r="B7165" s="163"/>
      <c r="C7165" s="163"/>
      <c r="J7165" s="165"/>
      <c r="K7165" s="166"/>
      <c r="L7165" s="166"/>
    </row>
    <row r="7166">
      <c r="A7166" s="163" t="s">
        <v>222</v>
      </c>
      <c r="B7166" s="163"/>
      <c r="C7166" s="163"/>
      <c r="J7166" s="165"/>
      <c r="K7166" s="166"/>
      <c r="L7166" s="166"/>
    </row>
    <row r="7167">
      <c r="A7167" s="163" t="s">
        <v>222</v>
      </c>
      <c r="B7167" s="163"/>
      <c r="C7167" s="163"/>
      <c r="J7167" s="165"/>
      <c r="K7167" s="166"/>
      <c r="L7167" s="166"/>
    </row>
    <row r="7168">
      <c r="A7168" s="163" t="s">
        <v>222</v>
      </c>
      <c r="B7168" s="163"/>
      <c r="C7168" s="163"/>
      <c r="J7168" s="165"/>
      <c r="K7168" s="166"/>
      <c r="L7168" s="166"/>
    </row>
    <row r="7169">
      <c r="A7169" s="163" t="s">
        <v>222</v>
      </c>
      <c r="B7169" s="163"/>
      <c r="C7169" s="163"/>
      <c r="J7169" s="165"/>
      <c r="K7169" s="166"/>
      <c r="L7169" s="166"/>
    </row>
    <row r="7170">
      <c r="A7170" s="163" t="s">
        <v>222</v>
      </c>
      <c r="B7170" s="163"/>
      <c r="C7170" s="163"/>
      <c r="J7170" s="165"/>
      <c r="K7170" s="166"/>
      <c r="L7170" s="166"/>
    </row>
    <row r="7171">
      <c r="A7171" s="163" t="s">
        <v>222</v>
      </c>
      <c r="B7171" s="163"/>
      <c r="C7171" s="163"/>
      <c r="J7171" s="165"/>
      <c r="K7171" s="166"/>
      <c r="L7171" s="166"/>
    </row>
    <row r="7172">
      <c r="A7172" s="163" t="s">
        <v>222</v>
      </c>
      <c r="B7172" s="163"/>
      <c r="C7172" s="163"/>
      <c r="J7172" s="165"/>
      <c r="K7172" s="166"/>
      <c r="L7172" s="166"/>
    </row>
    <row r="7173">
      <c r="A7173" s="163" t="s">
        <v>222</v>
      </c>
      <c r="B7173" s="163"/>
      <c r="C7173" s="163"/>
      <c r="J7173" s="165"/>
      <c r="K7173" s="166"/>
      <c r="L7173" s="166"/>
    </row>
    <row r="7174">
      <c r="A7174" s="163" t="s">
        <v>222</v>
      </c>
      <c r="B7174" s="163"/>
      <c r="C7174" s="163"/>
      <c r="J7174" s="165"/>
      <c r="K7174" s="166"/>
      <c r="L7174" s="166"/>
    </row>
    <row r="7175">
      <c r="A7175" s="163" t="s">
        <v>222</v>
      </c>
      <c r="B7175" s="163"/>
      <c r="C7175" s="163"/>
      <c r="J7175" s="165"/>
      <c r="K7175" s="166"/>
      <c r="L7175" s="166"/>
    </row>
    <row r="7176">
      <c r="A7176" s="163" t="s">
        <v>222</v>
      </c>
      <c r="B7176" s="163"/>
      <c r="C7176" s="163"/>
      <c r="J7176" s="165"/>
      <c r="K7176" s="166"/>
      <c r="L7176" s="166"/>
    </row>
    <row r="7177">
      <c r="A7177" s="163" t="s">
        <v>222</v>
      </c>
      <c r="B7177" s="163"/>
      <c r="C7177" s="163"/>
      <c r="J7177" s="165"/>
      <c r="K7177" s="166"/>
      <c r="L7177" s="166"/>
    </row>
    <row r="7178">
      <c r="A7178" s="163" t="s">
        <v>222</v>
      </c>
      <c r="B7178" s="163"/>
      <c r="C7178" s="163"/>
      <c r="J7178" s="165"/>
      <c r="K7178" s="166"/>
      <c r="L7178" s="166"/>
    </row>
    <row r="7179">
      <c r="A7179" s="163" t="s">
        <v>222</v>
      </c>
      <c r="B7179" s="163"/>
      <c r="C7179" s="163"/>
      <c r="J7179" s="165"/>
      <c r="K7179" s="166"/>
      <c r="L7179" s="166"/>
    </row>
    <row r="7180">
      <c r="A7180" s="163" t="s">
        <v>222</v>
      </c>
      <c r="B7180" s="163"/>
      <c r="C7180" s="163"/>
      <c r="J7180" s="165"/>
      <c r="K7180" s="166"/>
      <c r="L7180" s="166"/>
    </row>
    <row r="7181">
      <c r="A7181" s="163" t="s">
        <v>222</v>
      </c>
      <c r="B7181" s="163"/>
      <c r="C7181" s="163"/>
      <c r="J7181" s="165"/>
      <c r="K7181" s="166"/>
      <c r="L7181" s="166"/>
    </row>
    <row r="7182">
      <c r="A7182" s="163" t="s">
        <v>222</v>
      </c>
      <c r="B7182" s="163"/>
      <c r="C7182" s="163"/>
      <c r="J7182" s="165"/>
      <c r="K7182" s="166"/>
      <c r="L7182" s="166"/>
    </row>
    <row r="7183">
      <c r="A7183" s="163" t="s">
        <v>222</v>
      </c>
      <c r="B7183" s="163"/>
      <c r="C7183" s="163"/>
      <c r="J7183" s="165"/>
      <c r="K7183" s="166"/>
      <c r="L7183" s="166"/>
    </row>
    <row r="7184">
      <c r="A7184" s="163" t="s">
        <v>222</v>
      </c>
      <c r="B7184" s="163"/>
      <c r="C7184" s="163"/>
      <c r="J7184" s="165"/>
      <c r="K7184" s="166"/>
      <c r="L7184" s="166"/>
    </row>
    <row r="7185">
      <c r="A7185" s="163" t="s">
        <v>222</v>
      </c>
      <c r="B7185" s="163"/>
      <c r="C7185" s="163"/>
      <c r="J7185" s="165"/>
      <c r="K7185" s="166"/>
      <c r="L7185" s="166"/>
    </row>
    <row r="7186">
      <c r="A7186" s="163" t="s">
        <v>222</v>
      </c>
      <c r="B7186" s="163"/>
      <c r="C7186" s="163"/>
      <c r="J7186" s="165"/>
      <c r="K7186" s="166"/>
      <c r="L7186" s="166"/>
    </row>
    <row r="7187">
      <c r="A7187" s="163" t="s">
        <v>222</v>
      </c>
      <c r="B7187" s="163"/>
      <c r="C7187" s="163"/>
      <c r="J7187" s="165"/>
      <c r="K7187" s="166"/>
      <c r="L7187" s="166"/>
    </row>
    <row r="7188">
      <c r="A7188" s="163" t="s">
        <v>222</v>
      </c>
      <c r="B7188" s="163"/>
      <c r="C7188" s="163"/>
      <c r="J7188" s="165"/>
      <c r="K7188" s="166"/>
      <c r="L7188" s="166"/>
    </row>
    <row r="7189">
      <c r="A7189" s="163" t="s">
        <v>222</v>
      </c>
      <c r="B7189" s="163"/>
      <c r="C7189" s="163"/>
      <c r="J7189" s="165"/>
      <c r="K7189" s="166"/>
      <c r="L7189" s="166"/>
    </row>
    <row r="7190">
      <c r="A7190" s="163" t="s">
        <v>222</v>
      </c>
      <c r="B7190" s="163"/>
      <c r="C7190" s="163"/>
      <c r="J7190" s="165"/>
      <c r="K7190" s="166"/>
      <c r="L7190" s="166"/>
    </row>
    <row r="7191">
      <c r="A7191" s="163" t="s">
        <v>222</v>
      </c>
      <c r="B7191" s="163"/>
      <c r="C7191" s="163"/>
      <c r="J7191" s="165"/>
      <c r="K7191" s="166"/>
      <c r="L7191" s="166"/>
    </row>
    <row r="7192">
      <c r="A7192" s="163" t="s">
        <v>222</v>
      </c>
      <c r="B7192" s="163"/>
      <c r="C7192" s="163"/>
      <c r="J7192" s="165"/>
      <c r="K7192" s="166"/>
      <c r="L7192" s="166"/>
    </row>
    <row r="7193">
      <c r="A7193" s="163" t="s">
        <v>222</v>
      </c>
      <c r="B7193" s="163"/>
      <c r="C7193" s="163"/>
      <c r="J7193" s="165"/>
      <c r="K7193" s="166"/>
      <c r="L7193" s="166"/>
    </row>
    <row r="7194">
      <c r="A7194" s="163" t="s">
        <v>222</v>
      </c>
      <c r="B7194" s="163"/>
      <c r="C7194" s="163"/>
      <c r="J7194" s="165"/>
      <c r="K7194" s="166"/>
      <c r="L7194" s="166"/>
    </row>
    <row r="7195">
      <c r="A7195" s="163" t="s">
        <v>222</v>
      </c>
      <c r="B7195" s="163"/>
      <c r="C7195" s="163"/>
      <c r="J7195" s="165"/>
      <c r="K7195" s="166"/>
      <c r="L7195" s="166"/>
    </row>
    <row r="7196">
      <c r="A7196" s="163" t="s">
        <v>222</v>
      </c>
      <c r="B7196" s="163"/>
      <c r="C7196" s="163"/>
      <c r="J7196" s="165"/>
      <c r="K7196" s="166"/>
      <c r="L7196" s="166"/>
    </row>
    <row r="7197">
      <c r="A7197" s="163" t="s">
        <v>222</v>
      </c>
      <c r="B7197" s="163"/>
      <c r="C7197" s="163"/>
      <c r="J7197" s="165"/>
      <c r="K7197" s="166"/>
      <c r="L7197" s="166"/>
    </row>
    <row r="7198">
      <c r="A7198" s="163" t="s">
        <v>222</v>
      </c>
      <c r="B7198" s="163"/>
      <c r="C7198" s="163"/>
      <c r="J7198" s="165"/>
      <c r="K7198" s="166"/>
      <c r="L7198" s="166"/>
    </row>
    <row r="7199">
      <c r="A7199" s="163" t="s">
        <v>222</v>
      </c>
      <c r="B7199" s="163"/>
      <c r="C7199" s="163"/>
      <c r="J7199" s="165"/>
      <c r="K7199" s="166"/>
      <c r="L7199" s="166"/>
    </row>
    <row r="7200">
      <c r="A7200" s="163" t="s">
        <v>222</v>
      </c>
      <c r="B7200" s="163"/>
      <c r="C7200" s="163"/>
      <c r="J7200" s="165"/>
      <c r="K7200" s="166"/>
      <c r="L7200" s="166"/>
    </row>
    <row r="7201">
      <c r="A7201" s="163" t="s">
        <v>222</v>
      </c>
      <c r="B7201" s="163"/>
      <c r="C7201" s="163"/>
      <c r="J7201" s="165"/>
      <c r="K7201" s="166"/>
      <c r="L7201" s="166"/>
    </row>
    <row r="7202">
      <c r="A7202" s="163" t="s">
        <v>222</v>
      </c>
      <c r="B7202" s="163"/>
      <c r="C7202" s="163"/>
      <c r="J7202" s="165"/>
      <c r="K7202" s="166"/>
      <c r="L7202" s="166"/>
    </row>
    <row r="7203">
      <c r="A7203" s="163" t="s">
        <v>222</v>
      </c>
      <c r="B7203" s="163"/>
      <c r="C7203" s="163"/>
      <c r="J7203" s="165"/>
      <c r="K7203" s="166"/>
      <c r="L7203" s="166"/>
    </row>
    <row r="7204">
      <c r="A7204" s="163" t="s">
        <v>222</v>
      </c>
      <c r="B7204" s="163"/>
      <c r="C7204" s="163"/>
      <c r="J7204" s="165"/>
      <c r="K7204" s="166"/>
      <c r="L7204" s="166"/>
    </row>
    <row r="7205">
      <c r="A7205" s="163" t="s">
        <v>222</v>
      </c>
      <c r="B7205" s="163"/>
      <c r="C7205" s="163"/>
      <c r="J7205" s="165"/>
      <c r="K7205" s="166"/>
      <c r="L7205" s="166"/>
    </row>
    <row r="7206">
      <c r="A7206" s="163" t="s">
        <v>222</v>
      </c>
      <c r="B7206" s="163"/>
      <c r="C7206" s="163"/>
      <c r="J7206" s="165"/>
      <c r="K7206" s="166"/>
      <c r="L7206" s="166"/>
    </row>
    <row r="7207">
      <c r="A7207" s="163" t="s">
        <v>222</v>
      </c>
      <c r="B7207" s="163"/>
      <c r="C7207" s="163"/>
      <c r="J7207" s="165"/>
      <c r="K7207" s="166"/>
      <c r="L7207" s="166"/>
    </row>
    <row r="7208">
      <c r="A7208" s="163" t="s">
        <v>222</v>
      </c>
      <c r="B7208" s="163"/>
      <c r="C7208" s="163"/>
      <c r="J7208" s="165"/>
      <c r="K7208" s="166"/>
      <c r="L7208" s="166"/>
    </row>
    <row r="7209">
      <c r="A7209" s="163" t="s">
        <v>222</v>
      </c>
      <c r="B7209" s="163"/>
      <c r="C7209" s="163"/>
      <c r="J7209" s="165"/>
      <c r="K7209" s="166"/>
      <c r="L7209" s="166"/>
    </row>
    <row r="7210">
      <c r="A7210" s="163" t="s">
        <v>222</v>
      </c>
      <c r="B7210" s="163"/>
      <c r="C7210" s="163"/>
      <c r="J7210" s="165"/>
      <c r="K7210" s="166"/>
      <c r="L7210" s="166"/>
    </row>
    <row r="7211">
      <c r="A7211" s="163" t="s">
        <v>222</v>
      </c>
      <c r="B7211" s="163"/>
      <c r="C7211" s="163"/>
      <c r="J7211" s="165"/>
      <c r="K7211" s="166"/>
      <c r="L7211" s="166"/>
    </row>
    <row r="7212">
      <c r="A7212" s="163" t="s">
        <v>222</v>
      </c>
      <c r="B7212" s="163"/>
      <c r="C7212" s="163"/>
      <c r="J7212" s="165"/>
      <c r="K7212" s="166"/>
      <c r="L7212" s="166"/>
    </row>
    <row r="7213">
      <c r="A7213" s="163" t="s">
        <v>222</v>
      </c>
      <c r="B7213" s="163"/>
      <c r="C7213" s="163"/>
      <c r="J7213" s="165"/>
      <c r="K7213" s="166"/>
      <c r="L7213" s="166"/>
    </row>
    <row r="7214">
      <c r="A7214" s="163" t="s">
        <v>222</v>
      </c>
      <c r="B7214" s="163"/>
      <c r="C7214" s="163"/>
      <c r="J7214" s="165"/>
      <c r="K7214" s="166"/>
      <c r="L7214" s="166"/>
    </row>
    <row r="7215">
      <c r="A7215" s="163" t="s">
        <v>222</v>
      </c>
      <c r="B7215" s="163"/>
      <c r="C7215" s="163"/>
      <c r="J7215" s="165"/>
      <c r="K7215" s="166"/>
      <c r="L7215" s="166"/>
    </row>
    <row r="7216">
      <c r="A7216" s="163" t="s">
        <v>222</v>
      </c>
      <c r="B7216" s="163"/>
      <c r="C7216" s="163"/>
      <c r="J7216" s="165"/>
      <c r="K7216" s="166"/>
      <c r="L7216" s="166"/>
    </row>
    <row r="7217">
      <c r="A7217" s="163" t="s">
        <v>222</v>
      </c>
      <c r="B7217" s="163"/>
      <c r="C7217" s="163"/>
      <c r="J7217" s="165"/>
      <c r="K7217" s="166"/>
      <c r="L7217" s="166"/>
    </row>
    <row r="7218">
      <c r="A7218" s="163" t="s">
        <v>222</v>
      </c>
      <c r="B7218" s="163"/>
      <c r="C7218" s="163"/>
      <c r="J7218" s="165"/>
      <c r="K7218" s="166"/>
      <c r="L7218" s="166"/>
    </row>
    <row r="7219">
      <c r="A7219" s="163" t="s">
        <v>222</v>
      </c>
      <c r="B7219" s="163"/>
      <c r="C7219" s="163"/>
      <c r="J7219" s="165"/>
      <c r="K7219" s="166"/>
      <c r="L7219" s="166"/>
    </row>
    <row r="7220">
      <c r="A7220" s="163" t="s">
        <v>222</v>
      </c>
      <c r="B7220" s="163"/>
      <c r="C7220" s="163"/>
      <c r="J7220" s="165"/>
      <c r="K7220" s="166"/>
      <c r="L7220" s="166"/>
    </row>
    <row r="7221">
      <c r="A7221" s="163" t="s">
        <v>222</v>
      </c>
      <c r="B7221" s="163"/>
      <c r="C7221" s="163"/>
      <c r="J7221" s="165"/>
      <c r="K7221" s="166"/>
      <c r="L7221" s="166"/>
    </row>
    <row r="7222">
      <c r="A7222" s="163" t="s">
        <v>222</v>
      </c>
      <c r="B7222" s="163"/>
      <c r="C7222" s="163"/>
      <c r="J7222" s="165"/>
      <c r="K7222" s="166"/>
      <c r="L7222" s="166"/>
    </row>
    <row r="7223">
      <c r="A7223" s="163" t="s">
        <v>222</v>
      </c>
      <c r="B7223" s="163"/>
      <c r="C7223" s="163"/>
      <c r="J7223" s="165"/>
      <c r="K7223" s="166"/>
      <c r="L7223" s="166"/>
    </row>
    <row r="7224">
      <c r="A7224" s="163" t="s">
        <v>222</v>
      </c>
      <c r="B7224" s="163"/>
      <c r="C7224" s="163"/>
      <c r="J7224" s="165"/>
      <c r="K7224" s="166"/>
      <c r="L7224" s="166"/>
    </row>
    <row r="7225">
      <c r="A7225" s="163" t="s">
        <v>222</v>
      </c>
      <c r="B7225" s="163"/>
      <c r="C7225" s="163"/>
      <c r="J7225" s="165"/>
      <c r="K7225" s="166"/>
      <c r="L7225" s="166"/>
    </row>
    <row r="7226">
      <c r="A7226" s="163" t="s">
        <v>222</v>
      </c>
      <c r="B7226" s="163"/>
      <c r="C7226" s="163"/>
      <c r="J7226" s="165"/>
      <c r="K7226" s="166"/>
      <c r="L7226" s="166"/>
    </row>
    <row r="7227">
      <c r="A7227" s="163" t="s">
        <v>222</v>
      </c>
      <c r="B7227" s="163"/>
      <c r="C7227" s="163"/>
      <c r="J7227" s="165"/>
      <c r="K7227" s="166"/>
      <c r="L7227" s="166"/>
    </row>
    <row r="7228">
      <c r="A7228" s="163" t="s">
        <v>222</v>
      </c>
      <c r="B7228" s="163"/>
      <c r="C7228" s="163"/>
      <c r="J7228" s="165"/>
      <c r="K7228" s="166"/>
      <c r="L7228" s="166"/>
    </row>
    <row r="7229">
      <c r="A7229" s="163" t="s">
        <v>222</v>
      </c>
      <c r="B7229" s="163"/>
      <c r="C7229" s="163"/>
      <c r="J7229" s="165"/>
      <c r="K7229" s="166"/>
      <c r="L7229" s="166"/>
    </row>
    <row r="7230">
      <c r="A7230" s="163" t="s">
        <v>222</v>
      </c>
      <c r="B7230" s="163"/>
      <c r="C7230" s="163"/>
      <c r="J7230" s="165"/>
      <c r="K7230" s="166"/>
      <c r="L7230" s="166"/>
    </row>
    <row r="7231">
      <c r="A7231" s="163" t="s">
        <v>222</v>
      </c>
      <c r="B7231" s="163"/>
      <c r="C7231" s="163"/>
      <c r="J7231" s="165"/>
      <c r="K7231" s="166"/>
      <c r="L7231" s="166"/>
    </row>
    <row r="7232">
      <c r="A7232" s="163" t="s">
        <v>222</v>
      </c>
      <c r="B7232" s="163"/>
      <c r="C7232" s="163"/>
      <c r="J7232" s="165"/>
      <c r="K7232" s="166"/>
      <c r="L7232" s="166"/>
    </row>
    <row r="7233">
      <c r="A7233" s="163" t="s">
        <v>222</v>
      </c>
      <c r="B7233" s="163"/>
      <c r="C7233" s="163"/>
      <c r="J7233" s="165"/>
      <c r="K7233" s="166"/>
      <c r="L7233" s="166"/>
    </row>
    <row r="7234">
      <c r="A7234" s="163" t="s">
        <v>222</v>
      </c>
      <c r="B7234" s="163"/>
      <c r="C7234" s="163"/>
      <c r="J7234" s="165"/>
      <c r="K7234" s="166"/>
      <c r="L7234" s="166"/>
    </row>
    <row r="7235">
      <c r="A7235" s="163" t="s">
        <v>222</v>
      </c>
      <c r="B7235" s="163"/>
      <c r="C7235" s="163"/>
      <c r="J7235" s="165"/>
      <c r="K7235" s="166"/>
      <c r="L7235" s="166"/>
    </row>
    <row r="7236">
      <c r="A7236" s="163" t="s">
        <v>222</v>
      </c>
      <c r="B7236" s="163"/>
      <c r="C7236" s="163"/>
      <c r="J7236" s="165"/>
      <c r="K7236" s="166"/>
      <c r="L7236" s="166"/>
    </row>
    <row r="7237">
      <c r="A7237" s="163" t="s">
        <v>222</v>
      </c>
      <c r="B7237" s="163"/>
      <c r="C7237" s="163"/>
      <c r="J7237" s="165"/>
      <c r="K7237" s="166"/>
      <c r="L7237" s="166"/>
    </row>
    <row r="7238">
      <c r="A7238" s="163" t="s">
        <v>222</v>
      </c>
      <c r="B7238" s="163"/>
      <c r="C7238" s="163"/>
      <c r="J7238" s="165"/>
      <c r="K7238" s="166"/>
      <c r="L7238" s="166"/>
    </row>
    <row r="7239">
      <c r="A7239" s="163" t="s">
        <v>222</v>
      </c>
      <c r="B7239" s="163"/>
      <c r="C7239" s="163"/>
      <c r="J7239" s="165"/>
      <c r="K7239" s="166"/>
      <c r="L7239" s="166"/>
    </row>
    <row r="7240">
      <c r="A7240" s="163" t="s">
        <v>222</v>
      </c>
      <c r="B7240" s="163"/>
      <c r="C7240" s="163"/>
      <c r="J7240" s="165"/>
      <c r="K7240" s="166"/>
      <c r="L7240" s="166"/>
    </row>
    <row r="7241">
      <c r="A7241" s="163" t="s">
        <v>222</v>
      </c>
      <c r="B7241" s="163"/>
      <c r="C7241" s="163"/>
      <c r="J7241" s="165"/>
      <c r="K7241" s="166"/>
      <c r="L7241" s="166"/>
    </row>
    <row r="7242">
      <c r="A7242" s="163" t="s">
        <v>222</v>
      </c>
      <c r="B7242" s="163"/>
      <c r="C7242" s="163"/>
      <c r="J7242" s="165"/>
      <c r="K7242" s="166"/>
      <c r="L7242" s="166"/>
    </row>
    <row r="7243">
      <c r="A7243" s="163" t="s">
        <v>222</v>
      </c>
      <c r="B7243" s="163"/>
      <c r="C7243" s="163"/>
      <c r="J7243" s="165"/>
      <c r="K7243" s="166"/>
      <c r="L7243" s="166"/>
    </row>
    <row r="7244">
      <c r="A7244" s="163" t="s">
        <v>222</v>
      </c>
      <c r="B7244" s="163"/>
      <c r="C7244" s="163"/>
      <c r="J7244" s="165"/>
      <c r="K7244" s="166"/>
      <c r="L7244" s="166"/>
    </row>
    <row r="7245">
      <c r="A7245" s="163" t="s">
        <v>222</v>
      </c>
      <c r="B7245" s="163"/>
      <c r="C7245" s="163"/>
      <c r="J7245" s="165"/>
      <c r="K7245" s="166"/>
      <c r="L7245" s="166"/>
    </row>
    <row r="7246">
      <c r="A7246" s="163" t="s">
        <v>222</v>
      </c>
      <c r="B7246" s="163"/>
      <c r="C7246" s="163"/>
      <c r="J7246" s="165"/>
      <c r="K7246" s="166"/>
      <c r="L7246" s="166"/>
    </row>
    <row r="7247">
      <c r="A7247" s="163" t="s">
        <v>222</v>
      </c>
      <c r="B7247" s="163"/>
      <c r="C7247" s="163"/>
      <c r="J7247" s="165"/>
      <c r="K7247" s="166"/>
      <c r="L7247" s="166"/>
    </row>
    <row r="7248">
      <c r="A7248" s="163" t="s">
        <v>222</v>
      </c>
      <c r="B7248" s="163"/>
      <c r="C7248" s="163"/>
      <c r="J7248" s="165"/>
      <c r="K7248" s="166"/>
      <c r="L7248" s="166"/>
    </row>
    <row r="7249">
      <c r="A7249" s="163" t="s">
        <v>222</v>
      </c>
      <c r="B7249" s="163"/>
      <c r="C7249" s="163"/>
      <c r="J7249" s="165"/>
      <c r="K7249" s="166"/>
      <c r="L7249" s="166"/>
    </row>
    <row r="7250">
      <c r="A7250" s="163" t="s">
        <v>222</v>
      </c>
      <c r="B7250" s="163"/>
      <c r="C7250" s="163"/>
      <c r="J7250" s="165"/>
      <c r="K7250" s="166"/>
      <c r="L7250" s="166"/>
    </row>
    <row r="7251">
      <c r="A7251" s="163" t="s">
        <v>222</v>
      </c>
      <c r="B7251" s="163"/>
      <c r="C7251" s="163"/>
      <c r="J7251" s="165"/>
      <c r="K7251" s="166"/>
      <c r="L7251" s="166"/>
    </row>
    <row r="7252">
      <c r="A7252" s="163" t="s">
        <v>222</v>
      </c>
      <c r="B7252" s="163"/>
      <c r="C7252" s="163"/>
      <c r="J7252" s="165"/>
      <c r="K7252" s="166"/>
      <c r="L7252" s="166"/>
    </row>
    <row r="7253">
      <c r="A7253" s="163" t="s">
        <v>222</v>
      </c>
      <c r="B7253" s="163"/>
      <c r="C7253" s="163"/>
      <c r="J7253" s="165"/>
      <c r="K7253" s="166"/>
      <c r="L7253" s="166"/>
    </row>
    <row r="7254">
      <c r="A7254" s="163" t="s">
        <v>222</v>
      </c>
      <c r="B7254" s="163"/>
      <c r="C7254" s="163"/>
      <c r="J7254" s="165"/>
      <c r="K7254" s="166"/>
      <c r="L7254" s="166"/>
    </row>
    <row r="7255">
      <c r="A7255" s="163" t="s">
        <v>222</v>
      </c>
      <c r="B7255" s="163"/>
      <c r="C7255" s="163"/>
      <c r="J7255" s="165"/>
      <c r="K7255" s="166"/>
      <c r="L7255" s="166"/>
    </row>
    <row r="7256">
      <c r="A7256" s="163" t="s">
        <v>222</v>
      </c>
      <c r="B7256" s="163"/>
      <c r="C7256" s="163"/>
      <c r="J7256" s="165"/>
      <c r="K7256" s="166"/>
      <c r="L7256" s="166"/>
    </row>
    <row r="7257">
      <c r="A7257" s="163" t="s">
        <v>222</v>
      </c>
      <c r="B7257" s="163"/>
      <c r="C7257" s="163"/>
      <c r="J7257" s="165"/>
      <c r="K7257" s="166"/>
      <c r="L7257" s="166"/>
    </row>
    <row r="7258">
      <c r="A7258" s="163" t="s">
        <v>222</v>
      </c>
      <c r="B7258" s="163"/>
      <c r="C7258" s="163"/>
      <c r="J7258" s="165"/>
      <c r="K7258" s="166"/>
      <c r="L7258" s="166"/>
    </row>
    <row r="7259">
      <c r="A7259" s="163" t="s">
        <v>222</v>
      </c>
      <c r="B7259" s="163"/>
      <c r="C7259" s="163"/>
      <c r="J7259" s="165"/>
      <c r="K7259" s="166"/>
      <c r="L7259" s="166"/>
    </row>
    <row r="7260">
      <c r="A7260" s="163" t="s">
        <v>222</v>
      </c>
      <c r="B7260" s="163"/>
      <c r="C7260" s="163"/>
      <c r="J7260" s="165"/>
      <c r="K7260" s="166"/>
      <c r="L7260" s="166"/>
    </row>
    <row r="7261">
      <c r="A7261" s="163" t="s">
        <v>222</v>
      </c>
      <c r="B7261" s="163"/>
      <c r="C7261" s="163"/>
      <c r="J7261" s="165"/>
      <c r="K7261" s="166"/>
      <c r="L7261" s="166"/>
    </row>
    <row r="7262">
      <c r="A7262" s="163" t="s">
        <v>222</v>
      </c>
      <c r="B7262" s="163"/>
      <c r="C7262" s="163"/>
      <c r="J7262" s="165"/>
      <c r="K7262" s="166"/>
      <c r="L7262" s="166"/>
    </row>
    <row r="7263">
      <c r="A7263" s="163" t="s">
        <v>222</v>
      </c>
      <c r="B7263" s="163"/>
      <c r="C7263" s="163"/>
      <c r="J7263" s="165"/>
      <c r="K7263" s="166"/>
      <c r="L7263" s="166"/>
    </row>
    <row r="7264">
      <c r="A7264" s="163" t="s">
        <v>222</v>
      </c>
      <c r="B7264" s="163"/>
      <c r="C7264" s="163"/>
      <c r="J7264" s="165"/>
      <c r="K7264" s="166"/>
      <c r="L7264" s="166"/>
    </row>
    <row r="7265">
      <c r="A7265" s="163" t="s">
        <v>222</v>
      </c>
      <c r="B7265" s="163"/>
      <c r="C7265" s="163"/>
      <c r="J7265" s="165"/>
      <c r="K7265" s="166"/>
      <c r="L7265" s="166"/>
    </row>
    <row r="7266">
      <c r="A7266" s="163" t="s">
        <v>222</v>
      </c>
      <c r="B7266" s="163"/>
      <c r="C7266" s="163"/>
      <c r="J7266" s="165"/>
      <c r="K7266" s="166"/>
      <c r="L7266" s="166"/>
    </row>
    <row r="7267">
      <c r="A7267" s="163" t="s">
        <v>222</v>
      </c>
      <c r="B7267" s="163"/>
      <c r="C7267" s="163"/>
      <c r="J7267" s="165"/>
      <c r="K7267" s="166"/>
      <c r="L7267" s="166"/>
    </row>
    <row r="7268">
      <c r="A7268" s="163" t="s">
        <v>222</v>
      </c>
      <c r="B7268" s="163"/>
      <c r="C7268" s="163"/>
      <c r="J7268" s="165"/>
      <c r="K7268" s="166"/>
      <c r="L7268" s="166"/>
    </row>
    <row r="7269">
      <c r="A7269" s="163" t="s">
        <v>222</v>
      </c>
      <c r="B7269" s="163"/>
      <c r="C7269" s="163"/>
      <c r="J7269" s="165"/>
      <c r="K7269" s="166"/>
      <c r="L7269" s="166"/>
    </row>
    <row r="7270">
      <c r="A7270" s="163" t="s">
        <v>222</v>
      </c>
      <c r="B7270" s="163"/>
      <c r="C7270" s="163"/>
      <c r="J7270" s="165"/>
      <c r="K7270" s="166"/>
      <c r="L7270" s="166"/>
    </row>
    <row r="7271">
      <c r="A7271" s="163" t="s">
        <v>222</v>
      </c>
      <c r="B7271" s="163"/>
      <c r="C7271" s="163"/>
      <c r="J7271" s="165"/>
      <c r="K7271" s="166"/>
      <c r="L7271" s="166"/>
    </row>
    <row r="7272">
      <c r="A7272" s="163" t="s">
        <v>222</v>
      </c>
      <c r="B7272" s="163"/>
      <c r="C7272" s="163"/>
      <c r="J7272" s="165"/>
      <c r="K7272" s="166"/>
      <c r="L7272" s="166"/>
    </row>
    <row r="7273">
      <c r="A7273" s="163" t="s">
        <v>222</v>
      </c>
      <c r="B7273" s="163"/>
      <c r="C7273" s="163"/>
      <c r="J7273" s="165"/>
      <c r="K7273" s="166"/>
      <c r="L7273" s="166"/>
    </row>
    <row r="7274">
      <c r="A7274" s="163" t="s">
        <v>222</v>
      </c>
      <c r="B7274" s="163"/>
      <c r="C7274" s="163"/>
      <c r="J7274" s="165"/>
      <c r="K7274" s="166"/>
      <c r="L7274" s="166"/>
    </row>
    <row r="7275">
      <c r="A7275" s="163" t="s">
        <v>222</v>
      </c>
      <c r="B7275" s="163"/>
      <c r="C7275" s="163"/>
      <c r="J7275" s="165"/>
      <c r="K7275" s="166"/>
      <c r="L7275" s="166"/>
    </row>
    <row r="7276">
      <c r="A7276" s="163" t="s">
        <v>222</v>
      </c>
      <c r="B7276" s="163"/>
      <c r="C7276" s="163"/>
      <c r="J7276" s="165"/>
      <c r="K7276" s="166"/>
      <c r="L7276" s="166"/>
    </row>
    <row r="7277">
      <c r="A7277" s="163" t="s">
        <v>222</v>
      </c>
      <c r="B7277" s="163"/>
      <c r="C7277" s="163"/>
      <c r="J7277" s="165"/>
      <c r="K7277" s="166"/>
      <c r="L7277" s="166"/>
    </row>
    <row r="7278">
      <c r="A7278" s="163" t="s">
        <v>222</v>
      </c>
      <c r="B7278" s="163"/>
      <c r="C7278" s="163"/>
      <c r="J7278" s="165"/>
      <c r="K7278" s="166"/>
      <c r="L7278" s="166"/>
    </row>
    <row r="7279">
      <c r="A7279" s="163" t="s">
        <v>222</v>
      </c>
      <c r="B7279" s="163"/>
      <c r="C7279" s="163"/>
      <c r="J7279" s="165"/>
      <c r="K7279" s="166"/>
      <c r="L7279" s="166"/>
    </row>
    <row r="7280">
      <c r="A7280" s="163" t="s">
        <v>222</v>
      </c>
      <c r="B7280" s="163"/>
      <c r="C7280" s="163"/>
      <c r="J7280" s="165"/>
      <c r="K7280" s="166"/>
      <c r="L7280" s="166"/>
    </row>
    <row r="7281">
      <c r="A7281" s="163" t="s">
        <v>222</v>
      </c>
      <c r="B7281" s="163"/>
      <c r="C7281" s="163"/>
      <c r="J7281" s="165"/>
      <c r="K7281" s="166"/>
      <c r="L7281" s="166"/>
    </row>
    <row r="7282">
      <c r="A7282" s="163" t="s">
        <v>222</v>
      </c>
      <c r="B7282" s="163"/>
      <c r="C7282" s="163"/>
      <c r="J7282" s="165"/>
      <c r="K7282" s="166"/>
      <c r="L7282" s="166"/>
    </row>
    <row r="7283">
      <c r="A7283" s="163" t="s">
        <v>222</v>
      </c>
      <c r="B7283" s="163"/>
      <c r="C7283" s="163"/>
      <c r="J7283" s="165"/>
      <c r="K7283" s="166"/>
      <c r="L7283" s="166"/>
    </row>
    <row r="7284">
      <c r="A7284" s="163" t="s">
        <v>222</v>
      </c>
      <c r="B7284" s="163"/>
      <c r="C7284" s="163"/>
      <c r="J7284" s="165"/>
      <c r="K7284" s="166"/>
      <c r="L7284" s="166"/>
    </row>
    <row r="7285">
      <c r="A7285" s="163" t="s">
        <v>222</v>
      </c>
      <c r="B7285" s="163"/>
      <c r="C7285" s="163"/>
      <c r="J7285" s="165"/>
      <c r="K7285" s="166"/>
      <c r="L7285" s="166"/>
    </row>
    <row r="7286">
      <c r="A7286" s="163" t="s">
        <v>222</v>
      </c>
      <c r="B7286" s="163"/>
      <c r="C7286" s="163"/>
      <c r="J7286" s="165"/>
      <c r="K7286" s="166"/>
      <c r="L7286" s="166"/>
    </row>
    <row r="7287">
      <c r="A7287" s="163" t="s">
        <v>222</v>
      </c>
      <c r="B7287" s="163"/>
      <c r="C7287" s="163"/>
      <c r="J7287" s="165"/>
      <c r="K7287" s="166"/>
      <c r="L7287" s="166"/>
    </row>
    <row r="7288">
      <c r="A7288" s="163" t="s">
        <v>222</v>
      </c>
      <c r="B7288" s="163"/>
      <c r="C7288" s="163"/>
      <c r="J7288" s="165"/>
      <c r="K7288" s="166"/>
      <c r="L7288" s="166"/>
    </row>
    <row r="7289">
      <c r="A7289" s="163" t="s">
        <v>222</v>
      </c>
      <c r="B7289" s="163"/>
      <c r="C7289" s="163"/>
      <c r="J7289" s="165"/>
      <c r="K7289" s="166"/>
      <c r="L7289" s="166"/>
    </row>
    <row r="7290">
      <c r="A7290" s="163" t="s">
        <v>222</v>
      </c>
      <c r="B7290" s="163"/>
      <c r="C7290" s="163"/>
      <c r="J7290" s="165"/>
      <c r="K7290" s="166"/>
      <c r="L7290" s="166"/>
    </row>
    <row r="7291">
      <c r="A7291" s="163" t="s">
        <v>222</v>
      </c>
      <c r="B7291" s="163"/>
      <c r="C7291" s="163"/>
      <c r="J7291" s="165"/>
      <c r="K7291" s="166"/>
      <c r="L7291" s="166"/>
    </row>
    <row r="7292">
      <c r="A7292" s="163" t="s">
        <v>222</v>
      </c>
      <c r="B7292" s="163"/>
      <c r="C7292" s="163"/>
      <c r="J7292" s="165"/>
      <c r="K7292" s="166"/>
      <c r="L7292" s="166"/>
    </row>
    <row r="7293">
      <c r="A7293" s="163" t="s">
        <v>222</v>
      </c>
      <c r="B7293" s="163"/>
      <c r="C7293" s="163"/>
      <c r="J7293" s="165"/>
      <c r="K7293" s="166"/>
      <c r="L7293" s="166"/>
    </row>
    <row r="7294">
      <c r="A7294" s="163" t="s">
        <v>222</v>
      </c>
      <c r="B7294" s="163"/>
      <c r="C7294" s="163"/>
      <c r="J7294" s="165"/>
      <c r="K7294" s="166"/>
      <c r="L7294" s="166"/>
    </row>
    <row r="7295">
      <c r="A7295" s="163" t="s">
        <v>222</v>
      </c>
      <c r="B7295" s="163"/>
      <c r="C7295" s="163"/>
      <c r="J7295" s="165"/>
      <c r="K7295" s="166"/>
      <c r="L7295" s="166"/>
    </row>
    <row r="7296">
      <c r="A7296" s="163" t="s">
        <v>222</v>
      </c>
      <c r="B7296" s="163"/>
      <c r="C7296" s="163"/>
      <c r="J7296" s="165"/>
      <c r="K7296" s="166"/>
      <c r="L7296" s="166"/>
    </row>
    <row r="7297">
      <c r="A7297" s="163" t="s">
        <v>222</v>
      </c>
      <c r="B7297" s="163"/>
      <c r="C7297" s="163"/>
      <c r="J7297" s="165"/>
      <c r="K7297" s="166"/>
      <c r="L7297" s="166"/>
    </row>
    <row r="7298">
      <c r="A7298" s="163" t="s">
        <v>222</v>
      </c>
      <c r="B7298" s="163"/>
      <c r="C7298" s="163"/>
      <c r="J7298" s="165"/>
      <c r="K7298" s="166"/>
      <c r="L7298" s="166"/>
    </row>
    <row r="7299">
      <c r="A7299" s="163" t="s">
        <v>222</v>
      </c>
      <c r="B7299" s="163"/>
      <c r="C7299" s="163"/>
      <c r="J7299" s="165"/>
      <c r="K7299" s="166"/>
      <c r="L7299" s="166"/>
    </row>
    <row r="7300">
      <c r="A7300" s="163" t="s">
        <v>222</v>
      </c>
      <c r="B7300" s="163"/>
      <c r="C7300" s="163"/>
      <c r="J7300" s="165"/>
      <c r="K7300" s="166"/>
      <c r="L7300" s="166"/>
    </row>
    <row r="7301">
      <c r="A7301" s="163" t="s">
        <v>222</v>
      </c>
      <c r="B7301" s="163"/>
      <c r="C7301" s="163"/>
      <c r="J7301" s="165"/>
      <c r="K7301" s="166"/>
      <c r="L7301" s="166"/>
    </row>
    <row r="7302">
      <c r="A7302" s="163" t="s">
        <v>222</v>
      </c>
      <c r="B7302" s="163"/>
      <c r="C7302" s="163"/>
      <c r="J7302" s="165"/>
      <c r="K7302" s="166"/>
      <c r="L7302" s="166"/>
    </row>
    <row r="7303">
      <c r="A7303" s="163" t="s">
        <v>222</v>
      </c>
      <c r="B7303" s="163"/>
      <c r="C7303" s="163"/>
      <c r="J7303" s="165"/>
      <c r="K7303" s="166"/>
      <c r="L7303" s="166"/>
    </row>
    <row r="7304">
      <c r="A7304" s="163" t="s">
        <v>222</v>
      </c>
      <c r="B7304" s="163"/>
      <c r="C7304" s="163"/>
      <c r="J7304" s="165"/>
      <c r="K7304" s="166"/>
      <c r="L7304" s="166"/>
    </row>
    <row r="7305">
      <c r="A7305" s="163" t="s">
        <v>222</v>
      </c>
      <c r="B7305" s="163"/>
      <c r="C7305" s="163"/>
      <c r="J7305" s="165"/>
      <c r="K7305" s="166"/>
      <c r="L7305" s="166"/>
    </row>
    <row r="7306">
      <c r="A7306" s="163" t="s">
        <v>222</v>
      </c>
      <c r="B7306" s="163"/>
      <c r="C7306" s="163"/>
      <c r="J7306" s="165"/>
      <c r="K7306" s="166"/>
      <c r="L7306" s="166"/>
    </row>
    <row r="7307">
      <c r="A7307" s="163" t="s">
        <v>222</v>
      </c>
      <c r="B7307" s="163"/>
      <c r="C7307" s="163"/>
      <c r="J7307" s="165"/>
      <c r="K7307" s="166"/>
      <c r="L7307" s="166"/>
    </row>
    <row r="7308">
      <c r="A7308" s="163" t="s">
        <v>222</v>
      </c>
      <c r="B7308" s="163"/>
      <c r="C7308" s="163"/>
      <c r="J7308" s="165"/>
      <c r="K7308" s="166"/>
      <c r="L7308" s="166"/>
    </row>
    <row r="7309">
      <c r="A7309" s="163" t="s">
        <v>222</v>
      </c>
      <c r="B7309" s="163"/>
      <c r="C7309" s="163"/>
      <c r="J7309" s="165"/>
      <c r="K7309" s="166"/>
      <c r="L7309" s="166"/>
    </row>
    <row r="7310">
      <c r="A7310" s="163" t="s">
        <v>222</v>
      </c>
      <c r="B7310" s="163"/>
      <c r="C7310" s="163"/>
      <c r="J7310" s="165"/>
      <c r="K7310" s="166"/>
      <c r="L7310" s="166"/>
    </row>
    <row r="7311">
      <c r="A7311" s="163" t="s">
        <v>222</v>
      </c>
      <c r="B7311" s="163"/>
      <c r="C7311" s="163"/>
      <c r="J7311" s="165"/>
      <c r="K7311" s="166"/>
      <c r="L7311" s="166"/>
    </row>
    <row r="7312">
      <c r="A7312" s="163" t="s">
        <v>222</v>
      </c>
      <c r="B7312" s="163"/>
      <c r="C7312" s="163"/>
      <c r="J7312" s="165"/>
      <c r="K7312" s="166"/>
      <c r="L7312" s="166"/>
    </row>
    <row r="7313">
      <c r="A7313" s="163" t="s">
        <v>222</v>
      </c>
      <c r="B7313" s="163"/>
      <c r="C7313" s="163"/>
      <c r="J7313" s="165"/>
      <c r="K7313" s="166"/>
      <c r="L7313" s="166"/>
    </row>
    <row r="7314">
      <c r="A7314" s="163" t="s">
        <v>222</v>
      </c>
      <c r="B7314" s="163"/>
      <c r="C7314" s="163"/>
      <c r="J7314" s="165"/>
      <c r="K7314" s="166"/>
      <c r="L7314" s="166"/>
    </row>
    <row r="7315">
      <c r="A7315" s="163" t="s">
        <v>222</v>
      </c>
      <c r="B7315" s="163"/>
      <c r="C7315" s="163"/>
      <c r="J7315" s="165"/>
      <c r="K7315" s="166"/>
      <c r="L7315" s="166"/>
    </row>
    <row r="7316">
      <c r="A7316" s="163" t="s">
        <v>222</v>
      </c>
      <c r="B7316" s="163"/>
      <c r="C7316" s="163"/>
      <c r="J7316" s="165"/>
      <c r="K7316" s="166"/>
      <c r="L7316" s="166"/>
    </row>
    <row r="7317">
      <c r="A7317" s="163" t="s">
        <v>222</v>
      </c>
      <c r="B7317" s="163"/>
      <c r="C7317" s="163"/>
      <c r="J7317" s="165"/>
      <c r="K7317" s="166"/>
      <c r="L7317" s="166"/>
    </row>
    <row r="7318">
      <c r="A7318" s="163" t="s">
        <v>222</v>
      </c>
      <c r="B7318" s="163"/>
      <c r="C7318" s="163"/>
      <c r="J7318" s="165"/>
      <c r="K7318" s="166"/>
      <c r="L7318" s="166"/>
    </row>
    <row r="7319">
      <c r="A7319" s="163" t="s">
        <v>222</v>
      </c>
      <c r="B7319" s="163"/>
      <c r="C7319" s="163"/>
      <c r="J7319" s="165"/>
      <c r="K7319" s="166"/>
      <c r="L7319" s="166"/>
    </row>
    <row r="7320">
      <c r="A7320" s="163" t="s">
        <v>222</v>
      </c>
      <c r="B7320" s="163"/>
      <c r="C7320" s="163"/>
      <c r="J7320" s="165"/>
      <c r="K7320" s="166"/>
      <c r="L7320" s="166"/>
    </row>
    <row r="7321">
      <c r="A7321" s="163" t="s">
        <v>222</v>
      </c>
      <c r="B7321" s="163"/>
      <c r="C7321" s="163"/>
      <c r="J7321" s="165"/>
      <c r="K7321" s="166"/>
      <c r="L7321" s="166"/>
    </row>
    <row r="7322">
      <c r="A7322" s="163" t="s">
        <v>222</v>
      </c>
      <c r="B7322" s="163"/>
      <c r="C7322" s="163"/>
      <c r="J7322" s="165"/>
      <c r="K7322" s="166"/>
      <c r="L7322" s="166"/>
    </row>
    <row r="7323">
      <c r="A7323" s="163" t="s">
        <v>222</v>
      </c>
      <c r="B7323" s="163"/>
      <c r="C7323" s="163"/>
      <c r="J7323" s="165"/>
      <c r="K7323" s="166"/>
      <c r="L7323" s="166"/>
    </row>
    <row r="7324">
      <c r="A7324" s="163" t="s">
        <v>222</v>
      </c>
      <c r="B7324" s="163"/>
      <c r="C7324" s="163"/>
      <c r="J7324" s="165"/>
      <c r="K7324" s="166"/>
      <c r="L7324" s="166"/>
    </row>
    <row r="7325">
      <c r="A7325" s="163" t="s">
        <v>222</v>
      </c>
      <c r="B7325" s="163"/>
      <c r="C7325" s="163"/>
      <c r="J7325" s="165"/>
      <c r="K7325" s="166"/>
      <c r="L7325" s="166"/>
    </row>
    <row r="7326">
      <c r="A7326" s="163" t="s">
        <v>222</v>
      </c>
      <c r="B7326" s="163"/>
      <c r="C7326" s="163"/>
      <c r="J7326" s="165"/>
      <c r="K7326" s="166"/>
      <c r="L7326" s="166"/>
    </row>
    <row r="7327">
      <c r="A7327" s="163" t="s">
        <v>222</v>
      </c>
      <c r="B7327" s="163"/>
      <c r="C7327" s="163"/>
      <c r="J7327" s="165"/>
      <c r="K7327" s="166"/>
      <c r="L7327" s="166"/>
    </row>
    <row r="7328">
      <c r="A7328" s="163" t="s">
        <v>222</v>
      </c>
      <c r="B7328" s="163"/>
      <c r="C7328" s="163"/>
      <c r="J7328" s="165"/>
      <c r="K7328" s="166"/>
      <c r="L7328" s="166"/>
    </row>
    <row r="7329">
      <c r="A7329" s="163" t="s">
        <v>222</v>
      </c>
      <c r="B7329" s="163"/>
      <c r="C7329" s="163"/>
      <c r="J7329" s="165"/>
      <c r="K7329" s="166"/>
      <c r="L7329" s="166"/>
    </row>
    <row r="7330">
      <c r="A7330" s="163" t="s">
        <v>222</v>
      </c>
      <c r="B7330" s="163"/>
      <c r="C7330" s="163"/>
      <c r="J7330" s="165"/>
      <c r="K7330" s="166"/>
      <c r="L7330" s="166"/>
    </row>
    <row r="7331">
      <c r="A7331" s="163" t="s">
        <v>222</v>
      </c>
      <c r="B7331" s="163"/>
      <c r="C7331" s="163"/>
      <c r="J7331" s="165"/>
      <c r="K7331" s="166"/>
      <c r="L7331" s="166"/>
    </row>
    <row r="7332">
      <c r="A7332" s="163" t="s">
        <v>222</v>
      </c>
      <c r="B7332" s="163"/>
      <c r="C7332" s="163"/>
      <c r="J7332" s="165"/>
      <c r="K7332" s="166"/>
      <c r="L7332" s="166"/>
    </row>
    <row r="7333">
      <c r="A7333" s="163" t="s">
        <v>222</v>
      </c>
      <c r="B7333" s="163"/>
      <c r="C7333" s="163"/>
      <c r="J7333" s="165"/>
      <c r="K7333" s="166"/>
      <c r="L7333" s="166"/>
    </row>
    <row r="7334">
      <c r="A7334" s="163" t="s">
        <v>222</v>
      </c>
      <c r="B7334" s="163"/>
      <c r="C7334" s="163"/>
      <c r="J7334" s="165"/>
      <c r="K7334" s="166"/>
      <c r="L7334" s="166"/>
    </row>
    <row r="7335">
      <c r="A7335" s="163" t="s">
        <v>222</v>
      </c>
      <c r="B7335" s="163"/>
      <c r="C7335" s="163"/>
      <c r="J7335" s="165"/>
      <c r="K7335" s="166"/>
      <c r="L7335" s="166"/>
    </row>
    <row r="7336">
      <c r="A7336" s="163" t="s">
        <v>222</v>
      </c>
      <c r="B7336" s="163"/>
      <c r="C7336" s="163"/>
      <c r="J7336" s="165"/>
      <c r="K7336" s="166"/>
      <c r="L7336" s="166"/>
    </row>
    <row r="7337">
      <c r="A7337" s="163" t="s">
        <v>222</v>
      </c>
      <c r="B7337" s="163"/>
      <c r="C7337" s="163"/>
      <c r="J7337" s="165"/>
      <c r="K7337" s="166"/>
      <c r="L7337" s="166"/>
    </row>
    <row r="7338">
      <c r="A7338" s="163" t="s">
        <v>222</v>
      </c>
      <c r="B7338" s="163"/>
      <c r="C7338" s="163"/>
      <c r="J7338" s="165"/>
      <c r="K7338" s="166"/>
      <c r="L7338" s="166"/>
    </row>
    <row r="7339">
      <c r="A7339" s="163" t="s">
        <v>222</v>
      </c>
      <c r="B7339" s="163"/>
      <c r="C7339" s="163"/>
      <c r="J7339" s="165"/>
      <c r="K7339" s="166"/>
      <c r="L7339" s="166"/>
    </row>
    <row r="7340">
      <c r="A7340" s="163" t="s">
        <v>222</v>
      </c>
      <c r="B7340" s="163"/>
      <c r="C7340" s="163"/>
      <c r="J7340" s="165"/>
      <c r="K7340" s="166"/>
      <c r="L7340" s="166"/>
    </row>
    <row r="7341">
      <c r="A7341" s="163" t="s">
        <v>222</v>
      </c>
      <c r="B7341" s="163"/>
      <c r="C7341" s="163"/>
      <c r="J7341" s="165"/>
      <c r="K7341" s="166"/>
      <c r="L7341" s="166"/>
    </row>
    <row r="7342">
      <c r="A7342" s="163" t="s">
        <v>222</v>
      </c>
      <c r="B7342" s="163"/>
      <c r="C7342" s="163"/>
      <c r="J7342" s="165"/>
      <c r="K7342" s="166"/>
      <c r="L7342" s="166"/>
    </row>
    <row r="7343">
      <c r="A7343" s="163" t="s">
        <v>222</v>
      </c>
      <c r="B7343" s="163"/>
      <c r="C7343" s="163"/>
      <c r="J7343" s="165"/>
      <c r="K7343" s="166"/>
      <c r="L7343" s="166"/>
    </row>
    <row r="7344">
      <c r="A7344" s="163" t="s">
        <v>222</v>
      </c>
      <c r="B7344" s="163"/>
      <c r="C7344" s="163"/>
      <c r="J7344" s="165"/>
      <c r="K7344" s="166"/>
      <c r="L7344" s="166"/>
    </row>
    <row r="7345">
      <c r="A7345" s="163" t="s">
        <v>222</v>
      </c>
      <c r="B7345" s="163"/>
      <c r="C7345" s="163"/>
      <c r="J7345" s="165"/>
      <c r="K7345" s="166"/>
      <c r="L7345" s="166"/>
    </row>
    <row r="7346">
      <c r="A7346" s="163" t="s">
        <v>222</v>
      </c>
      <c r="B7346" s="163"/>
      <c r="C7346" s="163"/>
      <c r="J7346" s="165"/>
      <c r="K7346" s="166"/>
      <c r="L7346" s="166"/>
    </row>
    <row r="7347">
      <c r="A7347" s="163" t="s">
        <v>222</v>
      </c>
      <c r="B7347" s="163"/>
      <c r="C7347" s="163"/>
      <c r="J7347" s="165"/>
      <c r="K7347" s="166"/>
      <c r="L7347" s="166"/>
    </row>
    <row r="7348">
      <c r="A7348" s="163" t="s">
        <v>222</v>
      </c>
      <c r="B7348" s="163"/>
      <c r="C7348" s="163"/>
      <c r="J7348" s="165"/>
      <c r="K7348" s="166"/>
      <c r="L7348" s="166"/>
    </row>
    <row r="7349">
      <c r="A7349" s="163" t="s">
        <v>222</v>
      </c>
      <c r="B7349" s="163"/>
      <c r="C7349" s="163"/>
      <c r="J7349" s="165"/>
      <c r="K7349" s="166"/>
      <c r="L7349" s="166"/>
    </row>
    <row r="7350">
      <c r="A7350" s="163" t="s">
        <v>222</v>
      </c>
      <c r="B7350" s="163"/>
      <c r="C7350" s="163"/>
      <c r="J7350" s="165"/>
      <c r="K7350" s="166"/>
      <c r="L7350" s="166"/>
    </row>
    <row r="7351">
      <c r="A7351" s="163" t="s">
        <v>222</v>
      </c>
      <c r="B7351" s="163"/>
      <c r="C7351" s="163"/>
      <c r="J7351" s="165"/>
      <c r="K7351" s="166"/>
      <c r="L7351" s="166"/>
    </row>
    <row r="7352">
      <c r="A7352" s="163" t="s">
        <v>222</v>
      </c>
      <c r="B7352" s="163"/>
      <c r="C7352" s="163"/>
      <c r="J7352" s="165"/>
      <c r="K7352" s="166"/>
      <c r="L7352" s="166"/>
    </row>
    <row r="7353">
      <c r="A7353" s="163" t="s">
        <v>222</v>
      </c>
      <c r="B7353" s="163"/>
      <c r="C7353" s="163"/>
      <c r="J7353" s="165"/>
      <c r="K7353" s="166"/>
      <c r="L7353" s="166"/>
    </row>
    <row r="7354">
      <c r="A7354" s="163" t="s">
        <v>222</v>
      </c>
      <c r="B7354" s="163"/>
      <c r="C7354" s="163"/>
      <c r="J7354" s="165"/>
      <c r="K7354" s="166"/>
      <c r="L7354" s="166"/>
    </row>
    <row r="7355">
      <c r="A7355" s="163" t="s">
        <v>222</v>
      </c>
      <c r="B7355" s="163"/>
      <c r="C7355" s="163"/>
      <c r="J7355" s="165"/>
      <c r="K7355" s="166"/>
      <c r="L7355" s="166"/>
    </row>
    <row r="7356">
      <c r="A7356" s="163" t="s">
        <v>222</v>
      </c>
      <c r="B7356" s="163"/>
      <c r="C7356" s="163"/>
      <c r="J7356" s="165"/>
      <c r="K7356" s="166"/>
      <c r="L7356" s="166"/>
    </row>
    <row r="7357">
      <c r="A7357" s="163" t="s">
        <v>222</v>
      </c>
      <c r="B7357" s="163"/>
      <c r="C7357" s="163"/>
      <c r="J7357" s="165"/>
      <c r="K7357" s="166"/>
      <c r="L7357" s="166"/>
    </row>
    <row r="7358">
      <c r="A7358" s="163" t="s">
        <v>222</v>
      </c>
      <c r="B7358" s="163"/>
      <c r="C7358" s="163"/>
      <c r="J7358" s="165"/>
      <c r="K7358" s="166"/>
      <c r="L7358" s="166"/>
    </row>
    <row r="7359">
      <c r="A7359" s="163" t="s">
        <v>222</v>
      </c>
      <c r="B7359" s="163"/>
      <c r="C7359" s="163"/>
      <c r="J7359" s="165"/>
      <c r="K7359" s="166"/>
      <c r="L7359" s="166"/>
    </row>
    <row r="7360">
      <c r="A7360" s="163" t="s">
        <v>222</v>
      </c>
      <c r="B7360" s="163"/>
      <c r="C7360" s="163"/>
      <c r="J7360" s="165"/>
      <c r="K7360" s="166"/>
      <c r="L7360" s="166"/>
    </row>
    <row r="7361">
      <c r="A7361" s="163" t="s">
        <v>222</v>
      </c>
      <c r="B7361" s="163"/>
      <c r="C7361" s="163"/>
      <c r="J7361" s="165"/>
      <c r="K7361" s="166"/>
      <c r="L7361" s="166"/>
    </row>
    <row r="7362">
      <c r="A7362" s="163" t="s">
        <v>222</v>
      </c>
      <c r="B7362" s="163"/>
      <c r="C7362" s="163"/>
      <c r="J7362" s="165"/>
      <c r="K7362" s="166"/>
      <c r="L7362" s="166"/>
    </row>
    <row r="7363">
      <c r="A7363" s="163" t="s">
        <v>222</v>
      </c>
      <c r="B7363" s="163"/>
      <c r="C7363" s="163"/>
      <c r="J7363" s="165"/>
      <c r="K7363" s="166"/>
      <c r="L7363" s="166"/>
    </row>
    <row r="7364">
      <c r="A7364" s="163" t="s">
        <v>222</v>
      </c>
      <c r="B7364" s="163"/>
      <c r="C7364" s="163"/>
      <c r="J7364" s="165"/>
      <c r="K7364" s="166"/>
      <c r="L7364" s="166"/>
    </row>
    <row r="7365">
      <c r="A7365" s="163" t="s">
        <v>222</v>
      </c>
      <c r="B7365" s="163"/>
      <c r="C7365" s="163"/>
      <c r="J7365" s="165"/>
      <c r="K7365" s="166"/>
      <c r="L7365" s="166"/>
    </row>
    <row r="7366">
      <c r="A7366" s="163" t="s">
        <v>222</v>
      </c>
      <c r="B7366" s="163"/>
      <c r="C7366" s="163"/>
      <c r="J7366" s="165"/>
      <c r="K7366" s="166"/>
      <c r="L7366" s="166"/>
    </row>
    <row r="7367">
      <c r="A7367" s="163" t="s">
        <v>222</v>
      </c>
      <c r="B7367" s="163"/>
      <c r="C7367" s="163"/>
      <c r="J7367" s="165"/>
      <c r="K7367" s="166"/>
      <c r="L7367" s="166"/>
    </row>
    <row r="7368">
      <c r="A7368" s="163" t="s">
        <v>222</v>
      </c>
      <c r="B7368" s="163"/>
      <c r="C7368" s="163"/>
      <c r="J7368" s="165"/>
      <c r="K7368" s="166"/>
      <c r="L7368" s="166"/>
    </row>
    <row r="7369">
      <c r="A7369" s="163" t="s">
        <v>222</v>
      </c>
      <c r="B7369" s="163"/>
      <c r="C7369" s="163"/>
      <c r="J7369" s="165"/>
      <c r="K7369" s="166"/>
      <c r="L7369" s="166"/>
    </row>
    <row r="7370">
      <c r="A7370" s="163" t="s">
        <v>222</v>
      </c>
      <c r="B7370" s="163"/>
      <c r="C7370" s="163"/>
      <c r="J7370" s="165"/>
      <c r="K7370" s="166"/>
      <c r="L7370" s="166"/>
    </row>
    <row r="7371">
      <c r="A7371" s="163" t="s">
        <v>222</v>
      </c>
      <c r="B7371" s="163"/>
      <c r="C7371" s="163"/>
      <c r="J7371" s="165"/>
      <c r="K7371" s="166"/>
      <c r="L7371" s="166"/>
    </row>
    <row r="7372">
      <c r="A7372" s="163" t="s">
        <v>222</v>
      </c>
      <c r="B7372" s="163"/>
      <c r="C7372" s="163"/>
      <c r="J7372" s="165"/>
      <c r="K7372" s="166"/>
      <c r="L7372" s="166"/>
    </row>
    <row r="7373">
      <c r="A7373" s="163" t="s">
        <v>222</v>
      </c>
      <c r="B7373" s="163"/>
      <c r="C7373" s="163"/>
      <c r="J7373" s="165"/>
      <c r="K7373" s="166"/>
      <c r="L7373" s="166"/>
    </row>
    <row r="7374">
      <c r="A7374" s="163" t="s">
        <v>222</v>
      </c>
      <c r="B7374" s="163"/>
      <c r="C7374" s="163"/>
      <c r="J7374" s="165"/>
      <c r="K7374" s="166"/>
      <c r="L7374" s="166"/>
    </row>
    <row r="7375">
      <c r="A7375" s="163" t="s">
        <v>222</v>
      </c>
      <c r="B7375" s="163"/>
      <c r="C7375" s="163"/>
      <c r="J7375" s="165"/>
      <c r="K7375" s="166"/>
      <c r="L7375" s="166"/>
    </row>
    <row r="7376">
      <c r="A7376" s="163" t="s">
        <v>222</v>
      </c>
      <c r="B7376" s="163"/>
      <c r="C7376" s="163"/>
      <c r="J7376" s="165"/>
      <c r="K7376" s="166"/>
      <c r="L7376" s="166"/>
    </row>
    <row r="7377">
      <c r="A7377" s="163" t="s">
        <v>222</v>
      </c>
      <c r="B7377" s="163"/>
      <c r="C7377" s="163"/>
      <c r="J7377" s="165"/>
      <c r="K7377" s="166"/>
      <c r="L7377" s="166"/>
    </row>
    <row r="7378">
      <c r="A7378" s="163" t="s">
        <v>222</v>
      </c>
      <c r="B7378" s="163"/>
      <c r="C7378" s="163"/>
      <c r="J7378" s="165"/>
      <c r="K7378" s="166"/>
      <c r="L7378" s="166"/>
    </row>
    <row r="7379">
      <c r="A7379" s="163" t="s">
        <v>222</v>
      </c>
      <c r="B7379" s="163"/>
      <c r="C7379" s="163"/>
      <c r="J7379" s="165"/>
      <c r="K7379" s="166"/>
      <c r="L7379" s="166"/>
    </row>
    <row r="7380">
      <c r="A7380" s="163" t="s">
        <v>222</v>
      </c>
      <c r="B7380" s="163"/>
      <c r="C7380" s="163"/>
      <c r="J7380" s="165"/>
      <c r="K7380" s="166"/>
      <c r="L7380" s="166"/>
    </row>
    <row r="7381">
      <c r="A7381" s="163" t="s">
        <v>222</v>
      </c>
      <c r="B7381" s="163"/>
      <c r="C7381" s="163"/>
      <c r="J7381" s="165"/>
      <c r="K7381" s="166"/>
      <c r="L7381" s="166"/>
    </row>
    <row r="7382">
      <c r="A7382" s="163" t="s">
        <v>222</v>
      </c>
      <c r="B7382" s="163"/>
      <c r="C7382" s="163"/>
      <c r="J7382" s="165"/>
      <c r="K7382" s="166"/>
      <c r="L7382" s="166"/>
    </row>
    <row r="7383">
      <c r="A7383" s="163" t="s">
        <v>222</v>
      </c>
      <c r="B7383" s="163"/>
      <c r="C7383" s="163"/>
      <c r="J7383" s="165"/>
      <c r="K7383" s="166"/>
      <c r="L7383" s="166"/>
    </row>
    <row r="7384">
      <c r="A7384" s="163" t="s">
        <v>222</v>
      </c>
      <c r="B7384" s="163"/>
      <c r="C7384" s="163"/>
      <c r="J7384" s="165"/>
      <c r="K7384" s="166"/>
      <c r="L7384" s="166"/>
    </row>
    <row r="7385">
      <c r="A7385" s="163" t="s">
        <v>222</v>
      </c>
      <c r="B7385" s="163"/>
      <c r="C7385" s="163"/>
      <c r="J7385" s="165"/>
      <c r="K7385" s="166"/>
      <c r="L7385" s="166"/>
    </row>
    <row r="7386">
      <c r="A7386" s="163" t="s">
        <v>222</v>
      </c>
      <c r="B7386" s="163"/>
      <c r="C7386" s="163"/>
      <c r="J7386" s="165"/>
      <c r="K7386" s="166"/>
      <c r="L7386" s="166"/>
    </row>
    <row r="7387">
      <c r="A7387" s="163" t="s">
        <v>222</v>
      </c>
      <c r="B7387" s="163"/>
      <c r="C7387" s="163"/>
      <c r="J7387" s="165"/>
      <c r="K7387" s="166"/>
      <c r="L7387" s="166"/>
    </row>
    <row r="7388">
      <c r="A7388" s="163" t="s">
        <v>222</v>
      </c>
      <c r="B7388" s="163"/>
      <c r="C7388" s="163"/>
      <c r="J7388" s="165"/>
      <c r="K7388" s="166"/>
      <c r="L7388" s="166"/>
    </row>
    <row r="7389">
      <c r="A7389" s="163" t="s">
        <v>222</v>
      </c>
      <c r="B7389" s="163"/>
      <c r="C7389" s="163"/>
      <c r="J7389" s="165"/>
      <c r="K7389" s="166"/>
      <c r="L7389" s="166"/>
    </row>
    <row r="7390">
      <c r="A7390" s="163" t="s">
        <v>222</v>
      </c>
      <c r="B7390" s="163"/>
      <c r="C7390" s="163"/>
      <c r="J7390" s="165"/>
      <c r="K7390" s="166"/>
      <c r="L7390" s="166"/>
    </row>
    <row r="7391">
      <c r="A7391" s="163" t="s">
        <v>222</v>
      </c>
      <c r="B7391" s="163"/>
      <c r="C7391" s="163"/>
      <c r="J7391" s="165"/>
      <c r="K7391" s="166"/>
      <c r="L7391" s="166"/>
    </row>
    <row r="7392">
      <c r="A7392" s="163" t="s">
        <v>222</v>
      </c>
      <c r="B7392" s="163"/>
      <c r="C7392" s="163"/>
      <c r="J7392" s="165"/>
      <c r="K7392" s="166"/>
      <c r="L7392" s="166"/>
    </row>
    <row r="7393">
      <c r="A7393" s="163" t="s">
        <v>222</v>
      </c>
      <c r="B7393" s="163"/>
      <c r="C7393" s="163"/>
      <c r="J7393" s="165"/>
      <c r="K7393" s="166"/>
      <c r="L7393" s="166"/>
    </row>
    <row r="7394">
      <c r="A7394" s="163" t="s">
        <v>222</v>
      </c>
      <c r="B7394" s="163"/>
      <c r="C7394" s="163"/>
      <c r="J7394" s="165"/>
      <c r="K7394" s="166"/>
      <c r="L7394" s="166"/>
    </row>
    <row r="7395">
      <c r="A7395" s="163" t="s">
        <v>222</v>
      </c>
      <c r="B7395" s="163"/>
      <c r="C7395" s="163"/>
      <c r="J7395" s="165"/>
      <c r="K7395" s="166"/>
      <c r="L7395" s="166"/>
    </row>
    <row r="7396">
      <c r="A7396" s="163" t="s">
        <v>222</v>
      </c>
      <c r="B7396" s="163"/>
      <c r="C7396" s="163"/>
      <c r="J7396" s="165"/>
      <c r="K7396" s="166"/>
      <c r="L7396" s="166"/>
    </row>
    <row r="7397">
      <c r="A7397" s="163" t="s">
        <v>222</v>
      </c>
      <c r="B7397" s="163"/>
      <c r="C7397" s="163"/>
      <c r="J7397" s="165"/>
      <c r="K7397" s="166"/>
      <c r="L7397" s="166"/>
    </row>
    <row r="7398">
      <c r="A7398" s="163" t="s">
        <v>222</v>
      </c>
      <c r="B7398" s="163"/>
      <c r="C7398" s="163"/>
      <c r="J7398" s="165"/>
      <c r="K7398" s="166"/>
      <c r="L7398" s="166"/>
    </row>
    <row r="7399">
      <c r="A7399" s="163" t="s">
        <v>222</v>
      </c>
      <c r="B7399" s="163"/>
      <c r="C7399" s="163"/>
      <c r="J7399" s="165"/>
      <c r="K7399" s="166"/>
      <c r="L7399" s="166"/>
    </row>
    <row r="7400">
      <c r="A7400" s="163" t="s">
        <v>222</v>
      </c>
      <c r="B7400" s="163"/>
      <c r="C7400" s="163"/>
      <c r="J7400" s="165"/>
      <c r="K7400" s="166"/>
      <c r="L7400" s="166"/>
    </row>
    <row r="7401">
      <c r="A7401" s="163" t="s">
        <v>222</v>
      </c>
      <c r="B7401" s="163"/>
      <c r="C7401" s="163"/>
      <c r="J7401" s="165"/>
      <c r="K7401" s="166"/>
      <c r="L7401" s="166"/>
    </row>
    <row r="7402">
      <c r="A7402" s="163" t="s">
        <v>222</v>
      </c>
      <c r="B7402" s="163"/>
      <c r="C7402" s="163"/>
      <c r="J7402" s="165"/>
      <c r="K7402" s="166"/>
      <c r="L7402" s="166"/>
    </row>
    <row r="7403">
      <c r="A7403" s="163" t="s">
        <v>222</v>
      </c>
      <c r="B7403" s="163"/>
      <c r="C7403" s="163"/>
      <c r="J7403" s="165"/>
      <c r="K7403" s="166"/>
      <c r="L7403" s="166"/>
    </row>
    <row r="7404">
      <c r="A7404" s="163" t="s">
        <v>222</v>
      </c>
      <c r="B7404" s="163"/>
      <c r="C7404" s="163"/>
      <c r="J7404" s="165"/>
      <c r="K7404" s="166"/>
      <c r="L7404" s="166"/>
    </row>
    <row r="7405">
      <c r="A7405" s="163" t="s">
        <v>222</v>
      </c>
      <c r="B7405" s="163"/>
      <c r="C7405" s="163"/>
      <c r="J7405" s="165"/>
      <c r="K7405" s="166"/>
      <c r="L7405" s="166"/>
    </row>
    <row r="7406">
      <c r="A7406" s="163" t="s">
        <v>222</v>
      </c>
      <c r="B7406" s="163"/>
      <c r="C7406" s="163"/>
      <c r="J7406" s="165"/>
      <c r="K7406" s="166"/>
      <c r="L7406" s="166"/>
    </row>
    <row r="7407">
      <c r="A7407" s="163" t="s">
        <v>222</v>
      </c>
      <c r="B7407" s="163"/>
      <c r="C7407" s="163"/>
      <c r="J7407" s="165"/>
      <c r="K7407" s="166"/>
      <c r="L7407" s="166"/>
    </row>
    <row r="7408">
      <c r="A7408" s="163" t="s">
        <v>222</v>
      </c>
      <c r="B7408" s="163"/>
      <c r="C7408" s="163"/>
      <c r="J7408" s="165"/>
      <c r="K7408" s="166"/>
      <c r="L7408" s="166"/>
    </row>
    <row r="7409">
      <c r="A7409" s="163" t="s">
        <v>222</v>
      </c>
      <c r="B7409" s="163"/>
      <c r="C7409" s="163"/>
      <c r="J7409" s="165"/>
      <c r="K7409" s="166"/>
      <c r="L7409" s="166"/>
    </row>
    <row r="7410">
      <c r="A7410" s="163" t="s">
        <v>222</v>
      </c>
      <c r="B7410" s="163"/>
      <c r="C7410" s="163"/>
      <c r="J7410" s="165"/>
      <c r="K7410" s="166"/>
      <c r="L7410" s="166"/>
    </row>
    <row r="7411">
      <c r="A7411" s="163" t="s">
        <v>222</v>
      </c>
      <c r="B7411" s="163"/>
      <c r="C7411" s="163"/>
      <c r="J7411" s="165"/>
      <c r="K7411" s="166"/>
      <c r="L7411" s="166"/>
    </row>
    <row r="7412">
      <c r="A7412" s="163" t="s">
        <v>222</v>
      </c>
      <c r="B7412" s="163"/>
      <c r="C7412" s="163"/>
      <c r="J7412" s="165"/>
      <c r="K7412" s="166"/>
      <c r="L7412" s="166"/>
    </row>
    <row r="7413">
      <c r="A7413" s="163" t="s">
        <v>222</v>
      </c>
      <c r="B7413" s="163"/>
      <c r="C7413" s="163"/>
      <c r="J7413" s="165"/>
      <c r="K7413" s="166"/>
      <c r="L7413" s="166"/>
    </row>
    <row r="7414">
      <c r="A7414" s="163" t="s">
        <v>222</v>
      </c>
      <c r="B7414" s="163"/>
      <c r="C7414" s="163"/>
      <c r="J7414" s="165"/>
      <c r="K7414" s="166"/>
      <c r="L7414" s="166"/>
    </row>
    <row r="7415">
      <c r="A7415" s="163" t="s">
        <v>222</v>
      </c>
      <c r="B7415" s="163"/>
      <c r="C7415" s="163"/>
      <c r="J7415" s="165"/>
      <c r="K7415" s="166"/>
      <c r="L7415" s="166"/>
    </row>
    <row r="7416">
      <c r="A7416" s="163" t="s">
        <v>222</v>
      </c>
      <c r="B7416" s="163"/>
      <c r="C7416" s="163"/>
      <c r="J7416" s="165"/>
      <c r="K7416" s="166"/>
      <c r="L7416" s="166"/>
    </row>
    <row r="7417">
      <c r="A7417" s="163" t="s">
        <v>222</v>
      </c>
      <c r="B7417" s="163"/>
      <c r="C7417" s="163"/>
      <c r="J7417" s="165"/>
      <c r="K7417" s="166"/>
      <c r="L7417" s="166"/>
    </row>
    <row r="7418">
      <c r="A7418" s="163" t="s">
        <v>222</v>
      </c>
      <c r="B7418" s="163"/>
      <c r="C7418" s="163"/>
      <c r="J7418" s="165"/>
      <c r="K7418" s="166"/>
      <c r="L7418" s="166"/>
    </row>
    <row r="7419">
      <c r="A7419" s="163" t="s">
        <v>222</v>
      </c>
      <c r="B7419" s="163"/>
      <c r="C7419" s="163"/>
      <c r="J7419" s="165"/>
      <c r="K7419" s="166"/>
      <c r="L7419" s="166"/>
    </row>
    <row r="7420">
      <c r="A7420" s="163" t="s">
        <v>222</v>
      </c>
      <c r="B7420" s="163"/>
      <c r="C7420" s="163"/>
      <c r="J7420" s="165"/>
      <c r="K7420" s="166"/>
      <c r="L7420" s="166"/>
    </row>
    <row r="7421">
      <c r="A7421" s="163" t="s">
        <v>222</v>
      </c>
      <c r="B7421" s="163"/>
      <c r="C7421" s="163"/>
      <c r="J7421" s="165"/>
      <c r="K7421" s="166"/>
      <c r="L7421" s="166"/>
    </row>
    <row r="7422">
      <c r="A7422" s="163" t="s">
        <v>222</v>
      </c>
      <c r="B7422" s="163"/>
      <c r="C7422" s="163"/>
      <c r="J7422" s="165"/>
      <c r="K7422" s="166"/>
      <c r="L7422" s="166"/>
    </row>
    <row r="7423">
      <c r="A7423" s="163" t="s">
        <v>222</v>
      </c>
      <c r="B7423" s="163"/>
      <c r="C7423" s="163"/>
      <c r="J7423" s="165"/>
      <c r="K7423" s="166"/>
      <c r="L7423" s="166"/>
    </row>
    <row r="7424">
      <c r="A7424" s="163" t="s">
        <v>222</v>
      </c>
      <c r="B7424" s="163"/>
      <c r="C7424" s="163"/>
      <c r="J7424" s="165"/>
      <c r="K7424" s="166"/>
      <c r="L7424" s="166"/>
    </row>
    <row r="7425">
      <c r="A7425" s="163" t="s">
        <v>222</v>
      </c>
      <c r="B7425" s="163"/>
      <c r="C7425" s="163"/>
      <c r="J7425" s="165"/>
      <c r="K7425" s="166"/>
      <c r="L7425" s="166"/>
    </row>
    <row r="7426">
      <c r="A7426" s="163" t="s">
        <v>222</v>
      </c>
      <c r="B7426" s="163"/>
      <c r="C7426" s="163"/>
      <c r="J7426" s="165"/>
      <c r="K7426" s="166"/>
      <c r="L7426" s="166"/>
    </row>
    <row r="7427">
      <c r="A7427" s="163" t="s">
        <v>222</v>
      </c>
      <c r="B7427" s="163"/>
      <c r="C7427" s="163"/>
      <c r="J7427" s="165"/>
      <c r="K7427" s="166"/>
      <c r="L7427" s="166"/>
    </row>
    <row r="7428">
      <c r="A7428" s="163" t="s">
        <v>222</v>
      </c>
      <c r="B7428" s="163"/>
      <c r="C7428" s="163"/>
      <c r="J7428" s="165"/>
      <c r="K7428" s="166"/>
      <c r="L7428" s="166"/>
    </row>
    <row r="7429">
      <c r="A7429" s="163" t="s">
        <v>222</v>
      </c>
      <c r="B7429" s="163"/>
      <c r="C7429" s="163"/>
      <c r="J7429" s="165"/>
      <c r="K7429" s="166"/>
      <c r="L7429" s="166"/>
    </row>
    <row r="7430">
      <c r="A7430" s="163" t="s">
        <v>222</v>
      </c>
      <c r="B7430" s="163"/>
      <c r="C7430" s="163"/>
      <c r="J7430" s="165"/>
      <c r="K7430" s="166"/>
      <c r="L7430" s="166"/>
    </row>
    <row r="7431">
      <c r="A7431" s="163" t="s">
        <v>222</v>
      </c>
      <c r="B7431" s="163"/>
      <c r="C7431" s="163"/>
      <c r="J7431" s="165"/>
      <c r="K7431" s="166"/>
      <c r="L7431" s="166"/>
    </row>
    <row r="7432">
      <c r="A7432" s="163" t="s">
        <v>222</v>
      </c>
      <c r="B7432" s="163"/>
      <c r="C7432" s="163"/>
      <c r="J7432" s="165"/>
      <c r="K7432" s="166"/>
      <c r="L7432" s="166"/>
    </row>
    <row r="7433">
      <c r="A7433" s="163" t="s">
        <v>222</v>
      </c>
      <c r="B7433" s="163"/>
      <c r="C7433" s="163"/>
      <c r="J7433" s="165"/>
      <c r="K7433" s="166"/>
      <c r="L7433" s="166"/>
    </row>
    <row r="7434">
      <c r="A7434" s="163" t="s">
        <v>222</v>
      </c>
      <c r="B7434" s="163"/>
      <c r="C7434" s="163"/>
      <c r="J7434" s="165"/>
      <c r="K7434" s="166"/>
      <c r="L7434" s="166"/>
    </row>
    <row r="7435">
      <c r="A7435" s="163" t="s">
        <v>222</v>
      </c>
      <c r="B7435" s="163"/>
      <c r="C7435" s="163"/>
      <c r="J7435" s="165"/>
      <c r="K7435" s="166"/>
      <c r="L7435" s="166"/>
    </row>
    <row r="7436">
      <c r="A7436" s="163" t="s">
        <v>222</v>
      </c>
      <c r="B7436" s="163"/>
      <c r="C7436" s="163"/>
      <c r="J7436" s="165"/>
      <c r="K7436" s="166"/>
      <c r="L7436" s="166"/>
    </row>
    <row r="7437">
      <c r="A7437" s="163" t="s">
        <v>222</v>
      </c>
      <c r="B7437" s="163"/>
      <c r="C7437" s="163"/>
      <c r="J7437" s="165"/>
      <c r="K7437" s="166"/>
      <c r="L7437" s="166"/>
    </row>
    <row r="7438">
      <c r="A7438" s="163" t="s">
        <v>222</v>
      </c>
      <c r="B7438" s="163"/>
      <c r="C7438" s="163"/>
      <c r="J7438" s="165"/>
      <c r="K7438" s="166"/>
      <c r="L7438" s="166"/>
    </row>
    <row r="7439">
      <c r="A7439" s="163" t="s">
        <v>222</v>
      </c>
      <c r="B7439" s="163"/>
      <c r="C7439" s="163"/>
      <c r="J7439" s="165"/>
      <c r="K7439" s="166"/>
      <c r="L7439" s="166"/>
    </row>
    <row r="7440">
      <c r="A7440" s="163" t="s">
        <v>222</v>
      </c>
      <c r="B7440" s="163"/>
      <c r="C7440" s="163"/>
      <c r="J7440" s="165"/>
      <c r="K7440" s="166"/>
      <c r="L7440" s="166"/>
    </row>
    <row r="7441">
      <c r="A7441" s="163" t="s">
        <v>222</v>
      </c>
      <c r="B7441" s="163"/>
      <c r="C7441" s="163"/>
      <c r="J7441" s="165"/>
      <c r="K7441" s="166"/>
      <c r="L7441" s="166"/>
    </row>
    <row r="7442">
      <c r="A7442" s="163" t="s">
        <v>222</v>
      </c>
      <c r="B7442" s="163"/>
      <c r="C7442" s="163"/>
      <c r="J7442" s="165"/>
      <c r="K7442" s="166"/>
      <c r="L7442" s="166"/>
    </row>
    <row r="7443">
      <c r="A7443" s="163" t="s">
        <v>222</v>
      </c>
      <c r="B7443" s="163"/>
      <c r="C7443" s="163"/>
      <c r="J7443" s="165"/>
      <c r="K7443" s="166"/>
      <c r="L7443" s="166"/>
    </row>
    <row r="7444">
      <c r="A7444" s="163" t="s">
        <v>222</v>
      </c>
      <c r="B7444" s="163"/>
      <c r="C7444" s="163"/>
      <c r="J7444" s="165"/>
      <c r="K7444" s="166"/>
      <c r="L7444" s="166"/>
    </row>
    <row r="7445">
      <c r="A7445" s="163" t="s">
        <v>222</v>
      </c>
      <c r="B7445" s="163"/>
      <c r="C7445" s="163"/>
      <c r="J7445" s="165"/>
      <c r="K7445" s="166"/>
      <c r="L7445" s="166"/>
    </row>
    <row r="7446">
      <c r="A7446" s="163" t="s">
        <v>222</v>
      </c>
      <c r="B7446" s="163"/>
      <c r="C7446" s="163"/>
      <c r="J7446" s="165"/>
      <c r="K7446" s="166"/>
      <c r="L7446" s="166"/>
    </row>
    <row r="7447">
      <c r="A7447" s="163" t="s">
        <v>222</v>
      </c>
      <c r="B7447" s="163"/>
      <c r="C7447" s="163"/>
      <c r="J7447" s="165"/>
      <c r="K7447" s="166"/>
      <c r="L7447" s="166"/>
    </row>
    <row r="7448">
      <c r="A7448" s="163" t="s">
        <v>222</v>
      </c>
      <c r="B7448" s="163"/>
      <c r="C7448" s="163"/>
      <c r="J7448" s="165"/>
      <c r="K7448" s="166"/>
      <c r="L7448" s="166"/>
    </row>
    <row r="7449">
      <c r="A7449" s="163" t="s">
        <v>222</v>
      </c>
      <c r="B7449" s="163"/>
      <c r="C7449" s="163"/>
      <c r="J7449" s="165"/>
      <c r="K7449" s="166"/>
      <c r="L7449" s="166"/>
    </row>
    <row r="7450">
      <c r="A7450" s="163" t="s">
        <v>222</v>
      </c>
      <c r="B7450" s="163"/>
      <c r="C7450" s="163"/>
      <c r="J7450" s="165"/>
      <c r="K7450" s="166"/>
      <c r="L7450" s="166"/>
    </row>
    <row r="7451">
      <c r="A7451" s="163" t="s">
        <v>222</v>
      </c>
      <c r="B7451" s="163"/>
      <c r="C7451" s="163"/>
      <c r="J7451" s="165"/>
      <c r="K7451" s="166"/>
      <c r="L7451" s="166"/>
    </row>
    <row r="7452">
      <c r="A7452" s="163" t="s">
        <v>222</v>
      </c>
      <c r="B7452" s="163"/>
      <c r="C7452" s="163"/>
      <c r="J7452" s="165"/>
      <c r="K7452" s="166"/>
      <c r="L7452" s="166"/>
    </row>
    <row r="7453">
      <c r="A7453" s="163" t="s">
        <v>222</v>
      </c>
      <c r="B7453" s="163"/>
      <c r="C7453" s="163"/>
      <c r="J7453" s="165"/>
      <c r="K7453" s="166"/>
      <c r="L7453" s="166"/>
    </row>
    <row r="7454">
      <c r="A7454" s="163" t="s">
        <v>222</v>
      </c>
      <c r="B7454" s="163"/>
      <c r="C7454" s="163"/>
      <c r="J7454" s="165"/>
      <c r="K7454" s="166"/>
      <c r="L7454" s="166"/>
    </row>
    <row r="7455">
      <c r="A7455" s="163" t="s">
        <v>222</v>
      </c>
      <c r="B7455" s="163"/>
      <c r="C7455" s="163"/>
      <c r="J7455" s="165"/>
      <c r="K7455" s="166"/>
      <c r="L7455" s="166"/>
    </row>
    <row r="7456">
      <c r="A7456" s="163" t="s">
        <v>222</v>
      </c>
      <c r="B7456" s="163"/>
      <c r="C7456" s="163"/>
      <c r="J7456" s="165"/>
      <c r="K7456" s="166"/>
      <c r="L7456" s="166"/>
    </row>
    <row r="7457">
      <c r="A7457" s="163" t="s">
        <v>222</v>
      </c>
      <c r="B7457" s="163"/>
      <c r="C7457" s="163"/>
      <c r="J7457" s="165"/>
      <c r="K7457" s="166"/>
      <c r="L7457" s="166"/>
    </row>
    <row r="7458">
      <c r="A7458" s="163" t="s">
        <v>222</v>
      </c>
      <c r="B7458" s="163"/>
      <c r="C7458" s="163"/>
      <c r="J7458" s="165"/>
      <c r="K7458" s="166"/>
      <c r="L7458" s="166"/>
    </row>
    <row r="7459">
      <c r="A7459" s="163" t="s">
        <v>222</v>
      </c>
      <c r="B7459" s="163"/>
      <c r="C7459" s="163"/>
      <c r="J7459" s="165"/>
      <c r="K7459" s="166"/>
      <c r="L7459" s="166"/>
    </row>
    <row r="7460">
      <c r="A7460" s="163" t="s">
        <v>222</v>
      </c>
      <c r="B7460" s="163"/>
      <c r="C7460" s="163"/>
      <c r="J7460" s="165"/>
      <c r="K7460" s="166"/>
      <c r="L7460" s="166"/>
    </row>
    <row r="7461">
      <c r="A7461" s="163" t="s">
        <v>222</v>
      </c>
      <c r="B7461" s="163"/>
      <c r="C7461" s="163"/>
      <c r="J7461" s="165"/>
      <c r="K7461" s="166"/>
      <c r="L7461" s="166"/>
    </row>
    <row r="7462">
      <c r="A7462" s="163" t="s">
        <v>222</v>
      </c>
      <c r="B7462" s="163"/>
      <c r="C7462" s="163"/>
      <c r="J7462" s="165"/>
      <c r="K7462" s="166"/>
      <c r="L7462" s="166"/>
    </row>
    <row r="7463">
      <c r="A7463" s="163" t="s">
        <v>222</v>
      </c>
      <c r="B7463" s="163"/>
      <c r="C7463" s="163"/>
      <c r="J7463" s="165"/>
      <c r="K7463" s="166"/>
      <c r="L7463" s="166"/>
    </row>
    <row r="7464">
      <c r="A7464" s="163" t="s">
        <v>222</v>
      </c>
      <c r="B7464" s="163"/>
      <c r="C7464" s="163"/>
      <c r="J7464" s="165"/>
      <c r="K7464" s="166"/>
      <c r="L7464" s="166"/>
    </row>
    <row r="7465">
      <c r="A7465" s="163" t="s">
        <v>222</v>
      </c>
      <c r="B7465" s="163"/>
      <c r="C7465" s="163"/>
      <c r="J7465" s="165"/>
      <c r="K7465" s="166"/>
      <c r="L7465" s="166"/>
    </row>
    <row r="7466">
      <c r="A7466" s="163" t="s">
        <v>222</v>
      </c>
      <c r="B7466" s="163"/>
      <c r="C7466" s="163"/>
      <c r="J7466" s="165"/>
      <c r="K7466" s="166"/>
      <c r="L7466" s="166"/>
    </row>
    <row r="7467">
      <c r="A7467" s="163" t="s">
        <v>222</v>
      </c>
      <c r="B7467" s="163"/>
      <c r="C7467" s="163"/>
      <c r="J7467" s="165"/>
      <c r="K7467" s="166"/>
      <c r="L7467" s="166"/>
    </row>
    <row r="7468">
      <c r="A7468" s="163" t="s">
        <v>222</v>
      </c>
      <c r="B7468" s="163"/>
      <c r="C7468" s="163"/>
      <c r="J7468" s="165"/>
      <c r="K7468" s="166"/>
      <c r="L7468" s="166"/>
    </row>
    <row r="7469">
      <c r="A7469" s="163" t="s">
        <v>222</v>
      </c>
      <c r="B7469" s="163"/>
      <c r="C7469" s="163"/>
      <c r="J7469" s="165"/>
      <c r="K7469" s="166"/>
      <c r="L7469" s="166"/>
    </row>
    <row r="7470">
      <c r="A7470" s="163" t="s">
        <v>222</v>
      </c>
      <c r="B7470" s="163"/>
      <c r="C7470" s="163"/>
      <c r="J7470" s="165"/>
      <c r="K7470" s="166"/>
      <c r="L7470" s="166"/>
    </row>
    <row r="7471">
      <c r="A7471" s="163" t="s">
        <v>222</v>
      </c>
      <c r="B7471" s="163"/>
      <c r="C7471" s="163"/>
      <c r="J7471" s="165"/>
      <c r="K7471" s="166"/>
      <c r="L7471" s="166"/>
    </row>
    <row r="7472">
      <c r="A7472" s="163" t="s">
        <v>222</v>
      </c>
      <c r="B7472" s="163"/>
      <c r="C7472" s="163"/>
      <c r="J7472" s="165"/>
      <c r="K7472" s="166"/>
      <c r="L7472" s="166"/>
    </row>
    <row r="7473">
      <c r="A7473" s="163" t="s">
        <v>222</v>
      </c>
      <c r="B7473" s="163"/>
      <c r="C7473" s="163"/>
      <c r="J7473" s="165"/>
      <c r="K7473" s="166"/>
      <c r="L7473" s="166"/>
    </row>
    <row r="7474">
      <c r="A7474" s="163" t="s">
        <v>222</v>
      </c>
      <c r="B7474" s="163"/>
      <c r="C7474" s="163"/>
      <c r="J7474" s="165"/>
      <c r="K7474" s="166"/>
      <c r="L7474" s="166"/>
    </row>
    <row r="7475">
      <c r="A7475" s="163" t="s">
        <v>222</v>
      </c>
      <c r="B7475" s="163"/>
      <c r="C7475" s="163"/>
      <c r="J7475" s="165"/>
      <c r="K7475" s="166"/>
      <c r="L7475" s="166"/>
    </row>
    <row r="7476">
      <c r="A7476" s="163" t="s">
        <v>222</v>
      </c>
      <c r="B7476" s="163"/>
      <c r="C7476" s="163"/>
      <c r="J7476" s="165"/>
      <c r="K7476" s="166"/>
      <c r="L7476" s="166"/>
    </row>
    <row r="7477">
      <c r="A7477" s="163" t="s">
        <v>222</v>
      </c>
      <c r="B7477" s="163"/>
      <c r="C7477" s="163"/>
      <c r="J7477" s="165"/>
      <c r="K7477" s="166"/>
      <c r="L7477" s="166"/>
    </row>
    <row r="7478">
      <c r="A7478" s="163" t="s">
        <v>222</v>
      </c>
      <c r="B7478" s="163"/>
      <c r="C7478" s="163"/>
      <c r="J7478" s="165"/>
      <c r="K7478" s="166"/>
      <c r="L7478" s="166"/>
    </row>
    <row r="7479">
      <c r="A7479" s="163" t="s">
        <v>222</v>
      </c>
      <c r="B7479" s="163"/>
      <c r="C7479" s="163"/>
      <c r="J7479" s="165"/>
      <c r="K7479" s="166"/>
      <c r="L7479" s="166"/>
    </row>
    <row r="7480">
      <c r="A7480" s="163" t="s">
        <v>222</v>
      </c>
      <c r="B7480" s="163"/>
      <c r="C7480" s="163"/>
      <c r="J7480" s="165"/>
      <c r="K7480" s="166"/>
      <c r="L7480" s="166"/>
    </row>
    <row r="7481">
      <c r="A7481" s="163" t="s">
        <v>222</v>
      </c>
      <c r="B7481" s="163"/>
      <c r="C7481" s="163"/>
      <c r="J7481" s="165"/>
      <c r="K7481" s="166"/>
      <c r="L7481" s="166"/>
    </row>
    <row r="7482">
      <c r="A7482" s="163" t="s">
        <v>222</v>
      </c>
      <c r="B7482" s="163"/>
      <c r="C7482" s="163"/>
      <c r="J7482" s="165"/>
      <c r="K7482" s="166"/>
      <c r="L7482" s="166"/>
    </row>
    <row r="7483">
      <c r="A7483" s="163" t="s">
        <v>222</v>
      </c>
      <c r="B7483" s="163"/>
      <c r="C7483" s="163"/>
      <c r="J7483" s="165"/>
      <c r="K7483" s="166"/>
      <c r="L7483" s="166"/>
    </row>
    <row r="7484">
      <c r="A7484" s="163" t="s">
        <v>222</v>
      </c>
      <c r="B7484" s="163"/>
      <c r="C7484" s="163"/>
      <c r="J7484" s="165"/>
      <c r="K7484" s="166"/>
      <c r="L7484" s="166"/>
    </row>
    <row r="7485">
      <c r="A7485" s="163" t="s">
        <v>222</v>
      </c>
      <c r="B7485" s="163"/>
      <c r="C7485" s="163"/>
      <c r="J7485" s="165"/>
      <c r="K7485" s="166"/>
      <c r="L7485" s="166"/>
    </row>
    <row r="7486">
      <c r="A7486" s="163" t="s">
        <v>222</v>
      </c>
      <c r="B7486" s="163"/>
      <c r="C7486" s="163"/>
      <c r="J7486" s="165"/>
      <c r="K7486" s="166"/>
      <c r="L7486" s="166"/>
    </row>
    <row r="7487">
      <c r="A7487" s="163" t="s">
        <v>222</v>
      </c>
      <c r="B7487" s="163"/>
      <c r="C7487" s="163"/>
      <c r="J7487" s="165"/>
      <c r="K7487" s="166"/>
      <c r="L7487" s="166"/>
    </row>
    <row r="7488">
      <c r="A7488" s="163" t="s">
        <v>222</v>
      </c>
      <c r="B7488" s="163"/>
      <c r="C7488" s="163"/>
      <c r="J7488" s="165"/>
      <c r="K7488" s="166"/>
      <c r="L7488" s="166"/>
    </row>
    <row r="7489">
      <c r="A7489" s="163" t="s">
        <v>222</v>
      </c>
      <c r="B7489" s="163"/>
      <c r="C7489" s="163"/>
      <c r="J7489" s="165"/>
      <c r="K7489" s="166"/>
      <c r="L7489" s="166"/>
    </row>
    <row r="7490">
      <c r="A7490" s="163" t="s">
        <v>222</v>
      </c>
      <c r="B7490" s="163"/>
      <c r="C7490" s="163"/>
      <c r="J7490" s="165"/>
      <c r="K7490" s="166"/>
      <c r="L7490" s="166"/>
    </row>
    <row r="7491">
      <c r="A7491" s="163" t="s">
        <v>222</v>
      </c>
      <c r="B7491" s="163"/>
      <c r="C7491" s="163"/>
      <c r="J7491" s="165"/>
      <c r="K7491" s="166"/>
      <c r="L7491" s="166"/>
    </row>
    <row r="7492">
      <c r="A7492" s="163" t="s">
        <v>222</v>
      </c>
      <c r="B7492" s="163"/>
      <c r="C7492" s="163"/>
      <c r="J7492" s="165"/>
      <c r="K7492" s="166"/>
      <c r="L7492" s="166"/>
    </row>
    <row r="7493">
      <c r="A7493" s="163" t="s">
        <v>222</v>
      </c>
      <c r="B7493" s="163"/>
      <c r="C7493" s="163"/>
      <c r="J7493" s="165"/>
      <c r="K7493" s="166"/>
      <c r="L7493" s="166"/>
    </row>
    <row r="7494">
      <c r="A7494" s="163" t="s">
        <v>222</v>
      </c>
      <c r="B7494" s="163"/>
      <c r="C7494" s="163"/>
      <c r="J7494" s="165"/>
      <c r="K7494" s="166"/>
      <c r="L7494" s="166"/>
    </row>
    <row r="7495">
      <c r="A7495" s="163" t="s">
        <v>222</v>
      </c>
      <c r="B7495" s="163"/>
      <c r="C7495" s="163"/>
      <c r="J7495" s="165"/>
      <c r="K7495" s="166"/>
      <c r="L7495" s="166"/>
    </row>
    <row r="7496">
      <c r="A7496" s="163" t="s">
        <v>222</v>
      </c>
      <c r="B7496" s="163"/>
      <c r="C7496" s="163"/>
      <c r="J7496" s="165"/>
      <c r="K7496" s="166"/>
      <c r="L7496" s="166"/>
    </row>
    <row r="7497">
      <c r="A7497" s="163" t="s">
        <v>222</v>
      </c>
      <c r="B7497" s="163"/>
      <c r="C7497" s="163"/>
      <c r="J7497" s="165"/>
      <c r="K7497" s="166"/>
      <c r="L7497" s="166"/>
    </row>
    <row r="7498">
      <c r="A7498" s="163" t="s">
        <v>222</v>
      </c>
      <c r="B7498" s="163"/>
      <c r="C7498" s="163"/>
      <c r="J7498" s="165"/>
      <c r="K7498" s="166"/>
      <c r="L7498" s="166"/>
    </row>
    <row r="7499">
      <c r="A7499" s="163" t="s">
        <v>222</v>
      </c>
      <c r="B7499" s="163"/>
      <c r="C7499" s="163"/>
      <c r="J7499" s="165"/>
      <c r="K7499" s="166"/>
      <c r="L7499" s="166"/>
    </row>
    <row r="7500">
      <c r="A7500" s="163" t="s">
        <v>222</v>
      </c>
      <c r="B7500" s="163"/>
      <c r="C7500" s="163"/>
      <c r="J7500" s="165"/>
      <c r="K7500" s="166"/>
      <c r="L7500" s="166"/>
    </row>
    <row r="7501">
      <c r="A7501" s="163" t="s">
        <v>222</v>
      </c>
      <c r="B7501" s="163"/>
      <c r="C7501" s="163"/>
      <c r="J7501" s="165"/>
      <c r="K7501" s="166"/>
      <c r="L7501" s="166"/>
    </row>
    <row r="7502">
      <c r="A7502" s="163" t="s">
        <v>222</v>
      </c>
      <c r="B7502" s="163"/>
      <c r="C7502" s="163"/>
      <c r="J7502" s="165"/>
      <c r="K7502" s="166"/>
      <c r="L7502" s="166"/>
    </row>
    <row r="7503">
      <c r="A7503" s="163" t="s">
        <v>222</v>
      </c>
      <c r="B7503" s="163"/>
      <c r="C7503" s="163"/>
      <c r="J7503" s="165"/>
      <c r="K7503" s="166"/>
      <c r="L7503" s="166"/>
    </row>
    <row r="7504">
      <c r="A7504" s="163" t="s">
        <v>222</v>
      </c>
      <c r="B7504" s="163"/>
      <c r="C7504" s="163"/>
      <c r="J7504" s="165"/>
      <c r="K7504" s="166"/>
      <c r="L7504" s="166"/>
    </row>
    <row r="7505">
      <c r="A7505" s="163" t="s">
        <v>222</v>
      </c>
      <c r="B7505" s="163"/>
      <c r="C7505" s="163"/>
      <c r="J7505" s="165"/>
      <c r="K7505" s="166"/>
      <c r="L7505" s="166"/>
    </row>
    <row r="7506">
      <c r="A7506" s="163" t="s">
        <v>222</v>
      </c>
      <c r="B7506" s="163"/>
      <c r="C7506" s="163"/>
      <c r="J7506" s="165"/>
      <c r="K7506" s="166"/>
      <c r="L7506" s="166"/>
    </row>
    <row r="7507">
      <c r="A7507" s="163" t="s">
        <v>222</v>
      </c>
      <c r="B7507" s="163"/>
      <c r="C7507" s="163"/>
      <c r="J7507" s="165"/>
      <c r="K7507" s="166"/>
      <c r="L7507" s="166"/>
    </row>
    <row r="7508">
      <c r="A7508" s="163" t="s">
        <v>222</v>
      </c>
      <c r="B7508" s="163"/>
      <c r="C7508" s="163"/>
      <c r="J7508" s="165"/>
      <c r="K7508" s="166"/>
      <c r="L7508" s="166"/>
    </row>
    <row r="7509">
      <c r="A7509" s="163" t="s">
        <v>222</v>
      </c>
      <c r="B7509" s="163"/>
      <c r="C7509" s="163"/>
      <c r="J7509" s="165"/>
      <c r="K7509" s="166"/>
      <c r="L7509" s="166"/>
    </row>
    <row r="7510">
      <c r="A7510" s="163" t="s">
        <v>222</v>
      </c>
      <c r="B7510" s="163"/>
      <c r="C7510" s="163"/>
      <c r="J7510" s="165"/>
      <c r="K7510" s="166"/>
      <c r="L7510" s="166"/>
    </row>
    <row r="7511">
      <c r="A7511" s="163" t="s">
        <v>222</v>
      </c>
      <c r="B7511" s="163"/>
      <c r="C7511" s="163"/>
      <c r="J7511" s="165"/>
      <c r="K7511" s="166"/>
      <c r="L7511" s="166"/>
    </row>
    <row r="7512">
      <c r="A7512" s="163" t="s">
        <v>222</v>
      </c>
      <c r="B7512" s="163"/>
      <c r="C7512" s="163"/>
      <c r="J7512" s="165"/>
      <c r="K7512" s="166"/>
      <c r="L7512" s="166"/>
    </row>
    <row r="7513">
      <c r="A7513" s="163" t="s">
        <v>222</v>
      </c>
      <c r="B7513" s="163"/>
      <c r="C7513" s="163"/>
      <c r="J7513" s="165"/>
      <c r="K7513" s="166"/>
      <c r="L7513" s="166"/>
    </row>
    <row r="7514">
      <c r="A7514" s="163" t="s">
        <v>222</v>
      </c>
      <c r="B7514" s="163"/>
      <c r="C7514" s="163"/>
      <c r="J7514" s="165"/>
      <c r="K7514" s="166"/>
      <c r="L7514" s="166"/>
    </row>
    <row r="7515">
      <c r="A7515" s="163" t="s">
        <v>222</v>
      </c>
      <c r="B7515" s="163"/>
      <c r="C7515" s="163"/>
      <c r="J7515" s="165"/>
      <c r="K7515" s="166"/>
      <c r="L7515" s="166"/>
    </row>
    <row r="7516">
      <c r="A7516" s="163" t="s">
        <v>222</v>
      </c>
      <c r="B7516" s="163"/>
      <c r="C7516" s="163"/>
      <c r="J7516" s="165"/>
      <c r="K7516" s="166"/>
      <c r="L7516" s="166"/>
    </row>
    <row r="7517">
      <c r="A7517" s="163" t="s">
        <v>222</v>
      </c>
      <c r="B7517" s="163"/>
      <c r="C7517" s="163"/>
      <c r="J7517" s="165"/>
      <c r="K7517" s="166"/>
      <c r="L7517" s="166"/>
    </row>
    <row r="7518">
      <c r="A7518" s="163" t="s">
        <v>222</v>
      </c>
      <c r="B7518" s="163"/>
      <c r="C7518" s="163"/>
      <c r="J7518" s="165"/>
      <c r="K7518" s="166"/>
      <c r="L7518" s="166"/>
    </row>
    <row r="7519">
      <c r="A7519" s="163" t="s">
        <v>222</v>
      </c>
      <c r="B7519" s="163"/>
      <c r="C7519" s="163"/>
      <c r="J7519" s="165"/>
      <c r="K7519" s="166"/>
      <c r="L7519" s="166"/>
    </row>
    <row r="7520">
      <c r="A7520" s="163" t="s">
        <v>222</v>
      </c>
      <c r="B7520" s="163"/>
      <c r="C7520" s="163"/>
      <c r="J7520" s="165"/>
      <c r="K7520" s="166"/>
      <c r="L7520" s="166"/>
    </row>
    <row r="7521">
      <c r="A7521" s="163" t="s">
        <v>222</v>
      </c>
      <c r="B7521" s="163"/>
      <c r="C7521" s="163"/>
      <c r="J7521" s="165"/>
      <c r="K7521" s="166"/>
      <c r="L7521" s="166"/>
    </row>
    <row r="7522">
      <c r="A7522" s="163" t="s">
        <v>222</v>
      </c>
      <c r="B7522" s="163"/>
      <c r="C7522" s="163"/>
      <c r="J7522" s="165"/>
      <c r="K7522" s="166"/>
      <c r="L7522" s="166"/>
    </row>
    <row r="7523">
      <c r="A7523" s="163" t="s">
        <v>222</v>
      </c>
      <c r="B7523" s="163"/>
      <c r="C7523" s="163"/>
      <c r="J7523" s="165"/>
      <c r="K7523" s="166"/>
      <c r="L7523" s="166"/>
    </row>
    <row r="7524">
      <c r="A7524" s="163" t="s">
        <v>222</v>
      </c>
      <c r="B7524" s="163"/>
      <c r="C7524" s="163"/>
      <c r="J7524" s="165"/>
      <c r="K7524" s="166"/>
      <c r="L7524" s="166"/>
    </row>
    <row r="7525">
      <c r="A7525" s="163" t="s">
        <v>222</v>
      </c>
      <c r="B7525" s="163"/>
      <c r="C7525" s="163"/>
      <c r="J7525" s="165"/>
      <c r="K7525" s="166"/>
      <c r="L7525" s="166"/>
    </row>
    <row r="7526">
      <c r="A7526" s="163" t="s">
        <v>222</v>
      </c>
      <c r="B7526" s="163"/>
      <c r="C7526" s="163"/>
      <c r="J7526" s="165"/>
      <c r="K7526" s="166"/>
      <c r="L7526" s="166"/>
    </row>
    <row r="7527">
      <c r="A7527" s="163" t="s">
        <v>222</v>
      </c>
      <c r="B7527" s="163"/>
      <c r="C7527" s="163"/>
      <c r="J7527" s="165"/>
      <c r="K7527" s="166"/>
      <c r="L7527" s="166"/>
    </row>
    <row r="7528">
      <c r="A7528" s="163" t="s">
        <v>222</v>
      </c>
      <c r="B7528" s="163"/>
      <c r="C7528" s="163"/>
      <c r="J7528" s="165"/>
      <c r="K7528" s="166"/>
      <c r="L7528" s="166"/>
    </row>
    <row r="7529">
      <c r="A7529" s="163" t="s">
        <v>222</v>
      </c>
      <c r="B7529" s="163"/>
      <c r="C7529" s="163"/>
      <c r="J7529" s="165"/>
      <c r="K7529" s="166"/>
      <c r="L7529" s="166"/>
    </row>
    <row r="7530">
      <c r="A7530" s="163" t="s">
        <v>222</v>
      </c>
      <c r="B7530" s="163"/>
      <c r="C7530" s="163"/>
      <c r="J7530" s="165"/>
      <c r="K7530" s="166"/>
      <c r="L7530" s="166"/>
    </row>
    <row r="7531">
      <c r="A7531" s="163" t="s">
        <v>222</v>
      </c>
      <c r="B7531" s="163"/>
      <c r="C7531" s="163"/>
      <c r="J7531" s="165"/>
      <c r="K7531" s="166"/>
      <c r="L7531" s="166"/>
    </row>
    <row r="7532">
      <c r="A7532" s="163" t="s">
        <v>222</v>
      </c>
      <c r="B7532" s="163"/>
      <c r="C7532" s="163"/>
      <c r="J7532" s="165"/>
      <c r="K7532" s="166"/>
      <c r="L7532" s="166"/>
    </row>
    <row r="7533">
      <c r="A7533" s="163" t="s">
        <v>222</v>
      </c>
      <c r="B7533" s="163"/>
      <c r="C7533" s="163"/>
      <c r="J7533" s="165"/>
      <c r="K7533" s="166"/>
      <c r="L7533" s="166"/>
    </row>
    <row r="7534">
      <c r="A7534" s="163" t="s">
        <v>222</v>
      </c>
      <c r="B7534" s="163"/>
      <c r="C7534" s="163"/>
      <c r="J7534" s="165"/>
      <c r="K7534" s="166"/>
      <c r="L7534" s="166"/>
    </row>
    <row r="7535">
      <c r="A7535" s="163" t="s">
        <v>222</v>
      </c>
      <c r="B7535" s="163"/>
      <c r="C7535" s="163"/>
      <c r="J7535" s="165"/>
      <c r="K7535" s="166"/>
      <c r="L7535" s="166"/>
    </row>
    <row r="7536">
      <c r="A7536" s="163" t="s">
        <v>222</v>
      </c>
      <c r="B7536" s="163"/>
      <c r="C7536" s="163"/>
      <c r="J7536" s="165"/>
      <c r="K7536" s="166"/>
      <c r="L7536" s="166"/>
    </row>
    <row r="7537">
      <c r="A7537" s="163" t="s">
        <v>222</v>
      </c>
      <c r="B7537" s="163"/>
      <c r="C7537" s="163"/>
      <c r="J7537" s="165"/>
      <c r="K7537" s="166"/>
      <c r="L7537" s="166"/>
    </row>
    <row r="7538">
      <c r="A7538" s="163" t="s">
        <v>222</v>
      </c>
      <c r="B7538" s="163"/>
      <c r="C7538" s="163"/>
      <c r="J7538" s="165"/>
      <c r="K7538" s="166"/>
      <c r="L7538" s="166"/>
    </row>
    <row r="7539">
      <c r="A7539" s="163" t="s">
        <v>222</v>
      </c>
      <c r="B7539" s="163"/>
      <c r="C7539" s="163"/>
      <c r="J7539" s="165"/>
      <c r="K7539" s="166"/>
      <c r="L7539" s="166"/>
    </row>
    <row r="7540">
      <c r="A7540" s="163" t="s">
        <v>222</v>
      </c>
      <c r="B7540" s="163"/>
      <c r="C7540" s="163"/>
      <c r="J7540" s="165"/>
      <c r="K7540" s="166"/>
      <c r="L7540" s="166"/>
    </row>
    <row r="7541">
      <c r="A7541" s="163" t="s">
        <v>222</v>
      </c>
      <c r="B7541" s="163"/>
      <c r="C7541" s="163"/>
      <c r="J7541" s="165"/>
      <c r="K7541" s="166"/>
      <c r="L7541" s="166"/>
    </row>
    <row r="7542">
      <c r="A7542" s="163" t="s">
        <v>222</v>
      </c>
      <c r="B7542" s="163"/>
      <c r="C7542" s="163"/>
      <c r="J7542" s="165"/>
      <c r="K7542" s="166"/>
      <c r="L7542" s="166"/>
    </row>
    <row r="7543">
      <c r="A7543" s="163" t="s">
        <v>222</v>
      </c>
      <c r="B7543" s="163"/>
      <c r="C7543" s="163"/>
      <c r="J7543" s="165"/>
      <c r="K7543" s="166"/>
      <c r="L7543" s="166"/>
    </row>
    <row r="7544">
      <c r="A7544" s="163" t="s">
        <v>222</v>
      </c>
      <c r="B7544" s="163"/>
      <c r="C7544" s="163"/>
      <c r="J7544" s="165"/>
      <c r="K7544" s="166"/>
      <c r="L7544" s="166"/>
    </row>
    <row r="7545">
      <c r="A7545" s="163" t="s">
        <v>222</v>
      </c>
      <c r="B7545" s="163"/>
      <c r="C7545" s="163"/>
      <c r="J7545" s="165"/>
      <c r="K7545" s="166"/>
      <c r="L7545" s="166"/>
    </row>
    <row r="7546">
      <c r="A7546" s="163" t="s">
        <v>222</v>
      </c>
      <c r="B7546" s="163"/>
      <c r="C7546" s="163"/>
      <c r="J7546" s="165"/>
      <c r="K7546" s="166"/>
      <c r="L7546" s="166"/>
    </row>
    <row r="7547">
      <c r="A7547" s="163" t="s">
        <v>222</v>
      </c>
      <c r="B7547" s="163"/>
      <c r="C7547" s="163"/>
      <c r="J7547" s="165"/>
      <c r="K7547" s="166"/>
      <c r="L7547" s="166"/>
    </row>
    <row r="7548">
      <c r="A7548" s="163" t="s">
        <v>222</v>
      </c>
      <c r="B7548" s="163"/>
      <c r="C7548" s="163"/>
      <c r="J7548" s="165"/>
      <c r="K7548" s="166"/>
      <c r="L7548" s="166"/>
    </row>
    <row r="7549">
      <c r="A7549" s="163" t="s">
        <v>222</v>
      </c>
      <c r="B7549" s="163"/>
      <c r="C7549" s="163"/>
      <c r="J7549" s="165"/>
      <c r="K7549" s="166"/>
      <c r="L7549" s="166"/>
    </row>
    <row r="7550">
      <c r="A7550" s="163" t="s">
        <v>222</v>
      </c>
      <c r="B7550" s="163"/>
      <c r="C7550" s="163"/>
      <c r="J7550" s="165"/>
      <c r="K7550" s="166"/>
      <c r="L7550" s="166"/>
    </row>
    <row r="7551">
      <c r="A7551" s="163" t="s">
        <v>222</v>
      </c>
      <c r="B7551" s="163"/>
      <c r="C7551" s="163"/>
      <c r="J7551" s="165"/>
      <c r="K7551" s="166"/>
      <c r="L7551" s="166"/>
    </row>
    <row r="7552">
      <c r="A7552" s="163" t="s">
        <v>222</v>
      </c>
      <c r="B7552" s="163"/>
      <c r="C7552" s="163"/>
      <c r="J7552" s="165"/>
      <c r="K7552" s="166"/>
      <c r="L7552" s="166"/>
    </row>
    <row r="7553">
      <c r="A7553" s="163" t="s">
        <v>222</v>
      </c>
      <c r="B7553" s="163"/>
      <c r="C7553" s="163"/>
      <c r="J7553" s="165"/>
      <c r="K7553" s="166"/>
      <c r="L7553" s="166"/>
    </row>
    <row r="7554">
      <c r="A7554" s="163" t="s">
        <v>222</v>
      </c>
      <c r="B7554" s="163"/>
      <c r="C7554" s="163"/>
      <c r="J7554" s="165"/>
      <c r="K7554" s="166"/>
      <c r="L7554" s="166"/>
    </row>
    <row r="7555">
      <c r="A7555" s="163" t="s">
        <v>222</v>
      </c>
      <c r="B7555" s="163"/>
      <c r="C7555" s="163"/>
      <c r="J7555" s="165"/>
      <c r="K7555" s="166"/>
      <c r="L7555" s="166"/>
    </row>
    <row r="7556">
      <c r="A7556" s="163" t="s">
        <v>222</v>
      </c>
      <c r="B7556" s="163"/>
      <c r="C7556" s="163"/>
      <c r="J7556" s="165"/>
      <c r="K7556" s="166"/>
      <c r="L7556" s="166"/>
    </row>
    <row r="7557">
      <c r="A7557" s="163" t="s">
        <v>222</v>
      </c>
      <c r="B7557" s="163"/>
      <c r="C7557" s="163"/>
      <c r="J7557" s="165"/>
      <c r="K7557" s="166"/>
      <c r="L7557" s="166"/>
    </row>
    <row r="7558">
      <c r="A7558" s="163" t="s">
        <v>222</v>
      </c>
      <c r="B7558" s="163"/>
      <c r="C7558" s="163"/>
      <c r="J7558" s="165"/>
      <c r="K7558" s="166"/>
      <c r="L7558" s="166"/>
    </row>
    <row r="7559">
      <c r="A7559" s="163" t="s">
        <v>222</v>
      </c>
      <c r="B7559" s="163"/>
      <c r="C7559" s="163"/>
      <c r="J7559" s="165"/>
      <c r="K7559" s="166"/>
      <c r="L7559" s="166"/>
    </row>
    <row r="7560">
      <c r="A7560" s="163" t="s">
        <v>222</v>
      </c>
      <c r="B7560" s="163"/>
      <c r="C7560" s="163"/>
      <c r="J7560" s="165"/>
      <c r="K7560" s="166"/>
      <c r="L7560" s="166"/>
    </row>
    <row r="7561">
      <c r="A7561" s="163" t="s">
        <v>222</v>
      </c>
      <c r="B7561" s="163"/>
      <c r="C7561" s="163"/>
      <c r="J7561" s="165"/>
      <c r="K7561" s="166"/>
      <c r="L7561" s="166"/>
    </row>
    <row r="7562">
      <c r="A7562" s="163" t="s">
        <v>222</v>
      </c>
      <c r="B7562" s="163"/>
      <c r="C7562" s="163"/>
      <c r="J7562" s="165"/>
      <c r="K7562" s="166"/>
      <c r="L7562" s="166"/>
    </row>
    <row r="7563">
      <c r="A7563" s="163" t="s">
        <v>222</v>
      </c>
      <c r="B7563" s="163"/>
      <c r="C7563" s="163"/>
      <c r="J7563" s="165"/>
      <c r="K7563" s="166"/>
      <c r="L7563" s="166"/>
    </row>
    <row r="7564">
      <c r="A7564" s="163" t="s">
        <v>222</v>
      </c>
      <c r="B7564" s="163"/>
      <c r="C7564" s="163"/>
      <c r="J7564" s="165"/>
      <c r="K7564" s="166"/>
      <c r="L7564" s="166"/>
    </row>
    <row r="7565">
      <c r="A7565" s="163" t="s">
        <v>222</v>
      </c>
      <c r="B7565" s="163"/>
      <c r="C7565" s="163"/>
      <c r="J7565" s="165"/>
      <c r="K7565" s="166"/>
      <c r="L7565" s="166"/>
    </row>
    <row r="7566">
      <c r="A7566" s="163" t="s">
        <v>222</v>
      </c>
      <c r="B7566" s="163"/>
      <c r="C7566" s="163"/>
      <c r="J7566" s="165"/>
      <c r="K7566" s="166"/>
      <c r="L7566" s="166"/>
    </row>
    <row r="7567">
      <c r="A7567" s="163" t="s">
        <v>222</v>
      </c>
      <c r="B7567" s="163"/>
      <c r="C7567" s="163"/>
      <c r="J7567" s="165"/>
      <c r="K7567" s="166"/>
      <c r="L7567" s="166"/>
    </row>
    <row r="7568">
      <c r="A7568" s="163" t="s">
        <v>222</v>
      </c>
      <c r="B7568" s="163"/>
      <c r="C7568" s="163"/>
      <c r="J7568" s="165"/>
      <c r="K7568" s="166"/>
      <c r="L7568" s="166"/>
    </row>
    <row r="7569">
      <c r="A7569" s="163" t="s">
        <v>222</v>
      </c>
      <c r="B7569" s="163"/>
      <c r="C7569" s="163"/>
      <c r="J7569" s="165"/>
      <c r="K7569" s="166"/>
      <c r="L7569" s="166"/>
    </row>
    <row r="7570">
      <c r="A7570" s="163" t="s">
        <v>222</v>
      </c>
      <c r="B7570" s="163"/>
      <c r="C7570" s="163"/>
      <c r="J7570" s="165"/>
      <c r="K7570" s="166"/>
      <c r="L7570" s="166"/>
    </row>
    <row r="7571">
      <c r="A7571" s="163" t="s">
        <v>222</v>
      </c>
      <c r="B7571" s="163"/>
      <c r="C7571" s="163"/>
      <c r="J7571" s="165"/>
      <c r="K7571" s="166"/>
      <c r="L7571" s="166"/>
    </row>
    <row r="7572">
      <c r="A7572" s="163" t="s">
        <v>222</v>
      </c>
      <c r="B7572" s="163"/>
      <c r="C7572" s="163"/>
      <c r="J7572" s="165"/>
      <c r="K7572" s="166"/>
      <c r="L7572" s="166"/>
    </row>
    <row r="7573">
      <c r="A7573" s="163" t="s">
        <v>222</v>
      </c>
      <c r="B7573" s="163"/>
      <c r="C7573" s="163"/>
      <c r="J7573" s="165"/>
      <c r="K7573" s="166"/>
      <c r="L7573" s="166"/>
    </row>
    <row r="7574">
      <c r="A7574" s="163" t="s">
        <v>222</v>
      </c>
      <c r="B7574" s="163"/>
      <c r="C7574" s="163"/>
      <c r="J7574" s="165"/>
      <c r="K7574" s="166"/>
      <c r="L7574" s="166"/>
    </row>
    <row r="7575">
      <c r="A7575" s="163" t="s">
        <v>222</v>
      </c>
      <c r="B7575" s="163"/>
      <c r="C7575" s="163"/>
      <c r="J7575" s="165"/>
      <c r="K7575" s="166"/>
      <c r="L7575" s="166"/>
    </row>
    <row r="7576">
      <c r="A7576" s="163" t="s">
        <v>222</v>
      </c>
      <c r="B7576" s="163"/>
      <c r="C7576" s="163"/>
      <c r="J7576" s="165"/>
      <c r="K7576" s="166"/>
      <c r="L7576" s="166"/>
    </row>
    <row r="7577">
      <c r="A7577" s="163" t="s">
        <v>222</v>
      </c>
      <c r="B7577" s="163"/>
      <c r="C7577" s="163"/>
      <c r="J7577" s="165"/>
      <c r="K7577" s="166"/>
      <c r="L7577" s="166"/>
    </row>
    <row r="7578">
      <c r="A7578" s="163" t="s">
        <v>222</v>
      </c>
      <c r="B7578" s="163"/>
      <c r="C7578" s="163"/>
      <c r="J7578" s="165"/>
      <c r="K7578" s="166"/>
      <c r="L7578" s="166"/>
    </row>
    <row r="7579">
      <c r="A7579" s="163" t="s">
        <v>222</v>
      </c>
      <c r="B7579" s="163"/>
      <c r="C7579" s="163"/>
      <c r="J7579" s="165"/>
      <c r="K7579" s="166"/>
      <c r="L7579" s="166"/>
    </row>
    <row r="7580">
      <c r="A7580" s="163" t="s">
        <v>222</v>
      </c>
      <c r="B7580" s="163"/>
      <c r="C7580" s="163"/>
      <c r="J7580" s="165"/>
      <c r="K7580" s="166"/>
      <c r="L7580" s="166"/>
    </row>
    <row r="7581">
      <c r="A7581" s="163" t="s">
        <v>222</v>
      </c>
      <c r="B7581" s="163"/>
      <c r="C7581" s="163"/>
      <c r="J7581" s="165"/>
      <c r="K7581" s="166"/>
      <c r="L7581" s="166"/>
    </row>
    <row r="7582">
      <c r="A7582" s="163" t="s">
        <v>222</v>
      </c>
      <c r="B7582" s="163"/>
      <c r="C7582" s="163"/>
      <c r="J7582" s="165"/>
      <c r="K7582" s="166"/>
      <c r="L7582" s="166"/>
    </row>
    <row r="7583">
      <c r="A7583" s="163" t="s">
        <v>222</v>
      </c>
      <c r="B7583" s="163"/>
      <c r="C7583" s="163"/>
      <c r="J7583" s="165"/>
      <c r="K7583" s="166"/>
      <c r="L7583" s="166"/>
    </row>
    <row r="7584">
      <c r="A7584" s="163" t="s">
        <v>222</v>
      </c>
      <c r="B7584" s="163"/>
      <c r="C7584" s="163"/>
      <c r="J7584" s="165"/>
      <c r="K7584" s="166"/>
      <c r="L7584" s="166"/>
    </row>
    <row r="7585">
      <c r="A7585" s="163" t="s">
        <v>222</v>
      </c>
      <c r="B7585" s="163"/>
      <c r="C7585" s="163"/>
      <c r="J7585" s="165"/>
      <c r="K7585" s="166"/>
      <c r="L7585" s="166"/>
    </row>
    <row r="7586">
      <c r="A7586" s="163" t="s">
        <v>222</v>
      </c>
      <c r="B7586" s="163"/>
      <c r="C7586" s="163"/>
      <c r="J7586" s="165"/>
      <c r="K7586" s="166"/>
      <c r="L7586" s="166"/>
    </row>
    <row r="7587">
      <c r="A7587" s="163" t="s">
        <v>222</v>
      </c>
      <c r="B7587" s="163"/>
      <c r="C7587" s="163"/>
      <c r="J7587" s="165"/>
      <c r="K7587" s="166"/>
      <c r="L7587" s="166"/>
    </row>
    <row r="7588">
      <c r="A7588" s="163" t="s">
        <v>222</v>
      </c>
      <c r="B7588" s="163"/>
      <c r="C7588" s="163"/>
      <c r="J7588" s="165"/>
      <c r="K7588" s="166"/>
      <c r="L7588" s="166"/>
    </row>
    <row r="7589">
      <c r="A7589" s="163" t="s">
        <v>222</v>
      </c>
      <c r="B7589" s="163"/>
      <c r="C7589" s="163"/>
      <c r="J7589" s="165"/>
      <c r="K7589" s="166"/>
      <c r="L7589" s="166"/>
    </row>
    <row r="7590">
      <c r="A7590" s="163" t="s">
        <v>222</v>
      </c>
      <c r="B7590" s="163"/>
      <c r="C7590" s="163"/>
      <c r="J7590" s="165"/>
      <c r="K7590" s="166"/>
      <c r="L7590" s="166"/>
    </row>
    <row r="7591">
      <c r="A7591" s="163" t="s">
        <v>222</v>
      </c>
      <c r="B7591" s="163"/>
      <c r="C7591" s="163"/>
      <c r="J7591" s="165"/>
      <c r="K7591" s="166"/>
      <c r="L7591" s="166"/>
    </row>
    <row r="7592">
      <c r="A7592" s="163" t="s">
        <v>222</v>
      </c>
      <c r="B7592" s="163"/>
      <c r="C7592" s="163"/>
      <c r="J7592" s="165"/>
      <c r="K7592" s="166"/>
      <c r="L7592" s="166"/>
    </row>
    <row r="7593">
      <c r="A7593" s="163" t="s">
        <v>222</v>
      </c>
      <c r="B7593" s="163"/>
      <c r="C7593" s="163"/>
      <c r="J7593" s="165"/>
      <c r="K7593" s="166"/>
      <c r="L7593" s="166"/>
    </row>
    <row r="7594">
      <c r="A7594" s="163" t="s">
        <v>222</v>
      </c>
      <c r="B7594" s="163"/>
      <c r="C7594" s="163"/>
      <c r="J7594" s="165"/>
      <c r="K7594" s="166"/>
      <c r="L7594" s="166"/>
    </row>
    <row r="7595">
      <c r="A7595" s="163" t="s">
        <v>222</v>
      </c>
      <c r="B7595" s="163"/>
      <c r="C7595" s="163"/>
      <c r="J7595" s="165"/>
      <c r="K7595" s="166"/>
      <c r="L7595" s="166"/>
    </row>
    <row r="7596">
      <c r="A7596" s="163" t="s">
        <v>222</v>
      </c>
      <c r="B7596" s="163"/>
      <c r="C7596" s="163"/>
      <c r="J7596" s="165"/>
      <c r="K7596" s="166"/>
      <c r="L7596" s="166"/>
    </row>
    <row r="7597">
      <c r="A7597" s="163" t="s">
        <v>222</v>
      </c>
      <c r="B7597" s="163"/>
      <c r="C7597" s="163"/>
      <c r="J7597" s="165"/>
      <c r="K7597" s="166"/>
      <c r="L7597" s="166"/>
    </row>
    <row r="7598">
      <c r="A7598" s="163" t="s">
        <v>222</v>
      </c>
      <c r="B7598" s="163"/>
      <c r="C7598" s="163"/>
      <c r="J7598" s="165"/>
      <c r="K7598" s="166"/>
      <c r="L7598" s="166"/>
    </row>
    <row r="7599">
      <c r="A7599" s="163" t="s">
        <v>222</v>
      </c>
      <c r="B7599" s="163"/>
      <c r="C7599" s="163"/>
      <c r="J7599" s="165"/>
      <c r="K7599" s="166"/>
      <c r="L7599" s="166"/>
    </row>
    <row r="7600">
      <c r="A7600" s="163" t="s">
        <v>222</v>
      </c>
      <c r="B7600" s="163"/>
      <c r="C7600" s="163"/>
      <c r="J7600" s="165"/>
      <c r="K7600" s="166"/>
      <c r="L7600" s="166"/>
    </row>
    <row r="7601">
      <c r="A7601" s="163" t="s">
        <v>222</v>
      </c>
      <c r="B7601" s="163"/>
      <c r="C7601" s="163"/>
      <c r="J7601" s="165"/>
      <c r="K7601" s="166"/>
      <c r="L7601" s="166"/>
    </row>
    <row r="7602">
      <c r="A7602" s="163" t="s">
        <v>222</v>
      </c>
      <c r="B7602" s="163"/>
      <c r="C7602" s="163"/>
      <c r="J7602" s="165"/>
      <c r="K7602" s="166"/>
      <c r="L7602" s="166"/>
    </row>
    <row r="7603">
      <c r="A7603" s="163" t="s">
        <v>222</v>
      </c>
      <c r="B7603" s="163"/>
      <c r="C7603" s="163"/>
      <c r="J7603" s="165"/>
      <c r="K7603" s="166"/>
      <c r="L7603" s="166"/>
    </row>
    <row r="7604">
      <c r="A7604" s="163" t="s">
        <v>222</v>
      </c>
      <c r="B7604" s="163"/>
      <c r="C7604" s="163"/>
      <c r="J7604" s="165"/>
      <c r="K7604" s="166"/>
      <c r="L7604" s="166"/>
    </row>
    <row r="7605">
      <c r="A7605" s="163" t="s">
        <v>222</v>
      </c>
      <c r="B7605" s="163"/>
      <c r="C7605" s="163"/>
      <c r="J7605" s="165"/>
      <c r="K7605" s="166"/>
      <c r="L7605" s="166"/>
    </row>
    <row r="7606">
      <c r="A7606" s="163" t="s">
        <v>222</v>
      </c>
      <c r="B7606" s="163"/>
      <c r="C7606" s="163"/>
      <c r="J7606" s="165"/>
      <c r="K7606" s="166"/>
      <c r="L7606" s="166"/>
    </row>
    <row r="7607">
      <c r="A7607" s="163" t="s">
        <v>222</v>
      </c>
      <c r="B7607" s="163"/>
      <c r="C7607" s="163"/>
      <c r="J7607" s="165"/>
      <c r="K7607" s="166"/>
      <c r="L7607" s="166"/>
    </row>
    <row r="7608">
      <c r="A7608" s="163" t="s">
        <v>222</v>
      </c>
      <c r="B7608" s="163"/>
      <c r="C7608" s="163"/>
      <c r="J7608" s="165"/>
      <c r="K7608" s="166"/>
      <c r="L7608" s="166"/>
    </row>
    <row r="7609">
      <c r="A7609" s="163" t="s">
        <v>222</v>
      </c>
      <c r="B7609" s="163"/>
      <c r="C7609" s="163"/>
      <c r="J7609" s="165"/>
      <c r="K7609" s="166"/>
      <c r="L7609" s="166"/>
    </row>
    <row r="7610">
      <c r="A7610" s="163" t="s">
        <v>222</v>
      </c>
      <c r="B7610" s="163"/>
      <c r="C7610" s="163"/>
      <c r="J7610" s="165"/>
      <c r="K7610" s="166"/>
      <c r="L7610" s="166"/>
    </row>
    <row r="7611">
      <c r="A7611" s="163" t="s">
        <v>222</v>
      </c>
      <c r="B7611" s="163"/>
      <c r="C7611" s="163"/>
      <c r="J7611" s="165"/>
      <c r="K7611" s="166"/>
      <c r="L7611" s="166"/>
    </row>
    <row r="7612">
      <c r="A7612" s="163" t="s">
        <v>222</v>
      </c>
      <c r="B7612" s="163"/>
      <c r="C7612" s="163"/>
      <c r="J7612" s="165"/>
      <c r="K7612" s="166"/>
      <c r="L7612" s="166"/>
    </row>
    <row r="7613">
      <c r="A7613" s="163" t="s">
        <v>222</v>
      </c>
      <c r="B7613" s="163"/>
      <c r="C7613" s="163"/>
      <c r="J7613" s="165"/>
      <c r="K7613" s="166"/>
      <c r="L7613" s="166"/>
    </row>
    <row r="7614">
      <c r="A7614" s="163" t="s">
        <v>222</v>
      </c>
      <c r="B7614" s="163"/>
      <c r="C7614" s="163"/>
      <c r="J7614" s="165"/>
      <c r="K7614" s="166"/>
      <c r="L7614" s="166"/>
    </row>
    <row r="7615">
      <c r="A7615" s="163" t="s">
        <v>222</v>
      </c>
      <c r="B7615" s="163"/>
      <c r="C7615" s="163"/>
      <c r="J7615" s="165"/>
      <c r="K7615" s="166"/>
      <c r="L7615" s="166"/>
    </row>
    <row r="7616">
      <c r="A7616" s="163" t="s">
        <v>222</v>
      </c>
      <c r="B7616" s="163"/>
      <c r="C7616" s="163"/>
      <c r="J7616" s="165"/>
      <c r="K7616" s="166"/>
      <c r="L7616" s="166"/>
    </row>
    <row r="7617">
      <c r="A7617" s="163" t="s">
        <v>222</v>
      </c>
      <c r="B7617" s="163"/>
      <c r="C7617" s="163"/>
      <c r="J7617" s="165"/>
      <c r="K7617" s="166"/>
      <c r="L7617" s="166"/>
    </row>
    <row r="7618">
      <c r="A7618" s="163" t="s">
        <v>222</v>
      </c>
      <c r="B7618" s="163"/>
      <c r="C7618" s="163"/>
      <c r="J7618" s="165"/>
      <c r="K7618" s="166"/>
      <c r="L7618" s="166"/>
    </row>
    <row r="7619">
      <c r="A7619" s="163" t="s">
        <v>222</v>
      </c>
      <c r="B7619" s="163"/>
      <c r="C7619" s="163"/>
      <c r="J7619" s="165"/>
      <c r="K7619" s="166"/>
      <c r="L7619" s="166"/>
    </row>
    <row r="7620">
      <c r="A7620" s="163" t="s">
        <v>222</v>
      </c>
      <c r="B7620" s="163"/>
      <c r="C7620" s="163"/>
      <c r="J7620" s="165"/>
      <c r="K7620" s="166"/>
      <c r="L7620" s="166"/>
    </row>
    <row r="7621">
      <c r="A7621" s="163" t="s">
        <v>222</v>
      </c>
      <c r="B7621" s="163"/>
      <c r="C7621" s="163"/>
      <c r="J7621" s="165"/>
      <c r="K7621" s="166"/>
      <c r="L7621" s="166"/>
    </row>
    <row r="7622">
      <c r="A7622" s="163" t="s">
        <v>222</v>
      </c>
      <c r="B7622" s="163"/>
      <c r="C7622" s="163"/>
      <c r="J7622" s="165"/>
      <c r="K7622" s="166"/>
      <c r="L7622" s="166"/>
    </row>
    <row r="7623">
      <c r="A7623" s="163" t="s">
        <v>222</v>
      </c>
      <c r="B7623" s="163"/>
      <c r="C7623" s="163"/>
      <c r="J7623" s="165"/>
      <c r="K7623" s="166"/>
      <c r="L7623" s="166"/>
    </row>
    <row r="7624">
      <c r="A7624" s="163" t="s">
        <v>222</v>
      </c>
      <c r="B7624" s="163"/>
      <c r="C7624" s="163"/>
      <c r="J7624" s="165"/>
      <c r="K7624" s="166"/>
      <c r="L7624" s="166"/>
    </row>
    <row r="7625">
      <c r="A7625" s="163" t="s">
        <v>222</v>
      </c>
      <c r="B7625" s="163"/>
      <c r="C7625" s="163"/>
      <c r="J7625" s="165"/>
      <c r="K7625" s="166"/>
      <c r="L7625" s="166"/>
    </row>
    <row r="7626">
      <c r="A7626" s="163" t="s">
        <v>222</v>
      </c>
      <c r="B7626" s="163"/>
      <c r="C7626" s="163"/>
      <c r="J7626" s="165"/>
      <c r="K7626" s="166"/>
      <c r="L7626" s="166"/>
    </row>
    <row r="7627">
      <c r="A7627" s="163" t="s">
        <v>222</v>
      </c>
      <c r="B7627" s="163"/>
      <c r="C7627" s="163"/>
      <c r="J7627" s="165"/>
      <c r="K7627" s="166"/>
      <c r="L7627" s="166"/>
    </row>
    <row r="7628">
      <c r="A7628" s="163" t="s">
        <v>222</v>
      </c>
      <c r="B7628" s="163"/>
      <c r="C7628" s="163"/>
      <c r="J7628" s="165"/>
      <c r="K7628" s="166"/>
      <c r="L7628" s="166"/>
    </row>
    <row r="7629">
      <c r="A7629" s="163" t="s">
        <v>222</v>
      </c>
      <c r="B7629" s="163"/>
      <c r="C7629" s="163"/>
      <c r="J7629" s="165"/>
      <c r="K7629" s="166"/>
      <c r="L7629" s="166"/>
    </row>
    <row r="7630">
      <c r="A7630" s="163" t="s">
        <v>222</v>
      </c>
      <c r="B7630" s="163"/>
      <c r="C7630" s="163"/>
      <c r="J7630" s="165"/>
      <c r="K7630" s="166"/>
      <c r="L7630" s="166"/>
    </row>
    <row r="7631">
      <c r="A7631" s="163" t="s">
        <v>222</v>
      </c>
      <c r="B7631" s="163"/>
      <c r="C7631" s="163"/>
      <c r="J7631" s="165"/>
      <c r="K7631" s="166"/>
      <c r="L7631" s="166"/>
    </row>
    <row r="7632">
      <c r="A7632" s="163" t="s">
        <v>222</v>
      </c>
      <c r="B7632" s="163"/>
      <c r="C7632" s="163"/>
      <c r="J7632" s="165"/>
      <c r="K7632" s="166"/>
      <c r="L7632" s="166"/>
    </row>
    <row r="7633">
      <c r="A7633" s="163" t="s">
        <v>222</v>
      </c>
      <c r="B7633" s="163"/>
      <c r="C7633" s="163"/>
      <c r="J7633" s="165"/>
      <c r="K7633" s="166"/>
      <c r="L7633" s="166"/>
    </row>
    <row r="7634">
      <c r="A7634" s="163" t="s">
        <v>222</v>
      </c>
      <c r="B7634" s="163"/>
      <c r="C7634" s="163"/>
      <c r="J7634" s="165"/>
      <c r="K7634" s="166"/>
      <c r="L7634" s="166"/>
    </row>
    <row r="7635">
      <c r="A7635" s="163" t="s">
        <v>222</v>
      </c>
      <c r="B7635" s="163"/>
      <c r="C7635" s="163"/>
      <c r="J7635" s="165"/>
      <c r="K7635" s="166"/>
      <c r="L7635" s="166"/>
    </row>
    <row r="7636">
      <c r="A7636" s="163" t="s">
        <v>222</v>
      </c>
      <c r="B7636" s="163"/>
      <c r="C7636" s="163"/>
      <c r="J7636" s="165"/>
      <c r="K7636" s="166"/>
      <c r="L7636" s="166"/>
    </row>
    <row r="7637">
      <c r="A7637" s="163" t="s">
        <v>222</v>
      </c>
      <c r="B7637" s="163"/>
      <c r="C7637" s="163"/>
      <c r="J7637" s="165"/>
      <c r="K7637" s="166"/>
      <c r="L7637" s="166"/>
    </row>
    <row r="7638">
      <c r="A7638" s="163" t="s">
        <v>222</v>
      </c>
      <c r="B7638" s="163"/>
      <c r="C7638" s="163"/>
      <c r="J7638" s="165"/>
      <c r="K7638" s="166"/>
      <c r="L7638" s="166"/>
    </row>
    <row r="7639">
      <c r="A7639" s="163" t="s">
        <v>222</v>
      </c>
      <c r="B7639" s="163"/>
      <c r="C7639" s="163"/>
      <c r="J7639" s="165"/>
      <c r="K7639" s="166"/>
      <c r="L7639" s="166"/>
    </row>
    <row r="7640">
      <c r="A7640" s="163" t="s">
        <v>222</v>
      </c>
      <c r="B7640" s="163"/>
      <c r="C7640" s="163"/>
      <c r="J7640" s="165"/>
      <c r="K7640" s="166"/>
      <c r="L7640" s="166"/>
    </row>
    <row r="7641">
      <c r="A7641" s="163" t="s">
        <v>222</v>
      </c>
      <c r="B7641" s="163"/>
      <c r="C7641" s="163"/>
      <c r="J7641" s="165"/>
      <c r="K7641" s="166"/>
      <c r="L7641" s="166"/>
    </row>
    <row r="7642">
      <c r="A7642" s="163" t="s">
        <v>222</v>
      </c>
      <c r="B7642" s="163"/>
      <c r="C7642" s="163"/>
      <c r="J7642" s="165"/>
      <c r="K7642" s="166"/>
      <c r="L7642" s="166"/>
    </row>
    <row r="7643">
      <c r="A7643" s="163" t="s">
        <v>222</v>
      </c>
      <c r="B7643" s="163"/>
      <c r="C7643" s="163"/>
      <c r="J7643" s="165"/>
      <c r="K7643" s="166"/>
      <c r="L7643" s="166"/>
    </row>
    <row r="7644">
      <c r="A7644" s="163" t="s">
        <v>222</v>
      </c>
      <c r="B7644" s="163"/>
      <c r="C7644" s="163"/>
      <c r="J7644" s="165"/>
      <c r="K7644" s="166"/>
      <c r="L7644" s="166"/>
    </row>
    <row r="7645">
      <c r="A7645" s="163" t="s">
        <v>222</v>
      </c>
      <c r="B7645" s="163"/>
      <c r="C7645" s="163"/>
      <c r="J7645" s="165"/>
      <c r="K7645" s="166"/>
      <c r="L7645" s="166"/>
    </row>
    <row r="7646">
      <c r="A7646" s="163" t="s">
        <v>222</v>
      </c>
      <c r="B7646" s="163"/>
      <c r="C7646" s="163"/>
      <c r="J7646" s="165"/>
      <c r="K7646" s="166"/>
      <c r="L7646" s="166"/>
    </row>
    <row r="7647">
      <c r="A7647" s="163" t="s">
        <v>222</v>
      </c>
      <c r="B7647" s="163"/>
      <c r="C7647" s="163"/>
      <c r="J7647" s="165"/>
      <c r="K7647" s="166"/>
      <c r="L7647" s="166"/>
    </row>
    <row r="7648">
      <c r="A7648" s="163" t="s">
        <v>222</v>
      </c>
      <c r="B7648" s="163"/>
      <c r="C7648" s="163"/>
      <c r="J7648" s="165"/>
      <c r="K7648" s="166"/>
      <c r="L7648" s="166"/>
    </row>
    <row r="7649">
      <c r="A7649" s="163" t="s">
        <v>222</v>
      </c>
      <c r="B7649" s="163"/>
      <c r="C7649" s="163"/>
      <c r="J7649" s="165"/>
      <c r="K7649" s="166"/>
      <c r="L7649" s="166"/>
    </row>
    <row r="7650">
      <c r="A7650" s="163" t="s">
        <v>222</v>
      </c>
      <c r="B7650" s="163"/>
      <c r="C7650" s="163"/>
      <c r="J7650" s="165"/>
      <c r="K7650" s="166"/>
      <c r="L7650" s="166"/>
    </row>
    <row r="7651">
      <c r="A7651" s="163" t="s">
        <v>222</v>
      </c>
      <c r="B7651" s="163"/>
      <c r="C7651" s="163"/>
      <c r="J7651" s="165"/>
      <c r="K7651" s="166"/>
      <c r="L7651" s="166"/>
    </row>
    <row r="7652">
      <c r="A7652" s="163" t="s">
        <v>222</v>
      </c>
      <c r="B7652" s="163"/>
      <c r="C7652" s="163"/>
      <c r="J7652" s="165"/>
      <c r="K7652" s="166"/>
      <c r="L7652" s="166"/>
    </row>
    <row r="7653">
      <c r="A7653" s="163" t="s">
        <v>222</v>
      </c>
      <c r="B7653" s="163"/>
      <c r="C7653" s="163"/>
      <c r="J7653" s="165"/>
      <c r="K7653" s="166"/>
      <c r="L7653" s="166"/>
    </row>
    <row r="7654">
      <c r="A7654" s="163" t="s">
        <v>222</v>
      </c>
      <c r="B7654" s="163"/>
      <c r="C7654" s="163"/>
      <c r="J7654" s="165"/>
      <c r="K7654" s="166"/>
      <c r="L7654" s="166"/>
    </row>
    <row r="7655">
      <c r="A7655" s="163" t="s">
        <v>222</v>
      </c>
      <c r="B7655" s="163"/>
      <c r="C7655" s="163"/>
      <c r="J7655" s="165"/>
      <c r="K7655" s="166"/>
      <c r="L7655" s="166"/>
    </row>
    <row r="7656">
      <c r="A7656" s="163" t="s">
        <v>222</v>
      </c>
      <c r="B7656" s="163"/>
      <c r="C7656" s="163"/>
      <c r="J7656" s="165"/>
      <c r="K7656" s="166"/>
      <c r="L7656" s="166"/>
    </row>
    <row r="7657">
      <c r="A7657" s="163" t="s">
        <v>222</v>
      </c>
      <c r="B7657" s="163"/>
      <c r="C7657" s="163"/>
      <c r="J7657" s="165"/>
      <c r="K7657" s="166"/>
      <c r="L7657" s="166"/>
    </row>
    <row r="7658">
      <c r="A7658" s="163" t="s">
        <v>222</v>
      </c>
      <c r="B7658" s="163"/>
      <c r="C7658" s="163"/>
      <c r="J7658" s="165"/>
      <c r="K7658" s="166"/>
      <c r="L7658" s="166"/>
    </row>
    <row r="7659">
      <c r="A7659" s="163" t="s">
        <v>222</v>
      </c>
      <c r="B7659" s="163"/>
      <c r="C7659" s="163"/>
      <c r="J7659" s="165"/>
      <c r="K7659" s="166"/>
      <c r="L7659" s="166"/>
    </row>
    <row r="7660">
      <c r="A7660" s="163" t="s">
        <v>222</v>
      </c>
      <c r="B7660" s="163"/>
      <c r="C7660" s="163"/>
      <c r="J7660" s="165"/>
      <c r="K7660" s="166"/>
      <c r="L7660" s="166"/>
    </row>
    <row r="7661">
      <c r="A7661" s="163" t="s">
        <v>222</v>
      </c>
      <c r="B7661" s="163"/>
      <c r="C7661" s="163"/>
      <c r="J7661" s="165"/>
      <c r="K7661" s="166"/>
      <c r="L7661" s="166"/>
    </row>
    <row r="7662">
      <c r="A7662" s="163" t="s">
        <v>222</v>
      </c>
      <c r="B7662" s="163"/>
      <c r="C7662" s="163"/>
      <c r="J7662" s="165"/>
      <c r="K7662" s="166"/>
      <c r="L7662" s="166"/>
    </row>
    <row r="7663">
      <c r="A7663" s="163" t="s">
        <v>222</v>
      </c>
      <c r="B7663" s="163"/>
      <c r="C7663" s="163"/>
      <c r="J7663" s="165"/>
      <c r="K7663" s="166"/>
      <c r="L7663" s="166"/>
    </row>
    <row r="7664">
      <c r="A7664" s="163" t="s">
        <v>222</v>
      </c>
      <c r="B7664" s="163"/>
      <c r="C7664" s="163"/>
      <c r="J7664" s="165"/>
      <c r="K7664" s="166"/>
      <c r="L7664" s="166"/>
    </row>
    <row r="7665">
      <c r="A7665" s="163" t="s">
        <v>222</v>
      </c>
      <c r="B7665" s="163"/>
      <c r="C7665" s="163"/>
      <c r="J7665" s="165"/>
      <c r="K7665" s="166"/>
      <c r="L7665" s="166"/>
    </row>
    <row r="7666">
      <c r="A7666" s="163" t="s">
        <v>222</v>
      </c>
      <c r="B7666" s="163"/>
      <c r="C7666" s="163"/>
      <c r="J7666" s="165"/>
      <c r="K7666" s="166"/>
      <c r="L7666" s="166"/>
    </row>
    <row r="7667">
      <c r="A7667" s="163" t="s">
        <v>222</v>
      </c>
      <c r="B7667" s="163"/>
      <c r="C7667" s="163"/>
      <c r="J7667" s="165"/>
      <c r="K7667" s="166"/>
      <c r="L7667" s="166"/>
    </row>
    <row r="7668">
      <c r="A7668" s="163" t="s">
        <v>222</v>
      </c>
      <c r="B7668" s="163"/>
      <c r="C7668" s="163"/>
      <c r="J7668" s="165"/>
      <c r="K7668" s="166"/>
      <c r="L7668" s="166"/>
    </row>
    <row r="7669">
      <c r="A7669" s="163" t="s">
        <v>222</v>
      </c>
      <c r="B7669" s="163"/>
      <c r="C7669" s="163"/>
      <c r="J7669" s="165"/>
      <c r="K7669" s="166"/>
      <c r="L7669" s="166"/>
    </row>
    <row r="7670">
      <c r="A7670" s="163" t="s">
        <v>222</v>
      </c>
      <c r="B7670" s="163"/>
      <c r="C7670" s="163"/>
      <c r="J7670" s="165"/>
      <c r="K7670" s="166"/>
      <c r="L7670" s="166"/>
    </row>
    <row r="7671">
      <c r="A7671" s="163" t="s">
        <v>222</v>
      </c>
      <c r="B7671" s="163"/>
      <c r="C7671" s="163"/>
      <c r="J7671" s="165"/>
      <c r="K7671" s="166"/>
      <c r="L7671" s="166"/>
    </row>
    <row r="7672">
      <c r="A7672" s="163" t="s">
        <v>222</v>
      </c>
      <c r="B7672" s="163"/>
      <c r="C7672" s="163"/>
      <c r="J7672" s="165"/>
      <c r="K7672" s="166"/>
      <c r="L7672" s="166"/>
    </row>
    <row r="7673">
      <c r="A7673" s="163" t="s">
        <v>222</v>
      </c>
      <c r="B7673" s="163"/>
      <c r="C7673" s="163"/>
      <c r="J7673" s="165"/>
      <c r="K7673" s="166"/>
      <c r="L7673" s="166"/>
    </row>
    <row r="7674">
      <c r="A7674" s="163" t="s">
        <v>222</v>
      </c>
      <c r="B7674" s="163"/>
      <c r="C7674" s="163"/>
      <c r="J7674" s="165"/>
      <c r="K7674" s="166"/>
      <c r="L7674" s="166"/>
    </row>
    <row r="7675">
      <c r="A7675" s="163" t="s">
        <v>222</v>
      </c>
      <c r="B7675" s="163"/>
      <c r="C7675" s="163"/>
      <c r="J7675" s="165"/>
      <c r="K7675" s="166"/>
      <c r="L7675" s="166"/>
    </row>
    <row r="7676">
      <c r="A7676" s="163" t="s">
        <v>222</v>
      </c>
      <c r="B7676" s="163"/>
      <c r="C7676" s="163"/>
      <c r="J7676" s="165"/>
      <c r="K7676" s="166"/>
      <c r="L7676" s="166"/>
    </row>
    <row r="7677">
      <c r="A7677" s="163" t="s">
        <v>222</v>
      </c>
      <c r="B7677" s="163"/>
      <c r="C7677" s="163"/>
      <c r="J7677" s="165"/>
      <c r="K7677" s="166"/>
      <c r="L7677" s="166"/>
    </row>
    <row r="7678">
      <c r="A7678" s="163" t="s">
        <v>222</v>
      </c>
      <c r="B7678" s="163"/>
      <c r="C7678" s="163"/>
      <c r="J7678" s="165"/>
      <c r="K7678" s="166"/>
      <c r="L7678" s="166"/>
    </row>
    <row r="7679">
      <c r="A7679" s="163" t="s">
        <v>222</v>
      </c>
      <c r="B7679" s="163"/>
      <c r="C7679" s="163"/>
      <c r="J7679" s="165"/>
      <c r="K7679" s="166"/>
      <c r="L7679" s="166"/>
    </row>
    <row r="7680">
      <c r="A7680" s="163" t="s">
        <v>222</v>
      </c>
      <c r="B7680" s="163"/>
      <c r="C7680" s="163"/>
      <c r="J7680" s="165"/>
      <c r="K7680" s="166"/>
      <c r="L7680" s="166"/>
    </row>
    <row r="7681">
      <c r="A7681" s="163" t="s">
        <v>222</v>
      </c>
      <c r="B7681" s="163"/>
      <c r="C7681" s="163"/>
      <c r="J7681" s="165"/>
      <c r="K7681" s="166"/>
      <c r="L7681" s="166"/>
    </row>
    <row r="7682">
      <c r="A7682" s="163" t="s">
        <v>222</v>
      </c>
      <c r="B7682" s="163"/>
      <c r="C7682" s="163"/>
      <c r="J7682" s="165"/>
      <c r="K7682" s="166"/>
      <c r="L7682" s="166"/>
    </row>
    <row r="7683">
      <c r="A7683" s="163" t="s">
        <v>222</v>
      </c>
      <c r="B7683" s="163"/>
      <c r="C7683" s="163"/>
      <c r="J7683" s="165"/>
      <c r="K7683" s="166"/>
      <c r="L7683" s="166"/>
    </row>
    <row r="7684">
      <c r="A7684" s="163" t="s">
        <v>222</v>
      </c>
      <c r="B7684" s="163"/>
      <c r="C7684" s="163"/>
      <c r="J7684" s="165"/>
      <c r="K7684" s="166"/>
      <c r="L7684" s="166"/>
    </row>
    <row r="7685">
      <c r="A7685" s="163" t="s">
        <v>222</v>
      </c>
      <c r="B7685" s="163"/>
      <c r="C7685" s="163"/>
      <c r="J7685" s="165"/>
      <c r="K7685" s="166"/>
      <c r="L7685" s="166"/>
    </row>
    <row r="7686">
      <c r="A7686" s="163" t="s">
        <v>222</v>
      </c>
      <c r="B7686" s="163"/>
      <c r="C7686" s="163"/>
      <c r="J7686" s="165"/>
      <c r="K7686" s="166"/>
      <c r="L7686" s="166"/>
    </row>
    <row r="7687">
      <c r="A7687" s="163" t="s">
        <v>222</v>
      </c>
      <c r="B7687" s="163"/>
      <c r="C7687" s="163"/>
      <c r="J7687" s="165"/>
      <c r="K7687" s="166"/>
      <c r="L7687" s="166"/>
    </row>
    <row r="7688">
      <c r="A7688" s="163" t="s">
        <v>222</v>
      </c>
      <c r="B7688" s="163"/>
      <c r="C7688" s="163"/>
      <c r="J7688" s="165"/>
      <c r="K7688" s="166"/>
      <c r="L7688" s="166"/>
    </row>
    <row r="7689">
      <c r="A7689" s="163" t="s">
        <v>222</v>
      </c>
      <c r="B7689" s="163"/>
      <c r="C7689" s="163"/>
      <c r="J7689" s="165"/>
      <c r="K7689" s="166"/>
      <c r="L7689" s="166"/>
    </row>
    <row r="7690">
      <c r="A7690" s="163" t="s">
        <v>222</v>
      </c>
      <c r="B7690" s="163"/>
      <c r="C7690" s="163"/>
      <c r="J7690" s="165"/>
      <c r="K7690" s="166"/>
      <c r="L7690" s="166"/>
    </row>
    <row r="7691">
      <c r="A7691" s="163" t="s">
        <v>222</v>
      </c>
      <c r="B7691" s="163"/>
      <c r="C7691" s="163"/>
      <c r="J7691" s="165"/>
      <c r="K7691" s="166"/>
      <c r="L7691" s="166"/>
    </row>
    <row r="7692">
      <c r="A7692" s="163" t="s">
        <v>222</v>
      </c>
      <c r="B7692" s="163"/>
      <c r="C7692" s="163"/>
      <c r="J7692" s="165"/>
      <c r="K7692" s="166"/>
      <c r="L7692" s="166"/>
    </row>
    <row r="7693">
      <c r="A7693" s="163" t="s">
        <v>222</v>
      </c>
      <c r="B7693" s="163"/>
      <c r="C7693" s="163"/>
      <c r="J7693" s="165"/>
      <c r="K7693" s="166"/>
      <c r="L7693" s="166"/>
    </row>
    <row r="7694">
      <c r="A7694" s="163" t="s">
        <v>222</v>
      </c>
      <c r="B7694" s="163"/>
      <c r="C7694" s="163"/>
      <c r="J7694" s="165"/>
      <c r="K7694" s="166"/>
      <c r="L7694" s="166"/>
    </row>
    <row r="7695">
      <c r="A7695" s="163" t="s">
        <v>222</v>
      </c>
      <c r="B7695" s="163"/>
      <c r="C7695" s="163"/>
      <c r="J7695" s="165"/>
      <c r="K7695" s="166"/>
      <c r="L7695" s="166"/>
    </row>
    <row r="7696">
      <c r="A7696" s="163" t="s">
        <v>222</v>
      </c>
      <c r="B7696" s="163"/>
      <c r="C7696" s="163"/>
      <c r="J7696" s="165"/>
      <c r="K7696" s="166"/>
      <c r="L7696" s="166"/>
    </row>
    <row r="7697">
      <c r="A7697" s="163" t="s">
        <v>222</v>
      </c>
      <c r="B7697" s="163"/>
      <c r="C7697" s="163"/>
      <c r="J7697" s="165"/>
      <c r="K7697" s="166"/>
      <c r="L7697" s="166"/>
    </row>
    <row r="7698">
      <c r="A7698" s="163" t="s">
        <v>222</v>
      </c>
      <c r="B7698" s="163"/>
      <c r="C7698" s="163"/>
      <c r="J7698" s="165"/>
      <c r="K7698" s="166"/>
      <c r="L7698" s="166"/>
    </row>
    <row r="7699">
      <c r="A7699" s="163" t="s">
        <v>222</v>
      </c>
      <c r="B7699" s="163"/>
      <c r="C7699" s="163"/>
      <c r="J7699" s="165"/>
      <c r="K7699" s="166"/>
      <c r="L7699" s="166"/>
    </row>
    <row r="7700">
      <c r="A7700" s="163" t="s">
        <v>222</v>
      </c>
      <c r="B7700" s="163"/>
      <c r="C7700" s="163"/>
      <c r="J7700" s="165"/>
      <c r="K7700" s="166"/>
      <c r="L7700" s="166"/>
    </row>
    <row r="7701">
      <c r="A7701" s="163" t="s">
        <v>222</v>
      </c>
      <c r="B7701" s="163"/>
      <c r="C7701" s="163"/>
      <c r="J7701" s="165"/>
      <c r="K7701" s="166"/>
      <c r="L7701" s="166"/>
    </row>
    <row r="7702">
      <c r="A7702" s="163" t="s">
        <v>222</v>
      </c>
      <c r="B7702" s="163"/>
      <c r="C7702" s="163"/>
      <c r="J7702" s="165"/>
      <c r="K7702" s="166"/>
      <c r="L7702" s="166"/>
    </row>
    <row r="7703">
      <c r="A7703" s="163" t="s">
        <v>222</v>
      </c>
      <c r="B7703" s="163"/>
      <c r="C7703" s="163"/>
      <c r="J7703" s="165"/>
      <c r="K7703" s="166"/>
      <c r="L7703" s="166"/>
    </row>
    <row r="7704">
      <c r="A7704" s="163" t="s">
        <v>222</v>
      </c>
      <c r="B7704" s="163"/>
      <c r="C7704" s="163"/>
      <c r="J7704" s="165"/>
      <c r="K7704" s="166"/>
      <c r="L7704" s="166"/>
    </row>
    <row r="7705">
      <c r="A7705" s="163" t="s">
        <v>222</v>
      </c>
      <c r="B7705" s="163"/>
      <c r="C7705" s="163"/>
      <c r="J7705" s="165"/>
      <c r="K7705" s="166"/>
      <c r="L7705" s="166"/>
    </row>
    <row r="7706">
      <c r="A7706" s="163" t="s">
        <v>222</v>
      </c>
      <c r="B7706" s="163"/>
      <c r="C7706" s="163"/>
      <c r="J7706" s="165"/>
      <c r="K7706" s="166"/>
      <c r="L7706" s="166"/>
    </row>
    <row r="7707">
      <c r="A7707" s="163" t="s">
        <v>222</v>
      </c>
      <c r="B7707" s="163"/>
      <c r="C7707" s="163"/>
      <c r="J7707" s="165"/>
      <c r="K7707" s="166"/>
      <c r="L7707" s="166"/>
    </row>
    <row r="7708">
      <c r="A7708" s="163" t="s">
        <v>222</v>
      </c>
      <c r="B7708" s="163"/>
      <c r="C7708" s="163"/>
      <c r="J7708" s="165"/>
      <c r="K7708" s="166"/>
      <c r="L7708" s="166"/>
    </row>
    <row r="7709">
      <c r="A7709" s="163" t="s">
        <v>222</v>
      </c>
      <c r="B7709" s="163"/>
      <c r="C7709" s="163"/>
      <c r="J7709" s="165"/>
      <c r="K7709" s="166"/>
      <c r="L7709" s="166"/>
    </row>
    <row r="7710">
      <c r="A7710" s="163" t="s">
        <v>222</v>
      </c>
      <c r="B7710" s="163"/>
      <c r="C7710" s="163"/>
      <c r="J7710" s="165"/>
      <c r="K7710" s="166"/>
      <c r="L7710" s="166"/>
    </row>
    <row r="7711">
      <c r="A7711" s="163" t="s">
        <v>222</v>
      </c>
      <c r="B7711" s="163"/>
      <c r="C7711" s="163"/>
      <c r="J7711" s="165"/>
      <c r="K7711" s="166"/>
      <c r="L7711" s="166"/>
    </row>
    <row r="7712">
      <c r="A7712" s="163" t="s">
        <v>222</v>
      </c>
      <c r="B7712" s="163"/>
      <c r="C7712" s="163"/>
      <c r="J7712" s="165"/>
      <c r="K7712" s="166"/>
      <c r="L7712" s="166"/>
    </row>
    <row r="7713">
      <c r="A7713" s="163" t="s">
        <v>222</v>
      </c>
      <c r="B7713" s="163"/>
      <c r="C7713" s="163"/>
      <c r="J7713" s="165"/>
      <c r="K7713" s="166"/>
      <c r="L7713" s="166"/>
    </row>
    <row r="7714">
      <c r="A7714" s="163" t="s">
        <v>222</v>
      </c>
      <c r="B7714" s="163"/>
      <c r="C7714" s="163"/>
      <c r="J7714" s="165"/>
      <c r="K7714" s="166"/>
      <c r="L7714" s="166"/>
    </row>
    <row r="7715">
      <c r="A7715" s="163" t="s">
        <v>222</v>
      </c>
      <c r="B7715" s="163"/>
      <c r="C7715" s="163"/>
      <c r="J7715" s="165"/>
      <c r="K7715" s="166"/>
      <c r="L7715" s="166"/>
    </row>
    <row r="7716">
      <c r="A7716" s="163" t="s">
        <v>222</v>
      </c>
      <c r="B7716" s="163"/>
      <c r="C7716" s="163"/>
      <c r="J7716" s="165"/>
      <c r="K7716" s="166"/>
      <c r="L7716" s="166"/>
    </row>
    <row r="7717">
      <c r="A7717" s="163" t="s">
        <v>222</v>
      </c>
      <c r="B7717" s="163"/>
      <c r="C7717" s="163"/>
      <c r="J7717" s="165"/>
      <c r="K7717" s="166"/>
      <c r="L7717" s="166"/>
    </row>
    <row r="7718">
      <c r="A7718" s="163" t="s">
        <v>222</v>
      </c>
      <c r="B7718" s="163"/>
      <c r="C7718" s="163"/>
      <c r="J7718" s="165"/>
      <c r="K7718" s="166"/>
      <c r="L7718" s="166"/>
    </row>
    <row r="7719">
      <c r="A7719" s="163" t="s">
        <v>222</v>
      </c>
      <c r="B7719" s="163"/>
      <c r="C7719" s="163"/>
      <c r="J7719" s="165"/>
      <c r="K7719" s="166"/>
      <c r="L7719" s="166"/>
    </row>
    <row r="7720">
      <c r="A7720" s="163" t="s">
        <v>222</v>
      </c>
      <c r="B7720" s="163"/>
      <c r="C7720" s="163"/>
      <c r="J7720" s="165"/>
      <c r="K7720" s="166"/>
      <c r="L7720" s="166"/>
    </row>
    <row r="7721">
      <c r="A7721" s="163" t="s">
        <v>222</v>
      </c>
      <c r="B7721" s="163"/>
      <c r="C7721" s="163"/>
      <c r="J7721" s="165"/>
      <c r="K7721" s="166"/>
      <c r="L7721" s="166"/>
    </row>
    <row r="7722">
      <c r="A7722" s="163" t="s">
        <v>222</v>
      </c>
      <c r="B7722" s="163"/>
      <c r="C7722" s="163"/>
      <c r="J7722" s="165"/>
      <c r="K7722" s="166"/>
      <c r="L7722" s="166"/>
    </row>
    <row r="7723">
      <c r="A7723" s="163" t="s">
        <v>222</v>
      </c>
      <c r="B7723" s="163"/>
      <c r="C7723" s="163"/>
      <c r="J7723" s="165"/>
      <c r="K7723" s="166"/>
      <c r="L7723" s="166"/>
    </row>
    <row r="7724">
      <c r="A7724" s="163" t="s">
        <v>222</v>
      </c>
      <c r="B7724" s="163"/>
      <c r="C7724" s="163"/>
      <c r="J7724" s="165"/>
      <c r="K7724" s="166"/>
      <c r="L7724" s="166"/>
    </row>
    <row r="7725">
      <c r="A7725" s="163" t="s">
        <v>222</v>
      </c>
      <c r="B7725" s="163"/>
      <c r="C7725" s="163"/>
      <c r="J7725" s="165"/>
      <c r="K7725" s="166"/>
      <c r="L7725" s="166"/>
    </row>
    <row r="7726">
      <c r="A7726" s="163" t="s">
        <v>222</v>
      </c>
      <c r="B7726" s="163"/>
      <c r="C7726" s="163"/>
      <c r="J7726" s="165"/>
      <c r="K7726" s="166"/>
      <c r="L7726" s="166"/>
    </row>
    <row r="7727">
      <c r="A7727" s="163" t="s">
        <v>222</v>
      </c>
      <c r="B7727" s="163"/>
      <c r="C7727" s="163"/>
      <c r="J7727" s="165"/>
      <c r="K7727" s="166"/>
      <c r="L7727" s="166"/>
    </row>
    <row r="7728">
      <c r="A7728" s="163" t="s">
        <v>222</v>
      </c>
      <c r="B7728" s="163"/>
      <c r="C7728" s="163"/>
      <c r="J7728" s="165"/>
      <c r="K7728" s="166"/>
      <c r="L7728" s="166"/>
    </row>
    <row r="7729">
      <c r="A7729" s="163" t="s">
        <v>222</v>
      </c>
      <c r="B7729" s="163"/>
      <c r="C7729" s="163"/>
      <c r="J7729" s="165"/>
      <c r="K7729" s="166"/>
      <c r="L7729" s="166"/>
    </row>
    <row r="7730">
      <c r="A7730" s="163" t="s">
        <v>222</v>
      </c>
      <c r="B7730" s="163"/>
      <c r="C7730" s="163"/>
      <c r="J7730" s="165"/>
      <c r="K7730" s="166"/>
      <c r="L7730" s="166"/>
    </row>
    <row r="7731">
      <c r="A7731" s="163" t="s">
        <v>222</v>
      </c>
      <c r="B7731" s="163"/>
      <c r="C7731" s="163"/>
      <c r="J7731" s="165"/>
      <c r="K7731" s="166"/>
      <c r="L7731" s="166"/>
    </row>
    <row r="7732">
      <c r="A7732" s="163" t="s">
        <v>222</v>
      </c>
      <c r="B7732" s="163"/>
      <c r="C7732" s="163"/>
      <c r="J7732" s="165"/>
      <c r="K7732" s="166"/>
      <c r="L7732" s="166"/>
    </row>
    <row r="7733">
      <c r="A7733" s="163" t="s">
        <v>222</v>
      </c>
      <c r="B7733" s="163"/>
      <c r="C7733" s="163"/>
      <c r="J7733" s="165"/>
      <c r="K7733" s="166"/>
      <c r="L7733" s="166"/>
    </row>
    <row r="7734">
      <c r="A7734" s="163" t="s">
        <v>222</v>
      </c>
      <c r="B7734" s="163"/>
      <c r="C7734" s="163"/>
      <c r="J7734" s="165"/>
      <c r="K7734" s="166"/>
      <c r="L7734" s="166"/>
    </row>
    <row r="7735">
      <c r="A7735" s="163" t="s">
        <v>222</v>
      </c>
      <c r="B7735" s="163"/>
      <c r="C7735" s="163"/>
      <c r="J7735" s="165"/>
      <c r="K7735" s="166"/>
      <c r="L7735" s="166"/>
    </row>
    <row r="7736">
      <c r="A7736" s="163" t="s">
        <v>222</v>
      </c>
      <c r="B7736" s="163"/>
      <c r="C7736" s="163"/>
      <c r="J7736" s="165"/>
      <c r="K7736" s="166"/>
      <c r="L7736" s="166"/>
    </row>
    <row r="7737">
      <c r="A7737" s="163" t="s">
        <v>222</v>
      </c>
      <c r="B7737" s="163"/>
      <c r="C7737" s="163"/>
      <c r="J7737" s="165"/>
      <c r="K7737" s="166"/>
      <c r="L7737" s="166"/>
    </row>
    <row r="7738">
      <c r="A7738" s="163" t="s">
        <v>222</v>
      </c>
      <c r="B7738" s="163"/>
      <c r="C7738" s="163"/>
      <c r="J7738" s="165"/>
      <c r="K7738" s="166"/>
      <c r="L7738" s="166"/>
    </row>
    <row r="7739">
      <c r="A7739" s="163" t="s">
        <v>222</v>
      </c>
      <c r="B7739" s="163"/>
      <c r="C7739" s="163"/>
      <c r="J7739" s="165"/>
      <c r="K7739" s="166"/>
      <c r="L7739" s="166"/>
    </row>
    <row r="7740">
      <c r="A7740" s="163" t="s">
        <v>222</v>
      </c>
      <c r="B7740" s="163"/>
      <c r="C7740" s="163"/>
      <c r="J7740" s="165"/>
      <c r="K7740" s="166"/>
      <c r="L7740" s="166"/>
    </row>
    <row r="7741">
      <c r="A7741" s="163" t="s">
        <v>222</v>
      </c>
      <c r="B7741" s="163"/>
      <c r="C7741" s="163"/>
      <c r="J7741" s="165"/>
      <c r="K7741" s="166"/>
      <c r="L7741" s="166"/>
    </row>
    <row r="7742">
      <c r="A7742" s="163" t="s">
        <v>222</v>
      </c>
      <c r="B7742" s="163"/>
      <c r="C7742" s="163"/>
      <c r="J7742" s="165"/>
      <c r="K7742" s="166"/>
      <c r="L7742" s="166"/>
    </row>
    <row r="7743">
      <c r="A7743" s="163" t="s">
        <v>222</v>
      </c>
      <c r="B7743" s="163"/>
      <c r="C7743" s="163"/>
      <c r="J7743" s="165"/>
      <c r="K7743" s="166"/>
      <c r="L7743" s="166"/>
    </row>
    <row r="7744">
      <c r="A7744" s="163" t="s">
        <v>222</v>
      </c>
      <c r="B7744" s="163"/>
      <c r="C7744" s="163"/>
      <c r="J7744" s="165"/>
      <c r="K7744" s="166"/>
      <c r="L7744" s="166"/>
    </row>
    <row r="7745">
      <c r="A7745" s="163" t="s">
        <v>222</v>
      </c>
      <c r="B7745" s="163"/>
      <c r="C7745" s="163"/>
      <c r="J7745" s="165"/>
      <c r="K7745" s="166"/>
      <c r="L7745" s="166"/>
    </row>
    <row r="7746">
      <c r="A7746" s="163" t="s">
        <v>222</v>
      </c>
      <c r="B7746" s="163"/>
      <c r="C7746" s="163"/>
      <c r="J7746" s="165"/>
      <c r="K7746" s="166"/>
      <c r="L7746" s="166"/>
    </row>
    <row r="7747">
      <c r="A7747" s="163" t="s">
        <v>222</v>
      </c>
      <c r="B7747" s="163"/>
      <c r="C7747" s="163"/>
      <c r="J7747" s="165"/>
      <c r="K7747" s="166"/>
      <c r="L7747" s="166"/>
    </row>
    <row r="7748">
      <c r="A7748" s="163" t="s">
        <v>222</v>
      </c>
      <c r="B7748" s="163"/>
      <c r="C7748" s="163"/>
      <c r="J7748" s="165"/>
      <c r="K7748" s="166"/>
      <c r="L7748" s="166"/>
    </row>
    <row r="7749">
      <c r="A7749" s="163" t="s">
        <v>222</v>
      </c>
      <c r="B7749" s="163"/>
      <c r="C7749" s="163"/>
      <c r="J7749" s="165"/>
      <c r="K7749" s="166"/>
      <c r="L7749" s="166"/>
    </row>
    <row r="7750">
      <c r="A7750" s="163" t="s">
        <v>222</v>
      </c>
      <c r="B7750" s="163"/>
      <c r="C7750" s="163"/>
      <c r="J7750" s="165"/>
      <c r="K7750" s="166"/>
      <c r="L7750" s="166"/>
    </row>
    <row r="7751">
      <c r="A7751" s="163" t="s">
        <v>222</v>
      </c>
      <c r="B7751" s="163"/>
      <c r="C7751" s="163"/>
      <c r="J7751" s="165"/>
      <c r="K7751" s="166"/>
      <c r="L7751" s="166"/>
    </row>
    <row r="7752">
      <c r="A7752" s="163" t="s">
        <v>222</v>
      </c>
      <c r="B7752" s="163"/>
      <c r="C7752" s="163"/>
      <c r="J7752" s="165"/>
      <c r="K7752" s="166"/>
      <c r="L7752" s="166"/>
    </row>
    <row r="7753">
      <c r="A7753" s="163" t="s">
        <v>222</v>
      </c>
      <c r="B7753" s="163"/>
      <c r="C7753" s="163"/>
      <c r="J7753" s="165"/>
      <c r="K7753" s="166"/>
      <c r="L7753" s="166"/>
    </row>
    <row r="7754">
      <c r="A7754" s="163" t="s">
        <v>222</v>
      </c>
      <c r="B7754" s="163"/>
      <c r="C7754" s="163"/>
      <c r="J7754" s="165"/>
      <c r="K7754" s="166"/>
      <c r="L7754" s="166"/>
    </row>
    <row r="7755">
      <c r="A7755" s="163" t="s">
        <v>222</v>
      </c>
      <c r="B7755" s="163"/>
      <c r="C7755" s="163"/>
      <c r="J7755" s="165"/>
      <c r="K7755" s="166"/>
      <c r="L7755" s="166"/>
    </row>
    <row r="7756">
      <c r="A7756" s="163" t="s">
        <v>222</v>
      </c>
      <c r="B7756" s="163"/>
      <c r="C7756" s="163"/>
      <c r="J7756" s="165"/>
      <c r="K7756" s="166"/>
      <c r="L7756" s="166"/>
    </row>
    <row r="7757">
      <c r="A7757" s="163" t="s">
        <v>222</v>
      </c>
      <c r="B7757" s="163"/>
      <c r="C7757" s="163"/>
      <c r="J7757" s="165"/>
      <c r="K7757" s="166"/>
      <c r="L7757" s="166"/>
    </row>
    <row r="7758">
      <c r="A7758" s="163" t="s">
        <v>222</v>
      </c>
      <c r="B7758" s="163"/>
      <c r="C7758" s="163"/>
      <c r="J7758" s="165"/>
      <c r="K7758" s="166"/>
      <c r="L7758" s="166"/>
    </row>
    <row r="7759">
      <c r="A7759" s="163" t="s">
        <v>222</v>
      </c>
      <c r="B7759" s="163"/>
      <c r="C7759" s="163"/>
      <c r="J7759" s="165"/>
      <c r="K7759" s="166"/>
      <c r="L7759" s="166"/>
    </row>
    <row r="7760">
      <c r="A7760" s="163" t="s">
        <v>222</v>
      </c>
      <c r="B7760" s="163"/>
      <c r="C7760" s="163"/>
      <c r="J7760" s="165"/>
      <c r="K7760" s="166"/>
      <c r="L7760" s="166"/>
    </row>
    <row r="7761">
      <c r="A7761" s="163" t="s">
        <v>222</v>
      </c>
      <c r="B7761" s="163"/>
      <c r="C7761" s="163"/>
      <c r="J7761" s="165"/>
      <c r="K7761" s="166"/>
      <c r="L7761" s="166"/>
    </row>
    <row r="7762">
      <c r="A7762" s="163" t="s">
        <v>222</v>
      </c>
      <c r="B7762" s="163"/>
      <c r="C7762" s="163"/>
      <c r="J7762" s="165"/>
      <c r="K7762" s="166"/>
      <c r="L7762" s="166"/>
    </row>
    <row r="7763">
      <c r="A7763" s="163" t="s">
        <v>222</v>
      </c>
      <c r="B7763" s="163"/>
      <c r="C7763" s="163"/>
      <c r="J7763" s="165"/>
      <c r="K7763" s="166"/>
      <c r="L7763" s="166"/>
    </row>
    <row r="7764">
      <c r="A7764" s="163" t="s">
        <v>222</v>
      </c>
      <c r="B7764" s="163"/>
      <c r="C7764" s="163"/>
      <c r="J7764" s="165"/>
      <c r="K7764" s="166"/>
      <c r="L7764" s="166"/>
    </row>
    <row r="7765">
      <c r="A7765" s="163" t="s">
        <v>222</v>
      </c>
      <c r="B7765" s="163"/>
      <c r="C7765" s="163"/>
      <c r="J7765" s="165"/>
      <c r="K7765" s="166"/>
      <c r="L7765" s="166"/>
    </row>
    <row r="7766">
      <c r="A7766" s="163" t="s">
        <v>222</v>
      </c>
      <c r="B7766" s="163"/>
      <c r="C7766" s="163"/>
      <c r="J7766" s="165"/>
      <c r="K7766" s="166"/>
      <c r="L7766" s="166"/>
    </row>
    <row r="7767">
      <c r="A7767" s="163" t="s">
        <v>222</v>
      </c>
      <c r="B7767" s="163"/>
      <c r="C7767" s="163"/>
      <c r="J7767" s="165"/>
      <c r="K7767" s="166"/>
      <c r="L7767" s="166"/>
    </row>
    <row r="7768">
      <c r="A7768" s="163" t="s">
        <v>222</v>
      </c>
      <c r="B7768" s="163"/>
      <c r="C7768" s="163"/>
      <c r="J7768" s="165"/>
      <c r="K7768" s="166"/>
      <c r="L7768" s="166"/>
    </row>
    <row r="7769">
      <c r="A7769" s="163" t="s">
        <v>222</v>
      </c>
      <c r="B7769" s="163"/>
      <c r="C7769" s="163"/>
      <c r="J7769" s="165"/>
      <c r="K7769" s="166"/>
      <c r="L7769" s="166"/>
    </row>
    <row r="7770">
      <c r="A7770" s="163" t="s">
        <v>222</v>
      </c>
      <c r="B7770" s="163"/>
      <c r="C7770" s="163"/>
      <c r="J7770" s="165"/>
      <c r="K7770" s="166"/>
      <c r="L7770" s="166"/>
    </row>
    <row r="7771">
      <c r="A7771" s="163" t="s">
        <v>222</v>
      </c>
      <c r="B7771" s="163"/>
      <c r="C7771" s="163"/>
      <c r="J7771" s="165"/>
      <c r="K7771" s="166"/>
      <c r="L7771" s="166"/>
    </row>
    <row r="7772">
      <c r="A7772" s="163" t="s">
        <v>222</v>
      </c>
      <c r="B7772" s="163"/>
      <c r="C7772" s="163"/>
      <c r="J7772" s="165"/>
      <c r="K7772" s="166"/>
      <c r="L7772" s="166"/>
    </row>
    <row r="7773">
      <c r="A7773" s="163" t="s">
        <v>222</v>
      </c>
      <c r="B7773" s="163"/>
      <c r="C7773" s="163"/>
      <c r="J7773" s="165"/>
      <c r="K7773" s="166"/>
      <c r="L7773" s="166"/>
    </row>
    <row r="7774">
      <c r="A7774" s="163" t="s">
        <v>222</v>
      </c>
      <c r="B7774" s="163"/>
      <c r="C7774" s="163"/>
      <c r="J7774" s="165"/>
      <c r="K7774" s="166"/>
      <c r="L7774" s="166"/>
    </row>
    <row r="7775">
      <c r="A7775" s="163" t="s">
        <v>222</v>
      </c>
      <c r="B7775" s="163"/>
      <c r="C7775" s="163"/>
      <c r="J7775" s="165"/>
      <c r="K7775" s="166"/>
      <c r="L7775" s="166"/>
    </row>
    <row r="7776">
      <c r="A7776" s="163" t="s">
        <v>222</v>
      </c>
      <c r="B7776" s="163"/>
      <c r="C7776" s="163"/>
      <c r="J7776" s="165"/>
      <c r="K7776" s="166"/>
      <c r="L7776" s="166"/>
    </row>
    <row r="7777">
      <c r="A7777" s="163" t="s">
        <v>222</v>
      </c>
      <c r="B7777" s="163"/>
      <c r="C7777" s="163"/>
      <c r="J7777" s="165"/>
      <c r="K7777" s="166"/>
      <c r="L7777" s="166"/>
    </row>
    <row r="7778">
      <c r="A7778" s="163" t="s">
        <v>222</v>
      </c>
      <c r="B7778" s="163"/>
      <c r="C7778" s="163"/>
      <c r="J7778" s="165"/>
      <c r="K7778" s="166"/>
      <c r="L7778" s="166"/>
    </row>
    <row r="7779">
      <c r="A7779" s="163" t="s">
        <v>222</v>
      </c>
      <c r="B7779" s="163"/>
      <c r="C7779" s="163"/>
      <c r="J7779" s="165"/>
      <c r="K7779" s="166"/>
      <c r="L7779" s="166"/>
    </row>
    <row r="7780">
      <c r="A7780" s="163" t="s">
        <v>222</v>
      </c>
      <c r="B7780" s="163"/>
      <c r="C7780" s="163"/>
      <c r="J7780" s="165"/>
      <c r="K7780" s="166"/>
      <c r="L7780" s="166"/>
    </row>
    <row r="7781">
      <c r="A7781" s="163" t="s">
        <v>222</v>
      </c>
      <c r="B7781" s="163"/>
      <c r="C7781" s="163"/>
      <c r="J7781" s="165"/>
      <c r="K7781" s="166"/>
      <c r="L7781" s="166"/>
    </row>
    <row r="7782">
      <c r="A7782" s="163" t="s">
        <v>222</v>
      </c>
      <c r="B7782" s="163"/>
      <c r="C7782" s="163"/>
      <c r="J7782" s="165"/>
      <c r="K7782" s="166"/>
      <c r="L7782" s="166"/>
    </row>
    <row r="7783">
      <c r="A7783" s="163" t="s">
        <v>222</v>
      </c>
      <c r="B7783" s="163"/>
      <c r="C7783" s="163"/>
      <c r="J7783" s="165"/>
      <c r="K7783" s="166"/>
      <c r="L7783" s="166"/>
    </row>
    <row r="7784">
      <c r="A7784" s="163" t="s">
        <v>222</v>
      </c>
      <c r="B7784" s="163"/>
      <c r="C7784" s="163"/>
      <c r="J7784" s="165"/>
      <c r="K7784" s="166"/>
      <c r="L7784" s="166"/>
    </row>
    <row r="7785">
      <c r="A7785" s="163" t="s">
        <v>222</v>
      </c>
      <c r="B7785" s="163"/>
      <c r="C7785" s="163"/>
      <c r="J7785" s="165"/>
      <c r="K7785" s="166"/>
      <c r="L7785" s="166"/>
    </row>
    <row r="7786">
      <c r="A7786" s="163" t="s">
        <v>222</v>
      </c>
      <c r="B7786" s="163"/>
      <c r="C7786" s="163"/>
      <c r="J7786" s="165"/>
      <c r="K7786" s="166"/>
      <c r="L7786" s="166"/>
    </row>
    <row r="7787">
      <c r="A7787" s="163" t="s">
        <v>222</v>
      </c>
      <c r="B7787" s="163"/>
      <c r="C7787" s="163"/>
      <c r="J7787" s="165"/>
      <c r="K7787" s="166"/>
      <c r="L7787" s="166"/>
    </row>
    <row r="7788">
      <c r="A7788" s="163" t="s">
        <v>222</v>
      </c>
      <c r="B7788" s="163"/>
      <c r="C7788" s="163"/>
      <c r="J7788" s="165"/>
      <c r="K7788" s="166"/>
      <c r="L7788" s="166"/>
    </row>
    <row r="7789">
      <c r="A7789" s="163" t="s">
        <v>222</v>
      </c>
      <c r="B7789" s="163"/>
      <c r="C7789" s="163"/>
      <c r="J7789" s="165"/>
      <c r="K7789" s="166"/>
      <c r="L7789" s="166"/>
    </row>
    <row r="7790">
      <c r="A7790" s="163" t="s">
        <v>222</v>
      </c>
      <c r="B7790" s="163"/>
      <c r="C7790" s="163"/>
      <c r="J7790" s="165"/>
      <c r="K7790" s="166"/>
      <c r="L7790" s="166"/>
    </row>
    <row r="7791">
      <c r="A7791" s="163" t="s">
        <v>222</v>
      </c>
      <c r="B7791" s="163"/>
      <c r="C7791" s="163"/>
      <c r="J7791" s="165"/>
      <c r="K7791" s="166"/>
      <c r="L7791" s="166"/>
    </row>
    <row r="7792">
      <c r="A7792" s="163" t="s">
        <v>222</v>
      </c>
      <c r="B7792" s="163"/>
      <c r="C7792" s="163"/>
      <c r="J7792" s="165"/>
      <c r="K7792" s="166"/>
      <c r="L7792" s="166"/>
    </row>
    <row r="7793">
      <c r="A7793" s="163" t="s">
        <v>222</v>
      </c>
      <c r="B7793" s="163"/>
      <c r="C7793" s="163"/>
      <c r="J7793" s="165"/>
      <c r="K7793" s="166"/>
      <c r="L7793" s="166"/>
    </row>
    <row r="7794">
      <c r="A7794" s="163" t="s">
        <v>222</v>
      </c>
      <c r="B7794" s="163"/>
      <c r="C7794" s="163"/>
      <c r="J7794" s="165"/>
      <c r="K7794" s="166"/>
      <c r="L7794" s="166"/>
    </row>
    <row r="7795">
      <c r="A7795" s="163" t="s">
        <v>222</v>
      </c>
      <c r="B7795" s="163"/>
      <c r="C7795" s="163"/>
      <c r="J7795" s="165"/>
      <c r="K7795" s="166"/>
      <c r="L7795" s="166"/>
    </row>
    <row r="7796">
      <c r="A7796" s="163" t="s">
        <v>222</v>
      </c>
      <c r="B7796" s="163"/>
      <c r="C7796" s="163"/>
      <c r="J7796" s="165"/>
      <c r="K7796" s="166"/>
      <c r="L7796" s="166"/>
    </row>
    <row r="7797">
      <c r="A7797" s="163" t="s">
        <v>222</v>
      </c>
      <c r="B7797" s="163"/>
      <c r="C7797" s="163"/>
      <c r="J7797" s="165"/>
      <c r="K7797" s="166"/>
      <c r="L7797" s="166"/>
    </row>
    <row r="7798">
      <c r="A7798" s="163" t="s">
        <v>222</v>
      </c>
      <c r="B7798" s="163"/>
      <c r="C7798" s="163"/>
      <c r="J7798" s="165"/>
      <c r="K7798" s="166"/>
      <c r="L7798" s="166"/>
    </row>
    <row r="7799">
      <c r="A7799" s="163" t="s">
        <v>222</v>
      </c>
      <c r="B7799" s="163"/>
      <c r="C7799" s="163"/>
      <c r="J7799" s="165"/>
      <c r="K7799" s="166"/>
      <c r="L7799" s="166"/>
    </row>
    <row r="7800">
      <c r="A7800" s="163" t="s">
        <v>222</v>
      </c>
      <c r="B7800" s="163"/>
      <c r="C7800" s="163"/>
      <c r="J7800" s="165"/>
      <c r="K7800" s="166"/>
      <c r="L7800" s="166"/>
    </row>
    <row r="7801">
      <c r="A7801" s="163" t="s">
        <v>222</v>
      </c>
      <c r="B7801" s="163"/>
      <c r="C7801" s="163"/>
      <c r="J7801" s="165"/>
      <c r="K7801" s="166"/>
      <c r="L7801" s="166"/>
    </row>
    <row r="7802">
      <c r="A7802" s="163" t="s">
        <v>222</v>
      </c>
      <c r="B7802" s="163"/>
      <c r="C7802" s="163"/>
      <c r="J7802" s="165"/>
      <c r="K7802" s="166"/>
      <c r="L7802" s="166"/>
    </row>
    <row r="7803">
      <c r="A7803" s="163" t="s">
        <v>222</v>
      </c>
      <c r="B7803" s="163"/>
      <c r="C7803" s="163"/>
      <c r="J7803" s="165"/>
      <c r="K7803" s="166"/>
      <c r="L7803" s="166"/>
    </row>
    <row r="7804">
      <c r="A7804" s="163" t="s">
        <v>222</v>
      </c>
      <c r="B7804" s="163"/>
      <c r="C7804" s="163"/>
      <c r="J7804" s="165"/>
      <c r="K7804" s="166"/>
      <c r="L7804" s="166"/>
    </row>
    <row r="7805">
      <c r="A7805" s="163" t="s">
        <v>222</v>
      </c>
      <c r="B7805" s="163"/>
      <c r="C7805" s="163"/>
      <c r="J7805" s="165"/>
      <c r="K7805" s="166"/>
      <c r="L7805" s="166"/>
    </row>
    <row r="7806">
      <c r="A7806" s="163" t="s">
        <v>222</v>
      </c>
      <c r="B7806" s="163"/>
      <c r="C7806" s="163"/>
      <c r="J7806" s="165"/>
      <c r="K7806" s="166"/>
      <c r="L7806" s="166"/>
    </row>
    <row r="7807">
      <c r="A7807" s="163" t="s">
        <v>222</v>
      </c>
      <c r="B7807" s="163"/>
      <c r="C7807" s="163"/>
      <c r="J7807" s="165"/>
      <c r="K7807" s="166"/>
      <c r="L7807" s="166"/>
    </row>
    <row r="7808">
      <c r="A7808" s="163" t="s">
        <v>222</v>
      </c>
      <c r="B7808" s="163"/>
      <c r="C7808" s="163"/>
      <c r="J7808" s="165"/>
      <c r="K7808" s="166"/>
      <c r="L7808" s="166"/>
    </row>
    <row r="7809">
      <c r="A7809" s="163" t="s">
        <v>222</v>
      </c>
      <c r="B7809" s="163"/>
      <c r="C7809" s="163"/>
      <c r="J7809" s="165"/>
      <c r="K7809" s="166"/>
      <c r="L7809" s="166"/>
    </row>
    <row r="7810">
      <c r="A7810" s="163" t="s">
        <v>222</v>
      </c>
      <c r="B7810" s="163"/>
      <c r="C7810" s="163"/>
      <c r="J7810" s="165"/>
      <c r="K7810" s="166"/>
      <c r="L7810" s="166"/>
    </row>
    <row r="7811">
      <c r="A7811" s="163" t="s">
        <v>222</v>
      </c>
      <c r="B7811" s="163"/>
      <c r="C7811" s="163"/>
      <c r="J7811" s="165"/>
      <c r="K7811" s="166"/>
      <c r="L7811" s="166"/>
    </row>
    <row r="7812">
      <c r="A7812" s="163" t="s">
        <v>222</v>
      </c>
      <c r="B7812" s="163"/>
      <c r="C7812" s="163"/>
      <c r="J7812" s="165"/>
      <c r="K7812" s="166"/>
      <c r="L7812" s="166"/>
    </row>
    <row r="7813">
      <c r="A7813" s="163" t="s">
        <v>222</v>
      </c>
      <c r="B7813" s="163"/>
      <c r="C7813" s="163"/>
      <c r="J7813" s="165"/>
      <c r="K7813" s="166"/>
      <c r="L7813" s="166"/>
    </row>
    <row r="7814">
      <c r="A7814" s="163" t="s">
        <v>222</v>
      </c>
      <c r="B7814" s="163"/>
      <c r="C7814" s="163"/>
      <c r="J7814" s="165"/>
      <c r="K7814" s="166"/>
      <c r="L7814" s="166"/>
    </row>
    <row r="7815">
      <c r="A7815" s="163" t="s">
        <v>222</v>
      </c>
      <c r="B7815" s="163"/>
      <c r="C7815" s="163"/>
      <c r="J7815" s="165"/>
      <c r="K7815" s="166"/>
      <c r="L7815" s="166"/>
    </row>
    <row r="7816">
      <c r="A7816" s="163" t="s">
        <v>222</v>
      </c>
      <c r="B7816" s="163"/>
      <c r="C7816" s="163"/>
      <c r="J7816" s="165"/>
      <c r="K7816" s="166"/>
      <c r="L7816" s="166"/>
    </row>
    <row r="7817">
      <c r="A7817" s="163" t="s">
        <v>222</v>
      </c>
      <c r="B7817" s="163"/>
      <c r="C7817" s="163"/>
      <c r="J7817" s="165"/>
      <c r="K7817" s="166"/>
      <c r="L7817" s="166"/>
    </row>
    <row r="7818">
      <c r="A7818" s="163" t="s">
        <v>222</v>
      </c>
      <c r="B7818" s="163"/>
      <c r="C7818" s="163"/>
      <c r="J7818" s="165"/>
      <c r="K7818" s="166"/>
      <c r="L7818" s="166"/>
    </row>
    <row r="7819">
      <c r="A7819" s="163" t="s">
        <v>222</v>
      </c>
      <c r="B7819" s="163"/>
      <c r="C7819" s="163"/>
      <c r="J7819" s="165"/>
      <c r="K7819" s="166"/>
      <c r="L7819" s="166"/>
    </row>
    <row r="7820">
      <c r="A7820" s="163" t="s">
        <v>222</v>
      </c>
      <c r="B7820" s="163"/>
      <c r="C7820" s="163"/>
      <c r="J7820" s="165"/>
      <c r="K7820" s="166"/>
      <c r="L7820" s="166"/>
    </row>
    <row r="7821">
      <c r="A7821" s="163" t="s">
        <v>222</v>
      </c>
      <c r="B7821" s="163"/>
      <c r="C7821" s="163"/>
      <c r="J7821" s="165"/>
      <c r="K7821" s="166"/>
      <c r="L7821" s="166"/>
    </row>
    <row r="7822">
      <c r="A7822" s="163" t="s">
        <v>222</v>
      </c>
      <c r="B7822" s="163"/>
      <c r="C7822" s="163"/>
      <c r="J7822" s="165"/>
      <c r="K7822" s="166"/>
      <c r="L7822" s="166"/>
    </row>
    <row r="7823">
      <c r="A7823" s="163" t="s">
        <v>222</v>
      </c>
      <c r="B7823" s="163"/>
      <c r="C7823" s="163"/>
      <c r="J7823" s="165"/>
      <c r="K7823" s="166"/>
      <c r="L7823" s="166"/>
    </row>
    <row r="7824">
      <c r="A7824" s="163" t="s">
        <v>222</v>
      </c>
      <c r="B7824" s="163"/>
      <c r="C7824" s="163"/>
      <c r="J7824" s="165"/>
      <c r="K7824" s="166"/>
      <c r="L7824" s="166"/>
    </row>
    <row r="7825">
      <c r="A7825" s="163" t="s">
        <v>222</v>
      </c>
      <c r="B7825" s="163"/>
      <c r="C7825" s="163"/>
      <c r="J7825" s="165"/>
      <c r="K7825" s="166"/>
      <c r="L7825" s="166"/>
    </row>
    <row r="7826">
      <c r="A7826" s="163" t="s">
        <v>222</v>
      </c>
      <c r="B7826" s="163"/>
      <c r="C7826" s="163"/>
      <c r="J7826" s="165"/>
      <c r="K7826" s="166"/>
      <c r="L7826" s="166"/>
    </row>
    <row r="7827">
      <c r="A7827" s="163" t="s">
        <v>222</v>
      </c>
      <c r="B7827" s="163"/>
      <c r="C7827" s="163"/>
      <c r="J7827" s="165"/>
      <c r="K7827" s="166"/>
      <c r="L7827" s="166"/>
    </row>
    <row r="7828">
      <c r="A7828" s="163" t="s">
        <v>222</v>
      </c>
      <c r="B7828" s="163"/>
      <c r="C7828" s="163"/>
      <c r="J7828" s="165"/>
      <c r="K7828" s="166"/>
      <c r="L7828" s="166"/>
    </row>
    <row r="7829">
      <c r="A7829" s="163" t="s">
        <v>222</v>
      </c>
      <c r="B7829" s="163"/>
      <c r="C7829" s="163"/>
      <c r="J7829" s="165"/>
      <c r="K7829" s="166"/>
      <c r="L7829" s="166"/>
    </row>
    <row r="7830">
      <c r="A7830" s="163" t="s">
        <v>222</v>
      </c>
      <c r="B7830" s="163"/>
      <c r="C7830" s="163"/>
      <c r="J7830" s="165"/>
      <c r="K7830" s="166"/>
      <c r="L7830" s="166"/>
    </row>
    <row r="7831">
      <c r="A7831" s="163" t="s">
        <v>222</v>
      </c>
      <c r="B7831" s="163"/>
      <c r="C7831" s="163"/>
      <c r="J7831" s="165"/>
      <c r="K7831" s="166"/>
      <c r="L7831" s="166"/>
    </row>
    <row r="7832">
      <c r="A7832" s="163" t="s">
        <v>222</v>
      </c>
      <c r="B7832" s="163"/>
      <c r="C7832" s="163"/>
      <c r="J7832" s="165"/>
      <c r="K7832" s="166"/>
      <c r="L7832" s="166"/>
    </row>
    <row r="7833">
      <c r="A7833" s="163" t="s">
        <v>222</v>
      </c>
      <c r="B7833" s="163"/>
      <c r="C7833" s="163"/>
      <c r="J7833" s="165"/>
      <c r="K7833" s="166"/>
      <c r="L7833" s="166"/>
    </row>
    <row r="7834">
      <c r="A7834" s="163" t="s">
        <v>222</v>
      </c>
      <c r="B7834" s="163"/>
      <c r="C7834" s="163"/>
      <c r="J7834" s="165"/>
      <c r="K7834" s="166"/>
      <c r="L7834" s="166"/>
    </row>
    <row r="7835">
      <c r="A7835" s="163" t="s">
        <v>222</v>
      </c>
      <c r="B7835" s="163"/>
      <c r="C7835" s="163"/>
      <c r="J7835" s="165"/>
      <c r="K7835" s="166"/>
      <c r="L7835" s="166"/>
    </row>
    <row r="7836">
      <c r="A7836" s="163" t="s">
        <v>222</v>
      </c>
      <c r="B7836" s="163"/>
      <c r="C7836" s="163"/>
      <c r="J7836" s="165"/>
      <c r="K7836" s="166"/>
      <c r="L7836" s="166"/>
    </row>
    <row r="7837">
      <c r="A7837" s="163" t="s">
        <v>222</v>
      </c>
      <c r="B7837" s="163"/>
      <c r="C7837" s="163"/>
      <c r="J7837" s="165"/>
      <c r="K7837" s="166"/>
      <c r="L7837" s="166"/>
    </row>
    <row r="7838">
      <c r="A7838" s="163" t="s">
        <v>222</v>
      </c>
      <c r="B7838" s="163"/>
      <c r="C7838" s="163"/>
      <c r="J7838" s="165"/>
      <c r="K7838" s="166"/>
      <c r="L7838" s="166"/>
    </row>
    <row r="7839">
      <c r="A7839" s="163" t="s">
        <v>222</v>
      </c>
      <c r="B7839" s="163"/>
      <c r="C7839" s="163"/>
      <c r="J7839" s="165"/>
      <c r="K7839" s="166"/>
      <c r="L7839" s="166"/>
    </row>
    <row r="7840">
      <c r="A7840" s="163" t="s">
        <v>222</v>
      </c>
      <c r="B7840" s="163"/>
      <c r="C7840" s="163"/>
      <c r="J7840" s="165"/>
      <c r="K7840" s="166"/>
      <c r="L7840" s="166"/>
    </row>
    <row r="7841">
      <c r="A7841" s="163" t="s">
        <v>222</v>
      </c>
      <c r="B7841" s="163"/>
      <c r="C7841" s="163"/>
      <c r="J7841" s="165"/>
      <c r="K7841" s="166"/>
      <c r="L7841" s="166"/>
    </row>
    <row r="7842">
      <c r="A7842" s="163" t="s">
        <v>222</v>
      </c>
      <c r="B7842" s="163"/>
      <c r="C7842" s="163"/>
      <c r="J7842" s="165"/>
      <c r="K7842" s="166"/>
      <c r="L7842" s="166"/>
    </row>
    <row r="7843">
      <c r="A7843" s="163" t="s">
        <v>222</v>
      </c>
      <c r="B7843" s="163"/>
      <c r="C7843" s="163"/>
      <c r="J7843" s="165"/>
      <c r="K7843" s="166"/>
      <c r="L7843" s="166"/>
    </row>
    <row r="7844">
      <c r="A7844" s="163" t="s">
        <v>222</v>
      </c>
      <c r="B7844" s="163"/>
      <c r="C7844" s="163"/>
      <c r="J7844" s="165"/>
      <c r="K7844" s="166"/>
      <c r="L7844" s="166"/>
    </row>
    <row r="7845">
      <c r="A7845" s="163" t="s">
        <v>222</v>
      </c>
      <c r="B7845" s="163"/>
      <c r="C7845" s="163"/>
      <c r="J7845" s="165"/>
      <c r="K7845" s="166"/>
      <c r="L7845" s="166"/>
    </row>
    <row r="7846">
      <c r="A7846" s="163" t="s">
        <v>222</v>
      </c>
      <c r="B7846" s="163"/>
      <c r="C7846" s="163"/>
      <c r="J7846" s="165"/>
      <c r="K7846" s="166"/>
      <c r="L7846" s="166"/>
    </row>
    <row r="7847">
      <c r="A7847" s="163" t="s">
        <v>222</v>
      </c>
      <c r="B7847" s="163"/>
      <c r="C7847" s="163"/>
      <c r="J7847" s="165"/>
      <c r="K7847" s="166"/>
      <c r="L7847" s="166"/>
    </row>
    <row r="7848">
      <c r="A7848" s="163" t="s">
        <v>222</v>
      </c>
      <c r="B7848" s="163"/>
      <c r="C7848" s="163"/>
      <c r="J7848" s="165"/>
      <c r="K7848" s="166"/>
      <c r="L7848" s="166"/>
    </row>
    <row r="7849">
      <c r="A7849" s="163" t="s">
        <v>222</v>
      </c>
      <c r="B7849" s="163"/>
      <c r="C7849" s="163"/>
      <c r="J7849" s="165"/>
      <c r="K7849" s="166"/>
      <c r="L7849" s="166"/>
    </row>
    <row r="7850">
      <c r="A7850" s="163" t="s">
        <v>222</v>
      </c>
      <c r="B7850" s="163"/>
      <c r="C7850" s="163"/>
      <c r="J7850" s="165"/>
      <c r="K7850" s="166"/>
      <c r="L7850" s="166"/>
    </row>
    <row r="7851">
      <c r="A7851" s="163" t="s">
        <v>222</v>
      </c>
      <c r="B7851" s="163"/>
      <c r="C7851" s="163"/>
      <c r="J7851" s="165"/>
      <c r="K7851" s="166"/>
      <c r="L7851" s="166"/>
    </row>
    <row r="7852">
      <c r="A7852" s="163" t="s">
        <v>222</v>
      </c>
      <c r="B7852" s="163"/>
      <c r="C7852" s="163"/>
      <c r="J7852" s="165"/>
      <c r="K7852" s="166"/>
      <c r="L7852" s="166"/>
    </row>
    <row r="7853">
      <c r="A7853" s="163" t="s">
        <v>222</v>
      </c>
      <c r="B7853" s="163"/>
      <c r="C7853" s="163"/>
      <c r="J7853" s="165"/>
      <c r="K7853" s="166"/>
      <c r="L7853" s="166"/>
    </row>
    <row r="7854">
      <c r="A7854" s="163" t="s">
        <v>222</v>
      </c>
      <c r="B7854" s="163"/>
      <c r="C7854" s="163"/>
      <c r="J7854" s="165"/>
      <c r="K7854" s="166"/>
      <c r="L7854" s="166"/>
    </row>
    <row r="7855">
      <c r="A7855" s="163" t="s">
        <v>222</v>
      </c>
      <c r="B7855" s="163"/>
      <c r="C7855" s="163"/>
      <c r="J7855" s="165"/>
      <c r="K7855" s="166"/>
      <c r="L7855" s="166"/>
    </row>
    <row r="7856">
      <c r="A7856" s="163" t="s">
        <v>222</v>
      </c>
      <c r="B7856" s="163"/>
      <c r="C7856" s="163"/>
      <c r="J7856" s="165"/>
      <c r="K7856" s="166"/>
      <c r="L7856" s="166"/>
    </row>
    <row r="7857">
      <c r="A7857" s="163" t="s">
        <v>222</v>
      </c>
      <c r="B7857" s="163"/>
      <c r="C7857" s="163"/>
      <c r="J7857" s="165"/>
      <c r="K7857" s="166"/>
      <c r="L7857" s="166"/>
    </row>
    <row r="7858">
      <c r="A7858" s="163" t="s">
        <v>222</v>
      </c>
      <c r="B7858" s="163"/>
      <c r="C7858" s="163"/>
      <c r="J7858" s="165"/>
      <c r="K7858" s="166"/>
      <c r="L7858" s="166"/>
    </row>
    <row r="7859">
      <c r="A7859" s="163" t="s">
        <v>222</v>
      </c>
      <c r="B7859" s="163"/>
      <c r="C7859" s="163"/>
      <c r="J7859" s="165"/>
      <c r="K7859" s="166"/>
      <c r="L7859" s="166"/>
    </row>
    <row r="7860">
      <c r="A7860" s="163" t="s">
        <v>222</v>
      </c>
      <c r="B7860" s="163"/>
      <c r="C7860" s="163"/>
      <c r="J7860" s="165"/>
      <c r="K7860" s="166"/>
      <c r="L7860" s="166"/>
    </row>
    <row r="7861">
      <c r="A7861" s="163" t="s">
        <v>222</v>
      </c>
      <c r="B7861" s="163"/>
      <c r="C7861" s="163"/>
      <c r="J7861" s="165"/>
      <c r="K7861" s="166"/>
      <c r="L7861" s="166"/>
    </row>
    <row r="7862">
      <c r="A7862" s="163" t="s">
        <v>222</v>
      </c>
      <c r="B7862" s="163"/>
      <c r="C7862" s="163"/>
      <c r="J7862" s="165"/>
      <c r="K7862" s="166"/>
      <c r="L7862" s="166"/>
    </row>
    <row r="7863">
      <c r="A7863" s="163" t="s">
        <v>222</v>
      </c>
      <c r="B7863" s="163"/>
      <c r="C7863" s="163"/>
      <c r="J7863" s="165"/>
      <c r="K7863" s="166"/>
      <c r="L7863" s="166"/>
    </row>
    <row r="7864">
      <c r="A7864" s="163" t="s">
        <v>222</v>
      </c>
      <c r="B7864" s="163"/>
      <c r="C7864" s="163"/>
      <c r="J7864" s="165"/>
      <c r="K7864" s="166"/>
      <c r="L7864" s="166"/>
    </row>
    <row r="7865">
      <c r="A7865" s="163" t="s">
        <v>222</v>
      </c>
      <c r="B7865" s="163"/>
      <c r="C7865" s="163"/>
      <c r="J7865" s="165"/>
      <c r="K7865" s="166"/>
      <c r="L7865" s="166"/>
    </row>
    <row r="7866">
      <c r="A7866" s="163" t="s">
        <v>222</v>
      </c>
      <c r="B7866" s="163"/>
      <c r="C7866" s="163"/>
      <c r="J7866" s="165"/>
      <c r="K7866" s="166"/>
      <c r="L7866" s="166"/>
    </row>
    <row r="7867">
      <c r="A7867" s="163" t="s">
        <v>222</v>
      </c>
      <c r="B7867" s="163"/>
      <c r="C7867" s="163"/>
      <c r="J7867" s="165"/>
      <c r="K7867" s="166"/>
      <c r="L7867" s="166"/>
    </row>
    <row r="7868">
      <c r="A7868" s="163" t="s">
        <v>222</v>
      </c>
      <c r="B7868" s="163"/>
      <c r="C7868" s="163"/>
      <c r="J7868" s="165"/>
      <c r="K7868" s="166"/>
      <c r="L7868" s="166"/>
    </row>
    <row r="7869">
      <c r="A7869" s="163" t="s">
        <v>222</v>
      </c>
      <c r="B7869" s="163"/>
      <c r="C7869" s="163"/>
      <c r="J7869" s="165"/>
      <c r="K7869" s="166"/>
      <c r="L7869" s="166"/>
    </row>
    <row r="7870">
      <c r="A7870" s="163" t="s">
        <v>222</v>
      </c>
      <c r="B7870" s="163"/>
      <c r="C7870" s="163"/>
      <c r="J7870" s="165"/>
      <c r="K7870" s="166"/>
      <c r="L7870" s="166"/>
    </row>
    <row r="7871">
      <c r="A7871" s="163" t="s">
        <v>222</v>
      </c>
      <c r="B7871" s="163"/>
      <c r="C7871" s="163"/>
      <c r="J7871" s="165"/>
      <c r="K7871" s="166"/>
      <c r="L7871" s="166"/>
    </row>
    <row r="7872">
      <c r="A7872" s="163" t="s">
        <v>222</v>
      </c>
      <c r="B7872" s="163"/>
      <c r="C7872" s="163"/>
      <c r="J7872" s="165"/>
      <c r="K7872" s="166"/>
      <c r="L7872" s="166"/>
    </row>
    <row r="7873">
      <c r="A7873" s="163" t="s">
        <v>222</v>
      </c>
      <c r="B7873" s="163"/>
      <c r="C7873" s="163"/>
      <c r="J7873" s="165"/>
      <c r="K7873" s="166"/>
      <c r="L7873" s="166"/>
    </row>
    <row r="7874">
      <c r="A7874" s="163" t="s">
        <v>222</v>
      </c>
      <c r="B7874" s="163"/>
      <c r="C7874" s="163"/>
      <c r="J7874" s="165"/>
      <c r="K7874" s="166"/>
      <c r="L7874" s="166"/>
    </row>
    <row r="7875">
      <c r="A7875" s="163" t="s">
        <v>222</v>
      </c>
      <c r="B7875" s="163"/>
      <c r="C7875" s="163"/>
      <c r="J7875" s="165"/>
      <c r="K7875" s="166"/>
      <c r="L7875" s="166"/>
    </row>
    <row r="7876">
      <c r="A7876" s="163" t="s">
        <v>222</v>
      </c>
      <c r="B7876" s="163"/>
      <c r="C7876" s="163"/>
      <c r="J7876" s="165"/>
      <c r="K7876" s="166"/>
      <c r="L7876" s="166"/>
    </row>
    <row r="7877">
      <c r="A7877" s="163" t="s">
        <v>222</v>
      </c>
      <c r="B7877" s="163"/>
      <c r="C7877" s="163"/>
      <c r="J7877" s="165"/>
      <c r="K7877" s="166"/>
      <c r="L7877" s="166"/>
    </row>
    <row r="7878">
      <c r="A7878" s="163" t="s">
        <v>222</v>
      </c>
      <c r="B7878" s="163"/>
      <c r="C7878" s="163"/>
      <c r="J7878" s="165"/>
      <c r="K7878" s="166"/>
      <c r="L7878" s="166"/>
    </row>
    <row r="7879">
      <c r="A7879" s="163" t="s">
        <v>222</v>
      </c>
      <c r="B7879" s="163"/>
      <c r="C7879" s="163"/>
      <c r="J7879" s="165"/>
      <c r="K7879" s="166"/>
      <c r="L7879" s="166"/>
    </row>
    <row r="7880">
      <c r="A7880" s="163" t="s">
        <v>222</v>
      </c>
      <c r="B7880" s="163"/>
      <c r="C7880" s="163"/>
      <c r="J7880" s="165"/>
      <c r="K7880" s="166"/>
      <c r="L7880" s="166"/>
    </row>
    <row r="7881">
      <c r="A7881" s="163" t="s">
        <v>222</v>
      </c>
      <c r="B7881" s="163"/>
      <c r="C7881" s="163"/>
      <c r="J7881" s="165"/>
      <c r="K7881" s="166"/>
      <c r="L7881" s="166"/>
    </row>
    <row r="7882">
      <c r="A7882" s="163" t="s">
        <v>222</v>
      </c>
      <c r="B7882" s="163"/>
      <c r="C7882" s="163"/>
      <c r="J7882" s="165"/>
      <c r="K7882" s="166"/>
      <c r="L7882" s="166"/>
    </row>
    <row r="7883">
      <c r="A7883" s="163" t="s">
        <v>222</v>
      </c>
      <c r="B7883" s="163"/>
      <c r="C7883" s="163"/>
      <c r="J7883" s="165"/>
      <c r="K7883" s="166"/>
      <c r="L7883" s="166"/>
    </row>
    <row r="7884">
      <c r="A7884" s="163" t="s">
        <v>222</v>
      </c>
      <c r="B7884" s="163"/>
      <c r="C7884" s="163"/>
      <c r="J7884" s="165"/>
      <c r="K7884" s="166"/>
      <c r="L7884" s="166"/>
    </row>
    <row r="7885">
      <c r="A7885" s="163" t="s">
        <v>222</v>
      </c>
      <c r="B7885" s="163"/>
      <c r="C7885" s="163"/>
      <c r="J7885" s="165"/>
      <c r="K7885" s="166"/>
      <c r="L7885" s="166"/>
    </row>
    <row r="7886">
      <c r="A7886" s="163" t="s">
        <v>222</v>
      </c>
      <c r="B7886" s="163"/>
      <c r="C7886" s="163"/>
      <c r="J7886" s="165"/>
      <c r="K7886" s="166"/>
      <c r="L7886" s="166"/>
    </row>
    <row r="7887">
      <c r="A7887" s="163" t="s">
        <v>222</v>
      </c>
      <c r="B7887" s="163"/>
      <c r="C7887" s="163"/>
      <c r="J7887" s="165"/>
      <c r="K7887" s="166"/>
      <c r="L7887" s="166"/>
    </row>
    <row r="7888">
      <c r="A7888" s="163" t="s">
        <v>222</v>
      </c>
      <c r="B7888" s="163"/>
      <c r="C7888" s="163"/>
      <c r="J7888" s="165"/>
      <c r="K7888" s="166"/>
      <c r="L7888" s="166"/>
    </row>
    <row r="7889">
      <c r="A7889" s="163" t="s">
        <v>222</v>
      </c>
      <c r="B7889" s="163"/>
      <c r="C7889" s="163"/>
      <c r="J7889" s="165"/>
      <c r="K7889" s="166"/>
      <c r="L7889" s="166"/>
    </row>
    <row r="7890">
      <c r="A7890" s="163" t="s">
        <v>222</v>
      </c>
      <c r="B7890" s="163"/>
      <c r="C7890" s="163"/>
      <c r="J7890" s="165"/>
      <c r="K7890" s="166"/>
      <c r="L7890" s="166"/>
    </row>
    <row r="7891">
      <c r="A7891" s="163" t="s">
        <v>222</v>
      </c>
      <c r="B7891" s="163"/>
      <c r="C7891" s="163"/>
      <c r="J7891" s="165"/>
      <c r="K7891" s="166"/>
      <c r="L7891" s="166"/>
    </row>
    <row r="7892">
      <c r="A7892" s="163" t="s">
        <v>222</v>
      </c>
      <c r="B7892" s="163"/>
      <c r="C7892" s="163"/>
      <c r="J7892" s="165"/>
      <c r="K7892" s="166"/>
      <c r="L7892" s="166"/>
    </row>
    <row r="7893">
      <c r="A7893" s="163" t="s">
        <v>222</v>
      </c>
      <c r="B7893" s="163"/>
      <c r="C7893" s="163"/>
      <c r="J7893" s="165"/>
      <c r="K7893" s="166"/>
      <c r="L7893" s="166"/>
    </row>
    <row r="7894">
      <c r="A7894" s="163" t="s">
        <v>222</v>
      </c>
      <c r="B7894" s="163"/>
      <c r="C7894" s="163"/>
      <c r="J7894" s="165"/>
      <c r="K7894" s="166"/>
      <c r="L7894" s="166"/>
    </row>
    <row r="7895">
      <c r="A7895" s="163" t="s">
        <v>222</v>
      </c>
      <c r="B7895" s="163"/>
      <c r="C7895" s="163"/>
      <c r="J7895" s="165"/>
      <c r="K7895" s="166"/>
      <c r="L7895" s="166"/>
    </row>
    <row r="7896">
      <c r="A7896" s="163" t="s">
        <v>222</v>
      </c>
      <c r="B7896" s="163"/>
      <c r="C7896" s="163"/>
      <c r="J7896" s="165"/>
      <c r="K7896" s="166"/>
      <c r="L7896" s="166"/>
    </row>
    <row r="7897">
      <c r="A7897" s="163" t="s">
        <v>222</v>
      </c>
      <c r="B7897" s="163"/>
      <c r="C7897" s="163"/>
      <c r="J7897" s="165"/>
      <c r="K7897" s="166"/>
      <c r="L7897" s="166"/>
    </row>
    <row r="7898">
      <c r="A7898" s="163" t="s">
        <v>222</v>
      </c>
      <c r="B7898" s="163"/>
      <c r="C7898" s="163"/>
      <c r="J7898" s="165"/>
      <c r="K7898" s="166"/>
      <c r="L7898" s="166"/>
    </row>
    <row r="7899">
      <c r="A7899" s="163" t="s">
        <v>222</v>
      </c>
      <c r="B7899" s="163"/>
      <c r="C7899" s="163"/>
      <c r="J7899" s="165"/>
      <c r="K7899" s="166"/>
      <c r="L7899" s="166"/>
    </row>
    <row r="7900">
      <c r="A7900" s="163" t="s">
        <v>222</v>
      </c>
      <c r="B7900" s="163"/>
      <c r="C7900" s="163"/>
      <c r="J7900" s="165"/>
      <c r="K7900" s="166"/>
      <c r="L7900" s="166"/>
    </row>
    <row r="7901">
      <c r="A7901" s="163" t="s">
        <v>222</v>
      </c>
      <c r="B7901" s="163"/>
      <c r="C7901" s="163"/>
      <c r="J7901" s="165"/>
      <c r="K7901" s="166"/>
      <c r="L7901" s="166"/>
    </row>
    <row r="7902">
      <c r="A7902" s="163" t="s">
        <v>222</v>
      </c>
      <c r="B7902" s="163"/>
      <c r="C7902" s="163"/>
      <c r="J7902" s="165"/>
      <c r="K7902" s="166"/>
      <c r="L7902" s="166"/>
    </row>
    <row r="7903">
      <c r="A7903" s="163" t="s">
        <v>222</v>
      </c>
      <c r="B7903" s="163"/>
      <c r="C7903" s="163"/>
      <c r="J7903" s="165"/>
      <c r="K7903" s="166"/>
      <c r="L7903" s="166"/>
    </row>
    <row r="7904">
      <c r="A7904" s="163" t="s">
        <v>222</v>
      </c>
      <c r="B7904" s="163"/>
      <c r="C7904" s="163"/>
      <c r="J7904" s="165"/>
      <c r="K7904" s="166"/>
      <c r="L7904" s="166"/>
    </row>
    <row r="7905">
      <c r="A7905" s="163" t="s">
        <v>222</v>
      </c>
      <c r="B7905" s="163"/>
      <c r="C7905" s="163"/>
      <c r="J7905" s="165"/>
      <c r="K7905" s="166"/>
      <c r="L7905" s="166"/>
    </row>
    <row r="7906">
      <c r="A7906" s="163" t="s">
        <v>222</v>
      </c>
      <c r="B7906" s="163"/>
      <c r="C7906" s="163"/>
      <c r="J7906" s="165"/>
      <c r="K7906" s="166"/>
      <c r="L7906" s="166"/>
    </row>
    <row r="7907">
      <c r="A7907" s="163" t="s">
        <v>222</v>
      </c>
      <c r="B7907" s="163"/>
      <c r="C7907" s="163"/>
      <c r="J7907" s="165"/>
      <c r="K7907" s="166"/>
      <c r="L7907" s="166"/>
    </row>
    <row r="7908">
      <c r="A7908" s="163" t="s">
        <v>222</v>
      </c>
      <c r="B7908" s="163"/>
      <c r="C7908" s="163"/>
      <c r="J7908" s="165"/>
      <c r="K7908" s="166"/>
      <c r="L7908" s="166"/>
    </row>
    <row r="7909">
      <c r="A7909" s="163" t="s">
        <v>222</v>
      </c>
      <c r="B7909" s="163"/>
      <c r="C7909" s="163"/>
      <c r="J7909" s="165"/>
      <c r="K7909" s="166"/>
      <c r="L7909" s="166"/>
    </row>
    <row r="7910">
      <c r="A7910" s="163" t="s">
        <v>222</v>
      </c>
      <c r="B7910" s="163"/>
      <c r="C7910" s="163"/>
      <c r="J7910" s="165"/>
      <c r="K7910" s="166"/>
      <c r="L7910" s="166"/>
    </row>
    <row r="7911">
      <c r="A7911" s="163" t="s">
        <v>222</v>
      </c>
      <c r="B7911" s="163"/>
      <c r="C7911" s="163"/>
      <c r="J7911" s="165"/>
      <c r="K7911" s="166"/>
      <c r="L7911" s="166"/>
    </row>
    <row r="7912">
      <c r="A7912" s="163" t="s">
        <v>222</v>
      </c>
      <c r="B7912" s="163"/>
      <c r="C7912" s="163"/>
      <c r="J7912" s="165"/>
      <c r="K7912" s="166"/>
      <c r="L7912" s="166"/>
    </row>
    <row r="7913">
      <c r="A7913" s="163" t="s">
        <v>222</v>
      </c>
      <c r="B7913" s="163"/>
      <c r="C7913" s="163"/>
      <c r="J7913" s="165"/>
      <c r="K7913" s="166"/>
      <c r="L7913" s="166"/>
    </row>
    <row r="7914">
      <c r="A7914" s="163" t="s">
        <v>222</v>
      </c>
      <c r="B7914" s="163"/>
      <c r="C7914" s="163"/>
      <c r="J7914" s="165"/>
      <c r="K7914" s="166"/>
      <c r="L7914" s="166"/>
    </row>
    <row r="7915">
      <c r="A7915" s="163" t="s">
        <v>222</v>
      </c>
      <c r="B7915" s="163"/>
      <c r="C7915" s="163"/>
      <c r="J7915" s="165"/>
      <c r="K7915" s="166"/>
      <c r="L7915" s="166"/>
    </row>
    <row r="7916">
      <c r="A7916" s="163" t="s">
        <v>222</v>
      </c>
      <c r="B7916" s="163"/>
      <c r="C7916" s="163"/>
      <c r="J7916" s="165"/>
      <c r="K7916" s="166"/>
      <c r="L7916" s="166"/>
    </row>
    <row r="7917">
      <c r="A7917" s="163" t="s">
        <v>222</v>
      </c>
      <c r="B7917" s="163"/>
      <c r="C7917" s="163"/>
      <c r="J7917" s="165"/>
      <c r="K7917" s="166"/>
      <c r="L7917" s="166"/>
    </row>
    <row r="7918">
      <c r="A7918" s="163" t="s">
        <v>222</v>
      </c>
      <c r="B7918" s="163"/>
      <c r="C7918" s="163"/>
      <c r="J7918" s="165"/>
      <c r="K7918" s="166"/>
      <c r="L7918" s="166"/>
    </row>
    <row r="7919">
      <c r="A7919" s="163" t="s">
        <v>222</v>
      </c>
      <c r="B7919" s="163"/>
      <c r="C7919" s="163"/>
      <c r="J7919" s="165"/>
      <c r="K7919" s="166"/>
      <c r="L7919" s="166"/>
    </row>
    <row r="7920">
      <c r="A7920" s="163" t="s">
        <v>222</v>
      </c>
      <c r="B7920" s="163"/>
      <c r="C7920" s="163"/>
      <c r="J7920" s="165"/>
      <c r="K7920" s="166"/>
      <c r="L7920" s="166"/>
    </row>
    <row r="7921">
      <c r="A7921" s="163" t="s">
        <v>222</v>
      </c>
      <c r="B7921" s="163"/>
      <c r="C7921" s="163"/>
      <c r="J7921" s="165"/>
      <c r="K7921" s="166"/>
      <c r="L7921" s="166"/>
    </row>
    <row r="7922">
      <c r="A7922" s="163" t="s">
        <v>222</v>
      </c>
      <c r="B7922" s="163"/>
      <c r="C7922" s="163"/>
      <c r="J7922" s="165"/>
      <c r="K7922" s="166"/>
      <c r="L7922" s="166"/>
    </row>
    <row r="7923">
      <c r="A7923" s="163" t="s">
        <v>222</v>
      </c>
      <c r="B7923" s="163"/>
      <c r="C7923" s="163"/>
      <c r="J7923" s="165"/>
      <c r="K7923" s="166"/>
      <c r="L7923" s="166"/>
    </row>
    <row r="7924">
      <c r="A7924" s="163" t="s">
        <v>222</v>
      </c>
      <c r="B7924" s="163"/>
      <c r="C7924" s="163"/>
      <c r="J7924" s="165"/>
      <c r="K7924" s="166"/>
      <c r="L7924" s="166"/>
    </row>
    <row r="7925">
      <c r="A7925" s="163" t="s">
        <v>222</v>
      </c>
      <c r="B7925" s="163"/>
      <c r="C7925" s="163"/>
      <c r="J7925" s="165"/>
      <c r="K7925" s="166"/>
      <c r="L7925" s="166"/>
    </row>
    <row r="7926">
      <c r="A7926" s="163" t="s">
        <v>222</v>
      </c>
      <c r="B7926" s="163"/>
      <c r="C7926" s="163"/>
      <c r="J7926" s="165"/>
      <c r="K7926" s="166"/>
      <c r="L7926" s="166"/>
    </row>
    <row r="7927">
      <c r="A7927" s="163" t="s">
        <v>222</v>
      </c>
      <c r="B7927" s="163"/>
      <c r="C7927" s="163"/>
      <c r="J7927" s="165"/>
      <c r="K7927" s="166"/>
      <c r="L7927" s="166"/>
    </row>
    <row r="7928">
      <c r="A7928" s="163" t="s">
        <v>222</v>
      </c>
      <c r="B7928" s="163"/>
      <c r="C7928" s="163"/>
      <c r="J7928" s="165"/>
      <c r="K7928" s="166"/>
      <c r="L7928" s="166"/>
    </row>
    <row r="7929">
      <c r="A7929" s="163" t="s">
        <v>222</v>
      </c>
      <c r="B7929" s="163"/>
      <c r="C7929" s="163"/>
      <c r="J7929" s="165"/>
      <c r="K7929" s="166"/>
      <c r="L7929" s="166"/>
    </row>
    <row r="7930">
      <c r="A7930" s="163" t="s">
        <v>222</v>
      </c>
      <c r="B7930" s="163"/>
      <c r="C7930" s="163"/>
      <c r="J7930" s="165"/>
      <c r="K7930" s="166"/>
      <c r="L7930" s="166"/>
    </row>
    <row r="7931">
      <c r="A7931" s="163" t="s">
        <v>222</v>
      </c>
      <c r="B7931" s="163"/>
      <c r="C7931" s="163"/>
      <c r="J7931" s="165"/>
      <c r="K7931" s="166"/>
      <c r="L7931" s="166"/>
    </row>
    <row r="7932">
      <c r="A7932" s="163" t="s">
        <v>222</v>
      </c>
      <c r="B7932" s="163"/>
      <c r="C7932" s="163"/>
      <c r="J7932" s="165"/>
      <c r="K7932" s="166"/>
      <c r="L7932" s="166"/>
    </row>
    <row r="7933">
      <c r="A7933" s="163" t="s">
        <v>222</v>
      </c>
      <c r="B7933" s="163"/>
      <c r="C7933" s="163"/>
      <c r="J7933" s="165"/>
      <c r="K7933" s="166"/>
      <c r="L7933" s="166"/>
    </row>
    <row r="7934">
      <c r="A7934" s="163" t="s">
        <v>222</v>
      </c>
      <c r="B7934" s="163"/>
      <c r="C7934" s="163"/>
      <c r="J7934" s="165"/>
      <c r="K7934" s="166"/>
      <c r="L7934" s="166"/>
    </row>
    <row r="7935">
      <c r="A7935" s="163" t="s">
        <v>222</v>
      </c>
      <c r="B7935" s="163"/>
      <c r="C7935" s="163"/>
      <c r="J7935" s="165"/>
      <c r="K7935" s="166"/>
      <c r="L7935" s="166"/>
    </row>
    <row r="7936">
      <c r="A7936" s="163" t="s">
        <v>222</v>
      </c>
      <c r="B7936" s="163"/>
      <c r="C7936" s="163"/>
      <c r="J7936" s="165"/>
      <c r="K7936" s="166"/>
      <c r="L7936" s="166"/>
    </row>
    <row r="7937">
      <c r="A7937" s="163" t="s">
        <v>222</v>
      </c>
      <c r="B7937" s="163"/>
      <c r="C7937" s="163"/>
      <c r="J7937" s="165"/>
      <c r="K7937" s="166"/>
      <c r="L7937" s="166"/>
    </row>
    <row r="7938">
      <c r="A7938" s="163" t="s">
        <v>222</v>
      </c>
      <c r="B7938" s="163"/>
      <c r="C7938" s="163"/>
      <c r="J7938" s="165"/>
      <c r="K7938" s="166"/>
      <c r="L7938" s="166"/>
    </row>
    <row r="7939">
      <c r="A7939" s="163" t="s">
        <v>222</v>
      </c>
      <c r="B7939" s="163"/>
      <c r="C7939" s="163"/>
      <c r="J7939" s="165"/>
      <c r="K7939" s="166"/>
      <c r="L7939" s="166"/>
    </row>
    <row r="7940">
      <c r="A7940" s="163" t="s">
        <v>222</v>
      </c>
      <c r="B7940" s="163"/>
      <c r="C7940" s="163"/>
      <c r="J7940" s="165"/>
      <c r="K7940" s="166"/>
      <c r="L7940" s="166"/>
    </row>
    <row r="7941">
      <c r="A7941" s="163" t="s">
        <v>222</v>
      </c>
      <c r="B7941" s="163"/>
      <c r="C7941" s="163"/>
      <c r="J7941" s="165"/>
      <c r="K7941" s="166"/>
      <c r="L7941" s="166"/>
    </row>
    <row r="7942">
      <c r="A7942" s="163" t="s">
        <v>222</v>
      </c>
      <c r="B7942" s="163"/>
      <c r="C7942" s="163"/>
      <c r="J7942" s="165"/>
      <c r="K7942" s="166"/>
      <c r="L7942" s="166"/>
    </row>
    <row r="7943">
      <c r="A7943" s="163" t="s">
        <v>222</v>
      </c>
      <c r="B7943" s="163"/>
      <c r="C7943" s="163"/>
      <c r="J7943" s="165"/>
      <c r="K7943" s="166"/>
      <c r="L7943" s="166"/>
    </row>
    <row r="7944">
      <c r="A7944" s="163" t="s">
        <v>222</v>
      </c>
      <c r="B7944" s="163"/>
      <c r="C7944" s="163"/>
      <c r="J7944" s="165"/>
      <c r="K7944" s="166"/>
      <c r="L7944" s="166"/>
    </row>
    <row r="7945">
      <c r="A7945" s="163" t="s">
        <v>222</v>
      </c>
      <c r="B7945" s="163"/>
      <c r="C7945" s="163"/>
      <c r="J7945" s="165"/>
      <c r="K7945" s="166"/>
      <c r="L7945" s="166"/>
    </row>
    <row r="7946">
      <c r="A7946" s="163" t="s">
        <v>222</v>
      </c>
      <c r="B7946" s="163"/>
      <c r="C7946" s="163"/>
      <c r="J7946" s="165"/>
      <c r="K7946" s="166"/>
      <c r="L7946" s="166"/>
    </row>
    <row r="7947">
      <c r="A7947" s="163" t="s">
        <v>222</v>
      </c>
      <c r="B7947" s="163"/>
      <c r="C7947" s="163"/>
      <c r="J7947" s="165"/>
      <c r="K7947" s="166"/>
      <c r="L7947" s="166"/>
    </row>
    <row r="7948">
      <c r="A7948" s="163" t="s">
        <v>222</v>
      </c>
      <c r="B7948" s="163"/>
      <c r="C7948" s="163"/>
      <c r="J7948" s="165"/>
      <c r="K7948" s="166"/>
      <c r="L7948" s="166"/>
    </row>
    <row r="7949">
      <c r="A7949" s="163" t="s">
        <v>222</v>
      </c>
      <c r="B7949" s="163"/>
      <c r="C7949" s="163"/>
      <c r="J7949" s="165"/>
      <c r="K7949" s="166"/>
      <c r="L7949" s="166"/>
    </row>
    <row r="7950">
      <c r="A7950" s="163" t="s">
        <v>222</v>
      </c>
      <c r="B7950" s="163"/>
      <c r="C7950" s="163"/>
      <c r="J7950" s="165"/>
      <c r="K7950" s="166"/>
      <c r="L7950" s="166"/>
    </row>
    <row r="7951">
      <c r="A7951" s="163" t="s">
        <v>222</v>
      </c>
      <c r="B7951" s="163"/>
      <c r="C7951" s="163"/>
      <c r="J7951" s="165"/>
      <c r="K7951" s="166"/>
      <c r="L7951" s="166"/>
    </row>
    <row r="7952">
      <c r="A7952" s="163" t="s">
        <v>222</v>
      </c>
      <c r="B7952" s="163"/>
      <c r="C7952" s="163"/>
      <c r="J7952" s="165"/>
      <c r="K7952" s="166"/>
      <c r="L7952" s="166"/>
    </row>
    <row r="7953">
      <c r="A7953" s="163" t="s">
        <v>222</v>
      </c>
      <c r="B7953" s="163"/>
      <c r="C7953" s="163"/>
      <c r="J7953" s="165"/>
      <c r="K7953" s="166"/>
      <c r="L7953" s="166"/>
    </row>
    <row r="7954">
      <c r="A7954" s="163" t="s">
        <v>222</v>
      </c>
      <c r="B7954" s="163"/>
      <c r="C7954" s="163"/>
      <c r="J7954" s="165"/>
      <c r="K7954" s="166"/>
      <c r="L7954" s="166"/>
    </row>
    <row r="7955">
      <c r="A7955" s="163" t="s">
        <v>222</v>
      </c>
      <c r="B7955" s="163"/>
      <c r="C7955" s="163"/>
      <c r="J7955" s="165"/>
      <c r="K7955" s="166"/>
      <c r="L7955" s="166"/>
    </row>
    <row r="7956">
      <c r="A7956" s="163" t="s">
        <v>222</v>
      </c>
      <c r="B7956" s="163"/>
      <c r="C7956" s="163"/>
      <c r="J7956" s="165"/>
      <c r="K7956" s="166"/>
      <c r="L7956" s="166"/>
    </row>
    <row r="7957">
      <c r="A7957" s="163" t="s">
        <v>222</v>
      </c>
      <c r="B7957" s="163"/>
      <c r="C7957" s="163"/>
      <c r="J7957" s="165"/>
      <c r="K7957" s="166"/>
      <c r="L7957" s="166"/>
    </row>
    <row r="7958">
      <c r="A7958" s="163" t="s">
        <v>222</v>
      </c>
      <c r="B7958" s="163"/>
      <c r="C7958" s="163"/>
      <c r="J7958" s="165"/>
      <c r="K7958" s="166"/>
      <c r="L7958" s="166"/>
    </row>
    <row r="7959">
      <c r="A7959" s="163" t="s">
        <v>222</v>
      </c>
      <c r="B7959" s="163"/>
      <c r="C7959" s="163"/>
      <c r="J7959" s="165"/>
      <c r="K7959" s="166"/>
      <c r="L7959" s="166"/>
    </row>
    <row r="7960">
      <c r="A7960" s="163" t="s">
        <v>222</v>
      </c>
      <c r="B7960" s="163"/>
      <c r="C7960" s="163"/>
      <c r="J7960" s="165"/>
      <c r="K7960" s="166"/>
      <c r="L7960" s="166"/>
    </row>
    <row r="7961">
      <c r="A7961" s="163" t="s">
        <v>222</v>
      </c>
      <c r="B7961" s="163"/>
      <c r="C7961" s="163"/>
      <c r="J7961" s="165"/>
      <c r="K7961" s="166"/>
      <c r="L7961" s="166"/>
    </row>
    <row r="7962">
      <c r="A7962" s="163" t="s">
        <v>222</v>
      </c>
      <c r="B7962" s="163"/>
      <c r="C7962" s="163"/>
      <c r="J7962" s="165"/>
      <c r="K7962" s="166"/>
      <c r="L7962" s="166"/>
    </row>
    <row r="7963">
      <c r="A7963" s="163" t="s">
        <v>222</v>
      </c>
      <c r="B7963" s="163"/>
      <c r="C7963" s="163"/>
      <c r="J7963" s="165"/>
      <c r="K7963" s="166"/>
      <c r="L7963" s="166"/>
    </row>
    <row r="7964">
      <c r="A7964" s="163" t="s">
        <v>222</v>
      </c>
      <c r="B7964" s="163"/>
      <c r="C7964" s="163"/>
      <c r="J7964" s="165"/>
      <c r="K7964" s="166"/>
      <c r="L7964" s="166"/>
    </row>
    <row r="7965">
      <c r="A7965" s="163" t="s">
        <v>222</v>
      </c>
      <c r="B7965" s="163"/>
      <c r="C7965" s="163"/>
      <c r="J7965" s="165"/>
      <c r="K7965" s="166"/>
      <c r="L7965" s="166"/>
    </row>
    <row r="7966">
      <c r="A7966" s="163" t="s">
        <v>222</v>
      </c>
      <c r="B7966" s="163"/>
      <c r="C7966" s="163"/>
      <c r="J7966" s="165"/>
      <c r="K7966" s="166"/>
      <c r="L7966" s="166"/>
    </row>
    <row r="7967">
      <c r="A7967" s="163" t="s">
        <v>222</v>
      </c>
      <c r="B7967" s="163"/>
      <c r="C7967" s="163"/>
      <c r="J7967" s="165"/>
      <c r="K7967" s="166"/>
      <c r="L7967" s="166"/>
    </row>
    <row r="7968">
      <c r="A7968" s="163" t="s">
        <v>222</v>
      </c>
      <c r="B7968" s="163"/>
      <c r="C7968" s="163"/>
      <c r="J7968" s="165"/>
      <c r="K7968" s="166"/>
      <c r="L7968" s="166"/>
    </row>
    <row r="7969">
      <c r="A7969" s="163" t="s">
        <v>222</v>
      </c>
      <c r="B7969" s="163"/>
      <c r="C7969" s="163"/>
      <c r="J7969" s="165"/>
      <c r="K7969" s="166"/>
      <c r="L7969" s="166"/>
    </row>
    <row r="7970">
      <c r="A7970" s="163" t="s">
        <v>222</v>
      </c>
      <c r="B7970" s="163"/>
      <c r="C7970" s="163"/>
      <c r="J7970" s="165"/>
      <c r="K7970" s="166"/>
      <c r="L7970" s="166"/>
    </row>
    <row r="7971">
      <c r="A7971" s="163" t="s">
        <v>222</v>
      </c>
      <c r="B7971" s="163"/>
      <c r="C7971" s="163"/>
      <c r="J7971" s="165"/>
      <c r="K7971" s="166"/>
      <c r="L7971" s="166"/>
    </row>
    <row r="7972">
      <c r="A7972" s="163" t="s">
        <v>222</v>
      </c>
      <c r="B7972" s="163"/>
      <c r="C7972" s="163"/>
      <c r="J7972" s="165"/>
      <c r="K7972" s="166"/>
      <c r="L7972" s="166"/>
    </row>
    <row r="7973">
      <c r="A7973" s="163" t="s">
        <v>222</v>
      </c>
      <c r="B7973" s="163"/>
      <c r="C7973" s="163"/>
      <c r="J7973" s="165"/>
      <c r="K7973" s="166"/>
      <c r="L7973" s="166"/>
    </row>
    <row r="7974">
      <c r="A7974" s="163" t="s">
        <v>222</v>
      </c>
      <c r="B7974" s="163"/>
      <c r="C7974" s="163"/>
      <c r="J7974" s="165"/>
      <c r="K7974" s="166"/>
      <c r="L7974" s="166"/>
    </row>
    <row r="7975">
      <c r="A7975" s="163" t="s">
        <v>222</v>
      </c>
      <c r="B7975" s="163"/>
      <c r="C7975" s="163"/>
      <c r="J7975" s="165"/>
      <c r="K7975" s="166"/>
      <c r="L7975" s="166"/>
    </row>
    <row r="7976">
      <c r="A7976" s="163" t="s">
        <v>222</v>
      </c>
      <c r="B7976" s="163"/>
      <c r="C7976" s="163"/>
      <c r="J7976" s="165"/>
      <c r="K7976" s="166"/>
      <c r="L7976" s="166"/>
    </row>
    <row r="7977">
      <c r="A7977" s="163" t="s">
        <v>222</v>
      </c>
      <c r="B7977" s="163"/>
      <c r="C7977" s="163"/>
      <c r="J7977" s="165"/>
      <c r="K7977" s="166"/>
      <c r="L7977" s="166"/>
    </row>
    <row r="7978">
      <c r="A7978" s="163" t="s">
        <v>222</v>
      </c>
      <c r="B7978" s="163"/>
      <c r="C7978" s="163"/>
      <c r="J7978" s="165"/>
      <c r="K7978" s="166"/>
      <c r="L7978" s="166"/>
    </row>
    <row r="7979">
      <c r="A7979" s="163" t="s">
        <v>222</v>
      </c>
      <c r="B7979" s="163"/>
      <c r="C7979" s="163"/>
      <c r="J7979" s="165"/>
      <c r="K7979" s="166"/>
      <c r="L7979" s="166"/>
    </row>
    <row r="7980">
      <c r="A7980" s="163" t="s">
        <v>222</v>
      </c>
      <c r="B7980" s="163"/>
      <c r="C7980" s="163"/>
      <c r="J7980" s="165"/>
      <c r="K7980" s="166"/>
      <c r="L7980" s="166"/>
    </row>
    <row r="7981">
      <c r="A7981" s="163" t="s">
        <v>222</v>
      </c>
      <c r="B7981" s="163"/>
      <c r="C7981" s="163"/>
      <c r="J7981" s="165"/>
      <c r="K7981" s="166"/>
      <c r="L7981" s="166"/>
    </row>
    <row r="7982">
      <c r="A7982" s="163" t="s">
        <v>222</v>
      </c>
      <c r="B7982" s="163"/>
      <c r="C7982" s="163"/>
      <c r="J7982" s="165"/>
      <c r="K7982" s="166"/>
      <c r="L7982" s="166"/>
    </row>
    <row r="7983">
      <c r="A7983" s="163" t="s">
        <v>222</v>
      </c>
      <c r="B7983" s="163"/>
      <c r="C7983" s="163"/>
      <c r="J7983" s="165"/>
      <c r="K7983" s="166"/>
      <c r="L7983" s="166"/>
    </row>
    <row r="7984">
      <c r="A7984" s="163" t="s">
        <v>222</v>
      </c>
      <c r="B7984" s="163"/>
      <c r="C7984" s="163"/>
      <c r="J7984" s="165"/>
      <c r="K7984" s="166"/>
      <c r="L7984" s="166"/>
    </row>
    <row r="7985">
      <c r="A7985" s="163" t="s">
        <v>222</v>
      </c>
      <c r="B7985" s="163"/>
      <c r="C7985" s="163"/>
      <c r="J7985" s="165"/>
      <c r="K7985" s="166"/>
      <c r="L7985" s="166"/>
    </row>
    <row r="7986">
      <c r="A7986" s="163" t="s">
        <v>222</v>
      </c>
      <c r="B7986" s="163"/>
      <c r="C7986" s="163"/>
      <c r="J7986" s="165"/>
      <c r="K7986" s="166"/>
      <c r="L7986" s="166"/>
    </row>
    <row r="7987">
      <c r="A7987" s="163" t="s">
        <v>222</v>
      </c>
      <c r="B7987" s="163"/>
      <c r="C7987" s="163"/>
      <c r="J7987" s="165"/>
      <c r="K7987" s="166"/>
      <c r="L7987" s="166"/>
    </row>
    <row r="7988">
      <c r="A7988" s="163" t="s">
        <v>222</v>
      </c>
      <c r="B7988" s="163"/>
      <c r="C7988" s="163"/>
      <c r="J7988" s="165"/>
      <c r="K7988" s="166"/>
      <c r="L7988" s="166"/>
    </row>
    <row r="7989">
      <c r="A7989" s="163" t="s">
        <v>222</v>
      </c>
      <c r="B7989" s="163"/>
      <c r="C7989" s="163"/>
      <c r="J7989" s="165"/>
      <c r="K7989" s="166"/>
      <c r="L7989" s="166"/>
    </row>
    <row r="7990">
      <c r="A7990" s="163" t="s">
        <v>222</v>
      </c>
      <c r="B7990" s="163"/>
      <c r="C7990" s="163"/>
      <c r="J7990" s="165"/>
      <c r="K7990" s="166"/>
      <c r="L7990" s="166"/>
    </row>
    <row r="7991">
      <c r="A7991" s="163" t="s">
        <v>222</v>
      </c>
      <c r="B7991" s="163"/>
      <c r="C7991" s="163"/>
      <c r="J7991" s="165"/>
      <c r="K7991" s="166"/>
      <c r="L7991" s="166"/>
    </row>
    <row r="7992">
      <c r="A7992" s="163" t="s">
        <v>222</v>
      </c>
      <c r="B7992" s="163"/>
      <c r="C7992" s="163"/>
      <c r="J7992" s="165"/>
      <c r="K7992" s="166"/>
      <c r="L7992" s="166"/>
    </row>
    <row r="7993">
      <c r="A7993" s="163" t="s">
        <v>222</v>
      </c>
      <c r="B7993" s="163"/>
      <c r="C7993" s="163"/>
      <c r="J7993" s="165"/>
      <c r="K7993" s="166"/>
      <c r="L7993" s="166"/>
    </row>
    <row r="7994">
      <c r="A7994" s="163" t="s">
        <v>222</v>
      </c>
      <c r="B7994" s="163"/>
      <c r="C7994" s="163"/>
      <c r="J7994" s="165"/>
      <c r="K7994" s="166"/>
      <c r="L7994" s="166"/>
    </row>
    <row r="7995">
      <c r="A7995" s="163" t="s">
        <v>222</v>
      </c>
      <c r="B7995" s="163"/>
      <c r="C7995" s="163"/>
      <c r="J7995" s="165"/>
      <c r="K7995" s="166"/>
      <c r="L7995" s="166"/>
    </row>
    <row r="7996">
      <c r="A7996" s="163" t="s">
        <v>222</v>
      </c>
      <c r="B7996" s="163"/>
      <c r="C7996" s="163"/>
      <c r="J7996" s="165"/>
      <c r="K7996" s="166"/>
      <c r="L7996" s="166"/>
    </row>
    <row r="7997">
      <c r="A7997" s="163" t="s">
        <v>222</v>
      </c>
      <c r="B7997" s="163"/>
      <c r="C7997" s="163"/>
      <c r="J7997" s="165"/>
      <c r="K7997" s="166"/>
      <c r="L7997" s="166"/>
    </row>
    <row r="7998">
      <c r="A7998" s="163" t="s">
        <v>222</v>
      </c>
      <c r="B7998" s="163"/>
      <c r="C7998" s="163"/>
      <c r="J7998" s="165"/>
      <c r="K7998" s="166"/>
      <c r="L7998" s="166"/>
    </row>
    <row r="7999">
      <c r="A7999" s="163" t="s">
        <v>222</v>
      </c>
      <c r="B7999" s="163"/>
      <c r="C7999" s="163"/>
      <c r="J7999" s="165"/>
      <c r="K7999" s="166"/>
      <c r="L7999" s="166"/>
    </row>
    <row r="8000">
      <c r="A8000" s="163" t="s">
        <v>222</v>
      </c>
      <c r="B8000" s="163"/>
      <c r="C8000" s="163"/>
      <c r="J8000" s="165"/>
      <c r="K8000" s="166"/>
      <c r="L8000" s="166"/>
    </row>
    <row r="8001">
      <c r="A8001" s="163" t="s">
        <v>222</v>
      </c>
      <c r="B8001" s="163"/>
      <c r="C8001" s="163"/>
      <c r="J8001" s="165"/>
      <c r="K8001" s="166"/>
      <c r="L8001" s="166"/>
    </row>
    <row r="8002">
      <c r="A8002" s="163" t="s">
        <v>222</v>
      </c>
      <c r="B8002" s="163"/>
      <c r="C8002" s="163"/>
      <c r="J8002" s="165"/>
      <c r="K8002" s="166"/>
      <c r="L8002" s="166"/>
    </row>
    <row r="8003">
      <c r="A8003" s="163" t="s">
        <v>222</v>
      </c>
      <c r="B8003" s="163"/>
      <c r="C8003" s="163"/>
      <c r="J8003" s="165"/>
      <c r="K8003" s="166"/>
      <c r="L8003" s="166"/>
    </row>
    <row r="8004">
      <c r="A8004" s="163" t="s">
        <v>222</v>
      </c>
      <c r="B8004" s="163"/>
      <c r="C8004" s="163"/>
      <c r="J8004" s="165"/>
      <c r="K8004" s="166"/>
      <c r="L8004" s="166"/>
    </row>
    <row r="8005">
      <c r="A8005" s="163" t="s">
        <v>222</v>
      </c>
      <c r="B8005" s="163"/>
      <c r="C8005" s="163"/>
      <c r="J8005" s="165"/>
      <c r="K8005" s="166"/>
      <c r="L8005" s="166"/>
    </row>
    <row r="8006">
      <c r="A8006" s="163" t="s">
        <v>222</v>
      </c>
      <c r="B8006" s="163"/>
      <c r="C8006" s="163"/>
      <c r="J8006" s="165"/>
      <c r="K8006" s="166"/>
      <c r="L8006" s="166"/>
    </row>
    <row r="8007">
      <c r="A8007" s="163" t="s">
        <v>222</v>
      </c>
      <c r="B8007" s="163"/>
      <c r="C8007" s="163"/>
      <c r="J8007" s="165"/>
      <c r="K8007" s="166"/>
      <c r="L8007" s="166"/>
    </row>
    <row r="8008">
      <c r="A8008" s="163" t="s">
        <v>222</v>
      </c>
      <c r="B8008" s="163"/>
      <c r="C8008" s="163"/>
      <c r="J8008" s="165"/>
      <c r="K8008" s="166"/>
      <c r="L8008" s="166"/>
    </row>
    <row r="8009">
      <c r="A8009" s="163" t="s">
        <v>222</v>
      </c>
      <c r="B8009" s="163"/>
      <c r="C8009" s="163"/>
      <c r="J8009" s="165"/>
      <c r="K8009" s="166"/>
      <c r="L8009" s="166"/>
    </row>
    <row r="8010">
      <c r="A8010" s="163" t="s">
        <v>222</v>
      </c>
      <c r="B8010" s="163"/>
      <c r="C8010" s="163"/>
      <c r="J8010" s="165"/>
      <c r="K8010" s="166"/>
      <c r="L8010" s="166"/>
    </row>
    <row r="8011">
      <c r="A8011" s="163" t="s">
        <v>222</v>
      </c>
      <c r="B8011" s="163"/>
      <c r="C8011" s="163"/>
      <c r="J8011" s="165"/>
      <c r="K8011" s="166"/>
      <c r="L8011" s="166"/>
    </row>
    <row r="8012">
      <c r="A8012" s="163" t="s">
        <v>222</v>
      </c>
      <c r="B8012" s="163"/>
      <c r="C8012" s="163"/>
      <c r="J8012" s="165"/>
      <c r="K8012" s="166"/>
      <c r="L8012" s="166"/>
    </row>
    <row r="8013">
      <c r="A8013" s="163" t="s">
        <v>222</v>
      </c>
      <c r="B8013" s="163"/>
      <c r="C8013" s="163"/>
      <c r="J8013" s="165"/>
      <c r="K8013" s="166"/>
      <c r="L8013" s="166"/>
    </row>
    <row r="8014">
      <c r="A8014" s="163" t="s">
        <v>222</v>
      </c>
      <c r="B8014" s="163"/>
      <c r="C8014" s="163"/>
      <c r="J8014" s="165"/>
      <c r="K8014" s="166"/>
      <c r="L8014" s="166"/>
    </row>
    <row r="8015">
      <c r="A8015" s="163" t="s">
        <v>222</v>
      </c>
      <c r="B8015" s="163"/>
      <c r="C8015" s="163"/>
      <c r="J8015" s="165"/>
      <c r="K8015" s="166"/>
      <c r="L8015" s="166"/>
    </row>
    <row r="8016">
      <c r="A8016" s="163" t="s">
        <v>222</v>
      </c>
      <c r="B8016" s="163"/>
      <c r="C8016" s="163"/>
      <c r="J8016" s="165"/>
      <c r="K8016" s="166"/>
      <c r="L8016" s="166"/>
    </row>
    <row r="8017">
      <c r="A8017" s="163" t="s">
        <v>222</v>
      </c>
      <c r="B8017" s="163"/>
      <c r="C8017" s="163"/>
      <c r="J8017" s="165"/>
      <c r="K8017" s="166"/>
      <c r="L8017" s="166"/>
    </row>
    <row r="8018">
      <c r="A8018" s="163" t="s">
        <v>222</v>
      </c>
      <c r="B8018" s="163"/>
      <c r="C8018" s="163"/>
      <c r="J8018" s="165"/>
      <c r="K8018" s="166"/>
      <c r="L8018" s="166"/>
    </row>
    <row r="8019">
      <c r="A8019" s="163" t="s">
        <v>222</v>
      </c>
      <c r="B8019" s="163"/>
      <c r="C8019" s="163"/>
      <c r="J8019" s="165"/>
      <c r="K8019" s="166"/>
      <c r="L8019" s="166"/>
    </row>
    <row r="8020">
      <c r="A8020" s="163" t="s">
        <v>222</v>
      </c>
      <c r="B8020" s="163"/>
      <c r="C8020" s="163"/>
      <c r="J8020" s="165"/>
      <c r="K8020" s="166"/>
      <c r="L8020" s="166"/>
    </row>
    <row r="8021">
      <c r="A8021" s="163" t="s">
        <v>222</v>
      </c>
      <c r="B8021" s="163"/>
      <c r="C8021" s="163"/>
      <c r="J8021" s="165"/>
      <c r="K8021" s="166"/>
      <c r="L8021" s="166"/>
    </row>
    <row r="8022">
      <c r="A8022" s="163" t="s">
        <v>222</v>
      </c>
      <c r="B8022" s="163"/>
      <c r="C8022" s="163"/>
      <c r="J8022" s="165"/>
      <c r="K8022" s="166"/>
      <c r="L8022" s="166"/>
    </row>
    <row r="8023">
      <c r="A8023" s="163" t="s">
        <v>222</v>
      </c>
      <c r="B8023" s="163"/>
      <c r="C8023" s="163"/>
      <c r="J8023" s="165"/>
      <c r="K8023" s="166"/>
      <c r="L8023" s="166"/>
    </row>
    <row r="8024">
      <c r="A8024" s="163" t="s">
        <v>222</v>
      </c>
      <c r="B8024" s="163"/>
      <c r="C8024" s="163"/>
      <c r="J8024" s="165"/>
      <c r="K8024" s="166"/>
      <c r="L8024" s="166"/>
    </row>
    <row r="8025">
      <c r="A8025" s="163" t="s">
        <v>222</v>
      </c>
      <c r="B8025" s="163"/>
      <c r="C8025" s="163"/>
      <c r="J8025" s="165"/>
      <c r="K8025" s="166"/>
      <c r="L8025" s="166"/>
    </row>
    <row r="8026">
      <c r="A8026" s="163" t="s">
        <v>222</v>
      </c>
      <c r="B8026" s="163"/>
      <c r="C8026" s="163"/>
      <c r="J8026" s="165"/>
      <c r="K8026" s="166"/>
      <c r="L8026" s="166"/>
    </row>
    <row r="8027">
      <c r="A8027" s="163" t="s">
        <v>222</v>
      </c>
      <c r="B8027" s="163"/>
      <c r="C8027" s="163"/>
      <c r="J8027" s="165"/>
      <c r="K8027" s="166"/>
      <c r="L8027" s="166"/>
    </row>
    <row r="8028">
      <c r="A8028" s="163" t="s">
        <v>222</v>
      </c>
      <c r="B8028" s="163"/>
      <c r="C8028" s="163"/>
      <c r="J8028" s="165"/>
      <c r="K8028" s="166"/>
      <c r="L8028" s="166"/>
    </row>
    <row r="8029">
      <c r="A8029" s="163" t="s">
        <v>222</v>
      </c>
      <c r="B8029" s="163"/>
      <c r="C8029" s="163"/>
      <c r="J8029" s="165"/>
      <c r="K8029" s="166"/>
      <c r="L8029" s="166"/>
    </row>
    <row r="8030">
      <c r="A8030" s="163" t="s">
        <v>222</v>
      </c>
      <c r="B8030" s="163"/>
      <c r="C8030" s="163"/>
      <c r="J8030" s="165"/>
      <c r="K8030" s="166"/>
      <c r="L8030" s="166"/>
    </row>
    <row r="8031">
      <c r="A8031" s="163" t="s">
        <v>222</v>
      </c>
      <c r="B8031" s="163"/>
      <c r="C8031" s="163"/>
      <c r="J8031" s="165"/>
      <c r="K8031" s="166"/>
      <c r="L8031" s="166"/>
    </row>
    <row r="8032">
      <c r="A8032" s="163" t="s">
        <v>222</v>
      </c>
      <c r="B8032" s="163"/>
      <c r="C8032" s="163"/>
      <c r="J8032" s="165"/>
      <c r="K8032" s="166"/>
      <c r="L8032" s="166"/>
    </row>
    <row r="8033">
      <c r="A8033" s="163" t="s">
        <v>222</v>
      </c>
      <c r="B8033" s="163"/>
      <c r="C8033" s="163"/>
      <c r="J8033" s="165"/>
      <c r="K8033" s="166"/>
      <c r="L8033" s="166"/>
    </row>
    <row r="8034">
      <c r="A8034" s="163" t="s">
        <v>222</v>
      </c>
      <c r="B8034" s="163"/>
      <c r="C8034" s="163"/>
      <c r="J8034" s="165"/>
      <c r="K8034" s="166"/>
      <c r="L8034" s="166"/>
    </row>
    <row r="8035">
      <c r="A8035" s="163" t="s">
        <v>222</v>
      </c>
      <c r="B8035" s="163"/>
      <c r="C8035" s="163"/>
      <c r="J8035" s="165"/>
      <c r="K8035" s="166"/>
      <c r="L8035" s="166"/>
    </row>
    <row r="8036">
      <c r="A8036" s="163" t="s">
        <v>222</v>
      </c>
      <c r="B8036" s="163"/>
      <c r="C8036" s="163"/>
      <c r="J8036" s="165"/>
      <c r="K8036" s="166"/>
      <c r="L8036" s="166"/>
    </row>
    <row r="8037">
      <c r="A8037" s="163" t="s">
        <v>222</v>
      </c>
      <c r="B8037" s="163"/>
      <c r="C8037" s="163"/>
      <c r="J8037" s="165"/>
      <c r="K8037" s="166"/>
      <c r="L8037" s="166"/>
    </row>
    <row r="8038">
      <c r="A8038" s="163" t="s">
        <v>222</v>
      </c>
      <c r="B8038" s="163"/>
      <c r="C8038" s="163"/>
      <c r="J8038" s="165"/>
      <c r="K8038" s="166"/>
      <c r="L8038" s="166"/>
    </row>
    <row r="8039">
      <c r="A8039" s="163" t="s">
        <v>222</v>
      </c>
      <c r="B8039" s="163"/>
      <c r="C8039" s="163"/>
      <c r="J8039" s="165"/>
      <c r="K8039" s="166"/>
      <c r="L8039" s="166"/>
    </row>
    <row r="8040">
      <c r="A8040" s="163" t="s">
        <v>222</v>
      </c>
      <c r="B8040" s="163"/>
      <c r="C8040" s="163"/>
      <c r="J8040" s="165"/>
      <c r="K8040" s="166"/>
      <c r="L8040" s="166"/>
    </row>
    <row r="8041">
      <c r="A8041" s="163" t="s">
        <v>222</v>
      </c>
      <c r="B8041" s="163"/>
      <c r="C8041" s="163"/>
      <c r="J8041" s="165"/>
      <c r="K8041" s="166"/>
      <c r="L8041" s="166"/>
    </row>
    <row r="8042">
      <c r="A8042" s="163" t="s">
        <v>222</v>
      </c>
      <c r="B8042" s="163"/>
      <c r="C8042" s="163"/>
      <c r="J8042" s="165"/>
      <c r="K8042" s="166"/>
      <c r="L8042" s="166"/>
    </row>
    <row r="8043">
      <c r="A8043" s="163" t="s">
        <v>222</v>
      </c>
      <c r="B8043" s="163"/>
      <c r="C8043" s="163"/>
      <c r="J8043" s="165"/>
      <c r="K8043" s="166"/>
      <c r="L8043" s="166"/>
    </row>
    <row r="8044">
      <c r="A8044" s="163" t="s">
        <v>222</v>
      </c>
      <c r="B8044" s="163"/>
      <c r="C8044" s="163"/>
      <c r="J8044" s="165"/>
      <c r="K8044" s="166"/>
      <c r="L8044" s="166"/>
    </row>
    <row r="8045">
      <c r="A8045" s="163" t="s">
        <v>222</v>
      </c>
      <c r="B8045" s="163"/>
      <c r="C8045" s="163"/>
      <c r="J8045" s="165"/>
      <c r="K8045" s="166"/>
      <c r="L8045" s="166"/>
    </row>
    <row r="8046">
      <c r="A8046" s="163" t="s">
        <v>222</v>
      </c>
      <c r="B8046" s="163"/>
      <c r="C8046" s="163"/>
      <c r="J8046" s="165"/>
      <c r="K8046" s="166"/>
      <c r="L8046" s="166"/>
    </row>
    <row r="8047">
      <c r="A8047" s="163" t="s">
        <v>222</v>
      </c>
      <c r="B8047" s="163"/>
      <c r="C8047" s="163"/>
      <c r="J8047" s="165"/>
      <c r="K8047" s="166"/>
      <c r="L8047" s="166"/>
    </row>
    <row r="8048">
      <c r="A8048" s="163" t="s">
        <v>222</v>
      </c>
      <c r="B8048" s="163"/>
      <c r="C8048" s="163"/>
      <c r="J8048" s="165"/>
      <c r="K8048" s="166"/>
      <c r="L8048" s="166"/>
    </row>
    <row r="8049">
      <c r="A8049" s="163" t="s">
        <v>222</v>
      </c>
      <c r="B8049" s="163"/>
      <c r="C8049" s="163"/>
      <c r="J8049" s="165"/>
      <c r="K8049" s="166"/>
      <c r="L8049" s="166"/>
    </row>
    <row r="8050">
      <c r="A8050" s="163" t="s">
        <v>222</v>
      </c>
      <c r="B8050" s="163"/>
      <c r="C8050" s="163"/>
      <c r="J8050" s="165"/>
      <c r="K8050" s="166"/>
      <c r="L8050" s="166"/>
    </row>
    <row r="8051">
      <c r="A8051" s="163" t="s">
        <v>222</v>
      </c>
      <c r="B8051" s="163"/>
      <c r="C8051" s="163"/>
      <c r="J8051" s="165"/>
      <c r="K8051" s="166"/>
      <c r="L8051" s="166"/>
    </row>
    <row r="8052">
      <c r="A8052" s="163" t="s">
        <v>222</v>
      </c>
      <c r="B8052" s="163"/>
      <c r="C8052" s="163"/>
      <c r="J8052" s="165"/>
      <c r="K8052" s="166"/>
      <c r="L8052" s="166"/>
    </row>
    <row r="8053">
      <c r="A8053" s="163" t="s">
        <v>222</v>
      </c>
      <c r="B8053" s="163"/>
      <c r="C8053" s="163"/>
      <c r="J8053" s="165"/>
      <c r="K8053" s="166"/>
      <c r="L8053" s="166"/>
    </row>
    <row r="8054">
      <c r="A8054" s="163" t="s">
        <v>222</v>
      </c>
      <c r="B8054" s="163"/>
      <c r="C8054" s="163"/>
      <c r="J8054" s="165"/>
      <c r="K8054" s="166"/>
      <c r="L8054" s="166"/>
    </row>
    <row r="8055">
      <c r="A8055" s="163" t="s">
        <v>222</v>
      </c>
      <c r="B8055" s="163"/>
      <c r="C8055" s="163"/>
      <c r="J8055" s="165"/>
      <c r="K8055" s="166"/>
      <c r="L8055" s="166"/>
    </row>
    <row r="8056">
      <c r="A8056" s="163" t="s">
        <v>222</v>
      </c>
      <c r="B8056" s="163"/>
      <c r="C8056" s="163"/>
      <c r="J8056" s="165"/>
      <c r="K8056" s="166"/>
      <c r="L8056" s="166"/>
    </row>
    <row r="8057">
      <c r="A8057" s="163" t="s">
        <v>222</v>
      </c>
      <c r="B8057" s="163"/>
      <c r="C8057" s="163"/>
      <c r="J8057" s="165"/>
      <c r="K8057" s="166"/>
      <c r="L8057" s="166"/>
    </row>
    <row r="8058">
      <c r="A8058" s="163" t="s">
        <v>222</v>
      </c>
      <c r="B8058" s="163"/>
      <c r="C8058" s="163"/>
      <c r="J8058" s="165"/>
      <c r="K8058" s="166"/>
      <c r="L8058" s="166"/>
    </row>
    <row r="8059">
      <c r="A8059" s="163" t="s">
        <v>222</v>
      </c>
      <c r="B8059" s="163"/>
      <c r="C8059" s="163"/>
      <c r="J8059" s="165"/>
      <c r="K8059" s="166"/>
      <c r="L8059" s="166"/>
    </row>
    <row r="8060">
      <c r="A8060" s="163" t="s">
        <v>222</v>
      </c>
      <c r="B8060" s="163"/>
      <c r="C8060" s="163"/>
      <c r="J8060" s="165"/>
      <c r="K8060" s="166"/>
      <c r="L8060" s="166"/>
    </row>
    <row r="8061">
      <c r="A8061" s="163" t="s">
        <v>222</v>
      </c>
      <c r="B8061" s="163"/>
      <c r="C8061" s="163"/>
      <c r="J8061" s="165"/>
      <c r="K8061" s="166"/>
      <c r="L8061" s="166"/>
    </row>
    <row r="8062">
      <c r="A8062" s="163" t="s">
        <v>222</v>
      </c>
      <c r="B8062" s="163"/>
      <c r="C8062" s="163"/>
      <c r="J8062" s="165"/>
      <c r="K8062" s="166"/>
      <c r="L8062" s="166"/>
    </row>
    <row r="8063">
      <c r="A8063" s="163" t="s">
        <v>222</v>
      </c>
      <c r="B8063" s="163"/>
      <c r="C8063" s="163"/>
      <c r="J8063" s="165"/>
      <c r="K8063" s="166"/>
      <c r="L8063" s="166"/>
    </row>
    <row r="8064">
      <c r="A8064" s="163" t="s">
        <v>222</v>
      </c>
      <c r="B8064" s="163"/>
      <c r="C8064" s="163"/>
      <c r="J8064" s="165"/>
      <c r="K8064" s="166"/>
      <c r="L8064" s="166"/>
    </row>
    <row r="8065">
      <c r="A8065" s="163" t="s">
        <v>222</v>
      </c>
      <c r="B8065" s="163"/>
      <c r="C8065" s="163"/>
      <c r="J8065" s="165"/>
      <c r="K8065" s="166"/>
      <c r="L8065" s="166"/>
    </row>
    <row r="8066">
      <c r="A8066" s="163" t="s">
        <v>222</v>
      </c>
      <c r="B8066" s="163"/>
      <c r="C8066" s="163"/>
      <c r="J8066" s="165"/>
      <c r="K8066" s="166"/>
      <c r="L8066" s="166"/>
    </row>
    <row r="8067">
      <c r="A8067" s="163" t="s">
        <v>222</v>
      </c>
      <c r="B8067" s="163"/>
      <c r="C8067" s="163"/>
      <c r="J8067" s="165"/>
      <c r="K8067" s="166"/>
      <c r="L8067" s="166"/>
    </row>
    <row r="8068">
      <c r="A8068" s="163" t="s">
        <v>222</v>
      </c>
      <c r="B8068" s="163"/>
      <c r="C8068" s="163"/>
      <c r="J8068" s="165"/>
      <c r="K8068" s="166"/>
      <c r="L8068" s="166"/>
    </row>
    <row r="8069">
      <c r="A8069" s="163" t="s">
        <v>222</v>
      </c>
      <c r="B8069" s="163"/>
      <c r="C8069" s="163"/>
      <c r="J8069" s="165"/>
      <c r="K8069" s="166"/>
      <c r="L8069" s="166"/>
    </row>
    <row r="8070">
      <c r="A8070" s="163" t="s">
        <v>222</v>
      </c>
      <c r="B8070" s="163"/>
      <c r="C8070" s="163"/>
      <c r="J8070" s="165"/>
      <c r="K8070" s="166"/>
      <c r="L8070" s="166"/>
    </row>
    <row r="8071">
      <c r="A8071" s="163" t="s">
        <v>222</v>
      </c>
      <c r="B8071" s="163"/>
      <c r="C8071" s="163"/>
      <c r="J8071" s="165"/>
      <c r="K8071" s="166"/>
      <c r="L8071" s="166"/>
    </row>
    <row r="8072">
      <c r="A8072" s="163" t="s">
        <v>222</v>
      </c>
      <c r="B8072" s="163"/>
      <c r="C8072" s="163"/>
      <c r="J8072" s="165"/>
      <c r="K8072" s="166"/>
      <c r="L8072" s="166"/>
    </row>
    <row r="8073">
      <c r="A8073" s="163" t="s">
        <v>222</v>
      </c>
      <c r="B8073" s="163"/>
      <c r="C8073" s="163"/>
      <c r="J8073" s="165"/>
      <c r="K8073" s="166"/>
      <c r="L8073" s="166"/>
    </row>
    <row r="8074">
      <c r="A8074" s="163" t="s">
        <v>222</v>
      </c>
      <c r="B8074" s="163"/>
      <c r="C8074" s="163"/>
      <c r="J8074" s="165"/>
      <c r="K8074" s="166"/>
      <c r="L8074" s="166"/>
    </row>
    <row r="8075">
      <c r="A8075" s="163" t="s">
        <v>222</v>
      </c>
      <c r="B8075" s="163"/>
      <c r="C8075" s="163"/>
      <c r="J8075" s="165"/>
      <c r="K8075" s="166"/>
      <c r="L8075" s="166"/>
    </row>
    <row r="8076">
      <c r="A8076" s="163" t="s">
        <v>222</v>
      </c>
      <c r="B8076" s="163"/>
      <c r="C8076" s="163"/>
      <c r="J8076" s="165"/>
      <c r="K8076" s="166"/>
      <c r="L8076" s="166"/>
    </row>
    <row r="8077">
      <c r="A8077" s="163" t="s">
        <v>222</v>
      </c>
      <c r="B8077" s="163"/>
      <c r="C8077" s="163"/>
      <c r="J8077" s="165"/>
      <c r="K8077" s="166"/>
      <c r="L8077" s="166"/>
    </row>
    <row r="8078">
      <c r="A8078" s="163" t="s">
        <v>222</v>
      </c>
      <c r="B8078" s="163"/>
      <c r="C8078" s="163"/>
      <c r="J8078" s="165"/>
      <c r="K8078" s="166"/>
      <c r="L8078" s="166"/>
    </row>
    <row r="8079">
      <c r="A8079" s="163" t="s">
        <v>222</v>
      </c>
      <c r="B8079" s="163"/>
      <c r="C8079" s="163"/>
      <c r="J8079" s="165"/>
      <c r="K8079" s="166"/>
      <c r="L8079" s="166"/>
    </row>
    <row r="8080">
      <c r="A8080" s="163" t="s">
        <v>222</v>
      </c>
      <c r="B8080" s="163"/>
      <c r="C8080" s="163"/>
      <c r="J8080" s="165"/>
      <c r="K8080" s="166"/>
      <c r="L8080" s="166"/>
    </row>
    <row r="8081">
      <c r="A8081" s="163" t="s">
        <v>222</v>
      </c>
      <c r="B8081" s="163"/>
      <c r="C8081" s="163"/>
      <c r="J8081" s="165"/>
      <c r="K8081" s="166"/>
      <c r="L8081" s="166"/>
    </row>
    <row r="8082">
      <c r="A8082" s="163" t="s">
        <v>222</v>
      </c>
      <c r="B8082" s="163"/>
      <c r="C8082" s="163"/>
      <c r="J8082" s="165"/>
      <c r="K8082" s="166"/>
      <c r="L8082" s="166"/>
    </row>
    <row r="8083">
      <c r="A8083" s="163" t="s">
        <v>222</v>
      </c>
      <c r="B8083" s="163"/>
      <c r="C8083" s="163"/>
      <c r="J8083" s="165"/>
      <c r="K8083" s="166"/>
      <c r="L8083" s="166"/>
    </row>
    <row r="8084">
      <c r="A8084" s="163" t="s">
        <v>222</v>
      </c>
      <c r="B8084" s="163"/>
      <c r="C8084" s="163"/>
      <c r="J8084" s="165"/>
      <c r="K8084" s="166"/>
      <c r="L8084" s="166"/>
    </row>
    <row r="8085">
      <c r="A8085" s="163" t="s">
        <v>222</v>
      </c>
      <c r="B8085" s="163"/>
      <c r="C8085" s="163"/>
      <c r="J8085" s="165"/>
      <c r="K8085" s="166"/>
      <c r="L8085" s="166"/>
    </row>
    <row r="8086">
      <c r="A8086" s="163" t="s">
        <v>222</v>
      </c>
      <c r="B8086" s="163"/>
      <c r="C8086" s="163"/>
      <c r="J8086" s="165"/>
      <c r="K8086" s="166"/>
      <c r="L8086" s="166"/>
    </row>
    <row r="8087">
      <c r="A8087" s="163" t="s">
        <v>222</v>
      </c>
      <c r="B8087" s="163"/>
      <c r="C8087" s="163"/>
      <c r="J8087" s="165"/>
      <c r="K8087" s="166"/>
      <c r="L8087" s="166"/>
    </row>
    <row r="8088">
      <c r="A8088" s="163" t="s">
        <v>222</v>
      </c>
      <c r="B8088" s="163"/>
      <c r="C8088" s="163"/>
      <c r="J8088" s="165"/>
      <c r="K8088" s="166"/>
      <c r="L8088" s="166"/>
    </row>
    <row r="8089">
      <c r="A8089" s="163" t="s">
        <v>222</v>
      </c>
      <c r="B8089" s="163"/>
      <c r="C8089" s="163"/>
      <c r="J8089" s="165"/>
      <c r="K8089" s="166"/>
      <c r="L8089" s="166"/>
    </row>
    <row r="8090">
      <c r="A8090" s="163" t="s">
        <v>222</v>
      </c>
      <c r="B8090" s="163"/>
      <c r="C8090" s="163"/>
      <c r="J8090" s="165"/>
      <c r="K8090" s="166"/>
      <c r="L8090" s="166"/>
    </row>
    <row r="8091">
      <c r="A8091" s="163" t="s">
        <v>222</v>
      </c>
      <c r="B8091" s="163"/>
      <c r="C8091" s="163"/>
      <c r="J8091" s="165"/>
      <c r="K8091" s="166"/>
      <c r="L8091" s="166"/>
    </row>
    <row r="8092">
      <c r="A8092" s="163" t="s">
        <v>222</v>
      </c>
      <c r="B8092" s="163"/>
      <c r="C8092" s="163"/>
      <c r="J8092" s="165"/>
      <c r="K8092" s="166"/>
      <c r="L8092" s="166"/>
    </row>
    <row r="8093">
      <c r="A8093" s="163" t="s">
        <v>222</v>
      </c>
      <c r="B8093" s="163"/>
      <c r="C8093" s="163"/>
      <c r="J8093" s="165"/>
      <c r="K8093" s="166"/>
      <c r="L8093" s="166"/>
    </row>
    <row r="8094">
      <c r="A8094" s="163" t="s">
        <v>222</v>
      </c>
      <c r="B8094" s="163"/>
      <c r="C8094" s="163"/>
      <c r="J8094" s="165"/>
      <c r="K8094" s="166"/>
      <c r="L8094" s="166"/>
    </row>
    <row r="8095">
      <c r="A8095" s="163" t="s">
        <v>222</v>
      </c>
      <c r="B8095" s="163"/>
      <c r="C8095" s="163"/>
      <c r="J8095" s="165"/>
      <c r="K8095" s="166"/>
      <c r="L8095" s="166"/>
    </row>
    <row r="8096">
      <c r="A8096" s="163" t="s">
        <v>222</v>
      </c>
      <c r="B8096" s="163"/>
      <c r="C8096" s="163"/>
      <c r="J8096" s="165"/>
      <c r="K8096" s="166"/>
      <c r="L8096" s="166"/>
    </row>
    <row r="8097">
      <c r="A8097" s="163" t="s">
        <v>222</v>
      </c>
      <c r="B8097" s="163"/>
      <c r="C8097" s="163"/>
      <c r="J8097" s="165"/>
      <c r="K8097" s="166"/>
      <c r="L8097" s="166"/>
    </row>
    <row r="8098">
      <c r="A8098" s="163" t="s">
        <v>222</v>
      </c>
      <c r="B8098" s="163"/>
      <c r="C8098" s="163"/>
      <c r="J8098" s="165"/>
      <c r="K8098" s="166"/>
      <c r="L8098" s="166"/>
    </row>
    <row r="8099">
      <c r="A8099" s="163" t="s">
        <v>222</v>
      </c>
      <c r="B8099" s="163"/>
      <c r="C8099" s="163"/>
      <c r="J8099" s="165"/>
      <c r="K8099" s="166"/>
      <c r="L8099" s="166"/>
    </row>
    <row r="8100">
      <c r="A8100" s="163" t="s">
        <v>222</v>
      </c>
      <c r="B8100" s="163"/>
      <c r="C8100" s="163"/>
      <c r="J8100" s="165"/>
      <c r="K8100" s="166"/>
      <c r="L8100" s="166"/>
    </row>
    <row r="8101">
      <c r="A8101" s="163" t="s">
        <v>222</v>
      </c>
      <c r="B8101" s="163"/>
      <c r="C8101" s="163"/>
      <c r="J8101" s="165"/>
      <c r="K8101" s="166"/>
      <c r="L8101" s="166"/>
    </row>
    <row r="8102">
      <c r="A8102" s="163" t="s">
        <v>222</v>
      </c>
      <c r="B8102" s="163"/>
      <c r="C8102" s="163"/>
      <c r="J8102" s="165"/>
      <c r="K8102" s="166"/>
      <c r="L8102" s="166"/>
    </row>
    <row r="8103">
      <c r="A8103" s="163" t="s">
        <v>222</v>
      </c>
      <c r="B8103" s="163"/>
      <c r="C8103" s="163"/>
      <c r="J8103" s="165"/>
      <c r="K8103" s="166"/>
      <c r="L8103" s="166"/>
    </row>
    <row r="8104">
      <c r="A8104" s="163" t="s">
        <v>222</v>
      </c>
      <c r="B8104" s="163"/>
      <c r="C8104" s="163"/>
      <c r="J8104" s="165"/>
      <c r="K8104" s="166"/>
      <c r="L8104" s="166"/>
    </row>
    <row r="8105">
      <c r="A8105" s="163" t="s">
        <v>222</v>
      </c>
      <c r="B8105" s="163"/>
      <c r="C8105" s="163"/>
      <c r="J8105" s="165"/>
      <c r="K8105" s="166"/>
      <c r="L8105" s="166"/>
    </row>
    <row r="8106">
      <c r="A8106" s="163" t="s">
        <v>222</v>
      </c>
      <c r="B8106" s="163"/>
      <c r="C8106" s="163"/>
      <c r="J8106" s="165"/>
      <c r="K8106" s="166"/>
      <c r="L8106" s="166"/>
    </row>
    <row r="8107">
      <c r="A8107" s="163" t="s">
        <v>222</v>
      </c>
      <c r="B8107" s="163"/>
      <c r="C8107" s="163"/>
      <c r="J8107" s="165"/>
      <c r="K8107" s="166"/>
      <c r="L8107" s="166"/>
    </row>
    <row r="8108">
      <c r="A8108" s="163" t="s">
        <v>222</v>
      </c>
      <c r="B8108" s="163"/>
      <c r="C8108" s="163"/>
      <c r="J8108" s="165"/>
      <c r="K8108" s="166"/>
      <c r="L8108" s="166"/>
    </row>
    <row r="8109">
      <c r="A8109" s="163" t="s">
        <v>222</v>
      </c>
      <c r="B8109" s="163"/>
      <c r="C8109" s="163"/>
      <c r="J8109" s="165"/>
      <c r="K8109" s="166"/>
      <c r="L8109" s="166"/>
    </row>
    <row r="8110">
      <c r="A8110" s="163" t="s">
        <v>222</v>
      </c>
      <c r="B8110" s="163"/>
      <c r="C8110" s="163"/>
      <c r="J8110" s="165"/>
      <c r="K8110" s="166"/>
      <c r="L8110" s="166"/>
    </row>
    <row r="8111">
      <c r="A8111" s="163" t="s">
        <v>222</v>
      </c>
      <c r="B8111" s="163"/>
      <c r="C8111" s="163"/>
      <c r="J8111" s="165"/>
      <c r="K8111" s="166"/>
      <c r="L8111" s="166"/>
    </row>
    <row r="8112">
      <c r="A8112" s="163" t="s">
        <v>222</v>
      </c>
      <c r="B8112" s="163"/>
      <c r="C8112" s="163"/>
      <c r="J8112" s="165"/>
      <c r="K8112" s="166"/>
      <c r="L8112" s="166"/>
    </row>
    <row r="8113">
      <c r="A8113" s="163" t="s">
        <v>222</v>
      </c>
      <c r="B8113" s="163"/>
      <c r="C8113" s="163"/>
      <c r="J8113" s="165"/>
      <c r="K8113" s="166"/>
      <c r="L8113" s="166"/>
    </row>
    <row r="8114">
      <c r="A8114" s="163" t="s">
        <v>222</v>
      </c>
      <c r="B8114" s="163"/>
      <c r="C8114" s="163"/>
      <c r="J8114" s="165"/>
      <c r="K8114" s="166"/>
      <c r="L8114" s="166"/>
    </row>
    <row r="8115">
      <c r="A8115" s="163" t="s">
        <v>222</v>
      </c>
      <c r="B8115" s="163"/>
      <c r="C8115" s="163"/>
      <c r="J8115" s="165"/>
      <c r="K8115" s="166"/>
      <c r="L8115" s="166"/>
    </row>
    <row r="8116">
      <c r="A8116" s="163" t="s">
        <v>222</v>
      </c>
      <c r="B8116" s="163"/>
      <c r="C8116" s="163"/>
      <c r="J8116" s="165"/>
      <c r="K8116" s="166"/>
      <c r="L8116" s="166"/>
    </row>
    <row r="8117">
      <c r="A8117" s="163" t="s">
        <v>222</v>
      </c>
      <c r="B8117" s="163"/>
      <c r="C8117" s="163"/>
      <c r="J8117" s="165"/>
      <c r="K8117" s="166"/>
      <c r="L8117" s="166"/>
    </row>
    <row r="8118">
      <c r="A8118" s="163" t="s">
        <v>222</v>
      </c>
      <c r="B8118" s="163"/>
      <c r="C8118" s="163"/>
      <c r="J8118" s="165"/>
      <c r="K8118" s="166"/>
      <c r="L8118" s="166"/>
    </row>
    <row r="8119">
      <c r="A8119" s="163" t="s">
        <v>222</v>
      </c>
      <c r="B8119" s="163"/>
      <c r="C8119" s="163"/>
      <c r="J8119" s="165"/>
      <c r="K8119" s="166"/>
      <c r="L8119" s="166"/>
    </row>
    <row r="8120">
      <c r="A8120" s="163" t="s">
        <v>222</v>
      </c>
      <c r="B8120" s="163"/>
      <c r="C8120" s="163"/>
      <c r="J8120" s="165"/>
      <c r="K8120" s="166"/>
      <c r="L8120" s="166"/>
    </row>
    <row r="8121">
      <c r="A8121" s="163" t="s">
        <v>222</v>
      </c>
      <c r="B8121" s="163"/>
      <c r="C8121" s="163"/>
      <c r="J8121" s="165"/>
      <c r="K8121" s="166"/>
      <c r="L8121" s="166"/>
    </row>
    <row r="8122">
      <c r="A8122" s="163" t="s">
        <v>222</v>
      </c>
      <c r="B8122" s="163"/>
      <c r="C8122" s="163"/>
      <c r="J8122" s="165"/>
      <c r="K8122" s="166"/>
      <c r="L8122" s="166"/>
    </row>
    <row r="8123">
      <c r="A8123" s="163" t="s">
        <v>222</v>
      </c>
      <c r="B8123" s="163"/>
      <c r="C8123" s="163"/>
      <c r="J8123" s="165"/>
      <c r="K8123" s="166"/>
      <c r="L8123" s="166"/>
    </row>
    <row r="8124">
      <c r="A8124" s="163" t="s">
        <v>222</v>
      </c>
      <c r="B8124" s="163"/>
      <c r="C8124" s="163"/>
      <c r="J8124" s="165"/>
      <c r="K8124" s="166"/>
      <c r="L8124" s="166"/>
    </row>
    <row r="8125">
      <c r="A8125" s="163" t="s">
        <v>222</v>
      </c>
      <c r="B8125" s="163"/>
      <c r="C8125" s="163"/>
      <c r="J8125" s="165"/>
      <c r="K8125" s="166"/>
      <c r="L8125" s="166"/>
    </row>
    <row r="8126">
      <c r="A8126" s="163" t="s">
        <v>222</v>
      </c>
      <c r="B8126" s="163"/>
      <c r="C8126" s="163"/>
      <c r="J8126" s="165"/>
      <c r="K8126" s="166"/>
      <c r="L8126" s="166"/>
    </row>
    <row r="8127">
      <c r="A8127" s="163" t="s">
        <v>222</v>
      </c>
      <c r="B8127" s="163"/>
      <c r="C8127" s="163"/>
      <c r="J8127" s="165"/>
      <c r="K8127" s="166"/>
      <c r="L8127" s="166"/>
    </row>
    <row r="8128">
      <c r="A8128" s="163" t="s">
        <v>222</v>
      </c>
      <c r="B8128" s="163"/>
      <c r="C8128" s="163"/>
      <c r="J8128" s="165"/>
      <c r="K8128" s="166"/>
      <c r="L8128" s="166"/>
    </row>
    <row r="8129">
      <c r="A8129" s="163" t="s">
        <v>222</v>
      </c>
      <c r="B8129" s="163"/>
      <c r="C8129" s="163"/>
      <c r="J8129" s="165"/>
      <c r="K8129" s="166"/>
      <c r="L8129" s="166"/>
    </row>
    <row r="8130">
      <c r="A8130" s="163" t="s">
        <v>222</v>
      </c>
      <c r="B8130" s="163"/>
      <c r="C8130" s="163"/>
      <c r="J8130" s="165"/>
      <c r="K8130" s="166"/>
      <c r="L8130" s="166"/>
    </row>
    <row r="8131">
      <c r="A8131" s="163" t="s">
        <v>222</v>
      </c>
      <c r="B8131" s="163"/>
      <c r="C8131" s="163"/>
      <c r="J8131" s="165"/>
      <c r="K8131" s="166"/>
      <c r="L8131" s="166"/>
    </row>
    <row r="8132">
      <c r="A8132" s="163" t="s">
        <v>222</v>
      </c>
      <c r="B8132" s="163"/>
      <c r="C8132" s="163"/>
      <c r="J8132" s="165"/>
      <c r="K8132" s="166"/>
      <c r="L8132" s="166"/>
    </row>
    <row r="8133">
      <c r="A8133" s="163" t="s">
        <v>222</v>
      </c>
      <c r="B8133" s="163"/>
      <c r="C8133" s="163"/>
      <c r="J8133" s="165"/>
      <c r="K8133" s="166"/>
      <c r="L8133" s="166"/>
    </row>
    <row r="8134">
      <c r="A8134" s="163" t="s">
        <v>222</v>
      </c>
      <c r="B8134" s="163"/>
      <c r="C8134" s="163"/>
      <c r="J8134" s="165"/>
      <c r="K8134" s="166"/>
      <c r="L8134" s="166"/>
    </row>
    <row r="8135">
      <c r="A8135" s="163" t="s">
        <v>222</v>
      </c>
      <c r="B8135" s="163"/>
      <c r="C8135" s="163"/>
      <c r="J8135" s="165"/>
      <c r="K8135" s="166"/>
      <c r="L8135" s="166"/>
    </row>
    <row r="8136">
      <c r="A8136" s="163" t="s">
        <v>222</v>
      </c>
      <c r="B8136" s="163"/>
      <c r="C8136" s="163"/>
      <c r="J8136" s="165"/>
      <c r="K8136" s="166"/>
      <c r="L8136" s="166"/>
    </row>
    <row r="8137">
      <c r="A8137" s="163" t="s">
        <v>222</v>
      </c>
      <c r="B8137" s="163"/>
      <c r="C8137" s="163"/>
      <c r="J8137" s="165"/>
      <c r="K8137" s="166"/>
      <c r="L8137" s="166"/>
    </row>
    <row r="8138">
      <c r="A8138" s="163" t="s">
        <v>222</v>
      </c>
      <c r="B8138" s="163"/>
      <c r="C8138" s="163"/>
      <c r="J8138" s="165"/>
      <c r="K8138" s="166"/>
      <c r="L8138" s="166"/>
    </row>
    <row r="8139">
      <c r="A8139" s="163" t="s">
        <v>222</v>
      </c>
      <c r="B8139" s="163"/>
      <c r="C8139" s="163"/>
      <c r="J8139" s="165"/>
      <c r="K8139" s="166"/>
      <c r="L8139" s="166"/>
    </row>
    <row r="8140">
      <c r="A8140" s="163" t="s">
        <v>222</v>
      </c>
      <c r="B8140" s="163"/>
      <c r="C8140" s="163"/>
      <c r="J8140" s="165"/>
      <c r="K8140" s="166"/>
      <c r="L8140" s="166"/>
    </row>
    <row r="8141">
      <c r="A8141" s="163" t="s">
        <v>222</v>
      </c>
      <c r="B8141" s="163"/>
      <c r="C8141" s="163"/>
      <c r="J8141" s="165"/>
      <c r="K8141" s="166"/>
      <c r="L8141" s="166"/>
    </row>
    <row r="8142">
      <c r="A8142" s="163" t="s">
        <v>222</v>
      </c>
      <c r="B8142" s="163"/>
      <c r="C8142" s="163"/>
      <c r="J8142" s="165"/>
      <c r="K8142" s="166"/>
      <c r="L8142" s="166"/>
    </row>
    <row r="8143">
      <c r="A8143" s="163" t="s">
        <v>222</v>
      </c>
      <c r="B8143" s="163"/>
      <c r="C8143" s="163"/>
      <c r="J8143" s="165"/>
      <c r="K8143" s="166"/>
      <c r="L8143" s="166"/>
    </row>
    <row r="8144">
      <c r="A8144" s="163" t="s">
        <v>222</v>
      </c>
      <c r="B8144" s="163"/>
      <c r="C8144" s="163"/>
      <c r="J8144" s="165"/>
      <c r="K8144" s="166"/>
      <c r="L8144" s="166"/>
    </row>
    <row r="8145">
      <c r="A8145" s="163" t="s">
        <v>222</v>
      </c>
      <c r="B8145" s="163"/>
      <c r="C8145" s="163"/>
      <c r="J8145" s="165"/>
      <c r="K8145" s="166"/>
      <c r="L8145" s="166"/>
    </row>
    <row r="8146">
      <c r="A8146" s="163" t="s">
        <v>222</v>
      </c>
      <c r="B8146" s="163"/>
      <c r="C8146" s="163"/>
      <c r="J8146" s="165"/>
      <c r="K8146" s="166"/>
      <c r="L8146" s="166"/>
    </row>
    <row r="8147">
      <c r="A8147" s="163" t="s">
        <v>222</v>
      </c>
      <c r="B8147" s="163"/>
      <c r="C8147" s="163"/>
      <c r="J8147" s="165"/>
      <c r="K8147" s="166"/>
      <c r="L8147" s="166"/>
    </row>
    <row r="8148">
      <c r="A8148" s="163" t="s">
        <v>222</v>
      </c>
      <c r="B8148" s="163"/>
      <c r="C8148" s="163"/>
      <c r="J8148" s="165"/>
      <c r="K8148" s="166"/>
      <c r="L8148" s="166"/>
    </row>
    <row r="8149">
      <c r="A8149" s="163" t="s">
        <v>222</v>
      </c>
      <c r="B8149" s="163"/>
      <c r="C8149" s="163"/>
      <c r="J8149" s="165"/>
      <c r="K8149" s="166"/>
      <c r="L8149" s="166"/>
    </row>
    <row r="8150">
      <c r="A8150" s="163" t="s">
        <v>222</v>
      </c>
      <c r="B8150" s="163"/>
      <c r="C8150" s="163"/>
      <c r="J8150" s="165"/>
      <c r="K8150" s="166"/>
      <c r="L8150" s="166"/>
    </row>
    <row r="8151">
      <c r="A8151" s="163" t="s">
        <v>222</v>
      </c>
      <c r="B8151" s="163"/>
      <c r="C8151" s="163"/>
      <c r="J8151" s="165"/>
      <c r="K8151" s="166"/>
      <c r="L8151" s="166"/>
    </row>
    <row r="8152">
      <c r="A8152" s="163" t="s">
        <v>222</v>
      </c>
      <c r="B8152" s="163"/>
      <c r="C8152" s="163"/>
      <c r="J8152" s="165"/>
      <c r="K8152" s="166"/>
      <c r="L8152" s="166"/>
    </row>
    <row r="8153">
      <c r="A8153" s="163" t="s">
        <v>222</v>
      </c>
      <c r="B8153" s="163"/>
      <c r="C8153" s="163"/>
      <c r="J8153" s="165"/>
      <c r="K8153" s="166"/>
      <c r="L8153" s="166"/>
    </row>
    <row r="8154">
      <c r="A8154" s="163" t="s">
        <v>222</v>
      </c>
      <c r="B8154" s="163"/>
      <c r="C8154" s="163"/>
      <c r="J8154" s="165"/>
      <c r="K8154" s="166"/>
      <c r="L8154" s="166"/>
    </row>
    <row r="8155">
      <c r="A8155" s="163" t="s">
        <v>222</v>
      </c>
      <c r="B8155" s="163"/>
      <c r="C8155" s="163"/>
      <c r="J8155" s="165"/>
      <c r="K8155" s="166"/>
      <c r="L8155" s="166"/>
    </row>
    <row r="8156">
      <c r="A8156" s="163" t="s">
        <v>222</v>
      </c>
      <c r="B8156" s="163"/>
      <c r="C8156" s="163"/>
      <c r="J8156" s="165"/>
      <c r="K8156" s="166"/>
      <c r="L8156" s="166"/>
    </row>
    <row r="8157">
      <c r="A8157" s="163" t="s">
        <v>222</v>
      </c>
      <c r="B8157" s="163"/>
      <c r="C8157" s="163"/>
      <c r="J8157" s="165"/>
      <c r="K8157" s="166"/>
      <c r="L8157" s="166"/>
    </row>
    <row r="8158">
      <c r="A8158" s="163" t="s">
        <v>222</v>
      </c>
      <c r="B8158" s="163"/>
      <c r="C8158" s="163"/>
      <c r="J8158" s="165"/>
      <c r="K8158" s="166"/>
      <c r="L8158" s="166"/>
    </row>
    <row r="8159">
      <c r="A8159" s="163" t="s">
        <v>222</v>
      </c>
      <c r="B8159" s="163"/>
      <c r="C8159" s="163"/>
      <c r="J8159" s="165"/>
      <c r="K8159" s="166"/>
      <c r="L8159" s="166"/>
    </row>
    <row r="8160">
      <c r="A8160" s="163" t="s">
        <v>222</v>
      </c>
      <c r="B8160" s="163"/>
      <c r="C8160" s="163"/>
      <c r="J8160" s="165"/>
      <c r="K8160" s="166"/>
      <c r="L8160" s="166"/>
    </row>
    <row r="8161">
      <c r="A8161" s="163" t="s">
        <v>222</v>
      </c>
      <c r="B8161" s="163"/>
      <c r="C8161" s="163"/>
      <c r="J8161" s="165"/>
      <c r="K8161" s="166"/>
      <c r="L8161" s="166"/>
    </row>
    <row r="8162">
      <c r="A8162" s="163" t="s">
        <v>222</v>
      </c>
      <c r="B8162" s="163"/>
      <c r="C8162" s="163"/>
      <c r="J8162" s="165"/>
      <c r="K8162" s="166"/>
      <c r="L8162" s="166"/>
    </row>
    <row r="8163">
      <c r="A8163" s="163" t="s">
        <v>222</v>
      </c>
      <c r="B8163" s="163"/>
      <c r="C8163" s="163"/>
      <c r="J8163" s="165"/>
      <c r="K8163" s="166"/>
      <c r="L8163" s="166"/>
    </row>
    <row r="8164">
      <c r="A8164" s="163" t="s">
        <v>222</v>
      </c>
      <c r="B8164" s="163"/>
      <c r="C8164" s="163"/>
      <c r="J8164" s="165"/>
      <c r="K8164" s="166"/>
      <c r="L8164" s="166"/>
    </row>
    <row r="8165">
      <c r="A8165" s="163" t="s">
        <v>222</v>
      </c>
      <c r="B8165" s="163"/>
      <c r="C8165" s="163"/>
      <c r="J8165" s="165"/>
      <c r="K8165" s="166"/>
      <c r="L8165" s="166"/>
    </row>
    <row r="8166">
      <c r="A8166" s="163" t="s">
        <v>222</v>
      </c>
      <c r="B8166" s="163"/>
      <c r="C8166" s="163"/>
      <c r="J8166" s="165"/>
      <c r="K8166" s="166"/>
      <c r="L8166" s="166"/>
    </row>
    <row r="8167">
      <c r="A8167" s="163" t="s">
        <v>222</v>
      </c>
      <c r="B8167" s="163"/>
      <c r="C8167" s="163"/>
      <c r="J8167" s="165"/>
      <c r="K8167" s="166"/>
      <c r="L8167" s="166"/>
    </row>
    <row r="8168">
      <c r="A8168" s="163" t="s">
        <v>222</v>
      </c>
      <c r="B8168" s="163"/>
      <c r="C8168" s="163"/>
      <c r="J8168" s="165"/>
      <c r="K8168" s="166"/>
      <c r="L8168" s="166"/>
    </row>
    <row r="8169">
      <c r="A8169" s="163" t="s">
        <v>222</v>
      </c>
      <c r="B8169" s="163"/>
      <c r="C8169" s="163"/>
      <c r="J8169" s="165"/>
      <c r="K8169" s="166"/>
      <c r="L8169" s="166"/>
    </row>
    <row r="8170">
      <c r="A8170" s="163" t="s">
        <v>222</v>
      </c>
      <c r="B8170" s="163"/>
      <c r="C8170" s="163"/>
      <c r="J8170" s="165"/>
      <c r="K8170" s="166"/>
      <c r="L8170" s="166"/>
    </row>
    <row r="8171">
      <c r="A8171" s="163" t="s">
        <v>222</v>
      </c>
      <c r="B8171" s="163"/>
      <c r="C8171" s="163"/>
      <c r="J8171" s="165"/>
      <c r="K8171" s="166"/>
      <c r="L8171" s="166"/>
    </row>
    <row r="8172">
      <c r="A8172" s="163" t="s">
        <v>222</v>
      </c>
      <c r="B8172" s="163"/>
      <c r="C8172" s="163"/>
      <c r="J8172" s="165"/>
      <c r="K8172" s="166"/>
      <c r="L8172" s="166"/>
    </row>
    <row r="8173">
      <c r="A8173" s="163" t="s">
        <v>222</v>
      </c>
      <c r="B8173" s="163"/>
      <c r="C8173" s="163"/>
      <c r="J8173" s="165"/>
      <c r="K8173" s="166"/>
      <c r="L8173" s="166"/>
    </row>
    <row r="8174">
      <c r="A8174" s="163" t="s">
        <v>222</v>
      </c>
      <c r="B8174" s="163"/>
      <c r="C8174" s="163"/>
      <c r="J8174" s="165"/>
      <c r="K8174" s="166"/>
      <c r="L8174" s="166"/>
    </row>
    <row r="8175">
      <c r="A8175" s="163" t="s">
        <v>222</v>
      </c>
      <c r="B8175" s="163"/>
      <c r="C8175" s="163"/>
      <c r="J8175" s="165"/>
      <c r="K8175" s="166"/>
      <c r="L8175" s="166"/>
    </row>
    <row r="8176">
      <c r="A8176" s="163" t="s">
        <v>222</v>
      </c>
      <c r="B8176" s="163"/>
      <c r="C8176" s="163"/>
      <c r="J8176" s="165"/>
      <c r="K8176" s="166"/>
      <c r="L8176" s="166"/>
    </row>
    <row r="8177">
      <c r="A8177" s="163" t="s">
        <v>222</v>
      </c>
      <c r="B8177" s="163"/>
      <c r="C8177" s="163"/>
      <c r="J8177" s="165"/>
      <c r="K8177" s="166"/>
      <c r="L8177" s="166"/>
    </row>
    <row r="8178">
      <c r="A8178" s="163" t="s">
        <v>222</v>
      </c>
      <c r="B8178" s="163"/>
      <c r="C8178" s="163"/>
      <c r="J8178" s="165"/>
      <c r="K8178" s="166"/>
      <c r="L8178" s="166"/>
    </row>
    <row r="8179">
      <c r="A8179" s="163" t="s">
        <v>222</v>
      </c>
      <c r="B8179" s="163"/>
      <c r="C8179" s="163"/>
      <c r="J8179" s="165"/>
      <c r="K8179" s="166"/>
      <c r="L8179" s="166"/>
    </row>
    <row r="8180">
      <c r="A8180" s="163" t="s">
        <v>222</v>
      </c>
      <c r="B8180" s="163"/>
      <c r="C8180" s="163"/>
      <c r="J8180" s="165"/>
      <c r="K8180" s="166"/>
      <c r="L8180" s="166"/>
    </row>
    <row r="8181">
      <c r="A8181" s="163" t="s">
        <v>222</v>
      </c>
      <c r="B8181" s="163"/>
      <c r="C8181" s="163"/>
      <c r="J8181" s="165"/>
      <c r="K8181" s="166"/>
      <c r="L8181" s="166"/>
    </row>
    <row r="8182">
      <c r="A8182" s="163" t="s">
        <v>222</v>
      </c>
      <c r="B8182" s="163"/>
      <c r="C8182" s="163"/>
      <c r="J8182" s="165"/>
      <c r="K8182" s="166"/>
      <c r="L8182" s="166"/>
    </row>
    <row r="8183">
      <c r="A8183" s="163" t="s">
        <v>222</v>
      </c>
      <c r="B8183" s="163"/>
      <c r="C8183" s="163"/>
      <c r="J8183" s="165"/>
      <c r="K8183" s="166"/>
      <c r="L8183" s="166"/>
    </row>
    <row r="8184">
      <c r="A8184" s="163" t="s">
        <v>222</v>
      </c>
      <c r="B8184" s="163"/>
      <c r="C8184" s="163"/>
      <c r="J8184" s="165"/>
      <c r="K8184" s="166"/>
      <c r="L8184" s="166"/>
    </row>
    <row r="8185">
      <c r="A8185" s="163" t="s">
        <v>222</v>
      </c>
      <c r="B8185" s="163"/>
      <c r="C8185" s="163"/>
      <c r="J8185" s="165"/>
      <c r="K8185" s="166"/>
      <c r="L8185" s="166"/>
    </row>
    <row r="8186">
      <c r="A8186" s="163" t="s">
        <v>222</v>
      </c>
      <c r="B8186" s="163"/>
      <c r="C8186" s="163"/>
      <c r="J8186" s="165"/>
      <c r="K8186" s="166"/>
      <c r="L8186" s="166"/>
    </row>
    <row r="8187">
      <c r="A8187" s="163" t="s">
        <v>222</v>
      </c>
      <c r="B8187" s="163"/>
      <c r="C8187" s="163"/>
      <c r="J8187" s="165"/>
      <c r="K8187" s="166"/>
      <c r="L8187" s="166"/>
    </row>
    <row r="8188">
      <c r="A8188" s="163" t="s">
        <v>222</v>
      </c>
      <c r="B8188" s="163"/>
      <c r="C8188" s="163"/>
      <c r="J8188" s="165"/>
      <c r="K8188" s="166"/>
      <c r="L8188" s="166"/>
    </row>
    <row r="8189">
      <c r="A8189" s="163" t="s">
        <v>222</v>
      </c>
      <c r="B8189" s="163"/>
      <c r="C8189" s="163"/>
      <c r="J8189" s="165"/>
      <c r="K8189" s="166"/>
      <c r="L8189" s="166"/>
    </row>
    <row r="8190">
      <c r="A8190" s="163" t="s">
        <v>222</v>
      </c>
      <c r="B8190" s="163"/>
      <c r="C8190" s="163"/>
      <c r="J8190" s="165"/>
      <c r="K8190" s="166"/>
      <c r="L8190" s="166"/>
    </row>
    <row r="8191">
      <c r="A8191" s="163" t="s">
        <v>222</v>
      </c>
      <c r="B8191" s="163"/>
      <c r="C8191" s="163"/>
      <c r="J8191" s="165"/>
      <c r="K8191" s="166"/>
      <c r="L8191" s="166"/>
    </row>
    <row r="8192">
      <c r="A8192" s="163" t="s">
        <v>222</v>
      </c>
      <c r="B8192" s="163"/>
      <c r="C8192" s="163"/>
      <c r="J8192" s="165"/>
      <c r="K8192" s="166"/>
      <c r="L8192" s="166"/>
    </row>
    <row r="8193">
      <c r="A8193" s="163" t="s">
        <v>222</v>
      </c>
      <c r="B8193" s="163"/>
      <c r="C8193" s="163"/>
      <c r="J8193" s="165"/>
      <c r="K8193" s="166"/>
      <c r="L8193" s="166"/>
    </row>
    <row r="8194">
      <c r="A8194" s="163" t="s">
        <v>222</v>
      </c>
      <c r="B8194" s="163"/>
      <c r="C8194" s="163"/>
      <c r="J8194" s="165"/>
      <c r="K8194" s="166"/>
      <c r="L8194" s="166"/>
    </row>
    <row r="8195">
      <c r="A8195" s="163" t="s">
        <v>222</v>
      </c>
      <c r="B8195" s="163"/>
      <c r="C8195" s="163"/>
      <c r="J8195" s="165"/>
      <c r="K8195" s="166"/>
      <c r="L8195" s="166"/>
    </row>
    <row r="8196">
      <c r="A8196" s="163" t="s">
        <v>222</v>
      </c>
      <c r="B8196" s="163"/>
      <c r="C8196" s="163"/>
      <c r="J8196" s="165"/>
      <c r="K8196" s="166"/>
      <c r="L8196" s="166"/>
    </row>
    <row r="8197">
      <c r="A8197" s="163" t="s">
        <v>222</v>
      </c>
      <c r="B8197" s="163"/>
      <c r="C8197" s="163"/>
      <c r="J8197" s="165"/>
      <c r="K8197" s="166"/>
      <c r="L8197" s="166"/>
    </row>
    <row r="8198">
      <c r="A8198" s="163" t="s">
        <v>222</v>
      </c>
      <c r="B8198" s="163"/>
      <c r="C8198" s="163"/>
      <c r="J8198" s="165"/>
      <c r="K8198" s="166"/>
      <c r="L8198" s="166"/>
    </row>
    <row r="8199">
      <c r="A8199" s="163" t="s">
        <v>222</v>
      </c>
      <c r="B8199" s="163"/>
      <c r="C8199" s="163"/>
      <c r="J8199" s="165"/>
      <c r="K8199" s="166"/>
      <c r="L8199" s="166"/>
    </row>
    <row r="8200">
      <c r="A8200" s="163" t="s">
        <v>222</v>
      </c>
      <c r="B8200" s="163"/>
      <c r="C8200" s="163"/>
      <c r="J8200" s="165"/>
      <c r="K8200" s="166"/>
      <c r="L8200" s="166"/>
    </row>
    <row r="8201">
      <c r="A8201" s="163" t="s">
        <v>222</v>
      </c>
      <c r="B8201" s="163"/>
      <c r="C8201" s="163"/>
      <c r="J8201" s="165"/>
      <c r="K8201" s="166"/>
      <c r="L8201" s="166"/>
    </row>
    <row r="8202">
      <c r="A8202" s="163" t="s">
        <v>222</v>
      </c>
      <c r="B8202" s="163"/>
      <c r="C8202" s="163"/>
      <c r="J8202" s="165"/>
      <c r="K8202" s="166"/>
      <c r="L8202" s="166"/>
    </row>
    <row r="8203">
      <c r="A8203" s="163" t="s">
        <v>222</v>
      </c>
      <c r="B8203" s="163"/>
      <c r="C8203" s="163"/>
      <c r="J8203" s="165"/>
      <c r="K8203" s="166"/>
      <c r="L8203" s="166"/>
    </row>
    <row r="8204">
      <c r="A8204" s="163" t="s">
        <v>222</v>
      </c>
      <c r="B8204" s="163"/>
      <c r="C8204" s="163"/>
      <c r="J8204" s="165"/>
      <c r="K8204" s="166"/>
      <c r="L8204" s="166"/>
    </row>
    <row r="8205">
      <c r="A8205" s="163" t="s">
        <v>222</v>
      </c>
      <c r="B8205" s="163"/>
      <c r="C8205" s="163"/>
      <c r="J8205" s="165"/>
      <c r="K8205" s="166"/>
      <c r="L8205" s="166"/>
    </row>
    <row r="8206">
      <c r="A8206" s="163" t="s">
        <v>222</v>
      </c>
      <c r="B8206" s="163"/>
      <c r="C8206" s="163"/>
      <c r="J8206" s="165"/>
      <c r="K8206" s="166"/>
      <c r="L8206" s="166"/>
    </row>
    <row r="8207">
      <c r="A8207" s="163" t="s">
        <v>222</v>
      </c>
      <c r="B8207" s="163"/>
      <c r="C8207" s="163"/>
      <c r="J8207" s="165"/>
      <c r="K8207" s="166"/>
      <c r="L8207" s="166"/>
    </row>
    <row r="8208">
      <c r="A8208" s="163" t="s">
        <v>222</v>
      </c>
      <c r="B8208" s="163"/>
      <c r="C8208" s="163"/>
      <c r="J8208" s="165"/>
      <c r="K8208" s="166"/>
      <c r="L8208" s="166"/>
    </row>
    <row r="8209">
      <c r="A8209" s="163" t="s">
        <v>222</v>
      </c>
      <c r="B8209" s="163"/>
      <c r="C8209" s="163"/>
      <c r="J8209" s="165"/>
      <c r="K8209" s="166"/>
      <c r="L8209" s="166"/>
    </row>
    <row r="8210">
      <c r="A8210" s="163" t="s">
        <v>222</v>
      </c>
      <c r="B8210" s="163"/>
      <c r="C8210" s="163"/>
      <c r="J8210" s="165"/>
      <c r="K8210" s="166"/>
      <c r="L8210" s="166"/>
    </row>
    <row r="8211">
      <c r="A8211" s="163" t="s">
        <v>222</v>
      </c>
      <c r="B8211" s="163"/>
      <c r="C8211" s="163"/>
      <c r="J8211" s="165"/>
      <c r="K8211" s="166"/>
      <c r="L8211" s="166"/>
    </row>
    <row r="8212">
      <c r="A8212" s="163" t="s">
        <v>222</v>
      </c>
      <c r="B8212" s="163"/>
      <c r="C8212" s="163"/>
      <c r="J8212" s="165"/>
      <c r="K8212" s="166"/>
      <c r="L8212" s="166"/>
    </row>
    <row r="8213">
      <c r="A8213" s="163" t="s">
        <v>222</v>
      </c>
      <c r="B8213" s="163"/>
      <c r="C8213" s="163"/>
      <c r="J8213" s="165"/>
      <c r="K8213" s="166"/>
      <c r="L8213" s="166"/>
    </row>
    <row r="8214">
      <c r="A8214" s="163" t="s">
        <v>222</v>
      </c>
      <c r="B8214" s="163"/>
      <c r="C8214" s="163"/>
      <c r="J8214" s="165"/>
      <c r="K8214" s="166"/>
      <c r="L8214" s="166"/>
    </row>
    <row r="8215">
      <c r="A8215" s="163" t="s">
        <v>222</v>
      </c>
      <c r="B8215" s="163"/>
      <c r="C8215" s="163"/>
      <c r="J8215" s="165"/>
      <c r="K8215" s="166"/>
      <c r="L8215" s="166"/>
    </row>
    <row r="8216">
      <c r="A8216" s="163" t="s">
        <v>222</v>
      </c>
      <c r="B8216" s="163"/>
      <c r="C8216" s="163"/>
      <c r="J8216" s="165"/>
      <c r="K8216" s="166"/>
      <c r="L8216" s="166"/>
    </row>
    <row r="8217">
      <c r="A8217" s="163" t="s">
        <v>222</v>
      </c>
      <c r="B8217" s="163"/>
      <c r="C8217" s="163"/>
      <c r="J8217" s="165"/>
      <c r="K8217" s="166"/>
      <c r="L8217" s="166"/>
    </row>
    <row r="8218">
      <c r="A8218" s="163" t="s">
        <v>222</v>
      </c>
      <c r="B8218" s="163"/>
      <c r="C8218" s="163"/>
      <c r="J8218" s="165"/>
      <c r="K8218" s="166"/>
      <c r="L8218" s="166"/>
    </row>
    <row r="8219">
      <c r="A8219" s="163" t="s">
        <v>222</v>
      </c>
      <c r="B8219" s="163"/>
      <c r="C8219" s="163"/>
      <c r="J8219" s="165"/>
      <c r="K8219" s="166"/>
      <c r="L8219" s="166"/>
    </row>
    <row r="8220">
      <c r="A8220" s="163" t="s">
        <v>222</v>
      </c>
      <c r="B8220" s="163"/>
      <c r="C8220" s="163"/>
      <c r="J8220" s="165"/>
      <c r="K8220" s="166"/>
      <c r="L8220" s="166"/>
    </row>
    <row r="8221">
      <c r="A8221" s="163" t="s">
        <v>222</v>
      </c>
      <c r="B8221" s="163"/>
      <c r="C8221" s="163"/>
      <c r="J8221" s="165"/>
      <c r="K8221" s="166"/>
      <c r="L8221" s="166"/>
    </row>
    <row r="8222">
      <c r="A8222" s="163" t="s">
        <v>222</v>
      </c>
      <c r="B8222" s="163"/>
      <c r="C8222" s="163"/>
      <c r="J8222" s="165"/>
      <c r="K8222" s="166"/>
      <c r="L8222" s="166"/>
    </row>
    <row r="8223">
      <c r="A8223" s="163" t="s">
        <v>222</v>
      </c>
      <c r="B8223" s="163"/>
      <c r="C8223" s="163"/>
      <c r="J8223" s="165"/>
      <c r="K8223" s="166"/>
      <c r="L8223" s="166"/>
    </row>
    <row r="8224">
      <c r="A8224" s="163" t="s">
        <v>222</v>
      </c>
      <c r="B8224" s="163"/>
      <c r="C8224" s="163"/>
      <c r="J8224" s="165"/>
      <c r="K8224" s="166"/>
      <c r="L8224" s="166"/>
    </row>
    <row r="8225">
      <c r="A8225" s="163" t="s">
        <v>222</v>
      </c>
      <c r="B8225" s="163"/>
      <c r="C8225" s="163"/>
      <c r="J8225" s="165"/>
      <c r="K8225" s="166"/>
      <c r="L8225" s="166"/>
    </row>
    <row r="8226">
      <c r="A8226" s="163" t="s">
        <v>222</v>
      </c>
      <c r="B8226" s="163"/>
      <c r="C8226" s="163"/>
      <c r="J8226" s="165"/>
      <c r="K8226" s="166"/>
      <c r="L8226" s="166"/>
    </row>
    <row r="8227">
      <c r="A8227" s="163" t="s">
        <v>222</v>
      </c>
      <c r="B8227" s="163"/>
      <c r="C8227" s="163"/>
      <c r="J8227" s="165"/>
      <c r="K8227" s="166"/>
      <c r="L8227" s="166"/>
    </row>
    <row r="8228">
      <c r="A8228" s="163" t="s">
        <v>222</v>
      </c>
      <c r="B8228" s="163"/>
      <c r="C8228" s="163"/>
      <c r="J8228" s="165"/>
      <c r="K8228" s="166"/>
      <c r="L8228" s="166"/>
    </row>
    <row r="8229">
      <c r="A8229" s="163" t="s">
        <v>222</v>
      </c>
      <c r="B8229" s="163"/>
      <c r="C8229" s="163"/>
      <c r="J8229" s="165"/>
      <c r="K8229" s="166"/>
      <c r="L8229" s="166"/>
    </row>
    <row r="8230">
      <c r="A8230" s="163" t="s">
        <v>222</v>
      </c>
      <c r="B8230" s="163"/>
      <c r="C8230" s="163"/>
      <c r="J8230" s="165"/>
      <c r="K8230" s="166"/>
      <c r="L8230" s="166"/>
    </row>
    <row r="8231">
      <c r="A8231" s="163" t="s">
        <v>222</v>
      </c>
      <c r="B8231" s="163"/>
      <c r="C8231" s="163"/>
      <c r="J8231" s="165"/>
      <c r="K8231" s="166"/>
      <c r="L8231" s="166"/>
    </row>
    <row r="8232">
      <c r="A8232" s="163" t="s">
        <v>222</v>
      </c>
      <c r="B8232" s="163"/>
      <c r="C8232" s="163"/>
      <c r="J8232" s="165"/>
      <c r="K8232" s="166"/>
      <c r="L8232" s="166"/>
    </row>
    <row r="8233">
      <c r="A8233" s="163" t="s">
        <v>222</v>
      </c>
      <c r="B8233" s="163"/>
      <c r="C8233" s="163"/>
      <c r="J8233" s="165"/>
      <c r="K8233" s="166"/>
      <c r="L8233" s="166"/>
    </row>
    <row r="8234">
      <c r="A8234" s="163" t="s">
        <v>222</v>
      </c>
      <c r="B8234" s="163"/>
      <c r="C8234" s="163"/>
      <c r="J8234" s="165"/>
      <c r="K8234" s="166"/>
      <c r="L8234" s="166"/>
    </row>
    <row r="8235">
      <c r="A8235" s="163" t="s">
        <v>222</v>
      </c>
      <c r="B8235" s="163"/>
      <c r="C8235" s="163"/>
      <c r="J8235" s="165"/>
      <c r="K8235" s="166"/>
      <c r="L8235" s="166"/>
    </row>
    <row r="8236">
      <c r="A8236" s="163" t="s">
        <v>222</v>
      </c>
      <c r="B8236" s="163"/>
      <c r="C8236" s="163"/>
      <c r="J8236" s="165"/>
      <c r="K8236" s="166"/>
      <c r="L8236" s="166"/>
    </row>
    <row r="8237">
      <c r="A8237" s="163" t="s">
        <v>222</v>
      </c>
      <c r="B8237" s="163"/>
      <c r="C8237" s="163"/>
      <c r="J8237" s="165"/>
      <c r="K8237" s="166"/>
      <c r="L8237" s="166"/>
    </row>
    <row r="8238">
      <c r="A8238" s="163" t="s">
        <v>222</v>
      </c>
      <c r="B8238" s="163"/>
      <c r="C8238" s="163"/>
      <c r="J8238" s="165"/>
      <c r="K8238" s="166"/>
      <c r="L8238" s="166"/>
    </row>
    <row r="8239">
      <c r="A8239" s="163" t="s">
        <v>222</v>
      </c>
      <c r="B8239" s="163"/>
      <c r="C8239" s="163"/>
      <c r="J8239" s="165"/>
      <c r="K8239" s="166"/>
      <c r="L8239" s="166"/>
    </row>
    <row r="8240">
      <c r="A8240" s="163" t="s">
        <v>222</v>
      </c>
      <c r="B8240" s="163"/>
      <c r="C8240" s="163"/>
      <c r="J8240" s="165"/>
      <c r="K8240" s="166"/>
      <c r="L8240" s="166"/>
    </row>
    <row r="8241">
      <c r="A8241" s="163" t="s">
        <v>222</v>
      </c>
      <c r="B8241" s="163"/>
      <c r="C8241" s="163"/>
      <c r="J8241" s="165"/>
      <c r="K8241" s="166"/>
      <c r="L8241" s="166"/>
    </row>
    <row r="8242">
      <c r="A8242" s="163" t="s">
        <v>222</v>
      </c>
      <c r="B8242" s="163"/>
      <c r="C8242" s="163"/>
      <c r="J8242" s="165"/>
      <c r="K8242" s="166"/>
      <c r="L8242" s="166"/>
    </row>
    <row r="8243">
      <c r="A8243" s="163" t="s">
        <v>222</v>
      </c>
      <c r="B8243" s="163"/>
      <c r="C8243" s="163"/>
      <c r="J8243" s="165"/>
      <c r="K8243" s="166"/>
      <c r="L8243" s="166"/>
    </row>
    <row r="8244">
      <c r="A8244" s="163" t="s">
        <v>222</v>
      </c>
      <c r="B8244" s="163"/>
      <c r="C8244" s="163"/>
      <c r="J8244" s="165"/>
      <c r="K8244" s="166"/>
      <c r="L8244" s="166"/>
    </row>
    <row r="8245">
      <c r="A8245" s="163" t="s">
        <v>222</v>
      </c>
      <c r="B8245" s="163"/>
      <c r="C8245" s="163"/>
      <c r="J8245" s="165"/>
      <c r="K8245" s="166"/>
      <c r="L8245" s="166"/>
    </row>
    <row r="8246">
      <c r="A8246" s="163" t="s">
        <v>222</v>
      </c>
      <c r="B8246" s="163"/>
      <c r="C8246" s="163"/>
      <c r="J8246" s="165"/>
      <c r="K8246" s="166"/>
      <c r="L8246" s="166"/>
    </row>
    <row r="8247">
      <c r="A8247" s="163" t="s">
        <v>222</v>
      </c>
      <c r="B8247" s="163"/>
      <c r="C8247" s="163"/>
      <c r="J8247" s="165"/>
      <c r="K8247" s="166"/>
      <c r="L8247" s="166"/>
    </row>
    <row r="8248">
      <c r="A8248" s="163" t="s">
        <v>222</v>
      </c>
      <c r="B8248" s="163"/>
      <c r="C8248" s="163"/>
      <c r="J8248" s="165"/>
      <c r="K8248" s="166"/>
      <c r="L8248" s="166"/>
    </row>
    <row r="8249">
      <c r="A8249" s="163" t="s">
        <v>222</v>
      </c>
      <c r="B8249" s="163"/>
      <c r="C8249" s="163"/>
      <c r="J8249" s="165"/>
      <c r="K8249" s="166"/>
      <c r="L8249" s="166"/>
    </row>
    <row r="8250">
      <c r="A8250" s="163" t="s">
        <v>222</v>
      </c>
      <c r="B8250" s="163"/>
      <c r="C8250" s="163"/>
      <c r="J8250" s="165"/>
      <c r="K8250" s="166"/>
      <c r="L8250" s="166"/>
    </row>
    <row r="8251">
      <c r="A8251" s="163" t="s">
        <v>222</v>
      </c>
      <c r="B8251" s="163"/>
      <c r="C8251" s="163"/>
      <c r="J8251" s="165"/>
      <c r="K8251" s="166"/>
      <c r="L8251" s="166"/>
    </row>
    <row r="8252">
      <c r="A8252" s="163" t="s">
        <v>222</v>
      </c>
      <c r="B8252" s="163"/>
      <c r="C8252" s="163"/>
      <c r="J8252" s="165"/>
      <c r="K8252" s="166"/>
      <c r="L8252" s="166"/>
    </row>
    <row r="8253">
      <c r="A8253" s="163" t="s">
        <v>222</v>
      </c>
      <c r="B8253" s="163"/>
      <c r="C8253" s="163"/>
      <c r="J8253" s="165"/>
      <c r="K8253" s="166"/>
      <c r="L8253" s="166"/>
    </row>
    <row r="8254">
      <c r="A8254" s="163" t="s">
        <v>222</v>
      </c>
      <c r="B8254" s="163"/>
      <c r="C8254" s="163"/>
      <c r="J8254" s="165"/>
      <c r="K8254" s="166"/>
      <c r="L8254" s="166"/>
    </row>
    <row r="8255">
      <c r="A8255" s="163" t="s">
        <v>222</v>
      </c>
      <c r="B8255" s="163"/>
      <c r="C8255" s="163"/>
      <c r="J8255" s="165"/>
      <c r="K8255" s="166"/>
      <c r="L8255" s="166"/>
    </row>
    <row r="8256">
      <c r="A8256" s="163" t="s">
        <v>222</v>
      </c>
      <c r="B8256" s="163"/>
      <c r="C8256" s="163"/>
      <c r="J8256" s="165"/>
      <c r="K8256" s="166"/>
      <c r="L8256" s="166"/>
    </row>
    <row r="8257">
      <c r="A8257" s="163" t="s">
        <v>222</v>
      </c>
      <c r="B8257" s="163"/>
      <c r="C8257" s="163"/>
      <c r="J8257" s="165"/>
      <c r="K8257" s="166"/>
      <c r="L8257" s="166"/>
    </row>
    <row r="8258">
      <c r="A8258" s="163" t="s">
        <v>222</v>
      </c>
      <c r="B8258" s="163"/>
      <c r="C8258" s="163"/>
      <c r="J8258" s="165"/>
      <c r="K8258" s="166"/>
      <c r="L8258" s="166"/>
    </row>
    <row r="8259">
      <c r="A8259" s="163" t="s">
        <v>222</v>
      </c>
      <c r="B8259" s="163"/>
      <c r="C8259" s="163"/>
      <c r="J8259" s="165"/>
      <c r="K8259" s="166"/>
      <c r="L8259" s="166"/>
    </row>
    <row r="8260">
      <c r="A8260" s="163" t="s">
        <v>222</v>
      </c>
      <c r="B8260" s="163"/>
      <c r="C8260" s="163"/>
      <c r="J8260" s="165"/>
      <c r="K8260" s="166"/>
      <c r="L8260" s="166"/>
    </row>
    <row r="8261">
      <c r="A8261" s="163" t="s">
        <v>222</v>
      </c>
      <c r="B8261" s="163"/>
      <c r="C8261" s="163"/>
      <c r="J8261" s="165"/>
      <c r="K8261" s="166"/>
      <c r="L8261" s="166"/>
    </row>
    <row r="8262">
      <c r="A8262" s="163" t="s">
        <v>222</v>
      </c>
      <c r="B8262" s="163"/>
      <c r="C8262" s="163"/>
      <c r="J8262" s="165"/>
      <c r="K8262" s="166"/>
      <c r="L8262" s="166"/>
    </row>
    <row r="8263">
      <c r="A8263" s="163" t="s">
        <v>222</v>
      </c>
      <c r="B8263" s="163"/>
      <c r="C8263" s="163"/>
      <c r="J8263" s="165"/>
      <c r="K8263" s="166"/>
      <c r="L8263" s="166"/>
    </row>
    <row r="8264">
      <c r="A8264" s="163" t="s">
        <v>222</v>
      </c>
      <c r="B8264" s="163"/>
      <c r="C8264" s="163"/>
      <c r="J8264" s="165"/>
      <c r="K8264" s="166"/>
      <c r="L8264" s="166"/>
    </row>
    <row r="8265">
      <c r="A8265" s="163" t="s">
        <v>222</v>
      </c>
      <c r="B8265" s="163"/>
      <c r="C8265" s="163"/>
      <c r="J8265" s="165"/>
      <c r="K8265" s="166"/>
      <c r="L8265" s="166"/>
    </row>
    <row r="8266">
      <c r="A8266" s="163" t="s">
        <v>222</v>
      </c>
      <c r="B8266" s="163"/>
      <c r="C8266" s="163"/>
      <c r="J8266" s="165"/>
      <c r="K8266" s="166"/>
      <c r="L8266" s="166"/>
    </row>
    <row r="8267">
      <c r="A8267" s="163" t="s">
        <v>222</v>
      </c>
      <c r="B8267" s="163"/>
      <c r="C8267" s="163"/>
      <c r="J8267" s="165"/>
      <c r="K8267" s="166"/>
      <c r="L8267" s="166"/>
    </row>
    <row r="8268">
      <c r="A8268" s="163" t="s">
        <v>222</v>
      </c>
      <c r="B8268" s="163"/>
      <c r="C8268" s="163"/>
      <c r="J8268" s="165"/>
      <c r="K8268" s="166"/>
      <c r="L8268" s="166"/>
    </row>
    <row r="8269">
      <c r="A8269" s="163" t="s">
        <v>222</v>
      </c>
      <c r="B8269" s="163"/>
      <c r="C8269" s="163"/>
      <c r="J8269" s="165"/>
      <c r="K8269" s="166"/>
      <c r="L8269" s="166"/>
    </row>
    <row r="8270">
      <c r="A8270" s="163" t="s">
        <v>222</v>
      </c>
      <c r="B8270" s="163"/>
      <c r="C8270" s="163"/>
      <c r="J8270" s="165"/>
      <c r="K8270" s="166"/>
      <c r="L8270" s="166"/>
    </row>
    <row r="8271">
      <c r="A8271" s="163" t="s">
        <v>222</v>
      </c>
      <c r="B8271" s="163"/>
      <c r="C8271" s="163"/>
      <c r="J8271" s="165"/>
      <c r="K8271" s="166"/>
      <c r="L8271" s="166"/>
    </row>
    <row r="8272">
      <c r="A8272" s="163" t="s">
        <v>222</v>
      </c>
      <c r="B8272" s="163"/>
      <c r="C8272" s="163"/>
      <c r="J8272" s="165"/>
      <c r="K8272" s="166"/>
      <c r="L8272" s="166"/>
    </row>
    <row r="8273">
      <c r="A8273" s="163" t="s">
        <v>222</v>
      </c>
      <c r="B8273" s="163"/>
      <c r="C8273" s="163"/>
      <c r="J8273" s="165"/>
      <c r="K8273" s="166"/>
      <c r="L8273" s="166"/>
    </row>
    <row r="8274">
      <c r="A8274" s="163" t="s">
        <v>222</v>
      </c>
      <c r="B8274" s="163"/>
      <c r="C8274" s="163"/>
      <c r="J8274" s="165"/>
      <c r="K8274" s="166"/>
      <c r="L8274" s="166"/>
    </row>
    <row r="8275">
      <c r="A8275" s="163" t="s">
        <v>222</v>
      </c>
      <c r="B8275" s="163"/>
      <c r="C8275" s="163"/>
      <c r="J8275" s="165"/>
      <c r="K8275" s="166"/>
      <c r="L8275" s="166"/>
    </row>
    <row r="8276">
      <c r="A8276" s="163" t="s">
        <v>222</v>
      </c>
      <c r="B8276" s="163"/>
      <c r="C8276" s="163"/>
      <c r="J8276" s="165"/>
      <c r="K8276" s="166"/>
      <c r="L8276" s="166"/>
    </row>
    <row r="8277">
      <c r="A8277" s="163" t="s">
        <v>222</v>
      </c>
      <c r="B8277" s="163"/>
      <c r="C8277" s="163"/>
      <c r="J8277" s="165"/>
      <c r="K8277" s="166"/>
      <c r="L8277" s="166"/>
    </row>
    <row r="8278">
      <c r="A8278" s="163" t="s">
        <v>222</v>
      </c>
      <c r="B8278" s="163"/>
      <c r="C8278" s="163"/>
      <c r="J8278" s="165"/>
      <c r="K8278" s="166"/>
      <c r="L8278" s="166"/>
    </row>
    <row r="8279">
      <c r="A8279" s="163" t="s">
        <v>222</v>
      </c>
      <c r="B8279" s="163"/>
      <c r="C8279" s="163"/>
      <c r="J8279" s="165"/>
      <c r="K8279" s="166"/>
      <c r="L8279" s="166"/>
    </row>
    <row r="8280">
      <c r="A8280" s="163" t="s">
        <v>222</v>
      </c>
      <c r="B8280" s="163"/>
      <c r="C8280" s="163"/>
      <c r="J8280" s="165"/>
      <c r="K8280" s="166"/>
      <c r="L8280" s="166"/>
    </row>
    <row r="8281">
      <c r="A8281" s="163" t="s">
        <v>222</v>
      </c>
      <c r="B8281" s="163"/>
      <c r="C8281" s="163"/>
      <c r="J8281" s="165"/>
      <c r="K8281" s="166"/>
      <c r="L8281" s="166"/>
    </row>
    <row r="8282">
      <c r="A8282" s="163" t="s">
        <v>222</v>
      </c>
      <c r="B8282" s="163"/>
      <c r="C8282" s="163"/>
      <c r="J8282" s="165"/>
      <c r="K8282" s="166"/>
      <c r="L8282" s="166"/>
    </row>
    <row r="8283">
      <c r="A8283" s="163" t="s">
        <v>222</v>
      </c>
      <c r="B8283" s="163"/>
      <c r="C8283" s="163"/>
      <c r="J8283" s="165"/>
      <c r="K8283" s="166"/>
      <c r="L8283" s="166"/>
    </row>
    <row r="8284">
      <c r="A8284" s="163" t="s">
        <v>222</v>
      </c>
      <c r="B8284" s="163"/>
      <c r="C8284" s="163"/>
      <c r="J8284" s="165"/>
      <c r="K8284" s="166"/>
      <c r="L8284" s="166"/>
    </row>
    <row r="8285">
      <c r="A8285" s="163" t="s">
        <v>222</v>
      </c>
      <c r="B8285" s="163"/>
      <c r="C8285" s="163"/>
      <c r="J8285" s="165"/>
      <c r="K8285" s="166"/>
      <c r="L8285" s="166"/>
    </row>
    <row r="8286">
      <c r="A8286" s="163" t="s">
        <v>222</v>
      </c>
      <c r="B8286" s="163"/>
      <c r="C8286" s="163"/>
      <c r="J8286" s="165"/>
      <c r="K8286" s="166"/>
      <c r="L8286" s="166"/>
    </row>
    <row r="8287">
      <c r="A8287" s="163" t="s">
        <v>222</v>
      </c>
      <c r="B8287" s="163"/>
      <c r="C8287" s="163"/>
      <c r="J8287" s="165"/>
      <c r="K8287" s="166"/>
      <c r="L8287" s="166"/>
    </row>
    <row r="8288">
      <c r="A8288" s="163" t="s">
        <v>222</v>
      </c>
      <c r="B8288" s="163"/>
      <c r="C8288" s="163"/>
      <c r="J8288" s="165"/>
      <c r="K8288" s="166"/>
      <c r="L8288" s="166"/>
    </row>
    <row r="8289">
      <c r="A8289" s="163" t="s">
        <v>222</v>
      </c>
      <c r="B8289" s="163"/>
      <c r="C8289" s="163"/>
      <c r="J8289" s="165"/>
      <c r="K8289" s="166"/>
      <c r="L8289" s="166"/>
    </row>
    <row r="8290">
      <c r="A8290" s="163" t="s">
        <v>222</v>
      </c>
      <c r="B8290" s="163"/>
      <c r="C8290" s="163"/>
      <c r="J8290" s="165"/>
      <c r="K8290" s="166"/>
      <c r="L8290" s="166"/>
    </row>
    <row r="8291">
      <c r="A8291" s="163" t="s">
        <v>222</v>
      </c>
      <c r="B8291" s="163"/>
      <c r="C8291" s="163"/>
      <c r="J8291" s="165"/>
      <c r="K8291" s="166"/>
      <c r="L8291" s="166"/>
    </row>
    <row r="8292">
      <c r="A8292" s="163" t="s">
        <v>222</v>
      </c>
      <c r="B8292" s="163"/>
      <c r="C8292" s="163"/>
      <c r="J8292" s="165"/>
      <c r="K8292" s="166"/>
      <c r="L8292" s="166"/>
    </row>
    <row r="8293">
      <c r="A8293" s="163" t="s">
        <v>222</v>
      </c>
      <c r="B8293" s="163"/>
      <c r="C8293" s="163"/>
      <c r="J8293" s="165"/>
      <c r="K8293" s="166"/>
      <c r="L8293" s="166"/>
    </row>
    <row r="8294">
      <c r="A8294" s="163" t="s">
        <v>222</v>
      </c>
      <c r="B8294" s="163"/>
      <c r="C8294" s="163"/>
      <c r="J8294" s="165"/>
      <c r="K8294" s="166"/>
      <c r="L8294" s="166"/>
    </row>
    <row r="8295">
      <c r="A8295" s="163" t="s">
        <v>222</v>
      </c>
      <c r="B8295" s="163"/>
      <c r="C8295" s="163"/>
      <c r="J8295" s="165"/>
      <c r="K8295" s="166"/>
      <c r="L8295" s="166"/>
    </row>
    <row r="8296">
      <c r="A8296" s="163" t="s">
        <v>222</v>
      </c>
      <c r="B8296" s="163"/>
      <c r="C8296" s="163"/>
      <c r="J8296" s="165"/>
      <c r="K8296" s="166"/>
      <c r="L8296" s="166"/>
    </row>
    <row r="8297">
      <c r="A8297" s="163" t="s">
        <v>222</v>
      </c>
      <c r="B8297" s="163"/>
      <c r="C8297" s="163"/>
      <c r="J8297" s="165"/>
      <c r="K8297" s="166"/>
      <c r="L8297" s="166"/>
    </row>
    <row r="8298">
      <c r="A8298" s="163" t="s">
        <v>222</v>
      </c>
      <c r="B8298" s="163"/>
      <c r="C8298" s="163"/>
      <c r="J8298" s="165"/>
      <c r="K8298" s="166"/>
      <c r="L8298" s="166"/>
    </row>
    <row r="8299">
      <c r="A8299" s="163" t="s">
        <v>222</v>
      </c>
      <c r="B8299" s="163"/>
      <c r="C8299" s="163"/>
      <c r="J8299" s="165"/>
      <c r="K8299" s="166"/>
      <c r="L8299" s="166"/>
    </row>
    <row r="8300">
      <c r="A8300" s="163" t="s">
        <v>222</v>
      </c>
      <c r="B8300" s="163"/>
      <c r="C8300" s="163"/>
      <c r="J8300" s="165"/>
      <c r="K8300" s="166"/>
      <c r="L8300" s="166"/>
    </row>
    <row r="8301">
      <c r="A8301" s="163" t="s">
        <v>222</v>
      </c>
      <c r="B8301" s="163"/>
      <c r="C8301" s="163"/>
      <c r="J8301" s="165"/>
      <c r="K8301" s="166"/>
      <c r="L8301" s="166"/>
    </row>
    <row r="8302">
      <c r="A8302" s="163" t="s">
        <v>222</v>
      </c>
      <c r="B8302" s="163"/>
      <c r="C8302" s="163"/>
      <c r="J8302" s="165"/>
      <c r="K8302" s="166"/>
      <c r="L8302" s="166"/>
    </row>
    <row r="8303">
      <c r="A8303" s="163" t="s">
        <v>222</v>
      </c>
      <c r="B8303" s="163"/>
      <c r="C8303" s="163"/>
      <c r="J8303" s="165"/>
      <c r="K8303" s="166"/>
      <c r="L8303" s="166"/>
    </row>
    <row r="8304">
      <c r="A8304" s="163" t="s">
        <v>222</v>
      </c>
      <c r="B8304" s="163"/>
      <c r="C8304" s="163"/>
      <c r="J8304" s="165"/>
      <c r="K8304" s="166"/>
      <c r="L8304" s="166"/>
    </row>
    <row r="8305">
      <c r="A8305" s="163" t="s">
        <v>222</v>
      </c>
      <c r="B8305" s="163"/>
      <c r="C8305" s="163"/>
      <c r="J8305" s="165"/>
      <c r="K8305" s="166"/>
      <c r="L8305" s="166"/>
    </row>
    <row r="8306">
      <c r="A8306" s="163" t="s">
        <v>222</v>
      </c>
      <c r="B8306" s="163"/>
      <c r="C8306" s="163"/>
      <c r="J8306" s="165"/>
      <c r="K8306" s="166"/>
      <c r="L8306" s="166"/>
    </row>
    <row r="8307">
      <c r="A8307" s="163" t="s">
        <v>222</v>
      </c>
      <c r="B8307" s="163"/>
      <c r="C8307" s="163"/>
      <c r="J8307" s="165"/>
      <c r="K8307" s="166"/>
      <c r="L8307" s="166"/>
    </row>
    <row r="8308">
      <c r="A8308" s="163" t="s">
        <v>222</v>
      </c>
      <c r="B8308" s="163"/>
      <c r="C8308" s="163"/>
      <c r="J8308" s="165"/>
      <c r="K8308" s="166"/>
      <c r="L8308" s="166"/>
    </row>
    <row r="8309">
      <c r="A8309" s="163" t="s">
        <v>222</v>
      </c>
      <c r="B8309" s="163"/>
      <c r="C8309" s="163"/>
      <c r="J8309" s="165"/>
      <c r="K8309" s="166"/>
      <c r="L8309" s="166"/>
    </row>
    <row r="8310">
      <c r="A8310" s="163" t="s">
        <v>222</v>
      </c>
      <c r="B8310" s="163"/>
      <c r="C8310" s="163"/>
      <c r="J8310" s="165"/>
      <c r="K8310" s="166"/>
      <c r="L8310" s="166"/>
    </row>
    <row r="8311">
      <c r="A8311" s="163" t="s">
        <v>222</v>
      </c>
      <c r="B8311" s="163"/>
      <c r="C8311" s="163"/>
      <c r="J8311" s="165"/>
      <c r="K8311" s="166"/>
      <c r="L8311" s="166"/>
    </row>
    <row r="8312">
      <c r="A8312" s="163" t="s">
        <v>222</v>
      </c>
      <c r="B8312" s="163"/>
      <c r="C8312" s="163"/>
      <c r="J8312" s="165"/>
      <c r="K8312" s="166"/>
      <c r="L8312" s="166"/>
    </row>
    <row r="8313">
      <c r="A8313" s="163" t="s">
        <v>222</v>
      </c>
      <c r="B8313" s="163"/>
      <c r="C8313" s="163"/>
      <c r="J8313" s="165"/>
      <c r="K8313" s="166"/>
      <c r="L8313" s="166"/>
    </row>
    <row r="8314">
      <c r="A8314" s="163" t="s">
        <v>222</v>
      </c>
      <c r="B8314" s="163"/>
      <c r="C8314" s="163"/>
      <c r="J8314" s="165"/>
      <c r="K8314" s="166"/>
      <c r="L8314" s="166"/>
    </row>
    <row r="8315">
      <c r="A8315" s="163" t="s">
        <v>222</v>
      </c>
      <c r="B8315" s="163"/>
      <c r="C8315" s="163"/>
      <c r="J8315" s="165"/>
      <c r="K8315" s="166"/>
      <c r="L8315" s="166"/>
    </row>
    <row r="8316">
      <c r="A8316" s="163" t="s">
        <v>222</v>
      </c>
      <c r="B8316" s="163"/>
      <c r="C8316" s="163"/>
      <c r="J8316" s="165"/>
      <c r="K8316" s="166"/>
      <c r="L8316" s="166"/>
    </row>
    <row r="8317">
      <c r="A8317" s="163" t="s">
        <v>222</v>
      </c>
      <c r="B8317" s="163"/>
      <c r="C8317" s="163"/>
      <c r="J8317" s="165"/>
      <c r="K8317" s="166"/>
      <c r="L8317" s="166"/>
    </row>
    <row r="8318">
      <c r="A8318" s="163" t="s">
        <v>222</v>
      </c>
      <c r="B8318" s="163"/>
      <c r="C8318" s="163"/>
      <c r="J8318" s="165"/>
      <c r="K8318" s="166"/>
      <c r="L8318" s="166"/>
    </row>
    <row r="8319">
      <c r="A8319" s="163" t="s">
        <v>222</v>
      </c>
      <c r="B8319" s="163"/>
      <c r="C8319" s="163"/>
      <c r="J8319" s="165"/>
      <c r="K8319" s="166"/>
      <c r="L8319" s="166"/>
    </row>
    <row r="8320">
      <c r="A8320" s="163" t="s">
        <v>222</v>
      </c>
      <c r="B8320" s="163"/>
      <c r="C8320" s="163"/>
      <c r="J8320" s="165"/>
      <c r="K8320" s="166"/>
      <c r="L8320" s="166"/>
    </row>
    <row r="8321">
      <c r="A8321" s="163" t="s">
        <v>222</v>
      </c>
      <c r="B8321" s="163"/>
      <c r="C8321" s="163"/>
      <c r="J8321" s="165"/>
      <c r="K8321" s="166"/>
      <c r="L8321" s="166"/>
    </row>
    <row r="8322">
      <c r="A8322" s="163" t="s">
        <v>222</v>
      </c>
      <c r="B8322" s="163"/>
      <c r="C8322" s="163"/>
      <c r="J8322" s="165"/>
      <c r="K8322" s="166"/>
      <c r="L8322" s="166"/>
    </row>
    <row r="8323">
      <c r="A8323" s="163" t="s">
        <v>222</v>
      </c>
      <c r="B8323" s="163"/>
      <c r="C8323" s="163"/>
      <c r="J8323" s="165"/>
      <c r="K8323" s="166"/>
      <c r="L8323" s="166"/>
    </row>
    <row r="8324">
      <c r="A8324" s="163" t="s">
        <v>222</v>
      </c>
      <c r="B8324" s="163"/>
      <c r="C8324" s="163"/>
      <c r="J8324" s="165"/>
      <c r="K8324" s="166"/>
      <c r="L8324" s="166"/>
    </row>
    <row r="8325">
      <c r="A8325" s="163" t="s">
        <v>222</v>
      </c>
      <c r="B8325" s="163"/>
      <c r="C8325" s="163"/>
      <c r="J8325" s="165"/>
      <c r="K8325" s="166"/>
      <c r="L8325" s="166"/>
    </row>
    <row r="8326">
      <c r="A8326" s="163" t="s">
        <v>222</v>
      </c>
      <c r="B8326" s="163"/>
      <c r="C8326" s="163"/>
      <c r="J8326" s="165"/>
      <c r="K8326" s="166"/>
      <c r="L8326" s="166"/>
    </row>
    <row r="8327">
      <c r="A8327" s="163" t="s">
        <v>222</v>
      </c>
      <c r="B8327" s="163"/>
      <c r="C8327" s="163"/>
      <c r="J8327" s="165"/>
      <c r="K8327" s="166"/>
      <c r="L8327" s="166"/>
    </row>
    <row r="8328">
      <c r="A8328" s="163" t="s">
        <v>222</v>
      </c>
      <c r="B8328" s="163"/>
      <c r="C8328" s="163"/>
      <c r="J8328" s="165"/>
      <c r="K8328" s="166"/>
      <c r="L8328" s="166"/>
    </row>
    <row r="8329">
      <c r="A8329" s="163" t="s">
        <v>222</v>
      </c>
      <c r="B8329" s="163"/>
      <c r="C8329" s="163"/>
      <c r="J8329" s="165"/>
      <c r="K8329" s="166"/>
      <c r="L8329" s="166"/>
    </row>
    <row r="8330">
      <c r="A8330" s="163" t="s">
        <v>222</v>
      </c>
      <c r="B8330" s="163"/>
      <c r="C8330" s="163"/>
      <c r="J8330" s="165"/>
      <c r="K8330" s="166"/>
      <c r="L8330" s="166"/>
    </row>
    <row r="8331">
      <c r="A8331" s="163" t="s">
        <v>222</v>
      </c>
      <c r="B8331" s="163"/>
      <c r="C8331" s="163"/>
      <c r="J8331" s="165"/>
      <c r="K8331" s="166"/>
      <c r="L8331" s="166"/>
    </row>
    <row r="8332">
      <c r="A8332" s="163" t="s">
        <v>222</v>
      </c>
      <c r="B8332" s="163"/>
      <c r="C8332" s="163"/>
      <c r="J8332" s="165"/>
      <c r="K8332" s="166"/>
      <c r="L8332" s="166"/>
    </row>
    <row r="8333">
      <c r="A8333" s="163" t="s">
        <v>222</v>
      </c>
      <c r="B8333" s="163"/>
      <c r="C8333" s="163"/>
      <c r="J8333" s="165"/>
      <c r="K8333" s="166"/>
      <c r="L8333" s="166"/>
    </row>
    <row r="8334">
      <c r="A8334" s="163" t="s">
        <v>222</v>
      </c>
      <c r="B8334" s="163"/>
      <c r="C8334" s="163"/>
      <c r="J8334" s="165"/>
      <c r="K8334" s="166"/>
      <c r="L8334" s="166"/>
    </row>
    <row r="8335">
      <c r="A8335" s="163" t="s">
        <v>222</v>
      </c>
      <c r="B8335" s="163"/>
      <c r="C8335" s="163"/>
      <c r="J8335" s="165"/>
      <c r="K8335" s="166"/>
      <c r="L8335" s="166"/>
    </row>
    <row r="8336">
      <c r="A8336" s="163" t="s">
        <v>222</v>
      </c>
      <c r="B8336" s="163"/>
      <c r="C8336" s="163"/>
      <c r="J8336" s="165"/>
      <c r="K8336" s="166"/>
      <c r="L8336" s="166"/>
    </row>
    <row r="8337">
      <c r="A8337" s="163" t="s">
        <v>222</v>
      </c>
      <c r="B8337" s="163"/>
      <c r="C8337" s="163"/>
      <c r="J8337" s="165"/>
      <c r="K8337" s="166"/>
      <c r="L8337" s="166"/>
    </row>
    <row r="8338">
      <c r="A8338" s="163" t="s">
        <v>222</v>
      </c>
      <c r="B8338" s="163"/>
      <c r="C8338" s="163"/>
      <c r="J8338" s="165"/>
      <c r="K8338" s="166"/>
      <c r="L8338" s="166"/>
    </row>
    <row r="8339">
      <c r="A8339" s="163" t="s">
        <v>222</v>
      </c>
      <c r="B8339" s="163"/>
      <c r="C8339" s="163"/>
      <c r="J8339" s="165"/>
      <c r="K8339" s="166"/>
      <c r="L8339" s="166"/>
    </row>
    <row r="8340">
      <c r="A8340" s="163" t="s">
        <v>222</v>
      </c>
      <c r="B8340" s="163"/>
      <c r="C8340" s="163"/>
      <c r="J8340" s="165"/>
      <c r="K8340" s="166"/>
      <c r="L8340" s="166"/>
    </row>
    <row r="8341">
      <c r="A8341" s="163" t="s">
        <v>222</v>
      </c>
      <c r="B8341" s="163"/>
      <c r="C8341" s="163"/>
      <c r="J8341" s="165"/>
      <c r="K8341" s="166"/>
      <c r="L8341" s="166"/>
    </row>
    <row r="8342">
      <c r="A8342" s="163" t="s">
        <v>222</v>
      </c>
      <c r="B8342" s="163"/>
      <c r="C8342" s="163"/>
      <c r="J8342" s="165"/>
      <c r="K8342" s="166"/>
      <c r="L8342" s="166"/>
    </row>
    <row r="8343">
      <c r="A8343" s="163" t="s">
        <v>222</v>
      </c>
      <c r="B8343" s="163"/>
      <c r="C8343" s="163"/>
      <c r="J8343" s="165"/>
      <c r="K8343" s="166"/>
      <c r="L8343" s="166"/>
    </row>
    <row r="8344">
      <c r="A8344" s="163" t="s">
        <v>222</v>
      </c>
      <c r="B8344" s="163"/>
      <c r="C8344" s="163"/>
      <c r="J8344" s="165"/>
      <c r="K8344" s="166"/>
      <c r="L8344" s="166"/>
    </row>
    <row r="8345">
      <c r="A8345" s="163" t="s">
        <v>222</v>
      </c>
      <c r="B8345" s="163"/>
      <c r="C8345" s="163"/>
      <c r="J8345" s="165"/>
      <c r="K8345" s="166"/>
      <c r="L8345" s="166"/>
    </row>
    <row r="8346">
      <c r="A8346" s="163" t="s">
        <v>222</v>
      </c>
      <c r="B8346" s="163"/>
      <c r="C8346" s="163"/>
      <c r="J8346" s="165"/>
      <c r="K8346" s="166"/>
      <c r="L8346" s="166"/>
    </row>
    <row r="8347">
      <c r="A8347" s="163" t="s">
        <v>222</v>
      </c>
      <c r="B8347" s="163"/>
      <c r="C8347" s="163"/>
      <c r="J8347" s="165"/>
      <c r="K8347" s="166"/>
      <c r="L8347" s="166"/>
    </row>
    <row r="8348">
      <c r="A8348" s="163" t="s">
        <v>222</v>
      </c>
      <c r="B8348" s="163"/>
      <c r="C8348" s="163"/>
      <c r="J8348" s="165"/>
      <c r="K8348" s="166"/>
      <c r="L8348" s="166"/>
    </row>
    <row r="8349">
      <c r="A8349" s="163" t="s">
        <v>222</v>
      </c>
      <c r="B8349" s="163"/>
      <c r="C8349" s="163"/>
      <c r="J8349" s="165"/>
      <c r="K8349" s="166"/>
      <c r="L8349" s="166"/>
    </row>
    <row r="8350">
      <c r="A8350" s="163" t="s">
        <v>222</v>
      </c>
      <c r="B8350" s="163"/>
      <c r="C8350" s="163"/>
      <c r="J8350" s="165"/>
      <c r="K8350" s="166"/>
      <c r="L8350" s="166"/>
    </row>
    <row r="8351">
      <c r="A8351" s="163" t="s">
        <v>222</v>
      </c>
      <c r="B8351" s="163"/>
      <c r="C8351" s="163"/>
      <c r="J8351" s="165"/>
      <c r="K8351" s="166"/>
      <c r="L8351" s="166"/>
    </row>
    <row r="8352">
      <c r="A8352" s="163" t="s">
        <v>222</v>
      </c>
      <c r="B8352" s="163"/>
      <c r="C8352" s="163"/>
      <c r="J8352" s="165"/>
      <c r="K8352" s="166"/>
      <c r="L8352" s="166"/>
    </row>
    <row r="8353">
      <c r="A8353" s="163" t="s">
        <v>222</v>
      </c>
      <c r="B8353" s="163"/>
      <c r="C8353" s="163"/>
      <c r="J8353" s="165"/>
      <c r="K8353" s="166"/>
      <c r="L8353" s="166"/>
    </row>
    <row r="8354">
      <c r="A8354" s="163" t="s">
        <v>222</v>
      </c>
      <c r="B8354" s="163"/>
      <c r="C8354" s="163"/>
      <c r="J8354" s="165"/>
      <c r="K8354" s="166"/>
      <c r="L8354" s="166"/>
    </row>
    <row r="8355">
      <c r="A8355" s="163" t="s">
        <v>222</v>
      </c>
      <c r="B8355" s="163"/>
      <c r="C8355" s="163"/>
      <c r="J8355" s="165"/>
      <c r="K8355" s="166"/>
      <c r="L8355" s="166"/>
    </row>
    <row r="8356">
      <c r="A8356" s="163" t="s">
        <v>222</v>
      </c>
      <c r="B8356" s="163"/>
      <c r="C8356" s="163"/>
      <c r="J8356" s="165"/>
      <c r="K8356" s="166"/>
      <c r="L8356" s="166"/>
    </row>
    <row r="8357">
      <c r="A8357" s="163" t="s">
        <v>222</v>
      </c>
      <c r="B8357" s="163"/>
      <c r="C8357" s="163"/>
      <c r="J8357" s="165"/>
      <c r="K8357" s="166"/>
      <c r="L8357" s="166"/>
    </row>
    <row r="8358">
      <c r="A8358" s="163" t="s">
        <v>222</v>
      </c>
      <c r="B8358" s="163"/>
      <c r="C8358" s="163"/>
      <c r="J8358" s="165"/>
      <c r="K8358" s="166"/>
      <c r="L8358" s="166"/>
    </row>
    <row r="8359">
      <c r="A8359" s="163" t="s">
        <v>222</v>
      </c>
      <c r="B8359" s="163"/>
      <c r="C8359" s="163"/>
      <c r="J8359" s="165"/>
      <c r="K8359" s="166"/>
      <c r="L8359" s="166"/>
    </row>
    <row r="8360">
      <c r="A8360" s="163" t="s">
        <v>222</v>
      </c>
      <c r="B8360" s="163"/>
      <c r="C8360" s="163"/>
      <c r="J8360" s="165"/>
      <c r="K8360" s="166"/>
      <c r="L8360" s="166"/>
    </row>
    <row r="8361">
      <c r="A8361" s="163" t="s">
        <v>222</v>
      </c>
      <c r="B8361" s="163"/>
      <c r="C8361" s="163"/>
      <c r="J8361" s="165"/>
      <c r="K8361" s="166"/>
      <c r="L8361" s="166"/>
    </row>
    <row r="8362">
      <c r="A8362" s="163" t="s">
        <v>222</v>
      </c>
      <c r="B8362" s="163"/>
      <c r="C8362" s="163"/>
      <c r="J8362" s="165"/>
      <c r="K8362" s="166"/>
      <c r="L8362" s="166"/>
    </row>
    <row r="8363">
      <c r="A8363" s="163" t="s">
        <v>222</v>
      </c>
      <c r="B8363" s="163"/>
      <c r="C8363" s="163"/>
      <c r="J8363" s="165"/>
      <c r="K8363" s="166"/>
      <c r="L8363" s="166"/>
    </row>
    <row r="8364">
      <c r="A8364" s="163" t="s">
        <v>222</v>
      </c>
      <c r="B8364" s="163"/>
      <c r="C8364" s="163"/>
      <c r="J8364" s="165"/>
      <c r="K8364" s="166"/>
      <c r="L8364" s="166"/>
    </row>
    <row r="8365">
      <c r="A8365" s="163" t="s">
        <v>222</v>
      </c>
      <c r="B8365" s="163"/>
      <c r="C8365" s="163"/>
      <c r="J8365" s="165"/>
      <c r="K8365" s="166"/>
      <c r="L8365" s="166"/>
    </row>
    <row r="8366">
      <c r="A8366" s="163" t="s">
        <v>222</v>
      </c>
      <c r="B8366" s="163"/>
      <c r="C8366" s="163"/>
      <c r="J8366" s="165"/>
      <c r="K8366" s="166"/>
      <c r="L8366" s="166"/>
    </row>
    <row r="8367">
      <c r="A8367" s="163" t="s">
        <v>222</v>
      </c>
      <c r="B8367" s="163"/>
      <c r="C8367" s="163"/>
      <c r="J8367" s="165"/>
      <c r="K8367" s="166"/>
      <c r="L8367" s="166"/>
    </row>
    <row r="8368">
      <c r="A8368" s="163" t="s">
        <v>222</v>
      </c>
      <c r="B8368" s="163"/>
      <c r="C8368" s="163"/>
      <c r="J8368" s="165"/>
      <c r="K8368" s="166"/>
      <c r="L8368" s="166"/>
    </row>
    <row r="8369">
      <c r="A8369" s="163" t="s">
        <v>222</v>
      </c>
      <c r="B8369" s="163"/>
      <c r="C8369" s="163"/>
      <c r="J8369" s="165"/>
      <c r="K8369" s="166"/>
      <c r="L8369" s="166"/>
    </row>
    <row r="8370">
      <c r="A8370" s="163" t="s">
        <v>222</v>
      </c>
      <c r="B8370" s="163"/>
      <c r="C8370" s="163"/>
      <c r="J8370" s="165"/>
      <c r="K8370" s="166"/>
      <c r="L8370" s="166"/>
    </row>
    <row r="8371">
      <c r="A8371" s="163" t="s">
        <v>222</v>
      </c>
      <c r="B8371" s="163"/>
      <c r="C8371" s="163"/>
      <c r="J8371" s="165"/>
      <c r="K8371" s="166"/>
      <c r="L8371" s="166"/>
    </row>
    <row r="8372">
      <c r="A8372" s="163" t="s">
        <v>222</v>
      </c>
      <c r="B8372" s="163"/>
      <c r="C8372" s="163"/>
      <c r="J8372" s="165"/>
      <c r="K8372" s="166"/>
      <c r="L8372" s="166"/>
    </row>
    <row r="8373">
      <c r="A8373" s="163" t="s">
        <v>222</v>
      </c>
      <c r="B8373" s="163"/>
      <c r="C8373" s="163"/>
      <c r="J8373" s="165"/>
      <c r="K8373" s="166"/>
      <c r="L8373" s="166"/>
    </row>
    <row r="8374">
      <c r="A8374" s="163" t="s">
        <v>222</v>
      </c>
      <c r="B8374" s="163"/>
      <c r="C8374" s="163"/>
      <c r="J8374" s="165"/>
      <c r="K8374" s="166"/>
      <c r="L8374" s="166"/>
    </row>
    <row r="8375">
      <c r="A8375" s="163" t="s">
        <v>222</v>
      </c>
      <c r="B8375" s="163"/>
      <c r="C8375" s="163"/>
      <c r="J8375" s="165"/>
      <c r="K8375" s="166"/>
      <c r="L8375" s="166"/>
    </row>
    <row r="8376">
      <c r="A8376" s="163" t="s">
        <v>222</v>
      </c>
      <c r="B8376" s="163"/>
      <c r="C8376" s="163"/>
      <c r="J8376" s="165"/>
      <c r="K8376" s="166"/>
      <c r="L8376" s="166"/>
    </row>
    <row r="8377">
      <c r="A8377" s="163" t="s">
        <v>222</v>
      </c>
      <c r="B8377" s="163"/>
      <c r="C8377" s="163"/>
      <c r="J8377" s="165"/>
      <c r="K8377" s="166"/>
      <c r="L8377" s="166"/>
    </row>
    <row r="8378">
      <c r="A8378" s="163" t="s">
        <v>222</v>
      </c>
      <c r="B8378" s="163"/>
      <c r="C8378" s="163"/>
      <c r="J8378" s="165"/>
      <c r="K8378" s="166"/>
      <c r="L8378" s="166"/>
    </row>
    <row r="8379">
      <c r="A8379" s="163" t="s">
        <v>222</v>
      </c>
      <c r="B8379" s="163"/>
      <c r="C8379" s="163"/>
      <c r="J8379" s="165"/>
      <c r="K8379" s="166"/>
      <c r="L8379" s="166"/>
    </row>
    <row r="8380">
      <c r="A8380" s="163" t="s">
        <v>222</v>
      </c>
      <c r="B8380" s="163"/>
      <c r="C8380" s="163"/>
      <c r="J8380" s="165"/>
      <c r="K8380" s="166"/>
      <c r="L8380" s="166"/>
    </row>
    <row r="8381">
      <c r="A8381" s="163" t="s">
        <v>222</v>
      </c>
      <c r="B8381" s="163"/>
      <c r="C8381" s="163"/>
      <c r="J8381" s="165"/>
      <c r="K8381" s="166"/>
      <c r="L8381" s="166"/>
    </row>
    <row r="8382">
      <c r="A8382" s="163" t="s">
        <v>222</v>
      </c>
      <c r="B8382" s="163"/>
      <c r="C8382" s="163"/>
      <c r="J8382" s="165"/>
      <c r="K8382" s="166"/>
      <c r="L8382" s="166"/>
    </row>
    <row r="8383">
      <c r="A8383" s="163" t="s">
        <v>222</v>
      </c>
      <c r="B8383" s="163"/>
      <c r="C8383" s="163"/>
      <c r="J8383" s="165"/>
      <c r="K8383" s="166"/>
      <c r="L8383" s="166"/>
    </row>
    <row r="8384">
      <c r="A8384" s="163" t="s">
        <v>222</v>
      </c>
      <c r="B8384" s="163"/>
      <c r="C8384" s="163"/>
      <c r="J8384" s="165"/>
      <c r="K8384" s="166"/>
      <c r="L8384" s="166"/>
    </row>
    <row r="8385">
      <c r="A8385" s="163" t="s">
        <v>222</v>
      </c>
      <c r="B8385" s="163"/>
      <c r="C8385" s="163"/>
      <c r="J8385" s="165"/>
      <c r="K8385" s="166"/>
      <c r="L8385" s="166"/>
    </row>
    <row r="8386">
      <c r="A8386" s="163" t="s">
        <v>222</v>
      </c>
      <c r="B8386" s="163"/>
      <c r="C8386" s="163"/>
      <c r="J8386" s="165"/>
      <c r="K8386" s="166"/>
      <c r="L8386" s="166"/>
    </row>
    <row r="8387">
      <c r="A8387" s="163" t="s">
        <v>222</v>
      </c>
      <c r="B8387" s="163"/>
      <c r="C8387" s="163"/>
      <c r="J8387" s="165"/>
      <c r="K8387" s="166"/>
      <c r="L8387" s="166"/>
    </row>
    <row r="8388">
      <c r="A8388" s="163" t="s">
        <v>222</v>
      </c>
      <c r="B8388" s="163"/>
      <c r="C8388" s="163"/>
      <c r="J8388" s="165"/>
      <c r="K8388" s="166"/>
      <c r="L8388" s="166"/>
    </row>
    <row r="8389">
      <c r="A8389" s="163" t="s">
        <v>222</v>
      </c>
      <c r="B8389" s="163"/>
      <c r="C8389" s="163"/>
      <c r="J8389" s="165"/>
      <c r="K8389" s="166"/>
      <c r="L8389" s="166"/>
    </row>
    <row r="8390">
      <c r="A8390" s="163" t="s">
        <v>222</v>
      </c>
      <c r="B8390" s="163"/>
      <c r="C8390" s="163"/>
      <c r="J8390" s="165"/>
      <c r="K8390" s="166"/>
      <c r="L8390" s="166"/>
    </row>
    <row r="8391">
      <c r="A8391" s="163" t="s">
        <v>222</v>
      </c>
      <c r="B8391" s="163"/>
      <c r="C8391" s="163"/>
      <c r="J8391" s="165"/>
      <c r="K8391" s="166"/>
      <c r="L8391" s="166"/>
    </row>
    <row r="8392">
      <c r="A8392" s="163" t="s">
        <v>222</v>
      </c>
      <c r="B8392" s="163"/>
      <c r="C8392" s="163"/>
      <c r="J8392" s="165"/>
      <c r="K8392" s="166"/>
      <c r="L8392" s="166"/>
    </row>
    <row r="8393">
      <c r="A8393" s="163" t="s">
        <v>222</v>
      </c>
      <c r="B8393" s="163"/>
      <c r="C8393" s="163"/>
      <c r="J8393" s="165"/>
      <c r="K8393" s="166"/>
      <c r="L8393" s="166"/>
    </row>
    <row r="8394">
      <c r="A8394" s="163" t="s">
        <v>222</v>
      </c>
      <c r="B8394" s="163"/>
      <c r="C8394" s="163"/>
      <c r="J8394" s="165"/>
      <c r="K8394" s="166"/>
      <c r="L8394" s="166"/>
    </row>
    <row r="8395">
      <c r="A8395" s="163" t="s">
        <v>222</v>
      </c>
      <c r="B8395" s="163"/>
      <c r="C8395" s="163"/>
      <c r="J8395" s="165"/>
      <c r="K8395" s="166"/>
      <c r="L8395" s="166"/>
    </row>
    <row r="8396">
      <c r="A8396" s="163" t="s">
        <v>222</v>
      </c>
      <c r="B8396" s="163"/>
      <c r="C8396" s="163"/>
      <c r="J8396" s="165"/>
      <c r="K8396" s="166"/>
      <c r="L8396" s="166"/>
    </row>
    <row r="8397">
      <c r="A8397" s="163" t="s">
        <v>222</v>
      </c>
      <c r="B8397" s="163"/>
      <c r="C8397" s="163"/>
      <c r="J8397" s="165"/>
      <c r="K8397" s="166"/>
      <c r="L8397" s="166"/>
    </row>
    <row r="8398">
      <c r="A8398" s="163" t="s">
        <v>222</v>
      </c>
      <c r="B8398" s="163"/>
      <c r="C8398" s="163"/>
      <c r="J8398" s="165"/>
      <c r="K8398" s="166"/>
      <c r="L8398" s="166"/>
    </row>
    <row r="8399">
      <c r="A8399" s="163" t="s">
        <v>222</v>
      </c>
      <c r="B8399" s="163"/>
      <c r="C8399" s="163"/>
      <c r="J8399" s="165"/>
      <c r="K8399" s="166"/>
      <c r="L8399" s="166"/>
    </row>
    <row r="8400">
      <c r="A8400" s="163" t="s">
        <v>222</v>
      </c>
      <c r="B8400" s="163"/>
      <c r="C8400" s="163"/>
      <c r="J8400" s="165"/>
      <c r="K8400" s="166"/>
      <c r="L8400" s="166"/>
    </row>
    <row r="8401">
      <c r="A8401" s="163" t="s">
        <v>222</v>
      </c>
      <c r="B8401" s="163"/>
      <c r="C8401" s="163"/>
      <c r="J8401" s="165"/>
      <c r="K8401" s="166"/>
      <c r="L8401" s="166"/>
    </row>
    <row r="8402">
      <c r="A8402" s="163" t="s">
        <v>222</v>
      </c>
      <c r="B8402" s="163"/>
      <c r="C8402" s="163"/>
      <c r="J8402" s="165"/>
      <c r="K8402" s="166"/>
      <c r="L8402" s="166"/>
    </row>
    <row r="8403">
      <c r="A8403" s="163" t="s">
        <v>222</v>
      </c>
      <c r="B8403" s="163"/>
      <c r="C8403" s="163"/>
      <c r="J8403" s="165"/>
      <c r="K8403" s="166"/>
      <c r="L8403" s="166"/>
    </row>
    <row r="8404">
      <c r="A8404" s="163" t="s">
        <v>222</v>
      </c>
      <c r="B8404" s="163"/>
      <c r="C8404" s="163"/>
      <c r="J8404" s="165"/>
      <c r="K8404" s="166"/>
      <c r="L8404" s="166"/>
    </row>
    <row r="8405">
      <c r="A8405" s="163" t="s">
        <v>222</v>
      </c>
      <c r="B8405" s="163"/>
      <c r="C8405" s="163"/>
      <c r="J8405" s="165"/>
      <c r="K8405" s="166"/>
      <c r="L8405" s="166"/>
    </row>
    <row r="8406">
      <c r="A8406" s="163" t="s">
        <v>222</v>
      </c>
      <c r="B8406" s="163"/>
      <c r="C8406" s="163"/>
      <c r="J8406" s="165"/>
      <c r="K8406" s="166"/>
      <c r="L8406" s="166"/>
    </row>
    <row r="8407">
      <c r="A8407" s="163" t="s">
        <v>222</v>
      </c>
      <c r="B8407" s="163"/>
      <c r="C8407" s="163"/>
      <c r="J8407" s="165"/>
      <c r="K8407" s="166"/>
      <c r="L8407" s="166"/>
    </row>
    <row r="8408">
      <c r="A8408" s="163" t="s">
        <v>222</v>
      </c>
      <c r="B8408" s="163"/>
      <c r="C8408" s="163"/>
      <c r="J8408" s="165"/>
      <c r="K8408" s="166"/>
      <c r="L8408" s="166"/>
    </row>
    <row r="8409">
      <c r="A8409" s="163" t="s">
        <v>222</v>
      </c>
      <c r="B8409" s="163"/>
      <c r="C8409" s="163"/>
      <c r="J8409" s="165"/>
      <c r="K8409" s="166"/>
      <c r="L8409" s="166"/>
    </row>
    <row r="8410">
      <c r="A8410" s="163" t="s">
        <v>222</v>
      </c>
      <c r="B8410" s="163"/>
      <c r="C8410" s="163"/>
      <c r="J8410" s="165"/>
      <c r="K8410" s="166"/>
      <c r="L8410" s="166"/>
    </row>
    <row r="8411">
      <c r="A8411" s="163" t="s">
        <v>222</v>
      </c>
      <c r="B8411" s="163"/>
      <c r="C8411" s="163"/>
      <c r="J8411" s="165"/>
      <c r="K8411" s="166"/>
      <c r="L8411" s="166"/>
    </row>
    <row r="8412">
      <c r="A8412" s="163" t="s">
        <v>222</v>
      </c>
      <c r="B8412" s="163"/>
      <c r="C8412" s="163"/>
      <c r="J8412" s="165"/>
      <c r="K8412" s="166"/>
      <c r="L8412" s="166"/>
    </row>
    <row r="8413">
      <c r="A8413" s="163" t="s">
        <v>222</v>
      </c>
      <c r="B8413" s="163"/>
      <c r="C8413" s="163"/>
      <c r="J8413" s="165"/>
      <c r="K8413" s="166"/>
      <c r="L8413" s="166"/>
    </row>
    <row r="8414">
      <c r="A8414" s="163" t="s">
        <v>222</v>
      </c>
      <c r="B8414" s="163"/>
      <c r="C8414" s="163"/>
      <c r="J8414" s="165"/>
      <c r="K8414" s="166"/>
      <c r="L8414" s="166"/>
    </row>
    <row r="8415">
      <c r="A8415" s="163" t="s">
        <v>222</v>
      </c>
      <c r="B8415" s="163"/>
      <c r="C8415" s="163"/>
      <c r="J8415" s="165"/>
      <c r="K8415" s="166"/>
      <c r="L8415" s="166"/>
    </row>
    <row r="8416">
      <c r="A8416" s="163" t="s">
        <v>222</v>
      </c>
      <c r="B8416" s="163"/>
      <c r="C8416" s="163"/>
      <c r="J8416" s="165"/>
      <c r="K8416" s="166"/>
      <c r="L8416" s="166"/>
    </row>
    <row r="8417">
      <c r="A8417" s="163" t="s">
        <v>222</v>
      </c>
      <c r="B8417" s="163"/>
      <c r="C8417" s="163"/>
      <c r="J8417" s="165"/>
      <c r="K8417" s="166"/>
      <c r="L8417" s="166"/>
    </row>
    <row r="8418">
      <c r="A8418" s="163" t="s">
        <v>222</v>
      </c>
      <c r="B8418" s="163"/>
      <c r="C8418" s="163"/>
      <c r="J8418" s="165"/>
      <c r="K8418" s="166"/>
      <c r="L8418" s="166"/>
    </row>
    <row r="8419">
      <c r="A8419" s="163" t="s">
        <v>222</v>
      </c>
      <c r="B8419" s="163"/>
      <c r="C8419" s="163"/>
      <c r="J8419" s="165"/>
      <c r="K8419" s="166"/>
      <c r="L8419" s="166"/>
    </row>
    <row r="8420">
      <c r="A8420" s="163" t="s">
        <v>222</v>
      </c>
      <c r="B8420" s="163"/>
      <c r="C8420" s="163"/>
      <c r="J8420" s="165"/>
      <c r="K8420" s="166"/>
      <c r="L8420" s="166"/>
    </row>
    <row r="8421">
      <c r="A8421" s="163" t="s">
        <v>222</v>
      </c>
      <c r="B8421" s="163"/>
      <c r="C8421" s="163"/>
      <c r="J8421" s="165"/>
      <c r="K8421" s="166"/>
      <c r="L8421" s="166"/>
    </row>
    <row r="8422">
      <c r="A8422" s="163" t="s">
        <v>222</v>
      </c>
      <c r="B8422" s="163"/>
      <c r="C8422" s="163"/>
      <c r="J8422" s="165"/>
      <c r="K8422" s="166"/>
      <c r="L8422" s="166"/>
    </row>
    <row r="8423">
      <c r="A8423" s="163" t="s">
        <v>222</v>
      </c>
      <c r="B8423" s="163"/>
      <c r="C8423" s="163"/>
      <c r="J8423" s="165"/>
      <c r="K8423" s="166"/>
      <c r="L8423" s="166"/>
    </row>
    <row r="8424">
      <c r="A8424" s="163" t="s">
        <v>222</v>
      </c>
      <c r="B8424" s="163"/>
      <c r="C8424" s="163"/>
      <c r="J8424" s="165"/>
      <c r="K8424" s="166"/>
      <c r="L8424" s="166"/>
    </row>
    <row r="8425">
      <c r="A8425" s="163" t="s">
        <v>222</v>
      </c>
      <c r="B8425" s="163"/>
      <c r="C8425" s="163"/>
      <c r="J8425" s="165"/>
      <c r="K8425" s="166"/>
      <c r="L8425" s="166"/>
    </row>
    <row r="8426">
      <c r="A8426" s="163" t="s">
        <v>222</v>
      </c>
      <c r="B8426" s="163"/>
      <c r="C8426" s="163"/>
      <c r="J8426" s="165"/>
      <c r="K8426" s="166"/>
      <c r="L8426" s="166"/>
    </row>
    <row r="8427">
      <c r="A8427" s="163" t="s">
        <v>222</v>
      </c>
      <c r="B8427" s="163"/>
      <c r="C8427" s="163"/>
      <c r="J8427" s="165"/>
      <c r="K8427" s="166"/>
      <c r="L8427" s="166"/>
    </row>
    <row r="8428">
      <c r="A8428" s="163" t="s">
        <v>222</v>
      </c>
      <c r="B8428" s="163"/>
      <c r="C8428" s="163"/>
      <c r="J8428" s="165"/>
      <c r="K8428" s="166"/>
      <c r="L8428" s="166"/>
    </row>
    <row r="8429">
      <c r="A8429" s="163" t="s">
        <v>222</v>
      </c>
      <c r="B8429" s="163"/>
      <c r="C8429" s="163"/>
      <c r="J8429" s="165"/>
      <c r="K8429" s="166"/>
      <c r="L8429" s="166"/>
    </row>
    <row r="8430">
      <c r="A8430" s="163" t="s">
        <v>222</v>
      </c>
      <c r="B8430" s="163"/>
      <c r="C8430" s="163"/>
      <c r="J8430" s="165"/>
      <c r="K8430" s="166"/>
      <c r="L8430" s="166"/>
    </row>
    <row r="8431">
      <c r="A8431" s="163" t="s">
        <v>222</v>
      </c>
      <c r="B8431" s="163"/>
      <c r="C8431" s="163"/>
      <c r="J8431" s="165"/>
      <c r="K8431" s="166"/>
      <c r="L8431" s="166"/>
    </row>
    <row r="8432">
      <c r="A8432" s="163" t="s">
        <v>222</v>
      </c>
      <c r="B8432" s="163"/>
      <c r="C8432" s="163"/>
      <c r="J8432" s="165"/>
      <c r="K8432" s="166"/>
      <c r="L8432" s="166"/>
    </row>
    <row r="8433">
      <c r="A8433" s="163" t="s">
        <v>222</v>
      </c>
      <c r="B8433" s="163"/>
      <c r="C8433" s="163"/>
      <c r="J8433" s="165"/>
      <c r="K8433" s="166"/>
      <c r="L8433" s="166"/>
    </row>
    <row r="8434">
      <c r="A8434" s="163" t="s">
        <v>222</v>
      </c>
      <c r="B8434" s="163"/>
      <c r="C8434" s="163"/>
      <c r="J8434" s="165"/>
      <c r="K8434" s="166"/>
      <c r="L8434" s="166"/>
    </row>
    <row r="8435">
      <c r="A8435" s="163" t="s">
        <v>222</v>
      </c>
      <c r="B8435" s="163"/>
      <c r="C8435" s="163"/>
      <c r="J8435" s="165"/>
      <c r="K8435" s="166"/>
      <c r="L8435" s="166"/>
    </row>
    <row r="8436">
      <c r="A8436" s="163" t="s">
        <v>222</v>
      </c>
      <c r="B8436" s="163"/>
      <c r="C8436" s="163"/>
      <c r="J8436" s="165"/>
      <c r="K8436" s="166"/>
      <c r="L8436" s="166"/>
    </row>
    <row r="8437">
      <c r="A8437" s="163" t="s">
        <v>222</v>
      </c>
      <c r="B8437" s="163"/>
      <c r="C8437" s="163"/>
      <c r="J8437" s="165"/>
      <c r="K8437" s="166"/>
      <c r="L8437" s="166"/>
    </row>
    <row r="8438">
      <c r="A8438" s="163" t="s">
        <v>222</v>
      </c>
      <c r="B8438" s="163"/>
      <c r="C8438" s="163"/>
      <c r="J8438" s="165"/>
      <c r="K8438" s="166"/>
      <c r="L8438" s="166"/>
    </row>
    <row r="8439">
      <c r="A8439" s="163" t="s">
        <v>222</v>
      </c>
      <c r="B8439" s="163"/>
      <c r="C8439" s="163"/>
      <c r="J8439" s="165"/>
      <c r="K8439" s="166"/>
      <c r="L8439" s="166"/>
    </row>
    <row r="8440">
      <c r="A8440" s="163" t="s">
        <v>222</v>
      </c>
      <c r="B8440" s="163"/>
      <c r="C8440" s="163"/>
      <c r="J8440" s="165"/>
      <c r="K8440" s="166"/>
      <c r="L8440" s="166"/>
    </row>
    <row r="8441">
      <c r="A8441" s="163" t="s">
        <v>222</v>
      </c>
      <c r="B8441" s="163"/>
      <c r="C8441" s="163"/>
      <c r="J8441" s="165"/>
      <c r="K8441" s="166"/>
      <c r="L8441" s="166"/>
    </row>
    <row r="8442">
      <c r="A8442" s="163" t="s">
        <v>222</v>
      </c>
      <c r="B8442" s="163"/>
      <c r="C8442" s="163"/>
      <c r="J8442" s="165"/>
      <c r="K8442" s="166"/>
      <c r="L8442" s="166"/>
    </row>
    <row r="8443">
      <c r="A8443" s="163" t="s">
        <v>222</v>
      </c>
      <c r="B8443" s="163"/>
      <c r="C8443" s="163"/>
      <c r="J8443" s="165"/>
      <c r="K8443" s="166"/>
      <c r="L8443" s="166"/>
    </row>
    <row r="8444">
      <c r="A8444" s="163" t="s">
        <v>222</v>
      </c>
      <c r="B8444" s="163"/>
      <c r="C8444" s="163"/>
      <c r="J8444" s="165"/>
      <c r="K8444" s="166"/>
      <c r="L8444" s="166"/>
    </row>
    <row r="8445">
      <c r="A8445" s="163" t="s">
        <v>222</v>
      </c>
      <c r="B8445" s="163"/>
      <c r="C8445" s="163"/>
      <c r="J8445" s="165"/>
      <c r="K8445" s="166"/>
      <c r="L8445" s="166"/>
    </row>
    <row r="8446">
      <c r="A8446" s="163" t="s">
        <v>222</v>
      </c>
      <c r="B8446" s="163"/>
      <c r="C8446" s="163"/>
      <c r="J8446" s="165"/>
      <c r="K8446" s="166"/>
      <c r="L8446" s="166"/>
    </row>
    <row r="8447">
      <c r="A8447" s="163" t="s">
        <v>222</v>
      </c>
      <c r="B8447" s="163"/>
      <c r="C8447" s="163"/>
      <c r="J8447" s="165"/>
      <c r="K8447" s="166"/>
      <c r="L8447" s="166"/>
    </row>
    <row r="8448">
      <c r="A8448" s="163" t="s">
        <v>222</v>
      </c>
      <c r="B8448" s="163"/>
      <c r="C8448" s="163"/>
      <c r="J8448" s="165"/>
      <c r="K8448" s="166"/>
      <c r="L8448" s="166"/>
    </row>
    <row r="8449">
      <c r="A8449" s="163" t="s">
        <v>222</v>
      </c>
      <c r="B8449" s="163"/>
      <c r="C8449" s="163"/>
      <c r="J8449" s="165"/>
      <c r="K8449" s="166"/>
      <c r="L8449" s="166"/>
    </row>
    <row r="8450">
      <c r="A8450" s="163" t="s">
        <v>222</v>
      </c>
      <c r="B8450" s="163"/>
      <c r="C8450" s="163"/>
      <c r="J8450" s="165"/>
      <c r="K8450" s="166"/>
      <c r="L8450" s="166"/>
    </row>
    <row r="8451">
      <c r="A8451" s="163" t="s">
        <v>222</v>
      </c>
      <c r="B8451" s="163"/>
      <c r="C8451" s="163"/>
      <c r="J8451" s="165"/>
      <c r="K8451" s="166"/>
      <c r="L8451" s="166"/>
    </row>
    <row r="8452">
      <c r="A8452" s="163" t="s">
        <v>222</v>
      </c>
      <c r="B8452" s="163"/>
      <c r="C8452" s="163"/>
      <c r="J8452" s="165"/>
      <c r="K8452" s="166"/>
      <c r="L8452" s="166"/>
    </row>
    <row r="8453">
      <c r="A8453" s="163" t="s">
        <v>222</v>
      </c>
      <c r="B8453" s="163"/>
      <c r="C8453" s="163"/>
      <c r="J8453" s="165"/>
      <c r="K8453" s="166"/>
      <c r="L8453" s="166"/>
    </row>
    <row r="8454">
      <c r="A8454" s="163" t="s">
        <v>222</v>
      </c>
      <c r="B8454" s="163"/>
      <c r="C8454" s="163"/>
      <c r="J8454" s="165"/>
      <c r="K8454" s="166"/>
      <c r="L8454" s="166"/>
    </row>
    <row r="8455">
      <c r="A8455" s="163" t="s">
        <v>222</v>
      </c>
      <c r="B8455" s="163"/>
      <c r="C8455" s="163"/>
      <c r="J8455" s="165"/>
      <c r="K8455" s="166"/>
      <c r="L8455" s="166"/>
    </row>
    <row r="8456">
      <c r="A8456" s="163" t="s">
        <v>222</v>
      </c>
      <c r="B8456" s="163"/>
      <c r="C8456" s="163"/>
      <c r="J8456" s="165"/>
      <c r="K8456" s="166"/>
      <c r="L8456" s="166"/>
    </row>
    <row r="8457">
      <c r="A8457" s="163" t="s">
        <v>222</v>
      </c>
      <c r="B8457" s="163"/>
      <c r="C8457" s="163"/>
      <c r="J8457" s="165"/>
      <c r="K8457" s="166"/>
      <c r="L8457" s="166"/>
    </row>
    <row r="8458">
      <c r="A8458" s="163" t="s">
        <v>222</v>
      </c>
      <c r="B8458" s="163"/>
      <c r="C8458" s="163"/>
      <c r="J8458" s="165"/>
      <c r="K8458" s="166"/>
      <c r="L8458" s="166"/>
    </row>
    <row r="8459">
      <c r="A8459" s="163" t="s">
        <v>222</v>
      </c>
      <c r="B8459" s="163"/>
      <c r="C8459" s="163"/>
      <c r="J8459" s="165"/>
      <c r="K8459" s="166"/>
      <c r="L8459" s="166"/>
    </row>
    <row r="8460">
      <c r="A8460" s="163" t="s">
        <v>222</v>
      </c>
      <c r="B8460" s="163"/>
      <c r="C8460" s="163"/>
      <c r="J8460" s="165"/>
      <c r="K8460" s="166"/>
      <c r="L8460" s="166"/>
    </row>
    <row r="8461">
      <c r="A8461" s="163" t="s">
        <v>222</v>
      </c>
      <c r="B8461" s="163"/>
      <c r="C8461" s="163"/>
      <c r="J8461" s="165"/>
      <c r="K8461" s="166"/>
      <c r="L8461" s="166"/>
    </row>
    <row r="8462">
      <c r="A8462" s="163" t="s">
        <v>222</v>
      </c>
      <c r="B8462" s="163"/>
      <c r="C8462" s="163"/>
      <c r="J8462" s="165"/>
      <c r="K8462" s="166"/>
      <c r="L8462" s="166"/>
    </row>
    <row r="8463">
      <c r="A8463" s="163" t="s">
        <v>222</v>
      </c>
      <c r="B8463" s="163"/>
      <c r="C8463" s="163"/>
      <c r="J8463" s="165"/>
      <c r="K8463" s="166"/>
      <c r="L8463" s="166"/>
    </row>
    <row r="8464">
      <c r="A8464" s="163" t="s">
        <v>222</v>
      </c>
      <c r="B8464" s="163"/>
      <c r="C8464" s="163"/>
      <c r="J8464" s="165"/>
      <c r="K8464" s="166"/>
      <c r="L8464" s="166"/>
    </row>
    <row r="8465">
      <c r="A8465" s="163" t="s">
        <v>222</v>
      </c>
      <c r="B8465" s="163"/>
      <c r="C8465" s="163"/>
      <c r="J8465" s="165"/>
      <c r="K8465" s="166"/>
      <c r="L8465" s="166"/>
    </row>
    <row r="8466">
      <c r="A8466" s="163" t="s">
        <v>222</v>
      </c>
      <c r="B8466" s="163"/>
      <c r="C8466" s="163"/>
      <c r="J8466" s="165"/>
      <c r="K8466" s="166"/>
      <c r="L8466" s="166"/>
    </row>
    <row r="8467">
      <c r="A8467" s="163" t="s">
        <v>222</v>
      </c>
      <c r="B8467" s="163"/>
      <c r="C8467" s="163"/>
      <c r="J8467" s="165"/>
      <c r="K8467" s="166"/>
      <c r="L8467" s="166"/>
    </row>
    <row r="8468">
      <c r="A8468" s="163" t="s">
        <v>222</v>
      </c>
      <c r="B8468" s="163"/>
      <c r="C8468" s="163"/>
      <c r="J8468" s="165"/>
      <c r="K8468" s="166"/>
      <c r="L8468" s="166"/>
    </row>
    <row r="8469">
      <c r="A8469" s="163" t="s">
        <v>222</v>
      </c>
      <c r="B8469" s="163"/>
      <c r="C8469" s="163"/>
      <c r="J8469" s="165"/>
      <c r="K8469" s="166"/>
      <c r="L8469" s="166"/>
    </row>
    <row r="8470">
      <c r="A8470" s="163" t="s">
        <v>222</v>
      </c>
      <c r="B8470" s="163"/>
      <c r="C8470" s="163"/>
      <c r="J8470" s="165"/>
      <c r="K8470" s="166"/>
      <c r="L8470" s="166"/>
    </row>
    <row r="8471">
      <c r="A8471" s="163" t="s">
        <v>222</v>
      </c>
      <c r="B8471" s="163"/>
      <c r="C8471" s="163"/>
      <c r="J8471" s="165"/>
      <c r="K8471" s="166"/>
      <c r="L8471" s="166"/>
    </row>
    <row r="8472">
      <c r="A8472" s="163" t="s">
        <v>222</v>
      </c>
      <c r="B8472" s="163"/>
      <c r="C8472" s="163"/>
      <c r="J8472" s="165"/>
      <c r="K8472" s="166"/>
      <c r="L8472" s="166"/>
    </row>
    <row r="8473">
      <c r="A8473" s="163" t="s">
        <v>222</v>
      </c>
      <c r="B8473" s="163"/>
      <c r="C8473" s="163"/>
      <c r="J8473" s="165"/>
      <c r="K8473" s="166"/>
      <c r="L8473" s="166"/>
    </row>
    <row r="8474">
      <c r="A8474" s="163" t="s">
        <v>222</v>
      </c>
      <c r="B8474" s="163"/>
      <c r="C8474" s="163"/>
      <c r="J8474" s="165"/>
      <c r="K8474" s="166"/>
      <c r="L8474" s="166"/>
    </row>
    <row r="8475">
      <c r="A8475" s="163" t="s">
        <v>222</v>
      </c>
      <c r="B8475" s="163"/>
      <c r="C8475" s="163"/>
      <c r="J8475" s="165"/>
      <c r="K8475" s="166"/>
      <c r="L8475" s="166"/>
    </row>
    <row r="8476">
      <c r="A8476" s="163" t="s">
        <v>222</v>
      </c>
      <c r="B8476" s="163"/>
      <c r="C8476" s="163"/>
      <c r="J8476" s="165"/>
      <c r="K8476" s="166"/>
      <c r="L8476" s="166"/>
    </row>
    <row r="8477">
      <c r="A8477" s="163" t="s">
        <v>222</v>
      </c>
      <c r="B8477" s="163"/>
      <c r="C8477" s="163"/>
      <c r="J8477" s="165"/>
      <c r="K8477" s="166"/>
      <c r="L8477" s="166"/>
    </row>
    <row r="8478">
      <c r="A8478" s="163" t="s">
        <v>222</v>
      </c>
      <c r="B8478" s="163"/>
      <c r="C8478" s="163"/>
      <c r="J8478" s="165"/>
      <c r="K8478" s="166"/>
      <c r="L8478" s="166"/>
    </row>
    <row r="8479">
      <c r="A8479" s="163" t="s">
        <v>222</v>
      </c>
      <c r="B8479" s="163"/>
      <c r="C8479" s="163"/>
      <c r="J8479" s="165"/>
      <c r="K8479" s="166"/>
      <c r="L8479" s="166"/>
    </row>
    <row r="8480">
      <c r="A8480" s="163" t="s">
        <v>222</v>
      </c>
      <c r="B8480" s="163"/>
      <c r="C8480" s="163"/>
      <c r="J8480" s="165"/>
      <c r="K8480" s="166"/>
      <c r="L8480" s="166"/>
    </row>
    <row r="8481">
      <c r="A8481" s="163" t="s">
        <v>222</v>
      </c>
      <c r="B8481" s="163"/>
      <c r="C8481" s="163"/>
      <c r="J8481" s="165"/>
      <c r="K8481" s="166"/>
      <c r="L8481" s="166"/>
    </row>
    <row r="8482">
      <c r="A8482" s="163" t="s">
        <v>222</v>
      </c>
      <c r="B8482" s="163"/>
      <c r="C8482" s="163"/>
      <c r="J8482" s="165"/>
      <c r="K8482" s="166"/>
      <c r="L8482" s="166"/>
    </row>
    <row r="8483">
      <c r="A8483" s="163" t="s">
        <v>222</v>
      </c>
      <c r="B8483" s="163"/>
      <c r="C8483" s="163"/>
      <c r="J8483" s="165"/>
      <c r="K8483" s="166"/>
      <c r="L8483" s="166"/>
    </row>
    <row r="8484">
      <c r="A8484" s="163" t="s">
        <v>222</v>
      </c>
      <c r="B8484" s="163"/>
      <c r="C8484" s="163"/>
      <c r="J8484" s="165"/>
      <c r="K8484" s="166"/>
      <c r="L8484" s="166"/>
    </row>
    <row r="8485">
      <c r="A8485" s="163" t="s">
        <v>222</v>
      </c>
      <c r="B8485" s="163"/>
      <c r="C8485" s="163"/>
      <c r="J8485" s="165"/>
      <c r="K8485" s="166"/>
      <c r="L8485" s="166"/>
    </row>
    <row r="8486">
      <c r="A8486" s="163" t="s">
        <v>222</v>
      </c>
      <c r="B8486" s="163"/>
      <c r="C8486" s="163"/>
      <c r="J8486" s="165"/>
      <c r="K8486" s="166"/>
      <c r="L8486" s="166"/>
    </row>
    <row r="8487">
      <c r="A8487" s="163" t="s">
        <v>222</v>
      </c>
      <c r="B8487" s="163"/>
      <c r="C8487" s="163"/>
      <c r="J8487" s="165"/>
      <c r="K8487" s="166"/>
      <c r="L8487" s="166"/>
    </row>
    <row r="8488">
      <c r="A8488" s="163" t="s">
        <v>222</v>
      </c>
      <c r="B8488" s="163"/>
      <c r="C8488" s="163"/>
      <c r="J8488" s="165"/>
      <c r="K8488" s="166"/>
      <c r="L8488" s="166"/>
    </row>
    <row r="8489">
      <c r="A8489" s="163" t="s">
        <v>222</v>
      </c>
      <c r="B8489" s="163"/>
      <c r="C8489" s="163"/>
      <c r="J8489" s="165"/>
      <c r="K8489" s="166"/>
      <c r="L8489" s="166"/>
    </row>
    <row r="8490">
      <c r="A8490" s="163" t="s">
        <v>222</v>
      </c>
      <c r="B8490" s="163"/>
      <c r="C8490" s="163"/>
      <c r="J8490" s="165"/>
      <c r="K8490" s="166"/>
      <c r="L8490" s="166"/>
    </row>
    <row r="8491">
      <c r="A8491" s="163" t="s">
        <v>222</v>
      </c>
      <c r="B8491" s="163"/>
      <c r="C8491" s="163"/>
      <c r="J8491" s="165"/>
      <c r="K8491" s="166"/>
      <c r="L8491" s="166"/>
    </row>
    <row r="8492">
      <c r="A8492" s="163" t="s">
        <v>222</v>
      </c>
      <c r="B8492" s="163"/>
      <c r="C8492" s="163"/>
      <c r="J8492" s="165"/>
      <c r="K8492" s="166"/>
      <c r="L8492" s="166"/>
    </row>
    <row r="8493">
      <c r="A8493" s="163" t="s">
        <v>222</v>
      </c>
      <c r="B8493" s="163"/>
      <c r="C8493" s="163"/>
      <c r="J8493" s="165"/>
      <c r="K8493" s="166"/>
      <c r="L8493" s="166"/>
    </row>
    <row r="8494">
      <c r="A8494" s="163" t="s">
        <v>222</v>
      </c>
      <c r="B8494" s="163"/>
      <c r="C8494" s="163"/>
      <c r="J8494" s="165"/>
      <c r="K8494" s="166"/>
      <c r="L8494" s="166"/>
    </row>
    <row r="8495">
      <c r="A8495" s="163" t="s">
        <v>222</v>
      </c>
      <c r="B8495" s="163"/>
      <c r="C8495" s="163"/>
      <c r="J8495" s="165"/>
      <c r="K8495" s="166"/>
      <c r="L8495" s="166"/>
    </row>
    <row r="8496">
      <c r="A8496" s="163" t="s">
        <v>222</v>
      </c>
      <c r="B8496" s="163"/>
      <c r="C8496" s="163"/>
      <c r="J8496" s="165"/>
      <c r="K8496" s="166"/>
      <c r="L8496" s="166"/>
    </row>
    <row r="8497">
      <c r="A8497" s="163" t="s">
        <v>222</v>
      </c>
      <c r="B8497" s="163"/>
      <c r="C8497" s="163"/>
      <c r="J8497" s="165"/>
      <c r="K8497" s="166"/>
      <c r="L8497" s="166"/>
    </row>
    <row r="8498">
      <c r="A8498" s="163" t="s">
        <v>222</v>
      </c>
      <c r="B8498" s="163"/>
      <c r="C8498" s="163"/>
      <c r="J8498" s="165"/>
      <c r="K8498" s="166"/>
      <c r="L8498" s="166"/>
    </row>
    <row r="8499">
      <c r="A8499" s="163" t="s">
        <v>222</v>
      </c>
      <c r="B8499" s="163"/>
      <c r="C8499" s="163"/>
      <c r="J8499" s="165"/>
      <c r="K8499" s="166"/>
      <c r="L8499" s="166"/>
    </row>
    <row r="8500">
      <c r="A8500" s="163" t="s">
        <v>222</v>
      </c>
      <c r="B8500" s="163"/>
      <c r="C8500" s="163"/>
      <c r="J8500" s="165"/>
      <c r="K8500" s="166"/>
      <c r="L8500" s="166"/>
    </row>
    <row r="8501">
      <c r="A8501" s="163" t="s">
        <v>222</v>
      </c>
      <c r="B8501" s="163"/>
      <c r="C8501" s="163"/>
      <c r="J8501" s="165"/>
      <c r="K8501" s="166"/>
      <c r="L8501" s="166"/>
    </row>
    <row r="8502">
      <c r="A8502" s="163" t="s">
        <v>222</v>
      </c>
      <c r="B8502" s="163"/>
      <c r="C8502" s="163"/>
      <c r="J8502" s="165"/>
      <c r="K8502" s="166"/>
      <c r="L8502" s="166"/>
    </row>
    <row r="8503">
      <c r="A8503" s="163" t="s">
        <v>222</v>
      </c>
      <c r="B8503" s="163"/>
      <c r="C8503" s="163"/>
      <c r="J8503" s="165"/>
      <c r="K8503" s="166"/>
      <c r="L8503" s="166"/>
    </row>
    <row r="8504">
      <c r="A8504" s="163" t="s">
        <v>222</v>
      </c>
      <c r="B8504" s="163"/>
      <c r="C8504" s="163"/>
      <c r="J8504" s="165"/>
      <c r="K8504" s="166"/>
      <c r="L8504" s="166"/>
    </row>
    <row r="8505">
      <c r="A8505" s="163" t="s">
        <v>222</v>
      </c>
      <c r="B8505" s="163"/>
      <c r="C8505" s="163"/>
      <c r="J8505" s="165"/>
      <c r="K8505" s="166"/>
      <c r="L8505" s="166"/>
    </row>
    <row r="8506">
      <c r="A8506" s="163" t="s">
        <v>222</v>
      </c>
      <c r="B8506" s="163"/>
      <c r="C8506" s="163"/>
      <c r="J8506" s="165"/>
      <c r="K8506" s="166"/>
      <c r="L8506" s="166"/>
    </row>
    <row r="8507">
      <c r="A8507" s="163" t="s">
        <v>222</v>
      </c>
      <c r="B8507" s="163"/>
      <c r="C8507" s="163"/>
      <c r="J8507" s="165"/>
      <c r="K8507" s="166"/>
      <c r="L8507" s="166"/>
    </row>
    <row r="8508">
      <c r="A8508" s="163" t="s">
        <v>222</v>
      </c>
      <c r="B8508" s="163"/>
      <c r="C8508" s="163"/>
      <c r="J8508" s="165"/>
      <c r="K8508" s="166"/>
      <c r="L8508" s="166"/>
    </row>
    <row r="8509">
      <c r="A8509" s="163" t="s">
        <v>222</v>
      </c>
      <c r="B8509" s="163"/>
      <c r="C8509" s="163"/>
      <c r="J8509" s="165"/>
      <c r="K8509" s="166"/>
      <c r="L8509" s="166"/>
    </row>
    <row r="8510">
      <c r="A8510" s="163" t="s">
        <v>222</v>
      </c>
      <c r="B8510" s="163"/>
      <c r="C8510" s="163"/>
      <c r="J8510" s="165"/>
      <c r="K8510" s="166"/>
      <c r="L8510" s="166"/>
    </row>
    <row r="8511">
      <c r="A8511" s="163" t="s">
        <v>222</v>
      </c>
      <c r="B8511" s="163"/>
      <c r="C8511" s="163"/>
      <c r="J8511" s="165"/>
      <c r="K8511" s="166"/>
      <c r="L8511" s="166"/>
    </row>
    <row r="8512">
      <c r="A8512" s="163" t="s">
        <v>222</v>
      </c>
      <c r="B8512" s="163"/>
      <c r="C8512" s="163"/>
      <c r="J8512" s="165"/>
      <c r="K8512" s="166"/>
      <c r="L8512" s="166"/>
    </row>
    <row r="8513">
      <c r="A8513" s="163" t="s">
        <v>222</v>
      </c>
      <c r="B8513" s="163"/>
      <c r="C8513" s="163"/>
      <c r="J8513" s="165"/>
      <c r="K8513" s="166"/>
      <c r="L8513" s="166"/>
    </row>
    <row r="8514">
      <c r="A8514" s="163" t="s">
        <v>222</v>
      </c>
      <c r="B8514" s="163"/>
      <c r="C8514" s="163"/>
      <c r="J8514" s="165"/>
      <c r="K8514" s="166"/>
      <c r="L8514" s="166"/>
    </row>
    <row r="8515">
      <c r="A8515" s="163" t="s">
        <v>222</v>
      </c>
      <c r="B8515" s="163"/>
      <c r="C8515" s="163"/>
      <c r="J8515" s="165"/>
      <c r="K8515" s="166"/>
      <c r="L8515" s="166"/>
    </row>
    <row r="8516">
      <c r="A8516" s="163" t="s">
        <v>222</v>
      </c>
      <c r="B8516" s="163"/>
      <c r="C8516" s="163"/>
      <c r="J8516" s="165"/>
      <c r="K8516" s="166"/>
      <c r="L8516" s="166"/>
    </row>
    <row r="8517">
      <c r="A8517" s="163" t="s">
        <v>222</v>
      </c>
      <c r="B8517" s="163"/>
      <c r="C8517" s="163"/>
      <c r="J8517" s="165"/>
      <c r="K8517" s="166"/>
      <c r="L8517" s="166"/>
    </row>
    <row r="8518">
      <c r="A8518" s="163" t="s">
        <v>222</v>
      </c>
      <c r="B8518" s="163"/>
      <c r="C8518" s="163"/>
      <c r="J8518" s="165"/>
      <c r="K8518" s="166"/>
      <c r="L8518" s="166"/>
    </row>
    <row r="8519">
      <c r="A8519" s="163" t="s">
        <v>222</v>
      </c>
      <c r="B8519" s="163"/>
      <c r="C8519" s="163"/>
      <c r="J8519" s="165"/>
      <c r="K8519" s="166"/>
      <c r="L8519" s="166"/>
    </row>
    <row r="8520">
      <c r="A8520" s="163" t="s">
        <v>222</v>
      </c>
      <c r="B8520" s="163"/>
      <c r="C8520" s="163"/>
      <c r="J8520" s="165"/>
      <c r="K8520" s="166"/>
      <c r="L8520" s="166"/>
    </row>
    <row r="8521">
      <c r="A8521" s="163" t="s">
        <v>222</v>
      </c>
      <c r="B8521" s="163"/>
      <c r="C8521" s="163"/>
      <c r="J8521" s="165"/>
      <c r="K8521" s="166"/>
      <c r="L8521" s="166"/>
    </row>
    <row r="8522">
      <c r="A8522" s="163" t="s">
        <v>222</v>
      </c>
      <c r="B8522" s="163"/>
      <c r="C8522" s="163"/>
      <c r="J8522" s="165"/>
      <c r="K8522" s="166"/>
      <c r="L8522" s="166"/>
    </row>
    <row r="8523">
      <c r="A8523" s="163" t="s">
        <v>222</v>
      </c>
      <c r="B8523" s="163"/>
      <c r="C8523" s="163"/>
      <c r="J8523" s="165"/>
      <c r="K8523" s="166"/>
      <c r="L8523" s="166"/>
    </row>
    <row r="8524">
      <c r="A8524" s="163" t="s">
        <v>222</v>
      </c>
      <c r="B8524" s="163"/>
      <c r="C8524" s="163"/>
      <c r="J8524" s="165"/>
      <c r="K8524" s="166"/>
      <c r="L8524" s="166"/>
    </row>
    <row r="8525">
      <c r="A8525" s="163" t="s">
        <v>222</v>
      </c>
      <c r="B8525" s="163"/>
      <c r="C8525" s="163"/>
      <c r="J8525" s="165"/>
      <c r="K8525" s="166"/>
      <c r="L8525" s="166"/>
    </row>
    <row r="8526">
      <c r="A8526" s="163" t="s">
        <v>222</v>
      </c>
      <c r="B8526" s="163"/>
      <c r="C8526" s="163"/>
      <c r="J8526" s="165"/>
      <c r="K8526" s="166"/>
      <c r="L8526" s="166"/>
    </row>
    <row r="8527">
      <c r="A8527" s="163" t="s">
        <v>222</v>
      </c>
      <c r="B8527" s="163"/>
      <c r="C8527" s="163"/>
      <c r="J8527" s="165"/>
      <c r="K8527" s="166"/>
      <c r="L8527" s="166"/>
    </row>
    <row r="8528">
      <c r="A8528" s="163" t="s">
        <v>222</v>
      </c>
      <c r="B8528" s="163"/>
      <c r="C8528" s="163"/>
      <c r="J8528" s="165"/>
      <c r="K8528" s="166"/>
      <c r="L8528" s="166"/>
    </row>
    <row r="8529">
      <c r="A8529" s="163" t="s">
        <v>222</v>
      </c>
      <c r="B8529" s="163"/>
      <c r="C8529" s="163"/>
      <c r="J8529" s="165"/>
      <c r="K8529" s="166"/>
      <c r="L8529" s="166"/>
    </row>
    <row r="8530">
      <c r="A8530" s="163" t="s">
        <v>222</v>
      </c>
      <c r="B8530" s="163"/>
      <c r="C8530" s="163"/>
      <c r="J8530" s="165"/>
      <c r="K8530" s="166"/>
      <c r="L8530" s="166"/>
    </row>
    <row r="8531">
      <c r="A8531" s="163" t="s">
        <v>222</v>
      </c>
      <c r="B8531" s="163"/>
      <c r="C8531" s="163"/>
      <c r="J8531" s="165"/>
      <c r="K8531" s="166"/>
      <c r="L8531" s="166"/>
    </row>
    <row r="8532">
      <c r="A8532" s="163" t="s">
        <v>222</v>
      </c>
      <c r="B8532" s="163"/>
      <c r="C8532" s="163"/>
      <c r="J8532" s="165"/>
      <c r="K8532" s="166"/>
      <c r="L8532" s="166"/>
    </row>
    <row r="8533">
      <c r="A8533" s="163" t="s">
        <v>222</v>
      </c>
      <c r="B8533" s="163"/>
      <c r="C8533" s="163"/>
      <c r="J8533" s="165"/>
      <c r="K8533" s="166"/>
      <c r="L8533" s="166"/>
    </row>
    <row r="8534">
      <c r="A8534" s="163" t="s">
        <v>222</v>
      </c>
      <c r="B8534" s="163"/>
      <c r="C8534" s="163"/>
      <c r="J8534" s="165"/>
      <c r="K8534" s="166"/>
      <c r="L8534" s="166"/>
    </row>
    <row r="8535">
      <c r="A8535" s="163" t="s">
        <v>222</v>
      </c>
      <c r="B8535" s="163"/>
      <c r="C8535" s="163"/>
      <c r="J8535" s="165"/>
      <c r="K8535" s="166"/>
      <c r="L8535" s="166"/>
    </row>
    <row r="8536">
      <c r="A8536" s="163" t="s">
        <v>222</v>
      </c>
      <c r="B8536" s="163"/>
      <c r="C8536" s="163"/>
      <c r="J8536" s="165"/>
      <c r="K8536" s="166"/>
      <c r="L8536" s="166"/>
    </row>
    <row r="8537">
      <c r="A8537" s="163" t="s">
        <v>222</v>
      </c>
      <c r="B8537" s="163"/>
      <c r="C8537" s="163"/>
      <c r="J8537" s="165"/>
      <c r="K8537" s="166"/>
      <c r="L8537" s="166"/>
    </row>
    <row r="8538">
      <c r="A8538" s="163" t="s">
        <v>222</v>
      </c>
      <c r="B8538" s="163"/>
      <c r="C8538" s="163"/>
      <c r="J8538" s="165"/>
      <c r="K8538" s="166"/>
      <c r="L8538" s="166"/>
    </row>
    <row r="8539">
      <c r="A8539" s="163" t="s">
        <v>222</v>
      </c>
      <c r="B8539" s="163"/>
      <c r="C8539" s="163"/>
      <c r="J8539" s="165"/>
      <c r="K8539" s="166"/>
      <c r="L8539" s="166"/>
    </row>
    <row r="8540">
      <c r="A8540" s="163" t="s">
        <v>222</v>
      </c>
      <c r="B8540" s="163"/>
      <c r="C8540" s="163"/>
      <c r="J8540" s="165"/>
      <c r="K8540" s="166"/>
      <c r="L8540" s="166"/>
    </row>
    <row r="8541">
      <c r="A8541" s="163" t="s">
        <v>222</v>
      </c>
      <c r="B8541" s="163"/>
      <c r="C8541" s="163"/>
      <c r="J8541" s="165"/>
      <c r="K8541" s="166"/>
      <c r="L8541" s="166"/>
    </row>
    <row r="8542">
      <c r="A8542" s="163" t="s">
        <v>222</v>
      </c>
      <c r="B8542" s="163"/>
      <c r="C8542" s="163"/>
      <c r="J8542" s="165"/>
      <c r="K8542" s="166"/>
      <c r="L8542" s="166"/>
    </row>
    <row r="8543">
      <c r="A8543" s="163" t="s">
        <v>222</v>
      </c>
      <c r="B8543" s="163"/>
      <c r="C8543" s="163"/>
      <c r="J8543" s="165"/>
      <c r="K8543" s="166"/>
      <c r="L8543" s="166"/>
    </row>
    <row r="8544">
      <c r="A8544" s="163" t="s">
        <v>222</v>
      </c>
      <c r="B8544" s="163"/>
      <c r="C8544" s="163"/>
      <c r="J8544" s="165"/>
      <c r="K8544" s="166"/>
      <c r="L8544" s="166"/>
    </row>
    <row r="8545">
      <c r="A8545" s="163" t="s">
        <v>222</v>
      </c>
      <c r="B8545" s="163"/>
      <c r="C8545" s="163"/>
      <c r="J8545" s="165"/>
      <c r="K8545" s="166"/>
      <c r="L8545" s="166"/>
    </row>
    <row r="8546">
      <c r="A8546" s="163" t="s">
        <v>222</v>
      </c>
      <c r="B8546" s="163"/>
      <c r="C8546" s="163"/>
      <c r="J8546" s="165"/>
      <c r="K8546" s="166"/>
      <c r="L8546" s="166"/>
    </row>
    <row r="8547">
      <c r="A8547" s="163" t="s">
        <v>222</v>
      </c>
      <c r="B8547" s="163"/>
      <c r="C8547" s="163"/>
      <c r="J8547" s="165"/>
      <c r="K8547" s="166"/>
      <c r="L8547" s="166"/>
    </row>
    <row r="8548">
      <c r="A8548" s="163" t="s">
        <v>222</v>
      </c>
      <c r="B8548" s="163"/>
      <c r="C8548" s="163"/>
      <c r="J8548" s="165"/>
      <c r="K8548" s="166"/>
      <c r="L8548" s="166"/>
    </row>
    <row r="8549">
      <c r="A8549" s="163" t="s">
        <v>222</v>
      </c>
      <c r="B8549" s="163"/>
      <c r="C8549" s="163"/>
      <c r="J8549" s="165"/>
      <c r="K8549" s="166"/>
      <c r="L8549" s="166"/>
    </row>
    <row r="8550">
      <c r="A8550" s="163" t="s">
        <v>222</v>
      </c>
      <c r="B8550" s="163"/>
      <c r="C8550" s="163"/>
      <c r="J8550" s="165"/>
      <c r="K8550" s="166"/>
      <c r="L8550" s="166"/>
    </row>
    <row r="8551">
      <c r="A8551" s="163" t="s">
        <v>222</v>
      </c>
      <c r="B8551" s="163"/>
      <c r="C8551" s="163"/>
      <c r="J8551" s="165"/>
      <c r="K8551" s="166"/>
      <c r="L8551" s="166"/>
    </row>
    <row r="8552">
      <c r="A8552" s="163" t="s">
        <v>222</v>
      </c>
      <c r="B8552" s="163"/>
      <c r="C8552" s="163"/>
      <c r="J8552" s="165"/>
      <c r="K8552" s="166"/>
      <c r="L8552" s="166"/>
    </row>
    <row r="8553">
      <c r="A8553" s="163" t="s">
        <v>222</v>
      </c>
      <c r="B8553" s="163"/>
      <c r="C8553" s="163"/>
      <c r="J8553" s="165"/>
      <c r="K8553" s="166"/>
      <c r="L8553" s="166"/>
    </row>
    <row r="8554">
      <c r="A8554" s="163" t="s">
        <v>222</v>
      </c>
      <c r="B8554" s="163"/>
      <c r="C8554" s="163"/>
      <c r="J8554" s="165"/>
      <c r="K8554" s="166"/>
      <c r="L8554" s="166"/>
    </row>
    <row r="8555">
      <c r="A8555" s="163" t="s">
        <v>222</v>
      </c>
      <c r="B8555" s="163"/>
      <c r="C8555" s="163"/>
      <c r="J8555" s="165"/>
      <c r="K8555" s="166"/>
      <c r="L8555" s="166"/>
    </row>
    <row r="8556">
      <c r="A8556" s="163" t="s">
        <v>222</v>
      </c>
      <c r="B8556" s="163"/>
      <c r="C8556" s="163"/>
      <c r="J8556" s="165"/>
      <c r="K8556" s="166"/>
      <c r="L8556" s="166"/>
    </row>
    <row r="8557">
      <c r="A8557" s="163" t="s">
        <v>222</v>
      </c>
      <c r="B8557" s="163"/>
      <c r="C8557" s="163"/>
      <c r="J8557" s="165"/>
      <c r="K8557" s="166"/>
      <c r="L8557" s="166"/>
    </row>
    <row r="8558">
      <c r="A8558" s="163" t="s">
        <v>222</v>
      </c>
      <c r="B8558" s="163"/>
      <c r="C8558" s="163"/>
      <c r="J8558" s="165"/>
      <c r="K8558" s="166"/>
      <c r="L8558" s="166"/>
    </row>
    <row r="8559">
      <c r="A8559" s="163" t="s">
        <v>222</v>
      </c>
      <c r="B8559" s="163"/>
      <c r="C8559" s="163"/>
      <c r="J8559" s="165"/>
      <c r="K8559" s="166"/>
      <c r="L8559" s="166"/>
    </row>
    <row r="8560">
      <c r="A8560" s="163" t="s">
        <v>222</v>
      </c>
      <c r="B8560" s="163"/>
      <c r="C8560" s="163"/>
      <c r="J8560" s="165"/>
      <c r="K8560" s="166"/>
      <c r="L8560" s="166"/>
    </row>
    <row r="8561">
      <c r="A8561" s="163" t="s">
        <v>222</v>
      </c>
      <c r="B8561" s="163"/>
      <c r="C8561" s="163"/>
      <c r="J8561" s="165"/>
      <c r="K8561" s="166"/>
      <c r="L8561" s="166"/>
    </row>
    <row r="8562">
      <c r="A8562" s="163" t="s">
        <v>222</v>
      </c>
      <c r="B8562" s="163"/>
      <c r="C8562" s="163"/>
      <c r="J8562" s="165"/>
      <c r="K8562" s="166"/>
      <c r="L8562" s="166"/>
    </row>
    <row r="8563">
      <c r="A8563" s="163" t="s">
        <v>222</v>
      </c>
      <c r="B8563" s="163"/>
      <c r="C8563" s="163"/>
      <c r="J8563" s="165"/>
      <c r="K8563" s="166"/>
      <c r="L8563" s="166"/>
    </row>
    <row r="8564">
      <c r="A8564" s="163" t="s">
        <v>222</v>
      </c>
      <c r="B8564" s="163"/>
      <c r="C8564" s="163"/>
      <c r="J8564" s="165"/>
      <c r="K8564" s="166"/>
      <c r="L8564" s="166"/>
    </row>
    <row r="8565">
      <c r="A8565" s="163" t="s">
        <v>222</v>
      </c>
      <c r="B8565" s="163"/>
      <c r="C8565" s="163"/>
      <c r="J8565" s="165"/>
      <c r="K8565" s="166"/>
      <c r="L8565" s="166"/>
    </row>
    <row r="8566">
      <c r="A8566" s="163" t="s">
        <v>222</v>
      </c>
      <c r="B8566" s="163"/>
      <c r="C8566" s="163"/>
      <c r="J8566" s="165"/>
      <c r="K8566" s="166"/>
      <c r="L8566" s="166"/>
    </row>
    <row r="8567">
      <c r="A8567" s="163" t="s">
        <v>222</v>
      </c>
      <c r="B8567" s="163"/>
      <c r="C8567" s="163"/>
      <c r="J8567" s="165"/>
      <c r="K8567" s="166"/>
      <c r="L8567" s="166"/>
    </row>
    <row r="8568">
      <c r="A8568" s="163" t="s">
        <v>222</v>
      </c>
      <c r="B8568" s="163"/>
      <c r="C8568" s="163"/>
      <c r="J8568" s="165"/>
      <c r="K8568" s="166"/>
      <c r="L8568" s="166"/>
    </row>
    <row r="8569">
      <c r="A8569" s="163" t="s">
        <v>222</v>
      </c>
      <c r="B8569" s="163"/>
      <c r="C8569" s="163"/>
      <c r="J8569" s="165"/>
      <c r="K8569" s="166"/>
      <c r="L8569" s="166"/>
    </row>
    <row r="8570">
      <c r="A8570" s="163" t="s">
        <v>222</v>
      </c>
      <c r="B8570" s="163"/>
      <c r="C8570" s="163"/>
      <c r="J8570" s="165"/>
      <c r="K8570" s="166"/>
      <c r="L8570" s="166"/>
    </row>
    <row r="8571">
      <c r="A8571" s="163" t="s">
        <v>222</v>
      </c>
      <c r="B8571" s="163"/>
      <c r="C8571" s="163"/>
      <c r="J8571" s="165"/>
      <c r="K8571" s="166"/>
      <c r="L8571" s="166"/>
    </row>
    <row r="8572">
      <c r="A8572" s="163" t="s">
        <v>222</v>
      </c>
      <c r="B8572" s="163"/>
      <c r="C8572" s="163"/>
      <c r="J8572" s="165"/>
      <c r="K8572" s="166"/>
      <c r="L8572" s="166"/>
    </row>
    <row r="8573">
      <c r="A8573" s="163" t="s">
        <v>222</v>
      </c>
      <c r="B8573" s="163"/>
      <c r="C8573" s="163"/>
      <c r="J8573" s="165"/>
      <c r="K8573" s="166"/>
      <c r="L8573" s="166"/>
    </row>
    <row r="8574">
      <c r="A8574" s="163" t="s">
        <v>222</v>
      </c>
      <c r="B8574" s="163"/>
      <c r="C8574" s="163"/>
      <c r="J8574" s="165"/>
      <c r="K8574" s="166"/>
      <c r="L8574" s="166"/>
    </row>
    <row r="8575">
      <c r="A8575" s="163" t="s">
        <v>222</v>
      </c>
      <c r="B8575" s="163"/>
      <c r="C8575" s="163"/>
      <c r="J8575" s="165"/>
      <c r="K8575" s="166"/>
      <c r="L8575" s="166"/>
    </row>
    <row r="8576">
      <c r="A8576" s="163" t="s">
        <v>222</v>
      </c>
      <c r="B8576" s="163"/>
      <c r="C8576" s="163"/>
      <c r="J8576" s="165"/>
      <c r="K8576" s="166"/>
      <c r="L8576" s="166"/>
    </row>
    <row r="8577">
      <c r="A8577" s="163" t="s">
        <v>222</v>
      </c>
      <c r="B8577" s="163"/>
      <c r="C8577" s="163"/>
      <c r="J8577" s="165"/>
      <c r="K8577" s="166"/>
      <c r="L8577" s="166"/>
    </row>
    <row r="8578">
      <c r="A8578" s="163" t="s">
        <v>222</v>
      </c>
      <c r="B8578" s="163"/>
      <c r="C8578" s="163"/>
      <c r="J8578" s="165"/>
      <c r="K8578" s="166"/>
      <c r="L8578" s="166"/>
    </row>
    <row r="8579">
      <c r="A8579" s="163" t="s">
        <v>222</v>
      </c>
      <c r="B8579" s="163"/>
      <c r="C8579" s="163"/>
      <c r="J8579" s="165"/>
      <c r="K8579" s="166"/>
      <c r="L8579" s="166"/>
    </row>
    <row r="8580">
      <c r="A8580" s="163" t="s">
        <v>222</v>
      </c>
      <c r="B8580" s="163"/>
      <c r="C8580" s="163"/>
      <c r="J8580" s="165"/>
      <c r="K8580" s="166"/>
      <c r="L8580" s="166"/>
    </row>
    <row r="8581">
      <c r="A8581" s="163" t="s">
        <v>222</v>
      </c>
      <c r="B8581" s="163"/>
      <c r="C8581" s="163"/>
      <c r="J8581" s="165"/>
      <c r="K8581" s="166"/>
      <c r="L8581" s="166"/>
    </row>
    <row r="8582">
      <c r="A8582" s="163" t="s">
        <v>222</v>
      </c>
      <c r="B8582" s="163"/>
      <c r="C8582" s="163"/>
      <c r="J8582" s="165"/>
      <c r="K8582" s="166"/>
      <c r="L8582" s="166"/>
    </row>
    <row r="8583">
      <c r="A8583" s="163" t="s">
        <v>222</v>
      </c>
      <c r="B8583" s="163"/>
      <c r="C8583" s="163"/>
      <c r="J8583" s="165"/>
      <c r="K8583" s="166"/>
      <c r="L8583" s="166"/>
    </row>
    <row r="8584">
      <c r="A8584" s="163" t="s">
        <v>222</v>
      </c>
      <c r="B8584" s="163"/>
      <c r="C8584" s="163"/>
      <c r="J8584" s="165"/>
      <c r="K8584" s="166"/>
      <c r="L8584" s="166"/>
    </row>
    <row r="8585">
      <c r="A8585" s="163" t="s">
        <v>222</v>
      </c>
      <c r="B8585" s="163"/>
      <c r="C8585" s="163"/>
      <c r="J8585" s="165"/>
      <c r="K8585" s="166"/>
      <c r="L8585" s="166"/>
    </row>
    <row r="8586">
      <c r="A8586" s="163" t="s">
        <v>222</v>
      </c>
      <c r="B8586" s="163"/>
      <c r="C8586" s="163"/>
      <c r="J8586" s="165"/>
      <c r="K8586" s="166"/>
      <c r="L8586" s="166"/>
    </row>
    <row r="8587">
      <c r="A8587" s="163" t="s">
        <v>222</v>
      </c>
      <c r="B8587" s="163"/>
      <c r="C8587" s="163"/>
      <c r="J8587" s="165"/>
      <c r="K8587" s="166"/>
      <c r="L8587" s="166"/>
    </row>
    <row r="8588">
      <c r="A8588" s="163" t="s">
        <v>222</v>
      </c>
      <c r="B8588" s="163"/>
      <c r="C8588" s="163"/>
      <c r="J8588" s="165"/>
      <c r="K8588" s="166"/>
      <c r="L8588" s="166"/>
    </row>
    <row r="8589">
      <c r="A8589" s="163" t="s">
        <v>222</v>
      </c>
      <c r="B8589" s="163"/>
      <c r="C8589" s="163"/>
      <c r="J8589" s="165"/>
      <c r="K8589" s="166"/>
      <c r="L8589" s="166"/>
    </row>
    <row r="8590">
      <c r="A8590" s="163" t="s">
        <v>222</v>
      </c>
      <c r="B8590" s="163"/>
      <c r="C8590" s="163"/>
      <c r="J8590" s="165"/>
      <c r="K8590" s="166"/>
      <c r="L8590" s="166"/>
    </row>
    <row r="8591">
      <c r="A8591" s="163" t="s">
        <v>222</v>
      </c>
      <c r="B8591" s="163"/>
      <c r="C8591" s="163"/>
      <c r="J8591" s="165"/>
      <c r="K8591" s="166"/>
      <c r="L8591" s="166"/>
    </row>
    <row r="8592">
      <c r="A8592" s="163" t="s">
        <v>222</v>
      </c>
      <c r="B8592" s="163"/>
      <c r="C8592" s="163"/>
      <c r="J8592" s="165"/>
      <c r="K8592" s="166"/>
      <c r="L8592" s="166"/>
    </row>
    <row r="8593">
      <c r="A8593" s="163" t="s">
        <v>222</v>
      </c>
      <c r="B8593" s="163"/>
      <c r="C8593" s="163"/>
      <c r="J8593" s="165"/>
      <c r="K8593" s="166"/>
      <c r="L8593" s="166"/>
    </row>
    <row r="8594">
      <c r="A8594" s="163" t="s">
        <v>222</v>
      </c>
      <c r="B8594" s="163"/>
      <c r="C8594" s="163"/>
      <c r="J8594" s="165"/>
      <c r="K8594" s="166"/>
      <c r="L8594" s="166"/>
    </row>
    <row r="8595">
      <c r="A8595" s="163" t="s">
        <v>222</v>
      </c>
      <c r="B8595" s="163"/>
      <c r="C8595" s="163"/>
      <c r="J8595" s="165"/>
      <c r="K8595" s="166"/>
      <c r="L8595" s="166"/>
    </row>
    <row r="8596">
      <c r="A8596" s="163" t="s">
        <v>222</v>
      </c>
      <c r="B8596" s="163"/>
      <c r="C8596" s="163"/>
      <c r="J8596" s="165"/>
      <c r="K8596" s="166"/>
      <c r="L8596" s="166"/>
    </row>
    <row r="8597">
      <c r="A8597" s="163" t="s">
        <v>222</v>
      </c>
      <c r="B8597" s="163"/>
      <c r="C8597" s="163"/>
      <c r="J8597" s="165"/>
      <c r="K8597" s="166"/>
      <c r="L8597" s="166"/>
    </row>
    <row r="8598">
      <c r="A8598" s="163" t="s">
        <v>222</v>
      </c>
      <c r="B8598" s="163"/>
      <c r="C8598" s="163"/>
      <c r="J8598" s="165"/>
      <c r="K8598" s="166"/>
      <c r="L8598" s="166"/>
    </row>
    <row r="8599">
      <c r="A8599" s="163" t="s">
        <v>222</v>
      </c>
      <c r="B8599" s="163"/>
      <c r="C8599" s="163"/>
      <c r="J8599" s="165"/>
      <c r="K8599" s="166"/>
      <c r="L8599" s="166"/>
    </row>
    <row r="8600">
      <c r="A8600" s="163" t="s">
        <v>222</v>
      </c>
      <c r="B8600" s="163"/>
      <c r="C8600" s="163"/>
      <c r="J8600" s="165"/>
      <c r="K8600" s="166"/>
      <c r="L8600" s="166"/>
    </row>
    <row r="8601">
      <c r="A8601" s="163" t="s">
        <v>222</v>
      </c>
      <c r="B8601" s="163"/>
      <c r="C8601" s="163"/>
      <c r="J8601" s="165"/>
      <c r="K8601" s="166"/>
      <c r="L8601" s="166"/>
    </row>
    <row r="8602">
      <c r="A8602" s="163" t="s">
        <v>222</v>
      </c>
      <c r="B8602" s="163"/>
      <c r="C8602" s="163"/>
      <c r="J8602" s="165"/>
      <c r="K8602" s="166"/>
      <c r="L8602" s="166"/>
    </row>
    <row r="8603">
      <c r="A8603" s="163" t="s">
        <v>222</v>
      </c>
      <c r="B8603" s="163"/>
      <c r="C8603" s="163"/>
      <c r="J8603" s="165"/>
      <c r="K8603" s="166"/>
      <c r="L8603" s="166"/>
    </row>
    <row r="8604">
      <c r="A8604" s="163" t="s">
        <v>222</v>
      </c>
      <c r="B8604" s="163"/>
      <c r="C8604" s="163"/>
      <c r="J8604" s="165"/>
      <c r="K8604" s="166"/>
      <c r="L8604" s="166"/>
    </row>
    <row r="8605">
      <c r="A8605" s="163" t="s">
        <v>222</v>
      </c>
      <c r="B8605" s="163"/>
      <c r="C8605" s="163"/>
      <c r="J8605" s="165"/>
      <c r="K8605" s="166"/>
      <c r="L8605" s="166"/>
    </row>
    <row r="8606">
      <c r="A8606" s="163" t="s">
        <v>222</v>
      </c>
      <c r="B8606" s="163"/>
      <c r="C8606" s="163"/>
      <c r="J8606" s="165"/>
      <c r="K8606" s="166"/>
      <c r="L8606" s="166"/>
    </row>
    <row r="8607">
      <c r="A8607" s="163" t="s">
        <v>222</v>
      </c>
      <c r="B8607" s="163"/>
      <c r="C8607" s="163"/>
      <c r="J8607" s="165"/>
      <c r="K8607" s="166"/>
      <c r="L8607" s="166"/>
    </row>
    <row r="8608">
      <c r="A8608" s="163" t="s">
        <v>222</v>
      </c>
      <c r="B8608" s="163"/>
      <c r="C8608" s="163"/>
      <c r="J8608" s="165"/>
      <c r="K8608" s="166"/>
      <c r="L8608" s="166"/>
    </row>
    <row r="8609">
      <c r="A8609" s="163" t="s">
        <v>222</v>
      </c>
      <c r="B8609" s="163"/>
      <c r="C8609" s="163"/>
      <c r="J8609" s="165"/>
      <c r="K8609" s="166"/>
      <c r="L8609" s="166"/>
    </row>
    <row r="8610">
      <c r="A8610" s="163" t="s">
        <v>222</v>
      </c>
      <c r="B8610" s="163"/>
      <c r="C8610" s="163"/>
      <c r="J8610" s="165"/>
      <c r="K8610" s="166"/>
      <c r="L8610" s="166"/>
    </row>
    <row r="8611">
      <c r="A8611" s="163" t="s">
        <v>222</v>
      </c>
      <c r="B8611" s="163"/>
      <c r="C8611" s="163"/>
      <c r="J8611" s="165"/>
      <c r="K8611" s="166"/>
      <c r="L8611" s="166"/>
    </row>
    <row r="8612">
      <c r="A8612" s="163" t="s">
        <v>222</v>
      </c>
      <c r="B8612" s="163"/>
      <c r="C8612" s="163"/>
      <c r="J8612" s="165"/>
      <c r="K8612" s="166"/>
      <c r="L8612" s="166"/>
    </row>
    <row r="8613">
      <c r="A8613" s="163" t="s">
        <v>222</v>
      </c>
      <c r="B8613" s="163"/>
      <c r="C8613" s="163"/>
      <c r="J8613" s="165"/>
      <c r="K8613" s="166"/>
      <c r="L8613" s="166"/>
    </row>
    <row r="8614">
      <c r="A8614" s="163" t="s">
        <v>222</v>
      </c>
      <c r="B8614" s="163"/>
      <c r="C8614" s="163"/>
      <c r="J8614" s="165"/>
      <c r="K8614" s="166"/>
      <c r="L8614" s="166"/>
    </row>
    <row r="8615">
      <c r="A8615" s="163" t="s">
        <v>222</v>
      </c>
      <c r="B8615" s="163"/>
      <c r="C8615" s="163"/>
      <c r="J8615" s="165"/>
      <c r="K8615" s="166"/>
      <c r="L8615" s="166"/>
    </row>
    <row r="8616">
      <c r="A8616" s="163" t="s">
        <v>222</v>
      </c>
      <c r="B8616" s="163"/>
      <c r="C8616" s="163"/>
      <c r="J8616" s="165"/>
      <c r="K8616" s="166"/>
      <c r="L8616" s="166"/>
    </row>
    <row r="8617">
      <c r="A8617" s="163" t="s">
        <v>222</v>
      </c>
      <c r="B8617" s="163"/>
      <c r="C8617" s="163"/>
      <c r="J8617" s="165"/>
      <c r="K8617" s="166"/>
      <c r="L8617" s="166"/>
    </row>
    <row r="8618">
      <c r="A8618" s="163" t="s">
        <v>222</v>
      </c>
      <c r="B8618" s="163"/>
      <c r="C8618" s="163"/>
      <c r="J8618" s="165"/>
      <c r="K8618" s="166"/>
      <c r="L8618" s="166"/>
    </row>
    <row r="8619">
      <c r="A8619" s="163" t="s">
        <v>222</v>
      </c>
      <c r="B8619" s="163"/>
      <c r="C8619" s="163"/>
      <c r="J8619" s="165"/>
      <c r="K8619" s="166"/>
      <c r="L8619" s="166"/>
    </row>
    <row r="8620">
      <c r="A8620" s="163" t="s">
        <v>222</v>
      </c>
      <c r="B8620" s="163"/>
      <c r="C8620" s="163"/>
      <c r="J8620" s="165"/>
      <c r="K8620" s="166"/>
      <c r="L8620" s="166"/>
    </row>
    <row r="8621">
      <c r="A8621" s="163" t="s">
        <v>222</v>
      </c>
      <c r="B8621" s="163"/>
      <c r="C8621" s="163"/>
      <c r="J8621" s="165"/>
      <c r="K8621" s="166"/>
      <c r="L8621" s="166"/>
    </row>
    <row r="8622">
      <c r="A8622" s="163" t="s">
        <v>222</v>
      </c>
      <c r="B8622" s="163"/>
      <c r="C8622" s="163"/>
      <c r="J8622" s="165"/>
      <c r="K8622" s="166"/>
      <c r="L8622" s="166"/>
    </row>
    <row r="8623">
      <c r="A8623" s="163" t="s">
        <v>222</v>
      </c>
      <c r="B8623" s="163"/>
      <c r="C8623" s="163"/>
      <c r="J8623" s="165"/>
      <c r="K8623" s="166"/>
      <c r="L8623" s="166"/>
    </row>
    <row r="8624">
      <c r="A8624" s="163" t="s">
        <v>222</v>
      </c>
      <c r="B8624" s="163"/>
      <c r="C8624" s="163"/>
      <c r="J8624" s="165"/>
      <c r="K8624" s="166"/>
      <c r="L8624" s="166"/>
    </row>
    <row r="8625">
      <c r="A8625" s="163" t="s">
        <v>222</v>
      </c>
      <c r="B8625" s="163"/>
      <c r="C8625" s="163"/>
      <c r="J8625" s="165"/>
      <c r="K8625" s="166"/>
      <c r="L8625" s="166"/>
    </row>
    <row r="8626">
      <c r="A8626" s="163" t="s">
        <v>222</v>
      </c>
      <c r="B8626" s="163"/>
      <c r="C8626" s="163"/>
      <c r="J8626" s="165"/>
      <c r="K8626" s="166"/>
      <c r="L8626" s="166"/>
    </row>
    <row r="8627">
      <c r="A8627" s="163" t="s">
        <v>222</v>
      </c>
      <c r="B8627" s="163"/>
      <c r="C8627" s="163"/>
      <c r="J8627" s="165"/>
      <c r="K8627" s="166"/>
      <c r="L8627" s="166"/>
    </row>
    <row r="8628">
      <c r="A8628" s="163" t="s">
        <v>222</v>
      </c>
      <c r="B8628" s="163"/>
      <c r="C8628" s="163"/>
      <c r="J8628" s="165"/>
      <c r="K8628" s="166"/>
      <c r="L8628" s="166"/>
    </row>
    <row r="8629">
      <c r="A8629" s="163" t="s">
        <v>222</v>
      </c>
      <c r="B8629" s="163"/>
      <c r="C8629" s="163"/>
      <c r="J8629" s="165"/>
      <c r="K8629" s="166"/>
      <c r="L8629" s="166"/>
    </row>
    <row r="8630">
      <c r="A8630" s="163" t="s">
        <v>222</v>
      </c>
      <c r="B8630" s="163"/>
      <c r="C8630" s="163"/>
      <c r="J8630" s="165"/>
      <c r="K8630" s="166"/>
      <c r="L8630" s="166"/>
    </row>
    <row r="8631">
      <c r="A8631" s="163" t="s">
        <v>222</v>
      </c>
      <c r="B8631" s="163"/>
      <c r="C8631" s="163"/>
      <c r="J8631" s="165"/>
      <c r="K8631" s="166"/>
      <c r="L8631" s="166"/>
    </row>
    <row r="8632">
      <c r="A8632" s="163" t="s">
        <v>222</v>
      </c>
      <c r="B8632" s="163"/>
      <c r="C8632" s="163"/>
      <c r="J8632" s="165"/>
      <c r="K8632" s="166"/>
      <c r="L8632" s="166"/>
    </row>
    <row r="8633">
      <c r="A8633" s="163" t="s">
        <v>222</v>
      </c>
      <c r="B8633" s="163"/>
      <c r="C8633" s="163"/>
      <c r="J8633" s="165"/>
      <c r="K8633" s="166"/>
      <c r="L8633" s="166"/>
    </row>
    <row r="8634">
      <c r="A8634" s="163" t="s">
        <v>222</v>
      </c>
      <c r="B8634" s="163"/>
      <c r="C8634" s="163"/>
      <c r="J8634" s="165"/>
      <c r="K8634" s="166"/>
      <c r="L8634" s="166"/>
    </row>
    <row r="8635">
      <c r="A8635" s="163" t="s">
        <v>222</v>
      </c>
      <c r="B8635" s="163"/>
      <c r="C8635" s="163"/>
      <c r="J8635" s="165"/>
      <c r="K8635" s="166"/>
      <c r="L8635" s="166"/>
    </row>
    <row r="8636">
      <c r="A8636" s="163" t="s">
        <v>222</v>
      </c>
      <c r="B8636" s="163"/>
      <c r="C8636" s="163"/>
      <c r="J8636" s="165"/>
      <c r="K8636" s="166"/>
      <c r="L8636" s="166"/>
    </row>
    <row r="8637">
      <c r="A8637" s="163" t="s">
        <v>222</v>
      </c>
      <c r="B8637" s="163"/>
      <c r="C8637" s="163"/>
      <c r="J8637" s="165"/>
      <c r="K8637" s="166"/>
      <c r="L8637" s="166"/>
    </row>
    <row r="8638">
      <c r="A8638" s="163" t="s">
        <v>222</v>
      </c>
      <c r="B8638" s="163"/>
      <c r="C8638" s="163"/>
      <c r="J8638" s="165"/>
      <c r="K8638" s="166"/>
      <c r="L8638" s="166"/>
    </row>
    <row r="8639">
      <c r="A8639" s="163" t="s">
        <v>222</v>
      </c>
      <c r="B8639" s="163"/>
      <c r="C8639" s="163"/>
      <c r="J8639" s="165"/>
      <c r="K8639" s="166"/>
      <c r="L8639" s="166"/>
    </row>
    <row r="8640">
      <c r="A8640" s="163" t="s">
        <v>222</v>
      </c>
      <c r="B8640" s="163"/>
      <c r="C8640" s="163"/>
      <c r="J8640" s="165"/>
      <c r="K8640" s="166"/>
      <c r="L8640" s="166"/>
    </row>
    <row r="8641">
      <c r="A8641" s="163" t="s">
        <v>222</v>
      </c>
      <c r="B8641" s="163"/>
      <c r="C8641" s="163"/>
      <c r="J8641" s="165"/>
      <c r="K8641" s="166"/>
      <c r="L8641" s="166"/>
    </row>
    <row r="8642">
      <c r="A8642" s="163" t="s">
        <v>222</v>
      </c>
      <c r="B8642" s="163"/>
      <c r="C8642" s="163"/>
      <c r="J8642" s="165"/>
      <c r="K8642" s="166"/>
      <c r="L8642" s="166"/>
    </row>
    <row r="8643">
      <c r="A8643" s="163" t="s">
        <v>222</v>
      </c>
      <c r="B8643" s="163"/>
      <c r="C8643" s="163"/>
      <c r="J8643" s="165"/>
      <c r="K8643" s="166"/>
      <c r="L8643" s="166"/>
    </row>
    <row r="8644">
      <c r="A8644" s="163" t="s">
        <v>222</v>
      </c>
      <c r="B8644" s="163"/>
      <c r="C8644" s="163"/>
      <c r="J8644" s="165"/>
      <c r="K8644" s="166"/>
      <c r="L8644" s="166"/>
    </row>
    <row r="8645">
      <c r="A8645" s="163" t="s">
        <v>222</v>
      </c>
      <c r="B8645" s="163"/>
      <c r="C8645" s="163"/>
      <c r="J8645" s="165"/>
      <c r="K8645" s="166"/>
      <c r="L8645" s="166"/>
    </row>
    <row r="8646">
      <c r="A8646" s="163" t="s">
        <v>222</v>
      </c>
      <c r="B8646" s="163"/>
      <c r="C8646" s="163"/>
      <c r="J8646" s="165"/>
      <c r="K8646" s="166"/>
      <c r="L8646" s="166"/>
    </row>
    <row r="8647">
      <c r="A8647" s="163" t="s">
        <v>222</v>
      </c>
      <c r="B8647" s="163"/>
      <c r="C8647" s="163"/>
      <c r="J8647" s="165"/>
      <c r="K8647" s="166"/>
      <c r="L8647" s="166"/>
    </row>
    <row r="8648">
      <c r="A8648" s="163" t="s">
        <v>222</v>
      </c>
      <c r="B8648" s="163"/>
      <c r="C8648" s="163"/>
      <c r="J8648" s="165"/>
      <c r="K8648" s="166"/>
      <c r="L8648" s="166"/>
    </row>
    <row r="8649">
      <c r="A8649" s="163" t="s">
        <v>222</v>
      </c>
      <c r="B8649" s="163"/>
      <c r="C8649" s="163"/>
      <c r="J8649" s="165"/>
      <c r="K8649" s="166"/>
      <c r="L8649" s="166"/>
    </row>
    <row r="8650">
      <c r="A8650" s="163" t="s">
        <v>222</v>
      </c>
      <c r="B8650" s="163"/>
      <c r="C8650" s="163"/>
      <c r="J8650" s="165"/>
      <c r="K8650" s="166"/>
      <c r="L8650" s="166"/>
    </row>
    <row r="8651">
      <c r="A8651" s="163" t="s">
        <v>222</v>
      </c>
      <c r="B8651" s="163"/>
      <c r="C8651" s="163"/>
      <c r="J8651" s="165"/>
      <c r="K8651" s="166"/>
      <c r="L8651" s="166"/>
    </row>
    <row r="8652">
      <c r="A8652" s="163" t="s">
        <v>222</v>
      </c>
      <c r="B8652" s="163"/>
      <c r="C8652" s="163"/>
      <c r="J8652" s="165"/>
      <c r="K8652" s="166"/>
      <c r="L8652" s="166"/>
    </row>
    <row r="8653">
      <c r="A8653" s="163" t="s">
        <v>222</v>
      </c>
      <c r="B8653" s="163"/>
      <c r="C8653" s="163"/>
      <c r="J8653" s="165"/>
      <c r="K8653" s="166"/>
      <c r="L8653" s="166"/>
    </row>
    <row r="8654">
      <c r="A8654" s="163" t="s">
        <v>222</v>
      </c>
      <c r="B8654" s="163"/>
      <c r="C8654" s="163"/>
      <c r="J8654" s="165"/>
      <c r="K8654" s="166"/>
      <c r="L8654" s="166"/>
    </row>
    <row r="8655">
      <c r="A8655" s="163" t="s">
        <v>222</v>
      </c>
      <c r="B8655" s="163"/>
      <c r="C8655" s="163"/>
      <c r="J8655" s="165"/>
      <c r="K8655" s="166"/>
      <c r="L8655" s="166"/>
    </row>
    <row r="8656">
      <c r="A8656" s="163" t="s">
        <v>222</v>
      </c>
      <c r="B8656" s="163"/>
      <c r="C8656" s="163"/>
      <c r="J8656" s="165"/>
      <c r="K8656" s="166"/>
      <c r="L8656" s="166"/>
    </row>
    <row r="8657">
      <c r="A8657" s="163" t="s">
        <v>222</v>
      </c>
      <c r="B8657" s="163"/>
      <c r="C8657" s="163"/>
      <c r="J8657" s="165"/>
      <c r="K8657" s="166"/>
      <c r="L8657" s="166"/>
    </row>
    <row r="8658">
      <c r="A8658" s="163" t="s">
        <v>222</v>
      </c>
      <c r="B8658" s="163"/>
      <c r="C8658" s="163"/>
      <c r="J8658" s="165"/>
      <c r="K8658" s="166"/>
      <c r="L8658" s="166"/>
    </row>
    <row r="8659">
      <c r="A8659" s="163" t="s">
        <v>222</v>
      </c>
      <c r="B8659" s="163"/>
      <c r="C8659" s="163"/>
      <c r="J8659" s="165"/>
      <c r="K8659" s="166"/>
      <c r="L8659" s="166"/>
    </row>
    <row r="8660">
      <c r="A8660" s="163" t="s">
        <v>222</v>
      </c>
      <c r="B8660" s="163"/>
      <c r="C8660" s="163"/>
      <c r="J8660" s="165"/>
      <c r="K8660" s="166"/>
      <c r="L8660" s="166"/>
    </row>
    <row r="8661">
      <c r="A8661" s="163" t="s">
        <v>222</v>
      </c>
      <c r="B8661" s="163"/>
      <c r="C8661" s="163"/>
      <c r="J8661" s="165"/>
      <c r="K8661" s="166"/>
      <c r="L8661" s="166"/>
    </row>
    <row r="8662">
      <c r="A8662" s="163" t="s">
        <v>222</v>
      </c>
      <c r="B8662" s="163"/>
      <c r="C8662" s="163"/>
      <c r="J8662" s="165"/>
      <c r="K8662" s="166"/>
      <c r="L8662" s="166"/>
    </row>
    <row r="8663">
      <c r="A8663" s="163" t="s">
        <v>222</v>
      </c>
      <c r="B8663" s="163"/>
      <c r="C8663" s="163"/>
      <c r="J8663" s="165"/>
      <c r="K8663" s="166"/>
      <c r="L8663" s="166"/>
    </row>
    <row r="8664">
      <c r="A8664" s="163" t="s">
        <v>222</v>
      </c>
      <c r="B8664" s="163"/>
      <c r="C8664" s="163"/>
      <c r="J8664" s="165"/>
      <c r="K8664" s="166"/>
      <c r="L8664" s="166"/>
    </row>
    <row r="8665">
      <c r="A8665" s="163" t="s">
        <v>222</v>
      </c>
      <c r="B8665" s="163"/>
      <c r="C8665" s="163"/>
      <c r="J8665" s="165"/>
      <c r="K8665" s="166"/>
      <c r="L8665" s="166"/>
    </row>
    <row r="8666">
      <c r="A8666" s="163" t="s">
        <v>222</v>
      </c>
      <c r="B8666" s="163"/>
      <c r="C8666" s="163"/>
      <c r="J8666" s="165"/>
      <c r="K8666" s="166"/>
      <c r="L8666" s="166"/>
    </row>
    <row r="8667">
      <c r="A8667" s="163" t="s">
        <v>222</v>
      </c>
      <c r="B8667" s="163"/>
      <c r="C8667" s="163"/>
      <c r="J8667" s="165"/>
      <c r="K8667" s="166"/>
      <c r="L8667" s="166"/>
    </row>
    <row r="8668">
      <c r="A8668" s="163" t="s">
        <v>222</v>
      </c>
      <c r="B8668" s="163"/>
      <c r="C8668" s="163"/>
      <c r="J8668" s="165"/>
      <c r="K8668" s="166"/>
      <c r="L8668" s="166"/>
    </row>
    <row r="8669">
      <c r="A8669" s="163" t="s">
        <v>222</v>
      </c>
      <c r="B8669" s="163"/>
      <c r="C8669" s="163"/>
      <c r="J8669" s="165"/>
      <c r="K8669" s="166"/>
      <c r="L8669" s="166"/>
    </row>
    <row r="8670">
      <c r="A8670" s="163" t="s">
        <v>222</v>
      </c>
      <c r="B8670" s="163"/>
      <c r="C8670" s="163"/>
      <c r="J8670" s="165"/>
      <c r="K8670" s="166"/>
      <c r="L8670" s="166"/>
    </row>
    <row r="8671">
      <c r="A8671" s="163" t="s">
        <v>222</v>
      </c>
      <c r="B8671" s="163"/>
      <c r="C8671" s="163"/>
      <c r="J8671" s="165"/>
      <c r="K8671" s="166"/>
      <c r="L8671" s="166"/>
    </row>
    <row r="8672">
      <c r="A8672" s="163" t="s">
        <v>222</v>
      </c>
      <c r="B8672" s="163"/>
      <c r="C8672" s="163"/>
      <c r="J8672" s="165"/>
      <c r="K8672" s="166"/>
      <c r="L8672" s="166"/>
    </row>
    <row r="8673">
      <c r="A8673" s="163" t="s">
        <v>222</v>
      </c>
      <c r="B8673" s="163"/>
      <c r="C8673" s="163"/>
      <c r="J8673" s="165"/>
      <c r="K8673" s="166"/>
      <c r="L8673" s="166"/>
    </row>
    <row r="8674">
      <c r="A8674" s="163" t="s">
        <v>222</v>
      </c>
      <c r="B8674" s="163"/>
      <c r="C8674" s="163"/>
      <c r="J8674" s="165"/>
      <c r="K8674" s="166"/>
      <c r="L8674" s="166"/>
    </row>
    <row r="8675">
      <c r="A8675" s="163" t="s">
        <v>222</v>
      </c>
      <c r="B8675" s="163"/>
      <c r="C8675" s="163"/>
      <c r="J8675" s="165"/>
      <c r="K8675" s="166"/>
      <c r="L8675" s="166"/>
    </row>
    <row r="8676">
      <c r="A8676" s="163" t="s">
        <v>222</v>
      </c>
      <c r="B8676" s="163"/>
      <c r="C8676" s="163"/>
      <c r="J8676" s="165"/>
      <c r="K8676" s="166"/>
      <c r="L8676" s="166"/>
    </row>
    <row r="8677">
      <c r="A8677" s="163" t="s">
        <v>222</v>
      </c>
      <c r="B8677" s="163"/>
      <c r="C8677" s="163"/>
      <c r="J8677" s="165"/>
      <c r="K8677" s="166"/>
      <c r="L8677" s="166"/>
    </row>
    <row r="8678">
      <c r="A8678" s="163" t="s">
        <v>222</v>
      </c>
      <c r="B8678" s="163"/>
      <c r="C8678" s="163"/>
      <c r="J8678" s="165"/>
      <c r="K8678" s="166"/>
      <c r="L8678" s="166"/>
    </row>
    <row r="8679">
      <c r="A8679" s="163" t="s">
        <v>222</v>
      </c>
      <c r="B8679" s="163"/>
      <c r="C8679" s="163"/>
      <c r="J8679" s="165"/>
      <c r="K8679" s="166"/>
      <c r="L8679" s="166"/>
    </row>
    <row r="8680">
      <c r="A8680" s="163" t="s">
        <v>222</v>
      </c>
      <c r="B8680" s="163"/>
      <c r="C8680" s="163"/>
      <c r="J8680" s="165"/>
      <c r="K8680" s="166"/>
      <c r="L8680" s="166"/>
    </row>
    <row r="8681">
      <c r="A8681" s="163" t="s">
        <v>222</v>
      </c>
      <c r="B8681" s="163"/>
      <c r="C8681" s="163"/>
      <c r="J8681" s="165"/>
      <c r="K8681" s="166"/>
      <c r="L8681" s="166"/>
    </row>
    <row r="8682">
      <c r="A8682" s="163" t="s">
        <v>222</v>
      </c>
      <c r="B8682" s="163"/>
      <c r="C8682" s="163"/>
      <c r="J8682" s="165"/>
      <c r="K8682" s="166"/>
      <c r="L8682" s="166"/>
    </row>
    <row r="8683">
      <c r="A8683" s="163" t="s">
        <v>222</v>
      </c>
      <c r="B8683" s="163"/>
      <c r="C8683" s="163"/>
      <c r="J8683" s="165"/>
      <c r="K8683" s="166"/>
      <c r="L8683" s="166"/>
    </row>
    <row r="8684">
      <c r="A8684" s="163" t="s">
        <v>222</v>
      </c>
      <c r="B8684" s="163"/>
      <c r="C8684" s="163"/>
      <c r="J8684" s="165"/>
      <c r="K8684" s="166"/>
      <c r="L8684" s="166"/>
    </row>
    <row r="8685">
      <c r="A8685" s="163" t="s">
        <v>222</v>
      </c>
      <c r="B8685" s="163"/>
      <c r="C8685" s="163"/>
      <c r="J8685" s="165"/>
      <c r="K8685" s="166"/>
      <c r="L8685" s="166"/>
    </row>
    <row r="8686">
      <c r="A8686" s="163" t="s">
        <v>222</v>
      </c>
      <c r="B8686" s="163"/>
      <c r="C8686" s="163"/>
      <c r="J8686" s="165"/>
      <c r="K8686" s="166"/>
      <c r="L8686" s="166"/>
    </row>
    <row r="8687">
      <c r="A8687" s="163" t="s">
        <v>222</v>
      </c>
      <c r="B8687" s="163"/>
      <c r="C8687" s="163"/>
      <c r="J8687" s="165"/>
      <c r="K8687" s="166"/>
      <c r="L8687" s="166"/>
    </row>
    <row r="8688">
      <c r="A8688" s="163" t="s">
        <v>222</v>
      </c>
      <c r="B8688" s="163"/>
      <c r="C8688" s="163"/>
      <c r="J8688" s="165"/>
      <c r="K8688" s="166"/>
      <c r="L8688" s="166"/>
    </row>
    <row r="8689">
      <c r="A8689" s="163" t="s">
        <v>222</v>
      </c>
      <c r="B8689" s="163"/>
      <c r="C8689" s="163"/>
      <c r="J8689" s="165"/>
      <c r="K8689" s="166"/>
      <c r="L8689" s="166"/>
    </row>
    <row r="8690">
      <c r="A8690" s="163" t="s">
        <v>222</v>
      </c>
      <c r="B8690" s="163"/>
      <c r="C8690" s="163"/>
      <c r="J8690" s="165"/>
      <c r="K8690" s="166"/>
      <c r="L8690" s="166"/>
    </row>
    <row r="8691">
      <c r="A8691" s="163" t="s">
        <v>222</v>
      </c>
      <c r="B8691" s="163"/>
      <c r="C8691" s="163"/>
      <c r="J8691" s="165"/>
      <c r="K8691" s="166"/>
      <c r="L8691" s="166"/>
    </row>
    <row r="8692">
      <c r="A8692" s="163" t="s">
        <v>222</v>
      </c>
      <c r="B8692" s="163"/>
      <c r="C8692" s="163"/>
      <c r="J8692" s="165"/>
      <c r="K8692" s="166"/>
      <c r="L8692" s="166"/>
    </row>
    <row r="8693">
      <c r="A8693" s="163" t="s">
        <v>222</v>
      </c>
      <c r="B8693" s="163"/>
      <c r="C8693" s="163"/>
      <c r="J8693" s="165"/>
      <c r="K8693" s="166"/>
      <c r="L8693" s="166"/>
    </row>
    <row r="8694">
      <c r="A8694" s="163" t="s">
        <v>222</v>
      </c>
      <c r="B8694" s="163"/>
      <c r="C8694" s="163"/>
      <c r="J8694" s="165"/>
      <c r="K8694" s="166"/>
      <c r="L8694" s="166"/>
    </row>
    <row r="8695">
      <c r="A8695" s="163" t="s">
        <v>222</v>
      </c>
      <c r="B8695" s="163"/>
      <c r="C8695" s="163"/>
      <c r="J8695" s="165"/>
      <c r="K8695" s="166"/>
      <c r="L8695" s="166"/>
    </row>
    <row r="8696">
      <c r="A8696" s="163" t="s">
        <v>222</v>
      </c>
      <c r="B8696" s="163"/>
      <c r="C8696" s="163"/>
      <c r="J8696" s="165"/>
      <c r="K8696" s="166"/>
      <c r="L8696" s="166"/>
    </row>
    <row r="8697">
      <c r="A8697" s="163" t="s">
        <v>222</v>
      </c>
      <c r="B8697" s="163"/>
      <c r="C8697" s="163"/>
      <c r="J8697" s="165"/>
      <c r="K8697" s="166"/>
      <c r="L8697" s="166"/>
    </row>
    <row r="8698">
      <c r="A8698" s="163" t="s">
        <v>222</v>
      </c>
      <c r="B8698" s="163"/>
      <c r="C8698" s="163"/>
      <c r="J8698" s="165"/>
      <c r="K8698" s="166"/>
      <c r="L8698" s="166"/>
    </row>
    <row r="8699">
      <c r="A8699" s="163" t="s">
        <v>222</v>
      </c>
      <c r="B8699" s="163"/>
      <c r="C8699" s="163"/>
      <c r="J8699" s="165"/>
      <c r="K8699" s="166"/>
      <c r="L8699" s="166"/>
    </row>
    <row r="8700">
      <c r="A8700" s="163" t="s">
        <v>222</v>
      </c>
      <c r="B8700" s="163"/>
      <c r="C8700" s="163"/>
      <c r="J8700" s="165"/>
      <c r="K8700" s="166"/>
      <c r="L8700" s="166"/>
    </row>
    <row r="8701">
      <c r="A8701" s="163" t="s">
        <v>222</v>
      </c>
      <c r="B8701" s="163"/>
      <c r="C8701" s="163"/>
      <c r="J8701" s="165"/>
      <c r="K8701" s="166"/>
      <c r="L8701" s="166"/>
    </row>
    <row r="8702">
      <c r="A8702" s="163" t="s">
        <v>222</v>
      </c>
      <c r="B8702" s="163"/>
      <c r="C8702" s="163"/>
      <c r="J8702" s="165"/>
      <c r="K8702" s="166"/>
      <c r="L8702" s="166"/>
    </row>
    <row r="8703">
      <c r="A8703" s="163" t="s">
        <v>222</v>
      </c>
      <c r="B8703" s="163"/>
      <c r="C8703" s="163"/>
      <c r="J8703" s="165"/>
      <c r="K8703" s="166"/>
      <c r="L8703" s="166"/>
    </row>
    <row r="8704">
      <c r="A8704" s="163" t="s">
        <v>222</v>
      </c>
      <c r="B8704" s="163"/>
      <c r="C8704" s="163"/>
      <c r="J8704" s="165"/>
      <c r="K8704" s="166"/>
      <c r="L8704" s="166"/>
    </row>
    <row r="8705">
      <c r="A8705" s="163" t="s">
        <v>222</v>
      </c>
      <c r="B8705" s="163"/>
      <c r="C8705" s="163"/>
      <c r="J8705" s="165"/>
      <c r="K8705" s="166"/>
      <c r="L8705" s="166"/>
    </row>
    <row r="8706">
      <c r="A8706" s="163" t="s">
        <v>222</v>
      </c>
      <c r="B8706" s="163"/>
      <c r="C8706" s="163"/>
      <c r="J8706" s="165"/>
      <c r="K8706" s="166"/>
      <c r="L8706" s="166"/>
    </row>
    <row r="8707">
      <c r="A8707" s="163" t="s">
        <v>222</v>
      </c>
      <c r="B8707" s="163"/>
      <c r="C8707" s="163"/>
      <c r="J8707" s="165"/>
      <c r="K8707" s="166"/>
      <c r="L8707" s="166"/>
    </row>
    <row r="8708">
      <c r="A8708" s="163" t="s">
        <v>222</v>
      </c>
      <c r="B8708" s="163"/>
      <c r="C8708" s="163"/>
      <c r="J8708" s="165"/>
      <c r="K8708" s="166"/>
      <c r="L8708" s="166"/>
    </row>
    <row r="8709">
      <c r="A8709" s="163" t="s">
        <v>222</v>
      </c>
      <c r="B8709" s="163"/>
      <c r="C8709" s="163"/>
      <c r="J8709" s="165"/>
      <c r="K8709" s="166"/>
      <c r="L8709" s="166"/>
    </row>
    <row r="8710">
      <c r="A8710" s="163" t="s">
        <v>222</v>
      </c>
      <c r="B8710" s="163"/>
      <c r="C8710" s="163"/>
      <c r="J8710" s="165"/>
      <c r="K8710" s="166"/>
      <c r="L8710" s="166"/>
    </row>
    <row r="8711">
      <c r="A8711" s="163" t="s">
        <v>222</v>
      </c>
      <c r="B8711" s="163"/>
      <c r="C8711" s="163"/>
      <c r="J8711" s="165"/>
      <c r="K8711" s="166"/>
      <c r="L8711" s="166"/>
    </row>
    <row r="8712">
      <c r="A8712" s="163" t="s">
        <v>222</v>
      </c>
      <c r="B8712" s="163"/>
      <c r="C8712" s="163"/>
      <c r="J8712" s="165"/>
      <c r="K8712" s="166"/>
      <c r="L8712" s="166"/>
    </row>
    <row r="8713">
      <c r="A8713" s="163" t="s">
        <v>222</v>
      </c>
      <c r="B8713" s="163"/>
      <c r="C8713" s="163"/>
      <c r="J8713" s="165"/>
      <c r="K8713" s="166"/>
      <c r="L8713" s="166"/>
    </row>
    <row r="8714">
      <c r="A8714" s="163" t="s">
        <v>222</v>
      </c>
      <c r="B8714" s="163"/>
      <c r="C8714" s="163"/>
      <c r="J8714" s="165"/>
      <c r="K8714" s="166"/>
      <c r="L8714" s="166"/>
    </row>
    <row r="8715">
      <c r="A8715" s="163" t="s">
        <v>222</v>
      </c>
      <c r="B8715" s="163"/>
      <c r="C8715" s="163"/>
      <c r="J8715" s="165"/>
      <c r="K8715" s="166"/>
      <c r="L8715" s="166"/>
    </row>
    <row r="8716">
      <c r="A8716" s="163" t="s">
        <v>222</v>
      </c>
      <c r="B8716" s="163"/>
      <c r="C8716" s="163"/>
      <c r="J8716" s="165"/>
      <c r="K8716" s="166"/>
      <c r="L8716" s="166"/>
    </row>
    <row r="8717">
      <c r="A8717" s="163" t="s">
        <v>222</v>
      </c>
      <c r="B8717" s="163"/>
      <c r="C8717" s="163"/>
      <c r="J8717" s="165"/>
      <c r="K8717" s="166"/>
      <c r="L8717" s="166"/>
    </row>
    <row r="8718">
      <c r="A8718" s="163" t="s">
        <v>222</v>
      </c>
      <c r="B8718" s="163"/>
      <c r="C8718" s="163"/>
      <c r="J8718" s="165"/>
      <c r="K8718" s="166"/>
      <c r="L8718" s="166"/>
    </row>
    <row r="8719">
      <c r="A8719" s="163" t="s">
        <v>222</v>
      </c>
      <c r="B8719" s="163"/>
      <c r="C8719" s="163"/>
      <c r="J8719" s="165"/>
      <c r="K8719" s="166"/>
      <c r="L8719" s="166"/>
    </row>
    <row r="8720">
      <c r="A8720" s="163" t="s">
        <v>222</v>
      </c>
      <c r="B8720" s="163"/>
      <c r="C8720" s="163"/>
      <c r="J8720" s="165"/>
      <c r="K8720" s="166"/>
      <c r="L8720" s="166"/>
    </row>
    <row r="8721">
      <c r="A8721" s="163" t="s">
        <v>222</v>
      </c>
      <c r="B8721" s="163"/>
      <c r="C8721" s="163"/>
      <c r="J8721" s="165"/>
      <c r="K8721" s="166"/>
      <c r="L8721" s="166"/>
    </row>
    <row r="8722">
      <c r="A8722" s="163" t="s">
        <v>222</v>
      </c>
      <c r="B8722" s="163"/>
      <c r="C8722" s="163"/>
      <c r="J8722" s="165"/>
      <c r="K8722" s="166"/>
      <c r="L8722" s="166"/>
    </row>
    <row r="8723">
      <c r="A8723" s="163" t="s">
        <v>222</v>
      </c>
      <c r="B8723" s="163"/>
      <c r="C8723" s="163"/>
      <c r="J8723" s="165"/>
      <c r="K8723" s="166"/>
      <c r="L8723" s="166"/>
    </row>
    <row r="8724">
      <c r="A8724" s="163" t="s">
        <v>222</v>
      </c>
      <c r="B8724" s="163"/>
      <c r="C8724" s="163"/>
      <c r="J8724" s="165"/>
      <c r="K8724" s="166"/>
      <c r="L8724" s="166"/>
    </row>
    <row r="8725">
      <c r="A8725" s="163" t="s">
        <v>222</v>
      </c>
      <c r="B8725" s="163"/>
      <c r="C8725" s="163"/>
      <c r="J8725" s="165"/>
      <c r="K8725" s="166"/>
      <c r="L8725" s="166"/>
    </row>
    <row r="8726">
      <c r="A8726" s="163" t="s">
        <v>222</v>
      </c>
      <c r="B8726" s="163"/>
      <c r="C8726" s="163"/>
      <c r="J8726" s="165"/>
      <c r="K8726" s="166"/>
      <c r="L8726" s="166"/>
    </row>
    <row r="8727">
      <c r="A8727" s="163" t="s">
        <v>222</v>
      </c>
      <c r="B8727" s="163"/>
      <c r="C8727" s="163"/>
      <c r="J8727" s="165"/>
      <c r="K8727" s="166"/>
      <c r="L8727" s="166"/>
    </row>
    <row r="8728">
      <c r="A8728" s="163" t="s">
        <v>222</v>
      </c>
      <c r="B8728" s="163"/>
      <c r="C8728" s="163"/>
      <c r="J8728" s="165"/>
      <c r="K8728" s="166"/>
      <c r="L8728" s="166"/>
    </row>
    <row r="8729">
      <c r="A8729" s="163" t="s">
        <v>222</v>
      </c>
      <c r="B8729" s="163"/>
      <c r="C8729" s="163"/>
      <c r="J8729" s="165"/>
      <c r="K8729" s="166"/>
      <c r="L8729" s="166"/>
    </row>
    <row r="8730">
      <c r="A8730" s="163" t="s">
        <v>222</v>
      </c>
      <c r="B8730" s="163"/>
      <c r="C8730" s="163"/>
      <c r="J8730" s="165"/>
      <c r="K8730" s="166"/>
      <c r="L8730" s="166"/>
    </row>
    <row r="8731">
      <c r="A8731" s="163" t="s">
        <v>222</v>
      </c>
      <c r="B8731" s="163"/>
      <c r="C8731" s="163"/>
      <c r="J8731" s="165"/>
      <c r="K8731" s="166"/>
      <c r="L8731" s="166"/>
    </row>
    <row r="8732">
      <c r="A8732" s="163" t="s">
        <v>222</v>
      </c>
      <c r="B8732" s="163"/>
      <c r="C8732" s="163"/>
      <c r="J8732" s="165"/>
      <c r="K8732" s="166"/>
      <c r="L8732" s="166"/>
    </row>
    <row r="8733">
      <c r="A8733" s="163" t="s">
        <v>222</v>
      </c>
      <c r="B8733" s="163"/>
      <c r="C8733" s="163"/>
      <c r="J8733" s="165"/>
      <c r="K8733" s="166"/>
      <c r="L8733" s="166"/>
    </row>
    <row r="8734">
      <c r="A8734" s="163" t="s">
        <v>222</v>
      </c>
      <c r="B8734" s="163"/>
      <c r="C8734" s="163"/>
      <c r="J8734" s="165"/>
      <c r="K8734" s="166"/>
      <c r="L8734" s="166"/>
    </row>
    <row r="8735">
      <c r="A8735" s="163" t="s">
        <v>222</v>
      </c>
      <c r="B8735" s="163"/>
      <c r="C8735" s="163"/>
      <c r="J8735" s="165"/>
      <c r="K8735" s="166"/>
      <c r="L8735" s="166"/>
    </row>
    <row r="8736">
      <c r="A8736" s="163" t="s">
        <v>222</v>
      </c>
      <c r="B8736" s="163"/>
      <c r="C8736" s="163"/>
      <c r="J8736" s="165"/>
      <c r="K8736" s="166"/>
      <c r="L8736" s="166"/>
    </row>
    <row r="8737">
      <c r="A8737" s="163" t="s">
        <v>222</v>
      </c>
      <c r="B8737" s="163"/>
      <c r="C8737" s="163"/>
      <c r="J8737" s="165"/>
      <c r="K8737" s="166"/>
      <c r="L8737" s="166"/>
    </row>
    <row r="8738">
      <c r="A8738" s="163" t="s">
        <v>222</v>
      </c>
      <c r="B8738" s="163"/>
      <c r="C8738" s="163"/>
      <c r="J8738" s="165"/>
      <c r="K8738" s="166"/>
      <c r="L8738" s="166"/>
    </row>
    <row r="8739">
      <c r="A8739" s="163" t="s">
        <v>222</v>
      </c>
      <c r="B8739" s="163"/>
      <c r="C8739" s="163"/>
      <c r="J8739" s="165"/>
      <c r="K8739" s="166"/>
      <c r="L8739" s="166"/>
    </row>
    <row r="8740">
      <c r="A8740" s="163" t="s">
        <v>222</v>
      </c>
      <c r="B8740" s="163"/>
      <c r="C8740" s="163"/>
      <c r="J8740" s="165"/>
      <c r="K8740" s="166"/>
      <c r="L8740" s="166"/>
    </row>
    <row r="8741">
      <c r="A8741" s="163" t="s">
        <v>222</v>
      </c>
      <c r="B8741" s="163"/>
      <c r="C8741" s="163"/>
      <c r="J8741" s="165"/>
      <c r="K8741" s="166"/>
      <c r="L8741" s="166"/>
    </row>
    <row r="8742">
      <c r="A8742" s="163" t="s">
        <v>222</v>
      </c>
      <c r="B8742" s="163"/>
      <c r="C8742" s="163"/>
      <c r="J8742" s="165"/>
      <c r="K8742" s="166"/>
      <c r="L8742" s="166"/>
    </row>
    <row r="8743">
      <c r="A8743" s="163" t="s">
        <v>222</v>
      </c>
      <c r="B8743" s="163"/>
      <c r="C8743" s="163"/>
      <c r="J8743" s="165"/>
      <c r="K8743" s="166"/>
      <c r="L8743" s="166"/>
    </row>
    <row r="8744">
      <c r="A8744" s="163" t="s">
        <v>222</v>
      </c>
      <c r="B8744" s="163"/>
      <c r="C8744" s="163"/>
      <c r="J8744" s="165"/>
      <c r="K8744" s="166"/>
      <c r="L8744" s="166"/>
    </row>
    <row r="8745">
      <c r="A8745" s="163" t="s">
        <v>222</v>
      </c>
      <c r="B8745" s="163"/>
      <c r="C8745" s="163"/>
      <c r="J8745" s="165"/>
      <c r="K8745" s="166"/>
      <c r="L8745" s="166"/>
    </row>
    <row r="8746">
      <c r="A8746" s="163" t="s">
        <v>222</v>
      </c>
      <c r="B8746" s="163"/>
      <c r="C8746" s="163"/>
      <c r="J8746" s="165"/>
      <c r="K8746" s="166"/>
      <c r="L8746" s="166"/>
    </row>
    <row r="8747">
      <c r="A8747" s="163" t="s">
        <v>222</v>
      </c>
      <c r="B8747" s="163"/>
      <c r="C8747" s="163"/>
      <c r="J8747" s="165"/>
      <c r="K8747" s="166"/>
      <c r="L8747" s="166"/>
    </row>
    <row r="8748">
      <c r="A8748" s="163" t="s">
        <v>222</v>
      </c>
      <c r="B8748" s="163"/>
      <c r="C8748" s="163"/>
      <c r="J8748" s="165"/>
      <c r="K8748" s="166"/>
      <c r="L8748" s="166"/>
    </row>
    <row r="8749">
      <c r="A8749" s="163" t="s">
        <v>222</v>
      </c>
      <c r="B8749" s="163"/>
      <c r="C8749" s="163"/>
      <c r="J8749" s="165"/>
      <c r="K8749" s="166"/>
      <c r="L8749" s="166"/>
    </row>
    <row r="8750">
      <c r="A8750" s="163" t="s">
        <v>222</v>
      </c>
      <c r="B8750" s="163"/>
      <c r="C8750" s="163"/>
      <c r="J8750" s="165"/>
      <c r="K8750" s="166"/>
      <c r="L8750" s="166"/>
    </row>
    <row r="8751">
      <c r="A8751" s="163" t="s">
        <v>222</v>
      </c>
      <c r="B8751" s="163"/>
      <c r="C8751" s="163"/>
      <c r="J8751" s="165"/>
      <c r="K8751" s="166"/>
      <c r="L8751" s="166"/>
    </row>
    <row r="8752">
      <c r="A8752" s="163" t="s">
        <v>222</v>
      </c>
      <c r="B8752" s="163"/>
      <c r="C8752" s="163"/>
      <c r="J8752" s="165"/>
      <c r="K8752" s="166"/>
      <c r="L8752" s="166"/>
    </row>
    <row r="8753">
      <c r="A8753" s="163" t="s">
        <v>222</v>
      </c>
      <c r="B8753" s="163"/>
      <c r="C8753" s="163"/>
      <c r="J8753" s="165"/>
      <c r="K8753" s="166"/>
      <c r="L8753" s="166"/>
    </row>
    <row r="8754">
      <c r="A8754" s="163" t="s">
        <v>222</v>
      </c>
      <c r="B8754" s="163"/>
      <c r="C8754" s="163"/>
      <c r="J8754" s="165"/>
      <c r="K8754" s="166"/>
      <c r="L8754" s="166"/>
    </row>
    <row r="8755">
      <c r="A8755" s="163" t="s">
        <v>222</v>
      </c>
      <c r="B8755" s="163"/>
      <c r="C8755" s="163"/>
      <c r="J8755" s="165"/>
      <c r="K8755" s="166"/>
      <c r="L8755" s="166"/>
    </row>
    <row r="8756">
      <c r="A8756" s="163" t="s">
        <v>222</v>
      </c>
      <c r="B8756" s="163"/>
      <c r="C8756" s="163"/>
      <c r="J8756" s="165"/>
      <c r="K8756" s="166"/>
      <c r="L8756" s="166"/>
    </row>
    <row r="8757">
      <c r="A8757" s="163" t="s">
        <v>222</v>
      </c>
      <c r="B8757" s="163"/>
      <c r="C8757" s="163"/>
      <c r="J8757" s="165"/>
      <c r="K8757" s="166"/>
      <c r="L8757" s="166"/>
    </row>
    <row r="8758">
      <c r="A8758" s="163" t="s">
        <v>222</v>
      </c>
      <c r="B8758" s="163"/>
      <c r="C8758" s="163"/>
      <c r="J8758" s="165"/>
      <c r="K8758" s="166"/>
      <c r="L8758" s="166"/>
    </row>
    <row r="8759">
      <c r="A8759" s="163" t="s">
        <v>222</v>
      </c>
      <c r="B8759" s="163"/>
      <c r="C8759" s="163"/>
      <c r="J8759" s="165"/>
      <c r="K8759" s="166"/>
      <c r="L8759" s="166"/>
    </row>
    <row r="8760">
      <c r="A8760" s="163" t="s">
        <v>222</v>
      </c>
      <c r="B8760" s="163"/>
      <c r="C8760" s="163"/>
      <c r="J8760" s="165"/>
      <c r="K8760" s="166"/>
      <c r="L8760" s="166"/>
    </row>
    <row r="8761">
      <c r="A8761" s="163" t="s">
        <v>222</v>
      </c>
      <c r="B8761" s="163"/>
      <c r="C8761" s="163"/>
      <c r="J8761" s="165"/>
      <c r="K8761" s="166"/>
      <c r="L8761" s="166"/>
    </row>
    <row r="8762">
      <c r="A8762" s="163" t="s">
        <v>222</v>
      </c>
      <c r="B8762" s="163"/>
      <c r="C8762" s="163"/>
      <c r="J8762" s="165"/>
      <c r="K8762" s="166"/>
      <c r="L8762" s="166"/>
    </row>
    <row r="8763">
      <c r="A8763" s="163" t="s">
        <v>222</v>
      </c>
      <c r="B8763" s="163"/>
      <c r="C8763" s="163"/>
      <c r="J8763" s="165"/>
      <c r="K8763" s="166"/>
      <c r="L8763" s="166"/>
    </row>
    <row r="8764">
      <c r="A8764" s="163" t="s">
        <v>222</v>
      </c>
      <c r="B8764" s="163"/>
      <c r="C8764" s="163"/>
      <c r="J8764" s="165"/>
      <c r="K8764" s="166"/>
      <c r="L8764" s="166"/>
    </row>
    <row r="8765">
      <c r="A8765" s="163" t="s">
        <v>222</v>
      </c>
      <c r="B8765" s="163"/>
      <c r="C8765" s="163"/>
      <c r="J8765" s="165"/>
      <c r="K8765" s="166"/>
      <c r="L8765" s="166"/>
    </row>
    <row r="8766">
      <c r="A8766" s="163" t="s">
        <v>222</v>
      </c>
      <c r="B8766" s="163"/>
      <c r="C8766" s="163"/>
      <c r="J8766" s="165"/>
      <c r="K8766" s="166"/>
      <c r="L8766" s="166"/>
    </row>
    <row r="8767">
      <c r="A8767" s="163" t="s">
        <v>222</v>
      </c>
      <c r="B8767" s="163"/>
      <c r="C8767" s="163"/>
      <c r="J8767" s="165"/>
      <c r="K8767" s="166"/>
      <c r="L8767" s="166"/>
    </row>
    <row r="8768">
      <c r="A8768" s="163" t="s">
        <v>222</v>
      </c>
      <c r="B8768" s="163"/>
      <c r="C8768" s="163"/>
      <c r="J8768" s="165"/>
      <c r="K8768" s="166"/>
      <c r="L8768" s="166"/>
    </row>
    <row r="8769">
      <c r="A8769" s="163" t="s">
        <v>222</v>
      </c>
      <c r="B8769" s="163"/>
      <c r="C8769" s="163"/>
      <c r="J8769" s="165"/>
      <c r="K8769" s="166"/>
      <c r="L8769" s="166"/>
    </row>
    <row r="8770">
      <c r="A8770" s="163" t="s">
        <v>222</v>
      </c>
      <c r="B8770" s="163"/>
      <c r="C8770" s="163"/>
      <c r="J8770" s="165"/>
      <c r="K8770" s="166"/>
      <c r="L8770" s="166"/>
    </row>
    <row r="8771">
      <c r="A8771" s="163" t="s">
        <v>222</v>
      </c>
      <c r="B8771" s="163"/>
      <c r="C8771" s="163"/>
      <c r="J8771" s="165"/>
      <c r="K8771" s="166"/>
      <c r="L8771" s="166"/>
    </row>
    <row r="8772">
      <c r="A8772" s="163" t="s">
        <v>222</v>
      </c>
      <c r="B8772" s="163"/>
      <c r="C8772" s="163"/>
      <c r="J8772" s="165"/>
      <c r="K8772" s="166"/>
      <c r="L8772" s="166"/>
    </row>
    <row r="8773">
      <c r="A8773" s="163" t="s">
        <v>222</v>
      </c>
      <c r="B8773" s="163"/>
      <c r="C8773" s="163"/>
      <c r="J8773" s="165"/>
      <c r="K8773" s="166"/>
      <c r="L8773" s="166"/>
    </row>
    <row r="8774">
      <c r="A8774" s="163" t="s">
        <v>222</v>
      </c>
      <c r="B8774" s="163"/>
      <c r="C8774" s="163"/>
      <c r="J8774" s="165"/>
      <c r="K8774" s="166"/>
      <c r="L8774" s="166"/>
    </row>
    <row r="8775">
      <c r="A8775" s="163" t="s">
        <v>222</v>
      </c>
      <c r="B8775" s="163"/>
      <c r="C8775" s="163"/>
      <c r="J8775" s="165"/>
      <c r="K8775" s="166"/>
      <c r="L8775" s="166"/>
    </row>
    <row r="8776">
      <c r="A8776" s="163" t="s">
        <v>222</v>
      </c>
      <c r="B8776" s="163"/>
      <c r="C8776" s="163"/>
      <c r="J8776" s="165"/>
      <c r="K8776" s="166"/>
      <c r="L8776" s="166"/>
    </row>
    <row r="8777">
      <c r="A8777" s="163" t="s">
        <v>222</v>
      </c>
      <c r="B8777" s="163"/>
      <c r="C8777" s="163"/>
      <c r="J8777" s="165"/>
      <c r="K8777" s="166"/>
      <c r="L8777" s="166"/>
    </row>
    <row r="8778">
      <c r="A8778" s="163" t="s">
        <v>222</v>
      </c>
      <c r="B8778" s="163"/>
      <c r="C8778" s="163"/>
      <c r="J8778" s="165"/>
      <c r="K8778" s="166"/>
      <c r="L8778" s="166"/>
    </row>
    <row r="8779">
      <c r="A8779" s="163" t="s">
        <v>222</v>
      </c>
      <c r="B8779" s="163"/>
      <c r="C8779" s="163"/>
      <c r="J8779" s="165"/>
      <c r="K8779" s="166"/>
      <c r="L8779" s="166"/>
    </row>
    <row r="8780">
      <c r="A8780" s="163" t="s">
        <v>222</v>
      </c>
      <c r="B8780" s="163"/>
      <c r="C8780" s="163"/>
      <c r="J8780" s="165"/>
      <c r="K8780" s="166"/>
      <c r="L8780" s="166"/>
    </row>
    <row r="8781">
      <c r="A8781" s="163" t="s">
        <v>222</v>
      </c>
      <c r="B8781" s="163"/>
      <c r="C8781" s="163"/>
      <c r="J8781" s="165"/>
      <c r="K8781" s="166"/>
      <c r="L8781" s="166"/>
    </row>
    <row r="8782">
      <c r="A8782" s="163" t="s">
        <v>222</v>
      </c>
      <c r="B8782" s="163"/>
      <c r="C8782" s="163"/>
      <c r="J8782" s="165"/>
      <c r="K8782" s="166"/>
      <c r="L8782" s="166"/>
    </row>
    <row r="8783">
      <c r="A8783" s="163" t="s">
        <v>222</v>
      </c>
      <c r="B8783" s="163"/>
      <c r="C8783" s="163"/>
      <c r="J8783" s="165"/>
      <c r="K8783" s="166"/>
      <c r="L8783" s="166"/>
    </row>
    <row r="8784">
      <c r="A8784" s="163" t="s">
        <v>222</v>
      </c>
      <c r="B8784" s="163"/>
      <c r="C8784" s="163"/>
      <c r="J8784" s="165"/>
      <c r="K8784" s="166"/>
      <c r="L8784" s="166"/>
    </row>
    <row r="8785">
      <c r="A8785" s="163" t="s">
        <v>222</v>
      </c>
      <c r="B8785" s="163"/>
      <c r="C8785" s="163"/>
      <c r="J8785" s="165"/>
      <c r="K8785" s="166"/>
      <c r="L8785" s="166"/>
    </row>
    <row r="8786">
      <c r="A8786" s="163" t="s">
        <v>222</v>
      </c>
      <c r="B8786" s="163"/>
      <c r="C8786" s="163"/>
      <c r="J8786" s="165"/>
      <c r="K8786" s="166"/>
      <c r="L8786" s="166"/>
    </row>
    <row r="8787">
      <c r="A8787" s="163" t="s">
        <v>222</v>
      </c>
      <c r="B8787" s="163"/>
      <c r="C8787" s="163"/>
      <c r="J8787" s="165"/>
      <c r="K8787" s="166"/>
      <c r="L8787" s="166"/>
    </row>
    <row r="8788">
      <c r="A8788" s="163" t="s">
        <v>222</v>
      </c>
      <c r="B8788" s="163"/>
      <c r="C8788" s="163"/>
      <c r="J8788" s="165"/>
      <c r="K8788" s="166"/>
      <c r="L8788" s="166"/>
    </row>
    <row r="8789">
      <c r="A8789" s="163" t="s">
        <v>222</v>
      </c>
      <c r="B8789" s="163"/>
      <c r="C8789" s="163"/>
      <c r="J8789" s="165"/>
      <c r="K8789" s="166"/>
      <c r="L8789" s="166"/>
    </row>
    <row r="8790">
      <c r="A8790" s="163" t="s">
        <v>222</v>
      </c>
      <c r="B8790" s="163"/>
      <c r="C8790" s="163"/>
      <c r="J8790" s="165"/>
      <c r="K8790" s="166"/>
      <c r="L8790" s="166"/>
    </row>
    <row r="8791">
      <c r="A8791" s="163" t="s">
        <v>222</v>
      </c>
      <c r="B8791" s="163"/>
      <c r="C8791" s="163"/>
      <c r="J8791" s="165"/>
      <c r="K8791" s="166"/>
      <c r="L8791" s="166"/>
    </row>
    <row r="8792">
      <c r="A8792" s="163" t="s">
        <v>222</v>
      </c>
      <c r="B8792" s="163"/>
      <c r="C8792" s="163"/>
      <c r="J8792" s="165"/>
      <c r="K8792" s="166"/>
      <c r="L8792" s="166"/>
    </row>
    <row r="8793">
      <c r="A8793" s="163" t="s">
        <v>222</v>
      </c>
      <c r="B8793" s="163"/>
      <c r="C8793" s="163"/>
      <c r="J8793" s="165"/>
      <c r="K8793" s="166"/>
      <c r="L8793" s="166"/>
    </row>
    <row r="8794">
      <c r="A8794" s="163" t="s">
        <v>222</v>
      </c>
      <c r="B8794" s="163"/>
      <c r="C8794" s="163"/>
      <c r="J8794" s="165"/>
      <c r="K8794" s="166"/>
      <c r="L8794" s="166"/>
    </row>
    <row r="8795">
      <c r="A8795" s="163" t="s">
        <v>222</v>
      </c>
      <c r="B8795" s="163"/>
      <c r="C8795" s="163"/>
      <c r="J8795" s="165"/>
      <c r="K8795" s="166"/>
      <c r="L8795" s="166"/>
    </row>
    <row r="8796">
      <c r="A8796" s="163" t="s">
        <v>222</v>
      </c>
      <c r="B8796" s="163"/>
      <c r="C8796" s="163"/>
      <c r="J8796" s="165"/>
      <c r="K8796" s="166"/>
      <c r="L8796" s="166"/>
    </row>
    <row r="8797">
      <c r="A8797" s="163" t="s">
        <v>222</v>
      </c>
      <c r="B8797" s="163"/>
      <c r="C8797" s="163"/>
      <c r="J8797" s="165"/>
      <c r="K8797" s="166"/>
      <c r="L8797" s="166"/>
    </row>
    <row r="8798">
      <c r="A8798" s="163" t="s">
        <v>222</v>
      </c>
      <c r="B8798" s="163"/>
      <c r="C8798" s="163"/>
      <c r="J8798" s="165"/>
      <c r="K8798" s="166"/>
      <c r="L8798" s="166"/>
    </row>
    <row r="8799">
      <c r="A8799" s="163" t="s">
        <v>222</v>
      </c>
      <c r="B8799" s="163"/>
      <c r="C8799" s="163"/>
      <c r="J8799" s="165"/>
      <c r="K8799" s="166"/>
      <c r="L8799" s="166"/>
    </row>
    <row r="8800">
      <c r="A8800" s="163" t="s">
        <v>222</v>
      </c>
      <c r="B8800" s="163"/>
      <c r="C8800" s="163"/>
      <c r="J8800" s="165"/>
      <c r="K8800" s="166"/>
      <c r="L8800" s="166"/>
    </row>
    <row r="8801">
      <c r="A8801" s="163" t="s">
        <v>222</v>
      </c>
      <c r="B8801" s="163"/>
      <c r="C8801" s="163"/>
      <c r="J8801" s="165"/>
      <c r="K8801" s="166"/>
      <c r="L8801" s="166"/>
    </row>
    <row r="8802">
      <c r="A8802" s="163" t="s">
        <v>222</v>
      </c>
      <c r="B8802" s="163"/>
      <c r="C8802" s="163"/>
      <c r="J8802" s="165"/>
      <c r="K8802" s="166"/>
      <c r="L8802" s="166"/>
    </row>
    <row r="8803">
      <c r="A8803" s="163" t="s">
        <v>222</v>
      </c>
      <c r="B8803" s="163"/>
      <c r="C8803" s="163"/>
      <c r="J8803" s="165"/>
      <c r="K8803" s="166"/>
      <c r="L8803" s="166"/>
    </row>
    <row r="8804">
      <c r="A8804" s="163" t="s">
        <v>222</v>
      </c>
      <c r="B8804" s="163"/>
      <c r="C8804" s="163"/>
      <c r="J8804" s="165"/>
      <c r="K8804" s="166"/>
      <c r="L8804" s="166"/>
    </row>
    <row r="8805">
      <c r="A8805" s="163" t="s">
        <v>222</v>
      </c>
      <c r="B8805" s="163"/>
      <c r="C8805" s="163"/>
      <c r="J8805" s="165"/>
      <c r="K8805" s="166"/>
      <c r="L8805" s="166"/>
    </row>
    <row r="8806">
      <c r="A8806" s="163" t="s">
        <v>222</v>
      </c>
      <c r="B8806" s="163"/>
      <c r="C8806" s="163"/>
      <c r="J8806" s="165"/>
      <c r="K8806" s="166"/>
      <c r="L8806" s="166"/>
    </row>
    <row r="8807">
      <c r="A8807" s="163" t="s">
        <v>222</v>
      </c>
      <c r="B8807" s="163"/>
      <c r="C8807" s="163"/>
      <c r="J8807" s="165"/>
      <c r="K8807" s="166"/>
      <c r="L8807" s="166"/>
    </row>
    <row r="8808">
      <c r="A8808" s="163" t="s">
        <v>222</v>
      </c>
      <c r="B8808" s="163"/>
      <c r="C8808" s="163"/>
      <c r="J8808" s="165"/>
      <c r="K8808" s="166"/>
      <c r="L8808" s="166"/>
    </row>
    <row r="8809">
      <c r="A8809" s="163" t="s">
        <v>222</v>
      </c>
      <c r="B8809" s="163"/>
      <c r="C8809" s="163"/>
      <c r="J8809" s="165"/>
      <c r="K8809" s="166"/>
      <c r="L8809" s="166"/>
    </row>
    <row r="8810">
      <c r="A8810" s="163" t="s">
        <v>222</v>
      </c>
      <c r="B8810" s="163"/>
      <c r="C8810" s="163"/>
      <c r="J8810" s="165"/>
      <c r="K8810" s="166"/>
      <c r="L8810" s="166"/>
    </row>
    <row r="8811">
      <c r="A8811" s="163" t="s">
        <v>222</v>
      </c>
      <c r="B8811" s="163"/>
      <c r="C8811" s="163"/>
      <c r="J8811" s="165"/>
      <c r="K8811" s="166"/>
      <c r="L8811" s="166"/>
    </row>
    <row r="8812">
      <c r="A8812" s="163" t="s">
        <v>222</v>
      </c>
      <c r="B8812" s="163"/>
      <c r="C8812" s="163"/>
      <c r="J8812" s="165"/>
      <c r="K8812" s="166"/>
      <c r="L8812" s="166"/>
    </row>
    <row r="8813">
      <c r="A8813" s="163" t="s">
        <v>222</v>
      </c>
      <c r="B8813" s="163"/>
      <c r="C8813" s="163"/>
      <c r="J8813" s="165"/>
      <c r="K8813" s="166"/>
      <c r="L8813" s="166"/>
    </row>
    <row r="8814">
      <c r="A8814" s="163" t="s">
        <v>222</v>
      </c>
      <c r="B8814" s="163"/>
      <c r="C8814" s="163"/>
      <c r="J8814" s="165"/>
      <c r="K8814" s="166"/>
      <c r="L8814" s="166"/>
    </row>
    <row r="8815">
      <c r="A8815" s="163" t="s">
        <v>222</v>
      </c>
      <c r="B8815" s="163"/>
      <c r="C8815" s="163"/>
      <c r="J8815" s="165"/>
      <c r="K8815" s="166"/>
      <c r="L8815" s="166"/>
    </row>
    <row r="8816">
      <c r="A8816" s="163" t="s">
        <v>222</v>
      </c>
      <c r="B8816" s="163"/>
      <c r="C8816" s="163"/>
      <c r="J8816" s="165"/>
      <c r="K8816" s="166"/>
      <c r="L8816" s="166"/>
    </row>
    <row r="8817">
      <c r="A8817" s="163" t="s">
        <v>222</v>
      </c>
      <c r="B8817" s="163"/>
      <c r="C8817" s="163"/>
      <c r="J8817" s="165"/>
      <c r="K8817" s="166"/>
      <c r="L8817" s="166"/>
    </row>
    <row r="8818">
      <c r="A8818" s="163" t="s">
        <v>222</v>
      </c>
      <c r="B8818" s="163"/>
      <c r="C8818" s="163"/>
      <c r="J8818" s="165"/>
      <c r="K8818" s="166"/>
      <c r="L8818" s="166"/>
    </row>
    <row r="8819">
      <c r="A8819" s="163" t="s">
        <v>222</v>
      </c>
      <c r="B8819" s="163"/>
      <c r="C8819" s="163"/>
      <c r="J8819" s="165"/>
      <c r="K8819" s="166"/>
      <c r="L8819" s="166"/>
    </row>
    <row r="8820">
      <c r="A8820" s="163" t="s">
        <v>222</v>
      </c>
      <c r="B8820" s="163"/>
      <c r="C8820" s="163"/>
      <c r="J8820" s="165"/>
      <c r="K8820" s="166"/>
      <c r="L8820" s="166"/>
    </row>
    <row r="8821">
      <c r="A8821" s="163" t="s">
        <v>222</v>
      </c>
      <c r="B8821" s="163"/>
      <c r="C8821" s="163"/>
      <c r="J8821" s="165"/>
      <c r="K8821" s="166"/>
      <c r="L8821" s="166"/>
    </row>
    <row r="8822">
      <c r="A8822" s="163" t="s">
        <v>222</v>
      </c>
      <c r="B8822" s="163"/>
      <c r="C8822" s="163"/>
      <c r="J8822" s="165"/>
      <c r="K8822" s="166"/>
      <c r="L8822" s="166"/>
    </row>
    <row r="8823">
      <c r="A8823" s="163" t="s">
        <v>222</v>
      </c>
      <c r="B8823" s="163"/>
      <c r="C8823" s="163"/>
      <c r="J8823" s="165"/>
      <c r="K8823" s="166"/>
      <c r="L8823" s="166"/>
    </row>
    <row r="8824">
      <c r="A8824" s="163" t="s">
        <v>222</v>
      </c>
      <c r="B8824" s="163"/>
      <c r="C8824" s="163"/>
      <c r="J8824" s="165"/>
      <c r="K8824" s="166"/>
      <c r="L8824" s="166"/>
    </row>
    <row r="8825">
      <c r="A8825" s="163" t="s">
        <v>222</v>
      </c>
      <c r="B8825" s="163"/>
      <c r="C8825" s="163"/>
      <c r="J8825" s="165"/>
      <c r="K8825" s="166"/>
      <c r="L8825" s="166"/>
    </row>
    <row r="8826">
      <c r="A8826" s="163" t="s">
        <v>222</v>
      </c>
      <c r="B8826" s="163"/>
      <c r="C8826" s="163"/>
      <c r="J8826" s="165"/>
      <c r="K8826" s="166"/>
      <c r="L8826" s="166"/>
    </row>
    <row r="8827">
      <c r="A8827" s="163" t="s">
        <v>222</v>
      </c>
      <c r="B8827" s="163"/>
      <c r="C8827" s="163"/>
      <c r="J8827" s="165"/>
      <c r="K8827" s="166"/>
      <c r="L8827" s="166"/>
    </row>
    <row r="8828">
      <c r="A8828" s="163" t="s">
        <v>222</v>
      </c>
      <c r="B8828" s="163"/>
      <c r="C8828" s="163"/>
      <c r="J8828" s="165"/>
      <c r="K8828" s="166"/>
      <c r="L8828" s="166"/>
    </row>
    <row r="8829">
      <c r="A8829" s="163" t="s">
        <v>222</v>
      </c>
      <c r="B8829" s="163"/>
      <c r="C8829" s="163"/>
      <c r="J8829" s="165"/>
      <c r="K8829" s="166"/>
      <c r="L8829" s="166"/>
    </row>
    <row r="8830">
      <c r="A8830" s="163" t="s">
        <v>222</v>
      </c>
      <c r="B8830" s="163"/>
      <c r="C8830" s="163"/>
      <c r="J8830" s="165"/>
      <c r="K8830" s="166"/>
      <c r="L8830" s="166"/>
    </row>
    <row r="8831">
      <c r="A8831" s="163" t="s">
        <v>222</v>
      </c>
      <c r="B8831" s="163"/>
      <c r="C8831" s="163"/>
      <c r="J8831" s="165"/>
      <c r="K8831" s="166"/>
      <c r="L8831" s="166"/>
    </row>
    <row r="8832">
      <c r="A8832" s="163" t="s">
        <v>222</v>
      </c>
      <c r="B8832" s="163"/>
      <c r="C8832" s="163"/>
      <c r="J8832" s="165"/>
      <c r="K8832" s="166"/>
      <c r="L8832" s="166"/>
    </row>
    <row r="8833">
      <c r="A8833" s="163" t="s">
        <v>222</v>
      </c>
      <c r="B8833" s="163"/>
      <c r="C8833" s="163"/>
      <c r="J8833" s="165"/>
      <c r="K8833" s="166"/>
      <c r="L8833" s="166"/>
    </row>
    <row r="8834">
      <c r="A8834" s="163" t="s">
        <v>222</v>
      </c>
      <c r="B8834" s="163"/>
      <c r="C8834" s="163"/>
      <c r="J8834" s="165"/>
      <c r="K8834" s="166"/>
      <c r="L8834" s="166"/>
    </row>
    <row r="8835">
      <c r="A8835" s="163" t="s">
        <v>222</v>
      </c>
      <c r="B8835" s="163"/>
      <c r="C8835" s="163"/>
      <c r="J8835" s="165"/>
      <c r="K8835" s="166"/>
      <c r="L8835" s="166"/>
    </row>
    <row r="8836">
      <c r="A8836" s="163" t="s">
        <v>222</v>
      </c>
      <c r="B8836" s="163"/>
      <c r="C8836" s="163"/>
      <c r="J8836" s="165"/>
      <c r="K8836" s="166"/>
      <c r="L8836" s="166"/>
    </row>
    <row r="8837">
      <c r="A8837" s="163" t="s">
        <v>222</v>
      </c>
      <c r="B8837" s="163"/>
      <c r="C8837" s="163"/>
      <c r="J8837" s="165"/>
      <c r="K8837" s="166"/>
      <c r="L8837" s="166"/>
    </row>
    <row r="8838">
      <c r="A8838" s="163" t="s">
        <v>222</v>
      </c>
      <c r="B8838" s="163"/>
      <c r="C8838" s="163"/>
      <c r="J8838" s="165"/>
      <c r="K8838" s="166"/>
      <c r="L8838" s="166"/>
    </row>
    <row r="8839">
      <c r="A8839" s="163" t="s">
        <v>222</v>
      </c>
      <c r="B8839" s="163"/>
      <c r="C8839" s="163"/>
      <c r="J8839" s="165"/>
      <c r="K8839" s="166"/>
      <c r="L8839" s="166"/>
    </row>
    <row r="8840">
      <c r="A8840" s="163" t="s">
        <v>222</v>
      </c>
      <c r="B8840" s="163"/>
      <c r="C8840" s="163"/>
      <c r="J8840" s="165"/>
      <c r="K8840" s="166"/>
      <c r="L8840" s="166"/>
    </row>
    <row r="8841">
      <c r="A8841" s="163" t="s">
        <v>222</v>
      </c>
      <c r="B8841" s="163"/>
      <c r="C8841" s="163"/>
      <c r="J8841" s="165"/>
      <c r="K8841" s="166"/>
      <c r="L8841" s="166"/>
    </row>
    <row r="8842">
      <c r="A8842" s="163" t="s">
        <v>222</v>
      </c>
      <c r="B8842" s="163"/>
      <c r="C8842" s="163"/>
      <c r="J8842" s="165"/>
      <c r="K8842" s="166"/>
      <c r="L8842" s="166"/>
    </row>
    <row r="8843">
      <c r="A8843" s="163" t="s">
        <v>222</v>
      </c>
      <c r="B8843" s="163"/>
      <c r="C8843" s="163"/>
      <c r="J8843" s="165"/>
      <c r="K8843" s="166"/>
      <c r="L8843" s="166"/>
    </row>
    <row r="8844">
      <c r="A8844" s="163" t="s">
        <v>222</v>
      </c>
      <c r="B8844" s="163"/>
      <c r="C8844" s="163"/>
      <c r="J8844" s="165"/>
      <c r="K8844" s="166"/>
      <c r="L8844" s="166"/>
    </row>
    <row r="8845">
      <c r="A8845" s="163" t="s">
        <v>222</v>
      </c>
      <c r="B8845" s="163"/>
      <c r="C8845" s="163"/>
      <c r="J8845" s="165"/>
      <c r="K8845" s="166"/>
      <c r="L8845" s="166"/>
    </row>
    <row r="8846">
      <c r="A8846" s="163" t="s">
        <v>222</v>
      </c>
      <c r="B8846" s="163"/>
      <c r="C8846" s="163"/>
      <c r="J8846" s="165"/>
      <c r="K8846" s="166"/>
      <c r="L8846" s="166"/>
    </row>
    <row r="8847">
      <c r="A8847" s="163" t="s">
        <v>222</v>
      </c>
      <c r="B8847" s="163"/>
      <c r="C8847" s="163"/>
      <c r="J8847" s="165"/>
      <c r="K8847" s="166"/>
      <c r="L8847" s="166"/>
    </row>
    <row r="8848">
      <c r="A8848" s="163" t="s">
        <v>222</v>
      </c>
      <c r="B8848" s="163"/>
      <c r="C8848" s="163"/>
      <c r="J8848" s="165"/>
      <c r="K8848" s="166"/>
      <c r="L8848" s="166"/>
    </row>
    <row r="8849">
      <c r="A8849" s="163" t="s">
        <v>222</v>
      </c>
      <c r="B8849" s="163"/>
      <c r="C8849" s="163"/>
      <c r="J8849" s="165"/>
      <c r="K8849" s="166"/>
      <c r="L8849" s="166"/>
    </row>
    <row r="8850">
      <c r="A8850" s="163" t="s">
        <v>222</v>
      </c>
      <c r="B8850" s="163"/>
      <c r="C8850" s="163"/>
      <c r="J8850" s="165"/>
      <c r="K8850" s="166"/>
      <c r="L8850" s="166"/>
    </row>
    <row r="8851">
      <c r="A8851" s="163" t="s">
        <v>222</v>
      </c>
      <c r="B8851" s="163"/>
      <c r="C8851" s="163"/>
      <c r="J8851" s="165"/>
      <c r="K8851" s="166"/>
      <c r="L8851" s="166"/>
    </row>
    <row r="8852">
      <c r="A8852" s="163" t="s">
        <v>222</v>
      </c>
      <c r="B8852" s="163"/>
      <c r="C8852" s="163"/>
      <c r="J8852" s="165"/>
      <c r="K8852" s="166"/>
      <c r="L8852" s="166"/>
    </row>
    <row r="8853">
      <c r="A8853" s="163" t="s">
        <v>222</v>
      </c>
      <c r="B8853" s="163"/>
      <c r="C8853" s="163"/>
      <c r="J8853" s="165"/>
      <c r="K8853" s="166"/>
      <c r="L8853" s="166"/>
    </row>
    <row r="8854">
      <c r="A8854" s="163" t="s">
        <v>222</v>
      </c>
      <c r="B8854" s="163"/>
      <c r="C8854" s="163"/>
      <c r="J8854" s="165"/>
      <c r="K8854" s="166"/>
      <c r="L8854" s="166"/>
    </row>
    <row r="8855">
      <c r="A8855" s="163" t="s">
        <v>222</v>
      </c>
      <c r="B8855" s="163"/>
      <c r="C8855" s="163"/>
      <c r="J8855" s="165"/>
      <c r="K8855" s="166"/>
      <c r="L8855" s="166"/>
    </row>
    <row r="8856">
      <c r="A8856" s="163" t="s">
        <v>222</v>
      </c>
      <c r="B8856" s="163"/>
      <c r="C8856" s="163"/>
      <c r="J8856" s="165"/>
      <c r="K8856" s="166"/>
      <c r="L8856" s="166"/>
    </row>
    <row r="8857">
      <c r="A8857" s="163" t="s">
        <v>222</v>
      </c>
      <c r="B8857" s="163"/>
      <c r="C8857" s="163"/>
      <c r="J8857" s="165"/>
      <c r="K8857" s="166"/>
      <c r="L8857" s="166"/>
    </row>
    <row r="8858">
      <c r="A8858" s="163" t="s">
        <v>222</v>
      </c>
      <c r="B8858" s="163"/>
      <c r="C8858" s="163"/>
      <c r="J8858" s="165"/>
      <c r="K8858" s="166"/>
      <c r="L8858" s="166"/>
    </row>
    <row r="8859">
      <c r="A8859" s="163" t="s">
        <v>222</v>
      </c>
      <c r="B8859" s="163"/>
      <c r="C8859" s="163"/>
      <c r="J8859" s="165"/>
      <c r="K8859" s="166"/>
      <c r="L8859" s="166"/>
    </row>
    <row r="8860">
      <c r="A8860" s="163" t="s">
        <v>222</v>
      </c>
      <c r="B8860" s="163"/>
      <c r="C8860" s="163"/>
      <c r="J8860" s="165"/>
      <c r="K8860" s="166"/>
      <c r="L8860" s="166"/>
    </row>
    <row r="8861">
      <c r="A8861" s="163" t="s">
        <v>222</v>
      </c>
      <c r="B8861" s="163"/>
      <c r="C8861" s="163"/>
      <c r="J8861" s="165"/>
      <c r="K8861" s="166"/>
      <c r="L8861" s="166"/>
    </row>
    <row r="8862">
      <c r="A8862" s="163" t="s">
        <v>222</v>
      </c>
      <c r="B8862" s="163"/>
      <c r="C8862" s="163"/>
      <c r="J8862" s="165"/>
      <c r="K8862" s="166"/>
      <c r="L8862" s="166"/>
    </row>
    <row r="8863">
      <c r="A8863" s="163" t="s">
        <v>222</v>
      </c>
      <c r="B8863" s="163"/>
      <c r="C8863" s="163"/>
      <c r="J8863" s="165"/>
      <c r="K8863" s="166"/>
      <c r="L8863" s="166"/>
    </row>
    <row r="8864">
      <c r="A8864" s="163" t="s">
        <v>222</v>
      </c>
      <c r="B8864" s="163"/>
      <c r="C8864" s="163"/>
      <c r="J8864" s="165"/>
      <c r="K8864" s="166"/>
      <c r="L8864" s="166"/>
    </row>
    <row r="8865">
      <c r="A8865" s="163" t="s">
        <v>222</v>
      </c>
      <c r="B8865" s="163"/>
      <c r="C8865" s="163"/>
      <c r="J8865" s="165"/>
      <c r="K8865" s="166"/>
      <c r="L8865" s="166"/>
    </row>
    <row r="8866">
      <c r="A8866" s="163" t="s">
        <v>222</v>
      </c>
      <c r="B8866" s="163"/>
      <c r="C8866" s="163"/>
      <c r="J8866" s="165"/>
      <c r="K8866" s="166"/>
      <c r="L8866" s="166"/>
    </row>
    <row r="8867">
      <c r="A8867" s="163" t="s">
        <v>222</v>
      </c>
      <c r="B8867" s="163"/>
      <c r="C8867" s="163"/>
      <c r="J8867" s="165"/>
      <c r="K8867" s="166"/>
      <c r="L8867" s="166"/>
    </row>
    <row r="8868">
      <c r="A8868" s="163" t="s">
        <v>222</v>
      </c>
      <c r="B8868" s="163"/>
      <c r="C8868" s="163"/>
      <c r="J8868" s="165"/>
      <c r="K8868" s="166"/>
      <c r="L8868" s="166"/>
    </row>
    <row r="8869">
      <c r="A8869" s="163" t="s">
        <v>222</v>
      </c>
      <c r="B8869" s="163"/>
      <c r="C8869" s="163"/>
      <c r="J8869" s="165"/>
      <c r="K8869" s="166"/>
      <c r="L8869" s="166"/>
    </row>
    <row r="8870">
      <c r="A8870" s="163" t="s">
        <v>222</v>
      </c>
      <c r="B8870" s="163"/>
      <c r="C8870" s="163"/>
      <c r="J8870" s="165"/>
      <c r="K8870" s="166"/>
      <c r="L8870" s="166"/>
    </row>
    <row r="8871">
      <c r="A8871" s="163" t="s">
        <v>222</v>
      </c>
      <c r="B8871" s="163"/>
      <c r="C8871" s="163"/>
      <c r="J8871" s="165"/>
      <c r="K8871" s="166"/>
      <c r="L8871" s="166"/>
    </row>
    <row r="8872">
      <c r="A8872" s="163" t="s">
        <v>222</v>
      </c>
      <c r="B8872" s="163"/>
      <c r="C8872" s="163"/>
      <c r="J8872" s="165"/>
      <c r="K8872" s="166"/>
      <c r="L8872" s="166"/>
    </row>
    <row r="8873">
      <c r="A8873" s="163" t="s">
        <v>222</v>
      </c>
      <c r="B8873" s="163"/>
      <c r="C8873" s="163"/>
      <c r="J8873" s="165"/>
      <c r="K8873" s="166"/>
      <c r="L8873" s="166"/>
    </row>
    <row r="8874">
      <c r="A8874" s="163" t="s">
        <v>222</v>
      </c>
      <c r="B8874" s="163"/>
      <c r="C8874" s="163"/>
      <c r="J8874" s="165"/>
      <c r="K8874" s="166"/>
      <c r="L8874" s="166"/>
    </row>
    <row r="8875">
      <c r="A8875" s="163" t="s">
        <v>222</v>
      </c>
      <c r="B8875" s="163"/>
      <c r="C8875" s="163"/>
      <c r="J8875" s="165"/>
      <c r="K8875" s="166"/>
      <c r="L8875" s="166"/>
    </row>
    <row r="8876">
      <c r="A8876" s="163" t="s">
        <v>222</v>
      </c>
      <c r="B8876" s="163"/>
      <c r="C8876" s="163"/>
      <c r="J8876" s="165"/>
      <c r="K8876" s="166"/>
      <c r="L8876" s="166"/>
    </row>
    <row r="8877">
      <c r="A8877" s="163" t="s">
        <v>222</v>
      </c>
      <c r="B8877" s="163"/>
      <c r="C8877" s="163"/>
      <c r="J8877" s="165"/>
      <c r="K8877" s="166"/>
      <c r="L8877" s="166"/>
    </row>
    <row r="8878">
      <c r="A8878" s="163" t="s">
        <v>222</v>
      </c>
      <c r="B8878" s="163"/>
      <c r="C8878" s="163"/>
      <c r="J8878" s="165"/>
      <c r="K8878" s="166"/>
      <c r="L8878" s="166"/>
    </row>
    <row r="8879">
      <c r="A8879" s="163" t="s">
        <v>222</v>
      </c>
      <c r="B8879" s="163"/>
      <c r="C8879" s="163"/>
      <c r="J8879" s="165"/>
      <c r="K8879" s="166"/>
      <c r="L8879" s="166"/>
    </row>
    <row r="8880">
      <c r="A8880" s="163" t="s">
        <v>222</v>
      </c>
      <c r="B8880" s="163"/>
      <c r="C8880" s="163"/>
      <c r="J8880" s="165"/>
      <c r="K8880" s="166"/>
      <c r="L8880" s="166"/>
    </row>
    <row r="8881">
      <c r="A8881" s="163" t="s">
        <v>222</v>
      </c>
      <c r="B8881" s="163"/>
      <c r="C8881" s="163"/>
      <c r="J8881" s="165"/>
      <c r="K8881" s="166"/>
      <c r="L8881" s="166"/>
    </row>
    <row r="8882">
      <c r="A8882" s="163" t="s">
        <v>222</v>
      </c>
      <c r="B8882" s="163"/>
      <c r="C8882" s="163"/>
      <c r="J8882" s="165"/>
      <c r="K8882" s="166"/>
      <c r="L8882" s="166"/>
    </row>
    <row r="8883">
      <c r="A8883" s="163" t="s">
        <v>222</v>
      </c>
      <c r="B8883" s="163"/>
      <c r="C8883" s="163"/>
      <c r="J8883" s="165"/>
      <c r="K8883" s="166"/>
      <c r="L8883" s="166"/>
    </row>
    <row r="8884">
      <c r="A8884" s="163" t="s">
        <v>222</v>
      </c>
      <c r="B8884" s="163"/>
      <c r="C8884" s="163"/>
      <c r="J8884" s="165"/>
      <c r="K8884" s="166"/>
      <c r="L8884" s="166"/>
    </row>
    <row r="8885">
      <c r="A8885" s="163" t="s">
        <v>222</v>
      </c>
      <c r="B8885" s="163"/>
      <c r="C8885" s="163"/>
      <c r="J8885" s="165"/>
      <c r="K8885" s="166"/>
      <c r="L8885" s="166"/>
    </row>
    <row r="8886">
      <c r="A8886" s="163" t="s">
        <v>222</v>
      </c>
      <c r="B8886" s="163"/>
      <c r="C8886" s="163"/>
      <c r="J8886" s="165"/>
      <c r="K8886" s="166"/>
      <c r="L8886" s="166"/>
    </row>
    <row r="8887">
      <c r="A8887" s="163" t="s">
        <v>222</v>
      </c>
      <c r="B8887" s="163"/>
      <c r="C8887" s="163"/>
      <c r="J8887" s="165"/>
      <c r="K8887" s="166"/>
      <c r="L8887" s="166"/>
    </row>
    <row r="8888">
      <c r="A8888" s="163" t="s">
        <v>222</v>
      </c>
      <c r="B8888" s="163"/>
      <c r="C8888" s="163"/>
      <c r="J8888" s="165"/>
      <c r="K8888" s="166"/>
      <c r="L8888" s="166"/>
    </row>
    <row r="8889">
      <c r="A8889" s="163" t="s">
        <v>222</v>
      </c>
      <c r="B8889" s="163"/>
      <c r="C8889" s="163"/>
      <c r="J8889" s="165"/>
      <c r="K8889" s="166"/>
      <c r="L8889" s="166"/>
    </row>
    <row r="8890">
      <c r="A8890" s="163" t="s">
        <v>222</v>
      </c>
      <c r="B8890" s="163"/>
      <c r="C8890" s="163"/>
      <c r="J8890" s="165"/>
      <c r="K8890" s="166"/>
      <c r="L8890" s="166"/>
    </row>
    <row r="8891">
      <c r="A8891" s="163" t="s">
        <v>222</v>
      </c>
      <c r="B8891" s="163"/>
      <c r="C8891" s="163"/>
      <c r="J8891" s="165"/>
      <c r="K8891" s="166"/>
      <c r="L8891" s="166"/>
    </row>
    <row r="8892">
      <c r="A8892" s="163" t="s">
        <v>222</v>
      </c>
      <c r="B8892" s="163"/>
      <c r="C8892" s="163"/>
      <c r="J8892" s="165"/>
      <c r="K8892" s="166"/>
      <c r="L8892" s="166"/>
    </row>
    <row r="8893">
      <c r="A8893" s="163" t="s">
        <v>222</v>
      </c>
      <c r="B8893" s="163"/>
      <c r="C8893" s="163"/>
      <c r="J8893" s="165"/>
      <c r="K8893" s="166"/>
      <c r="L8893" s="166"/>
    </row>
    <row r="8894">
      <c r="A8894" s="163" t="s">
        <v>222</v>
      </c>
      <c r="B8894" s="163"/>
      <c r="C8894" s="163"/>
      <c r="J8894" s="165"/>
      <c r="K8894" s="166"/>
      <c r="L8894" s="166"/>
    </row>
    <row r="8895">
      <c r="A8895" s="163" t="s">
        <v>222</v>
      </c>
      <c r="B8895" s="163"/>
      <c r="C8895" s="163"/>
      <c r="J8895" s="165"/>
      <c r="K8895" s="166"/>
      <c r="L8895" s="166"/>
    </row>
    <row r="8896">
      <c r="A8896" s="163" t="s">
        <v>222</v>
      </c>
      <c r="B8896" s="163"/>
      <c r="C8896" s="163"/>
      <c r="J8896" s="165"/>
      <c r="K8896" s="166"/>
      <c r="L8896" s="166"/>
    </row>
    <row r="8897">
      <c r="A8897" s="163" t="s">
        <v>222</v>
      </c>
      <c r="B8897" s="163"/>
      <c r="C8897" s="163"/>
      <c r="J8897" s="165"/>
      <c r="K8897" s="166"/>
      <c r="L8897" s="166"/>
    </row>
    <row r="8898">
      <c r="A8898" s="163" t="s">
        <v>222</v>
      </c>
      <c r="B8898" s="163"/>
      <c r="C8898" s="163"/>
      <c r="J8898" s="165"/>
      <c r="K8898" s="166"/>
      <c r="L8898" s="166"/>
    </row>
    <row r="8899">
      <c r="A8899" s="163" t="s">
        <v>222</v>
      </c>
      <c r="B8899" s="163"/>
      <c r="C8899" s="163"/>
      <c r="J8899" s="165"/>
      <c r="K8899" s="166"/>
      <c r="L8899" s="166"/>
    </row>
    <row r="8900">
      <c r="A8900" s="163" t="s">
        <v>222</v>
      </c>
      <c r="B8900" s="163"/>
      <c r="C8900" s="163"/>
      <c r="J8900" s="165"/>
      <c r="K8900" s="166"/>
      <c r="L8900" s="166"/>
    </row>
    <row r="8901">
      <c r="A8901" s="163" t="s">
        <v>222</v>
      </c>
      <c r="B8901" s="163"/>
      <c r="C8901" s="163"/>
      <c r="J8901" s="165"/>
      <c r="K8901" s="166"/>
      <c r="L8901" s="166"/>
    </row>
    <row r="8902">
      <c r="A8902" s="163" t="s">
        <v>222</v>
      </c>
      <c r="B8902" s="163"/>
      <c r="C8902" s="163"/>
      <c r="J8902" s="165"/>
      <c r="K8902" s="166"/>
      <c r="L8902" s="166"/>
    </row>
    <row r="8903">
      <c r="A8903" s="163" t="s">
        <v>222</v>
      </c>
      <c r="B8903" s="163"/>
      <c r="C8903" s="163"/>
      <c r="J8903" s="165"/>
      <c r="K8903" s="166"/>
      <c r="L8903" s="166"/>
    </row>
    <row r="8904">
      <c r="A8904" s="163" t="s">
        <v>222</v>
      </c>
      <c r="B8904" s="163"/>
      <c r="C8904" s="163"/>
      <c r="J8904" s="165"/>
      <c r="K8904" s="166"/>
      <c r="L8904" s="166"/>
    </row>
    <row r="8905">
      <c r="A8905" s="163" t="s">
        <v>222</v>
      </c>
      <c r="B8905" s="163"/>
      <c r="C8905" s="163"/>
      <c r="J8905" s="165"/>
      <c r="K8905" s="166"/>
      <c r="L8905" s="166"/>
    </row>
    <row r="8906">
      <c r="A8906" s="163" t="s">
        <v>222</v>
      </c>
      <c r="B8906" s="163"/>
      <c r="C8906" s="163"/>
      <c r="J8906" s="165"/>
      <c r="K8906" s="166"/>
      <c r="L8906" s="166"/>
    </row>
    <row r="8907">
      <c r="A8907" s="163" t="s">
        <v>222</v>
      </c>
      <c r="B8907" s="163"/>
      <c r="C8907" s="163"/>
      <c r="J8907" s="165"/>
      <c r="K8907" s="166"/>
      <c r="L8907" s="166"/>
    </row>
    <row r="8908">
      <c r="A8908" s="163" t="s">
        <v>222</v>
      </c>
      <c r="B8908" s="163"/>
      <c r="C8908" s="163"/>
      <c r="J8908" s="165"/>
      <c r="K8908" s="166"/>
      <c r="L8908" s="166"/>
    </row>
    <row r="8909">
      <c r="A8909" s="163" t="s">
        <v>222</v>
      </c>
      <c r="B8909" s="163"/>
      <c r="C8909" s="163"/>
      <c r="J8909" s="165"/>
      <c r="K8909" s="166"/>
      <c r="L8909" s="166"/>
    </row>
    <row r="8910">
      <c r="A8910" s="163" t="s">
        <v>222</v>
      </c>
      <c r="B8910" s="163"/>
      <c r="C8910" s="163"/>
      <c r="J8910" s="165"/>
      <c r="K8910" s="166"/>
      <c r="L8910" s="166"/>
    </row>
    <row r="8911">
      <c r="A8911" s="163" t="s">
        <v>222</v>
      </c>
      <c r="B8911" s="163"/>
      <c r="C8911" s="163"/>
      <c r="J8911" s="165"/>
      <c r="K8911" s="166"/>
      <c r="L8911" s="166"/>
    </row>
    <row r="8912">
      <c r="A8912" s="163" t="s">
        <v>222</v>
      </c>
      <c r="B8912" s="163"/>
      <c r="C8912" s="163"/>
      <c r="J8912" s="165"/>
      <c r="K8912" s="166"/>
      <c r="L8912" s="166"/>
    </row>
    <row r="8913">
      <c r="A8913" s="163" t="s">
        <v>222</v>
      </c>
      <c r="B8913" s="163"/>
      <c r="C8913" s="163"/>
      <c r="J8913" s="165"/>
      <c r="K8913" s="166"/>
      <c r="L8913" s="166"/>
    </row>
    <row r="8914">
      <c r="A8914" s="163" t="s">
        <v>222</v>
      </c>
      <c r="B8914" s="163"/>
      <c r="C8914" s="163"/>
      <c r="J8914" s="165"/>
      <c r="K8914" s="166"/>
      <c r="L8914" s="166"/>
    </row>
    <row r="8915">
      <c r="A8915" s="163" t="s">
        <v>222</v>
      </c>
      <c r="B8915" s="163"/>
      <c r="C8915" s="163"/>
      <c r="J8915" s="165"/>
      <c r="K8915" s="166"/>
      <c r="L8915" s="166"/>
    </row>
    <row r="8916">
      <c r="A8916" s="163" t="s">
        <v>222</v>
      </c>
      <c r="B8916" s="163"/>
      <c r="C8916" s="163"/>
      <c r="J8916" s="165"/>
      <c r="K8916" s="166"/>
      <c r="L8916" s="166"/>
    </row>
    <row r="8917">
      <c r="A8917" s="163" t="s">
        <v>222</v>
      </c>
      <c r="B8917" s="163"/>
      <c r="C8917" s="163"/>
      <c r="J8917" s="165"/>
      <c r="K8917" s="166"/>
      <c r="L8917" s="166"/>
    </row>
    <row r="8918">
      <c r="A8918" s="163" t="s">
        <v>222</v>
      </c>
      <c r="B8918" s="163"/>
      <c r="C8918" s="163"/>
      <c r="J8918" s="165"/>
      <c r="K8918" s="166"/>
      <c r="L8918" s="166"/>
    </row>
    <row r="8919">
      <c r="A8919" s="163" t="s">
        <v>222</v>
      </c>
      <c r="B8919" s="163"/>
      <c r="C8919" s="163"/>
      <c r="J8919" s="165"/>
      <c r="K8919" s="166"/>
      <c r="L8919" s="166"/>
    </row>
    <row r="8920">
      <c r="A8920" s="163" t="s">
        <v>222</v>
      </c>
      <c r="B8920" s="163"/>
      <c r="C8920" s="163"/>
      <c r="J8920" s="165"/>
      <c r="K8920" s="166"/>
      <c r="L8920" s="166"/>
    </row>
    <row r="8921">
      <c r="A8921" s="163" t="s">
        <v>222</v>
      </c>
      <c r="B8921" s="163"/>
      <c r="C8921" s="163"/>
      <c r="J8921" s="165"/>
      <c r="K8921" s="166"/>
      <c r="L8921" s="166"/>
    </row>
    <row r="8922">
      <c r="A8922" s="163" t="s">
        <v>222</v>
      </c>
      <c r="B8922" s="163"/>
      <c r="C8922" s="163"/>
      <c r="J8922" s="165"/>
      <c r="K8922" s="166"/>
      <c r="L8922" s="166"/>
    </row>
    <row r="8923">
      <c r="A8923" s="163" t="s">
        <v>222</v>
      </c>
      <c r="B8923" s="163"/>
      <c r="C8923" s="163"/>
      <c r="J8923" s="165"/>
      <c r="K8923" s="166"/>
      <c r="L8923" s="166"/>
    </row>
    <row r="8924">
      <c r="A8924" s="163" t="s">
        <v>222</v>
      </c>
      <c r="B8924" s="163"/>
      <c r="C8924" s="163"/>
      <c r="J8924" s="165"/>
      <c r="K8924" s="166"/>
      <c r="L8924" s="166"/>
    </row>
    <row r="8925">
      <c r="A8925" s="163" t="s">
        <v>222</v>
      </c>
      <c r="B8925" s="163"/>
      <c r="C8925" s="163"/>
      <c r="J8925" s="165"/>
      <c r="K8925" s="166"/>
      <c r="L8925" s="166"/>
    </row>
    <row r="8926">
      <c r="A8926" s="163" t="s">
        <v>222</v>
      </c>
      <c r="B8926" s="163"/>
      <c r="C8926" s="163"/>
      <c r="J8926" s="165"/>
      <c r="K8926" s="166"/>
      <c r="L8926" s="166"/>
    </row>
    <row r="8927">
      <c r="A8927" s="163" t="s">
        <v>222</v>
      </c>
      <c r="B8927" s="163"/>
      <c r="C8927" s="163"/>
      <c r="J8927" s="165"/>
      <c r="K8927" s="166"/>
      <c r="L8927" s="166"/>
    </row>
    <row r="8928">
      <c r="A8928" s="163" t="s">
        <v>222</v>
      </c>
      <c r="B8928" s="163"/>
      <c r="C8928" s="163"/>
      <c r="J8928" s="165"/>
      <c r="K8928" s="166"/>
      <c r="L8928" s="166"/>
    </row>
    <row r="8929">
      <c r="A8929" s="163" t="s">
        <v>222</v>
      </c>
      <c r="B8929" s="163"/>
      <c r="C8929" s="163"/>
      <c r="J8929" s="165"/>
      <c r="K8929" s="166"/>
      <c r="L8929" s="166"/>
    </row>
    <row r="8930">
      <c r="A8930" s="163" t="s">
        <v>222</v>
      </c>
      <c r="B8930" s="163"/>
      <c r="C8930" s="163"/>
      <c r="J8930" s="165"/>
      <c r="K8930" s="166"/>
      <c r="L8930" s="166"/>
    </row>
    <row r="8931">
      <c r="A8931" s="163" t="s">
        <v>222</v>
      </c>
      <c r="B8931" s="163"/>
      <c r="C8931" s="163"/>
      <c r="J8931" s="165"/>
      <c r="K8931" s="166"/>
      <c r="L8931" s="166"/>
    </row>
    <row r="8932">
      <c r="A8932" s="163" t="s">
        <v>222</v>
      </c>
      <c r="B8932" s="163"/>
      <c r="C8932" s="163"/>
      <c r="J8932" s="165"/>
      <c r="K8932" s="166"/>
      <c r="L8932" s="166"/>
    </row>
    <row r="8933">
      <c r="A8933" s="163" t="s">
        <v>222</v>
      </c>
      <c r="B8933" s="163"/>
      <c r="C8933" s="163"/>
      <c r="J8933" s="165"/>
      <c r="K8933" s="166"/>
      <c r="L8933" s="166"/>
    </row>
    <row r="8934">
      <c r="A8934" s="163" t="s">
        <v>222</v>
      </c>
      <c r="B8934" s="163"/>
      <c r="C8934" s="163"/>
      <c r="J8934" s="165"/>
      <c r="K8934" s="166"/>
      <c r="L8934" s="166"/>
    </row>
    <row r="8935">
      <c r="A8935" s="163" t="s">
        <v>222</v>
      </c>
      <c r="B8935" s="163"/>
      <c r="C8935" s="163"/>
      <c r="J8935" s="165"/>
      <c r="K8935" s="166"/>
      <c r="L8935" s="166"/>
    </row>
    <row r="8936">
      <c r="A8936" s="163" t="s">
        <v>222</v>
      </c>
      <c r="B8936" s="163"/>
      <c r="C8936" s="163"/>
      <c r="J8936" s="165"/>
      <c r="K8936" s="166"/>
      <c r="L8936" s="166"/>
    </row>
    <row r="8937">
      <c r="A8937" s="163" t="s">
        <v>222</v>
      </c>
      <c r="B8937" s="163"/>
      <c r="C8937" s="163"/>
      <c r="J8937" s="165"/>
      <c r="K8937" s="166"/>
      <c r="L8937" s="166"/>
    </row>
    <row r="8938">
      <c r="A8938" s="163" t="s">
        <v>222</v>
      </c>
      <c r="B8938" s="163"/>
      <c r="C8938" s="163"/>
      <c r="J8938" s="165"/>
      <c r="K8938" s="166"/>
      <c r="L8938" s="166"/>
    </row>
    <row r="8939">
      <c r="A8939" s="163" t="s">
        <v>222</v>
      </c>
      <c r="B8939" s="163"/>
      <c r="C8939" s="163"/>
      <c r="J8939" s="165"/>
      <c r="K8939" s="166"/>
      <c r="L8939" s="166"/>
    </row>
    <row r="8940">
      <c r="A8940" s="163" t="s">
        <v>222</v>
      </c>
      <c r="B8940" s="163"/>
      <c r="C8940" s="163"/>
      <c r="J8940" s="165"/>
      <c r="K8940" s="166"/>
      <c r="L8940" s="166"/>
    </row>
    <row r="8941">
      <c r="A8941" s="163" t="s">
        <v>222</v>
      </c>
      <c r="B8941" s="163"/>
      <c r="C8941" s="163"/>
      <c r="J8941" s="165"/>
      <c r="K8941" s="166"/>
      <c r="L8941" s="166"/>
    </row>
    <row r="8942">
      <c r="A8942" s="163" t="s">
        <v>222</v>
      </c>
      <c r="B8942" s="163"/>
      <c r="C8942" s="163"/>
      <c r="J8942" s="165"/>
      <c r="K8942" s="166"/>
      <c r="L8942" s="166"/>
    </row>
    <row r="8943">
      <c r="A8943" s="163" t="s">
        <v>222</v>
      </c>
      <c r="B8943" s="163"/>
      <c r="C8943" s="163"/>
      <c r="J8943" s="165"/>
      <c r="K8943" s="166"/>
      <c r="L8943" s="166"/>
    </row>
    <row r="8944">
      <c r="A8944" s="163" t="s">
        <v>222</v>
      </c>
      <c r="B8944" s="163"/>
      <c r="C8944" s="163"/>
      <c r="J8944" s="165"/>
      <c r="K8944" s="166"/>
      <c r="L8944" s="166"/>
    </row>
    <row r="8945">
      <c r="A8945" s="163" t="s">
        <v>222</v>
      </c>
      <c r="B8945" s="163"/>
      <c r="C8945" s="163"/>
      <c r="J8945" s="165"/>
      <c r="K8945" s="166"/>
      <c r="L8945" s="166"/>
    </row>
    <row r="8946">
      <c r="A8946" s="163" t="s">
        <v>222</v>
      </c>
      <c r="B8946" s="163"/>
      <c r="C8946" s="163"/>
      <c r="J8946" s="165"/>
      <c r="K8946" s="166"/>
      <c r="L8946" s="166"/>
    </row>
    <row r="8947">
      <c r="A8947" s="163" t="s">
        <v>222</v>
      </c>
      <c r="B8947" s="163"/>
      <c r="C8947" s="163"/>
      <c r="J8947" s="165"/>
      <c r="K8947" s="166"/>
      <c r="L8947" s="166"/>
    </row>
    <row r="8948">
      <c r="A8948" s="163" t="s">
        <v>222</v>
      </c>
      <c r="B8948" s="163"/>
      <c r="C8948" s="163"/>
      <c r="J8948" s="165"/>
      <c r="K8948" s="166"/>
      <c r="L8948" s="166"/>
    </row>
    <row r="8949">
      <c r="A8949" s="163" t="s">
        <v>222</v>
      </c>
      <c r="B8949" s="163"/>
      <c r="C8949" s="163"/>
      <c r="J8949" s="165"/>
      <c r="K8949" s="166"/>
      <c r="L8949" s="166"/>
    </row>
    <row r="8950">
      <c r="A8950" s="163" t="s">
        <v>222</v>
      </c>
      <c r="B8950" s="163"/>
      <c r="C8950" s="163"/>
      <c r="J8950" s="165"/>
      <c r="K8950" s="166"/>
      <c r="L8950" s="166"/>
    </row>
    <row r="8951">
      <c r="A8951" s="163" t="s">
        <v>222</v>
      </c>
      <c r="B8951" s="163"/>
      <c r="C8951" s="163"/>
      <c r="J8951" s="165"/>
      <c r="K8951" s="166"/>
      <c r="L8951" s="166"/>
    </row>
    <row r="8952">
      <c r="A8952" s="163" t="s">
        <v>222</v>
      </c>
      <c r="B8952" s="163"/>
      <c r="C8952" s="163"/>
      <c r="J8952" s="165"/>
      <c r="K8952" s="166"/>
      <c r="L8952" s="166"/>
    </row>
    <row r="8953">
      <c r="A8953" s="163" t="s">
        <v>222</v>
      </c>
      <c r="B8953" s="163"/>
      <c r="C8953" s="163"/>
      <c r="J8953" s="165"/>
      <c r="K8953" s="166"/>
      <c r="L8953" s="166"/>
    </row>
    <row r="8954">
      <c r="A8954" s="163" t="s">
        <v>222</v>
      </c>
      <c r="B8954" s="163"/>
      <c r="C8954" s="163"/>
      <c r="J8954" s="165"/>
      <c r="K8954" s="166"/>
      <c r="L8954" s="166"/>
    </row>
    <row r="8955">
      <c r="A8955" s="163" t="s">
        <v>222</v>
      </c>
      <c r="B8955" s="163"/>
      <c r="C8955" s="163"/>
      <c r="J8955" s="165"/>
      <c r="K8955" s="166"/>
      <c r="L8955" s="166"/>
    </row>
    <row r="8956">
      <c r="A8956" s="163" t="s">
        <v>222</v>
      </c>
      <c r="B8956" s="163"/>
      <c r="C8956" s="163"/>
      <c r="J8956" s="165"/>
      <c r="K8956" s="166"/>
      <c r="L8956" s="166"/>
    </row>
    <row r="8957">
      <c r="A8957" s="163" t="s">
        <v>222</v>
      </c>
      <c r="B8957" s="163"/>
      <c r="C8957" s="163"/>
      <c r="J8957" s="165"/>
      <c r="K8957" s="166"/>
      <c r="L8957" s="166"/>
    </row>
    <row r="8958">
      <c r="A8958" s="163" t="s">
        <v>222</v>
      </c>
      <c r="B8958" s="163"/>
      <c r="C8958" s="163"/>
      <c r="J8958" s="165"/>
      <c r="K8958" s="166"/>
      <c r="L8958" s="166"/>
    </row>
    <row r="8959">
      <c r="A8959" s="163" t="s">
        <v>222</v>
      </c>
      <c r="B8959" s="163"/>
      <c r="C8959" s="163"/>
      <c r="J8959" s="165"/>
      <c r="K8959" s="166"/>
      <c r="L8959" s="166"/>
    </row>
    <row r="8960">
      <c r="A8960" s="163" t="s">
        <v>222</v>
      </c>
      <c r="B8960" s="163"/>
      <c r="C8960" s="163"/>
      <c r="J8960" s="165"/>
      <c r="K8960" s="166"/>
      <c r="L8960" s="166"/>
    </row>
    <row r="8961">
      <c r="A8961" s="163" t="s">
        <v>222</v>
      </c>
      <c r="B8961" s="163"/>
      <c r="C8961" s="163"/>
      <c r="J8961" s="165"/>
      <c r="K8961" s="166"/>
      <c r="L8961" s="166"/>
    </row>
    <row r="8962">
      <c r="A8962" s="163" t="s">
        <v>222</v>
      </c>
      <c r="B8962" s="163"/>
      <c r="C8962" s="163"/>
      <c r="J8962" s="165"/>
      <c r="K8962" s="166"/>
      <c r="L8962" s="166"/>
    </row>
    <row r="8963">
      <c r="A8963" s="163" t="s">
        <v>222</v>
      </c>
      <c r="B8963" s="163"/>
      <c r="C8963" s="163"/>
      <c r="J8963" s="165"/>
      <c r="K8963" s="166"/>
      <c r="L8963" s="166"/>
    </row>
    <row r="8964">
      <c r="A8964" s="163" t="s">
        <v>222</v>
      </c>
      <c r="B8964" s="163"/>
      <c r="C8964" s="163"/>
      <c r="J8964" s="165"/>
      <c r="K8964" s="166"/>
      <c r="L8964" s="166"/>
    </row>
    <row r="8965">
      <c r="A8965" s="163" t="s">
        <v>222</v>
      </c>
      <c r="B8965" s="163"/>
      <c r="C8965" s="163"/>
      <c r="J8965" s="165"/>
      <c r="K8965" s="166"/>
      <c r="L8965" s="166"/>
    </row>
    <row r="8966">
      <c r="A8966" s="163" t="s">
        <v>222</v>
      </c>
      <c r="B8966" s="163"/>
      <c r="C8966" s="163"/>
      <c r="J8966" s="165"/>
      <c r="K8966" s="166"/>
      <c r="L8966" s="166"/>
    </row>
    <row r="8967">
      <c r="A8967" s="163" t="s">
        <v>222</v>
      </c>
      <c r="B8967" s="163"/>
      <c r="C8967" s="163"/>
      <c r="J8967" s="165"/>
      <c r="K8967" s="166"/>
      <c r="L8967" s="166"/>
    </row>
    <row r="8968">
      <c r="A8968" s="163" t="s">
        <v>222</v>
      </c>
      <c r="B8968" s="163"/>
      <c r="C8968" s="163"/>
      <c r="J8968" s="165"/>
      <c r="K8968" s="166"/>
      <c r="L8968" s="166"/>
    </row>
    <row r="8969">
      <c r="A8969" s="163" t="s">
        <v>222</v>
      </c>
      <c r="B8969" s="163"/>
      <c r="C8969" s="163"/>
      <c r="J8969" s="165"/>
      <c r="K8969" s="166"/>
      <c r="L8969" s="166"/>
    </row>
    <row r="8970">
      <c r="A8970" s="163" t="s">
        <v>222</v>
      </c>
      <c r="B8970" s="163"/>
      <c r="C8970" s="163"/>
      <c r="J8970" s="165"/>
      <c r="K8970" s="166"/>
      <c r="L8970" s="166"/>
    </row>
    <row r="8971">
      <c r="A8971" s="163" t="s">
        <v>222</v>
      </c>
      <c r="B8971" s="163"/>
      <c r="C8971" s="163"/>
      <c r="J8971" s="165"/>
      <c r="K8971" s="166"/>
      <c r="L8971" s="166"/>
    </row>
    <row r="8972">
      <c r="A8972" s="163" t="s">
        <v>222</v>
      </c>
      <c r="B8972" s="163"/>
      <c r="C8972" s="163"/>
      <c r="J8972" s="165"/>
      <c r="K8972" s="166"/>
      <c r="L8972" s="166"/>
    </row>
    <row r="8973">
      <c r="A8973" s="163" t="s">
        <v>222</v>
      </c>
      <c r="B8973" s="163"/>
      <c r="C8973" s="163"/>
      <c r="J8973" s="165"/>
      <c r="K8973" s="166"/>
      <c r="L8973" s="166"/>
    </row>
    <row r="8974">
      <c r="A8974" s="163" t="s">
        <v>222</v>
      </c>
      <c r="B8974" s="163"/>
      <c r="C8974" s="163"/>
      <c r="J8974" s="165"/>
      <c r="K8974" s="166"/>
      <c r="L8974" s="166"/>
    </row>
    <row r="8975">
      <c r="A8975" s="163" t="s">
        <v>222</v>
      </c>
      <c r="B8975" s="163"/>
      <c r="C8975" s="163"/>
      <c r="J8975" s="165"/>
      <c r="K8975" s="166"/>
      <c r="L8975" s="166"/>
    </row>
    <row r="8976">
      <c r="A8976" s="163" t="s">
        <v>222</v>
      </c>
      <c r="B8976" s="163"/>
      <c r="C8976" s="163"/>
      <c r="J8976" s="165"/>
      <c r="K8976" s="166"/>
      <c r="L8976" s="166"/>
    </row>
    <row r="8977">
      <c r="A8977" s="163" t="s">
        <v>222</v>
      </c>
      <c r="B8977" s="163"/>
      <c r="C8977" s="163"/>
      <c r="J8977" s="165"/>
      <c r="K8977" s="166"/>
      <c r="L8977" s="166"/>
    </row>
    <row r="8978">
      <c r="A8978" s="163" t="s">
        <v>222</v>
      </c>
      <c r="B8978" s="163"/>
      <c r="C8978" s="163"/>
      <c r="J8978" s="165"/>
      <c r="K8978" s="166"/>
      <c r="L8978" s="166"/>
    </row>
    <row r="8979">
      <c r="A8979" s="163" t="s">
        <v>222</v>
      </c>
      <c r="B8979" s="163"/>
      <c r="C8979" s="163"/>
      <c r="J8979" s="165"/>
      <c r="K8979" s="166"/>
      <c r="L8979" s="166"/>
    </row>
    <row r="8980">
      <c r="A8980" s="163" t="s">
        <v>222</v>
      </c>
      <c r="B8980" s="163"/>
      <c r="C8980" s="163"/>
      <c r="J8980" s="165"/>
      <c r="K8980" s="166"/>
      <c r="L8980" s="166"/>
    </row>
    <row r="8981">
      <c r="A8981" s="163" t="s">
        <v>222</v>
      </c>
      <c r="B8981" s="163"/>
      <c r="C8981" s="163"/>
      <c r="J8981" s="165"/>
      <c r="K8981" s="166"/>
      <c r="L8981" s="166"/>
    </row>
    <row r="8982">
      <c r="A8982" s="163" t="s">
        <v>222</v>
      </c>
      <c r="B8982" s="163"/>
      <c r="C8982" s="163"/>
      <c r="J8982" s="165"/>
      <c r="K8982" s="166"/>
      <c r="L8982" s="166"/>
    </row>
    <row r="8983">
      <c r="A8983" s="163" t="s">
        <v>222</v>
      </c>
      <c r="B8983" s="163"/>
      <c r="C8983" s="163"/>
      <c r="J8983" s="165"/>
      <c r="K8983" s="166"/>
      <c r="L8983" s="166"/>
    </row>
    <row r="8984">
      <c r="A8984" s="163" t="s">
        <v>222</v>
      </c>
      <c r="B8984" s="163"/>
      <c r="C8984" s="163"/>
      <c r="J8984" s="165"/>
      <c r="K8984" s="166"/>
      <c r="L8984" s="166"/>
    </row>
    <row r="8985">
      <c r="A8985" s="163" t="s">
        <v>222</v>
      </c>
      <c r="B8985" s="163"/>
      <c r="C8985" s="163"/>
      <c r="J8985" s="165"/>
      <c r="K8985" s="166"/>
      <c r="L8985" s="166"/>
    </row>
    <row r="8986">
      <c r="A8986" s="163" t="s">
        <v>222</v>
      </c>
      <c r="B8986" s="163"/>
      <c r="C8986" s="163"/>
      <c r="J8986" s="165"/>
      <c r="K8986" s="166"/>
      <c r="L8986" s="166"/>
    </row>
    <row r="8987">
      <c r="A8987" s="163" t="s">
        <v>222</v>
      </c>
      <c r="B8987" s="163"/>
      <c r="C8987" s="163"/>
      <c r="J8987" s="165"/>
      <c r="K8987" s="166"/>
      <c r="L8987" s="166"/>
    </row>
    <row r="8988">
      <c r="A8988" s="163" t="s">
        <v>222</v>
      </c>
      <c r="B8988" s="163"/>
      <c r="C8988" s="163"/>
      <c r="J8988" s="165"/>
      <c r="K8988" s="166"/>
      <c r="L8988" s="166"/>
    </row>
    <row r="8989">
      <c r="A8989" s="163" t="s">
        <v>222</v>
      </c>
      <c r="B8989" s="163"/>
      <c r="C8989" s="163"/>
      <c r="J8989" s="165"/>
      <c r="K8989" s="166"/>
      <c r="L8989" s="166"/>
    </row>
    <row r="8990">
      <c r="A8990" s="163" t="s">
        <v>222</v>
      </c>
      <c r="B8990" s="163"/>
      <c r="C8990" s="163"/>
      <c r="J8990" s="165"/>
      <c r="K8990" s="166"/>
      <c r="L8990" s="166"/>
    </row>
    <row r="8991">
      <c r="A8991" s="163" t="s">
        <v>222</v>
      </c>
      <c r="B8991" s="163"/>
      <c r="C8991" s="163"/>
      <c r="J8991" s="165"/>
      <c r="K8991" s="166"/>
      <c r="L8991" s="166"/>
    </row>
    <row r="8992">
      <c r="A8992" s="163" t="s">
        <v>222</v>
      </c>
      <c r="B8992" s="163"/>
      <c r="C8992" s="163"/>
      <c r="J8992" s="165"/>
      <c r="K8992" s="166"/>
      <c r="L8992" s="166"/>
    </row>
    <row r="8993">
      <c r="A8993" s="163" t="s">
        <v>222</v>
      </c>
      <c r="B8993" s="163"/>
      <c r="C8993" s="163"/>
      <c r="J8993" s="165"/>
      <c r="K8993" s="166"/>
      <c r="L8993" s="166"/>
    </row>
    <row r="8994">
      <c r="A8994" s="163" t="s">
        <v>222</v>
      </c>
      <c r="B8994" s="163"/>
      <c r="C8994" s="163"/>
      <c r="J8994" s="165"/>
      <c r="K8994" s="166"/>
      <c r="L8994" s="166"/>
    </row>
    <row r="8995">
      <c r="A8995" s="163" t="s">
        <v>222</v>
      </c>
      <c r="B8995" s="163"/>
      <c r="C8995" s="163"/>
      <c r="J8995" s="165"/>
      <c r="K8995" s="166"/>
      <c r="L8995" s="166"/>
    </row>
    <row r="8996">
      <c r="A8996" s="163" t="s">
        <v>222</v>
      </c>
      <c r="B8996" s="163"/>
      <c r="C8996" s="163"/>
      <c r="J8996" s="165"/>
      <c r="K8996" s="166"/>
      <c r="L8996" s="166"/>
    </row>
    <row r="8997">
      <c r="A8997" s="163" t="s">
        <v>222</v>
      </c>
      <c r="B8997" s="163"/>
      <c r="C8997" s="163"/>
      <c r="J8997" s="165"/>
      <c r="K8997" s="166"/>
      <c r="L8997" s="166"/>
    </row>
    <row r="8998">
      <c r="A8998" s="163" t="s">
        <v>222</v>
      </c>
      <c r="B8998" s="163"/>
      <c r="C8998" s="163"/>
      <c r="J8998" s="165"/>
      <c r="K8998" s="166"/>
      <c r="L8998" s="166"/>
    </row>
    <row r="8999">
      <c r="A8999" s="163" t="s">
        <v>222</v>
      </c>
      <c r="B8999" s="163"/>
      <c r="C8999" s="163"/>
      <c r="J8999" s="165"/>
      <c r="K8999" s="166"/>
      <c r="L8999" s="166"/>
    </row>
    <row r="9000">
      <c r="A9000" s="163" t="s">
        <v>222</v>
      </c>
      <c r="B9000" s="163"/>
      <c r="C9000" s="163"/>
      <c r="J9000" s="165"/>
      <c r="K9000" s="166"/>
      <c r="L9000" s="166"/>
    </row>
    <row r="9001">
      <c r="A9001" s="163" t="s">
        <v>222</v>
      </c>
      <c r="B9001" s="163"/>
      <c r="C9001" s="163"/>
      <c r="J9001" s="165"/>
      <c r="K9001" s="166"/>
      <c r="L9001" s="166"/>
    </row>
    <row r="9002">
      <c r="A9002" s="163" t="s">
        <v>222</v>
      </c>
      <c r="B9002" s="163"/>
      <c r="C9002" s="163"/>
      <c r="J9002" s="165"/>
      <c r="K9002" s="166"/>
      <c r="L9002" s="166"/>
    </row>
    <row r="9003">
      <c r="A9003" s="163" t="s">
        <v>222</v>
      </c>
      <c r="B9003" s="163"/>
      <c r="C9003" s="163"/>
      <c r="J9003" s="165"/>
      <c r="K9003" s="166"/>
      <c r="L9003" s="166"/>
    </row>
    <row r="9004">
      <c r="A9004" s="163" t="s">
        <v>222</v>
      </c>
      <c r="B9004" s="163"/>
      <c r="C9004" s="163"/>
      <c r="J9004" s="165"/>
      <c r="K9004" s="166"/>
      <c r="L9004" s="166"/>
    </row>
    <row r="9005">
      <c r="A9005" s="163" t="s">
        <v>222</v>
      </c>
      <c r="B9005" s="163"/>
      <c r="C9005" s="163"/>
      <c r="J9005" s="165"/>
      <c r="K9005" s="166"/>
      <c r="L9005" s="166"/>
    </row>
    <row r="9006">
      <c r="A9006" s="163" t="s">
        <v>222</v>
      </c>
      <c r="B9006" s="163"/>
      <c r="C9006" s="163"/>
      <c r="J9006" s="165"/>
      <c r="K9006" s="166"/>
      <c r="L9006" s="166"/>
    </row>
    <row r="9007">
      <c r="A9007" s="163" t="s">
        <v>222</v>
      </c>
      <c r="B9007" s="163"/>
      <c r="C9007" s="163"/>
      <c r="J9007" s="165"/>
      <c r="K9007" s="166"/>
      <c r="L9007" s="166"/>
    </row>
    <row r="9008">
      <c r="A9008" s="163" t="s">
        <v>222</v>
      </c>
      <c r="B9008" s="163"/>
      <c r="C9008" s="163"/>
      <c r="J9008" s="165"/>
      <c r="K9008" s="166"/>
      <c r="L9008" s="166"/>
    </row>
    <row r="9009">
      <c r="A9009" s="163" t="s">
        <v>222</v>
      </c>
      <c r="B9009" s="163"/>
      <c r="C9009" s="163"/>
      <c r="J9009" s="165"/>
      <c r="K9009" s="166"/>
      <c r="L9009" s="166"/>
    </row>
    <row r="9010">
      <c r="A9010" s="163" t="s">
        <v>222</v>
      </c>
      <c r="B9010" s="163"/>
      <c r="C9010" s="163"/>
      <c r="J9010" s="165"/>
      <c r="K9010" s="166"/>
      <c r="L9010" s="166"/>
    </row>
    <row r="9011">
      <c r="A9011" s="163" t="s">
        <v>222</v>
      </c>
      <c r="B9011" s="163"/>
      <c r="C9011" s="163"/>
      <c r="J9011" s="165"/>
      <c r="K9011" s="166"/>
      <c r="L9011" s="166"/>
    </row>
    <row r="9012">
      <c r="A9012" s="163" t="s">
        <v>222</v>
      </c>
      <c r="B9012" s="163"/>
      <c r="C9012" s="163"/>
      <c r="J9012" s="165"/>
      <c r="K9012" s="166"/>
      <c r="L9012" s="166"/>
    </row>
    <row r="9013">
      <c r="A9013" s="163" t="s">
        <v>222</v>
      </c>
      <c r="B9013" s="163"/>
      <c r="C9013" s="163"/>
      <c r="J9013" s="165"/>
      <c r="K9013" s="166"/>
      <c r="L9013" s="166"/>
    </row>
    <row r="9014">
      <c r="A9014" s="163" t="s">
        <v>222</v>
      </c>
      <c r="B9014" s="163"/>
      <c r="C9014" s="163"/>
      <c r="J9014" s="165"/>
      <c r="K9014" s="166"/>
      <c r="L9014" s="166"/>
    </row>
    <row r="9015">
      <c r="A9015" s="163" t="s">
        <v>222</v>
      </c>
      <c r="B9015" s="163"/>
      <c r="C9015" s="163"/>
      <c r="J9015" s="165"/>
      <c r="K9015" s="166"/>
      <c r="L9015" s="166"/>
    </row>
    <row r="9016">
      <c r="A9016" s="163" t="s">
        <v>222</v>
      </c>
      <c r="B9016" s="163"/>
      <c r="C9016" s="163"/>
      <c r="J9016" s="165"/>
      <c r="K9016" s="166"/>
      <c r="L9016" s="166"/>
    </row>
    <row r="9017">
      <c r="A9017" s="163" t="s">
        <v>222</v>
      </c>
      <c r="B9017" s="163"/>
      <c r="C9017" s="163"/>
      <c r="J9017" s="165"/>
      <c r="K9017" s="166"/>
      <c r="L9017" s="166"/>
    </row>
    <row r="9018">
      <c r="A9018" s="163" t="s">
        <v>222</v>
      </c>
      <c r="B9018" s="163"/>
      <c r="C9018" s="163"/>
      <c r="J9018" s="165"/>
      <c r="K9018" s="166"/>
      <c r="L9018" s="166"/>
    </row>
    <row r="9019">
      <c r="A9019" s="163" t="s">
        <v>222</v>
      </c>
      <c r="B9019" s="163"/>
      <c r="C9019" s="163"/>
      <c r="J9019" s="165"/>
      <c r="K9019" s="166"/>
      <c r="L9019" s="166"/>
    </row>
    <row r="9020">
      <c r="A9020" s="163" t="s">
        <v>222</v>
      </c>
      <c r="B9020" s="163"/>
      <c r="C9020" s="163"/>
      <c r="J9020" s="165"/>
      <c r="K9020" s="166"/>
      <c r="L9020" s="166"/>
    </row>
    <row r="9021">
      <c r="A9021" s="163" t="s">
        <v>222</v>
      </c>
      <c r="B9021" s="163"/>
      <c r="C9021" s="163"/>
      <c r="J9021" s="165"/>
      <c r="K9021" s="166"/>
      <c r="L9021" s="166"/>
    </row>
    <row r="9022">
      <c r="A9022" s="163" t="s">
        <v>222</v>
      </c>
      <c r="B9022" s="163"/>
      <c r="C9022" s="163"/>
      <c r="J9022" s="165"/>
      <c r="K9022" s="166"/>
      <c r="L9022" s="166"/>
    </row>
    <row r="9023">
      <c r="A9023" s="163" t="s">
        <v>222</v>
      </c>
      <c r="B9023" s="163"/>
      <c r="C9023" s="163"/>
      <c r="J9023" s="165"/>
      <c r="K9023" s="166"/>
      <c r="L9023" s="166"/>
    </row>
    <row r="9024">
      <c r="A9024" s="163" t="s">
        <v>222</v>
      </c>
      <c r="B9024" s="163"/>
      <c r="C9024" s="163"/>
      <c r="J9024" s="165"/>
      <c r="K9024" s="166"/>
      <c r="L9024" s="166"/>
    </row>
    <row r="9025">
      <c r="A9025" s="163" t="s">
        <v>222</v>
      </c>
      <c r="B9025" s="163"/>
      <c r="C9025" s="163"/>
      <c r="J9025" s="165"/>
      <c r="K9025" s="166"/>
      <c r="L9025" s="166"/>
    </row>
    <row r="9026">
      <c r="A9026" s="163" t="s">
        <v>222</v>
      </c>
      <c r="B9026" s="163"/>
      <c r="C9026" s="163"/>
      <c r="J9026" s="165"/>
      <c r="K9026" s="166"/>
      <c r="L9026" s="166"/>
    </row>
    <row r="9027">
      <c r="A9027" s="163" t="s">
        <v>222</v>
      </c>
      <c r="B9027" s="163"/>
      <c r="C9027" s="163"/>
      <c r="J9027" s="165"/>
      <c r="K9027" s="166"/>
      <c r="L9027" s="166"/>
    </row>
    <row r="9028">
      <c r="A9028" s="163" t="s">
        <v>222</v>
      </c>
      <c r="B9028" s="163"/>
      <c r="C9028" s="163"/>
      <c r="J9028" s="165"/>
      <c r="K9028" s="166"/>
      <c r="L9028" s="166"/>
    </row>
    <row r="9029">
      <c r="A9029" s="163" t="s">
        <v>222</v>
      </c>
      <c r="B9029" s="163"/>
      <c r="C9029" s="163"/>
      <c r="J9029" s="165"/>
      <c r="K9029" s="166"/>
      <c r="L9029" s="166"/>
    </row>
    <row r="9030">
      <c r="A9030" s="163" t="s">
        <v>222</v>
      </c>
      <c r="B9030" s="163"/>
      <c r="C9030" s="163"/>
      <c r="J9030" s="165"/>
      <c r="K9030" s="166"/>
      <c r="L9030" s="166"/>
    </row>
    <row r="9031">
      <c r="A9031" s="163" t="s">
        <v>222</v>
      </c>
      <c r="B9031" s="163"/>
      <c r="C9031" s="163"/>
      <c r="J9031" s="165"/>
      <c r="K9031" s="166"/>
      <c r="L9031" s="166"/>
    </row>
    <row r="9032">
      <c r="A9032" s="163" t="s">
        <v>222</v>
      </c>
      <c r="B9032" s="163"/>
      <c r="C9032" s="163"/>
      <c r="J9032" s="165"/>
      <c r="K9032" s="166"/>
      <c r="L9032" s="166"/>
    </row>
    <row r="9033">
      <c r="A9033" s="163" t="s">
        <v>222</v>
      </c>
      <c r="B9033" s="163"/>
      <c r="C9033" s="163"/>
      <c r="J9033" s="165"/>
      <c r="K9033" s="166"/>
      <c r="L9033" s="166"/>
    </row>
    <row r="9034">
      <c r="A9034" s="163" t="s">
        <v>222</v>
      </c>
      <c r="B9034" s="163"/>
      <c r="C9034" s="163"/>
      <c r="J9034" s="165"/>
      <c r="K9034" s="166"/>
      <c r="L9034" s="166"/>
    </row>
    <row r="9035">
      <c r="A9035" s="163" t="s">
        <v>222</v>
      </c>
      <c r="B9035" s="163"/>
      <c r="C9035" s="163"/>
      <c r="J9035" s="165"/>
      <c r="K9035" s="166"/>
      <c r="L9035" s="166"/>
    </row>
    <row r="9036">
      <c r="A9036" s="163" t="s">
        <v>222</v>
      </c>
      <c r="B9036" s="163"/>
      <c r="C9036" s="163"/>
      <c r="J9036" s="165"/>
      <c r="K9036" s="166"/>
      <c r="L9036" s="166"/>
    </row>
    <row r="9037">
      <c r="A9037" s="163" t="s">
        <v>222</v>
      </c>
      <c r="B9037" s="163"/>
      <c r="C9037" s="163"/>
      <c r="J9037" s="165"/>
      <c r="K9037" s="166"/>
      <c r="L9037" s="166"/>
    </row>
    <row r="9038">
      <c r="A9038" s="163" t="s">
        <v>222</v>
      </c>
      <c r="B9038" s="163"/>
      <c r="C9038" s="163"/>
      <c r="J9038" s="165"/>
      <c r="K9038" s="166"/>
      <c r="L9038" s="166"/>
    </row>
    <row r="9039">
      <c r="A9039" s="163" t="s">
        <v>222</v>
      </c>
      <c r="B9039" s="163"/>
      <c r="C9039" s="163"/>
      <c r="J9039" s="165"/>
      <c r="K9039" s="166"/>
      <c r="L9039" s="166"/>
    </row>
    <row r="9040">
      <c r="A9040" s="163" t="s">
        <v>222</v>
      </c>
      <c r="B9040" s="163"/>
      <c r="C9040" s="163"/>
      <c r="J9040" s="165"/>
      <c r="K9040" s="166"/>
      <c r="L9040" s="166"/>
    </row>
    <row r="9041">
      <c r="A9041" s="163" t="s">
        <v>222</v>
      </c>
      <c r="B9041" s="163"/>
      <c r="C9041" s="163"/>
      <c r="J9041" s="165"/>
      <c r="K9041" s="166"/>
      <c r="L9041" s="166"/>
    </row>
    <row r="9042">
      <c r="A9042" s="163" t="s">
        <v>222</v>
      </c>
      <c r="B9042" s="163"/>
      <c r="C9042" s="163"/>
      <c r="J9042" s="165"/>
      <c r="K9042" s="166"/>
      <c r="L9042" s="166"/>
    </row>
    <row r="9043">
      <c r="A9043" s="163" t="s">
        <v>222</v>
      </c>
      <c r="B9043" s="163"/>
      <c r="C9043" s="163"/>
      <c r="J9043" s="165"/>
      <c r="K9043" s="166"/>
      <c r="L9043" s="166"/>
    </row>
    <row r="9044">
      <c r="A9044" s="163" t="s">
        <v>222</v>
      </c>
      <c r="B9044" s="163"/>
      <c r="C9044" s="163"/>
      <c r="J9044" s="165"/>
      <c r="K9044" s="166"/>
      <c r="L9044" s="166"/>
    </row>
    <row r="9045">
      <c r="A9045" s="163" t="s">
        <v>222</v>
      </c>
      <c r="B9045" s="163"/>
      <c r="C9045" s="163"/>
      <c r="J9045" s="165"/>
      <c r="K9045" s="166"/>
      <c r="L9045" s="166"/>
    </row>
    <row r="9046">
      <c r="A9046" s="163" t="s">
        <v>222</v>
      </c>
      <c r="B9046" s="163"/>
      <c r="C9046" s="163"/>
      <c r="J9046" s="165"/>
      <c r="K9046" s="166"/>
      <c r="L9046" s="166"/>
    </row>
    <row r="9047">
      <c r="A9047" s="163" t="s">
        <v>222</v>
      </c>
      <c r="B9047" s="163"/>
      <c r="C9047" s="163"/>
      <c r="J9047" s="165"/>
      <c r="K9047" s="166"/>
      <c r="L9047" s="166"/>
    </row>
    <row r="9048">
      <c r="A9048" s="163" t="s">
        <v>222</v>
      </c>
      <c r="B9048" s="163"/>
      <c r="C9048" s="163"/>
      <c r="J9048" s="165"/>
      <c r="K9048" s="166"/>
      <c r="L9048" s="166"/>
    </row>
    <row r="9049">
      <c r="A9049" s="163" t="s">
        <v>222</v>
      </c>
      <c r="B9049" s="163"/>
      <c r="C9049" s="163"/>
      <c r="J9049" s="165"/>
      <c r="K9049" s="166"/>
      <c r="L9049" s="166"/>
    </row>
    <row r="9050">
      <c r="A9050" s="163" t="s">
        <v>222</v>
      </c>
      <c r="B9050" s="163"/>
      <c r="C9050" s="163"/>
      <c r="J9050" s="165"/>
      <c r="K9050" s="166"/>
      <c r="L9050" s="166"/>
    </row>
    <row r="9051">
      <c r="A9051" s="163" t="s">
        <v>222</v>
      </c>
      <c r="B9051" s="163"/>
      <c r="C9051" s="163"/>
      <c r="J9051" s="165"/>
      <c r="K9051" s="166"/>
      <c r="L9051" s="166"/>
    </row>
    <row r="9052">
      <c r="A9052" s="163" t="s">
        <v>222</v>
      </c>
      <c r="B9052" s="163"/>
      <c r="C9052" s="163"/>
      <c r="J9052" s="165"/>
      <c r="K9052" s="166"/>
      <c r="L9052" s="166"/>
    </row>
    <row r="9053">
      <c r="A9053" s="163" t="s">
        <v>222</v>
      </c>
      <c r="B9053" s="163"/>
      <c r="C9053" s="163"/>
      <c r="J9053" s="165"/>
      <c r="K9053" s="166"/>
      <c r="L9053" s="166"/>
    </row>
    <row r="9054">
      <c r="A9054" s="163" t="s">
        <v>222</v>
      </c>
      <c r="B9054" s="163"/>
      <c r="C9054" s="163"/>
      <c r="J9054" s="165"/>
      <c r="K9054" s="166"/>
      <c r="L9054" s="166"/>
    </row>
    <row r="9055">
      <c r="A9055" s="163" t="s">
        <v>222</v>
      </c>
      <c r="B9055" s="163"/>
      <c r="C9055" s="163"/>
      <c r="J9055" s="165"/>
      <c r="K9055" s="166"/>
      <c r="L9055" s="166"/>
    </row>
    <row r="9056">
      <c r="A9056" s="163" t="s">
        <v>222</v>
      </c>
      <c r="B9056" s="163"/>
      <c r="C9056" s="163"/>
      <c r="J9056" s="165"/>
      <c r="K9056" s="166"/>
      <c r="L9056" s="166"/>
    </row>
    <row r="9057">
      <c r="A9057" s="163" t="s">
        <v>222</v>
      </c>
      <c r="B9057" s="163"/>
      <c r="C9057" s="163"/>
      <c r="J9057" s="165"/>
      <c r="K9057" s="166"/>
      <c r="L9057" s="166"/>
    </row>
    <row r="9058">
      <c r="A9058" s="163" t="s">
        <v>222</v>
      </c>
      <c r="B9058" s="163"/>
      <c r="C9058" s="163"/>
      <c r="J9058" s="165"/>
      <c r="K9058" s="166"/>
      <c r="L9058" s="166"/>
    </row>
    <row r="9059">
      <c r="A9059" s="163" t="s">
        <v>222</v>
      </c>
      <c r="B9059" s="163"/>
      <c r="C9059" s="163"/>
      <c r="J9059" s="165"/>
      <c r="K9059" s="166"/>
      <c r="L9059" s="166"/>
    </row>
    <row r="9060">
      <c r="A9060" s="163" t="s">
        <v>222</v>
      </c>
      <c r="B9060" s="163"/>
      <c r="C9060" s="163"/>
      <c r="J9060" s="165"/>
      <c r="K9060" s="166"/>
      <c r="L9060" s="166"/>
    </row>
    <row r="9061">
      <c r="A9061" s="163" t="s">
        <v>222</v>
      </c>
      <c r="B9061" s="163"/>
      <c r="C9061" s="163"/>
      <c r="J9061" s="165"/>
      <c r="K9061" s="166"/>
      <c r="L9061" s="166"/>
    </row>
    <row r="9062">
      <c r="A9062" s="163" t="s">
        <v>222</v>
      </c>
      <c r="B9062" s="163"/>
      <c r="C9062" s="163"/>
      <c r="J9062" s="165"/>
      <c r="K9062" s="166"/>
      <c r="L9062" s="166"/>
    </row>
    <row r="9063">
      <c r="A9063" s="163" t="s">
        <v>222</v>
      </c>
      <c r="B9063" s="163"/>
      <c r="C9063" s="163"/>
      <c r="J9063" s="165"/>
      <c r="K9063" s="166"/>
      <c r="L9063" s="166"/>
    </row>
    <row r="9064">
      <c r="A9064" s="163" t="s">
        <v>222</v>
      </c>
      <c r="B9064" s="163"/>
      <c r="C9064" s="163"/>
      <c r="J9064" s="165"/>
      <c r="K9064" s="166"/>
      <c r="L9064" s="166"/>
    </row>
    <row r="9065">
      <c r="A9065" s="163" t="s">
        <v>222</v>
      </c>
      <c r="B9065" s="163"/>
      <c r="C9065" s="163"/>
      <c r="J9065" s="165"/>
      <c r="K9065" s="166"/>
      <c r="L9065" s="166"/>
    </row>
    <row r="9066">
      <c r="A9066" s="163" t="s">
        <v>222</v>
      </c>
      <c r="B9066" s="163"/>
      <c r="C9066" s="163"/>
      <c r="J9066" s="165"/>
      <c r="K9066" s="166"/>
      <c r="L9066" s="166"/>
    </row>
    <row r="9067">
      <c r="A9067" s="163" t="s">
        <v>222</v>
      </c>
      <c r="B9067" s="163"/>
      <c r="C9067" s="163"/>
      <c r="J9067" s="165"/>
      <c r="K9067" s="166"/>
      <c r="L9067" s="166"/>
    </row>
    <row r="9068">
      <c r="A9068" s="163" t="s">
        <v>222</v>
      </c>
      <c r="B9068" s="163"/>
      <c r="C9068" s="163"/>
      <c r="J9068" s="165"/>
      <c r="K9068" s="166"/>
      <c r="L9068" s="166"/>
    </row>
    <row r="9069">
      <c r="A9069" s="163" t="s">
        <v>222</v>
      </c>
      <c r="B9069" s="163"/>
      <c r="C9069" s="163"/>
      <c r="J9069" s="165"/>
      <c r="K9069" s="166"/>
      <c r="L9069" s="166"/>
    </row>
    <row r="9070">
      <c r="A9070" s="163" t="s">
        <v>222</v>
      </c>
      <c r="B9070" s="163"/>
      <c r="C9070" s="163"/>
      <c r="J9070" s="165"/>
      <c r="K9070" s="166"/>
      <c r="L9070" s="166"/>
    </row>
    <row r="9071">
      <c r="A9071" s="163" t="s">
        <v>222</v>
      </c>
      <c r="B9071" s="163"/>
      <c r="C9071" s="163"/>
      <c r="J9071" s="165"/>
      <c r="K9071" s="166"/>
      <c r="L9071" s="166"/>
    </row>
    <row r="9072">
      <c r="A9072" s="163" t="s">
        <v>222</v>
      </c>
      <c r="B9072" s="163"/>
      <c r="C9072" s="163"/>
      <c r="J9072" s="165"/>
      <c r="K9072" s="166"/>
      <c r="L9072" s="166"/>
    </row>
    <row r="9073">
      <c r="A9073" s="163" t="s">
        <v>222</v>
      </c>
      <c r="B9073" s="163"/>
      <c r="C9073" s="163"/>
      <c r="J9073" s="165"/>
      <c r="K9073" s="166"/>
      <c r="L9073" s="166"/>
    </row>
    <row r="9074">
      <c r="A9074" s="163" t="s">
        <v>222</v>
      </c>
      <c r="B9074" s="163"/>
      <c r="C9074" s="163"/>
      <c r="J9074" s="165"/>
      <c r="K9074" s="166"/>
      <c r="L9074" s="166"/>
    </row>
    <row r="9075">
      <c r="A9075" s="163" t="s">
        <v>222</v>
      </c>
      <c r="B9075" s="163"/>
      <c r="C9075" s="163"/>
      <c r="J9075" s="165"/>
      <c r="K9075" s="166"/>
      <c r="L9075" s="166"/>
    </row>
    <row r="9076">
      <c r="A9076" s="163" t="s">
        <v>222</v>
      </c>
      <c r="B9076" s="163"/>
      <c r="C9076" s="163"/>
      <c r="J9076" s="165"/>
      <c r="K9076" s="166"/>
      <c r="L9076" s="166"/>
    </row>
    <row r="9077">
      <c r="A9077" s="163" t="s">
        <v>222</v>
      </c>
      <c r="B9077" s="163"/>
      <c r="C9077" s="163"/>
      <c r="J9077" s="165"/>
      <c r="K9077" s="166"/>
      <c r="L9077" s="166"/>
    </row>
    <row r="9078">
      <c r="A9078" s="163" t="s">
        <v>222</v>
      </c>
      <c r="B9078" s="163"/>
      <c r="C9078" s="163"/>
      <c r="J9078" s="165"/>
      <c r="K9078" s="166"/>
      <c r="L9078" s="166"/>
    </row>
    <row r="9079">
      <c r="A9079" s="163" t="s">
        <v>222</v>
      </c>
      <c r="B9079" s="163"/>
      <c r="C9079" s="163"/>
      <c r="J9079" s="165"/>
      <c r="K9079" s="166"/>
      <c r="L9079" s="166"/>
    </row>
    <row r="9080">
      <c r="A9080" s="163" t="s">
        <v>222</v>
      </c>
      <c r="B9080" s="163"/>
      <c r="C9080" s="163"/>
      <c r="J9080" s="165"/>
      <c r="K9080" s="166"/>
      <c r="L9080" s="166"/>
    </row>
    <row r="9081">
      <c r="A9081" s="163" t="s">
        <v>222</v>
      </c>
      <c r="B9081" s="163"/>
      <c r="C9081" s="163"/>
      <c r="J9081" s="165"/>
      <c r="K9081" s="166"/>
      <c r="L9081" s="166"/>
    </row>
    <row r="9082">
      <c r="A9082" s="163" t="s">
        <v>222</v>
      </c>
      <c r="B9082" s="163"/>
      <c r="C9082" s="163"/>
      <c r="J9082" s="165"/>
      <c r="K9082" s="166"/>
      <c r="L9082" s="166"/>
    </row>
    <row r="9083">
      <c r="A9083" s="163" t="s">
        <v>222</v>
      </c>
      <c r="B9083" s="163"/>
      <c r="C9083" s="163"/>
      <c r="J9083" s="165"/>
      <c r="K9083" s="166"/>
      <c r="L9083" s="166"/>
    </row>
    <row r="9084">
      <c r="A9084" s="163" t="s">
        <v>222</v>
      </c>
      <c r="B9084" s="163"/>
      <c r="C9084" s="163"/>
      <c r="J9084" s="165"/>
      <c r="K9084" s="166"/>
      <c r="L9084" s="166"/>
    </row>
    <row r="9085">
      <c r="A9085" s="163" t="s">
        <v>222</v>
      </c>
      <c r="B9085" s="163"/>
      <c r="C9085" s="163"/>
      <c r="J9085" s="165"/>
      <c r="K9085" s="166"/>
      <c r="L9085" s="166"/>
    </row>
    <row r="9086">
      <c r="A9086" s="163" t="s">
        <v>222</v>
      </c>
      <c r="B9086" s="163"/>
      <c r="C9086" s="163"/>
      <c r="J9086" s="165"/>
      <c r="K9086" s="166"/>
      <c r="L9086" s="166"/>
    </row>
    <row r="9087">
      <c r="A9087" s="163" t="s">
        <v>222</v>
      </c>
      <c r="B9087" s="163"/>
      <c r="C9087" s="163"/>
      <c r="J9087" s="165"/>
      <c r="K9087" s="166"/>
      <c r="L9087" s="166"/>
    </row>
    <row r="9088">
      <c r="A9088" s="163" t="s">
        <v>222</v>
      </c>
      <c r="B9088" s="163"/>
      <c r="C9088" s="163"/>
      <c r="J9088" s="165"/>
      <c r="K9088" s="166"/>
      <c r="L9088" s="166"/>
    </row>
    <row r="9089">
      <c r="A9089" s="163" t="s">
        <v>222</v>
      </c>
      <c r="B9089" s="163"/>
      <c r="C9089" s="163"/>
      <c r="J9089" s="165"/>
      <c r="K9089" s="166"/>
      <c r="L9089" s="166"/>
    </row>
    <row r="9090">
      <c r="A9090" s="163" t="s">
        <v>222</v>
      </c>
      <c r="B9090" s="163"/>
      <c r="C9090" s="163"/>
      <c r="J9090" s="165"/>
      <c r="K9090" s="166"/>
      <c r="L9090" s="166"/>
    </row>
    <row r="9091">
      <c r="A9091" s="163" t="s">
        <v>222</v>
      </c>
      <c r="B9091" s="163"/>
      <c r="C9091" s="163"/>
      <c r="J9091" s="165"/>
      <c r="K9091" s="166"/>
      <c r="L9091" s="166"/>
    </row>
    <row r="9092">
      <c r="A9092" s="163" t="s">
        <v>222</v>
      </c>
      <c r="B9092" s="163"/>
      <c r="C9092" s="163"/>
      <c r="J9092" s="165"/>
      <c r="K9092" s="166"/>
      <c r="L9092" s="166"/>
    </row>
    <row r="9093">
      <c r="A9093" s="163" t="s">
        <v>222</v>
      </c>
      <c r="B9093" s="163"/>
      <c r="C9093" s="163"/>
      <c r="J9093" s="165"/>
      <c r="K9093" s="166"/>
      <c r="L9093" s="166"/>
    </row>
    <row r="9094">
      <c r="A9094" s="163" t="s">
        <v>222</v>
      </c>
      <c r="B9094" s="163"/>
      <c r="C9094" s="163"/>
      <c r="J9094" s="165"/>
      <c r="K9094" s="166"/>
      <c r="L9094" s="166"/>
    </row>
    <row r="9095">
      <c r="A9095" s="163" t="s">
        <v>222</v>
      </c>
      <c r="B9095" s="163"/>
      <c r="C9095" s="163"/>
      <c r="J9095" s="165"/>
      <c r="K9095" s="166"/>
      <c r="L9095" s="166"/>
    </row>
    <row r="9096">
      <c r="A9096" s="163" t="s">
        <v>222</v>
      </c>
      <c r="B9096" s="163"/>
      <c r="C9096" s="163"/>
      <c r="J9096" s="165"/>
      <c r="K9096" s="166"/>
      <c r="L9096" s="166"/>
    </row>
    <row r="9097">
      <c r="A9097" s="163" t="s">
        <v>222</v>
      </c>
      <c r="B9097" s="163"/>
      <c r="C9097" s="163"/>
      <c r="J9097" s="165"/>
      <c r="K9097" s="166"/>
      <c r="L9097" s="166"/>
    </row>
    <row r="9098">
      <c r="A9098" s="163" t="s">
        <v>222</v>
      </c>
      <c r="B9098" s="163"/>
      <c r="C9098" s="163"/>
      <c r="J9098" s="165"/>
      <c r="K9098" s="166"/>
      <c r="L9098" s="166"/>
    </row>
    <row r="9099">
      <c r="A9099" s="163" t="s">
        <v>222</v>
      </c>
      <c r="B9099" s="163"/>
      <c r="C9099" s="163"/>
      <c r="J9099" s="165"/>
      <c r="K9099" s="166"/>
      <c r="L9099" s="166"/>
    </row>
    <row r="9100">
      <c r="A9100" s="163" t="s">
        <v>222</v>
      </c>
      <c r="B9100" s="163"/>
      <c r="C9100" s="163"/>
      <c r="J9100" s="165"/>
      <c r="K9100" s="166"/>
      <c r="L9100" s="166"/>
    </row>
    <row r="9101">
      <c r="A9101" s="163" t="s">
        <v>222</v>
      </c>
      <c r="B9101" s="163"/>
      <c r="C9101" s="163"/>
      <c r="J9101" s="165"/>
      <c r="K9101" s="166"/>
      <c r="L9101" s="166"/>
    </row>
    <row r="9102">
      <c r="A9102" s="163" t="s">
        <v>222</v>
      </c>
      <c r="B9102" s="163"/>
      <c r="C9102" s="163"/>
      <c r="J9102" s="165"/>
      <c r="K9102" s="166"/>
      <c r="L9102" s="166"/>
    </row>
    <row r="9103">
      <c r="A9103" s="163" t="s">
        <v>222</v>
      </c>
      <c r="B9103" s="163"/>
      <c r="C9103" s="163"/>
      <c r="J9103" s="165"/>
      <c r="K9103" s="166"/>
      <c r="L9103" s="166"/>
    </row>
    <row r="9104">
      <c r="A9104" s="163" t="s">
        <v>222</v>
      </c>
      <c r="B9104" s="163"/>
      <c r="C9104" s="163"/>
      <c r="J9104" s="165"/>
      <c r="K9104" s="166"/>
      <c r="L9104" s="166"/>
    </row>
    <row r="9105">
      <c r="A9105" s="163" t="s">
        <v>222</v>
      </c>
      <c r="B9105" s="163"/>
      <c r="C9105" s="163"/>
      <c r="J9105" s="165"/>
      <c r="K9105" s="166"/>
      <c r="L9105" s="166"/>
    </row>
    <row r="9106">
      <c r="A9106" s="163" t="s">
        <v>222</v>
      </c>
      <c r="B9106" s="163"/>
      <c r="C9106" s="163"/>
      <c r="J9106" s="165"/>
      <c r="K9106" s="166"/>
      <c r="L9106" s="166"/>
    </row>
    <row r="9107">
      <c r="A9107" s="163" t="s">
        <v>222</v>
      </c>
      <c r="B9107" s="163"/>
      <c r="C9107" s="163"/>
      <c r="J9107" s="165"/>
      <c r="K9107" s="166"/>
      <c r="L9107" s="166"/>
    </row>
    <row r="9108">
      <c r="A9108" s="163" t="s">
        <v>222</v>
      </c>
      <c r="B9108" s="163"/>
      <c r="C9108" s="163"/>
      <c r="J9108" s="165"/>
      <c r="K9108" s="166"/>
      <c r="L9108" s="166"/>
    </row>
    <row r="9109">
      <c r="A9109" s="163" t="s">
        <v>222</v>
      </c>
      <c r="B9109" s="163"/>
      <c r="C9109" s="163"/>
      <c r="J9109" s="165"/>
      <c r="K9109" s="166"/>
      <c r="L9109" s="166"/>
    </row>
    <row r="9110">
      <c r="A9110" s="163" t="s">
        <v>222</v>
      </c>
      <c r="B9110" s="163"/>
      <c r="C9110" s="163"/>
      <c r="J9110" s="165"/>
      <c r="K9110" s="166"/>
      <c r="L9110" s="166"/>
    </row>
    <row r="9111">
      <c r="A9111" s="163" t="s">
        <v>222</v>
      </c>
      <c r="B9111" s="163"/>
      <c r="C9111" s="163"/>
      <c r="J9111" s="165"/>
      <c r="K9111" s="166"/>
      <c r="L9111" s="166"/>
    </row>
    <row r="9112">
      <c r="A9112" s="163" t="s">
        <v>222</v>
      </c>
      <c r="B9112" s="163"/>
      <c r="C9112" s="163"/>
      <c r="J9112" s="165"/>
      <c r="K9112" s="166"/>
      <c r="L9112" s="166"/>
    </row>
    <row r="9113">
      <c r="A9113" s="163" t="s">
        <v>222</v>
      </c>
      <c r="B9113" s="163"/>
      <c r="C9113" s="163"/>
      <c r="J9113" s="165"/>
      <c r="K9113" s="166"/>
      <c r="L9113" s="166"/>
    </row>
    <row r="9114">
      <c r="A9114" s="163" t="s">
        <v>222</v>
      </c>
      <c r="B9114" s="163"/>
      <c r="C9114" s="163"/>
      <c r="J9114" s="165"/>
      <c r="K9114" s="166"/>
      <c r="L9114" s="166"/>
    </row>
    <row r="9115">
      <c r="A9115" s="163" t="s">
        <v>222</v>
      </c>
      <c r="B9115" s="163"/>
      <c r="C9115" s="163"/>
      <c r="J9115" s="165"/>
      <c r="K9115" s="166"/>
      <c r="L9115" s="166"/>
    </row>
    <row r="9116">
      <c r="A9116" s="163" t="s">
        <v>222</v>
      </c>
      <c r="B9116" s="163"/>
      <c r="C9116" s="163"/>
      <c r="J9116" s="165"/>
      <c r="K9116" s="166"/>
      <c r="L9116" s="166"/>
    </row>
    <row r="9117">
      <c r="A9117" s="163" t="s">
        <v>222</v>
      </c>
      <c r="B9117" s="163"/>
      <c r="C9117" s="163"/>
      <c r="J9117" s="165"/>
      <c r="K9117" s="166"/>
      <c r="L9117" s="166"/>
    </row>
    <row r="9118">
      <c r="A9118" s="163" t="s">
        <v>222</v>
      </c>
      <c r="B9118" s="163"/>
      <c r="C9118" s="163"/>
      <c r="J9118" s="165"/>
      <c r="K9118" s="166"/>
      <c r="L9118" s="166"/>
    </row>
    <row r="9119">
      <c r="A9119" s="163" t="s">
        <v>222</v>
      </c>
      <c r="B9119" s="163"/>
      <c r="C9119" s="163"/>
      <c r="J9119" s="165"/>
      <c r="K9119" s="166"/>
      <c r="L9119" s="166"/>
    </row>
    <row r="9120">
      <c r="A9120" s="163" t="s">
        <v>222</v>
      </c>
      <c r="B9120" s="163"/>
      <c r="C9120" s="163"/>
      <c r="J9120" s="165"/>
      <c r="K9120" s="166"/>
      <c r="L9120" s="166"/>
    </row>
    <row r="9121">
      <c r="A9121" s="163" t="s">
        <v>222</v>
      </c>
      <c r="B9121" s="163"/>
      <c r="C9121" s="163"/>
      <c r="J9121" s="165"/>
      <c r="K9121" s="166"/>
      <c r="L9121" s="166"/>
    </row>
    <row r="9122">
      <c r="A9122" s="163" t="s">
        <v>222</v>
      </c>
      <c r="B9122" s="163"/>
      <c r="C9122" s="163"/>
      <c r="J9122" s="165"/>
      <c r="K9122" s="166"/>
      <c r="L9122" s="166"/>
    </row>
    <row r="9123">
      <c r="A9123" s="163" t="s">
        <v>222</v>
      </c>
      <c r="B9123" s="163"/>
      <c r="C9123" s="163"/>
      <c r="J9123" s="165"/>
      <c r="K9123" s="166"/>
      <c r="L9123" s="166"/>
    </row>
    <row r="9124">
      <c r="A9124" s="163" t="s">
        <v>222</v>
      </c>
      <c r="B9124" s="163"/>
      <c r="C9124" s="163"/>
      <c r="J9124" s="165"/>
      <c r="K9124" s="166"/>
      <c r="L9124" s="166"/>
    </row>
    <row r="9125">
      <c r="A9125" s="163" t="s">
        <v>222</v>
      </c>
      <c r="B9125" s="163"/>
      <c r="C9125" s="163"/>
      <c r="J9125" s="165"/>
      <c r="K9125" s="166"/>
      <c r="L9125" s="166"/>
    </row>
    <row r="9126">
      <c r="A9126" s="163" t="s">
        <v>222</v>
      </c>
      <c r="B9126" s="163"/>
      <c r="C9126" s="163"/>
      <c r="J9126" s="165"/>
      <c r="K9126" s="166"/>
      <c r="L9126" s="166"/>
    </row>
    <row r="9127">
      <c r="A9127" s="163" t="s">
        <v>222</v>
      </c>
      <c r="B9127" s="163"/>
      <c r="C9127" s="163"/>
      <c r="J9127" s="165"/>
      <c r="K9127" s="166"/>
      <c r="L9127" s="166"/>
    </row>
    <row r="9128">
      <c r="A9128" s="163" t="s">
        <v>222</v>
      </c>
      <c r="B9128" s="163"/>
      <c r="C9128" s="163"/>
      <c r="J9128" s="165"/>
      <c r="K9128" s="166"/>
      <c r="L9128" s="166"/>
    </row>
    <row r="9129">
      <c r="A9129" s="163" t="s">
        <v>222</v>
      </c>
      <c r="B9129" s="163"/>
      <c r="C9129" s="163"/>
      <c r="J9129" s="165"/>
      <c r="K9129" s="166"/>
      <c r="L9129" s="166"/>
    </row>
    <row r="9130">
      <c r="A9130" s="163" t="s">
        <v>222</v>
      </c>
      <c r="B9130" s="163"/>
      <c r="C9130" s="163"/>
      <c r="J9130" s="165"/>
      <c r="K9130" s="166"/>
      <c r="L9130" s="166"/>
    </row>
    <row r="9131">
      <c r="A9131" s="163" t="s">
        <v>222</v>
      </c>
      <c r="B9131" s="163"/>
      <c r="C9131" s="163"/>
      <c r="J9131" s="165"/>
      <c r="K9131" s="166"/>
      <c r="L9131" s="166"/>
    </row>
    <row r="9132">
      <c r="A9132" s="163" t="s">
        <v>222</v>
      </c>
      <c r="B9132" s="163"/>
      <c r="C9132" s="163"/>
      <c r="J9132" s="165"/>
      <c r="K9132" s="166"/>
      <c r="L9132" s="166"/>
    </row>
    <row r="9133">
      <c r="A9133" s="163" t="s">
        <v>222</v>
      </c>
      <c r="B9133" s="163"/>
      <c r="C9133" s="163"/>
      <c r="J9133" s="165"/>
      <c r="K9133" s="166"/>
      <c r="L9133" s="166"/>
    </row>
    <row r="9134">
      <c r="A9134" s="163" t="s">
        <v>222</v>
      </c>
      <c r="B9134" s="163"/>
      <c r="C9134" s="163"/>
      <c r="J9134" s="165"/>
      <c r="K9134" s="166"/>
      <c r="L9134" s="166"/>
    </row>
    <row r="9135">
      <c r="A9135" s="163" t="s">
        <v>222</v>
      </c>
      <c r="B9135" s="163"/>
      <c r="C9135" s="163"/>
      <c r="J9135" s="165"/>
      <c r="K9135" s="166"/>
      <c r="L9135" s="166"/>
    </row>
    <row r="9136">
      <c r="A9136" s="163" t="s">
        <v>222</v>
      </c>
      <c r="B9136" s="163"/>
      <c r="C9136" s="163"/>
      <c r="J9136" s="165"/>
      <c r="K9136" s="166"/>
      <c r="L9136" s="166"/>
    </row>
    <row r="9137">
      <c r="A9137" s="163" t="s">
        <v>222</v>
      </c>
      <c r="B9137" s="163"/>
      <c r="C9137" s="163"/>
      <c r="J9137" s="165"/>
      <c r="K9137" s="166"/>
      <c r="L9137" s="166"/>
    </row>
    <row r="9138">
      <c r="A9138" s="163" t="s">
        <v>222</v>
      </c>
      <c r="B9138" s="163"/>
      <c r="C9138" s="163"/>
      <c r="J9138" s="165"/>
      <c r="K9138" s="166"/>
      <c r="L9138" s="166"/>
    </row>
    <row r="9139">
      <c r="A9139" s="163" t="s">
        <v>222</v>
      </c>
      <c r="B9139" s="163"/>
      <c r="C9139" s="163"/>
      <c r="J9139" s="165"/>
      <c r="K9139" s="166"/>
      <c r="L9139" s="166"/>
    </row>
    <row r="9140">
      <c r="A9140" s="163" t="s">
        <v>222</v>
      </c>
      <c r="B9140" s="163"/>
      <c r="C9140" s="163"/>
      <c r="J9140" s="165"/>
      <c r="K9140" s="166"/>
      <c r="L9140" s="166"/>
    </row>
    <row r="9141">
      <c r="A9141" s="163" t="s">
        <v>222</v>
      </c>
      <c r="B9141" s="163"/>
      <c r="C9141" s="163"/>
      <c r="J9141" s="165"/>
      <c r="K9141" s="166"/>
      <c r="L9141" s="166"/>
    </row>
    <row r="9142">
      <c r="A9142" s="163" t="s">
        <v>222</v>
      </c>
      <c r="B9142" s="163"/>
      <c r="C9142" s="163"/>
      <c r="J9142" s="165"/>
      <c r="K9142" s="166"/>
      <c r="L9142" s="166"/>
    </row>
    <row r="9143">
      <c r="A9143" s="163" t="s">
        <v>222</v>
      </c>
      <c r="B9143" s="163"/>
      <c r="C9143" s="163"/>
      <c r="J9143" s="165"/>
      <c r="K9143" s="166"/>
      <c r="L9143" s="166"/>
    </row>
    <row r="9144">
      <c r="A9144" s="163" t="s">
        <v>222</v>
      </c>
      <c r="B9144" s="163"/>
      <c r="C9144" s="163"/>
      <c r="J9144" s="165"/>
      <c r="K9144" s="166"/>
      <c r="L9144" s="166"/>
    </row>
    <row r="9145">
      <c r="A9145" s="163" t="s">
        <v>222</v>
      </c>
      <c r="B9145" s="163"/>
      <c r="C9145" s="163"/>
      <c r="J9145" s="165"/>
      <c r="K9145" s="166"/>
      <c r="L9145" s="166"/>
    </row>
    <row r="9146">
      <c r="A9146" s="163" t="s">
        <v>222</v>
      </c>
      <c r="B9146" s="163"/>
      <c r="C9146" s="163"/>
      <c r="J9146" s="165"/>
      <c r="K9146" s="166"/>
      <c r="L9146" s="166"/>
    </row>
    <row r="9147">
      <c r="A9147" s="163" t="s">
        <v>222</v>
      </c>
      <c r="B9147" s="163"/>
      <c r="C9147" s="163"/>
      <c r="J9147" s="165"/>
      <c r="K9147" s="166"/>
      <c r="L9147" s="166"/>
    </row>
    <row r="9148">
      <c r="A9148" s="163" t="s">
        <v>222</v>
      </c>
      <c r="B9148" s="163"/>
      <c r="C9148" s="163"/>
      <c r="J9148" s="165"/>
      <c r="K9148" s="166"/>
      <c r="L9148" s="166"/>
    </row>
    <row r="9149">
      <c r="A9149" s="163" t="s">
        <v>222</v>
      </c>
      <c r="B9149" s="163"/>
      <c r="C9149" s="163"/>
      <c r="J9149" s="165"/>
      <c r="K9149" s="166"/>
      <c r="L9149" s="166"/>
    </row>
    <row r="9150">
      <c r="A9150" s="163" t="s">
        <v>222</v>
      </c>
      <c r="B9150" s="163"/>
      <c r="C9150" s="163"/>
      <c r="J9150" s="165"/>
      <c r="K9150" s="166"/>
      <c r="L9150" s="166"/>
    </row>
    <row r="9151">
      <c r="A9151" s="163" t="s">
        <v>222</v>
      </c>
      <c r="B9151" s="163"/>
      <c r="C9151" s="163"/>
      <c r="J9151" s="165"/>
      <c r="K9151" s="166"/>
      <c r="L9151" s="166"/>
    </row>
    <row r="9152">
      <c r="A9152" s="163" t="s">
        <v>222</v>
      </c>
      <c r="B9152" s="163"/>
      <c r="C9152" s="163"/>
      <c r="J9152" s="165"/>
      <c r="K9152" s="166"/>
      <c r="L9152" s="166"/>
    </row>
    <row r="9153">
      <c r="A9153" s="163" t="s">
        <v>222</v>
      </c>
      <c r="B9153" s="163"/>
      <c r="C9153" s="163"/>
      <c r="J9153" s="165"/>
      <c r="K9153" s="166"/>
      <c r="L9153" s="166"/>
    </row>
    <row r="9154">
      <c r="A9154" s="163" t="s">
        <v>222</v>
      </c>
      <c r="B9154" s="163"/>
      <c r="C9154" s="163"/>
      <c r="J9154" s="165"/>
      <c r="K9154" s="166"/>
      <c r="L9154" s="166"/>
    </row>
    <row r="9155">
      <c r="A9155" s="163" t="s">
        <v>222</v>
      </c>
      <c r="B9155" s="163"/>
      <c r="C9155" s="163"/>
      <c r="J9155" s="165"/>
      <c r="K9155" s="166"/>
      <c r="L9155" s="166"/>
    </row>
    <row r="9156">
      <c r="A9156" s="163" t="s">
        <v>222</v>
      </c>
      <c r="B9156" s="163"/>
      <c r="C9156" s="163"/>
      <c r="J9156" s="165"/>
      <c r="K9156" s="166"/>
      <c r="L9156" s="166"/>
    </row>
    <row r="9157">
      <c r="A9157" s="163" t="s">
        <v>222</v>
      </c>
      <c r="B9157" s="163"/>
      <c r="C9157" s="163"/>
      <c r="J9157" s="165"/>
      <c r="K9157" s="166"/>
      <c r="L9157" s="166"/>
    </row>
    <row r="9158">
      <c r="A9158" s="163" t="s">
        <v>222</v>
      </c>
      <c r="B9158" s="163"/>
      <c r="C9158" s="163"/>
      <c r="J9158" s="165"/>
      <c r="K9158" s="166"/>
      <c r="L9158" s="166"/>
    </row>
    <row r="9159">
      <c r="A9159" s="163" t="s">
        <v>222</v>
      </c>
      <c r="B9159" s="163"/>
      <c r="C9159" s="163"/>
      <c r="J9159" s="165"/>
      <c r="K9159" s="166"/>
      <c r="L9159" s="166"/>
    </row>
    <row r="9160">
      <c r="A9160" s="163" t="s">
        <v>222</v>
      </c>
      <c r="B9160" s="163"/>
      <c r="C9160" s="163"/>
      <c r="J9160" s="165"/>
      <c r="K9160" s="166"/>
      <c r="L9160" s="166"/>
    </row>
    <row r="9161">
      <c r="A9161" s="163" t="s">
        <v>222</v>
      </c>
      <c r="B9161" s="163"/>
      <c r="C9161" s="163"/>
      <c r="J9161" s="165"/>
      <c r="K9161" s="166"/>
      <c r="L9161" s="166"/>
    </row>
    <row r="9162">
      <c r="A9162" s="163" t="s">
        <v>222</v>
      </c>
      <c r="B9162" s="163"/>
      <c r="C9162" s="163"/>
      <c r="J9162" s="165"/>
      <c r="K9162" s="166"/>
      <c r="L9162" s="166"/>
    </row>
    <row r="9163">
      <c r="A9163" s="163" t="s">
        <v>222</v>
      </c>
      <c r="B9163" s="163"/>
      <c r="C9163" s="163"/>
      <c r="J9163" s="165"/>
      <c r="K9163" s="166"/>
      <c r="L9163" s="166"/>
    </row>
    <row r="9164">
      <c r="A9164" s="163" t="s">
        <v>222</v>
      </c>
      <c r="B9164" s="163"/>
      <c r="C9164" s="163"/>
      <c r="J9164" s="165"/>
      <c r="K9164" s="166"/>
      <c r="L9164" s="166"/>
    </row>
    <row r="9165">
      <c r="A9165" s="163" t="s">
        <v>222</v>
      </c>
      <c r="B9165" s="163"/>
      <c r="C9165" s="163"/>
      <c r="J9165" s="165"/>
      <c r="K9165" s="166"/>
      <c r="L9165" s="166"/>
    </row>
    <row r="9166">
      <c r="A9166" s="163" t="s">
        <v>222</v>
      </c>
      <c r="B9166" s="163"/>
      <c r="C9166" s="163"/>
      <c r="J9166" s="165"/>
      <c r="K9166" s="166"/>
      <c r="L9166" s="166"/>
    </row>
    <row r="9167">
      <c r="A9167" s="163" t="s">
        <v>222</v>
      </c>
      <c r="B9167" s="163"/>
      <c r="C9167" s="163"/>
      <c r="J9167" s="165"/>
      <c r="K9167" s="166"/>
      <c r="L9167" s="166"/>
    </row>
    <row r="9168">
      <c r="A9168" s="163" t="s">
        <v>222</v>
      </c>
      <c r="B9168" s="163"/>
      <c r="C9168" s="163"/>
      <c r="J9168" s="165"/>
      <c r="K9168" s="166"/>
      <c r="L9168" s="166"/>
    </row>
    <row r="9169">
      <c r="A9169" s="163" t="s">
        <v>222</v>
      </c>
      <c r="B9169" s="163"/>
      <c r="C9169" s="163"/>
      <c r="J9169" s="165"/>
      <c r="K9169" s="166"/>
      <c r="L9169" s="166"/>
    </row>
    <row r="9170">
      <c r="A9170" s="163" t="s">
        <v>222</v>
      </c>
      <c r="B9170" s="163"/>
      <c r="C9170" s="163"/>
      <c r="J9170" s="165"/>
      <c r="K9170" s="166"/>
      <c r="L9170" s="166"/>
    </row>
    <row r="9171">
      <c r="A9171" s="163" t="s">
        <v>222</v>
      </c>
      <c r="B9171" s="163"/>
      <c r="C9171" s="163"/>
      <c r="J9171" s="165"/>
      <c r="K9171" s="166"/>
      <c r="L9171" s="166"/>
    </row>
    <row r="9172">
      <c r="A9172" s="163" t="s">
        <v>222</v>
      </c>
      <c r="B9172" s="163"/>
      <c r="C9172" s="163"/>
      <c r="J9172" s="165"/>
      <c r="K9172" s="166"/>
      <c r="L9172" s="166"/>
    </row>
    <row r="9173">
      <c r="A9173" s="163" t="s">
        <v>222</v>
      </c>
      <c r="B9173" s="163"/>
      <c r="C9173" s="163"/>
      <c r="J9173" s="165"/>
      <c r="K9173" s="166"/>
      <c r="L9173" s="166"/>
    </row>
    <row r="9174">
      <c r="A9174" s="163" t="s">
        <v>222</v>
      </c>
      <c r="B9174" s="163"/>
      <c r="C9174" s="163"/>
      <c r="J9174" s="165"/>
      <c r="K9174" s="166"/>
      <c r="L9174" s="166"/>
    </row>
    <row r="9175">
      <c r="A9175" s="163" t="s">
        <v>222</v>
      </c>
      <c r="B9175" s="163"/>
      <c r="C9175" s="163"/>
      <c r="J9175" s="165"/>
      <c r="K9175" s="166"/>
      <c r="L9175" s="166"/>
    </row>
    <row r="9176">
      <c r="A9176" s="163" t="s">
        <v>222</v>
      </c>
      <c r="B9176" s="163"/>
      <c r="C9176" s="163"/>
      <c r="J9176" s="165"/>
      <c r="K9176" s="166"/>
      <c r="L9176" s="166"/>
    </row>
    <row r="9177">
      <c r="A9177" s="163" t="s">
        <v>222</v>
      </c>
      <c r="B9177" s="163"/>
      <c r="C9177" s="163"/>
      <c r="J9177" s="165"/>
      <c r="K9177" s="166"/>
      <c r="L9177" s="166"/>
    </row>
    <row r="9178">
      <c r="A9178" s="163" t="s">
        <v>222</v>
      </c>
      <c r="B9178" s="163"/>
      <c r="C9178" s="163"/>
      <c r="J9178" s="165"/>
      <c r="K9178" s="166"/>
      <c r="L9178" s="166"/>
    </row>
    <row r="9179">
      <c r="A9179" s="163" t="s">
        <v>222</v>
      </c>
      <c r="B9179" s="163"/>
      <c r="C9179" s="163"/>
      <c r="J9179" s="165"/>
      <c r="K9179" s="166"/>
      <c r="L9179" s="166"/>
    </row>
    <row r="9180">
      <c r="A9180" s="163" t="s">
        <v>222</v>
      </c>
      <c r="B9180" s="163"/>
      <c r="C9180" s="163"/>
      <c r="J9180" s="165"/>
      <c r="K9180" s="166"/>
      <c r="L9180" s="166"/>
    </row>
    <row r="9181">
      <c r="A9181" s="163" t="s">
        <v>222</v>
      </c>
      <c r="B9181" s="163"/>
      <c r="C9181" s="163"/>
      <c r="J9181" s="165"/>
      <c r="K9181" s="166"/>
      <c r="L9181" s="166"/>
    </row>
    <row r="9182">
      <c r="A9182" s="163" t="s">
        <v>222</v>
      </c>
      <c r="B9182" s="163"/>
      <c r="C9182" s="163"/>
      <c r="J9182" s="165"/>
      <c r="K9182" s="166"/>
      <c r="L9182" s="166"/>
    </row>
    <row r="9183">
      <c r="A9183" s="163" t="s">
        <v>222</v>
      </c>
      <c r="B9183" s="163"/>
      <c r="C9183" s="163"/>
      <c r="J9183" s="165"/>
      <c r="K9183" s="166"/>
      <c r="L9183" s="166"/>
    </row>
    <row r="9184">
      <c r="A9184" s="163" t="s">
        <v>222</v>
      </c>
      <c r="B9184" s="163"/>
      <c r="C9184" s="163"/>
      <c r="J9184" s="165"/>
      <c r="K9184" s="166"/>
      <c r="L9184" s="166"/>
    </row>
    <row r="9185">
      <c r="A9185" s="163" t="s">
        <v>222</v>
      </c>
      <c r="B9185" s="163"/>
      <c r="C9185" s="163"/>
      <c r="J9185" s="165"/>
      <c r="K9185" s="166"/>
      <c r="L9185" s="166"/>
    </row>
    <row r="9186">
      <c r="A9186" s="163" t="s">
        <v>222</v>
      </c>
      <c r="B9186" s="163"/>
      <c r="C9186" s="163"/>
      <c r="J9186" s="165"/>
      <c r="K9186" s="166"/>
      <c r="L9186" s="166"/>
    </row>
    <row r="9187">
      <c r="A9187" s="163" t="s">
        <v>222</v>
      </c>
      <c r="B9187" s="163"/>
      <c r="C9187" s="163"/>
      <c r="J9187" s="165"/>
      <c r="K9187" s="166"/>
      <c r="L9187" s="166"/>
    </row>
    <row r="9188">
      <c r="A9188" s="163" t="s">
        <v>222</v>
      </c>
      <c r="B9188" s="163"/>
      <c r="C9188" s="163"/>
      <c r="J9188" s="165"/>
      <c r="K9188" s="166"/>
      <c r="L9188" s="166"/>
    </row>
    <row r="9189">
      <c r="A9189" s="163" t="s">
        <v>222</v>
      </c>
      <c r="B9189" s="163"/>
      <c r="C9189" s="163"/>
      <c r="J9189" s="165"/>
      <c r="K9189" s="166"/>
      <c r="L9189" s="166"/>
    </row>
    <row r="9190">
      <c r="A9190" s="163" t="s">
        <v>222</v>
      </c>
      <c r="B9190" s="163"/>
      <c r="C9190" s="163"/>
      <c r="J9190" s="165"/>
      <c r="K9190" s="166"/>
      <c r="L9190" s="166"/>
    </row>
    <row r="9191">
      <c r="A9191" s="163" t="s">
        <v>222</v>
      </c>
      <c r="B9191" s="163"/>
      <c r="C9191" s="163"/>
      <c r="J9191" s="165"/>
      <c r="K9191" s="166"/>
      <c r="L9191" s="166"/>
    </row>
    <row r="9192">
      <c r="A9192" s="163" t="s">
        <v>222</v>
      </c>
      <c r="B9192" s="163"/>
      <c r="C9192" s="163"/>
      <c r="J9192" s="165"/>
      <c r="K9192" s="166"/>
      <c r="L9192" s="166"/>
    </row>
    <row r="9193">
      <c r="A9193" s="163" t="s">
        <v>222</v>
      </c>
      <c r="B9193" s="163"/>
      <c r="C9193" s="163"/>
      <c r="J9193" s="165"/>
      <c r="K9193" s="166"/>
      <c r="L9193" s="166"/>
    </row>
    <row r="9194">
      <c r="A9194" s="163" t="s">
        <v>222</v>
      </c>
      <c r="B9194" s="163"/>
      <c r="C9194" s="163"/>
      <c r="J9194" s="165"/>
      <c r="K9194" s="166"/>
      <c r="L9194" s="166"/>
    </row>
    <row r="9195">
      <c r="A9195" s="163" t="s">
        <v>222</v>
      </c>
      <c r="B9195" s="163"/>
      <c r="C9195" s="163"/>
      <c r="J9195" s="165"/>
      <c r="K9195" s="166"/>
      <c r="L9195" s="166"/>
    </row>
    <row r="9196">
      <c r="A9196" s="163" t="s">
        <v>222</v>
      </c>
      <c r="B9196" s="163"/>
      <c r="C9196" s="163"/>
      <c r="J9196" s="165"/>
      <c r="K9196" s="166"/>
      <c r="L9196" s="166"/>
    </row>
    <row r="9197">
      <c r="A9197" s="163" t="s">
        <v>222</v>
      </c>
      <c r="B9197" s="163"/>
      <c r="C9197" s="163"/>
      <c r="J9197" s="165"/>
      <c r="K9197" s="166"/>
      <c r="L9197" s="166"/>
    </row>
    <row r="9198">
      <c r="A9198" s="163" t="s">
        <v>222</v>
      </c>
      <c r="B9198" s="163"/>
      <c r="C9198" s="163"/>
      <c r="J9198" s="165"/>
      <c r="K9198" s="166"/>
      <c r="L9198" s="166"/>
    </row>
    <row r="9199">
      <c r="A9199" s="163" t="s">
        <v>222</v>
      </c>
      <c r="B9199" s="163"/>
      <c r="C9199" s="163"/>
      <c r="J9199" s="165"/>
      <c r="K9199" s="166"/>
      <c r="L9199" s="166"/>
    </row>
    <row r="9200">
      <c r="A9200" s="163" t="s">
        <v>222</v>
      </c>
      <c r="B9200" s="163"/>
      <c r="C9200" s="163"/>
      <c r="J9200" s="165"/>
      <c r="K9200" s="166"/>
      <c r="L9200" s="166"/>
    </row>
    <row r="9201">
      <c r="A9201" s="163" t="s">
        <v>222</v>
      </c>
      <c r="B9201" s="163"/>
      <c r="C9201" s="163"/>
      <c r="J9201" s="165"/>
      <c r="K9201" s="166"/>
      <c r="L9201" s="166"/>
    </row>
    <row r="9202">
      <c r="A9202" s="163" t="s">
        <v>222</v>
      </c>
      <c r="B9202" s="163"/>
      <c r="C9202" s="163"/>
      <c r="J9202" s="165"/>
      <c r="K9202" s="166"/>
      <c r="L9202" s="166"/>
    </row>
    <row r="9203">
      <c r="A9203" s="163" t="s">
        <v>222</v>
      </c>
      <c r="B9203" s="163"/>
      <c r="C9203" s="163"/>
      <c r="J9203" s="165"/>
      <c r="K9203" s="166"/>
      <c r="L9203" s="166"/>
    </row>
    <row r="9204">
      <c r="A9204" s="163" t="s">
        <v>222</v>
      </c>
      <c r="B9204" s="163"/>
      <c r="C9204" s="163"/>
      <c r="J9204" s="165"/>
      <c r="K9204" s="166"/>
      <c r="L9204" s="166"/>
    </row>
    <row r="9205">
      <c r="A9205" s="163" t="s">
        <v>222</v>
      </c>
      <c r="B9205" s="163"/>
      <c r="C9205" s="163"/>
      <c r="J9205" s="165"/>
      <c r="K9205" s="166"/>
      <c r="L9205" s="166"/>
    </row>
    <row r="9206">
      <c r="A9206" s="163" t="s">
        <v>222</v>
      </c>
      <c r="B9206" s="163"/>
      <c r="C9206" s="163"/>
      <c r="J9206" s="165"/>
      <c r="K9206" s="166"/>
      <c r="L9206" s="166"/>
    </row>
    <row r="9207">
      <c r="A9207" s="163" t="s">
        <v>222</v>
      </c>
      <c r="B9207" s="163"/>
      <c r="C9207" s="163"/>
      <c r="J9207" s="165"/>
      <c r="K9207" s="166"/>
      <c r="L9207" s="166"/>
    </row>
    <row r="9208">
      <c r="A9208" s="163" t="s">
        <v>222</v>
      </c>
      <c r="B9208" s="163"/>
      <c r="C9208" s="163"/>
      <c r="J9208" s="165"/>
      <c r="K9208" s="166"/>
      <c r="L9208" s="166"/>
    </row>
    <row r="9209">
      <c r="A9209" s="163" t="s">
        <v>222</v>
      </c>
      <c r="B9209" s="163"/>
      <c r="C9209" s="163"/>
      <c r="J9209" s="165"/>
      <c r="K9209" s="166"/>
      <c r="L9209" s="166"/>
    </row>
    <row r="9210">
      <c r="A9210" s="163" t="s">
        <v>222</v>
      </c>
      <c r="B9210" s="163"/>
      <c r="C9210" s="163"/>
      <c r="J9210" s="165"/>
      <c r="K9210" s="166"/>
      <c r="L9210" s="166"/>
    </row>
    <row r="9211">
      <c r="A9211" s="163" t="s">
        <v>222</v>
      </c>
      <c r="B9211" s="163"/>
      <c r="C9211" s="163"/>
      <c r="J9211" s="165"/>
      <c r="K9211" s="166"/>
      <c r="L9211" s="166"/>
    </row>
    <row r="9212">
      <c r="A9212" s="163" t="s">
        <v>222</v>
      </c>
      <c r="B9212" s="163"/>
      <c r="C9212" s="163"/>
      <c r="J9212" s="165"/>
      <c r="K9212" s="166"/>
      <c r="L9212" s="166"/>
    </row>
    <row r="9213">
      <c r="A9213" s="163" t="s">
        <v>222</v>
      </c>
      <c r="B9213" s="163"/>
      <c r="C9213" s="163"/>
      <c r="J9213" s="165"/>
      <c r="K9213" s="166"/>
      <c r="L9213" s="166"/>
    </row>
    <row r="9214">
      <c r="A9214" s="163" t="s">
        <v>222</v>
      </c>
      <c r="B9214" s="163"/>
      <c r="C9214" s="163"/>
      <c r="J9214" s="165"/>
      <c r="K9214" s="166"/>
      <c r="L9214" s="166"/>
    </row>
    <row r="9215">
      <c r="A9215" s="163" t="s">
        <v>222</v>
      </c>
      <c r="B9215" s="163"/>
      <c r="C9215" s="163"/>
      <c r="J9215" s="165"/>
      <c r="K9215" s="166"/>
      <c r="L9215" s="166"/>
    </row>
    <row r="9216">
      <c r="A9216" s="163" t="s">
        <v>222</v>
      </c>
      <c r="B9216" s="163"/>
      <c r="C9216" s="163"/>
      <c r="J9216" s="165"/>
      <c r="K9216" s="166"/>
      <c r="L9216" s="166"/>
    </row>
    <row r="9217">
      <c r="A9217" s="163" t="s">
        <v>222</v>
      </c>
      <c r="B9217" s="163"/>
      <c r="C9217" s="163"/>
      <c r="J9217" s="165"/>
      <c r="K9217" s="166"/>
      <c r="L9217" s="166"/>
    </row>
    <row r="9218">
      <c r="A9218" s="163" t="s">
        <v>222</v>
      </c>
      <c r="B9218" s="163"/>
      <c r="C9218" s="163"/>
      <c r="J9218" s="165"/>
      <c r="K9218" s="166"/>
      <c r="L9218" s="166"/>
    </row>
    <row r="9219">
      <c r="A9219" s="163" t="s">
        <v>222</v>
      </c>
      <c r="B9219" s="163"/>
      <c r="C9219" s="163"/>
      <c r="J9219" s="165"/>
      <c r="K9219" s="166"/>
      <c r="L9219" s="166"/>
    </row>
    <row r="9220">
      <c r="A9220" s="163" t="s">
        <v>222</v>
      </c>
      <c r="B9220" s="163"/>
      <c r="C9220" s="163"/>
      <c r="J9220" s="165"/>
      <c r="K9220" s="166"/>
      <c r="L9220" s="166"/>
    </row>
    <row r="9221">
      <c r="A9221" s="163" t="s">
        <v>222</v>
      </c>
      <c r="B9221" s="163"/>
      <c r="C9221" s="163"/>
      <c r="J9221" s="165"/>
      <c r="K9221" s="166"/>
      <c r="L9221" s="166"/>
    </row>
    <row r="9222">
      <c r="A9222" s="163" t="s">
        <v>222</v>
      </c>
      <c r="B9222" s="163"/>
      <c r="C9222" s="163"/>
      <c r="J9222" s="165"/>
      <c r="K9222" s="166"/>
      <c r="L9222" s="166"/>
    </row>
    <row r="9223">
      <c r="A9223" s="163" t="s">
        <v>222</v>
      </c>
      <c r="B9223" s="163"/>
      <c r="C9223" s="163"/>
      <c r="J9223" s="165"/>
      <c r="K9223" s="166"/>
      <c r="L9223" s="166"/>
    </row>
    <row r="9224">
      <c r="A9224" s="163" t="s">
        <v>222</v>
      </c>
      <c r="B9224" s="163"/>
      <c r="C9224" s="163"/>
      <c r="J9224" s="165"/>
      <c r="K9224" s="166"/>
      <c r="L9224" s="166"/>
    </row>
    <row r="9225">
      <c r="A9225" s="163" t="s">
        <v>222</v>
      </c>
      <c r="B9225" s="163"/>
      <c r="C9225" s="163"/>
      <c r="J9225" s="165"/>
      <c r="K9225" s="166"/>
      <c r="L9225" s="166"/>
    </row>
    <row r="9226">
      <c r="A9226" s="163" t="s">
        <v>222</v>
      </c>
      <c r="B9226" s="163"/>
      <c r="C9226" s="163"/>
      <c r="J9226" s="165"/>
      <c r="K9226" s="166"/>
      <c r="L9226" s="166"/>
    </row>
    <row r="9227">
      <c r="A9227" s="163" t="s">
        <v>222</v>
      </c>
      <c r="B9227" s="163"/>
      <c r="C9227" s="163"/>
      <c r="J9227" s="165"/>
      <c r="K9227" s="166"/>
      <c r="L9227" s="166"/>
    </row>
    <row r="9228">
      <c r="A9228" s="163" t="s">
        <v>222</v>
      </c>
      <c r="B9228" s="163"/>
      <c r="C9228" s="163"/>
      <c r="J9228" s="165"/>
      <c r="K9228" s="166"/>
      <c r="L9228" s="166"/>
    </row>
    <row r="9229">
      <c r="A9229" s="163" t="s">
        <v>222</v>
      </c>
      <c r="B9229" s="163"/>
      <c r="C9229" s="163"/>
      <c r="J9229" s="165"/>
      <c r="K9229" s="166"/>
      <c r="L9229" s="166"/>
    </row>
    <row r="9230">
      <c r="A9230" s="163" t="s">
        <v>222</v>
      </c>
      <c r="B9230" s="163"/>
      <c r="C9230" s="163"/>
      <c r="J9230" s="165"/>
      <c r="K9230" s="166"/>
      <c r="L9230" s="166"/>
    </row>
    <row r="9231">
      <c r="A9231" s="163" t="s">
        <v>222</v>
      </c>
      <c r="B9231" s="163"/>
      <c r="C9231" s="163"/>
      <c r="J9231" s="165"/>
      <c r="K9231" s="166"/>
      <c r="L9231" s="166"/>
    </row>
    <row r="9232">
      <c r="A9232" s="163" t="s">
        <v>222</v>
      </c>
      <c r="B9232" s="163"/>
      <c r="C9232" s="163"/>
      <c r="J9232" s="165"/>
      <c r="K9232" s="166"/>
      <c r="L9232" s="166"/>
    </row>
    <row r="9233">
      <c r="A9233" s="163" t="s">
        <v>222</v>
      </c>
      <c r="B9233" s="163"/>
      <c r="C9233" s="163"/>
      <c r="J9233" s="165"/>
      <c r="K9233" s="166"/>
      <c r="L9233" s="166"/>
    </row>
    <row r="9234">
      <c r="A9234" s="163" t="s">
        <v>222</v>
      </c>
      <c r="B9234" s="163"/>
      <c r="C9234" s="163"/>
      <c r="J9234" s="165"/>
      <c r="K9234" s="166"/>
      <c r="L9234" s="166"/>
    </row>
    <row r="9235">
      <c r="A9235" s="163" t="s">
        <v>222</v>
      </c>
      <c r="B9235" s="163"/>
      <c r="C9235" s="163"/>
      <c r="J9235" s="165"/>
      <c r="K9235" s="166"/>
      <c r="L9235" s="166"/>
    </row>
    <row r="9236">
      <c r="A9236" s="163" t="s">
        <v>222</v>
      </c>
      <c r="B9236" s="163"/>
      <c r="C9236" s="163"/>
      <c r="J9236" s="165"/>
      <c r="K9236" s="166"/>
      <c r="L9236" s="166"/>
    </row>
    <row r="9237">
      <c r="A9237" s="163" t="s">
        <v>222</v>
      </c>
      <c r="B9237" s="163"/>
      <c r="C9237" s="163"/>
      <c r="J9237" s="165"/>
      <c r="K9237" s="166"/>
      <c r="L9237" s="166"/>
    </row>
    <row r="9238">
      <c r="A9238" s="163" t="s">
        <v>222</v>
      </c>
      <c r="B9238" s="163"/>
      <c r="C9238" s="163"/>
      <c r="J9238" s="165"/>
      <c r="K9238" s="166"/>
      <c r="L9238" s="166"/>
    </row>
    <row r="9239">
      <c r="A9239" s="163" t="s">
        <v>222</v>
      </c>
      <c r="B9239" s="163"/>
      <c r="C9239" s="163"/>
      <c r="J9239" s="165"/>
      <c r="K9239" s="166"/>
      <c r="L9239" s="166"/>
    </row>
    <row r="9240">
      <c r="A9240" s="163" t="s">
        <v>222</v>
      </c>
      <c r="B9240" s="163"/>
      <c r="C9240" s="163"/>
      <c r="J9240" s="165"/>
      <c r="K9240" s="166"/>
      <c r="L9240" s="166"/>
    </row>
    <row r="9241">
      <c r="A9241" s="163" t="s">
        <v>222</v>
      </c>
      <c r="B9241" s="163"/>
      <c r="C9241" s="163"/>
      <c r="J9241" s="165"/>
      <c r="K9241" s="166"/>
      <c r="L9241" s="166"/>
    </row>
    <row r="9242">
      <c r="A9242" s="163" t="s">
        <v>222</v>
      </c>
      <c r="B9242" s="163"/>
      <c r="C9242" s="163"/>
      <c r="J9242" s="165"/>
      <c r="K9242" s="166"/>
      <c r="L9242" s="166"/>
    </row>
    <row r="9243">
      <c r="A9243" s="163" t="s">
        <v>222</v>
      </c>
      <c r="B9243" s="163"/>
      <c r="C9243" s="163"/>
      <c r="J9243" s="165"/>
      <c r="K9243" s="166"/>
      <c r="L9243" s="166"/>
    </row>
    <row r="9244">
      <c r="A9244" s="163" t="s">
        <v>222</v>
      </c>
      <c r="B9244" s="163"/>
      <c r="C9244" s="163"/>
      <c r="J9244" s="165"/>
      <c r="K9244" s="166"/>
      <c r="L9244" s="166"/>
    </row>
    <row r="9245">
      <c r="A9245" s="163" t="s">
        <v>222</v>
      </c>
      <c r="B9245" s="163"/>
      <c r="C9245" s="163"/>
      <c r="J9245" s="165"/>
      <c r="K9245" s="166"/>
      <c r="L9245" s="166"/>
    </row>
    <row r="9246">
      <c r="A9246" s="163" t="s">
        <v>222</v>
      </c>
      <c r="B9246" s="163"/>
      <c r="C9246" s="163"/>
      <c r="J9246" s="165"/>
      <c r="K9246" s="166"/>
      <c r="L9246" s="166"/>
    </row>
    <row r="9247">
      <c r="A9247" s="163" t="s">
        <v>222</v>
      </c>
      <c r="B9247" s="163"/>
      <c r="C9247" s="163"/>
      <c r="J9247" s="165"/>
      <c r="K9247" s="166"/>
      <c r="L9247" s="166"/>
    </row>
    <row r="9248">
      <c r="A9248" s="163" t="s">
        <v>222</v>
      </c>
      <c r="B9248" s="163"/>
      <c r="C9248" s="163"/>
      <c r="J9248" s="165"/>
      <c r="K9248" s="166"/>
      <c r="L9248" s="166"/>
    </row>
    <row r="9249">
      <c r="A9249" s="163" t="s">
        <v>222</v>
      </c>
      <c r="B9249" s="163"/>
      <c r="C9249" s="163"/>
      <c r="J9249" s="165"/>
      <c r="K9249" s="166"/>
      <c r="L9249" s="166"/>
    </row>
    <row r="9250">
      <c r="A9250" s="163" t="s">
        <v>222</v>
      </c>
      <c r="B9250" s="163"/>
      <c r="C9250" s="163"/>
      <c r="J9250" s="165"/>
      <c r="K9250" s="166"/>
      <c r="L9250" s="166"/>
    </row>
    <row r="9251">
      <c r="A9251" s="163" t="s">
        <v>222</v>
      </c>
      <c r="B9251" s="163"/>
      <c r="C9251" s="163"/>
      <c r="J9251" s="165"/>
      <c r="K9251" s="166"/>
      <c r="L9251" s="166"/>
    </row>
    <row r="9252">
      <c r="A9252" s="163" t="s">
        <v>222</v>
      </c>
      <c r="B9252" s="163"/>
      <c r="C9252" s="163"/>
      <c r="J9252" s="165"/>
      <c r="K9252" s="166"/>
      <c r="L9252" s="166"/>
    </row>
    <row r="9253">
      <c r="A9253" s="163" t="s">
        <v>222</v>
      </c>
      <c r="B9253" s="163"/>
      <c r="C9253" s="163"/>
      <c r="J9253" s="165"/>
      <c r="K9253" s="166"/>
      <c r="L9253" s="166"/>
    </row>
    <row r="9254">
      <c r="A9254" s="163" t="s">
        <v>222</v>
      </c>
      <c r="B9254" s="163"/>
      <c r="C9254" s="163"/>
      <c r="J9254" s="165"/>
      <c r="K9254" s="166"/>
      <c r="L9254" s="166"/>
    </row>
    <row r="9255">
      <c r="A9255" s="163" t="s">
        <v>222</v>
      </c>
      <c r="B9255" s="163"/>
      <c r="C9255" s="163"/>
      <c r="J9255" s="165"/>
      <c r="K9255" s="166"/>
      <c r="L9255" s="166"/>
    </row>
    <row r="9256">
      <c r="A9256" s="163" t="s">
        <v>222</v>
      </c>
      <c r="B9256" s="163"/>
      <c r="C9256" s="163"/>
      <c r="J9256" s="165"/>
      <c r="K9256" s="166"/>
      <c r="L9256" s="166"/>
    </row>
    <row r="9257">
      <c r="A9257" s="163" t="s">
        <v>222</v>
      </c>
      <c r="B9257" s="163"/>
      <c r="C9257" s="163"/>
      <c r="J9257" s="165"/>
      <c r="K9257" s="166"/>
      <c r="L9257" s="166"/>
    </row>
    <row r="9258">
      <c r="A9258" s="163" t="s">
        <v>222</v>
      </c>
      <c r="B9258" s="163"/>
      <c r="C9258" s="163"/>
      <c r="J9258" s="165"/>
      <c r="K9258" s="166"/>
      <c r="L9258" s="166"/>
    </row>
    <row r="9259">
      <c r="A9259" s="163" t="s">
        <v>222</v>
      </c>
      <c r="B9259" s="163"/>
      <c r="C9259" s="163"/>
      <c r="J9259" s="165"/>
      <c r="K9259" s="166"/>
      <c r="L9259" s="166"/>
    </row>
    <row r="9260">
      <c r="A9260" s="163" t="s">
        <v>222</v>
      </c>
      <c r="B9260" s="163"/>
      <c r="C9260" s="163"/>
      <c r="J9260" s="165"/>
      <c r="K9260" s="166"/>
      <c r="L9260" s="166"/>
    </row>
    <row r="9261">
      <c r="A9261" s="163" t="s">
        <v>222</v>
      </c>
      <c r="B9261" s="163"/>
      <c r="C9261" s="163"/>
      <c r="J9261" s="165"/>
      <c r="K9261" s="166"/>
      <c r="L9261" s="166"/>
    </row>
    <row r="9262">
      <c r="A9262" s="163" t="s">
        <v>222</v>
      </c>
      <c r="B9262" s="163"/>
      <c r="C9262" s="163"/>
      <c r="J9262" s="165"/>
      <c r="K9262" s="166"/>
      <c r="L9262" s="166"/>
    </row>
    <row r="9263">
      <c r="A9263" s="163" t="s">
        <v>222</v>
      </c>
      <c r="B9263" s="163"/>
      <c r="C9263" s="163"/>
      <c r="J9263" s="165"/>
      <c r="K9263" s="166"/>
      <c r="L9263" s="166"/>
    </row>
    <row r="9264">
      <c r="A9264" s="163" t="s">
        <v>222</v>
      </c>
      <c r="B9264" s="163"/>
      <c r="C9264" s="163"/>
      <c r="J9264" s="165"/>
      <c r="K9264" s="166"/>
      <c r="L9264" s="166"/>
    </row>
    <row r="9265">
      <c r="A9265" s="163" t="s">
        <v>222</v>
      </c>
      <c r="B9265" s="163"/>
      <c r="C9265" s="163"/>
      <c r="J9265" s="165"/>
      <c r="K9265" s="166"/>
      <c r="L9265" s="166"/>
    </row>
    <row r="9266">
      <c r="A9266" s="163" t="s">
        <v>222</v>
      </c>
      <c r="B9266" s="163"/>
      <c r="C9266" s="163"/>
      <c r="J9266" s="165"/>
      <c r="K9266" s="166"/>
      <c r="L9266" s="166"/>
    </row>
    <row r="9267">
      <c r="A9267" s="163" t="s">
        <v>222</v>
      </c>
      <c r="B9267" s="163"/>
      <c r="C9267" s="163"/>
      <c r="J9267" s="165"/>
      <c r="K9267" s="166"/>
      <c r="L9267" s="166"/>
    </row>
    <row r="9268">
      <c r="A9268" s="163" t="s">
        <v>222</v>
      </c>
      <c r="B9268" s="163"/>
      <c r="C9268" s="163"/>
      <c r="J9268" s="165"/>
      <c r="K9268" s="166"/>
      <c r="L9268" s="166"/>
    </row>
    <row r="9269">
      <c r="A9269" s="163" t="s">
        <v>222</v>
      </c>
      <c r="B9269" s="163"/>
      <c r="C9269" s="163"/>
      <c r="J9269" s="165"/>
      <c r="K9269" s="166"/>
      <c r="L9269" s="166"/>
    </row>
    <row r="9270">
      <c r="A9270" s="163" t="s">
        <v>222</v>
      </c>
      <c r="B9270" s="163"/>
      <c r="C9270" s="163"/>
      <c r="J9270" s="165"/>
      <c r="K9270" s="166"/>
      <c r="L9270" s="166"/>
    </row>
    <row r="9271">
      <c r="A9271" s="163" t="s">
        <v>222</v>
      </c>
      <c r="B9271" s="163"/>
      <c r="C9271" s="163"/>
      <c r="J9271" s="165"/>
      <c r="K9271" s="166"/>
      <c r="L9271" s="166"/>
    </row>
    <row r="9272">
      <c r="A9272" s="163" t="s">
        <v>222</v>
      </c>
      <c r="B9272" s="163"/>
      <c r="C9272" s="163"/>
      <c r="J9272" s="165"/>
      <c r="K9272" s="166"/>
      <c r="L9272" s="166"/>
    </row>
    <row r="9273">
      <c r="A9273" s="163" t="s">
        <v>222</v>
      </c>
      <c r="B9273" s="163"/>
      <c r="C9273" s="163"/>
      <c r="J9273" s="165"/>
      <c r="K9273" s="166"/>
      <c r="L9273" s="166"/>
    </row>
    <row r="9274">
      <c r="A9274" s="163" t="s">
        <v>222</v>
      </c>
      <c r="B9274" s="163"/>
      <c r="C9274" s="163"/>
      <c r="J9274" s="165"/>
      <c r="K9274" s="166"/>
      <c r="L9274" s="166"/>
    </row>
    <row r="9275">
      <c r="A9275" s="163" t="s">
        <v>222</v>
      </c>
      <c r="B9275" s="163"/>
      <c r="C9275" s="163"/>
      <c r="J9275" s="165"/>
      <c r="K9275" s="166"/>
      <c r="L9275" s="166"/>
    </row>
    <row r="9276">
      <c r="A9276" s="163" t="s">
        <v>222</v>
      </c>
      <c r="B9276" s="163"/>
      <c r="C9276" s="163"/>
      <c r="J9276" s="165"/>
      <c r="K9276" s="166"/>
      <c r="L9276" s="166"/>
    </row>
    <row r="9277">
      <c r="A9277" s="163" t="s">
        <v>222</v>
      </c>
      <c r="B9277" s="163"/>
      <c r="C9277" s="163"/>
      <c r="J9277" s="165"/>
      <c r="K9277" s="166"/>
      <c r="L9277" s="166"/>
    </row>
    <row r="9278">
      <c r="A9278" s="163" t="s">
        <v>222</v>
      </c>
      <c r="B9278" s="163"/>
      <c r="C9278" s="163"/>
      <c r="J9278" s="165"/>
      <c r="K9278" s="166"/>
      <c r="L9278" s="166"/>
    </row>
    <row r="9279">
      <c r="A9279" s="163" t="s">
        <v>222</v>
      </c>
      <c r="B9279" s="163"/>
      <c r="C9279" s="163"/>
      <c r="J9279" s="165"/>
      <c r="K9279" s="166"/>
      <c r="L9279" s="166"/>
    </row>
    <row r="9280">
      <c r="A9280" s="163" t="s">
        <v>222</v>
      </c>
      <c r="B9280" s="163"/>
      <c r="C9280" s="163"/>
      <c r="J9280" s="165"/>
      <c r="K9280" s="166"/>
      <c r="L9280" s="166"/>
    </row>
    <row r="9281">
      <c r="A9281" s="163" t="s">
        <v>222</v>
      </c>
      <c r="B9281" s="163"/>
      <c r="C9281" s="163"/>
      <c r="J9281" s="165"/>
      <c r="K9281" s="166"/>
      <c r="L9281" s="166"/>
    </row>
    <row r="9282">
      <c r="A9282" s="163" t="s">
        <v>222</v>
      </c>
      <c r="B9282" s="163"/>
      <c r="C9282" s="163"/>
      <c r="J9282" s="165"/>
      <c r="K9282" s="166"/>
      <c r="L9282" s="166"/>
    </row>
    <row r="9283">
      <c r="A9283" s="163" t="s">
        <v>222</v>
      </c>
      <c r="B9283" s="163"/>
      <c r="C9283" s="163"/>
      <c r="J9283" s="165"/>
      <c r="K9283" s="166"/>
      <c r="L9283" s="166"/>
    </row>
    <row r="9284">
      <c r="A9284" s="163" t="s">
        <v>222</v>
      </c>
      <c r="B9284" s="163"/>
      <c r="C9284" s="163"/>
      <c r="J9284" s="165"/>
      <c r="K9284" s="166"/>
      <c r="L9284" s="166"/>
    </row>
    <row r="9285">
      <c r="A9285" s="163" t="s">
        <v>222</v>
      </c>
      <c r="B9285" s="163"/>
      <c r="C9285" s="163"/>
      <c r="J9285" s="165"/>
      <c r="K9285" s="166"/>
      <c r="L9285" s="166"/>
    </row>
    <row r="9286">
      <c r="A9286" s="163" t="s">
        <v>222</v>
      </c>
      <c r="B9286" s="163"/>
      <c r="C9286" s="163"/>
      <c r="J9286" s="165"/>
      <c r="K9286" s="166"/>
      <c r="L9286" s="166"/>
    </row>
    <row r="9287">
      <c r="A9287" s="163" t="s">
        <v>222</v>
      </c>
      <c r="B9287" s="163"/>
      <c r="C9287" s="163"/>
      <c r="J9287" s="165"/>
      <c r="K9287" s="166"/>
      <c r="L9287" s="166"/>
    </row>
    <row r="9288">
      <c r="A9288" s="163" t="s">
        <v>222</v>
      </c>
      <c r="B9288" s="163"/>
      <c r="C9288" s="163"/>
      <c r="J9288" s="165"/>
      <c r="K9288" s="166"/>
      <c r="L9288" s="166"/>
    </row>
    <row r="9289">
      <c r="A9289" s="163" t="s">
        <v>222</v>
      </c>
      <c r="B9289" s="163"/>
      <c r="C9289" s="163"/>
      <c r="J9289" s="165"/>
      <c r="K9289" s="166"/>
      <c r="L9289" s="166"/>
    </row>
    <row r="9290">
      <c r="A9290" s="163" t="s">
        <v>222</v>
      </c>
      <c r="B9290" s="163"/>
      <c r="C9290" s="163"/>
      <c r="J9290" s="165"/>
      <c r="K9290" s="166"/>
      <c r="L9290" s="166"/>
    </row>
    <row r="9291">
      <c r="A9291" s="163" t="s">
        <v>222</v>
      </c>
      <c r="B9291" s="163"/>
      <c r="C9291" s="163"/>
      <c r="J9291" s="165"/>
      <c r="K9291" s="166"/>
      <c r="L9291" s="166"/>
    </row>
    <row r="9292">
      <c r="A9292" s="163" t="s">
        <v>222</v>
      </c>
      <c r="B9292" s="163"/>
      <c r="C9292" s="163"/>
      <c r="J9292" s="165"/>
      <c r="K9292" s="166"/>
      <c r="L9292" s="166"/>
    </row>
    <row r="9293">
      <c r="A9293" s="163" t="s">
        <v>222</v>
      </c>
      <c r="B9293" s="163"/>
      <c r="C9293" s="163"/>
      <c r="J9293" s="165"/>
      <c r="K9293" s="166"/>
      <c r="L9293" s="166"/>
    </row>
    <row r="9294">
      <c r="A9294" s="163" t="s">
        <v>222</v>
      </c>
      <c r="B9294" s="163"/>
      <c r="C9294" s="163"/>
      <c r="J9294" s="165"/>
      <c r="K9294" s="166"/>
      <c r="L9294" s="166"/>
    </row>
    <row r="9295">
      <c r="A9295" s="163" t="s">
        <v>222</v>
      </c>
      <c r="B9295" s="163"/>
      <c r="C9295" s="163"/>
      <c r="J9295" s="165"/>
      <c r="K9295" s="166"/>
      <c r="L9295" s="166"/>
    </row>
    <row r="9296">
      <c r="A9296" s="163" t="s">
        <v>222</v>
      </c>
      <c r="B9296" s="163"/>
      <c r="C9296" s="163"/>
      <c r="J9296" s="165"/>
      <c r="K9296" s="166"/>
      <c r="L9296" s="166"/>
    </row>
    <row r="9297">
      <c r="A9297" s="163" t="s">
        <v>222</v>
      </c>
      <c r="B9297" s="163"/>
      <c r="C9297" s="163"/>
      <c r="J9297" s="165"/>
      <c r="K9297" s="166"/>
      <c r="L9297" s="166"/>
    </row>
    <row r="9298">
      <c r="A9298" s="163" t="s">
        <v>222</v>
      </c>
      <c r="B9298" s="163"/>
      <c r="C9298" s="163"/>
      <c r="J9298" s="165"/>
      <c r="K9298" s="166"/>
      <c r="L9298" s="166"/>
    </row>
    <row r="9299">
      <c r="A9299" s="163" t="s">
        <v>222</v>
      </c>
      <c r="B9299" s="163"/>
      <c r="C9299" s="163"/>
      <c r="J9299" s="165"/>
      <c r="K9299" s="166"/>
      <c r="L9299" s="166"/>
    </row>
    <row r="9300">
      <c r="A9300" s="163" t="s">
        <v>222</v>
      </c>
      <c r="B9300" s="163"/>
      <c r="C9300" s="163"/>
      <c r="J9300" s="165"/>
      <c r="K9300" s="166"/>
      <c r="L9300" s="166"/>
    </row>
    <row r="9301">
      <c r="A9301" s="163" t="s">
        <v>222</v>
      </c>
      <c r="B9301" s="163"/>
      <c r="C9301" s="163"/>
      <c r="J9301" s="165"/>
      <c r="K9301" s="166"/>
      <c r="L9301" s="166"/>
    </row>
    <row r="9302">
      <c r="A9302" s="163" t="s">
        <v>222</v>
      </c>
      <c r="B9302" s="163"/>
      <c r="C9302" s="163"/>
      <c r="J9302" s="165"/>
      <c r="K9302" s="166"/>
      <c r="L9302" s="166"/>
    </row>
    <row r="9303">
      <c r="A9303" s="163" t="s">
        <v>222</v>
      </c>
      <c r="B9303" s="163"/>
      <c r="C9303" s="163"/>
      <c r="J9303" s="165"/>
      <c r="K9303" s="166"/>
      <c r="L9303" s="166"/>
    </row>
    <row r="9304">
      <c r="A9304" s="163" t="s">
        <v>222</v>
      </c>
      <c r="B9304" s="163"/>
      <c r="C9304" s="163"/>
      <c r="J9304" s="165"/>
      <c r="K9304" s="166"/>
      <c r="L9304" s="166"/>
    </row>
    <row r="9305">
      <c r="A9305" s="163" t="s">
        <v>222</v>
      </c>
      <c r="B9305" s="163"/>
      <c r="C9305" s="163"/>
      <c r="J9305" s="165"/>
      <c r="K9305" s="166"/>
      <c r="L9305" s="166"/>
    </row>
    <row r="9306">
      <c r="A9306" s="163" t="s">
        <v>222</v>
      </c>
      <c r="B9306" s="163"/>
      <c r="C9306" s="163"/>
      <c r="J9306" s="165"/>
      <c r="K9306" s="166"/>
      <c r="L9306" s="166"/>
    </row>
    <row r="9307">
      <c r="A9307" s="163" t="s">
        <v>222</v>
      </c>
      <c r="B9307" s="163"/>
      <c r="C9307" s="163"/>
      <c r="J9307" s="165"/>
      <c r="K9307" s="166"/>
      <c r="L9307" s="166"/>
    </row>
    <row r="9308">
      <c r="A9308" s="163" t="s">
        <v>222</v>
      </c>
      <c r="B9308" s="163"/>
      <c r="C9308" s="163"/>
      <c r="J9308" s="165"/>
      <c r="K9308" s="166"/>
      <c r="L9308" s="166"/>
    </row>
    <row r="9309">
      <c r="A9309" s="163" t="s">
        <v>222</v>
      </c>
      <c r="B9309" s="163"/>
      <c r="C9309" s="163"/>
      <c r="J9309" s="165"/>
      <c r="K9309" s="166"/>
      <c r="L9309" s="166"/>
    </row>
    <row r="9310">
      <c r="A9310" s="163" t="s">
        <v>222</v>
      </c>
      <c r="B9310" s="163"/>
      <c r="C9310" s="163"/>
      <c r="J9310" s="165"/>
      <c r="K9310" s="166"/>
      <c r="L9310" s="166"/>
    </row>
    <row r="9311">
      <c r="A9311" s="163" t="s">
        <v>222</v>
      </c>
      <c r="B9311" s="163"/>
      <c r="C9311" s="163"/>
      <c r="J9311" s="165"/>
      <c r="K9311" s="166"/>
      <c r="L9311" s="166"/>
    </row>
    <row r="9312">
      <c r="A9312" s="163" t="s">
        <v>222</v>
      </c>
      <c r="B9312" s="163"/>
      <c r="C9312" s="163"/>
      <c r="J9312" s="165"/>
      <c r="K9312" s="166"/>
      <c r="L9312" s="166"/>
    </row>
    <row r="9313">
      <c r="A9313" s="163" t="s">
        <v>222</v>
      </c>
      <c r="B9313" s="163"/>
      <c r="C9313" s="163"/>
      <c r="J9313" s="165"/>
      <c r="K9313" s="166"/>
      <c r="L9313" s="166"/>
    </row>
    <row r="9314">
      <c r="A9314" s="163" t="s">
        <v>222</v>
      </c>
      <c r="B9314" s="163"/>
      <c r="C9314" s="163"/>
      <c r="J9314" s="165"/>
      <c r="K9314" s="166"/>
      <c r="L9314" s="166"/>
    </row>
    <row r="9315">
      <c r="A9315" s="163" t="s">
        <v>222</v>
      </c>
      <c r="B9315" s="163"/>
      <c r="C9315" s="163"/>
      <c r="J9315" s="165"/>
      <c r="K9315" s="166"/>
      <c r="L9315" s="166"/>
    </row>
    <row r="9316">
      <c r="A9316" s="163" t="s">
        <v>222</v>
      </c>
      <c r="B9316" s="163"/>
      <c r="C9316" s="163"/>
      <c r="J9316" s="165"/>
      <c r="K9316" s="166"/>
      <c r="L9316" s="166"/>
    </row>
    <row r="9317">
      <c r="A9317" s="163" t="s">
        <v>222</v>
      </c>
      <c r="B9317" s="163"/>
      <c r="C9317" s="163"/>
      <c r="J9317" s="165"/>
      <c r="K9317" s="166"/>
      <c r="L9317" s="166"/>
    </row>
    <row r="9318">
      <c r="A9318" s="163" t="s">
        <v>222</v>
      </c>
      <c r="B9318" s="163"/>
      <c r="C9318" s="163"/>
      <c r="J9318" s="165"/>
      <c r="K9318" s="166"/>
      <c r="L9318" s="166"/>
    </row>
    <row r="9319">
      <c r="A9319" s="163" t="s">
        <v>222</v>
      </c>
      <c r="B9319" s="163"/>
      <c r="C9319" s="163"/>
      <c r="J9319" s="165"/>
      <c r="K9319" s="166"/>
      <c r="L9319" s="166"/>
    </row>
    <row r="9320">
      <c r="A9320" s="163" t="s">
        <v>222</v>
      </c>
      <c r="B9320" s="163"/>
      <c r="C9320" s="163"/>
      <c r="J9320" s="165"/>
      <c r="K9320" s="166"/>
      <c r="L9320" s="166"/>
    </row>
    <row r="9321">
      <c r="A9321" s="163" t="s">
        <v>222</v>
      </c>
      <c r="B9321" s="163"/>
      <c r="C9321" s="163"/>
      <c r="J9321" s="165"/>
      <c r="K9321" s="166"/>
      <c r="L9321" s="166"/>
    </row>
    <row r="9322">
      <c r="A9322" s="163" t="s">
        <v>222</v>
      </c>
      <c r="B9322" s="163"/>
      <c r="C9322" s="163"/>
      <c r="J9322" s="165"/>
      <c r="K9322" s="166"/>
      <c r="L9322" s="166"/>
    </row>
    <row r="9323">
      <c r="A9323" s="163" t="s">
        <v>222</v>
      </c>
      <c r="B9323" s="163"/>
      <c r="C9323" s="163"/>
      <c r="J9323" s="165"/>
      <c r="K9323" s="166"/>
      <c r="L9323" s="166"/>
    </row>
    <row r="9324">
      <c r="A9324" s="163" t="s">
        <v>222</v>
      </c>
      <c r="B9324" s="163"/>
      <c r="C9324" s="163"/>
      <c r="J9324" s="165"/>
      <c r="K9324" s="166"/>
      <c r="L9324" s="166"/>
    </row>
    <row r="9325">
      <c r="A9325" s="163" t="s">
        <v>222</v>
      </c>
      <c r="B9325" s="163"/>
      <c r="C9325" s="163"/>
      <c r="J9325" s="165"/>
      <c r="K9325" s="166"/>
      <c r="L9325" s="166"/>
    </row>
    <row r="9326">
      <c r="A9326" s="163" t="s">
        <v>222</v>
      </c>
      <c r="B9326" s="163"/>
      <c r="C9326" s="163"/>
      <c r="J9326" s="165"/>
      <c r="K9326" s="166"/>
      <c r="L9326" s="166"/>
    </row>
    <row r="9327">
      <c r="A9327" s="163" t="s">
        <v>222</v>
      </c>
      <c r="B9327" s="163"/>
      <c r="C9327" s="163"/>
      <c r="J9327" s="165"/>
      <c r="K9327" s="166"/>
      <c r="L9327" s="166"/>
    </row>
    <row r="9328">
      <c r="A9328" s="163" t="s">
        <v>222</v>
      </c>
      <c r="B9328" s="163"/>
      <c r="C9328" s="163"/>
      <c r="J9328" s="165"/>
      <c r="K9328" s="166"/>
      <c r="L9328" s="166"/>
    </row>
    <row r="9329">
      <c r="A9329" s="163" t="s">
        <v>222</v>
      </c>
      <c r="B9329" s="163"/>
      <c r="C9329" s="163"/>
      <c r="J9329" s="165"/>
      <c r="K9329" s="166"/>
      <c r="L9329" s="166"/>
    </row>
    <row r="9330">
      <c r="A9330" s="163" t="s">
        <v>222</v>
      </c>
      <c r="B9330" s="163"/>
      <c r="C9330" s="163"/>
      <c r="J9330" s="165"/>
      <c r="K9330" s="166"/>
      <c r="L9330" s="166"/>
    </row>
    <row r="9331">
      <c r="A9331" s="163" t="s">
        <v>222</v>
      </c>
      <c r="B9331" s="163"/>
      <c r="C9331" s="163"/>
      <c r="J9331" s="165"/>
      <c r="K9331" s="166"/>
      <c r="L9331" s="166"/>
    </row>
    <row r="9332">
      <c r="A9332" s="163" t="s">
        <v>222</v>
      </c>
      <c r="B9332" s="163"/>
      <c r="C9332" s="163"/>
      <c r="J9332" s="165"/>
      <c r="K9332" s="166"/>
      <c r="L9332" s="166"/>
    </row>
    <row r="9333">
      <c r="A9333" s="163" t="s">
        <v>222</v>
      </c>
      <c r="B9333" s="163"/>
      <c r="C9333" s="163"/>
      <c r="J9333" s="165"/>
      <c r="K9333" s="166"/>
      <c r="L9333" s="166"/>
    </row>
    <row r="9334">
      <c r="A9334" s="163" t="s">
        <v>222</v>
      </c>
      <c r="B9334" s="163"/>
      <c r="C9334" s="163"/>
      <c r="J9334" s="165"/>
      <c r="K9334" s="166"/>
      <c r="L9334" s="166"/>
    </row>
    <row r="9335">
      <c r="A9335" s="163" t="s">
        <v>222</v>
      </c>
      <c r="B9335" s="163"/>
      <c r="C9335" s="163"/>
      <c r="J9335" s="165"/>
      <c r="K9335" s="166"/>
      <c r="L9335" s="166"/>
    </row>
    <row r="9336">
      <c r="A9336" s="163" t="s">
        <v>222</v>
      </c>
      <c r="B9336" s="163"/>
      <c r="C9336" s="163"/>
      <c r="J9336" s="165"/>
      <c r="K9336" s="166"/>
      <c r="L9336" s="166"/>
    </row>
    <row r="9337">
      <c r="A9337" s="163" t="s">
        <v>222</v>
      </c>
      <c r="B9337" s="163"/>
      <c r="C9337" s="163"/>
      <c r="J9337" s="165"/>
      <c r="K9337" s="166"/>
      <c r="L9337" s="166"/>
    </row>
    <row r="9338">
      <c r="A9338" s="163" t="s">
        <v>222</v>
      </c>
      <c r="B9338" s="163"/>
      <c r="C9338" s="163"/>
      <c r="J9338" s="165"/>
      <c r="K9338" s="166"/>
      <c r="L9338" s="166"/>
    </row>
    <row r="9339">
      <c r="A9339" s="163" t="s">
        <v>222</v>
      </c>
      <c r="B9339" s="163"/>
      <c r="C9339" s="163"/>
      <c r="J9339" s="165"/>
      <c r="K9339" s="166"/>
      <c r="L9339" s="166"/>
    </row>
    <row r="9340">
      <c r="A9340" s="163" t="s">
        <v>222</v>
      </c>
      <c r="B9340" s="163"/>
      <c r="C9340" s="163"/>
      <c r="J9340" s="165"/>
      <c r="K9340" s="166"/>
      <c r="L9340" s="166"/>
    </row>
    <row r="9341">
      <c r="A9341" s="163" t="s">
        <v>222</v>
      </c>
      <c r="B9341" s="163"/>
      <c r="C9341" s="163"/>
      <c r="J9341" s="165"/>
      <c r="K9341" s="166"/>
      <c r="L9341" s="166"/>
    </row>
    <row r="9342">
      <c r="A9342" s="163" t="s">
        <v>222</v>
      </c>
      <c r="B9342" s="163"/>
      <c r="C9342" s="163"/>
      <c r="J9342" s="165"/>
      <c r="K9342" s="166"/>
      <c r="L9342" s="166"/>
    </row>
    <row r="9343">
      <c r="A9343" s="163" t="s">
        <v>222</v>
      </c>
      <c r="B9343" s="163"/>
      <c r="C9343" s="163"/>
      <c r="J9343" s="165"/>
      <c r="K9343" s="166"/>
      <c r="L9343" s="166"/>
    </row>
    <row r="9344">
      <c r="A9344" s="163" t="s">
        <v>222</v>
      </c>
      <c r="B9344" s="163"/>
      <c r="C9344" s="163"/>
      <c r="J9344" s="165"/>
      <c r="K9344" s="166"/>
      <c r="L9344" s="166"/>
    </row>
    <row r="9345">
      <c r="A9345" s="163" t="s">
        <v>222</v>
      </c>
      <c r="B9345" s="163"/>
      <c r="C9345" s="163"/>
      <c r="J9345" s="165"/>
      <c r="K9345" s="166"/>
      <c r="L9345" s="166"/>
    </row>
    <row r="9346">
      <c r="A9346" s="163" t="s">
        <v>222</v>
      </c>
      <c r="B9346" s="163"/>
      <c r="C9346" s="163"/>
      <c r="J9346" s="165"/>
      <c r="K9346" s="166"/>
      <c r="L9346" s="166"/>
    </row>
    <row r="9347">
      <c r="A9347" s="163" t="s">
        <v>222</v>
      </c>
      <c r="B9347" s="163"/>
      <c r="C9347" s="163"/>
      <c r="J9347" s="165"/>
      <c r="K9347" s="166"/>
      <c r="L9347" s="166"/>
    </row>
    <row r="9348">
      <c r="A9348" s="163" t="s">
        <v>222</v>
      </c>
      <c r="B9348" s="163"/>
      <c r="C9348" s="163"/>
      <c r="J9348" s="165"/>
      <c r="K9348" s="166"/>
      <c r="L9348" s="166"/>
    </row>
    <row r="9349">
      <c r="A9349" s="163" t="s">
        <v>222</v>
      </c>
      <c r="B9349" s="163"/>
      <c r="C9349" s="163"/>
      <c r="J9349" s="165"/>
      <c r="K9349" s="166"/>
      <c r="L9349" s="166"/>
    </row>
    <row r="9350">
      <c r="A9350" s="163" t="s">
        <v>222</v>
      </c>
      <c r="B9350" s="163"/>
      <c r="C9350" s="163"/>
      <c r="J9350" s="165"/>
      <c r="K9350" s="166"/>
      <c r="L9350" s="166"/>
    </row>
    <row r="9351">
      <c r="A9351" s="163" t="s">
        <v>222</v>
      </c>
      <c r="B9351" s="163"/>
      <c r="C9351" s="163"/>
      <c r="J9351" s="165"/>
      <c r="K9351" s="166"/>
      <c r="L9351" s="166"/>
    </row>
    <row r="9352">
      <c r="A9352" s="163" t="s">
        <v>222</v>
      </c>
      <c r="B9352" s="163"/>
      <c r="C9352" s="163"/>
      <c r="J9352" s="165"/>
      <c r="K9352" s="166"/>
      <c r="L9352" s="166"/>
    </row>
    <row r="9353">
      <c r="A9353" s="163" t="s">
        <v>222</v>
      </c>
      <c r="B9353" s="163"/>
      <c r="C9353" s="163"/>
      <c r="J9353" s="165"/>
      <c r="K9353" s="166"/>
      <c r="L9353" s="166"/>
    </row>
    <row r="9354">
      <c r="A9354" s="163" t="s">
        <v>222</v>
      </c>
      <c r="B9354" s="163"/>
      <c r="C9354" s="163"/>
      <c r="J9354" s="165"/>
      <c r="K9354" s="166"/>
      <c r="L9354" s="166"/>
    </row>
    <row r="9355">
      <c r="A9355" s="163" t="s">
        <v>222</v>
      </c>
      <c r="B9355" s="163"/>
      <c r="C9355" s="163"/>
      <c r="J9355" s="165"/>
      <c r="K9355" s="166"/>
      <c r="L9355" s="166"/>
    </row>
    <row r="9356">
      <c r="A9356" s="163" t="s">
        <v>222</v>
      </c>
      <c r="B9356" s="163"/>
      <c r="C9356" s="163"/>
      <c r="J9356" s="165"/>
      <c r="K9356" s="166"/>
      <c r="L9356" s="166"/>
    </row>
    <row r="9357">
      <c r="A9357" s="163" t="s">
        <v>222</v>
      </c>
      <c r="B9357" s="163"/>
      <c r="C9357" s="163"/>
      <c r="J9357" s="165"/>
      <c r="K9357" s="166"/>
      <c r="L9357" s="166"/>
    </row>
    <row r="9358">
      <c r="A9358" s="163" t="s">
        <v>222</v>
      </c>
      <c r="B9358" s="163"/>
      <c r="C9358" s="163"/>
      <c r="J9358" s="165"/>
      <c r="K9358" s="166"/>
      <c r="L9358" s="166"/>
    </row>
    <row r="9359">
      <c r="A9359" s="163" t="s">
        <v>222</v>
      </c>
      <c r="B9359" s="163"/>
      <c r="C9359" s="163"/>
      <c r="J9359" s="165"/>
      <c r="K9359" s="166"/>
      <c r="L9359" s="166"/>
    </row>
    <row r="9360">
      <c r="A9360" s="163" t="s">
        <v>222</v>
      </c>
      <c r="B9360" s="163"/>
      <c r="C9360" s="163"/>
      <c r="J9360" s="165"/>
      <c r="K9360" s="166"/>
      <c r="L9360" s="166"/>
    </row>
    <row r="9361">
      <c r="A9361" s="163" t="s">
        <v>222</v>
      </c>
      <c r="B9361" s="163"/>
      <c r="C9361" s="163"/>
      <c r="J9361" s="165"/>
      <c r="K9361" s="166"/>
      <c r="L9361" s="166"/>
    </row>
    <row r="9362">
      <c r="A9362" s="163" t="s">
        <v>222</v>
      </c>
      <c r="B9362" s="163"/>
      <c r="C9362" s="163"/>
      <c r="J9362" s="165"/>
      <c r="K9362" s="166"/>
      <c r="L9362" s="166"/>
    </row>
    <row r="9363">
      <c r="A9363" s="163" t="s">
        <v>222</v>
      </c>
      <c r="B9363" s="163"/>
      <c r="C9363" s="163"/>
      <c r="J9363" s="165"/>
      <c r="K9363" s="166"/>
      <c r="L9363" s="166"/>
    </row>
    <row r="9364">
      <c r="A9364" s="163" t="s">
        <v>222</v>
      </c>
      <c r="B9364" s="163"/>
      <c r="C9364" s="163"/>
      <c r="J9364" s="165"/>
      <c r="K9364" s="166"/>
      <c r="L9364" s="166"/>
    </row>
    <row r="9365">
      <c r="A9365" s="163" t="s">
        <v>222</v>
      </c>
      <c r="B9365" s="163"/>
      <c r="C9365" s="163"/>
      <c r="J9365" s="165"/>
      <c r="K9365" s="166"/>
      <c r="L9365" s="166"/>
    </row>
    <row r="9366">
      <c r="A9366" s="163" t="s">
        <v>222</v>
      </c>
      <c r="B9366" s="163"/>
      <c r="C9366" s="163"/>
      <c r="J9366" s="165"/>
      <c r="K9366" s="166"/>
      <c r="L9366" s="166"/>
    </row>
    <row r="9367">
      <c r="A9367" s="163" t="s">
        <v>222</v>
      </c>
      <c r="B9367" s="163"/>
      <c r="C9367" s="163"/>
      <c r="J9367" s="165"/>
      <c r="K9367" s="166"/>
      <c r="L9367" s="166"/>
    </row>
    <row r="9368">
      <c r="A9368" s="163" t="s">
        <v>222</v>
      </c>
      <c r="B9368" s="163"/>
      <c r="C9368" s="163"/>
      <c r="J9368" s="165"/>
      <c r="K9368" s="166"/>
      <c r="L9368" s="166"/>
    </row>
    <row r="9369">
      <c r="A9369" s="163" t="s">
        <v>222</v>
      </c>
      <c r="B9369" s="163"/>
      <c r="C9369" s="163"/>
      <c r="J9369" s="165"/>
      <c r="K9369" s="166"/>
      <c r="L9369" s="166"/>
    </row>
    <row r="9370">
      <c r="A9370" s="163" t="s">
        <v>222</v>
      </c>
      <c r="B9370" s="163"/>
      <c r="C9370" s="163"/>
      <c r="J9370" s="165"/>
      <c r="K9370" s="166"/>
      <c r="L9370" s="166"/>
    </row>
    <row r="9371">
      <c r="A9371" s="163" t="s">
        <v>222</v>
      </c>
      <c r="B9371" s="163"/>
      <c r="C9371" s="163"/>
      <c r="J9371" s="165"/>
      <c r="K9371" s="166"/>
      <c r="L9371" s="166"/>
    </row>
    <row r="9372">
      <c r="A9372" s="163" t="s">
        <v>222</v>
      </c>
      <c r="B9372" s="163"/>
      <c r="C9372" s="163"/>
      <c r="J9372" s="165"/>
      <c r="K9372" s="166"/>
      <c r="L9372" s="166"/>
    </row>
    <row r="9373">
      <c r="A9373" s="163" t="s">
        <v>222</v>
      </c>
      <c r="B9373" s="163"/>
      <c r="C9373" s="163"/>
      <c r="J9373" s="165"/>
      <c r="K9373" s="166"/>
      <c r="L9373" s="166"/>
    </row>
    <row r="9374">
      <c r="A9374" s="163" t="s">
        <v>222</v>
      </c>
      <c r="B9374" s="163"/>
      <c r="C9374" s="163"/>
      <c r="J9374" s="165"/>
      <c r="K9374" s="166"/>
      <c r="L9374" s="166"/>
    </row>
    <row r="9375">
      <c r="A9375" s="163" t="s">
        <v>222</v>
      </c>
      <c r="B9375" s="163"/>
      <c r="C9375" s="163"/>
      <c r="J9375" s="165"/>
      <c r="K9375" s="166"/>
      <c r="L9375" s="166"/>
    </row>
    <row r="9376">
      <c r="A9376" s="163" t="s">
        <v>222</v>
      </c>
      <c r="B9376" s="163"/>
      <c r="C9376" s="163"/>
      <c r="J9376" s="165"/>
      <c r="K9376" s="166"/>
      <c r="L9376" s="166"/>
    </row>
    <row r="9377">
      <c r="A9377" s="163" t="s">
        <v>222</v>
      </c>
      <c r="B9377" s="163"/>
      <c r="C9377" s="163"/>
      <c r="J9377" s="165"/>
      <c r="K9377" s="166"/>
      <c r="L9377" s="166"/>
    </row>
    <row r="9378">
      <c r="A9378" s="163" t="s">
        <v>222</v>
      </c>
      <c r="B9378" s="163"/>
      <c r="C9378" s="163"/>
      <c r="J9378" s="165"/>
      <c r="K9378" s="166"/>
      <c r="L9378" s="166"/>
    </row>
    <row r="9379">
      <c r="A9379" s="163" t="s">
        <v>222</v>
      </c>
      <c r="B9379" s="163"/>
      <c r="C9379" s="163"/>
      <c r="J9379" s="165"/>
      <c r="K9379" s="166"/>
      <c r="L9379" s="166"/>
    </row>
    <row r="9380">
      <c r="A9380" s="163" t="s">
        <v>222</v>
      </c>
      <c r="B9380" s="163"/>
      <c r="C9380" s="163"/>
      <c r="J9380" s="165"/>
      <c r="K9380" s="166"/>
      <c r="L9380" s="166"/>
    </row>
    <row r="9381">
      <c r="A9381" s="163" t="s">
        <v>222</v>
      </c>
      <c r="B9381" s="163"/>
      <c r="C9381" s="163"/>
      <c r="J9381" s="165"/>
      <c r="K9381" s="166"/>
      <c r="L9381" s="166"/>
    </row>
    <row r="9382">
      <c r="A9382" s="163" t="s">
        <v>222</v>
      </c>
      <c r="B9382" s="163"/>
      <c r="C9382" s="163"/>
      <c r="J9382" s="165"/>
      <c r="K9382" s="166"/>
      <c r="L9382" s="166"/>
    </row>
    <row r="9383">
      <c r="A9383" s="163" t="s">
        <v>222</v>
      </c>
      <c r="B9383" s="163"/>
      <c r="C9383" s="163"/>
      <c r="J9383" s="165"/>
      <c r="K9383" s="166"/>
      <c r="L9383" s="166"/>
    </row>
    <row r="9384">
      <c r="A9384" s="163" t="s">
        <v>222</v>
      </c>
      <c r="B9384" s="163"/>
      <c r="C9384" s="163"/>
      <c r="J9384" s="165"/>
      <c r="K9384" s="166"/>
      <c r="L9384" s="166"/>
    </row>
    <row r="9385">
      <c r="A9385" s="163" t="s">
        <v>222</v>
      </c>
      <c r="B9385" s="163"/>
      <c r="C9385" s="163"/>
      <c r="J9385" s="165"/>
      <c r="K9385" s="166"/>
      <c r="L9385" s="166"/>
    </row>
    <row r="9386">
      <c r="A9386" s="163" t="s">
        <v>222</v>
      </c>
      <c r="B9386" s="163"/>
      <c r="C9386" s="163"/>
      <c r="J9386" s="165"/>
      <c r="K9386" s="166"/>
      <c r="L9386" s="166"/>
    </row>
    <row r="9387">
      <c r="A9387" s="163" t="s">
        <v>222</v>
      </c>
      <c r="B9387" s="163"/>
      <c r="C9387" s="163"/>
      <c r="J9387" s="165"/>
      <c r="K9387" s="166"/>
      <c r="L9387" s="166"/>
    </row>
    <row r="9388">
      <c r="A9388" s="163" t="s">
        <v>222</v>
      </c>
      <c r="B9388" s="163"/>
      <c r="C9388" s="163"/>
      <c r="J9388" s="165"/>
      <c r="K9388" s="166"/>
      <c r="L9388" s="166"/>
    </row>
    <row r="9389">
      <c r="A9389" s="163" t="s">
        <v>222</v>
      </c>
      <c r="B9389" s="163"/>
      <c r="C9389" s="163"/>
      <c r="J9389" s="165"/>
      <c r="K9389" s="166"/>
      <c r="L9389" s="166"/>
    </row>
    <row r="9390">
      <c r="A9390" s="163" t="s">
        <v>222</v>
      </c>
      <c r="B9390" s="163"/>
      <c r="C9390" s="163"/>
      <c r="J9390" s="165"/>
      <c r="K9390" s="166"/>
      <c r="L9390" s="166"/>
    </row>
    <row r="9391">
      <c r="A9391" s="163" t="s">
        <v>222</v>
      </c>
      <c r="B9391" s="163"/>
      <c r="C9391" s="163"/>
      <c r="J9391" s="165"/>
      <c r="K9391" s="166"/>
      <c r="L9391" s="166"/>
    </row>
    <row r="9392">
      <c r="A9392" s="163" t="s">
        <v>222</v>
      </c>
      <c r="B9392" s="163"/>
      <c r="C9392" s="163"/>
      <c r="J9392" s="165"/>
      <c r="K9392" s="166"/>
      <c r="L9392" s="166"/>
    </row>
    <row r="9393">
      <c r="A9393" s="163" t="s">
        <v>222</v>
      </c>
      <c r="B9393" s="163"/>
      <c r="C9393" s="163"/>
      <c r="J9393" s="165"/>
      <c r="K9393" s="166"/>
      <c r="L9393" s="166"/>
    </row>
    <row r="9394">
      <c r="A9394" s="163" t="s">
        <v>222</v>
      </c>
      <c r="B9394" s="163"/>
      <c r="C9394" s="163"/>
      <c r="J9394" s="165"/>
      <c r="K9394" s="166"/>
      <c r="L9394" s="166"/>
    </row>
    <row r="9395">
      <c r="A9395" s="163" t="s">
        <v>222</v>
      </c>
      <c r="B9395" s="163"/>
      <c r="C9395" s="163"/>
      <c r="J9395" s="165"/>
      <c r="K9395" s="166"/>
      <c r="L9395" s="166"/>
    </row>
    <row r="9396">
      <c r="A9396" s="163" t="s">
        <v>222</v>
      </c>
      <c r="B9396" s="163"/>
      <c r="C9396" s="163"/>
      <c r="J9396" s="165"/>
      <c r="K9396" s="166"/>
      <c r="L9396" s="166"/>
    </row>
    <row r="9397">
      <c r="A9397" s="163" t="s">
        <v>222</v>
      </c>
      <c r="B9397" s="163"/>
      <c r="C9397" s="163"/>
      <c r="J9397" s="165"/>
      <c r="K9397" s="166"/>
      <c r="L9397" s="166"/>
    </row>
    <row r="9398">
      <c r="A9398" s="163" t="s">
        <v>222</v>
      </c>
      <c r="B9398" s="163"/>
      <c r="C9398" s="163"/>
      <c r="J9398" s="165"/>
      <c r="K9398" s="166"/>
      <c r="L9398" s="166"/>
    </row>
    <row r="9399">
      <c r="A9399" s="163" t="s">
        <v>222</v>
      </c>
      <c r="B9399" s="163"/>
      <c r="C9399" s="163"/>
      <c r="J9399" s="165"/>
      <c r="K9399" s="166"/>
      <c r="L9399" s="166"/>
    </row>
    <row r="9400">
      <c r="A9400" s="163" t="s">
        <v>222</v>
      </c>
      <c r="B9400" s="163"/>
      <c r="C9400" s="163"/>
      <c r="J9400" s="165"/>
      <c r="K9400" s="166"/>
      <c r="L9400" s="166"/>
    </row>
    <row r="9401">
      <c r="A9401" s="163" t="s">
        <v>222</v>
      </c>
      <c r="B9401" s="163"/>
      <c r="C9401" s="163"/>
      <c r="J9401" s="165"/>
      <c r="K9401" s="166"/>
      <c r="L9401" s="166"/>
    </row>
    <row r="9402">
      <c r="A9402" s="163" t="s">
        <v>222</v>
      </c>
      <c r="B9402" s="163"/>
      <c r="C9402" s="163"/>
      <c r="J9402" s="165"/>
      <c r="K9402" s="166"/>
      <c r="L9402" s="166"/>
    </row>
    <row r="9403">
      <c r="A9403" s="163" t="s">
        <v>222</v>
      </c>
      <c r="B9403" s="163"/>
      <c r="C9403" s="163"/>
      <c r="J9403" s="165"/>
      <c r="K9403" s="166"/>
      <c r="L9403" s="166"/>
    </row>
    <row r="9404">
      <c r="A9404" s="163" t="s">
        <v>222</v>
      </c>
      <c r="B9404" s="163"/>
      <c r="C9404" s="163"/>
      <c r="J9404" s="165"/>
      <c r="K9404" s="166"/>
      <c r="L9404" s="166"/>
    </row>
    <row r="9405">
      <c r="A9405" s="163" t="s">
        <v>222</v>
      </c>
      <c r="B9405" s="163"/>
      <c r="C9405" s="163"/>
      <c r="J9405" s="165"/>
      <c r="K9405" s="166"/>
      <c r="L9405" s="166"/>
    </row>
    <row r="9406">
      <c r="A9406" s="163" t="s">
        <v>222</v>
      </c>
      <c r="B9406" s="163"/>
      <c r="C9406" s="163"/>
      <c r="J9406" s="165"/>
      <c r="K9406" s="166"/>
      <c r="L9406" s="166"/>
    </row>
    <row r="9407">
      <c r="A9407" s="163" t="s">
        <v>222</v>
      </c>
      <c r="B9407" s="163"/>
      <c r="C9407" s="163"/>
      <c r="J9407" s="165"/>
      <c r="K9407" s="166"/>
      <c r="L9407" s="166"/>
    </row>
    <row r="9408">
      <c r="A9408" s="163" t="s">
        <v>222</v>
      </c>
      <c r="B9408" s="163"/>
      <c r="C9408" s="163"/>
      <c r="J9408" s="165"/>
      <c r="K9408" s="166"/>
      <c r="L9408" s="166"/>
    </row>
    <row r="9409">
      <c r="A9409" s="163" t="s">
        <v>222</v>
      </c>
      <c r="B9409" s="163"/>
      <c r="C9409" s="163"/>
      <c r="J9409" s="165"/>
      <c r="K9409" s="166"/>
      <c r="L9409" s="166"/>
    </row>
    <row r="9410">
      <c r="A9410" s="163" t="s">
        <v>222</v>
      </c>
      <c r="B9410" s="163"/>
      <c r="C9410" s="163"/>
      <c r="J9410" s="165"/>
      <c r="K9410" s="166"/>
      <c r="L9410" s="166"/>
    </row>
    <row r="9411">
      <c r="A9411" s="163" t="s">
        <v>222</v>
      </c>
      <c r="B9411" s="163"/>
      <c r="C9411" s="163"/>
      <c r="J9411" s="165"/>
      <c r="K9411" s="166"/>
      <c r="L9411" s="166"/>
    </row>
    <row r="9412">
      <c r="A9412" s="163" t="s">
        <v>222</v>
      </c>
      <c r="B9412" s="163"/>
      <c r="C9412" s="163"/>
      <c r="J9412" s="165"/>
      <c r="K9412" s="166"/>
      <c r="L9412" s="166"/>
    </row>
    <row r="9413">
      <c r="A9413" s="163" t="s">
        <v>222</v>
      </c>
      <c r="B9413" s="163"/>
      <c r="C9413" s="163"/>
      <c r="J9413" s="165"/>
      <c r="K9413" s="166"/>
      <c r="L9413" s="166"/>
    </row>
    <row r="9414">
      <c r="A9414" s="163" t="s">
        <v>222</v>
      </c>
      <c r="B9414" s="163"/>
      <c r="C9414" s="163"/>
      <c r="J9414" s="165"/>
      <c r="K9414" s="166"/>
      <c r="L9414" s="166"/>
    </row>
    <row r="9415">
      <c r="A9415" s="163" t="s">
        <v>222</v>
      </c>
      <c r="B9415" s="163"/>
      <c r="C9415" s="163"/>
      <c r="J9415" s="165"/>
      <c r="K9415" s="166"/>
      <c r="L9415" s="166"/>
    </row>
    <row r="9416">
      <c r="A9416" s="163" t="s">
        <v>222</v>
      </c>
      <c r="B9416" s="163"/>
      <c r="C9416" s="163"/>
      <c r="J9416" s="165"/>
      <c r="K9416" s="166"/>
      <c r="L9416" s="166"/>
    </row>
    <row r="9417">
      <c r="A9417" s="163" t="s">
        <v>222</v>
      </c>
      <c r="B9417" s="163"/>
      <c r="C9417" s="163"/>
      <c r="J9417" s="165"/>
      <c r="K9417" s="166"/>
      <c r="L9417" s="166"/>
    </row>
    <row r="9418">
      <c r="A9418" s="163" t="s">
        <v>222</v>
      </c>
      <c r="B9418" s="163"/>
      <c r="C9418" s="163"/>
      <c r="J9418" s="165"/>
      <c r="K9418" s="166"/>
      <c r="L9418" s="166"/>
    </row>
    <row r="9419">
      <c r="A9419" s="163" t="s">
        <v>222</v>
      </c>
      <c r="B9419" s="163"/>
      <c r="C9419" s="163"/>
      <c r="J9419" s="165"/>
      <c r="K9419" s="166"/>
      <c r="L9419" s="166"/>
    </row>
    <row r="9420">
      <c r="A9420" s="163" t="s">
        <v>222</v>
      </c>
      <c r="B9420" s="163"/>
      <c r="C9420" s="163"/>
      <c r="J9420" s="165"/>
      <c r="K9420" s="166"/>
      <c r="L9420" s="166"/>
    </row>
    <row r="9421">
      <c r="A9421" s="163" t="s">
        <v>222</v>
      </c>
      <c r="B9421" s="163"/>
      <c r="C9421" s="163"/>
      <c r="J9421" s="165"/>
      <c r="K9421" s="166"/>
      <c r="L9421" s="166"/>
    </row>
    <row r="9422">
      <c r="A9422" s="163" t="s">
        <v>222</v>
      </c>
      <c r="B9422" s="163"/>
      <c r="C9422" s="163"/>
      <c r="J9422" s="165"/>
      <c r="K9422" s="166"/>
      <c r="L9422" s="166"/>
    </row>
    <row r="9423">
      <c r="A9423" s="163" t="s">
        <v>222</v>
      </c>
      <c r="B9423" s="163"/>
      <c r="C9423" s="163"/>
      <c r="J9423" s="165"/>
      <c r="K9423" s="166"/>
      <c r="L9423" s="166"/>
    </row>
    <row r="9424">
      <c r="A9424" s="163" t="s">
        <v>222</v>
      </c>
      <c r="B9424" s="163"/>
      <c r="C9424" s="163"/>
      <c r="J9424" s="165"/>
      <c r="K9424" s="166"/>
      <c r="L9424" s="166"/>
    </row>
    <row r="9425">
      <c r="A9425" s="163" t="s">
        <v>222</v>
      </c>
      <c r="B9425" s="163"/>
      <c r="C9425" s="163"/>
      <c r="J9425" s="165"/>
      <c r="K9425" s="166"/>
      <c r="L9425" s="166"/>
    </row>
    <row r="9426">
      <c r="A9426" s="163" t="s">
        <v>222</v>
      </c>
      <c r="B9426" s="163"/>
      <c r="C9426" s="163"/>
      <c r="J9426" s="165"/>
      <c r="K9426" s="166"/>
      <c r="L9426" s="166"/>
    </row>
    <row r="9427">
      <c r="A9427" s="163" t="s">
        <v>222</v>
      </c>
      <c r="B9427" s="163"/>
      <c r="C9427" s="163"/>
      <c r="J9427" s="165"/>
      <c r="K9427" s="166"/>
      <c r="L9427" s="166"/>
    </row>
    <row r="9428">
      <c r="A9428" s="163" t="s">
        <v>222</v>
      </c>
      <c r="B9428" s="163"/>
      <c r="C9428" s="163"/>
      <c r="J9428" s="165"/>
      <c r="K9428" s="166"/>
      <c r="L9428" s="166"/>
    </row>
    <row r="9429">
      <c r="A9429" s="163" t="s">
        <v>222</v>
      </c>
      <c r="B9429" s="163"/>
      <c r="C9429" s="163"/>
      <c r="J9429" s="165"/>
      <c r="K9429" s="166"/>
      <c r="L9429" s="166"/>
    </row>
    <row r="9430">
      <c r="A9430" s="163" t="s">
        <v>222</v>
      </c>
      <c r="B9430" s="163"/>
      <c r="C9430" s="163"/>
      <c r="J9430" s="165"/>
      <c r="K9430" s="166"/>
      <c r="L9430" s="166"/>
    </row>
    <row r="9431">
      <c r="A9431" s="163" t="s">
        <v>222</v>
      </c>
      <c r="B9431" s="163"/>
      <c r="C9431" s="163"/>
      <c r="J9431" s="165"/>
      <c r="K9431" s="166"/>
      <c r="L9431" s="166"/>
    </row>
    <row r="9432">
      <c r="A9432" s="163" t="s">
        <v>222</v>
      </c>
      <c r="B9432" s="163"/>
      <c r="C9432" s="163"/>
      <c r="J9432" s="165"/>
      <c r="K9432" s="166"/>
      <c r="L9432" s="166"/>
    </row>
    <row r="9433">
      <c r="A9433" s="163" t="s">
        <v>222</v>
      </c>
      <c r="B9433" s="163"/>
      <c r="C9433" s="163"/>
      <c r="J9433" s="165"/>
      <c r="K9433" s="166"/>
      <c r="L9433" s="166"/>
    </row>
    <row r="9434">
      <c r="A9434" s="163" t="s">
        <v>222</v>
      </c>
      <c r="B9434" s="163"/>
      <c r="C9434" s="163"/>
      <c r="J9434" s="165"/>
      <c r="K9434" s="166"/>
      <c r="L9434" s="166"/>
    </row>
    <row r="9435">
      <c r="A9435" s="163" t="s">
        <v>222</v>
      </c>
      <c r="B9435" s="163"/>
      <c r="C9435" s="163"/>
      <c r="J9435" s="165"/>
      <c r="K9435" s="166"/>
      <c r="L9435" s="166"/>
    </row>
    <row r="9436">
      <c r="A9436" s="163" t="s">
        <v>222</v>
      </c>
      <c r="B9436" s="163"/>
      <c r="C9436" s="163"/>
      <c r="J9436" s="165"/>
      <c r="K9436" s="166"/>
      <c r="L9436" s="166"/>
    </row>
    <row r="9437">
      <c r="A9437" s="163" t="s">
        <v>222</v>
      </c>
      <c r="B9437" s="163"/>
      <c r="C9437" s="163"/>
      <c r="J9437" s="165"/>
      <c r="K9437" s="166"/>
      <c r="L9437" s="166"/>
    </row>
    <row r="9438">
      <c r="A9438" s="163" t="s">
        <v>222</v>
      </c>
      <c r="B9438" s="163"/>
      <c r="C9438" s="163"/>
      <c r="J9438" s="165"/>
      <c r="K9438" s="166"/>
      <c r="L9438" s="166"/>
    </row>
    <row r="9439">
      <c r="A9439" s="163" t="s">
        <v>222</v>
      </c>
      <c r="B9439" s="163"/>
      <c r="C9439" s="163"/>
      <c r="J9439" s="165"/>
      <c r="K9439" s="166"/>
      <c r="L9439" s="166"/>
    </row>
    <row r="9440">
      <c r="A9440" s="163" t="s">
        <v>222</v>
      </c>
      <c r="B9440" s="163"/>
      <c r="C9440" s="163"/>
      <c r="J9440" s="165"/>
      <c r="K9440" s="166"/>
      <c r="L9440" s="166"/>
    </row>
    <row r="9441">
      <c r="A9441" s="163" t="s">
        <v>222</v>
      </c>
      <c r="B9441" s="163"/>
      <c r="C9441" s="163"/>
      <c r="J9441" s="165"/>
      <c r="K9441" s="166"/>
      <c r="L9441" s="166"/>
    </row>
    <row r="9442">
      <c r="A9442" s="163" t="s">
        <v>222</v>
      </c>
      <c r="B9442" s="163"/>
      <c r="C9442" s="163"/>
      <c r="J9442" s="165"/>
      <c r="K9442" s="166"/>
      <c r="L9442" s="166"/>
    </row>
    <row r="9443">
      <c r="A9443" s="163" t="s">
        <v>222</v>
      </c>
      <c r="B9443" s="163"/>
      <c r="C9443" s="163"/>
      <c r="J9443" s="165"/>
      <c r="K9443" s="166"/>
      <c r="L9443" s="166"/>
    </row>
    <row r="9444">
      <c r="A9444" s="163" t="s">
        <v>222</v>
      </c>
      <c r="B9444" s="163"/>
      <c r="C9444" s="163"/>
      <c r="J9444" s="165"/>
      <c r="K9444" s="166"/>
      <c r="L9444" s="166"/>
    </row>
    <row r="9445">
      <c r="A9445" s="163" t="s">
        <v>222</v>
      </c>
      <c r="B9445" s="163"/>
      <c r="C9445" s="163"/>
      <c r="J9445" s="165"/>
      <c r="K9445" s="166"/>
      <c r="L9445" s="166"/>
    </row>
    <row r="9446">
      <c r="A9446" s="163" t="s">
        <v>222</v>
      </c>
      <c r="B9446" s="163"/>
      <c r="C9446" s="163"/>
      <c r="J9446" s="165"/>
      <c r="K9446" s="166"/>
      <c r="L9446" s="166"/>
    </row>
    <row r="9447">
      <c r="A9447" s="163" t="s">
        <v>222</v>
      </c>
      <c r="B9447" s="163"/>
      <c r="C9447" s="163"/>
      <c r="J9447" s="165"/>
      <c r="K9447" s="166"/>
      <c r="L9447" s="166"/>
    </row>
    <row r="9448">
      <c r="A9448" s="163" t="s">
        <v>222</v>
      </c>
      <c r="B9448" s="163"/>
      <c r="C9448" s="163"/>
      <c r="J9448" s="165"/>
      <c r="K9448" s="166"/>
      <c r="L9448" s="166"/>
    </row>
    <row r="9449">
      <c r="A9449" s="163" t="s">
        <v>222</v>
      </c>
      <c r="B9449" s="163"/>
      <c r="C9449" s="163"/>
      <c r="J9449" s="165"/>
      <c r="K9449" s="166"/>
      <c r="L9449" s="166"/>
    </row>
    <row r="9450">
      <c r="A9450" s="163" t="s">
        <v>222</v>
      </c>
      <c r="B9450" s="163"/>
      <c r="C9450" s="163"/>
      <c r="J9450" s="165"/>
      <c r="K9450" s="166"/>
      <c r="L9450" s="166"/>
    </row>
    <row r="9451">
      <c r="A9451" s="163" t="s">
        <v>222</v>
      </c>
      <c r="B9451" s="163"/>
      <c r="C9451" s="163"/>
      <c r="J9451" s="165"/>
      <c r="K9451" s="166"/>
      <c r="L9451" s="166"/>
    </row>
    <row r="9452">
      <c r="A9452" s="163" t="s">
        <v>222</v>
      </c>
      <c r="B9452" s="163"/>
      <c r="C9452" s="163"/>
      <c r="J9452" s="165"/>
      <c r="K9452" s="166"/>
      <c r="L9452" s="166"/>
    </row>
    <row r="9453">
      <c r="A9453" s="163" t="s">
        <v>222</v>
      </c>
      <c r="B9453" s="163"/>
      <c r="C9453" s="163"/>
      <c r="J9453" s="165"/>
      <c r="K9453" s="166"/>
      <c r="L9453" s="166"/>
    </row>
    <row r="9454">
      <c r="A9454" s="163" t="s">
        <v>222</v>
      </c>
      <c r="B9454" s="163"/>
      <c r="C9454" s="163"/>
      <c r="J9454" s="165"/>
      <c r="K9454" s="166"/>
      <c r="L9454" s="166"/>
    </row>
    <row r="9455">
      <c r="A9455" s="163" t="s">
        <v>222</v>
      </c>
      <c r="B9455" s="163"/>
      <c r="C9455" s="163"/>
      <c r="J9455" s="165"/>
      <c r="K9455" s="166"/>
      <c r="L9455" s="166"/>
    </row>
    <row r="9456">
      <c r="A9456" s="163" t="s">
        <v>222</v>
      </c>
      <c r="B9456" s="163"/>
      <c r="C9456" s="163"/>
      <c r="J9456" s="165"/>
      <c r="K9456" s="166"/>
      <c r="L9456" s="166"/>
    </row>
    <row r="9457">
      <c r="A9457" s="163" t="s">
        <v>222</v>
      </c>
      <c r="B9457" s="163"/>
      <c r="C9457" s="163"/>
      <c r="J9457" s="165"/>
      <c r="K9457" s="166"/>
      <c r="L9457" s="166"/>
    </row>
    <row r="9458">
      <c r="A9458" s="163" t="s">
        <v>222</v>
      </c>
      <c r="B9458" s="163"/>
      <c r="C9458" s="163"/>
      <c r="J9458" s="165"/>
      <c r="K9458" s="166"/>
      <c r="L9458" s="166"/>
    </row>
    <row r="9459">
      <c r="A9459" s="163" t="s">
        <v>222</v>
      </c>
      <c r="B9459" s="163"/>
      <c r="C9459" s="163"/>
      <c r="J9459" s="165"/>
      <c r="K9459" s="166"/>
      <c r="L9459" s="166"/>
    </row>
    <row r="9460">
      <c r="A9460" s="163" t="s">
        <v>222</v>
      </c>
      <c r="B9460" s="163"/>
      <c r="C9460" s="163"/>
      <c r="J9460" s="165"/>
      <c r="K9460" s="166"/>
      <c r="L9460" s="166"/>
    </row>
    <row r="9461">
      <c r="A9461" s="163" t="s">
        <v>222</v>
      </c>
      <c r="B9461" s="163"/>
      <c r="C9461" s="163"/>
      <c r="J9461" s="165"/>
      <c r="K9461" s="166"/>
      <c r="L9461" s="166"/>
    </row>
    <row r="9462">
      <c r="A9462" s="163" t="s">
        <v>222</v>
      </c>
      <c r="B9462" s="163"/>
      <c r="C9462" s="163"/>
      <c r="J9462" s="165"/>
      <c r="K9462" s="166"/>
      <c r="L9462" s="166"/>
    </row>
    <row r="9463">
      <c r="A9463" s="163" t="s">
        <v>222</v>
      </c>
      <c r="B9463" s="163"/>
      <c r="C9463" s="163"/>
      <c r="J9463" s="165"/>
      <c r="K9463" s="166"/>
      <c r="L9463" s="166"/>
    </row>
    <row r="9464">
      <c r="A9464" s="163" t="s">
        <v>222</v>
      </c>
      <c r="B9464" s="163"/>
      <c r="C9464" s="163"/>
      <c r="J9464" s="165"/>
      <c r="K9464" s="166"/>
      <c r="L9464" s="166"/>
    </row>
    <row r="9465">
      <c r="A9465" s="163" t="s">
        <v>222</v>
      </c>
      <c r="B9465" s="163"/>
      <c r="C9465" s="163"/>
      <c r="J9465" s="165"/>
      <c r="K9465" s="166"/>
      <c r="L9465" s="166"/>
    </row>
    <row r="9466">
      <c r="A9466" s="163" t="s">
        <v>222</v>
      </c>
      <c r="B9466" s="163"/>
      <c r="C9466" s="163"/>
      <c r="J9466" s="165"/>
      <c r="K9466" s="166"/>
      <c r="L9466" s="166"/>
    </row>
    <row r="9467">
      <c r="A9467" s="163" t="s">
        <v>222</v>
      </c>
      <c r="B9467" s="163"/>
      <c r="C9467" s="163"/>
      <c r="J9467" s="165"/>
      <c r="K9467" s="166"/>
      <c r="L9467" s="166"/>
    </row>
    <row r="9468">
      <c r="A9468" s="163" t="s">
        <v>222</v>
      </c>
      <c r="B9468" s="163"/>
      <c r="C9468" s="163"/>
      <c r="J9468" s="165"/>
      <c r="K9468" s="166"/>
      <c r="L9468" s="166"/>
    </row>
    <row r="9469">
      <c r="A9469" s="163" t="s">
        <v>222</v>
      </c>
      <c r="B9469" s="163"/>
      <c r="C9469" s="163"/>
      <c r="J9469" s="165"/>
      <c r="K9469" s="166"/>
      <c r="L9469" s="166"/>
    </row>
    <row r="9470">
      <c r="A9470" s="163" t="s">
        <v>222</v>
      </c>
      <c r="B9470" s="163"/>
      <c r="C9470" s="163"/>
      <c r="J9470" s="165"/>
      <c r="K9470" s="166"/>
      <c r="L9470" s="166"/>
    </row>
    <row r="9471">
      <c r="A9471" s="163" t="s">
        <v>222</v>
      </c>
      <c r="B9471" s="163"/>
      <c r="C9471" s="163"/>
      <c r="J9471" s="165"/>
      <c r="K9471" s="166"/>
      <c r="L9471" s="166"/>
    </row>
    <row r="9472">
      <c r="A9472" s="163" t="s">
        <v>222</v>
      </c>
      <c r="B9472" s="163"/>
      <c r="C9472" s="163"/>
      <c r="J9472" s="165"/>
      <c r="K9472" s="166"/>
      <c r="L9472" s="166"/>
    </row>
    <row r="9473">
      <c r="A9473" s="163" t="s">
        <v>222</v>
      </c>
      <c r="B9473" s="163"/>
      <c r="C9473" s="163"/>
      <c r="J9473" s="165"/>
      <c r="K9473" s="166"/>
      <c r="L9473" s="166"/>
    </row>
    <row r="9474">
      <c r="A9474" s="163" t="s">
        <v>222</v>
      </c>
      <c r="B9474" s="163"/>
      <c r="C9474" s="163"/>
      <c r="J9474" s="165"/>
      <c r="K9474" s="166"/>
      <c r="L9474" s="166"/>
    </row>
    <row r="9475">
      <c r="A9475" s="163" t="s">
        <v>222</v>
      </c>
      <c r="B9475" s="163"/>
      <c r="C9475" s="163"/>
      <c r="J9475" s="165"/>
      <c r="K9475" s="166"/>
      <c r="L9475" s="166"/>
    </row>
    <row r="9476">
      <c r="A9476" s="163" t="s">
        <v>222</v>
      </c>
      <c r="B9476" s="163"/>
      <c r="C9476" s="163"/>
      <c r="J9476" s="165"/>
      <c r="K9476" s="166"/>
      <c r="L9476" s="166"/>
    </row>
    <row r="9477">
      <c r="A9477" s="163" t="s">
        <v>222</v>
      </c>
      <c r="B9477" s="163"/>
      <c r="C9477" s="163"/>
      <c r="J9477" s="165"/>
      <c r="K9477" s="166"/>
      <c r="L9477" s="166"/>
    </row>
    <row r="9478">
      <c r="A9478" s="163" t="s">
        <v>222</v>
      </c>
      <c r="B9478" s="163"/>
      <c r="C9478" s="163"/>
      <c r="J9478" s="165"/>
      <c r="K9478" s="166"/>
      <c r="L9478" s="166"/>
    </row>
    <row r="9479">
      <c r="A9479" s="163" t="s">
        <v>222</v>
      </c>
      <c r="B9479" s="163"/>
      <c r="C9479" s="163"/>
      <c r="J9479" s="165"/>
      <c r="K9479" s="166"/>
      <c r="L9479" s="166"/>
    </row>
    <row r="9480">
      <c r="A9480" s="163" t="s">
        <v>222</v>
      </c>
      <c r="B9480" s="163"/>
      <c r="C9480" s="163"/>
      <c r="J9480" s="165"/>
      <c r="K9480" s="166"/>
      <c r="L9480" s="166"/>
    </row>
    <row r="9481">
      <c r="A9481" s="163" t="s">
        <v>222</v>
      </c>
      <c r="B9481" s="163"/>
      <c r="C9481" s="163"/>
      <c r="J9481" s="165"/>
      <c r="K9481" s="166"/>
      <c r="L9481" s="166"/>
    </row>
    <row r="9482">
      <c r="A9482" s="163" t="s">
        <v>222</v>
      </c>
      <c r="B9482" s="163"/>
      <c r="C9482" s="163"/>
      <c r="J9482" s="165"/>
      <c r="K9482" s="166"/>
      <c r="L9482" s="166"/>
    </row>
    <row r="9483">
      <c r="A9483" s="163" t="s">
        <v>222</v>
      </c>
      <c r="B9483" s="163"/>
      <c r="C9483" s="163"/>
      <c r="J9483" s="165"/>
      <c r="K9483" s="166"/>
      <c r="L9483" s="166"/>
    </row>
    <row r="9484">
      <c r="A9484" s="163" t="s">
        <v>222</v>
      </c>
      <c r="B9484" s="163"/>
      <c r="C9484" s="163"/>
      <c r="J9484" s="165"/>
      <c r="K9484" s="166"/>
      <c r="L9484" s="166"/>
    </row>
    <row r="9485">
      <c r="A9485" s="163" t="s">
        <v>222</v>
      </c>
      <c r="B9485" s="163"/>
      <c r="C9485" s="163"/>
      <c r="J9485" s="165"/>
      <c r="K9485" s="166"/>
      <c r="L9485" s="166"/>
    </row>
    <row r="9486">
      <c r="A9486" s="163" t="s">
        <v>222</v>
      </c>
      <c r="B9486" s="163"/>
      <c r="C9486" s="163"/>
      <c r="J9486" s="165"/>
      <c r="K9486" s="166"/>
      <c r="L9486" s="166"/>
    </row>
    <row r="9487">
      <c r="A9487" s="163" t="s">
        <v>222</v>
      </c>
      <c r="B9487" s="163"/>
      <c r="C9487" s="163"/>
      <c r="J9487" s="165"/>
      <c r="K9487" s="166"/>
      <c r="L9487" s="166"/>
    </row>
    <row r="9488">
      <c r="A9488" s="163" t="s">
        <v>222</v>
      </c>
      <c r="B9488" s="163"/>
      <c r="C9488" s="163"/>
      <c r="J9488" s="165"/>
      <c r="K9488" s="166"/>
      <c r="L9488" s="166"/>
    </row>
    <row r="9489">
      <c r="A9489" s="163" t="s">
        <v>222</v>
      </c>
      <c r="B9489" s="163"/>
      <c r="C9489" s="163"/>
      <c r="J9489" s="165"/>
      <c r="K9489" s="166"/>
      <c r="L9489" s="166"/>
    </row>
    <row r="9490">
      <c r="A9490" s="163" t="s">
        <v>222</v>
      </c>
      <c r="B9490" s="163"/>
      <c r="C9490" s="163"/>
      <c r="J9490" s="165"/>
      <c r="K9490" s="166"/>
      <c r="L9490" s="166"/>
    </row>
    <row r="9491">
      <c r="A9491" s="163" t="s">
        <v>222</v>
      </c>
      <c r="B9491" s="163"/>
      <c r="C9491" s="163"/>
      <c r="J9491" s="165"/>
      <c r="K9491" s="166"/>
      <c r="L9491" s="166"/>
    </row>
    <row r="9492">
      <c r="A9492" s="163" t="s">
        <v>222</v>
      </c>
      <c r="B9492" s="163"/>
      <c r="C9492" s="163"/>
      <c r="J9492" s="165"/>
      <c r="K9492" s="166"/>
      <c r="L9492" s="166"/>
    </row>
    <row r="9493">
      <c r="A9493" s="163" t="s">
        <v>222</v>
      </c>
      <c r="B9493" s="163"/>
      <c r="C9493" s="163"/>
      <c r="J9493" s="165"/>
      <c r="K9493" s="166"/>
      <c r="L9493" s="166"/>
    </row>
    <row r="9494">
      <c r="A9494" s="163" t="s">
        <v>222</v>
      </c>
      <c r="B9494" s="163"/>
      <c r="C9494" s="163"/>
      <c r="J9494" s="165"/>
      <c r="K9494" s="166"/>
      <c r="L9494" s="166"/>
    </row>
    <row r="9495">
      <c r="A9495" s="163" t="s">
        <v>222</v>
      </c>
      <c r="B9495" s="163"/>
      <c r="C9495" s="163"/>
      <c r="J9495" s="165"/>
      <c r="K9495" s="166"/>
      <c r="L9495" s="166"/>
    </row>
    <row r="9496">
      <c r="A9496" s="163" t="s">
        <v>222</v>
      </c>
      <c r="B9496" s="163"/>
      <c r="C9496" s="163"/>
      <c r="J9496" s="165"/>
      <c r="K9496" s="166"/>
      <c r="L9496" s="166"/>
    </row>
    <row r="9497">
      <c r="A9497" s="163" t="s">
        <v>222</v>
      </c>
      <c r="B9497" s="163"/>
      <c r="C9497" s="163"/>
      <c r="J9497" s="165"/>
      <c r="K9497" s="166"/>
      <c r="L9497" s="166"/>
    </row>
    <row r="9498">
      <c r="A9498" s="163" t="s">
        <v>222</v>
      </c>
      <c r="B9498" s="163"/>
      <c r="C9498" s="163"/>
      <c r="J9498" s="165"/>
      <c r="K9498" s="166"/>
      <c r="L9498" s="166"/>
    </row>
    <row r="9499">
      <c r="A9499" s="163" t="s">
        <v>222</v>
      </c>
      <c r="B9499" s="163"/>
      <c r="C9499" s="163"/>
      <c r="J9499" s="165"/>
      <c r="K9499" s="166"/>
      <c r="L9499" s="166"/>
    </row>
    <row r="9500">
      <c r="A9500" s="163" t="s">
        <v>222</v>
      </c>
      <c r="B9500" s="163"/>
      <c r="C9500" s="163"/>
      <c r="J9500" s="165"/>
      <c r="K9500" s="166"/>
      <c r="L9500" s="166"/>
    </row>
    <row r="9501">
      <c r="A9501" s="163" t="s">
        <v>222</v>
      </c>
      <c r="B9501" s="163"/>
      <c r="C9501" s="163"/>
      <c r="J9501" s="165"/>
      <c r="K9501" s="166"/>
      <c r="L9501" s="166"/>
    </row>
    <row r="9502">
      <c r="A9502" s="163" t="s">
        <v>222</v>
      </c>
      <c r="B9502" s="163"/>
      <c r="C9502" s="163"/>
      <c r="J9502" s="165"/>
      <c r="K9502" s="166"/>
      <c r="L9502" s="166"/>
    </row>
    <row r="9503">
      <c r="A9503" s="163" t="s">
        <v>222</v>
      </c>
      <c r="B9503" s="163"/>
      <c r="C9503" s="163"/>
      <c r="J9503" s="165"/>
      <c r="K9503" s="166"/>
      <c r="L9503" s="166"/>
    </row>
    <row r="9504">
      <c r="A9504" s="163" t="s">
        <v>222</v>
      </c>
      <c r="B9504" s="163"/>
      <c r="C9504" s="163"/>
      <c r="J9504" s="165"/>
      <c r="K9504" s="166"/>
      <c r="L9504" s="166"/>
    </row>
    <row r="9505">
      <c r="A9505" s="163" t="s">
        <v>222</v>
      </c>
      <c r="B9505" s="163"/>
      <c r="C9505" s="163"/>
      <c r="J9505" s="165"/>
      <c r="K9505" s="166"/>
      <c r="L9505" s="166"/>
    </row>
    <row r="9506">
      <c r="A9506" s="163" t="s">
        <v>222</v>
      </c>
      <c r="B9506" s="163"/>
      <c r="C9506" s="163"/>
      <c r="J9506" s="165"/>
      <c r="K9506" s="166"/>
      <c r="L9506" s="166"/>
    </row>
    <row r="9507">
      <c r="A9507" s="163" t="s">
        <v>222</v>
      </c>
      <c r="B9507" s="163"/>
      <c r="C9507" s="163"/>
      <c r="J9507" s="165"/>
      <c r="K9507" s="166"/>
      <c r="L9507" s="166"/>
    </row>
    <row r="9508">
      <c r="A9508" s="163" t="s">
        <v>222</v>
      </c>
      <c r="B9508" s="163"/>
      <c r="C9508" s="163"/>
      <c r="J9508" s="165"/>
      <c r="K9508" s="166"/>
      <c r="L9508" s="166"/>
    </row>
    <row r="9509">
      <c r="A9509" s="163" t="s">
        <v>222</v>
      </c>
      <c r="B9509" s="163"/>
      <c r="C9509" s="163"/>
      <c r="J9509" s="165"/>
      <c r="K9509" s="166"/>
      <c r="L9509" s="166"/>
    </row>
    <row r="9510">
      <c r="A9510" s="163" t="s">
        <v>222</v>
      </c>
      <c r="B9510" s="163"/>
      <c r="C9510" s="163"/>
      <c r="J9510" s="165"/>
      <c r="K9510" s="166"/>
      <c r="L9510" s="166"/>
    </row>
    <row r="9511">
      <c r="A9511" s="163" t="s">
        <v>222</v>
      </c>
      <c r="B9511" s="163"/>
      <c r="C9511" s="163"/>
      <c r="J9511" s="165"/>
      <c r="K9511" s="166"/>
      <c r="L9511" s="166"/>
    </row>
    <row r="9512">
      <c r="A9512" s="163" t="s">
        <v>222</v>
      </c>
      <c r="B9512" s="163"/>
      <c r="C9512" s="163"/>
      <c r="J9512" s="165"/>
      <c r="K9512" s="166"/>
      <c r="L9512" s="166"/>
    </row>
    <row r="9513">
      <c r="A9513" s="163" t="s">
        <v>222</v>
      </c>
      <c r="B9513" s="163"/>
      <c r="C9513" s="163"/>
      <c r="J9513" s="165"/>
      <c r="K9513" s="166"/>
      <c r="L9513" s="166"/>
    </row>
    <row r="9514">
      <c r="A9514" s="163" t="s">
        <v>222</v>
      </c>
      <c r="B9514" s="163"/>
      <c r="C9514" s="163"/>
      <c r="J9514" s="165"/>
      <c r="K9514" s="166"/>
      <c r="L9514" s="166"/>
    </row>
    <row r="9515">
      <c r="A9515" s="163" t="s">
        <v>222</v>
      </c>
      <c r="B9515" s="163"/>
      <c r="C9515" s="163"/>
      <c r="J9515" s="165"/>
      <c r="K9515" s="166"/>
      <c r="L9515" s="166"/>
    </row>
    <row r="9516">
      <c r="A9516" s="163" t="s">
        <v>222</v>
      </c>
      <c r="B9516" s="163"/>
      <c r="C9516" s="163"/>
      <c r="J9516" s="165"/>
      <c r="K9516" s="166"/>
      <c r="L9516" s="166"/>
    </row>
    <row r="9517">
      <c r="A9517" s="163" t="s">
        <v>222</v>
      </c>
      <c r="B9517" s="163"/>
      <c r="C9517" s="163"/>
      <c r="J9517" s="165"/>
      <c r="K9517" s="166"/>
      <c r="L9517" s="166"/>
    </row>
    <row r="9518">
      <c r="A9518" s="163" t="s">
        <v>222</v>
      </c>
      <c r="B9518" s="163"/>
      <c r="C9518" s="163"/>
      <c r="J9518" s="165"/>
      <c r="K9518" s="166"/>
      <c r="L9518" s="166"/>
    </row>
    <row r="9519">
      <c r="A9519" s="163" t="s">
        <v>222</v>
      </c>
      <c r="B9519" s="163"/>
      <c r="C9519" s="163"/>
      <c r="J9519" s="165"/>
      <c r="K9519" s="166"/>
      <c r="L9519" s="166"/>
    </row>
    <row r="9520">
      <c r="A9520" s="163" t="s">
        <v>222</v>
      </c>
      <c r="B9520" s="163"/>
      <c r="C9520" s="163"/>
      <c r="J9520" s="165"/>
      <c r="K9520" s="166"/>
      <c r="L9520" s="166"/>
    </row>
    <row r="9521">
      <c r="A9521" s="163" t="s">
        <v>222</v>
      </c>
      <c r="B9521" s="163"/>
      <c r="C9521" s="163"/>
      <c r="J9521" s="165"/>
      <c r="K9521" s="166"/>
      <c r="L9521" s="166"/>
    </row>
    <row r="9522">
      <c r="A9522" s="163" t="s">
        <v>222</v>
      </c>
      <c r="B9522" s="163"/>
      <c r="C9522" s="163"/>
      <c r="J9522" s="165"/>
      <c r="K9522" s="166"/>
      <c r="L9522" s="166"/>
    </row>
    <row r="9523">
      <c r="A9523" s="163" t="s">
        <v>222</v>
      </c>
      <c r="B9523" s="163"/>
      <c r="C9523" s="163"/>
      <c r="J9523" s="165"/>
      <c r="K9523" s="166"/>
      <c r="L9523" s="166"/>
    </row>
    <row r="9524">
      <c r="A9524" s="163" t="s">
        <v>222</v>
      </c>
      <c r="B9524" s="163"/>
      <c r="C9524" s="163"/>
      <c r="J9524" s="165"/>
      <c r="K9524" s="166"/>
      <c r="L9524" s="166"/>
    </row>
    <row r="9525">
      <c r="A9525" s="163" t="s">
        <v>222</v>
      </c>
      <c r="B9525" s="163"/>
      <c r="C9525" s="163"/>
      <c r="J9525" s="165"/>
      <c r="K9525" s="166"/>
      <c r="L9525" s="166"/>
    </row>
    <row r="9526">
      <c r="A9526" s="163" t="s">
        <v>222</v>
      </c>
      <c r="B9526" s="163"/>
      <c r="C9526" s="163"/>
      <c r="J9526" s="165"/>
      <c r="K9526" s="166"/>
      <c r="L9526" s="166"/>
    </row>
    <row r="9527">
      <c r="A9527" s="163" t="s">
        <v>222</v>
      </c>
      <c r="B9527" s="163"/>
      <c r="C9527" s="163"/>
      <c r="J9527" s="165"/>
      <c r="K9527" s="166"/>
      <c r="L9527" s="166"/>
    </row>
    <row r="9528">
      <c r="A9528" s="163" t="s">
        <v>222</v>
      </c>
      <c r="B9528" s="163"/>
      <c r="C9528" s="163"/>
      <c r="J9528" s="165"/>
      <c r="K9528" s="166"/>
      <c r="L9528" s="166"/>
    </row>
    <row r="9529">
      <c r="A9529" s="163" t="s">
        <v>222</v>
      </c>
      <c r="B9529" s="163"/>
      <c r="C9529" s="163"/>
      <c r="J9529" s="165"/>
      <c r="K9529" s="166"/>
      <c r="L9529" s="166"/>
    </row>
    <row r="9530">
      <c r="A9530" s="163" t="s">
        <v>222</v>
      </c>
      <c r="B9530" s="163"/>
      <c r="C9530" s="163"/>
      <c r="J9530" s="165"/>
      <c r="K9530" s="166"/>
      <c r="L9530" s="166"/>
    </row>
    <row r="9531">
      <c r="A9531" s="163" t="s">
        <v>222</v>
      </c>
      <c r="B9531" s="163"/>
      <c r="C9531" s="163"/>
      <c r="J9531" s="165"/>
      <c r="K9531" s="166"/>
      <c r="L9531" s="166"/>
    </row>
    <row r="9532">
      <c r="A9532" s="163" t="s">
        <v>222</v>
      </c>
      <c r="B9532" s="163"/>
      <c r="C9532" s="163"/>
      <c r="J9532" s="165"/>
      <c r="K9532" s="166"/>
      <c r="L9532" s="166"/>
    </row>
    <row r="9533">
      <c r="A9533" s="163" t="s">
        <v>222</v>
      </c>
      <c r="B9533" s="163"/>
      <c r="C9533" s="163"/>
      <c r="J9533" s="165"/>
      <c r="K9533" s="166"/>
      <c r="L9533" s="166"/>
    </row>
    <row r="9534">
      <c r="A9534" s="163" t="s">
        <v>222</v>
      </c>
      <c r="B9534" s="163"/>
      <c r="C9534" s="163"/>
      <c r="J9534" s="165"/>
      <c r="K9534" s="166"/>
      <c r="L9534" s="166"/>
    </row>
    <row r="9535">
      <c r="A9535" s="163" t="s">
        <v>222</v>
      </c>
      <c r="B9535" s="163"/>
      <c r="C9535" s="163"/>
      <c r="J9535" s="165"/>
      <c r="K9535" s="166"/>
      <c r="L9535" s="166"/>
    </row>
    <row r="9536">
      <c r="A9536" s="163" t="s">
        <v>222</v>
      </c>
      <c r="B9536" s="163"/>
      <c r="C9536" s="163"/>
      <c r="J9536" s="165"/>
      <c r="K9536" s="166"/>
      <c r="L9536" s="166"/>
    </row>
    <row r="9537">
      <c r="A9537" s="163" t="s">
        <v>222</v>
      </c>
      <c r="B9537" s="163"/>
      <c r="C9537" s="163"/>
      <c r="J9537" s="165"/>
      <c r="K9537" s="166"/>
      <c r="L9537" s="166"/>
    </row>
    <row r="9538">
      <c r="A9538" s="163" t="s">
        <v>222</v>
      </c>
      <c r="B9538" s="163"/>
      <c r="C9538" s="163"/>
      <c r="J9538" s="165"/>
      <c r="K9538" s="166"/>
      <c r="L9538" s="166"/>
    </row>
    <row r="9539">
      <c r="A9539" s="163" t="s">
        <v>222</v>
      </c>
      <c r="B9539" s="163"/>
      <c r="C9539" s="163"/>
      <c r="J9539" s="165"/>
      <c r="K9539" s="166"/>
      <c r="L9539" s="166"/>
    </row>
    <row r="9540">
      <c r="A9540" s="163" t="s">
        <v>222</v>
      </c>
      <c r="B9540" s="163"/>
      <c r="C9540" s="163"/>
      <c r="J9540" s="165"/>
      <c r="K9540" s="166"/>
      <c r="L9540" s="166"/>
    </row>
    <row r="9541">
      <c r="A9541" s="163" t="s">
        <v>222</v>
      </c>
      <c r="B9541" s="163"/>
      <c r="C9541" s="163"/>
      <c r="J9541" s="165"/>
      <c r="K9541" s="166"/>
      <c r="L9541" s="166"/>
    </row>
    <row r="9542">
      <c r="A9542" s="163" t="s">
        <v>222</v>
      </c>
      <c r="B9542" s="163"/>
      <c r="C9542" s="163"/>
      <c r="J9542" s="165"/>
      <c r="K9542" s="166"/>
      <c r="L9542" s="166"/>
    </row>
    <row r="9543">
      <c r="A9543" s="163" t="s">
        <v>222</v>
      </c>
      <c r="B9543" s="163"/>
      <c r="C9543" s="163"/>
      <c r="J9543" s="165"/>
      <c r="K9543" s="166"/>
      <c r="L9543" s="166"/>
    </row>
    <row r="9544">
      <c r="A9544" s="163" t="s">
        <v>222</v>
      </c>
      <c r="B9544" s="163"/>
      <c r="C9544" s="163"/>
      <c r="J9544" s="165"/>
      <c r="K9544" s="166"/>
      <c r="L9544" s="166"/>
    </row>
    <row r="9545">
      <c r="A9545" s="163" t="s">
        <v>222</v>
      </c>
      <c r="B9545" s="163"/>
      <c r="C9545" s="163"/>
      <c r="J9545" s="165"/>
      <c r="K9545" s="166"/>
      <c r="L9545" s="166"/>
    </row>
    <row r="9546">
      <c r="A9546" s="163" t="s">
        <v>222</v>
      </c>
      <c r="B9546" s="163"/>
      <c r="C9546" s="163"/>
      <c r="J9546" s="165"/>
      <c r="K9546" s="166"/>
      <c r="L9546" s="166"/>
    </row>
    <row r="9547">
      <c r="A9547" s="163" t="s">
        <v>222</v>
      </c>
      <c r="B9547" s="163"/>
      <c r="C9547" s="163"/>
      <c r="J9547" s="165"/>
      <c r="K9547" s="166"/>
      <c r="L9547" s="166"/>
    </row>
    <row r="9548">
      <c r="A9548" s="163" t="s">
        <v>222</v>
      </c>
      <c r="B9548" s="163"/>
      <c r="C9548" s="163"/>
      <c r="J9548" s="165"/>
      <c r="K9548" s="166"/>
      <c r="L9548" s="166"/>
    </row>
    <row r="9549">
      <c r="A9549" s="163" t="s">
        <v>222</v>
      </c>
      <c r="B9549" s="163"/>
      <c r="C9549" s="163"/>
      <c r="J9549" s="165"/>
      <c r="K9549" s="166"/>
      <c r="L9549" s="166"/>
    </row>
    <row r="9550">
      <c r="A9550" s="163" t="s">
        <v>222</v>
      </c>
      <c r="B9550" s="163"/>
      <c r="C9550" s="163"/>
      <c r="J9550" s="165"/>
      <c r="K9550" s="166"/>
      <c r="L9550" s="166"/>
    </row>
    <row r="9551">
      <c r="A9551" s="163" t="s">
        <v>222</v>
      </c>
      <c r="B9551" s="163"/>
      <c r="C9551" s="163"/>
      <c r="J9551" s="165"/>
      <c r="K9551" s="166"/>
      <c r="L9551" s="166"/>
    </row>
    <row r="9552">
      <c r="A9552" s="163" t="s">
        <v>222</v>
      </c>
      <c r="B9552" s="163"/>
      <c r="C9552" s="163"/>
      <c r="J9552" s="165"/>
      <c r="K9552" s="166"/>
      <c r="L9552" s="166"/>
    </row>
    <row r="9553">
      <c r="A9553" s="163" t="s">
        <v>222</v>
      </c>
      <c r="B9553" s="163"/>
      <c r="C9553" s="163"/>
      <c r="J9553" s="165"/>
      <c r="K9553" s="166"/>
      <c r="L9553" s="166"/>
    </row>
    <row r="9554">
      <c r="A9554" s="163" t="s">
        <v>222</v>
      </c>
      <c r="B9554" s="163"/>
      <c r="C9554" s="163"/>
      <c r="J9554" s="165"/>
      <c r="K9554" s="166"/>
      <c r="L9554" s="166"/>
    </row>
    <row r="9555">
      <c r="A9555" s="163" t="s">
        <v>222</v>
      </c>
      <c r="B9555" s="163"/>
      <c r="C9555" s="163"/>
      <c r="J9555" s="165"/>
      <c r="K9555" s="166"/>
      <c r="L9555" s="166"/>
    </row>
    <row r="9556">
      <c r="A9556" s="163" t="s">
        <v>222</v>
      </c>
      <c r="B9556" s="163"/>
      <c r="C9556" s="163"/>
      <c r="J9556" s="165"/>
      <c r="K9556" s="166"/>
      <c r="L9556" s="166"/>
    </row>
    <row r="9557">
      <c r="A9557" s="163" t="s">
        <v>222</v>
      </c>
      <c r="B9557" s="163"/>
      <c r="C9557" s="163"/>
      <c r="J9557" s="165"/>
      <c r="K9557" s="166"/>
      <c r="L9557" s="166"/>
    </row>
    <row r="9558">
      <c r="A9558" s="163" t="s">
        <v>222</v>
      </c>
      <c r="B9558" s="163"/>
      <c r="C9558" s="163"/>
      <c r="J9558" s="165"/>
      <c r="K9558" s="166"/>
      <c r="L9558" s="166"/>
    </row>
    <row r="9559">
      <c r="A9559" s="163" t="s">
        <v>222</v>
      </c>
      <c r="B9559" s="163"/>
      <c r="C9559" s="163"/>
      <c r="J9559" s="165"/>
      <c r="K9559" s="166"/>
      <c r="L9559" s="166"/>
    </row>
    <row r="9560">
      <c r="A9560" s="163" t="s">
        <v>222</v>
      </c>
      <c r="B9560" s="163"/>
      <c r="C9560" s="163"/>
      <c r="J9560" s="165"/>
      <c r="K9560" s="166"/>
      <c r="L9560" s="166"/>
    </row>
    <row r="9561">
      <c r="A9561" s="163" t="s">
        <v>222</v>
      </c>
      <c r="B9561" s="163"/>
      <c r="C9561" s="163"/>
      <c r="J9561" s="165"/>
      <c r="K9561" s="166"/>
      <c r="L9561" s="166"/>
    </row>
    <row r="9562">
      <c r="A9562" s="163" t="s">
        <v>222</v>
      </c>
      <c r="B9562" s="163"/>
      <c r="C9562" s="163"/>
      <c r="J9562" s="165"/>
      <c r="K9562" s="166"/>
      <c r="L9562" s="166"/>
    </row>
    <row r="9563">
      <c r="A9563" s="163" t="s">
        <v>222</v>
      </c>
      <c r="B9563" s="163"/>
      <c r="C9563" s="163"/>
      <c r="J9563" s="165"/>
      <c r="K9563" s="166"/>
      <c r="L9563" s="166"/>
    </row>
    <row r="9564">
      <c r="A9564" s="163" t="s">
        <v>222</v>
      </c>
      <c r="B9564" s="163"/>
      <c r="C9564" s="163"/>
      <c r="J9564" s="165"/>
      <c r="K9564" s="166"/>
      <c r="L9564" s="166"/>
    </row>
    <row r="9565">
      <c r="A9565" s="163" t="s">
        <v>222</v>
      </c>
      <c r="B9565" s="163"/>
      <c r="C9565" s="163"/>
      <c r="J9565" s="165"/>
      <c r="K9565" s="166"/>
      <c r="L9565" s="166"/>
    </row>
    <row r="9566">
      <c r="A9566" s="163" t="s">
        <v>222</v>
      </c>
      <c r="B9566" s="163"/>
      <c r="C9566" s="163"/>
      <c r="J9566" s="165"/>
      <c r="K9566" s="166"/>
      <c r="L9566" s="166"/>
    </row>
    <row r="9567">
      <c r="A9567" s="163" t="s">
        <v>222</v>
      </c>
      <c r="B9567" s="163"/>
      <c r="C9567" s="163"/>
      <c r="J9567" s="165"/>
      <c r="K9567" s="166"/>
      <c r="L9567" s="166"/>
    </row>
    <row r="9568">
      <c r="A9568" s="163" t="s">
        <v>222</v>
      </c>
      <c r="B9568" s="163"/>
      <c r="C9568" s="163"/>
      <c r="J9568" s="165"/>
      <c r="K9568" s="166"/>
      <c r="L9568" s="166"/>
    </row>
    <row r="9569">
      <c r="A9569" s="163" t="s">
        <v>222</v>
      </c>
      <c r="B9569" s="163"/>
      <c r="C9569" s="163"/>
      <c r="J9569" s="165"/>
      <c r="K9569" s="166"/>
      <c r="L9569" s="166"/>
    </row>
    <row r="9570">
      <c r="A9570" s="163" t="s">
        <v>222</v>
      </c>
      <c r="B9570" s="163"/>
      <c r="C9570" s="163"/>
      <c r="J9570" s="165"/>
      <c r="K9570" s="166"/>
      <c r="L9570" s="166"/>
    </row>
    <row r="9571">
      <c r="A9571" s="163" t="s">
        <v>222</v>
      </c>
      <c r="B9571" s="163"/>
      <c r="C9571" s="163"/>
      <c r="J9571" s="165"/>
      <c r="K9571" s="166"/>
      <c r="L9571" s="166"/>
    </row>
    <row r="9572">
      <c r="A9572" s="163" t="s">
        <v>222</v>
      </c>
      <c r="B9572" s="163"/>
      <c r="C9572" s="163"/>
      <c r="J9572" s="165"/>
      <c r="K9572" s="166"/>
      <c r="L9572" s="166"/>
    </row>
    <row r="9573">
      <c r="A9573" s="163" t="s">
        <v>222</v>
      </c>
      <c r="B9573" s="163"/>
      <c r="C9573" s="163"/>
      <c r="J9573" s="165"/>
      <c r="K9573" s="166"/>
      <c r="L9573" s="166"/>
    </row>
    <row r="9574">
      <c r="A9574" s="163" t="s">
        <v>222</v>
      </c>
      <c r="B9574" s="163"/>
      <c r="C9574" s="163"/>
      <c r="J9574" s="165"/>
      <c r="K9574" s="166"/>
      <c r="L9574" s="166"/>
    </row>
    <row r="9575">
      <c r="A9575" s="163" t="s">
        <v>222</v>
      </c>
      <c r="B9575" s="163"/>
      <c r="C9575" s="163"/>
      <c r="J9575" s="165"/>
      <c r="K9575" s="166"/>
      <c r="L9575" s="166"/>
    </row>
    <row r="9576">
      <c r="A9576" s="163" t="s">
        <v>222</v>
      </c>
      <c r="B9576" s="163"/>
      <c r="C9576" s="163"/>
      <c r="J9576" s="165"/>
      <c r="K9576" s="166"/>
      <c r="L9576" s="166"/>
    </row>
    <row r="9577">
      <c r="A9577" s="163" t="s">
        <v>222</v>
      </c>
      <c r="B9577" s="163"/>
      <c r="C9577" s="163"/>
      <c r="J9577" s="165"/>
      <c r="K9577" s="166"/>
      <c r="L9577" s="166"/>
    </row>
    <row r="9578">
      <c r="A9578" s="163" t="s">
        <v>222</v>
      </c>
      <c r="B9578" s="163"/>
      <c r="C9578" s="163"/>
      <c r="J9578" s="165"/>
      <c r="K9578" s="166"/>
      <c r="L9578" s="166"/>
    </row>
    <row r="9579">
      <c r="A9579" s="163" t="s">
        <v>222</v>
      </c>
      <c r="B9579" s="163"/>
      <c r="C9579" s="163"/>
      <c r="J9579" s="165"/>
      <c r="K9579" s="166"/>
      <c r="L9579" s="166"/>
    </row>
    <row r="9580">
      <c r="A9580" s="163" t="s">
        <v>222</v>
      </c>
      <c r="B9580" s="163"/>
      <c r="C9580" s="163"/>
      <c r="J9580" s="165"/>
      <c r="K9580" s="166"/>
      <c r="L9580" s="166"/>
    </row>
    <row r="9581">
      <c r="A9581" s="163" t="s">
        <v>222</v>
      </c>
      <c r="B9581" s="163"/>
      <c r="C9581" s="163"/>
      <c r="J9581" s="165"/>
      <c r="K9581" s="166"/>
      <c r="L9581" s="166"/>
    </row>
    <row r="9582">
      <c r="A9582" s="163" t="s">
        <v>222</v>
      </c>
      <c r="B9582" s="163"/>
      <c r="C9582" s="163"/>
      <c r="J9582" s="165"/>
      <c r="K9582" s="166"/>
      <c r="L9582" s="166"/>
    </row>
    <row r="9583">
      <c r="A9583" s="163" t="s">
        <v>222</v>
      </c>
      <c r="B9583" s="163"/>
      <c r="C9583" s="163"/>
      <c r="J9583" s="165"/>
      <c r="K9583" s="166"/>
      <c r="L9583" s="166"/>
    </row>
    <row r="9584">
      <c r="A9584" s="163" t="s">
        <v>222</v>
      </c>
      <c r="B9584" s="163"/>
      <c r="C9584" s="163"/>
      <c r="J9584" s="165"/>
      <c r="K9584" s="166"/>
      <c r="L9584" s="166"/>
    </row>
    <row r="9585">
      <c r="A9585" s="163" t="s">
        <v>222</v>
      </c>
      <c r="B9585" s="163"/>
      <c r="C9585" s="163"/>
      <c r="J9585" s="165"/>
      <c r="K9585" s="166"/>
      <c r="L9585" s="166"/>
    </row>
    <row r="9586">
      <c r="A9586" s="163" t="s">
        <v>222</v>
      </c>
      <c r="B9586" s="163"/>
      <c r="C9586" s="163"/>
      <c r="J9586" s="165"/>
      <c r="K9586" s="166"/>
      <c r="L9586" s="166"/>
    </row>
    <row r="9587">
      <c r="A9587" s="163" t="s">
        <v>222</v>
      </c>
      <c r="B9587" s="163"/>
      <c r="C9587" s="163"/>
      <c r="J9587" s="165"/>
      <c r="K9587" s="166"/>
      <c r="L9587" s="166"/>
    </row>
    <row r="9588">
      <c r="A9588" s="163" t="s">
        <v>222</v>
      </c>
      <c r="B9588" s="163"/>
      <c r="C9588" s="163"/>
      <c r="J9588" s="165"/>
      <c r="K9588" s="166"/>
      <c r="L9588" s="166"/>
    </row>
    <row r="9589">
      <c r="A9589" s="163" t="s">
        <v>222</v>
      </c>
      <c r="B9589" s="163"/>
      <c r="C9589" s="163"/>
      <c r="J9589" s="165"/>
      <c r="K9589" s="166"/>
      <c r="L9589" s="166"/>
    </row>
    <row r="9590">
      <c r="A9590" s="163" t="s">
        <v>222</v>
      </c>
      <c r="B9590" s="163"/>
      <c r="C9590" s="163"/>
      <c r="J9590" s="165"/>
      <c r="K9590" s="166"/>
      <c r="L9590" s="166"/>
    </row>
    <row r="9591">
      <c r="A9591" s="163" t="s">
        <v>222</v>
      </c>
      <c r="B9591" s="163"/>
      <c r="C9591" s="163"/>
      <c r="J9591" s="165"/>
      <c r="K9591" s="166"/>
      <c r="L9591" s="166"/>
    </row>
    <row r="9592">
      <c r="A9592" s="163" t="s">
        <v>222</v>
      </c>
      <c r="B9592" s="163"/>
      <c r="C9592" s="163"/>
      <c r="J9592" s="165"/>
      <c r="K9592" s="166"/>
      <c r="L9592" s="166"/>
    </row>
    <row r="9593">
      <c r="A9593" s="163" t="s">
        <v>222</v>
      </c>
      <c r="B9593" s="163"/>
      <c r="C9593" s="163"/>
      <c r="J9593" s="165"/>
      <c r="K9593" s="166"/>
      <c r="L9593" s="166"/>
    </row>
    <row r="9594">
      <c r="A9594" s="163" t="s">
        <v>222</v>
      </c>
      <c r="B9594" s="163"/>
      <c r="C9594" s="163"/>
      <c r="J9594" s="165"/>
      <c r="K9594" s="166"/>
      <c r="L9594" s="166"/>
    </row>
    <row r="9595">
      <c r="A9595" s="163" t="s">
        <v>222</v>
      </c>
      <c r="B9595" s="163"/>
      <c r="C9595" s="163"/>
      <c r="J9595" s="165"/>
      <c r="K9595" s="166"/>
      <c r="L9595" s="166"/>
    </row>
    <row r="9596">
      <c r="A9596" s="163" t="s">
        <v>222</v>
      </c>
      <c r="B9596" s="163"/>
      <c r="C9596" s="163"/>
      <c r="J9596" s="165"/>
      <c r="K9596" s="166"/>
      <c r="L9596" s="166"/>
    </row>
    <row r="9597">
      <c r="A9597" s="163" t="s">
        <v>222</v>
      </c>
      <c r="B9597" s="163"/>
      <c r="C9597" s="163"/>
      <c r="J9597" s="165"/>
      <c r="K9597" s="166"/>
      <c r="L9597" s="166"/>
    </row>
    <row r="9598">
      <c r="A9598" s="163" t="s">
        <v>222</v>
      </c>
      <c r="B9598" s="163"/>
      <c r="C9598" s="163"/>
      <c r="J9598" s="165"/>
      <c r="K9598" s="166"/>
      <c r="L9598" s="166"/>
    </row>
    <row r="9599">
      <c r="A9599" s="163" t="s">
        <v>222</v>
      </c>
      <c r="B9599" s="163"/>
      <c r="C9599" s="163"/>
      <c r="J9599" s="165"/>
      <c r="K9599" s="166"/>
      <c r="L9599" s="166"/>
    </row>
    <row r="9600">
      <c r="A9600" s="163" t="s">
        <v>222</v>
      </c>
      <c r="B9600" s="163"/>
      <c r="C9600" s="163"/>
      <c r="J9600" s="165"/>
      <c r="K9600" s="166"/>
      <c r="L9600" s="166"/>
    </row>
    <row r="9601">
      <c r="A9601" s="163" t="s">
        <v>222</v>
      </c>
      <c r="B9601" s="163"/>
      <c r="C9601" s="163"/>
      <c r="J9601" s="165"/>
      <c r="K9601" s="166"/>
      <c r="L9601" s="166"/>
    </row>
    <row r="9602">
      <c r="A9602" s="163" t="s">
        <v>222</v>
      </c>
      <c r="B9602" s="163"/>
      <c r="C9602" s="163"/>
      <c r="J9602" s="165"/>
      <c r="K9602" s="166"/>
      <c r="L9602" s="166"/>
    </row>
    <row r="9603">
      <c r="A9603" s="163" t="s">
        <v>222</v>
      </c>
      <c r="B9603" s="163"/>
      <c r="C9603" s="163"/>
      <c r="J9603" s="165"/>
      <c r="K9603" s="166"/>
      <c r="L9603" s="166"/>
    </row>
    <row r="9604">
      <c r="A9604" s="163" t="s">
        <v>222</v>
      </c>
      <c r="B9604" s="163"/>
      <c r="C9604" s="163"/>
      <c r="J9604" s="165"/>
      <c r="K9604" s="166"/>
      <c r="L9604" s="166"/>
    </row>
    <row r="9605">
      <c r="A9605" s="163" t="s">
        <v>222</v>
      </c>
      <c r="B9605" s="163"/>
      <c r="C9605" s="163"/>
      <c r="J9605" s="165"/>
      <c r="K9605" s="166"/>
      <c r="L9605" s="166"/>
    </row>
    <row r="9606">
      <c r="A9606" s="163" t="s">
        <v>222</v>
      </c>
      <c r="B9606" s="163"/>
      <c r="C9606" s="163"/>
      <c r="J9606" s="165"/>
      <c r="K9606" s="166"/>
      <c r="L9606" s="166"/>
    </row>
    <row r="9607">
      <c r="A9607" s="163" t="s">
        <v>222</v>
      </c>
      <c r="B9607" s="163"/>
      <c r="C9607" s="163"/>
      <c r="J9607" s="165"/>
      <c r="K9607" s="166"/>
      <c r="L9607" s="166"/>
    </row>
    <row r="9608">
      <c r="A9608" s="163" t="s">
        <v>222</v>
      </c>
      <c r="B9608" s="163"/>
      <c r="C9608" s="163"/>
      <c r="J9608" s="165"/>
      <c r="K9608" s="166"/>
      <c r="L9608" s="166"/>
    </row>
    <row r="9609">
      <c r="A9609" s="163" t="s">
        <v>222</v>
      </c>
      <c r="B9609" s="163"/>
      <c r="C9609" s="163"/>
      <c r="J9609" s="165"/>
      <c r="K9609" s="166"/>
      <c r="L9609" s="166"/>
    </row>
    <row r="9610">
      <c r="A9610" s="163" t="s">
        <v>222</v>
      </c>
      <c r="B9610" s="163"/>
      <c r="C9610" s="163"/>
      <c r="J9610" s="165"/>
      <c r="K9610" s="166"/>
      <c r="L9610" s="166"/>
    </row>
    <row r="9611">
      <c r="A9611" s="163" t="s">
        <v>222</v>
      </c>
      <c r="B9611" s="163"/>
      <c r="C9611" s="163"/>
      <c r="J9611" s="165"/>
      <c r="K9611" s="166"/>
      <c r="L9611" s="166"/>
    </row>
    <row r="9612">
      <c r="A9612" s="163" t="s">
        <v>222</v>
      </c>
      <c r="B9612" s="163"/>
      <c r="C9612" s="163"/>
      <c r="J9612" s="165"/>
      <c r="K9612" s="166"/>
      <c r="L9612" s="166"/>
    </row>
    <row r="9613">
      <c r="A9613" s="163" t="s">
        <v>222</v>
      </c>
      <c r="B9613" s="163"/>
      <c r="C9613" s="163"/>
      <c r="J9613" s="165"/>
      <c r="K9613" s="166"/>
      <c r="L9613" s="166"/>
    </row>
    <row r="9614">
      <c r="A9614" s="163" t="s">
        <v>222</v>
      </c>
      <c r="B9614" s="163"/>
      <c r="C9614" s="163"/>
      <c r="J9614" s="165"/>
      <c r="K9614" s="166"/>
      <c r="L9614" s="166"/>
    </row>
    <row r="9615">
      <c r="A9615" s="163" t="s">
        <v>222</v>
      </c>
      <c r="B9615" s="163"/>
      <c r="C9615" s="163"/>
      <c r="J9615" s="165"/>
      <c r="K9615" s="166"/>
      <c r="L9615" s="166"/>
    </row>
    <row r="9616">
      <c r="A9616" s="163" t="s">
        <v>222</v>
      </c>
      <c r="B9616" s="163"/>
      <c r="C9616" s="163"/>
      <c r="J9616" s="165"/>
      <c r="K9616" s="166"/>
      <c r="L9616" s="166"/>
    </row>
    <row r="9617">
      <c r="A9617" s="163" t="s">
        <v>222</v>
      </c>
      <c r="B9617" s="163"/>
      <c r="C9617" s="163"/>
      <c r="J9617" s="165"/>
      <c r="K9617" s="166"/>
      <c r="L9617" s="166"/>
    </row>
    <row r="9618">
      <c r="A9618" s="163" t="s">
        <v>222</v>
      </c>
      <c r="B9618" s="163"/>
      <c r="C9618" s="163"/>
      <c r="J9618" s="165"/>
      <c r="K9618" s="166"/>
      <c r="L9618" s="166"/>
    </row>
    <row r="9619">
      <c r="A9619" s="163" t="s">
        <v>222</v>
      </c>
      <c r="B9619" s="163"/>
      <c r="C9619" s="163"/>
      <c r="J9619" s="165"/>
      <c r="K9619" s="166"/>
      <c r="L9619" s="166"/>
    </row>
    <row r="9620">
      <c r="A9620" s="163" t="s">
        <v>222</v>
      </c>
      <c r="B9620" s="163"/>
      <c r="C9620" s="163"/>
      <c r="J9620" s="165"/>
      <c r="K9620" s="166"/>
      <c r="L9620" s="166"/>
    </row>
    <row r="9621">
      <c r="A9621" s="163" t="s">
        <v>222</v>
      </c>
      <c r="B9621" s="163"/>
      <c r="C9621" s="163"/>
      <c r="J9621" s="165"/>
      <c r="K9621" s="166"/>
      <c r="L9621" s="166"/>
    </row>
    <row r="9622">
      <c r="A9622" s="163" t="s">
        <v>222</v>
      </c>
      <c r="B9622" s="163"/>
      <c r="C9622" s="163"/>
      <c r="J9622" s="165"/>
      <c r="K9622" s="166"/>
      <c r="L9622" s="166"/>
    </row>
    <row r="9623">
      <c r="A9623" s="163" t="s">
        <v>222</v>
      </c>
      <c r="B9623" s="163"/>
      <c r="C9623" s="163"/>
      <c r="J9623" s="165"/>
      <c r="K9623" s="166"/>
      <c r="L9623" s="166"/>
    </row>
    <row r="9624">
      <c r="A9624" s="163" t="s">
        <v>222</v>
      </c>
      <c r="B9624" s="163"/>
      <c r="C9624" s="163"/>
      <c r="J9624" s="165"/>
      <c r="K9624" s="166"/>
      <c r="L9624" s="166"/>
    </row>
    <row r="9625">
      <c r="A9625" s="163" t="s">
        <v>222</v>
      </c>
      <c r="B9625" s="163"/>
      <c r="C9625" s="163"/>
      <c r="J9625" s="165"/>
      <c r="K9625" s="166"/>
      <c r="L9625" s="166"/>
    </row>
    <row r="9626">
      <c r="A9626" s="163" t="s">
        <v>222</v>
      </c>
      <c r="B9626" s="163"/>
      <c r="C9626" s="163"/>
      <c r="J9626" s="165"/>
      <c r="K9626" s="166"/>
      <c r="L9626" s="166"/>
    </row>
    <row r="9627">
      <c r="A9627" s="163" t="s">
        <v>222</v>
      </c>
      <c r="B9627" s="163"/>
      <c r="C9627" s="163"/>
      <c r="J9627" s="165"/>
      <c r="K9627" s="166"/>
      <c r="L9627" s="166"/>
    </row>
    <row r="9628">
      <c r="A9628" s="163" t="s">
        <v>222</v>
      </c>
      <c r="B9628" s="163"/>
      <c r="C9628" s="163"/>
      <c r="J9628" s="165"/>
      <c r="K9628" s="166"/>
      <c r="L9628" s="166"/>
    </row>
    <row r="9629">
      <c r="A9629" s="163" t="s">
        <v>222</v>
      </c>
      <c r="B9629" s="163"/>
      <c r="C9629" s="163"/>
      <c r="J9629" s="165"/>
      <c r="K9629" s="166"/>
      <c r="L9629" s="166"/>
    </row>
    <row r="9630">
      <c r="A9630" s="163" t="s">
        <v>222</v>
      </c>
      <c r="B9630" s="163"/>
      <c r="C9630" s="163"/>
      <c r="J9630" s="165"/>
      <c r="K9630" s="166"/>
      <c r="L9630" s="166"/>
    </row>
    <row r="9631">
      <c r="A9631" s="163" t="s">
        <v>222</v>
      </c>
      <c r="B9631" s="163"/>
      <c r="C9631" s="163"/>
      <c r="J9631" s="165"/>
      <c r="K9631" s="166"/>
      <c r="L9631" s="166"/>
    </row>
    <row r="9632">
      <c r="A9632" s="163" t="s">
        <v>222</v>
      </c>
      <c r="B9632" s="163"/>
      <c r="C9632" s="163"/>
      <c r="J9632" s="165"/>
      <c r="K9632" s="166"/>
      <c r="L9632" s="166"/>
    </row>
    <row r="9633">
      <c r="A9633" s="163" t="s">
        <v>222</v>
      </c>
      <c r="B9633" s="163"/>
      <c r="C9633" s="163"/>
      <c r="J9633" s="165"/>
      <c r="K9633" s="166"/>
      <c r="L9633" s="166"/>
    </row>
    <row r="9634">
      <c r="A9634" s="163" t="s">
        <v>222</v>
      </c>
      <c r="B9634" s="163"/>
      <c r="C9634" s="163"/>
      <c r="J9634" s="165"/>
      <c r="K9634" s="166"/>
      <c r="L9634" s="166"/>
    </row>
    <row r="9635">
      <c r="A9635" s="163" t="s">
        <v>222</v>
      </c>
      <c r="B9635" s="163"/>
      <c r="C9635" s="163"/>
      <c r="J9635" s="165"/>
      <c r="K9635" s="166"/>
      <c r="L9635" s="166"/>
    </row>
    <row r="9636">
      <c r="A9636" s="163" t="s">
        <v>222</v>
      </c>
      <c r="B9636" s="163"/>
      <c r="C9636" s="163"/>
      <c r="J9636" s="165"/>
      <c r="K9636" s="166"/>
      <c r="L9636" s="166"/>
    </row>
    <row r="9637">
      <c r="A9637" s="163" t="s">
        <v>222</v>
      </c>
      <c r="B9637" s="163"/>
      <c r="C9637" s="163"/>
      <c r="J9637" s="165"/>
      <c r="K9637" s="166"/>
      <c r="L9637" s="166"/>
    </row>
    <row r="9638">
      <c r="A9638" s="163" t="s">
        <v>222</v>
      </c>
      <c r="B9638" s="163"/>
      <c r="C9638" s="163"/>
      <c r="J9638" s="165"/>
      <c r="K9638" s="166"/>
      <c r="L9638" s="166"/>
    </row>
    <row r="9639">
      <c r="A9639" s="163" t="s">
        <v>222</v>
      </c>
      <c r="B9639" s="163"/>
      <c r="C9639" s="163"/>
      <c r="J9639" s="165"/>
      <c r="K9639" s="166"/>
      <c r="L9639" s="166"/>
    </row>
    <row r="9640">
      <c r="A9640" s="163" t="s">
        <v>222</v>
      </c>
      <c r="B9640" s="163"/>
      <c r="C9640" s="163"/>
      <c r="J9640" s="165"/>
      <c r="K9640" s="166"/>
      <c r="L9640" s="166"/>
    </row>
    <row r="9641">
      <c r="A9641" s="163" t="s">
        <v>222</v>
      </c>
      <c r="B9641" s="163"/>
      <c r="C9641" s="163"/>
      <c r="J9641" s="165"/>
      <c r="K9641" s="166"/>
      <c r="L9641" s="166"/>
    </row>
    <row r="9642">
      <c r="A9642" s="163" t="s">
        <v>222</v>
      </c>
      <c r="B9642" s="163"/>
      <c r="C9642" s="163"/>
      <c r="J9642" s="165"/>
      <c r="K9642" s="166"/>
      <c r="L9642" s="166"/>
    </row>
    <row r="9643">
      <c r="A9643" s="163" t="s">
        <v>222</v>
      </c>
      <c r="B9643" s="163"/>
      <c r="C9643" s="163"/>
      <c r="J9643" s="165"/>
      <c r="K9643" s="166"/>
      <c r="L9643" s="166"/>
    </row>
    <row r="9644">
      <c r="A9644" s="163" t="s">
        <v>222</v>
      </c>
      <c r="B9644" s="163"/>
      <c r="C9644" s="163"/>
      <c r="J9644" s="165"/>
      <c r="K9644" s="166"/>
      <c r="L9644" s="166"/>
    </row>
    <row r="9645">
      <c r="A9645" s="163" t="s">
        <v>222</v>
      </c>
      <c r="B9645" s="163"/>
      <c r="C9645" s="163"/>
      <c r="J9645" s="165"/>
      <c r="K9645" s="166"/>
      <c r="L9645" s="166"/>
    </row>
    <row r="9646">
      <c r="A9646" s="163" t="s">
        <v>222</v>
      </c>
      <c r="B9646" s="163"/>
      <c r="C9646" s="163"/>
      <c r="J9646" s="165"/>
      <c r="K9646" s="166"/>
      <c r="L9646" s="166"/>
    </row>
    <row r="9647">
      <c r="A9647" s="163" t="s">
        <v>222</v>
      </c>
      <c r="B9647" s="163"/>
      <c r="C9647" s="163"/>
      <c r="J9647" s="165"/>
      <c r="K9647" s="166"/>
      <c r="L9647" s="166"/>
    </row>
    <row r="9648">
      <c r="A9648" s="163" t="s">
        <v>222</v>
      </c>
      <c r="B9648" s="163"/>
      <c r="C9648" s="163"/>
      <c r="J9648" s="165"/>
      <c r="K9648" s="166"/>
      <c r="L9648" s="166"/>
    </row>
    <row r="9649">
      <c r="A9649" s="163" t="s">
        <v>222</v>
      </c>
      <c r="B9649" s="163"/>
      <c r="C9649" s="163"/>
      <c r="J9649" s="165"/>
      <c r="K9649" s="166"/>
      <c r="L9649" s="166"/>
    </row>
    <row r="9650">
      <c r="A9650" s="163" t="s">
        <v>222</v>
      </c>
      <c r="B9650" s="163"/>
      <c r="C9650" s="163"/>
      <c r="J9650" s="165"/>
      <c r="K9650" s="166"/>
      <c r="L9650" s="166"/>
    </row>
    <row r="9651">
      <c r="A9651" s="163" t="s">
        <v>222</v>
      </c>
      <c r="B9651" s="163"/>
      <c r="C9651" s="163"/>
      <c r="J9651" s="165"/>
      <c r="K9651" s="166"/>
      <c r="L9651" s="166"/>
    </row>
    <row r="9652">
      <c r="A9652" s="163" t="s">
        <v>222</v>
      </c>
      <c r="B9652" s="163"/>
      <c r="C9652" s="163"/>
      <c r="J9652" s="165"/>
      <c r="K9652" s="166"/>
      <c r="L9652" s="166"/>
    </row>
    <row r="9653">
      <c r="A9653" s="163" t="s">
        <v>222</v>
      </c>
      <c r="B9653" s="163"/>
      <c r="C9653" s="163"/>
      <c r="J9653" s="165"/>
      <c r="K9653" s="166"/>
      <c r="L9653" s="166"/>
    </row>
    <row r="9654">
      <c r="A9654" s="163" t="s">
        <v>222</v>
      </c>
      <c r="B9654" s="163"/>
      <c r="C9654" s="163"/>
      <c r="J9654" s="165"/>
      <c r="K9654" s="166"/>
      <c r="L9654" s="166"/>
    </row>
    <row r="9655">
      <c r="A9655" s="163" t="s">
        <v>222</v>
      </c>
      <c r="B9655" s="163"/>
      <c r="C9655" s="163"/>
      <c r="J9655" s="165"/>
      <c r="K9655" s="166"/>
      <c r="L9655" s="166"/>
    </row>
    <row r="9656">
      <c r="A9656" s="163" t="s">
        <v>222</v>
      </c>
      <c r="B9656" s="163"/>
      <c r="C9656" s="163"/>
      <c r="J9656" s="165"/>
      <c r="K9656" s="166"/>
      <c r="L9656" s="166"/>
    </row>
    <row r="9657">
      <c r="A9657" s="163" t="s">
        <v>222</v>
      </c>
      <c r="B9657" s="163"/>
      <c r="C9657" s="163"/>
      <c r="J9657" s="165"/>
      <c r="K9657" s="166"/>
      <c r="L9657" s="166"/>
    </row>
    <row r="9658">
      <c r="A9658" s="163" t="s">
        <v>222</v>
      </c>
      <c r="B9658" s="163"/>
      <c r="C9658" s="163"/>
      <c r="J9658" s="165"/>
      <c r="K9658" s="166"/>
      <c r="L9658" s="166"/>
    </row>
    <row r="9659">
      <c r="A9659" s="163" t="s">
        <v>222</v>
      </c>
      <c r="B9659" s="163"/>
      <c r="C9659" s="163"/>
      <c r="J9659" s="165"/>
      <c r="K9659" s="166"/>
      <c r="L9659" s="166"/>
    </row>
    <row r="9660">
      <c r="A9660" s="163" t="s">
        <v>222</v>
      </c>
      <c r="B9660" s="163"/>
      <c r="C9660" s="163"/>
      <c r="J9660" s="165"/>
      <c r="K9660" s="166"/>
      <c r="L9660" s="166"/>
    </row>
    <row r="9661">
      <c r="A9661" s="163" t="s">
        <v>222</v>
      </c>
      <c r="B9661" s="163"/>
      <c r="C9661" s="163"/>
      <c r="J9661" s="165"/>
      <c r="K9661" s="166"/>
      <c r="L9661" s="166"/>
    </row>
    <row r="9662">
      <c r="A9662" s="163" t="s">
        <v>222</v>
      </c>
      <c r="B9662" s="163"/>
      <c r="C9662" s="163"/>
      <c r="J9662" s="165"/>
      <c r="K9662" s="166"/>
      <c r="L9662" s="166"/>
    </row>
    <row r="9663">
      <c r="A9663" s="163" t="s">
        <v>222</v>
      </c>
      <c r="B9663" s="163"/>
      <c r="C9663" s="163"/>
      <c r="J9663" s="165"/>
      <c r="K9663" s="166"/>
      <c r="L9663" s="166"/>
    </row>
    <row r="9664">
      <c r="A9664" s="163" t="s">
        <v>222</v>
      </c>
      <c r="B9664" s="163"/>
      <c r="C9664" s="163"/>
      <c r="J9664" s="165"/>
      <c r="K9664" s="166"/>
      <c r="L9664" s="166"/>
    </row>
    <row r="9665">
      <c r="A9665" s="163" t="s">
        <v>222</v>
      </c>
      <c r="B9665" s="163"/>
      <c r="C9665" s="163"/>
      <c r="J9665" s="165"/>
      <c r="K9665" s="166"/>
      <c r="L9665" s="166"/>
    </row>
    <row r="9666">
      <c r="A9666" s="163" t="s">
        <v>222</v>
      </c>
      <c r="B9666" s="163"/>
      <c r="C9666" s="163"/>
      <c r="J9666" s="165"/>
      <c r="K9666" s="166"/>
      <c r="L9666" s="166"/>
    </row>
    <row r="9667">
      <c r="A9667" s="163" t="s">
        <v>222</v>
      </c>
      <c r="B9667" s="163"/>
      <c r="C9667" s="163"/>
      <c r="J9667" s="165"/>
      <c r="K9667" s="166"/>
      <c r="L9667" s="166"/>
    </row>
    <row r="9668">
      <c r="A9668" s="163" t="s">
        <v>222</v>
      </c>
      <c r="B9668" s="163"/>
      <c r="C9668" s="163"/>
      <c r="J9668" s="165"/>
      <c r="K9668" s="166"/>
      <c r="L9668" s="166"/>
    </row>
    <row r="9669">
      <c r="A9669" s="163" t="s">
        <v>222</v>
      </c>
      <c r="B9669" s="163"/>
      <c r="C9669" s="163"/>
      <c r="J9669" s="165"/>
      <c r="K9669" s="166"/>
      <c r="L9669" s="166"/>
    </row>
    <row r="9670">
      <c r="A9670" s="163" t="s">
        <v>222</v>
      </c>
      <c r="B9670" s="163"/>
      <c r="C9670" s="163"/>
      <c r="J9670" s="165"/>
      <c r="K9670" s="166"/>
      <c r="L9670" s="166"/>
    </row>
    <row r="9671">
      <c r="A9671" s="163" t="s">
        <v>222</v>
      </c>
      <c r="B9671" s="163"/>
      <c r="C9671" s="163"/>
      <c r="J9671" s="165"/>
      <c r="K9671" s="166"/>
      <c r="L9671" s="166"/>
    </row>
    <row r="9672">
      <c r="A9672" s="163" t="s">
        <v>222</v>
      </c>
      <c r="B9672" s="163"/>
      <c r="C9672" s="163"/>
      <c r="J9672" s="165"/>
      <c r="K9672" s="166"/>
      <c r="L9672" s="166"/>
    </row>
    <row r="9673">
      <c r="A9673" s="163" t="s">
        <v>222</v>
      </c>
      <c r="B9673" s="163"/>
      <c r="C9673" s="163"/>
      <c r="J9673" s="165"/>
      <c r="K9673" s="166"/>
      <c r="L9673" s="166"/>
    </row>
    <row r="9674">
      <c r="A9674" s="163" t="s">
        <v>222</v>
      </c>
      <c r="B9674" s="163"/>
      <c r="C9674" s="163"/>
      <c r="J9674" s="165"/>
      <c r="K9674" s="166"/>
      <c r="L9674" s="166"/>
    </row>
    <row r="9675">
      <c r="A9675" s="163" t="s">
        <v>222</v>
      </c>
      <c r="B9675" s="163"/>
      <c r="C9675" s="163"/>
      <c r="J9675" s="165"/>
      <c r="K9675" s="166"/>
      <c r="L9675" s="166"/>
    </row>
    <row r="9676">
      <c r="A9676" s="163" t="s">
        <v>222</v>
      </c>
      <c r="B9676" s="163"/>
      <c r="C9676" s="163"/>
      <c r="J9676" s="165"/>
      <c r="K9676" s="166"/>
      <c r="L9676" s="166"/>
    </row>
    <row r="9677">
      <c r="A9677" s="163" t="s">
        <v>222</v>
      </c>
      <c r="B9677" s="163"/>
      <c r="C9677" s="163"/>
      <c r="J9677" s="165"/>
      <c r="K9677" s="166"/>
      <c r="L9677" s="166"/>
    </row>
    <row r="9678">
      <c r="A9678" s="163" t="s">
        <v>222</v>
      </c>
      <c r="B9678" s="163"/>
      <c r="C9678" s="163"/>
      <c r="J9678" s="165"/>
      <c r="K9678" s="166"/>
      <c r="L9678" s="166"/>
    </row>
    <row r="9679">
      <c r="A9679" s="163" t="s">
        <v>222</v>
      </c>
      <c r="B9679" s="163"/>
      <c r="C9679" s="163"/>
      <c r="J9679" s="165"/>
      <c r="K9679" s="166"/>
      <c r="L9679" s="166"/>
    </row>
    <row r="9680">
      <c r="A9680" s="163" t="s">
        <v>222</v>
      </c>
      <c r="B9680" s="163"/>
      <c r="C9680" s="163"/>
      <c r="J9680" s="165"/>
      <c r="K9680" s="166"/>
      <c r="L9680" s="166"/>
    </row>
    <row r="9681">
      <c r="A9681" s="163" t="s">
        <v>222</v>
      </c>
      <c r="B9681" s="163"/>
      <c r="C9681" s="163"/>
      <c r="J9681" s="165"/>
      <c r="K9681" s="166"/>
      <c r="L9681" s="166"/>
    </row>
    <row r="9682">
      <c r="A9682" s="163" t="s">
        <v>222</v>
      </c>
      <c r="B9682" s="163"/>
      <c r="C9682" s="163"/>
      <c r="J9682" s="165"/>
      <c r="K9682" s="166"/>
      <c r="L9682" s="166"/>
    </row>
    <row r="9683">
      <c r="A9683" s="163" t="s">
        <v>222</v>
      </c>
      <c r="B9683" s="163"/>
      <c r="C9683" s="163"/>
      <c r="J9683" s="165"/>
      <c r="K9683" s="166"/>
      <c r="L9683" s="166"/>
    </row>
    <row r="9684">
      <c r="A9684" s="163" t="s">
        <v>222</v>
      </c>
      <c r="B9684" s="163"/>
      <c r="C9684" s="163"/>
      <c r="J9684" s="165"/>
      <c r="K9684" s="166"/>
      <c r="L9684" s="166"/>
    </row>
    <row r="9685">
      <c r="A9685" s="163" t="s">
        <v>222</v>
      </c>
      <c r="B9685" s="163"/>
      <c r="C9685" s="163"/>
      <c r="J9685" s="165"/>
      <c r="K9685" s="166"/>
      <c r="L9685" s="166"/>
    </row>
    <row r="9686">
      <c r="A9686" s="163" t="s">
        <v>222</v>
      </c>
      <c r="B9686" s="163"/>
      <c r="C9686" s="163"/>
      <c r="J9686" s="165"/>
      <c r="K9686" s="166"/>
      <c r="L9686" s="166"/>
    </row>
    <row r="9687">
      <c r="A9687" s="163" t="s">
        <v>222</v>
      </c>
      <c r="B9687" s="163"/>
      <c r="C9687" s="163"/>
      <c r="J9687" s="165"/>
      <c r="K9687" s="166"/>
      <c r="L9687" s="166"/>
    </row>
    <row r="9688">
      <c r="A9688" s="163" t="s">
        <v>222</v>
      </c>
      <c r="B9688" s="163"/>
      <c r="C9688" s="163"/>
      <c r="J9688" s="165"/>
      <c r="K9688" s="166"/>
      <c r="L9688" s="166"/>
    </row>
    <row r="9689">
      <c r="A9689" s="163" t="s">
        <v>222</v>
      </c>
      <c r="B9689" s="163"/>
      <c r="C9689" s="163"/>
      <c r="J9689" s="165"/>
      <c r="K9689" s="166"/>
      <c r="L9689" s="166"/>
    </row>
    <row r="9690">
      <c r="A9690" s="163" t="s">
        <v>222</v>
      </c>
      <c r="B9690" s="163"/>
      <c r="C9690" s="163"/>
      <c r="J9690" s="165"/>
      <c r="K9690" s="166"/>
      <c r="L9690" s="166"/>
    </row>
    <row r="9691">
      <c r="A9691" s="163" t="s">
        <v>222</v>
      </c>
      <c r="B9691" s="163"/>
      <c r="C9691" s="163"/>
      <c r="J9691" s="165"/>
      <c r="K9691" s="166"/>
      <c r="L9691" s="166"/>
    </row>
    <row r="9692">
      <c r="A9692" s="163" t="s">
        <v>222</v>
      </c>
      <c r="B9692" s="163"/>
      <c r="C9692" s="163"/>
      <c r="J9692" s="165"/>
      <c r="K9692" s="166"/>
      <c r="L9692" s="166"/>
    </row>
    <row r="9693">
      <c r="A9693" s="163" t="s">
        <v>222</v>
      </c>
      <c r="B9693" s="163"/>
      <c r="C9693" s="163"/>
      <c r="J9693" s="165"/>
      <c r="K9693" s="166"/>
      <c r="L9693" s="166"/>
    </row>
    <row r="9694">
      <c r="A9694" s="163" t="s">
        <v>222</v>
      </c>
      <c r="B9694" s="163"/>
      <c r="C9694" s="163"/>
      <c r="J9694" s="165"/>
      <c r="K9694" s="166"/>
      <c r="L9694" s="166"/>
    </row>
    <row r="9695">
      <c r="A9695" s="163" t="s">
        <v>222</v>
      </c>
      <c r="B9695" s="163"/>
      <c r="C9695" s="163"/>
      <c r="J9695" s="165"/>
      <c r="K9695" s="166"/>
      <c r="L9695" s="166"/>
    </row>
    <row r="9696">
      <c r="A9696" s="163" t="s">
        <v>222</v>
      </c>
      <c r="B9696" s="163"/>
      <c r="C9696" s="163"/>
      <c r="J9696" s="165"/>
      <c r="K9696" s="166"/>
      <c r="L9696" s="166"/>
    </row>
    <row r="9697">
      <c r="A9697" s="163" t="s">
        <v>222</v>
      </c>
      <c r="B9697" s="163"/>
      <c r="C9697" s="163"/>
      <c r="J9697" s="165"/>
      <c r="K9697" s="166"/>
      <c r="L9697" s="166"/>
    </row>
    <row r="9698">
      <c r="A9698" s="163" t="s">
        <v>222</v>
      </c>
      <c r="B9698" s="163"/>
      <c r="C9698" s="163"/>
      <c r="J9698" s="165"/>
      <c r="K9698" s="166"/>
      <c r="L9698" s="166"/>
    </row>
    <row r="9699">
      <c r="A9699" s="163" t="s">
        <v>222</v>
      </c>
      <c r="B9699" s="163"/>
      <c r="C9699" s="163"/>
      <c r="J9699" s="165"/>
      <c r="K9699" s="166"/>
      <c r="L9699" s="166"/>
    </row>
    <row r="9700">
      <c r="A9700" s="163" t="s">
        <v>222</v>
      </c>
      <c r="B9700" s="163"/>
      <c r="C9700" s="163"/>
      <c r="J9700" s="165"/>
      <c r="K9700" s="166"/>
      <c r="L9700" s="166"/>
    </row>
    <row r="9701">
      <c r="A9701" s="163" t="s">
        <v>222</v>
      </c>
      <c r="B9701" s="163"/>
      <c r="C9701" s="163"/>
      <c r="J9701" s="165"/>
      <c r="K9701" s="166"/>
      <c r="L9701" s="166"/>
    </row>
    <row r="9702">
      <c r="A9702" s="163" t="s">
        <v>222</v>
      </c>
      <c r="B9702" s="163"/>
      <c r="C9702" s="163"/>
      <c r="J9702" s="165"/>
      <c r="K9702" s="166"/>
      <c r="L9702" s="166"/>
    </row>
    <row r="9703">
      <c r="A9703" s="163" t="s">
        <v>222</v>
      </c>
      <c r="B9703" s="163"/>
      <c r="C9703" s="163"/>
      <c r="J9703" s="165"/>
      <c r="K9703" s="166"/>
      <c r="L9703" s="166"/>
    </row>
    <row r="9704">
      <c r="A9704" s="163" t="s">
        <v>222</v>
      </c>
      <c r="B9704" s="163"/>
      <c r="C9704" s="163"/>
      <c r="J9704" s="165"/>
      <c r="K9704" s="166"/>
      <c r="L9704" s="166"/>
    </row>
    <row r="9705">
      <c r="A9705" s="163" t="s">
        <v>222</v>
      </c>
      <c r="B9705" s="163"/>
      <c r="C9705" s="163"/>
      <c r="J9705" s="165"/>
      <c r="K9705" s="166"/>
      <c r="L9705" s="166"/>
    </row>
    <row r="9706">
      <c r="A9706" s="163" t="s">
        <v>222</v>
      </c>
      <c r="B9706" s="163"/>
      <c r="C9706" s="163"/>
      <c r="J9706" s="165"/>
      <c r="K9706" s="166"/>
      <c r="L9706" s="166"/>
    </row>
    <row r="9707">
      <c r="A9707" s="163" t="s">
        <v>222</v>
      </c>
      <c r="B9707" s="163"/>
      <c r="C9707" s="163"/>
      <c r="J9707" s="165"/>
      <c r="K9707" s="166"/>
      <c r="L9707" s="166"/>
    </row>
    <row r="9708">
      <c r="A9708" s="163" t="s">
        <v>222</v>
      </c>
      <c r="B9708" s="163"/>
      <c r="C9708" s="163"/>
      <c r="J9708" s="165"/>
      <c r="K9708" s="166"/>
      <c r="L9708" s="166"/>
    </row>
    <row r="9709">
      <c r="A9709" s="163" t="s">
        <v>222</v>
      </c>
      <c r="B9709" s="163"/>
      <c r="C9709" s="163"/>
      <c r="J9709" s="165"/>
      <c r="K9709" s="166"/>
      <c r="L9709" s="166"/>
    </row>
    <row r="9710">
      <c r="A9710" s="163" t="s">
        <v>222</v>
      </c>
      <c r="B9710" s="163"/>
      <c r="C9710" s="163"/>
      <c r="J9710" s="165"/>
      <c r="K9710" s="166"/>
      <c r="L9710" s="166"/>
    </row>
    <row r="9711">
      <c r="A9711" s="163" t="s">
        <v>222</v>
      </c>
      <c r="B9711" s="163"/>
      <c r="C9711" s="163"/>
      <c r="J9711" s="165"/>
      <c r="K9711" s="166"/>
      <c r="L9711" s="166"/>
    </row>
    <row r="9712">
      <c r="A9712" s="163" t="s">
        <v>222</v>
      </c>
      <c r="B9712" s="163"/>
      <c r="C9712" s="163"/>
      <c r="J9712" s="165"/>
      <c r="K9712" s="166"/>
      <c r="L9712" s="166"/>
    </row>
    <row r="9713">
      <c r="A9713" s="163" t="s">
        <v>222</v>
      </c>
      <c r="B9713" s="163"/>
      <c r="C9713" s="163"/>
      <c r="J9713" s="165"/>
      <c r="K9713" s="166"/>
      <c r="L9713" s="166"/>
    </row>
    <row r="9714">
      <c r="A9714" s="163" t="s">
        <v>222</v>
      </c>
      <c r="B9714" s="163"/>
      <c r="C9714" s="163"/>
      <c r="J9714" s="165"/>
      <c r="K9714" s="166"/>
      <c r="L9714" s="166"/>
    </row>
    <row r="9715">
      <c r="A9715" s="163" t="s">
        <v>222</v>
      </c>
      <c r="B9715" s="163"/>
      <c r="C9715" s="163"/>
      <c r="J9715" s="165"/>
      <c r="K9715" s="166"/>
      <c r="L9715" s="166"/>
    </row>
    <row r="9716">
      <c r="A9716" s="163" t="s">
        <v>222</v>
      </c>
      <c r="B9716" s="163"/>
      <c r="C9716" s="163"/>
      <c r="J9716" s="165"/>
      <c r="K9716" s="166"/>
      <c r="L9716" s="166"/>
    </row>
    <row r="9717">
      <c r="A9717" s="163" t="s">
        <v>222</v>
      </c>
      <c r="B9717" s="163"/>
      <c r="C9717" s="163"/>
      <c r="J9717" s="165"/>
      <c r="K9717" s="166"/>
      <c r="L9717" s="166"/>
    </row>
    <row r="9718">
      <c r="A9718" s="163" t="s">
        <v>222</v>
      </c>
      <c r="B9718" s="163"/>
      <c r="C9718" s="163"/>
      <c r="J9718" s="165"/>
      <c r="K9718" s="166"/>
      <c r="L9718" s="166"/>
    </row>
    <row r="9719">
      <c r="A9719" s="163" t="s">
        <v>222</v>
      </c>
      <c r="B9719" s="163"/>
      <c r="C9719" s="163"/>
      <c r="J9719" s="165"/>
      <c r="K9719" s="166"/>
      <c r="L9719" s="166"/>
    </row>
    <row r="9720">
      <c r="A9720" s="163" t="s">
        <v>222</v>
      </c>
      <c r="B9720" s="163"/>
      <c r="C9720" s="163"/>
      <c r="J9720" s="165"/>
      <c r="K9720" s="166"/>
      <c r="L9720" s="166"/>
    </row>
    <row r="9721">
      <c r="A9721" s="163" t="s">
        <v>222</v>
      </c>
      <c r="B9721" s="163"/>
      <c r="C9721" s="163"/>
      <c r="J9721" s="165"/>
      <c r="K9721" s="166"/>
      <c r="L9721" s="166"/>
    </row>
    <row r="9722">
      <c r="A9722" s="163" t="s">
        <v>222</v>
      </c>
      <c r="B9722" s="163"/>
      <c r="C9722" s="163"/>
      <c r="J9722" s="165"/>
      <c r="K9722" s="166"/>
      <c r="L9722" s="166"/>
    </row>
    <row r="9723">
      <c r="A9723" s="163" t="s">
        <v>222</v>
      </c>
      <c r="B9723" s="163"/>
      <c r="C9723" s="163"/>
      <c r="J9723" s="165"/>
      <c r="K9723" s="166"/>
      <c r="L9723" s="166"/>
    </row>
    <row r="9724">
      <c r="A9724" s="163" t="s">
        <v>222</v>
      </c>
      <c r="B9724" s="163"/>
      <c r="C9724" s="163"/>
      <c r="J9724" s="165"/>
      <c r="K9724" s="166"/>
      <c r="L9724" s="166"/>
    </row>
    <row r="9725">
      <c r="A9725" s="163" t="s">
        <v>222</v>
      </c>
      <c r="B9725" s="163"/>
      <c r="C9725" s="163"/>
      <c r="J9725" s="165"/>
      <c r="K9725" s="166"/>
      <c r="L9725" s="166"/>
    </row>
    <row r="9726">
      <c r="A9726" s="163" t="s">
        <v>222</v>
      </c>
      <c r="B9726" s="163"/>
      <c r="C9726" s="163"/>
      <c r="J9726" s="165"/>
      <c r="K9726" s="166"/>
      <c r="L9726" s="166"/>
    </row>
    <row r="9727">
      <c r="A9727" s="163" t="s">
        <v>222</v>
      </c>
      <c r="B9727" s="163"/>
      <c r="C9727" s="163"/>
      <c r="J9727" s="165"/>
      <c r="K9727" s="166"/>
      <c r="L9727" s="166"/>
    </row>
    <row r="9728">
      <c r="A9728" s="163" t="s">
        <v>222</v>
      </c>
      <c r="B9728" s="163"/>
      <c r="C9728" s="163"/>
      <c r="J9728" s="165"/>
      <c r="K9728" s="166"/>
      <c r="L9728" s="166"/>
    </row>
    <row r="9729">
      <c r="A9729" s="163" t="s">
        <v>222</v>
      </c>
      <c r="B9729" s="163"/>
      <c r="C9729" s="163"/>
      <c r="J9729" s="165"/>
      <c r="K9729" s="166"/>
      <c r="L9729" s="166"/>
    </row>
    <row r="9730">
      <c r="A9730" s="163" t="s">
        <v>222</v>
      </c>
      <c r="B9730" s="163"/>
      <c r="C9730" s="163"/>
      <c r="J9730" s="165"/>
      <c r="K9730" s="166"/>
      <c r="L9730" s="166"/>
    </row>
    <row r="9731">
      <c r="A9731" s="163" t="s">
        <v>222</v>
      </c>
      <c r="B9731" s="163"/>
      <c r="C9731" s="163"/>
      <c r="J9731" s="165"/>
      <c r="K9731" s="166"/>
      <c r="L9731" s="166"/>
    </row>
    <row r="9732">
      <c r="A9732" s="163" t="s">
        <v>222</v>
      </c>
      <c r="B9732" s="163"/>
      <c r="C9732" s="163"/>
      <c r="J9732" s="165"/>
      <c r="K9732" s="166"/>
      <c r="L9732" s="166"/>
    </row>
    <row r="9733">
      <c r="A9733" s="163" t="s">
        <v>222</v>
      </c>
      <c r="B9733" s="163"/>
      <c r="C9733" s="163"/>
      <c r="J9733" s="165"/>
      <c r="K9733" s="166"/>
      <c r="L9733" s="166"/>
    </row>
    <row r="9734">
      <c r="A9734" s="163" t="s">
        <v>222</v>
      </c>
      <c r="B9734" s="163"/>
      <c r="C9734" s="163"/>
      <c r="J9734" s="165"/>
      <c r="K9734" s="166"/>
      <c r="L9734" s="166"/>
    </row>
    <row r="9735">
      <c r="A9735" s="163" t="s">
        <v>222</v>
      </c>
      <c r="B9735" s="163"/>
      <c r="C9735" s="163"/>
      <c r="J9735" s="165"/>
      <c r="K9735" s="166"/>
      <c r="L9735" s="166"/>
    </row>
    <row r="9736">
      <c r="A9736" s="163" t="s">
        <v>222</v>
      </c>
      <c r="B9736" s="163"/>
      <c r="C9736" s="163"/>
      <c r="J9736" s="165"/>
      <c r="K9736" s="166"/>
      <c r="L9736" s="166"/>
    </row>
    <row r="9737">
      <c r="A9737" s="163" t="s">
        <v>222</v>
      </c>
      <c r="B9737" s="163"/>
      <c r="C9737" s="163"/>
      <c r="J9737" s="165"/>
      <c r="K9737" s="166"/>
      <c r="L9737" s="166"/>
    </row>
    <row r="9738">
      <c r="A9738" s="163" t="s">
        <v>222</v>
      </c>
      <c r="B9738" s="163"/>
      <c r="C9738" s="163"/>
      <c r="J9738" s="165"/>
      <c r="K9738" s="166"/>
      <c r="L9738" s="166"/>
    </row>
    <row r="9739">
      <c r="A9739" s="163" t="s">
        <v>222</v>
      </c>
      <c r="B9739" s="163"/>
      <c r="C9739" s="163"/>
      <c r="J9739" s="165"/>
      <c r="K9739" s="166"/>
      <c r="L9739" s="166"/>
    </row>
    <row r="9740">
      <c r="A9740" s="163" t="s">
        <v>222</v>
      </c>
      <c r="B9740" s="163"/>
      <c r="C9740" s="163"/>
      <c r="J9740" s="165"/>
      <c r="K9740" s="166"/>
      <c r="L9740" s="166"/>
    </row>
    <row r="9741">
      <c r="A9741" s="163" t="s">
        <v>222</v>
      </c>
      <c r="B9741" s="163"/>
      <c r="C9741" s="163"/>
      <c r="J9741" s="165"/>
      <c r="K9741" s="166"/>
      <c r="L9741" s="166"/>
    </row>
    <row r="9742">
      <c r="A9742" s="163" t="s">
        <v>222</v>
      </c>
      <c r="B9742" s="163"/>
      <c r="C9742" s="163"/>
      <c r="J9742" s="165"/>
      <c r="K9742" s="166"/>
      <c r="L9742" s="166"/>
    </row>
    <row r="9743">
      <c r="A9743" s="163" t="s">
        <v>222</v>
      </c>
      <c r="B9743" s="163"/>
      <c r="C9743" s="163"/>
      <c r="J9743" s="165"/>
      <c r="K9743" s="166"/>
      <c r="L9743" s="166"/>
    </row>
    <row r="9744">
      <c r="A9744" s="163" t="s">
        <v>222</v>
      </c>
      <c r="B9744" s="163"/>
      <c r="C9744" s="163"/>
      <c r="J9744" s="165"/>
      <c r="K9744" s="166"/>
      <c r="L9744" s="166"/>
    </row>
    <row r="9745">
      <c r="A9745" s="163" t="s">
        <v>222</v>
      </c>
      <c r="B9745" s="163"/>
      <c r="C9745" s="163"/>
      <c r="J9745" s="165"/>
      <c r="K9745" s="166"/>
      <c r="L9745" s="166"/>
    </row>
    <row r="9746">
      <c r="A9746" s="163" t="s">
        <v>222</v>
      </c>
      <c r="B9746" s="163"/>
      <c r="C9746" s="163"/>
      <c r="J9746" s="165"/>
      <c r="K9746" s="166"/>
      <c r="L9746" s="166"/>
    </row>
    <row r="9747">
      <c r="A9747" s="163" t="s">
        <v>222</v>
      </c>
      <c r="B9747" s="163"/>
      <c r="C9747" s="163"/>
      <c r="J9747" s="165"/>
      <c r="K9747" s="166"/>
      <c r="L9747" s="166"/>
    </row>
    <row r="9748">
      <c r="A9748" s="163" t="s">
        <v>222</v>
      </c>
      <c r="B9748" s="163"/>
      <c r="C9748" s="163"/>
      <c r="J9748" s="165"/>
      <c r="K9748" s="166"/>
      <c r="L9748" s="166"/>
    </row>
    <row r="9749">
      <c r="A9749" s="163" t="s">
        <v>222</v>
      </c>
      <c r="B9749" s="163"/>
      <c r="C9749" s="163"/>
      <c r="J9749" s="165"/>
      <c r="K9749" s="166"/>
      <c r="L9749" s="166"/>
    </row>
    <row r="9750">
      <c r="A9750" s="163" t="s">
        <v>222</v>
      </c>
      <c r="B9750" s="163"/>
      <c r="C9750" s="163"/>
      <c r="J9750" s="165"/>
      <c r="K9750" s="166"/>
      <c r="L9750" s="166"/>
    </row>
    <row r="9751">
      <c r="A9751" s="163" t="s">
        <v>222</v>
      </c>
      <c r="B9751" s="163"/>
      <c r="C9751" s="163"/>
      <c r="J9751" s="165"/>
      <c r="K9751" s="166"/>
      <c r="L9751" s="166"/>
    </row>
    <row r="9752">
      <c r="A9752" s="163" t="s">
        <v>222</v>
      </c>
      <c r="B9752" s="163"/>
      <c r="C9752" s="163"/>
      <c r="J9752" s="165"/>
      <c r="K9752" s="166"/>
      <c r="L9752" s="166"/>
    </row>
    <row r="9753">
      <c r="A9753" s="163" t="s">
        <v>222</v>
      </c>
      <c r="B9753" s="163"/>
      <c r="C9753" s="163"/>
      <c r="J9753" s="165"/>
      <c r="K9753" s="166"/>
      <c r="L9753" s="166"/>
    </row>
    <row r="9754">
      <c r="A9754" s="163" t="s">
        <v>222</v>
      </c>
      <c r="B9754" s="163"/>
      <c r="C9754" s="163"/>
      <c r="J9754" s="165"/>
      <c r="K9754" s="166"/>
      <c r="L9754" s="166"/>
    </row>
    <row r="9755">
      <c r="A9755" s="163" t="s">
        <v>222</v>
      </c>
      <c r="B9755" s="163"/>
      <c r="C9755" s="163"/>
      <c r="J9755" s="165"/>
      <c r="K9755" s="166"/>
      <c r="L9755" s="166"/>
    </row>
    <row r="9756">
      <c r="A9756" s="163" t="s">
        <v>222</v>
      </c>
      <c r="B9756" s="163"/>
      <c r="C9756" s="163"/>
      <c r="J9756" s="165"/>
      <c r="K9756" s="166"/>
      <c r="L9756" s="166"/>
    </row>
    <row r="9757">
      <c r="A9757" s="163" t="s">
        <v>222</v>
      </c>
      <c r="B9757" s="163"/>
      <c r="C9757" s="163"/>
      <c r="J9757" s="165"/>
      <c r="K9757" s="166"/>
      <c r="L9757" s="166"/>
    </row>
    <row r="9758">
      <c r="A9758" s="163" t="s">
        <v>222</v>
      </c>
      <c r="B9758" s="163"/>
      <c r="C9758" s="163"/>
      <c r="J9758" s="165"/>
      <c r="K9758" s="166"/>
      <c r="L9758" s="166"/>
    </row>
    <row r="9759">
      <c r="A9759" s="163" t="s">
        <v>222</v>
      </c>
      <c r="B9759" s="163"/>
      <c r="C9759" s="163"/>
      <c r="J9759" s="165"/>
      <c r="K9759" s="166"/>
      <c r="L9759" s="166"/>
    </row>
    <row r="9760">
      <c r="A9760" s="163" t="s">
        <v>222</v>
      </c>
      <c r="B9760" s="163"/>
      <c r="C9760" s="163"/>
      <c r="J9760" s="165"/>
      <c r="K9760" s="166"/>
      <c r="L9760" s="166"/>
    </row>
    <row r="9761">
      <c r="A9761" s="163" t="s">
        <v>222</v>
      </c>
      <c r="B9761" s="163"/>
      <c r="C9761" s="163"/>
      <c r="J9761" s="165"/>
      <c r="K9761" s="166"/>
      <c r="L9761" s="166"/>
    </row>
    <row r="9762">
      <c r="A9762" s="163" t="s">
        <v>222</v>
      </c>
      <c r="B9762" s="163"/>
      <c r="C9762" s="163"/>
      <c r="J9762" s="165"/>
      <c r="K9762" s="166"/>
      <c r="L9762" s="166"/>
    </row>
    <row r="9763">
      <c r="A9763" s="163" t="s">
        <v>222</v>
      </c>
      <c r="B9763" s="163"/>
      <c r="C9763" s="163"/>
      <c r="J9763" s="165"/>
      <c r="K9763" s="166"/>
      <c r="L9763" s="166"/>
    </row>
    <row r="9764">
      <c r="A9764" s="163" t="s">
        <v>222</v>
      </c>
      <c r="B9764" s="163"/>
      <c r="C9764" s="163"/>
      <c r="J9764" s="165"/>
      <c r="K9764" s="166"/>
      <c r="L9764" s="166"/>
    </row>
    <row r="9765">
      <c r="A9765" s="163" t="s">
        <v>222</v>
      </c>
      <c r="B9765" s="163"/>
      <c r="C9765" s="163"/>
      <c r="J9765" s="165"/>
      <c r="K9765" s="166"/>
      <c r="L9765" s="166"/>
    </row>
    <row r="9766">
      <c r="A9766" s="163" t="s">
        <v>222</v>
      </c>
      <c r="B9766" s="163"/>
      <c r="C9766" s="163"/>
      <c r="J9766" s="165"/>
      <c r="K9766" s="166"/>
      <c r="L9766" s="166"/>
    </row>
    <row r="9767">
      <c r="A9767" s="163" t="s">
        <v>222</v>
      </c>
      <c r="B9767" s="163"/>
      <c r="C9767" s="163"/>
      <c r="J9767" s="165"/>
      <c r="K9767" s="166"/>
      <c r="L9767" s="166"/>
    </row>
    <row r="9768">
      <c r="A9768" s="163" t="s">
        <v>222</v>
      </c>
      <c r="B9768" s="163"/>
      <c r="C9768" s="163"/>
      <c r="J9768" s="165"/>
      <c r="K9768" s="166"/>
      <c r="L9768" s="166"/>
    </row>
    <row r="9769">
      <c r="A9769" s="163" t="s">
        <v>222</v>
      </c>
      <c r="B9769" s="163"/>
      <c r="C9769" s="163"/>
      <c r="J9769" s="165"/>
      <c r="K9769" s="166"/>
      <c r="L9769" s="166"/>
    </row>
    <row r="9770">
      <c r="A9770" s="163" t="s">
        <v>222</v>
      </c>
      <c r="B9770" s="163"/>
      <c r="C9770" s="163"/>
      <c r="J9770" s="165"/>
      <c r="K9770" s="166"/>
      <c r="L9770" s="166"/>
    </row>
    <row r="9771">
      <c r="A9771" s="163" t="s">
        <v>222</v>
      </c>
      <c r="B9771" s="163"/>
      <c r="C9771" s="163"/>
      <c r="J9771" s="165"/>
      <c r="K9771" s="166"/>
      <c r="L9771" s="166"/>
    </row>
    <row r="9772">
      <c r="A9772" s="163" t="s">
        <v>222</v>
      </c>
      <c r="B9772" s="163"/>
      <c r="C9772" s="163"/>
      <c r="J9772" s="165"/>
      <c r="K9772" s="166"/>
      <c r="L9772" s="166"/>
    </row>
    <row r="9773">
      <c r="A9773" s="163" t="s">
        <v>222</v>
      </c>
      <c r="B9773" s="163"/>
      <c r="C9773" s="163"/>
      <c r="J9773" s="165"/>
      <c r="K9773" s="166"/>
      <c r="L9773" s="166"/>
    </row>
    <row r="9774">
      <c r="A9774" s="163" t="s">
        <v>222</v>
      </c>
      <c r="B9774" s="163"/>
      <c r="C9774" s="163"/>
      <c r="J9774" s="165"/>
      <c r="K9774" s="166"/>
      <c r="L9774" s="166"/>
    </row>
    <row r="9775">
      <c r="A9775" s="163" t="s">
        <v>222</v>
      </c>
      <c r="B9775" s="163"/>
      <c r="C9775" s="163"/>
      <c r="J9775" s="165"/>
      <c r="K9775" s="166"/>
      <c r="L9775" s="166"/>
    </row>
    <row r="9776">
      <c r="A9776" s="163" t="s">
        <v>222</v>
      </c>
      <c r="B9776" s="163"/>
      <c r="C9776" s="163"/>
      <c r="J9776" s="165"/>
      <c r="K9776" s="166"/>
      <c r="L9776" s="166"/>
    </row>
    <row r="9777">
      <c r="A9777" s="163" t="s">
        <v>222</v>
      </c>
      <c r="B9777" s="163"/>
      <c r="C9777" s="163"/>
      <c r="J9777" s="165"/>
      <c r="K9777" s="166"/>
      <c r="L9777" s="166"/>
    </row>
    <row r="9778">
      <c r="A9778" s="163" t="s">
        <v>222</v>
      </c>
      <c r="B9778" s="163"/>
      <c r="C9778" s="163"/>
      <c r="J9778" s="165"/>
      <c r="K9778" s="166"/>
      <c r="L9778" s="166"/>
    </row>
    <row r="9779">
      <c r="A9779" s="163" t="s">
        <v>222</v>
      </c>
      <c r="B9779" s="163"/>
      <c r="C9779" s="163"/>
      <c r="J9779" s="165"/>
      <c r="K9779" s="166"/>
      <c r="L9779" s="166"/>
    </row>
    <row r="9780">
      <c r="A9780" s="163" t="s">
        <v>222</v>
      </c>
      <c r="B9780" s="163"/>
      <c r="C9780" s="163"/>
      <c r="J9780" s="165"/>
      <c r="K9780" s="166"/>
      <c r="L9780" s="166"/>
    </row>
    <row r="9781">
      <c r="A9781" s="163" t="s">
        <v>222</v>
      </c>
      <c r="B9781" s="163"/>
      <c r="C9781" s="163"/>
      <c r="J9781" s="165"/>
      <c r="K9781" s="166"/>
      <c r="L9781" s="166"/>
    </row>
    <row r="9782">
      <c r="A9782" s="163" t="s">
        <v>222</v>
      </c>
      <c r="B9782" s="163"/>
      <c r="C9782" s="163"/>
      <c r="J9782" s="165"/>
      <c r="K9782" s="166"/>
      <c r="L9782" s="166"/>
    </row>
    <row r="9783">
      <c r="A9783" s="163" t="s">
        <v>222</v>
      </c>
      <c r="B9783" s="163"/>
      <c r="C9783" s="163"/>
      <c r="J9783" s="165"/>
      <c r="K9783" s="166"/>
      <c r="L9783" s="166"/>
    </row>
    <row r="9784">
      <c r="A9784" s="163" t="s">
        <v>222</v>
      </c>
      <c r="B9784" s="163"/>
      <c r="C9784" s="163"/>
      <c r="J9784" s="165"/>
      <c r="K9784" s="166"/>
      <c r="L9784" s="166"/>
    </row>
    <row r="9785">
      <c r="A9785" s="163" t="s">
        <v>222</v>
      </c>
      <c r="B9785" s="163"/>
      <c r="C9785" s="163"/>
      <c r="J9785" s="165"/>
      <c r="K9785" s="166"/>
      <c r="L9785" s="166"/>
    </row>
    <row r="9786">
      <c r="A9786" s="163" t="s">
        <v>222</v>
      </c>
      <c r="B9786" s="163"/>
      <c r="C9786" s="163"/>
      <c r="J9786" s="165"/>
      <c r="K9786" s="166"/>
      <c r="L9786" s="166"/>
    </row>
    <row r="9787">
      <c r="A9787" s="163" t="s">
        <v>222</v>
      </c>
      <c r="B9787" s="163"/>
      <c r="C9787" s="163"/>
      <c r="J9787" s="165"/>
      <c r="K9787" s="166"/>
      <c r="L9787" s="166"/>
    </row>
    <row r="9788">
      <c r="A9788" s="163" t="s">
        <v>222</v>
      </c>
      <c r="B9788" s="163"/>
      <c r="C9788" s="163"/>
      <c r="J9788" s="165"/>
      <c r="K9788" s="166"/>
      <c r="L9788" s="166"/>
    </row>
    <row r="9789">
      <c r="A9789" s="163" t="s">
        <v>222</v>
      </c>
      <c r="B9789" s="163"/>
      <c r="C9789" s="163"/>
      <c r="J9789" s="165"/>
      <c r="K9789" s="166"/>
      <c r="L9789" s="166"/>
    </row>
    <row r="9790">
      <c r="A9790" s="163" t="s">
        <v>222</v>
      </c>
      <c r="B9790" s="163"/>
      <c r="C9790" s="163"/>
      <c r="J9790" s="165"/>
      <c r="K9790" s="166"/>
      <c r="L9790" s="166"/>
    </row>
    <row r="9791">
      <c r="A9791" s="163" t="s">
        <v>222</v>
      </c>
      <c r="B9791" s="163"/>
      <c r="C9791" s="163"/>
      <c r="J9791" s="165"/>
      <c r="K9791" s="166"/>
      <c r="L9791" s="166"/>
    </row>
    <row r="9792">
      <c r="A9792" s="163" t="s">
        <v>222</v>
      </c>
      <c r="B9792" s="163"/>
      <c r="C9792" s="163"/>
      <c r="J9792" s="165"/>
      <c r="K9792" s="166"/>
      <c r="L9792" s="166"/>
    </row>
    <row r="9793">
      <c r="A9793" s="163" t="s">
        <v>222</v>
      </c>
      <c r="B9793" s="163"/>
      <c r="C9793" s="163"/>
      <c r="J9793" s="165"/>
      <c r="K9793" s="166"/>
      <c r="L9793" s="166"/>
    </row>
    <row r="9794">
      <c r="A9794" s="163" t="s">
        <v>222</v>
      </c>
      <c r="B9794" s="163"/>
      <c r="C9794" s="163"/>
      <c r="J9794" s="165"/>
      <c r="K9794" s="166"/>
      <c r="L9794" s="166"/>
    </row>
    <row r="9795">
      <c r="A9795" s="163" t="s">
        <v>222</v>
      </c>
      <c r="B9795" s="163"/>
      <c r="C9795" s="163"/>
      <c r="J9795" s="165"/>
      <c r="K9795" s="166"/>
      <c r="L9795" s="166"/>
    </row>
    <row r="9796">
      <c r="A9796" s="163" t="s">
        <v>222</v>
      </c>
      <c r="B9796" s="163"/>
      <c r="C9796" s="163"/>
      <c r="J9796" s="165"/>
      <c r="K9796" s="166"/>
      <c r="L9796" s="166"/>
    </row>
    <row r="9797">
      <c r="A9797" s="163" t="s">
        <v>222</v>
      </c>
      <c r="B9797" s="163"/>
      <c r="C9797" s="163"/>
      <c r="J9797" s="165"/>
      <c r="K9797" s="166"/>
      <c r="L9797" s="166"/>
    </row>
    <row r="9798">
      <c r="A9798" s="163" t="s">
        <v>222</v>
      </c>
      <c r="B9798" s="163"/>
      <c r="C9798" s="163"/>
      <c r="J9798" s="165"/>
      <c r="K9798" s="166"/>
      <c r="L9798" s="166"/>
    </row>
    <row r="9799">
      <c r="A9799" s="163" t="s">
        <v>222</v>
      </c>
      <c r="B9799" s="163"/>
      <c r="C9799" s="163"/>
      <c r="J9799" s="165"/>
      <c r="K9799" s="166"/>
      <c r="L9799" s="166"/>
    </row>
    <row r="9800">
      <c r="A9800" s="163" t="s">
        <v>222</v>
      </c>
      <c r="B9800" s="163"/>
      <c r="C9800" s="163"/>
      <c r="J9800" s="165"/>
      <c r="K9800" s="166"/>
      <c r="L9800" s="166"/>
    </row>
    <row r="9801">
      <c r="A9801" s="163" t="s">
        <v>222</v>
      </c>
      <c r="B9801" s="163"/>
      <c r="C9801" s="163"/>
      <c r="J9801" s="165"/>
      <c r="K9801" s="166"/>
      <c r="L9801" s="166"/>
    </row>
    <row r="9802">
      <c r="A9802" s="163" t="s">
        <v>222</v>
      </c>
      <c r="B9802" s="163"/>
      <c r="C9802" s="163"/>
      <c r="J9802" s="165"/>
      <c r="K9802" s="166"/>
      <c r="L9802" s="166"/>
    </row>
    <row r="9803">
      <c r="A9803" s="163" t="s">
        <v>222</v>
      </c>
      <c r="B9803" s="163"/>
      <c r="C9803" s="163"/>
      <c r="J9803" s="165"/>
      <c r="K9803" s="166"/>
      <c r="L9803" s="166"/>
    </row>
    <row r="9804">
      <c r="A9804" s="163" t="s">
        <v>222</v>
      </c>
      <c r="B9804" s="163"/>
      <c r="C9804" s="163"/>
      <c r="J9804" s="165"/>
      <c r="K9804" s="166"/>
      <c r="L9804" s="166"/>
    </row>
    <row r="9805">
      <c r="A9805" s="163" t="s">
        <v>222</v>
      </c>
      <c r="B9805" s="163"/>
      <c r="C9805" s="163"/>
      <c r="J9805" s="165"/>
      <c r="K9805" s="166"/>
      <c r="L9805" s="166"/>
    </row>
    <row r="9806">
      <c r="A9806" s="163" t="s">
        <v>222</v>
      </c>
      <c r="B9806" s="163"/>
      <c r="C9806" s="163"/>
      <c r="J9806" s="165"/>
      <c r="K9806" s="166"/>
      <c r="L9806" s="166"/>
    </row>
    <row r="9807">
      <c r="A9807" s="163" t="s">
        <v>222</v>
      </c>
      <c r="B9807" s="163"/>
      <c r="C9807" s="163"/>
      <c r="J9807" s="165"/>
      <c r="K9807" s="166"/>
      <c r="L9807" s="166"/>
    </row>
    <row r="9808">
      <c r="A9808" s="163" t="s">
        <v>222</v>
      </c>
      <c r="B9808" s="163"/>
      <c r="C9808" s="163"/>
      <c r="J9808" s="165"/>
      <c r="K9808" s="166"/>
      <c r="L9808" s="166"/>
    </row>
    <row r="9809">
      <c r="A9809" s="163" t="s">
        <v>222</v>
      </c>
      <c r="B9809" s="163"/>
      <c r="C9809" s="163"/>
      <c r="J9809" s="165"/>
      <c r="K9809" s="166"/>
      <c r="L9809" s="166"/>
    </row>
    <row r="9810">
      <c r="A9810" s="163" t="s">
        <v>222</v>
      </c>
      <c r="B9810" s="163"/>
      <c r="C9810" s="163"/>
      <c r="J9810" s="165"/>
      <c r="K9810" s="166"/>
      <c r="L9810" s="166"/>
    </row>
    <row r="9811">
      <c r="A9811" s="163" t="s">
        <v>222</v>
      </c>
      <c r="B9811" s="163"/>
      <c r="C9811" s="163"/>
      <c r="J9811" s="165"/>
      <c r="K9811" s="166"/>
      <c r="L9811" s="166"/>
    </row>
    <row r="9812">
      <c r="A9812" s="163" t="s">
        <v>222</v>
      </c>
      <c r="B9812" s="163"/>
      <c r="C9812" s="163"/>
      <c r="J9812" s="165"/>
      <c r="K9812" s="166"/>
      <c r="L9812" s="166"/>
    </row>
    <row r="9813">
      <c r="A9813" s="163" t="s">
        <v>222</v>
      </c>
      <c r="B9813" s="163"/>
      <c r="C9813" s="163"/>
      <c r="J9813" s="165"/>
      <c r="K9813" s="166"/>
      <c r="L9813" s="166"/>
    </row>
    <row r="9814">
      <c r="A9814" s="163" t="s">
        <v>222</v>
      </c>
      <c r="B9814" s="163"/>
      <c r="C9814" s="163"/>
      <c r="J9814" s="165"/>
      <c r="K9814" s="166"/>
      <c r="L9814" s="166"/>
    </row>
    <row r="9815">
      <c r="A9815" s="163" t="s">
        <v>222</v>
      </c>
      <c r="B9815" s="163"/>
      <c r="C9815" s="163"/>
      <c r="J9815" s="165"/>
      <c r="K9815" s="166"/>
      <c r="L9815" s="166"/>
    </row>
    <row r="9816">
      <c r="A9816" s="163" t="s">
        <v>222</v>
      </c>
      <c r="B9816" s="163"/>
      <c r="C9816" s="163"/>
      <c r="J9816" s="165"/>
      <c r="K9816" s="166"/>
      <c r="L9816" s="166"/>
    </row>
    <row r="9817">
      <c r="A9817" s="163" t="s">
        <v>222</v>
      </c>
      <c r="B9817" s="163"/>
      <c r="C9817" s="163"/>
      <c r="J9817" s="165"/>
      <c r="K9817" s="166"/>
      <c r="L9817" s="166"/>
    </row>
    <row r="9818">
      <c r="A9818" s="163" t="s">
        <v>222</v>
      </c>
      <c r="B9818" s="163"/>
      <c r="C9818" s="163"/>
      <c r="J9818" s="165"/>
      <c r="K9818" s="166"/>
      <c r="L9818" s="166"/>
    </row>
    <row r="9819">
      <c r="A9819" s="163" t="s">
        <v>222</v>
      </c>
      <c r="B9819" s="163"/>
      <c r="C9819" s="163"/>
      <c r="J9819" s="165"/>
      <c r="K9819" s="166"/>
      <c r="L9819" s="166"/>
    </row>
    <row r="9820">
      <c r="A9820" s="163" t="s">
        <v>222</v>
      </c>
      <c r="B9820" s="163"/>
      <c r="C9820" s="163"/>
      <c r="J9820" s="165"/>
      <c r="K9820" s="166"/>
      <c r="L9820" s="166"/>
    </row>
    <row r="9821">
      <c r="A9821" s="163" t="s">
        <v>222</v>
      </c>
      <c r="B9821" s="163"/>
      <c r="C9821" s="163"/>
      <c r="J9821" s="165"/>
      <c r="K9821" s="166"/>
      <c r="L9821" s="166"/>
    </row>
    <row r="9822">
      <c r="A9822" s="163" t="s">
        <v>222</v>
      </c>
      <c r="B9822" s="163"/>
      <c r="C9822" s="163"/>
      <c r="J9822" s="165"/>
      <c r="K9822" s="166"/>
      <c r="L9822" s="166"/>
    </row>
    <row r="9823">
      <c r="A9823" s="163" t="s">
        <v>222</v>
      </c>
      <c r="B9823" s="163"/>
      <c r="C9823" s="163"/>
      <c r="J9823" s="165"/>
      <c r="K9823" s="166"/>
      <c r="L9823" s="166"/>
    </row>
    <row r="9824">
      <c r="A9824" s="163" t="s">
        <v>222</v>
      </c>
      <c r="B9824" s="163"/>
      <c r="C9824" s="163"/>
      <c r="J9824" s="165"/>
      <c r="K9824" s="166"/>
      <c r="L9824" s="166"/>
    </row>
    <row r="9825">
      <c r="A9825" s="163" t="s">
        <v>222</v>
      </c>
      <c r="B9825" s="163"/>
      <c r="C9825" s="163"/>
      <c r="J9825" s="165"/>
      <c r="K9825" s="166"/>
      <c r="L9825" s="166"/>
    </row>
    <row r="9826">
      <c r="A9826" s="163" t="s">
        <v>222</v>
      </c>
      <c r="B9826" s="163"/>
      <c r="C9826" s="163"/>
      <c r="J9826" s="165"/>
      <c r="K9826" s="166"/>
      <c r="L9826" s="166"/>
    </row>
    <row r="9827">
      <c r="A9827" s="163" t="s">
        <v>222</v>
      </c>
      <c r="B9827" s="163"/>
      <c r="C9827" s="163"/>
      <c r="J9827" s="165"/>
      <c r="K9827" s="166"/>
      <c r="L9827" s="166"/>
    </row>
    <row r="9828">
      <c r="A9828" s="163" t="s">
        <v>222</v>
      </c>
      <c r="B9828" s="163"/>
      <c r="C9828" s="163"/>
      <c r="J9828" s="165"/>
      <c r="K9828" s="166"/>
      <c r="L9828" s="166"/>
    </row>
    <row r="9829">
      <c r="A9829" s="163" t="s">
        <v>222</v>
      </c>
      <c r="B9829" s="163"/>
      <c r="C9829" s="163"/>
      <c r="J9829" s="165"/>
      <c r="K9829" s="166"/>
      <c r="L9829" s="166"/>
    </row>
    <row r="9830">
      <c r="A9830" s="163" t="s">
        <v>222</v>
      </c>
      <c r="B9830" s="163"/>
      <c r="C9830" s="163"/>
      <c r="J9830" s="165"/>
      <c r="K9830" s="166"/>
      <c r="L9830" s="166"/>
    </row>
    <row r="9831">
      <c r="A9831" s="163" t="s">
        <v>222</v>
      </c>
      <c r="B9831" s="163"/>
      <c r="C9831" s="163"/>
      <c r="J9831" s="165"/>
      <c r="K9831" s="166"/>
      <c r="L9831" s="166"/>
    </row>
    <row r="9832">
      <c r="A9832" s="163" t="s">
        <v>222</v>
      </c>
      <c r="B9832" s="163"/>
      <c r="C9832" s="163"/>
      <c r="J9832" s="165"/>
      <c r="K9832" s="166"/>
      <c r="L9832" s="166"/>
    </row>
    <row r="9833">
      <c r="A9833" s="163" t="s">
        <v>222</v>
      </c>
      <c r="B9833" s="163"/>
      <c r="C9833" s="163"/>
      <c r="J9833" s="165"/>
      <c r="K9833" s="166"/>
      <c r="L9833" s="166"/>
    </row>
    <row r="9834">
      <c r="A9834" s="163" t="s">
        <v>222</v>
      </c>
      <c r="B9834" s="163"/>
      <c r="C9834" s="163"/>
      <c r="J9834" s="165"/>
      <c r="K9834" s="166"/>
      <c r="L9834" s="166"/>
    </row>
    <row r="9835">
      <c r="A9835" s="163" t="s">
        <v>222</v>
      </c>
      <c r="B9835" s="163"/>
      <c r="C9835" s="163"/>
      <c r="J9835" s="165"/>
      <c r="K9835" s="166"/>
      <c r="L9835" s="166"/>
    </row>
    <row r="9836">
      <c r="A9836" s="163" t="s">
        <v>222</v>
      </c>
      <c r="B9836" s="163"/>
      <c r="C9836" s="163"/>
      <c r="J9836" s="165"/>
      <c r="K9836" s="166"/>
      <c r="L9836" s="166"/>
    </row>
    <row r="9837">
      <c r="A9837" s="163" t="s">
        <v>222</v>
      </c>
      <c r="B9837" s="163"/>
      <c r="C9837" s="163"/>
      <c r="J9837" s="165"/>
      <c r="K9837" s="166"/>
      <c r="L9837" s="166"/>
    </row>
    <row r="9838">
      <c r="A9838" s="163" t="s">
        <v>222</v>
      </c>
      <c r="B9838" s="163"/>
      <c r="C9838" s="163"/>
      <c r="J9838" s="165"/>
      <c r="K9838" s="166"/>
      <c r="L9838" s="166"/>
    </row>
    <row r="9839">
      <c r="A9839" s="163" t="s">
        <v>222</v>
      </c>
      <c r="B9839" s="163"/>
      <c r="C9839" s="163"/>
      <c r="J9839" s="165"/>
      <c r="K9839" s="166"/>
      <c r="L9839" s="166"/>
    </row>
    <row r="9840">
      <c r="A9840" s="163" t="s">
        <v>222</v>
      </c>
      <c r="B9840" s="163"/>
      <c r="C9840" s="163"/>
      <c r="J9840" s="165"/>
      <c r="K9840" s="166"/>
      <c r="L9840" s="166"/>
    </row>
    <row r="9841">
      <c r="A9841" s="163" t="s">
        <v>222</v>
      </c>
      <c r="B9841" s="163"/>
      <c r="C9841" s="163"/>
      <c r="J9841" s="165"/>
      <c r="K9841" s="166"/>
      <c r="L9841" s="166"/>
    </row>
    <row r="9842">
      <c r="A9842" s="163" t="s">
        <v>222</v>
      </c>
      <c r="B9842" s="163"/>
      <c r="C9842" s="163"/>
      <c r="J9842" s="165"/>
      <c r="K9842" s="166"/>
      <c r="L9842" s="166"/>
    </row>
    <row r="9843">
      <c r="A9843" s="163" t="s">
        <v>222</v>
      </c>
      <c r="B9843" s="163"/>
      <c r="C9843" s="163"/>
      <c r="J9843" s="165"/>
      <c r="K9843" s="166"/>
      <c r="L9843" s="166"/>
    </row>
    <row r="9844">
      <c r="A9844" s="163" t="s">
        <v>222</v>
      </c>
      <c r="B9844" s="163"/>
      <c r="C9844" s="163"/>
      <c r="J9844" s="165"/>
      <c r="K9844" s="166"/>
      <c r="L9844" s="166"/>
    </row>
    <row r="9845">
      <c r="A9845" s="163" t="s">
        <v>222</v>
      </c>
      <c r="B9845" s="163"/>
      <c r="C9845" s="163"/>
      <c r="J9845" s="165"/>
      <c r="K9845" s="166"/>
      <c r="L9845" s="166"/>
    </row>
    <row r="9846">
      <c r="A9846" s="163" t="s">
        <v>222</v>
      </c>
      <c r="B9846" s="163"/>
      <c r="C9846" s="163"/>
      <c r="J9846" s="165"/>
      <c r="K9846" s="166"/>
      <c r="L9846" s="166"/>
    </row>
    <row r="9847">
      <c r="A9847" s="163" t="s">
        <v>222</v>
      </c>
      <c r="B9847" s="163"/>
      <c r="C9847" s="163"/>
      <c r="J9847" s="165"/>
      <c r="K9847" s="166"/>
      <c r="L9847" s="166"/>
    </row>
    <row r="9848">
      <c r="A9848" s="163" t="s">
        <v>222</v>
      </c>
      <c r="B9848" s="163"/>
      <c r="C9848" s="163"/>
      <c r="J9848" s="165"/>
      <c r="K9848" s="166"/>
      <c r="L9848" s="166"/>
    </row>
    <row r="9849">
      <c r="A9849" s="163" t="s">
        <v>222</v>
      </c>
      <c r="B9849" s="163"/>
      <c r="C9849" s="163"/>
      <c r="J9849" s="165"/>
      <c r="K9849" s="166"/>
      <c r="L9849" s="166"/>
    </row>
    <row r="9850">
      <c r="A9850" s="163" t="s">
        <v>222</v>
      </c>
      <c r="B9850" s="163"/>
      <c r="C9850" s="163"/>
      <c r="J9850" s="165"/>
      <c r="K9850" s="166"/>
      <c r="L9850" s="166"/>
    </row>
    <row r="9851">
      <c r="A9851" s="163" t="s">
        <v>222</v>
      </c>
      <c r="B9851" s="163"/>
      <c r="C9851" s="163"/>
      <c r="J9851" s="165"/>
      <c r="K9851" s="166"/>
      <c r="L9851" s="166"/>
    </row>
    <row r="9852">
      <c r="A9852" s="163" t="s">
        <v>222</v>
      </c>
      <c r="B9852" s="163"/>
      <c r="C9852" s="163"/>
      <c r="J9852" s="165"/>
      <c r="K9852" s="166"/>
      <c r="L9852" s="166"/>
    </row>
    <row r="9853">
      <c r="A9853" s="163" t="s">
        <v>222</v>
      </c>
      <c r="B9853" s="163"/>
      <c r="C9853" s="163"/>
      <c r="J9853" s="165"/>
      <c r="K9853" s="166"/>
      <c r="L9853" s="166"/>
    </row>
    <row r="9854">
      <c r="A9854" s="163" t="s">
        <v>222</v>
      </c>
      <c r="B9854" s="163"/>
      <c r="C9854" s="163"/>
      <c r="J9854" s="165"/>
      <c r="K9854" s="166"/>
      <c r="L9854" s="166"/>
    </row>
    <row r="9855">
      <c r="A9855" s="163" t="s">
        <v>222</v>
      </c>
      <c r="B9855" s="163"/>
      <c r="C9855" s="163"/>
      <c r="J9855" s="165"/>
      <c r="K9855" s="166"/>
      <c r="L9855" s="166"/>
    </row>
    <row r="9856">
      <c r="A9856" s="163" t="s">
        <v>222</v>
      </c>
      <c r="B9856" s="163"/>
      <c r="C9856" s="163"/>
      <c r="J9856" s="165"/>
      <c r="K9856" s="166"/>
      <c r="L9856" s="166"/>
    </row>
    <row r="9857">
      <c r="A9857" s="163" t="s">
        <v>222</v>
      </c>
      <c r="B9857" s="163"/>
      <c r="C9857" s="163"/>
      <c r="J9857" s="165"/>
      <c r="K9857" s="166"/>
      <c r="L9857" s="166"/>
    </row>
    <row r="9858">
      <c r="A9858" s="163" t="s">
        <v>222</v>
      </c>
      <c r="B9858" s="163"/>
      <c r="C9858" s="163"/>
      <c r="J9858" s="165"/>
      <c r="K9858" s="166"/>
      <c r="L9858" s="166"/>
    </row>
    <row r="9859">
      <c r="A9859" s="163" t="s">
        <v>222</v>
      </c>
      <c r="B9859" s="163"/>
      <c r="C9859" s="163"/>
      <c r="J9859" s="165"/>
      <c r="K9859" s="166"/>
      <c r="L9859" s="166"/>
    </row>
    <row r="9860">
      <c r="A9860" s="163" t="s">
        <v>222</v>
      </c>
      <c r="B9860" s="163"/>
      <c r="C9860" s="163"/>
      <c r="J9860" s="165"/>
      <c r="K9860" s="166"/>
      <c r="L9860" s="166"/>
    </row>
    <row r="9861">
      <c r="A9861" s="163" t="s">
        <v>222</v>
      </c>
      <c r="B9861" s="163"/>
      <c r="C9861" s="163"/>
      <c r="J9861" s="165"/>
      <c r="K9861" s="166"/>
      <c r="L9861" s="166"/>
    </row>
    <row r="9862">
      <c r="A9862" s="163" t="s">
        <v>222</v>
      </c>
      <c r="B9862" s="163"/>
      <c r="C9862" s="163"/>
      <c r="J9862" s="165"/>
      <c r="K9862" s="166"/>
      <c r="L9862" s="166"/>
    </row>
    <row r="9863">
      <c r="A9863" s="163" t="s">
        <v>222</v>
      </c>
      <c r="B9863" s="163"/>
      <c r="C9863" s="163"/>
      <c r="J9863" s="165"/>
      <c r="K9863" s="166"/>
      <c r="L9863" s="166"/>
    </row>
    <row r="9864">
      <c r="A9864" s="163" t="s">
        <v>222</v>
      </c>
      <c r="B9864" s="163"/>
      <c r="C9864" s="163"/>
      <c r="J9864" s="165"/>
      <c r="K9864" s="166"/>
      <c r="L9864" s="166"/>
    </row>
    <row r="9865">
      <c r="A9865" s="163" t="s">
        <v>222</v>
      </c>
      <c r="B9865" s="163"/>
      <c r="C9865" s="163"/>
      <c r="J9865" s="165"/>
      <c r="K9865" s="166"/>
      <c r="L9865" s="166"/>
    </row>
    <row r="9866">
      <c r="A9866" s="163" t="s">
        <v>222</v>
      </c>
      <c r="B9866" s="163"/>
      <c r="C9866" s="163"/>
      <c r="J9866" s="165"/>
      <c r="K9866" s="166"/>
      <c r="L9866" s="166"/>
    </row>
    <row r="9867">
      <c r="A9867" s="163" t="s">
        <v>222</v>
      </c>
      <c r="B9867" s="163"/>
      <c r="C9867" s="163"/>
      <c r="J9867" s="165"/>
      <c r="K9867" s="166"/>
      <c r="L9867" s="166"/>
    </row>
    <row r="9868">
      <c r="A9868" s="163" t="s">
        <v>222</v>
      </c>
      <c r="B9868" s="163"/>
      <c r="C9868" s="163"/>
      <c r="J9868" s="165"/>
      <c r="K9868" s="166"/>
      <c r="L9868" s="166"/>
    </row>
    <row r="9869">
      <c r="A9869" s="163" t="s">
        <v>222</v>
      </c>
      <c r="B9869" s="163"/>
      <c r="C9869" s="163"/>
      <c r="J9869" s="165"/>
      <c r="K9869" s="166"/>
      <c r="L9869" s="166"/>
    </row>
    <row r="9870">
      <c r="A9870" s="163" t="s">
        <v>222</v>
      </c>
      <c r="B9870" s="163"/>
      <c r="C9870" s="163"/>
      <c r="J9870" s="165"/>
      <c r="K9870" s="166"/>
      <c r="L9870" s="166"/>
    </row>
    <row r="9871">
      <c r="A9871" s="163" t="s">
        <v>222</v>
      </c>
      <c r="B9871" s="163"/>
      <c r="C9871" s="163"/>
      <c r="J9871" s="165"/>
      <c r="K9871" s="166"/>
      <c r="L9871" s="166"/>
    </row>
    <row r="9872">
      <c r="A9872" s="163" t="s">
        <v>222</v>
      </c>
      <c r="B9872" s="163"/>
      <c r="C9872" s="163"/>
      <c r="J9872" s="165"/>
      <c r="K9872" s="166"/>
      <c r="L9872" s="166"/>
    </row>
    <row r="9873">
      <c r="A9873" s="163" t="s">
        <v>222</v>
      </c>
      <c r="B9873" s="163"/>
      <c r="C9873" s="163"/>
      <c r="J9873" s="165"/>
      <c r="K9873" s="166"/>
      <c r="L9873" s="166"/>
    </row>
    <row r="9874">
      <c r="A9874" s="163" t="s">
        <v>222</v>
      </c>
      <c r="B9874" s="163"/>
      <c r="C9874" s="163"/>
      <c r="J9874" s="165"/>
      <c r="K9874" s="166"/>
      <c r="L9874" s="166"/>
    </row>
    <row r="9875">
      <c r="A9875" s="163" t="s">
        <v>222</v>
      </c>
      <c r="B9875" s="163"/>
      <c r="C9875" s="163"/>
      <c r="J9875" s="165"/>
      <c r="K9875" s="166"/>
      <c r="L9875" s="166"/>
    </row>
    <row r="9876">
      <c r="A9876" s="163" t="s">
        <v>222</v>
      </c>
      <c r="B9876" s="163"/>
      <c r="C9876" s="163"/>
      <c r="J9876" s="165"/>
      <c r="K9876" s="166"/>
      <c r="L9876" s="166"/>
    </row>
    <row r="9877">
      <c r="A9877" s="163" t="s">
        <v>222</v>
      </c>
      <c r="B9877" s="163"/>
      <c r="C9877" s="163"/>
      <c r="J9877" s="165"/>
      <c r="K9877" s="166"/>
      <c r="L9877" s="166"/>
    </row>
    <row r="9878">
      <c r="A9878" s="163" t="s">
        <v>222</v>
      </c>
      <c r="B9878" s="163"/>
      <c r="C9878" s="163"/>
      <c r="J9878" s="165"/>
      <c r="K9878" s="166"/>
      <c r="L9878" s="166"/>
    </row>
    <row r="9879">
      <c r="A9879" s="163" t="s">
        <v>222</v>
      </c>
      <c r="B9879" s="163"/>
      <c r="C9879" s="163"/>
      <c r="J9879" s="165"/>
      <c r="K9879" s="166"/>
      <c r="L9879" s="166"/>
    </row>
    <row r="9880">
      <c r="A9880" s="163" t="s">
        <v>222</v>
      </c>
      <c r="B9880" s="163"/>
      <c r="C9880" s="163"/>
      <c r="J9880" s="165"/>
      <c r="K9880" s="166"/>
      <c r="L9880" s="166"/>
    </row>
    <row r="9881">
      <c r="A9881" s="163" t="s">
        <v>222</v>
      </c>
      <c r="B9881" s="163"/>
      <c r="C9881" s="163"/>
      <c r="J9881" s="165"/>
      <c r="K9881" s="166"/>
      <c r="L9881" s="166"/>
    </row>
    <row r="9882">
      <c r="A9882" s="163" t="s">
        <v>222</v>
      </c>
      <c r="B9882" s="163"/>
      <c r="C9882" s="163"/>
      <c r="J9882" s="165"/>
      <c r="K9882" s="166"/>
      <c r="L9882" s="166"/>
    </row>
    <row r="9883">
      <c r="A9883" s="163" t="s">
        <v>222</v>
      </c>
      <c r="B9883" s="163"/>
      <c r="C9883" s="163"/>
      <c r="J9883" s="165"/>
      <c r="K9883" s="166"/>
      <c r="L9883" s="166"/>
    </row>
    <row r="9884">
      <c r="A9884" s="163" t="s">
        <v>222</v>
      </c>
      <c r="B9884" s="163"/>
      <c r="C9884" s="163"/>
      <c r="J9884" s="165"/>
      <c r="K9884" s="166"/>
      <c r="L9884" s="166"/>
    </row>
    <row r="9885">
      <c r="A9885" s="163" t="s">
        <v>222</v>
      </c>
      <c r="B9885" s="163"/>
      <c r="C9885" s="163"/>
      <c r="J9885" s="165"/>
      <c r="K9885" s="166"/>
      <c r="L9885" s="166"/>
    </row>
    <row r="9886">
      <c r="A9886" s="163" t="s">
        <v>222</v>
      </c>
      <c r="B9886" s="163"/>
      <c r="C9886" s="163"/>
      <c r="J9886" s="165"/>
      <c r="K9886" s="166"/>
      <c r="L9886" s="166"/>
    </row>
    <row r="9887">
      <c r="A9887" s="163" t="s">
        <v>222</v>
      </c>
      <c r="B9887" s="163"/>
      <c r="C9887" s="163"/>
      <c r="J9887" s="165"/>
      <c r="K9887" s="166"/>
      <c r="L9887" s="166"/>
    </row>
    <row r="9888">
      <c r="A9888" s="163" t="s">
        <v>222</v>
      </c>
      <c r="B9888" s="163"/>
      <c r="C9888" s="163"/>
      <c r="J9888" s="165"/>
      <c r="K9888" s="166"/>
      <c r="L9888" s="166"/>
    </row>
    <row r="9889">
      <c r="A9889" s="163" t="s">
        <v>222</v>
      </c>
      <c r="B9889" s="163"/>
      <c r="C9889" s="163"/>
      <c r="J9889" s="165"/>
      <c r="K9889" s="166"/>
      <c r="L9889" s="166"/>
    </row>
    <row r="9890">
      <c r="A9890" s="163" t="s">
        <v>222</v>
      </c>
      <c r="B9890" s="163"/>
      <c r="C9890" s="163"/>
      <c r="J9890" s="165"/>
      <c r="K9890" s="166"/>
      <c r="L9890" s="166"/>
    </row>
    <row r="9891">
      <c r="A9891" s="163" t="s">
        <v>222</v>
      </c>
      <c r="B9891" s="163"/>
      <c r="C9891" s="163"/>
      <c r="J9891" s="165"/>
      <c r="K9891" s="166"/>
      <c r="L9891" s="166"/>
    </row>
    <row r="9892">
      <c r="A9892" s="163" t="s">
        <v>222</v>
      </c>
      <c r="B9892" s="163"/>
      <c r="C9892" s="163"/>
      <c r="J9892" s="165"/>
      <c r="K9892" s="166"/>
      <c r="L9892" s="166"/>
    </row>
    <row r="9893">
      <c r="A9893" s="163" t="s">
        <v>222</v>
      </c>
      <c r="B9893" s="163"/>
      <c r="C9893" s="163"/>
      <c r="J9893" s="165"/>
      <c r="K9893" s="166"/>
      <c r="L9893" s="166"/>
    </row>
    <row r="9894">
      <c r="A9894" s="163" t="s">
        <v>222</v>
      </c>
      <c r="B9894" s="163"/>
      <c r="C9894" s="163"/>
      <c r="J9894" s="165"/>
      <c r="K9894" s="166"/>
      <c r="L9894" s="166"/>
    </row>
    <row r="9895">
      <c r="A9895" s="163" t="s">
        <v>222</v>
      </c>
      <c r="B9895" s="163"/>
      <c r="C9895" s="163"/>
      <c r="J9895" s="165"/>
      <c r="K9895" s="166"/>
      <c r="L9895" s="166"/>
    </row>
    <row r="9896">
      <c r="A9896" s="163" t="s">
        <v>222</v>
      </c>
      <c r="B9896" s="163"/>
      <c r="C9896" s="163"/>
      <c r="J9896" s="165"/>
      <c r="K9896" s="166"/>
      <c r="L9896" s="166"/>
    </row>
    <row r="9897">
      <c r="A9897" s="163" t="s">
        <v>222</v>
      </c>
      <c r="B9897" s="163"/>
      <c r="C9897" s="163"/>
      <c r="J9897" s="165"/>
      <c r="K9897" s="166"/>
      <c r="L9897" s="166"/>
    </row>
    <row r="9898">
      <c r="A9898" s="163" t="s">
        <v>222</v>
      </c>
      <c r="B9898" s="163"/>
      <c r="C9898" s="163"/>
      <c r="J9898" s="165"/>
      <c r="K9898" s="166"/>
      <c r="L9898" s="166"/>
    </row>
    <row r="9899">
      <c r="A9899" s="163" t="s">
        <v>222</v>
      </c>
      <c r="B9899" s="163"/>
      <c r="C9899" s="163"/>
      <c r="J9899" s="165"/>
      <c r="K9899" s="166"/>
      <c r="L9899" s="166"/>
    </row>
    <row r="9900">
      <c r="A9900" s="163" t="s">
        <v>222</v>
      </c>
      <c r="B9900" s="163"/>
      <c r="C9900" s="163"/>
      <c r="J9900" s="165"/>
      <c r="K9900" s="166"/>
      <c r="L9900" s="166"/>
    </row>
    <row r="9901">
      <c r="A9901" s="163" t="s">
        <v>222</v>
      </c>
      <c r="B9901" s="163"/>
      <c r="C9901" s="163"/>
      <c r="J9901" s="165"/>
      <c r="K9901" s="166"/>
      <c r="L9901" s="166"/>
    </row>
    <row r="9902">
      <c r="A9902" s="163" t="s">
        <v>222</v>
      </c>
      <c r="B9902" s="163"/>
      <c r="C9902" s="163"/>
      <c r="J9902" s="165"/>
      <c r="K9902" s="166"/>
      <c r="L9902" s="166"/>
    </row>
    <row r="9903">
      <c r="A9903" s="163" t="s">
        <v>222</v>
      </c>
      <c r="B9903" s="163"/>
      <c r="C9903" s="163"/>
      <c r="J9903" s="165"/>
      <c r="K9903" s="166"/>
      <c r="L9903" s="166"/>
    </row>
    <row r="9904">
      <c r="A9904" s="163" t="s">
        <v>222</v>
      </c>
      <c r="B9904" s="163"/>
      <c r="C9904" s="163"/>
      <c r="J9904" s="165"/>
      <c r="K9904" s="166"/>
      <c r="L9904" s="166"/>
    </row>
    <row r="9905">
      <c r="A9905" s="163" t="s">
        <v>222</v>
      </c>
      <c r="B9905" s="163"/>
      <c r="C9905" s="163"/>
      <c r="J9905" s="165"/>
      <c r="K9905" s="166"/>
      <c r="L9905" s="166"/>
    </row>
    <row r="9906">
      <c r="A9906" s="163" t="s">
        <v>222</v>
      </c>
      <c r="B9906" s="163"/>
      <c r="C9906" s="163"/>
      <c r="J9906" s="165"/>
      <c r="K9906" s="166"/>
      <c r="L9906" s="166"/>
    </row>
    <row r="9907">
      <c r="A9907" s="163" t="s">
        <v>222</v>
      </c>
      <c r="B9907" s="163"/>
      <c r="C9907" s="163"/>
      <c r="J9907" s="165"/>
      <c r="K9907" s="166"/>
      <c r="L9907" s="166"/>
    </row>
    <row r="9908">
      <c r="A9908" s="163" t="s">
        <v>222</v>
      </c>
      <c r="B9908" s="163"/>
      <c r="C9908" s="163"/>
      <c r="J9908" s="165"/>
      <c r="K9908" s="166"/>
      <c r="L9908" s="166"/>
    </row>
    <row r="9909">
      <c r="A9909" s="163" t="s">
        <v>222</v>
      </c>
      <c r="B9909" s="163"/>
      <c r="C9909" s="163"/>
      <c r="J9909" s="165"/>
      <c r="K9909" s="166"/>
      <c r="L9909" s="166"/>
    </row>
    <row r="9910">
      <c r="A9910" s="163" t="s">
        <v>222</v>
      </c>
      <c r="B9910" s="163"/>
      <c r="C9910" s="163"/>
      <c r="J9910" s="165"/>
      <c r="K9910" s="166"/>
      <c r="L9910" s="166"/>
    </row>
    <row r="9911">
      <c r="A9911" s="163" t="s">
        <v>222</v>
      </c>
      <c r="B9911" s="163"/>
      <c r="C9911" s="163"/>
      <c r="J9911" s="165"/>
      <c r="K9911" s="166"/>
      <c r="L9911" s="166"/>
    </row>
    <row r="9912">
      <c r="A9912" s="163" t="s">
        <v>222</v>
      </c>
      <c r="B9912" s="163"/>
      <c r="C9912" s="163"/>
      <c r="J9912" s="165"/>
      <c r="K9912" s="166"/>
      <c r="L9912" s="166"/>
    </row>
    <row r="9913">
      <c r="A9913" s="163" t="s">
        <v>222</v>
      </c>
      <c r="B9913" s="163"/>
      <c r="C9913" s="163"/>
      <c r="J9913" s="165"/>
      <c r="K9913" s="166"/>
      <c r="L9913" s="166"/>
    </row>
    <row r="9914">
      <c r="A9914" s="163" t="s">
        <v>222</v>
      </c>
      <c r="B9914" s="163"/>
      <c r="C9914" s="163"/>
      <c r="J9914" s="165"/>
      <c r="K9914" s="166"/>
      <c r="L9914" s="166"/>
    </row>
    <row r="9915">
      <c r="A9915" s="163" t="s">
        <v>222</v>
      </c>
      <c r="B9915" s="163"/>
      <c r="C9915" s="163"/>
      <c r="J9915" s="165"/>
      <c r="K9915" s="166"/>
      <c r="L9915" s="166"/>
    </row>
    <row r="9916">
      <c r="A9916" s="163" t="s">
        <v>222</v>
      </c>
      <c r="B9916" s="163"/>
      <c r="C9916" s="163"/>
      <c r="J9916" s="165"/>
      <c r="K9916" s="166"/>
      <c r="L9916" s="166"/>
    </row>
    <row r="9917">
      <c r="A9917" s="163" t="s">
        <v>222</v>
      </c>
      <c r="B9917" s="163"/>
      <c r="C9917" s="163"/>
      <c r="J9917" s="165"/>
      <c r="K9917" s="166"/>
      <c r="L9917" s="166"/>
    </row>
    <row r="9918">
      <c r="A9918" s="163" t="s">
        <v>222</v>
      </c>
      <c r="B9918" s="163"/>
      <c r="C9918" s="163"/>
      <c r="J9918" s="165"/>
      <c r="K9918" s="166"/>
      <c r="L9918" s="166"/>
    </row>
    <row r="9919">
      <c r="A9919" s="163" t="s">
        <v>222</v>
      </c>
      <c r="B9919" s="163"/>
      <c r="C9919" s="163"/>
      <c r="J9919" s="165"/>
      <c r="K9919" s="166"/>
      <c r="L9919" s="166"/>
    </row>
    <row r="9920">
      <c r="A9920" s="163" t="s">
        <v>222</v>
      </c>
      <c r="B9920" s="163"/>
      <c r="C9920" s="163"/>
      <c r="J9920" s="165"/>
      <c r="K9920" s="166"/>
      <c r="L9920" s="166"/>
    </row>
    <row r="9921">
      <c r="A9921" s="163" t="s">
        <v>222</v>
      </c>
      <c r="B9921" s="163"/>
      <c r="C9921" s="163"/>
      <c r="J9921" s="165"/>
      <c r="K9921" s="166"/>
      <c r="L9921" s="166"/>
    </row>
    <row r="9922">
      <c r="A9922" s="163" t="s">
        <v>222</v>
      </c>
      <c r="B9922" s="163"/>
      <c r="C9922" s="163"/>
      <c r="J9922" s="165"/>
      <c r="K9922" s="166"/>
      <c r="L9922" s="166"/>
    </row>
    <row r="9923">
      <c r="A9923" s="163" t="s">
        <v>222</v>
      </c>
      <c r="B9923" s="163"/>
      <c r="C9923" s="163"/>
      <c r="J9923" s="165"/>
      <c r="K9923" s="166"/>
      <c r="L9923" s="166"/>
    </row>
    <row r="9924">
      <c r="A9924" s="163" t="s">
        <v>222</v>
      </c>
      <c r="B9924" s="163"/>
      <c r="C9924" s="163"/>
      <c r="J9924" s="165"/>
      <c r="K9924" s="166"/>
      <c r="L9924" s="166"/>
    </row>
    <row r="9925">
      <c r="A9925" s="163" t="s">
        <v>222</v>
      </c>
      <c r="B9925" s="163"/>
      <c r="C9925" s="163"/>
      <c r="J9925" s="165"/>
      <c r="K9925" s="166"/>
      <c r="L9925" s="166"/>
    </row>
    <row r="9926">
      <c r="A9926" s="163" t="s">
        <v>222</v>
      </c>
      <c r="B9926" s="163"/>
      <c r="C9926" s="163"/>
      <c r="J9926" s="165"/>
      <c r="K9926" s="166"/>
      <c r="L9926" s="166"/>
    </row>
    <row r="9927">
      <c r="A9927" s="163" t="s">
        <v>222</v>
      </c>
      <c r="B9927" s="163"/>
      <c r="C9927" s="163"/>
      <c r="J9927" s="165"/>
      <c r="K9927" s="166"/>
      <c r="L9927" s="166"/>
    </row>
    <row r="9928">
      <c r="A9928" s="163" t="s">
        <v>222</v>
      </c>
      <c r="B9928" s="163"/>
      <c r="C9928" s="163"/>
      <c r="J9928" s="165"/>
      <c r="K9928" s="166"/>
      <c r="L9928" s="166"/>
    </row>
    <row r="9929">
      <c r="A9929" s="163" t="s">
        <v>222</v>
      </c>
      <c r="B9929" s="163"/>
      <c r="C9929" s="163"/>
      <c r="J9929" s="165"/>
      <c r="K9929" s="166"/>
      <c r="L9929" s="166"/>
    </row>
    <row r="9930">
      <c r="A9930" s="163" t="s">
        <v>222</v>
      </c>
      <c r="B9930" s="163"/>
      <c r="C9930" s="163"/>
      <c r="J9930" s="165"/>
      <c r="K9930" s="166"/>
      <c r="L9930" s="166"/>
    </row>
    <row r="9931">
      <c r="A9931" s="163" t="s">
        <v>222</v>
      </c>
      <c r="B9931" s="163"/>
      <c r="C9931" s="163"/>
      <c r="J9931" s="165"/>
      <c r="K9931" s="166"/>
      <c r="L9931" s="166"/>
    </row>
    <row r="9932">
      <c r="A9932" s="163" t="s">
        <v>222</v>
      </c>
      <c r="B9932" s="163"/>
      <c r="C9932" s="163"/>
      <c r="J9932" s="165"/>
      <c r="K9932" s="166"/>
      <c r="L9932" s="166"/>
    </row>
    <row r="9933">
      <c r="A9933" s="163" t="s">
        <v>222</v>
      </c>
      <c r="B9933" s="163"/>
      <c r="C9933" s="163"/>
      <c r="J9933" s="165"/>
      <c r="K9933" s="166"/>
      <c r="L9933" s="166"/>
    </row>
    <row r="9934">
      <c r="A9934" s="163" t="s">
        <v>222</v>
      </c>
      <c r="B9934" s="163"/>
      <c r="C9934" s="163"/>
      <c r="J9934" s="165"/>
      <c r="K9934" s="166"/>
      <c r="L9934" s="166"/>
    </row>
    <row r="9935">
      <c r="A9935" s="163" t="s">
        <v>222</v>
      </c>
      <c r="B9935" s="163"/>
      <c r="C9935" s="163"/>
      <c r="J9935" s="165"/>
      <c r="K9935" s="166"/>
      <c r="L9935" s="166"/>
    </row>
    <row r="9936">
      <c r="A9936" s="163" t="s">
        <v>222</v>
      </c>
      <c r="B9936" s="163"/>
      <c r="C9936" s="163"/>
      <c r="J9936" s="165"/>
      <c r="K9936" s="166"/>
      <c r="L9936" s="166"/>
    </row>
    <row r="9937">
      <c r="A9937" s="163" t="s">
        <v>222</v>
      </c>
      <c r="B9937" s="163"/>
      <c r="C9937" s="163"/>
      <c r="J9937" s="165"/>
      <c r="K9937" s="166"/>
      <c r="L9937" s="166"/>
    </row>
    <row r="9938">
      <c r="A9938" s="163" t="s">
        <v>222</v>
      </c>
      <c r="B9938" s="163"/>
      <c r="C9938" s="163"/>
      <c r="J9938" s="165"/>
      <c r="K9938" s="166"/>
      <c r="L9938" s="166"/>
    </row>
    <row r="9939">
      <c r="A9939" s="163" t="s">
        <v>222</v>
      </c>
      <c r="B9939" s="163"/>
      <c r="C9939" s="163"/>
      <c r="J9939" s="165"/>
      <c r="K9939" s="166"/>
      <c r="L9939" s="166"/>
    </row>
    <row r="9940">
      <c r="A9940" s="163" t="s">
        <v>222</v>
      </c>
      <c r="B9940" s="163"/>
      <c r="C9940" s="163"/>
      <c r="J9940" s="165"/>
      <c r="K9940" s="166"/>
      <c r="L9940" s="166"/>
    </row>
    <row r="9941">
      <c r="A9941" s="163" t="s">
        <v>222</v>
      </c>
      <c r="B9941" s="163"/>
      <c r="C9941" s="163"/>
      <c r="J9941" s="165"/>
      <c r="K9941" s="166"/>
      <c r="L9941" s="166"/>
    </row>
    <row r="9942">
      <c r="A9942" s="163" t="s">
        <v>222</v>
      </c>
      <c r="B9942" s="163"/>
      <c r="C9942" s="163"/>
      <c r="J9942" s="165"/>
      <c r="K9942" s="166"/>
      <c r="L9942" s="166"/>
    </row>
    <row r="9943">
      <c r="A9943" s="163" t="s">
        <v>222</v>
      </c>
      <c r="B9943" s="163"/>
      <c r="C9943" s="163"/>
      <c r="J9943" s="165"/>
      <c r="K9943" s="166"/>
      <c r="L9943" s="166"/>
    </row>
    <row r="9944">
      <c r="A9944" s="163" t="s">
        <v>222</v>
      </c>
      <c r="B9944" s="163"/>
      <c r="C9944" s="163"/>
      <c r="J9944" s="165"/>
      <c r="K9944" s="166"/>
      <c r="L9944" s="166"/>
    </row>
    <row r="9945">
      <c r="A9945" s="163" t="s">
        <v>222</v>
      </c>
      <c r="B9945" s="163"/>
      <c r="C9945" s="163"/>
      <c r="J9945" s="165"/>
      <c r="K9945" s="166"/>
      <c r="L9945" s="166"/>
    </row>
    <row r="9946">
      <c r="A9946" s="163" t="s">
        <v>222</v>
      </c>
      <c r="B9946" s="163"/>
      <c r="C9946" s="163"/>
      <c r="J9946" s="165"/>
      <c r="K9946" s="166"/>
      <c r="L9946" s="166"/>
    </row>
    <row r="9947">
      <c r="A9947" s="163" t="s">
        <v>222</v>
      </c>
      <c r="B9947" s="163"/>
      <c r="C9947" s="163"/>
      <c r="J9947" s="165"/>
      <c r="K9947" s="166"/>
      <c r="L9947" s="166"/>
    </row>
    <row r="9948">
      <c r="A9948" s="163" t="s">
        <v>222</v>
      </c>
      <c r="B9948" s="163"/>
      <c r="C9948" s="163"/>
      <c r="J9948" s="165"/>
      <c r="K9948" s="166"/>
      <c r="L9948" s="166"/>
    </row>
    <row r="9949">
      <c r="A9949" s="163" t="s">
        <v>222</v>
      </c>
      <c r="B9949" s="163"/>
      <c r="C9949" s="163"/>
      <c r="J9949" s="165"/>
      <c r="K9949" s="166"/>
      <c r="L9949" s="166"/>
    </row>
    <row r="9950">
      <c r="A9950" s="163" t="s">
        <v>222</v>
      </c>
      <c r="B9950" s="163"/>
      <c r="C9950" s="163"/>
      <c r="J9950" s="165"/>
      <c r="K9950" s="166"/>
      <c r="L9950" s="166"/>
    </row>
    <row r="9951">
      <c r="A9951" s="163" t="s">
        <v>222</v>
      </c>
      <c r="B9951" s="163"/>
      <c r="C9951" s="163"/>
      <c r="J9951" s="165"/>
      <c r="K9951" s="166"/>
      <c r="L9951" s="166"/>
    </row>
    <row r="9952">
      <c r="A9952" s="163" t="s">
        <v>222</v>
      </c>
      <c r="B9952" s="163"/>
      <c r="C9952" s="163"/>
      <c r="J9952" s="165"/>
      <c r="K9952" s="166"/>
      <c r="L9952" s="166"/>
    </row>
    <row r="9953">
      <c r="A9953" s="163" t="s">
        <v>222</v>
      </c>
      <c r="B9953" s="163"/>
      <c r="C9953" s="163"/>
      <c r="J9953" s="165"/>
      <c r="K9953" s="166"/>
      <c r="L9953" s="166"/>
    </row>
    <row r="9954">
      <c r="A9954" s="163" t="s">
        <v>222</v>
      </c>
      <c r="B9954" s="163"/>
      <c r="C9954" s="163"/>
      <c r="J9954" s="165"/>
      <c r="K9954" s="166"/>
      <c r="L9954" s="166"/>
    </row>
    <row r="9955">
      <c r="A9955" s="163" t="s">
        <v>222</v>
      </c>
      <c r="B9955" s="163"/>
      <c r="C9955" s="163"/>
      <c r="J9955" s="165"/>
      <c r="K9955" s="166"/>
      <c r="L9955" s="166"/>
    </row>
    <row r="9956">
      <c r="A9956" s="163" t="s">
        <v>222</v>
      </c>
      <c r="B9956" s="163"/>
      <c r="C9956" s="163"/>
      <c r="J9956" s="165"/>
      <c r="K9956" s="166"/>
      <c r="L9956" s="166"/>
    </row>
    <row r="9957">
      <c r="A9957" s="163" t="s">
        <v>222</v>
      </c>
      <c r="B9957" s="163"/>
      <c r="C9957" s="163"/>
      <c r="J9957" s="165"/>
      <c r="K9957" s="166"/>
      <c r="L9957" s="166"/>
    </row>
    <row r="9958">
      <c r="A9958" s="163" t="s">
        <v>222</v>
      </c>
      <c r="B9958" s="163"/>
      <c r="C9958" s="163"/>
      <c r="J9958" s="165"/>
      <c r="K9958" s="166"/>
      <c r="L9958" s="166"/>
    </row>
    <row r="9959">
      <c r="A9959" s="163" t="s">
        <v>222</v>
      </c>
      <c r="B9959" s="163"/>
      <c r="C9959" s="163"/>
      <c r="J9959" s="165"/>
      <c r="K9959" s="166"/>
      <c r="L9959" s="166"/>
    </row>
    <row r="9960">
      <c r="A9960" s="163" t="s">
        <v>222</v>
      </c>
      <c r="B9960" s="163"/>
      <c r="C9960" s="163"/>
      <c r="J9960" s="165"/>
      <c r="K9960" s="166"/>
      <c r="L9960" s="166"/>
    </row>
    <row r="9961">
      <c r="A9961" s="163" t="s">
        <v>222</v>
      </c>
      <c r="B9961" s="163"/>
      <c r="C9961" s="163"/>
      <c r="J9961" s="165"/>
      <c r="K9961" s="166"/>
      <c r="L9961" s="166"/>
    </row>
    <row r="9962">
      <c r="A9962" s="163" t="s">
        <v>222</v>
      </c>
      <c r="B9962" s="163"/>
      <c r="C9962" s="163"/>
      <c r="J9962" s="165"/>
      <c r="K9962" s="166"/>
      <c r="L9962" s="166"/>
    </row>
    <row r="9963">
      <c r="A9963" s="163" t="s">
        <v>222</v>
      </c>
      <c r="B9963" s="163"/>
      <c r="C9963" s="163"/>
      <c r="J9963" s="165"/>
      <c r="K9963" s="166"/>
      <c r="L9963" s="166"/>
    </row>
    <row r="9964">
      <c r="A9964" s="163" t="s">
        <v>222</v>
      </c>
      <c r="B9964" s="163"/>
      <c r="C9964" s="163"/>
      <c r="J9964" s="165"/>
      <c r="K9964" s="166"/>
      <c r="L9964" s="166"/>
    </row>
    <row r="9965">
      <c r="A9965" s="163" t="s">
        <v>222</v>
      </c>
      <c r="B9965" s="163"/>
      <c r="C9965" s="163"/>
      <c r="J9965" s="165"/>
      <c r="K9965" s="166"/>
      <c r="L9965" s="166"/>
    </row>
    <row r="9966">
      <c r="A9966" s="163" t="s">
        <v>222</v>
      </c>
      <c r="B9966" s="163"/>
      <c r="C9966" s="163"/>
      <c r="J9966" s="165"/>
      <c r="K9966" s="166"/>
      <c r="L9966" s="166"/>
    </row>
    <row r="9967">
      <c r="A9967" s="163" t="s">
        <v>222</v>
      </c>
      <c r="B9967" s="163"/>
      <c r="C9967" s="163"/>
      <c r="J9967" s="165"/>
      <c r="K9967" s="166"/>
      <c r="L9967" s="166"/>
    </row>
    <row r="9968">
      <c r="A9968" s="163" t="s">
        <v>222</v>
      </c>
      <c r="B9968" s="163"/>
      <c r="C9968" s="163"/>
      <c r="J9968" s="165"/>
      <c r="K9968" s="166"/>
      <c r="L9968" s="166"/>
    </row>
    <row r="9969">
      <c r="A9969" s="163" t="s">
        <v>222</v>
      </c>
      <c r="B9969" s="163"/>
      <c r="C9969" s="163"/>
      <c r="J9969" s="165"/>
      <c r="K9969" s="166"/>
      <c r="L9969" s="166"/>
    </row>
    <row r="9970">
      <c r="A9970" s="163" t="s">
        <v>222</v>
      </c>
      <c r="B9970" s="163"/>
      <c r="C9970" s="163"/>
      <c r="J9970" s="165"/>
      <c r="K9970" s="166"/>
      <c r="L9970" s="166"/>
    </row>
    <row r="9971">
      <c r="A9971" s="163" t="s">
        <v>222</v>
      </c>
      <c r="B9971" s="163"/>
      <c r="C9971" s="163"/>
      <c r="J9971" s="165"/>
      <c r="K9971" s="166"/>
      <c r="L9971" s="166"/>
    </row>
    <row r="9972">
      <c r="A9972" s="163" t="s">
        <v>222</v>
      </c>
      <c r="B9972" s="163"/>
      <c r="C9972" s="163"/>
      <c r="J9972" s="165"/>
      <c r="K9972" s="166"/>
      <c r="L9972" s="166"/>
    </row>
    <row r="9973">
      <c r="A9973" s="163" t="s">
        <v>222</v>
      </c>
      <c r="B9973" s="163"/>
      <c r="C9973" s="163"/>
      <c r="J9973" s="165"/>
      <c r="K9973" s="166"/>
      <c r="L9973" s="166"/>
    </row>
    <row r="9974">
      <c r="A9974" s="163" t="s">
        <v>222</v>
      </c>
      <c r="B9974" s="163"/>
      <c r="C9974" s="163"/>
      <c r="J9974" s="165"/>
      <c r="K9974" s="166"/>
      <c r="L9974" s="166"/>
    </row>
    <row r="9975">
      <c r="A9975" s="163" t="s">
        <v>222</v>
      </c>
      <c r="B9975" s="163"/>
      <c r="C9975" s="163"/>
      <c r="J9975" s="165"/>
      <c r="K9975" s="166"/>
      <c r="L9975" s="166"/>
    </row>
    <row r="9976">
      <c r="A9976" s="163" t="s">
        <v>222</v>
      </c>
      <c r="B9976" s="163"/>
      <c r="C9976" s="163"/>
      <c r="J9976" s="165"/>
      <c r="K9976" s="166"/>
      <c r="L9976" s="166"/>
    </row>
    <row r="9977">
      <c r="A9977" s="163" t="s">
        <v>222</v>
      </c>
      <c r="B9977" s="163"/>
      <c r="C9977" s="163"/>
      <c r="J9977" s="165"/>
      <c r="K9977" s="166"/>
      <c r="L9977" s="166"/>
    </row>
    <row r="9978">
      <c r="A9978" s="163" t="s">
        <v>222</v>
      </c>
      <c r="B9978" s="163"/>
      <c r="C9978" s="163"/>
      <c r="J9978" s="165"/>
      <c r="K9978" s="166"/>
      <c r="L9978" s="166"/>
    </row>
    <row r="9979">
      <c r="A9979" s="163" t="s">
        <v>222</v>
      </c>
      <c r="B9979" s="163"/>
      <c r="C9979" s="163"/>
      <c r="J9979" s="165"/>
      <c r="K9979" s="166"/>
      <c r="L9979" s="166"/>
    </row>
    <row r="9980">
      <c r="A9980" s="163" t="s">
        <v>222</v>
      </c>
      <c r="B9980" s="163"/>
      <c r="C9980" s="163"/>
      <c r="J9980" s="165"/>
      <c r="K9980" s="166"/>
      <c r="L9980" s="166"/>
    </row>
    <row r="9981">
      <c r="A9981" s="163" t="s">
        <v>222</v>
      </c>
      <c r="B9981" s="163"/>
      <c r="C9981" s="163"/>
      <c r="J9981" s="165"/>
      <c r="K9981" s="166"/>
      <c r="L9981" s="166"/>
    </row>
    <row r="9982">
      <c r="A9982" s="163" t="s">
        <v>222</v>
      </c>
      <c r="B9982" s="163"/>
      <c r="C9982" s="163"/>
      <c r="J9982" s="165"/>
      <c r="K9982" s="166"/>
      <c r="L9982" s="166"/>
    </row>
    <row r="9983">
      <c r="A9983" s="163" t="s">
        <v>222</v>
      </c>
      <c r="B9983" s="163"/>
      <c r="C9983" s="163"/>
      <c r="J9983" s="165"/>
      <c r="K9983" s="166"/>
      <c r="L9983" s="166"/>
    </row>
    <row r="9984">
      <c r="A9984" s="163" t="s">
        <v>222</v>
      </c>
      <c r="B9984" s="163"/>
      <c r="C9984" s="163"/>
      <c r="J9984" s="165"/>
      <c r="K9984" s="166"/>
      <c r="L9984" s="166"/>
    </row>
    <row r="9985">
      <c r="A9985" s="163" t="s">
        <v>222</v>
      </c>
      <c r="B9985" s="163"/>
      <c r="C9985" s="163"/>
      <c r="J9985" s="165"/>
      <c r="K9985" s="166"/>
      <c r="L9985" s="166"/>
    </row>
    <row r="9986">
      <c r="A9986" s="163" t="s">
        <v>222</v>
      </c>
      <c r="B9986" s="163"/>
      <c r="C9986" s="163"/>
      <c r="J9986" s="165"/>
      <c r="K9986" s="166"/>
      <c r="L9986" s="166"/>
    </row>
    <row r="9987">
      <c r="A9987" s="163" t="s">
        <v>222</v>
      </c>
      <c r="B9987" s="163"/>
      <c r="C9987" s="163"/>
      <c r="J9987" s="165"/>
      <c r="K9987" s="166"/>
      <c r="L9987" s="166"/>
    </row>
    <row r="9988">
      <c r="A9988" s="163" t="s">
        <v>222</v>
      </c>
      <c r="B9988" s="163"/>
      <c r="C9988" s="163"/>
      <c r="J9988" s="165"/>
      <c r="K9988" s="166"/>
      <c r="L9988" s="166"/>
    </row>
    <row r="9989">
      <c r="A9989" s="163" t="s">
        <v>222</v>
      </c>
      <c r="B9989" s="163"/>
      <c r="C9989" s="163"/>
      <c r="J9989" s="165"/>
      <c r="K9989" s="166"/>
      <c r="L9989" s="166"/>
    </row>
    <row r="9990">
      <c r="A9990" s="163" t="s">
        <v>222</v>
      </c>
      <c r="B9990" s="163"/>
      <c r="C9990" s="163"/>
      <c r="J9990" s="165"/>
      <c r="K9990" s="166"/>
      <c r="L9990" s="166"/>
    </row>
    <row r="9991">
      <c r="A9991" s="163" t="s">
        <v>222</v>
      </c>
      <c r="B9991" s="163"/>
      <c r="C9991" s="163"/>
      <c r="J9991" s="165"/>
      <c r="K9991" s="166"/>
      <c r="L9991" s="166"/>
    </row>
    <row r="9992">
      <c r="A9992" s="163" t="s">
        <v>222</v>
      </c>
      <c r="B9992" s="163"/>
      <c r="C9992" s="163"/>
      <c r="J9992" s="165"/>
      <c r="K9992" s="166"/>
      <c r="L9992" s="166"/>
    </row>
    <row r="9993">
      <c r="A9993" s="163" t="s">
        <v>222</v>
      </c>
      <c r="B9993" s="163"/>
      <c r="C9993" s="163"/>
      <c r="J9993" s="165"/>
      <c r="K9993" s="166"/>
      <c r="L9993" s="166"/>
    </row>
    <row r="9994">
      <c r="A9994" s="163" t="s">
        <v>222</v>
      </c>
      <c r="B9994" s="163"/>
      <c r="C9994" s="163"/>
      <c r="J9994" s="165"/>
      <c r="K9994" s="166"/>
      <c r="L9994" s="166"/>
    </row>
    <row r="9995">
      <c r="A9995" s="163" t="s">
        <v>222</v>
      </c>
      <c r="B9995" s="163"/>
      <c r="C9995" s="163"/>
      <c r="J9995" s="165"/>
      <c r="K9995" s="166"/>
      <c r="L9995" s="166"/>
    </row>
    <row r="9996">
      <c r="A9996" s="163" t="s">
        <v>222</v>
      </c>
      <c r="B9996" s="163"/>
      <c r="C9996" s="163"/>
      <c r="J9996" s="165"/>
      <c r="K9996" s="166"/>
      <c r="L9996" s="166"/>
    </row>
    <row r="9997">
      <c r="A9997" s="163" t="s">
        <v>222</v>
      </c>
      <c r="B9997" s="163"/>
      <c r="C9997" s="163"/>
      <c r="J9997" s="165"/>
      <c r="K9997" s="166"/>
      <c r="L9997" s="166"/>
    </row>
    <row r="9998">
      <c r="A9998" s="163" t="s">
        <v>222</v>
      </c>
      <c r="B9998" s="163"/>
      <c r="C9998" s="163"/>
      <c r="J9998" s="165"/>
      <c r="K9998" s="166"/>
      <c r="L9998" s="166"/>
    </row>
    <row r="9999">
      <c r="A9999" s="163" t="s">
        <v>222</v>
      </c>
      <c r="B9999" s="163"/>
      <c r="C9999" s="163"/>
      <c r="J9999" s="165"/>
      <c r="K9999" s="166"/>
      <c r="L9999" s="166"/>
    </row>
    <row r="10000">
      <c r="A10000" s="163" t="s">
        <v>222</v>
      </c>
      <c r="B10000" s="163"/>
      <c r="C10000" s="163"/>
      <c r="J10000" s="165"/>
      <c r="K10000" s="166"/>
      <c r="L10000" s="166"/>
    </row>
    <row r="10001">
      <c r="A10001" s="163" t="s">
        <v>222</v>
      </c>
      <c r="B10001" s="163"/>
      <c r="C10001" s="163"/>
      <c r="J10001" s="165"/>
      <c r="K10001" s="166"/>
      <c r="L10001" s="166"/>
    </row>
    <row r="10002">
      <c r="A10002" s="163" t="s">
        <v>222</v>
      </c>
      <c r="B10002" s="163"/>
      <c r="C10002" s="163"/>
      <c r="J10002" s="165"/>
      <c r="K10002" s="166"/>
      <c r="L10002" s="166"/>
    </row>
    <row r="10003">
      <c r="A10003" s="163" t="s">
        <v>222</v>
      </c>
      <c r="B10003" s="163"/>
      <c r="C10003" s="163"/>
      <c r="J10003" s="165"/>
      <c r="K10003" s="166"/>
      <c r="L10003" s="166"/>
    </row>
    <row r="10004">
      <c r="A10004" s="163" t="s">
        <v>222</v>
      </c>
      <c r="B10004" s="163"/>
      <c r="C10004" s="163"/>
      <c r="J10004" s="165"/>
      <c r="K10004" s="166"/>
      <c r="L10004" s="166"/>
    </row>
    <row r="10005">
      <c r="A10005" s="163" t="s">
        <v>222</v>
      </c>
      <c r="B10005" s="163"/>
      <c r="C10005" s="163"/>
      <c r="J10005" s="165"/>
      <c r="K10005" s="166"/>
      <c r="L10005" s="166"/>
    </row>
    <row r="10006">
      <c r="A10006" s="163" t="s">
        <v>222</v>
      </c>
      <c r="B10006" s="163"/>
      <c r="C10006" s="163"/>
      <c r="J10006" s="165"/>
      <c r="K10006" s="166"/>
      <c r="L10006" s="166"/>
    </row>
    <row r="10007">
      <c r="A10007" s="163" t="s">
        <v>222</v>
      </c>
      <c r="B10007" s="163"/>
      <c r="C10007" s="163"/>
      <c r="J10007" s="165"/>
      <c r="K10007" s="166"/>
      <c r="L10007" s="166"/>
    </row>
    <row r="10008">
      <c r="A10008" s="163" t="s">
        <v>222</v>
      </c>
      <c r="B10008" s="163"/>
      <c r="C10008" s="163"/>
      <c r="J10008" s="165"/>
      <c r="K10008" s="166"/>
      <c r="L10008" s="166"/>
    </row>
    <row r="10009">
      <c r="A10009" s="163" t="s">
        <v>222</v>
      </c>
      <c r="B10009" s="163"/>
      <c r="C10009" s="163"/>
      <c r="J10009" s="165"/>
      <c r="K10009" s="166"/>
      <c r="L10009" s="166"/>
    </row>
    <row r="10010">
      <c r="A10010" s="163" t="s">
        <v>222</v>
      </c>
      <c r="B10010" s="163"/>
      <c r="C10010" s="163"/>
      <c r="J10010" s="165"/>
      <c r="K10010" s="166"/>
      <c r="L10010" s="166"/>
    </row>
    <row r="10011">
      <c r="A10011" s="163" t="s">
        <v>222</v>
      </c>
      <c r="B10011" s="163"/>
      <c r="C10011" s="163"/>
      <c r="J10011" s="165"/>
      <c r="K10011" s="166"/>
      <c r="L10011" s="166"/>
    </row>
    <row r="10012">
      <c r="A10012" s="163" t="s">
        <v>222</v>
      </c>
      <c r="B10012" s="163"/>
      <c r="C10012" s="163"/>
      <c r="J10012" s="165"/>
      <c r="K10012" s="166"/>
      <c r="L10012" s="166"/>
    </row>
    <row r="10013">
      <c r="A10013" s="163" t="s">
        <v>222</v>
      </c>
      <c r="B10013" s="163"/>
      <c r="C10013" s="163"/>
      <c r="J10013" s="165"/>
      <c r="K10013" s="166"/>
      <c r="L10013" s="166"/>
    </row>
    <row r="10014">
      <c r="A10014" s="163" t="s">
        <v>222</v>
      </c>
      <c r="B10014" s="163"/>
      <c r="C10014" s="163"/>
      <c r="J10014" s="165"/>
      <c r="K10014" s="166"/>
      <c r="L10014" s="166"/>
    </row>
    <row r="10015">
      <c r="A10015" s="163" t="s">
        <v>222</v>
      </c>
      <c r="B10015" s="163"/>
      <c r="C10015" s="163"/>
      <c r="J10015" s="165"/>
      <c r="K10015" s="166"/>
      <c r="L10015" s="166"/>
    </row>
    <row r="10016">
      <c r="A10016" s="163" t="s">
        <v>222</v>
      </c>
      <c r="B10016" s="163"/>
      <c r="C10016" s="163"/>
      <c r="J10016" s="165"/>
      <c r="K10016" s="166"/>
      <c r="L10016" s="166"/>
    </row>
    <row r="10017">
      <c r="A10017" s="163" t="s">
        <v>222</v>
      </c>
      <c r="B10017" s="163"/>
      <c r="C10017" s="163"/>
      <c r="J10017" s="165"/>
      <c r="K10017" s="166"/>
      <c r="L10017" s="166"/>
    </row>
    <row r="10018">
      <c r="A10018" s="163" t="s">
        <v>222</v>
      </c>
      <c r="B10018" s="163"/>
      <c r="C10018" s="163"/>
      <c r="J10018" s="165"/>
      <c r="K10018" s="166"/>
      <c r="L10018" s="166"/>
    </row>
    <row r="10019">
      <c r="A10019" s="163" t="s">
        <v>222</v>
      </c>
      <c r="B10019" s="163"/>
      <c r="C10019" s="163"/>
      <c r="J10019" s="165"/>
      <c r="K10019" s="166"/>
      <c r="L10019" s="166"/>
    </row>
    <row r="10020">
      <c r="A10020" s="163" t="s">
        <v>222</v>
      </c>
      <c r="B10020" s="163"/>
      <c r="C10020" s="163"/>
      <c r="J10020" s="165"/>
      <c r="K10020" s="166"/>
      <c r="L10020" s="166"/>
    </row>
    <row r="10021">
      <c r="A10021" s="163" t="s">
        <v>222</v>
      </c>
      <c r="B10021" s="163"/>
      <c r="C10021" s="163"/>
      <c r="J10021" s="165"/>
      <c r="K10021" s="166"/>
      <c r="L10021" s="166"/>
    </row>
    <row r="10022">
      <c r="A10022" s="163" t="s">
        <v>222</v>
      </c>
      <c r="B10022" s="163"/>
      <c r="C10022" s="163"/>
      <c r="J10022" s="165"/>
      <c r="K10022" s="166"/>
      <c r="L10022" s="166"/>
    </row>
    <row r="10023">
      <c r="A10023" s="163" t="s">
        <v>222</v>
      </c>
      <c r="B10023" s="163"/>
      <c r="C10023" s="163"/>
      <c r="J10023" s="165"/>
      <c r="K10023" s="166"/>
      <c r="L10023" s="166"/>
    </row>
    <row r="10024">
      <c r="A10024" s="163" t="s">
        <v>222</v>
      </c>
      <c r="B10024" s="163"/>
      <c r="C10024" s="163"/>
      <c r="J10024" s="165"/>
      <c r="K10024" s="166"/>
      <c r="L10024" s="166"/>
    </row>
    <row r="10025">
      <c r="A10025" s="163" t="s">
        <v>222</v>
      </c>
      <c r="B10025" s="163"/>
      <c r="C10025" s="163"/>
      <c r="J10025" s="165"/>
      <c r="K10025" s="166"/>
      <c r="L10025" s="166"/>
    </row>
    <row r="10026">
      <c r="A10026" s="163" t="s">
        <v>222</v>
      </c>
      <c r="B10026" s="163"/>
      <c r="C10026" s="163"/>
      <c r="J10026" s="165"/>
      <c r="K10026" s="166"/>
      <c r="L10026" s="166"/>
    </row>
    <row r="10027">
      <c r="A10027" s="163" t="s">
        <v>222</v>
      </c>
      <c r="B10027" s="163"/>
      <c r="C10027" s="163"/>
      <c r="J10027" s="165"/>
      <c r="K10027" s="166"/>
      <c r="L10027" s="166"/>
    </row>
    <row r="10028">
      <c r="A10028" s="163" t="s">
        <v>222</v>
      </c>
      <c r="B10028" s="163"/>
      <c r="C10028" s="163"/>
      <c r="J10028" s="165"/>
      <c r="K10028" s="166"/>
      <c r="L10028" s="166"/>
    </row>
    <row r="10029">
      <c r="A10029" s="163" t="s">
        <v>222</v>
      </c>
      <c r="B10029" s="163"/>
      <c r="C10029" s="163"/>
      <c r="J10029" s="165"/>
      <c r="K10029" s="166"/>
      <c r="L10029" s="166"/>
    </row>
    <row r="10030">
      <c r="A10030" s="163" t="s">
        <v>222</v>
      </c>
      <c r="B10030" s="163"/>
      <c r="C10030" s="163"/>
      <c r="J10030" s="165"/>
      <c r="K10030" s="166"/>
      <c r="L10030" s="166"/>
    </row>
    <row r="10031">
      <c r="A10031" s="163" t="s">
        <v>222</v>
      </c>
      <c r="B10031" s="163"/>
      <c r="C10031" s="163"/>
      <c r="J10031" s="165"/>
      <c r="K10031" s="166"/>
      <c r="L10031" s="166"/>
    </row>
    <row r="10032">
      <c r="A10032" s="163" t="s">
        <v>222</v>
      </c>
      <c r="B10032" s="163"/>
      <c r="C10032" s="163"/>
      <c r="J10032" s="165"/>
      <c r="K10032" s="166"/>
      <c r="L10032" s="166"/>
    </row>
    <row r="10033">
      <c r="A10033" s="163" t="s">
        <v>222</v>
      </c>
      <c r="B10033" s="163"/>
      <c r="C10033" s="163"/>
      <c r="J10033" s="165"/>
      <c r="K10033" s="166"/>
      <c r="L10033" s="166"/>
    </row>
    <row r="10034">
      <c r="A10034" s="163" t="s">
        <v>222</v>
      </c>
      <c r="B10034" s="163"/>
      <c r="C10034" s="163"/>
      <c r="J10034" s="165"/>
      <c r="K10034" s="166"/>
      <c r="L10034" s="166"/>
    </row>
    <row r="10035">
      <c r="A10035" s="163" t="s">
        <v>222</v>
      </c>
      <c r="B10035" s="163"/>
      <c r="C10035" s="163"/>
      <c r="J10035" s="165"/>
      <c r="K10035" s="166"/>
      <c r="L10035" s="166"/>
    </row>
    <row r="10036">
      <c r="A10036" s="163" t="s">
        <v>222</v>
      </c>
      <c r="B10036" s="163"/>
      <c r="C10036" s="163"/>
      <c r="J10036" s="165"/>
      <c r="K10036" s="166"/>
      <c r="L10036" s="166"/>
    </row>
    <row r="10037">
      <c r="A10037" s="163" t="s">
        <v>222</v>
      </c>
      <c r="B10037" s="163"/>
      <c r="C10037" s="163"/>
      <c r="J10037" s="165"/>
      <c r="K10037" s="166"/>
      <c r="L10037" s="166"/>
    </row>
    <row r="10038">
      <c r="A10038" s="163" t="s">
        <v>222</v>
      </c>
      <c r="B10038" s="163"/>
      <c r="C10038" s="163"/>
      <c r="J10038" s="165"/>
      <c r="K10038" s="166"/>
      <c r="L10038" s="166"/>
    </row>
    <row r="10039">
      <c r="A10039" s="163" t="s">
        <v>222</v>
      </c>
      <c r="B10039" s="163"/>
      <c r="C10039" s="163"/>
      <c r="J10039" s="165"/>
      <c r="K10039" s="166"/>
      <c r="L10039" s="166"/>
    </row>
    <row r="10040">
      <c r="A10040" s="163" t="s">
        <v>222</v>
      </c>
      <c r="B10040" s="163"/>
      <c r="C10040" s="163"/>
      <c r="J10040" s="165"/>
      <c r="K10040" s="166"/>
      <c r="L10040" s="166"/>
    </row>
    <row r="10041">
      <c r="A10041" s="163" t="s">
        <v>222</v>
      </c>
      <c r="B10041" s="163"/>
      <c r="C10041" s="163"/>
      <c r="J10041" s="165"/>
      <c r="K10041" s="166"/>
      <c r="L10041" s="166"/>
    </row>
    <row r="10042">
      <c r="A10042" s="163" t="s">
        <v>222</v>
      </c>
      <c r="B10042" s="163"/>
      <c r="C10042" s="163"/>
      <c r="J10042" s="165"/>
      <c r="K10042" s="166"/>
      <c r="L10042" s="166"/>
    </row>
    <row r="10043">
      <c r="A10043" s="163" t="s">
        <v>222</v>
      </c>
      <c r="B10043" s="163"/>
      <c r="C10043" s="163"/>
      <c r="J10043" s="165"/>
      <c r="K10043" s="166"/>
      <c r="L10043" s="166"/>
    </row>
    <row r="10044">
      <c r="A10044" s="163" t="s">
        <v>222</v>
      </c>
      <c r="B10044" s="163"/>
      <c r="C10044" s="163"/>
      <c r="J10044" s="165"/>
      <c r="K10044" s="166"/>
      <c r="L10044" s="166"/>
    </row>
    <row r="10045">
      <c r="A10045" s="163" t="s">
        <v>222</v>
      </c>
      <c r="B10045" s="163"/>
      <c r="C10045" s="163"/>
      <c r="J10045" s="165"/>
      <c r="K10045" s="166"/>
      <c r="L10045" s="166"/>
    </row>
    <row r="10046">
      <c r="A10046" s="163" t="s">
        <v>222</v>
      </c>
      <c r="B10046" s="163"/>
      <c r="C10046" s="163"/>
      <c r="J10046" s="165"/>
      <c r="K10046" s="166"/>
      <c r="L10046" s="166"/>
    </row>
    <row r="10047">
      <c r="A10047" s="163" t="s">
        <v>222</v>
      </c>
      <c r="B10047" s="163"/>
      <c r="C10047" s="163"/>
      <c r="J10047" s="165"/>
      <c r="K10047" s="166"/>
      <c r="L10047" s="166"/>
    </row>
    <row r="10048">
      <c r="A10048" s="163" t="s">
        <v>222</v>
      </c>
      <c r="B10048" s="163"/>
      <c r="C10048" s="163"/>
      <c r="J10048" s="165"/>
      <c r="K10048" s="166"/>
      <c r="L10048" s="166"/>
    </row>
    <row r="10049">
      <c r="A10049" s="163" t="s">
        <v>222</v>
      </c>
      <c r="B10049" s="163"/>
      <c r="C10049" s="163"/>
      <c r="J10049" s="165"/>
      <c r="K10049" s="166"/>
      <c r="L10049" s="166"/>
    </row>
    <row r="10050">
      <c r="A10050" s="163" t="s">
        <v>222</v>
      </c>
      <c r="B10050" s="163"/>
      <c r="C10050" s="163"/>
      <c r="J10050" s="165"/>
      <c r="K10050" s="166"/>
      <c r="L10050" s="166"/>
    </row>
    <row r="10051">
      <c r="A10051" s="163" t="s">
        <v>222</v>
      </c>
      <c r="B10051" s="163"/>
      <c r="C10051" s="163"/>
      <c r="J10051" s="165"/>
      <c r="K10051" s="166"/>
      <c r="L10051" s="166"/>
    </row>
    <row r="10052">
      <c r="A10052" s="163" t="s">
        <v>222</v>
      </c>
      <c r="B10052" s="163"/>
      <c r="C10052" s="163"/>
      <c r="J10052" s="165"/>
      <c r="K10052" s="166"/>
      <c r="L10052" s="166"/>
    </row>
    <row r="10053">
      <c r="A10053" s="163" t="s">
        <v>222</v>
      </c>
      <c r="B10053" s="163"/>
      <c r="C10053" s="163"/>
      <c r="J10053" s="165"/>
      <c r="K10053" s="166"/>
      <c r="L10053" s="166"/>
    </row>
    <row r="10054">
      <c r="A10054" s="163" t="s">
        <v>222</v>
      </c>
      <c r="B10054" s="163"/>
      <c r="C10054" s="163"/>
      <c r="J10054" s="165"/>
      <c r="K10054" s="166"/>
      <c r="L10054" s="166"/>
    </row>
    <row r="10055">
      <c r="A10055" s="163" t="s">
        <v>222</v>
      </c>
      <c r="B10055" s="163"/>
      <c r="C10055" s="163"/>
      <c r="J10055" s="165"/>
      <c r="K10055" s="166"/>
      <c r="L10055" s="166"/>
    </row>
    <row r="10056">
      <c r="A10056" s="163" t="s">
        <v>222</v>
      </c>
      <c r="B10056" s="163"/>
      <c r="C10056" s="163"/>
      <c r="J10056" s="165"/>
      <c r="K10056" s="166"/>
      <c r="L10056" s="166"/>
    </row>
    <row r="10057">
      <c r="A10057" s="163" t="s">
        <v>222</v>
      </c>
      <c r="B10057" s="163"/>
      <c r="C10057" s="163"/>
      <c r="J10057" s="165"/>
      <c r="K10057" s="166"/>
      <c r="L10057" s="166"/>
    </row>
    <row r="10058">
      <c r="A10058" s="163" t="s">
        <v>222</v>
      </c>
      <c r="B10058" s="163"/>
      <c r="C10058" s="163"/>
      <c r="J10058" s="165"/>
      <c r="K10058" s="166"/>
      <c r="L10058" s="166"/>
    </row>
    <row r="10059">
      <c r="A10059" s="163" t="s">
        <v>222</v>
      </c>
      <c r="B10059" s="163"/>
      <c r="C10059" s="163"/>
      <c r="J10059" s="165"/>
      <c r="K10059" s="166"/>
      <c r="L10059" s="166"/>
    </row>
    <row r="10060">
      <c r="A10060" s="163" t="s">
        <v>222</v>
      </c>
      <c r="B10060" s="163"/>
      <c r="C10060" s="163"/>
      <c r="J10060" s="165"/>
      <c r="K10060" s="166"/>
      <c r="L10060" s="166"/>
    </row>
    <row r="10061">
      <c r="A10061" s="163" t="s">
        <v>222</v>
      </c>
      <c r="B10061" s="163"/>
      <c r="C10061" s="163"/>
      <c r="J10061" s="165"/>
      <c r="K10061" s="166"/>
      <c r="L10061" s="166"/>
    </row>
    <row r="10062">
      <c r="A10062" s="163" t="s">
        <v>222</v>
      </c>
      <c r="B10062" s="163"/>
      <c r="C10062" s="163"/>
      <c r="J10062" s="165"/>
      <c r="K10062" s="166"/>
      <c r="L10062" s="166"/>
    </row>
    <row r="10063">
      <c r="A10063" s="163" t="s">
        <v>222</v>
      </c>
      <c r="B10063" s="163"/>
      <c r="C10063" s="163"/>
      <c r="J10063" s="165"/>
      <c r="K10063" s="166"/>
      <c r="L10063" s="166"/>
    </row>
    <row r="10064">
      <c r="A10064" s="163" t="s">
        <v>222</v>
      </c>
      <c r="B10064" s="163"/>
      <c r="C10064" s="163"/>
      <c r="J10064" s="165"/>
      <c r="K10064" s="166"/>
      <c r="L10064" s="166"/>
    </row>
    <row r="10065">
      <c r="A10065" s="163" t="s">
        <v>222</v>
      </c>
      <c r="B10065" s="163"/>
      <c r="C10065" s="163"/>
      <c r="J10065" s="165"/>
      <c r="K10065" s="166"/>
      <c r="L10065" s="166"/>
    </row>
    <row r="10066">
      <c r="A10066" s="163" t="s">
        <v>222</v>
      </c>
      <c r="B10066" s="163"/>
      <c r="C10066" s="163"/>
      <c r="J10066" s="165"/>
      <c r="K10066" s="166"/>
      <c r="L10066" s="166"/>
    </row>
    <row r="10067">
      <c r="A10067" s="163" t="s">
        <v>222</v>
      </c>
      <c r="B10067" s="163"/>
      <c r="C10067" s="163"/>
      <c r="J10067" s="165"/>
      <c r="K10067" s="166"/>
      <c r="L10067" s="166"/>
    </row>
    <row r="10068">
      <c r="A10068" s="163" t="s">
        <v>222</v>
      </c>
      <c r="B10068" s="163"/>
      <c r="C10068" s="163"/>
      <c r="J10068" s="165"/>
      <c r="K10068" s="166"/>
      <c r="L10068" s="166"/>
    </row>
    <row r="10069">
      <c r="A10069" s="163" t="s">
        <v>222</v>
      </c>
      <c r="B10069" s="163"/>
      <c r="C10069" s="163"/>
      <c r="J10069" s="165"/>
      <c r="K10069" s="166"/>
      <c r="L10069" s="166"/>
    </row>
    <row r="10070">
      <c r="A10070" s="163" t="s">
        <v>222</v>
      </c>
      <c r="B10070" s="163"/>
      <c r="C10070" s="163"/>
      <c r="J10070" s="165"/>
      <c r="K10070" s="166"/>
      <c r="L10070" s="166"/>
    </row>
    <row r="10071">
      <c r="A10071" s="163" t="s">
        <v>222</v>
      </c>
      <c r="B10071" s="163"/>
      <c r="C10071" s="163"/>
      <c r="J10071" s="165"/>
      <c r="K10071" s="166"/>
      <c r="L10071" s="166"/>
    </row>
    <row r="10072">
      <c r="A10072" s="163" t="s">
        <v>222</v>
      </c>
      <c r="B10072" s="163"/>
      <c r="C10072" s="163"/>
      <c r="J10072" s="165"/>
      <c r="K10072" s="166"/>
      <c r="L10072" s="166"/>
    </row>
    <row r="10073">
      <c r="A10073" s="163" t="s">
        <v>222</v>
      </c>
      <c r="B10073" s="163"/>
      <c r="C10073" s="163"/>
      <c r="J10073" s="165"/>
      <c r="K10073" s="166"/>
      <c r="L10073" s="166"/>
    </row>
    <row r="10074">
      <c r="A10074" s="163" t="s">
        <v>222</v>
      </c>
      <c r="B10074" s="163"/>
      <c r="C10074" s="163"/>
      <c r="J10074" s="165"/>
      <c r="K10074" s="166"/>
      <c r="L10074" s="166"/>
    </row>
    <row r="10075">
      <c r="A10075" s="163" t="s">
        <v>222</v>
      </c>
      <c r="B10075" s="163"/>
      <c r="C10075" s="163"/>
      <c r="J10075" s="165"/>
      <c r="K10075" s="166"/>
      <c r="L10075" s="166"/>
    </row>
    <row r="10076">
      <c r="A10076" s="163" t="s">
        <v>222</v>
      </c>
      <c r="B10076" s="163"/>
      <c r="C10076" s="163"/>
      <c r="J10076" s="165"/>
      <c r="K10076" s="166"/>
      <c r="L10076" s="166"/>
    </row>
    <row r="10077">
      <c r="A10077" s="163" t="s">
        <v>222</v>
      </c>
      <c r="B10077" s="163"/>
      <c r="C10077" s="163"/>
      <c r="J10077" s="165"/>
      <c r="K10077" s="166"/>
      <c r="L10077" s="166"/>
    </row>
    <row r="10078">
      <c r="A10078" s="163" t="s">
        <v>222</v>
      </c>
      <c r="B10078" s="163"/>
      <c r="C10078" s="163"/>
      <c r="J10078" s="165"/>
      <c r="K10078" s="166"/>
      <c r="L10078" s="166"/>
    </row>
    <row r="10079">
      <c r="A10079" s="163" t="s">
        <v>222</v>
      </c>
      <c r="B10079" s="163"/>
      <c r="C10079" s="163"/>
      <c r="J10079" s="165"/>
      <c r="K10079" s="166"/>
      <c r="L10079" s="166"/>
    </row>
    <row r="10080">
      <c r="A10080" s="163" t="s">
        <v>222</v>
      </c>
      <c r="B10080" s="163"/>
      <c r="C10080" s="163"/>
      <c r="J10080" s="165"/>
      <c r="K10080" s="166"/>
      <c r="L10080" s="166"/>
    </row>
    <row r="10081">
      <c r="A10081" s="163" t="s">
        <v>222</v>
      </c>
      <c r="B10081" s="163"/>
      <c r="C10081" s="163"/>
      <c r="J10081" s="165"/>
      <c r="K10081" s="166"/>
      <c r="L10081" s="166"/>
    </row>
    <row r="10082">
      <c r="A10082" s="163" t="s">
        <v>222</v>
      </c>
      <c r="B10082" s="163"/>
      <c r="C10082" s="163"/>
      <c r="J10082" s="165"/>
      <c r="K10082" s="166"/>
      <c r="L10082" s="166"/>
    </row>
    <row r="10083">
      <c r="A10083" s="163" t="s">
        <v>222</v>
      </c>
      <c r="B10083" s="163"/>
      <c r="C10083" s="163"/>
      <c r="J10083" s="165"/>
      <c r="K10083" s="166"/>
      <c r="L10083" s="166"/>
    </row>
    <row r="10084">
      <c r="A10084" s="163" t="s">
        <v>222</v>
      </c>
      <c r="B10084" s="163"/>
      <c r="C10084" s="163"/>
      <c r="J10084" s="165"/>
      <c r="K10084" s="166"/>
      <c r="L10084" s="166"/>
    </row>
    <row r="10085">
      <c r="A10085" s="163" t="s">
        <v>222</v>
      </c>
      <c r="B10085" s="163"/>
      <c r="C10085" s="163"/>
      <c r="J10085" s="165"/>
      <c r="K10085" s="166"/>
      <c r="L10085" s="166"/>
    </row>
    <row r="10086">
      <c r="A10086" s="163" t="s">
        <v>222</v>
      </c>
      <c r="B10086" s="163"/>
      <c r="C10086" s="163"/>
      <c r="J10086" s="165"/>
      <c r="K10086" s="166"/>
      <c r="L10086" s="166"/>
    </row>
    <row r="10087">
      <c r="A10087" s="163" t="s">
        <v>222</v>
      </c>
      <c r="B10087" s="163"/>
      <c r="C10087" s="163"/>
      <c r="J10087" s="165"/>
      <c r="K10087" s="166"/>
      <c r="L10087" s="166"/>
    </row>
    <row r="10088">
      <c r="A10088" s="163" t="s">
        <v>222</v>
      </c>
      <c r="B10088" s="163"/>
      <c r="C10088" s="163"/>
      <c r="J10088" s="165"/>
      <c r="K10088" s="166"/>
      <c r="L10088" s="166"/>
    </row>
    <row r="10089">
      <c r="A10089" s="163" t="s">
        <v>222</v>
      </c>
      <c r="B10089" s="163"/>
      <c r="C10089" s="163"/>
      <c r="J10089" s="165"/>
      <c r="K10089" s="166"/>
      <c r="L10089" s="166"/>
    </row>
    <row r="10090">
      <c r="A10090" s="163" t="s">
        <v>222</v>
      </c>
      <c r="B10090" s="163"/>
      <c r="C10090" s="163"/>
      <c r="J10090" s="165"/>
      <c r="K10090" s="166"/>
      <c r="L10090" s="166"/>
    </row>
    <row r="10091">
      <c r="A10091" s="163" t="s">
        <v>222</v>
      </c>
      <c r="B10091" s="163"/>
      <c r="C10091" s="163"/>
      <c r="J10091" s="165"/>
      <c r="K10091" s="166"/>
      <c r="L10091" s="166"/>
    </row>
    <row r="10092">
      <c r="A10092" s="163" t="s">
        <v>222</v>
      </c>
      <c r="B10092" s="163"/>
      <c r="C10092" s="163"/>
      <c r="J10092" s="165"/>
      <c r="K10092" s="166"/>
      <c r="L10092" s="166"/>
    </row>
    <row r="10093">
      <c r="A10093" s="163" t="s">
        <v>222</v>
      </c>
      <c r="B10093" s="163"/>
      <c r="C10093" s="163"/>
      <c r="J10093" s="165"/>
      <c r="K10093" s="166"/>
      <c r="L10093" s="166"/>
    </row>
    <row r="10094">
      <c r="A10094" s="163" t="s">
        <v>222</v>
      </c>
      <c r="B10094" s="163"/>
      <c r="C10094" s="163"/>
      <c r="J10094" s="165"/>
      <c r="K10094" s="166"/>
      <c r="L10094" s="166"/>
    </row>
    <row r="10095">
      <c r="A10095" s="163" t="s">
        <v>222</v>
      </c>
      <c r="B10095" s="163"/>
      <c r="C10095" s="163"/>
      <c r="J10095" s="165"/>
      <c r="K10095" s="166"/>
      <c r="L10095" s="166"/>
    </row>
    <row r="10096">
      <c r="A10096" s="163" t="s">
        <v>222</v>
      </c>
      <c r="B10096" s="163"/>
      <c r="C10096" s="163"/>
      <c r="J10096" s="165"/>
      <c r="K10096" s="166"/>
      <c r="L10096" s="166"/>
    </row>
    <row r="10097">
      <c r="A10097" s="163" t="s">
        <v>222</v>
      </c>
      <c r="B10097" s="163"/>
      <c r="C10097" s="163"/>
      <c r="J10097" s="165"/>
      <c r="K10097" s="166"/>
      <c r="L10097" s="166"/>
    </row>
    <row r="10098">
      <c r="A10098" s="163" t="s">
        <v>222</v>
      </c>
      <c r="B10098" s="163"/>
      <c r="C10098" s="163"/>
      <c r="J10098" s="165"/>
      <c r="K10098" s="166"/>
      <c r="L10098" s="166"/>
    </row>
    <row r="10099">
      <c r="A10099" s="163" t="s">
        <v>222</v>
      </c>
      <c r="B10099" s="163"/>
      <c r="C10099" s="163"/>
      <c r="J10099" s="165"/>
      <c r="K10099" s="166"/>
      <c r="L10099" s="166"/>
    </row>
    <row r="10100">
      <c r="A10100" s="163" t="s">
        <v>222</v>
      </c>
      <c r="B10100" s="163"/>
      <c r="C10100" s="163"/>
      <c r="J10100" s="165"/>
      <c r="K10100" s="166"/>
      <c r="L10100" s="166"/>
    </row>
    <row r="10101">
      <c r="A10101" s="163" t="s">
        <v>222</v>
      </c>
      <c r="B10101" s="163"/>
      <c r="C10101" s="163"/>
      <c r="J10101" s="165"/>
      <c r="K10101" s="166"/>
      <c r="L10101" s="166"/>
    </row>
    <row r="10102">
      <c r="A10102" s="163" t="s">
        <v>222</v>
      </c>
      <c r="B10102" s="163"/>
      <c r="C10102" s="163"/>
      <c r="J10102" s="165"/>
      <c r="K10102" s="166"/>
      <c r="L10102" s="166"/>
    </row>
    <row r="10103">
      <c r="A10103" s="163" t="s">
        <v>222</v>
      </c>
      <c r="B10103" s="163"/>
      <c r="C10103" s="163"/>
      <c r="J10103" s="165"/>
      <c r="K10103" s="166"/>
      <c r="L10103" s="166"/>
    </row>
    <row r="10104">
      <c r="A10104" s="163" t="s">
        <v>222</v>
      </c>
      <c r="B10104" s="163"/>
      <c r="C10104" s="163"/>
      <c r="J10104" s="165"/>
      <c r="K10104" s="166"/>
      <c r="L10104" s="166"/>
    </row>
    <row r="10105">
      <c r="A10105" s="163" t="s">
        <v>222</v>
      </c>
      <c r="B10105" s="163"/>
      <c r="C10105" s="163"/>
      <c r="J10105" s="165"/>
      <c r="K10105" s="166"/>
      <c r="L10105" s="166"/>
    </row>
    <row r="10106">
      <c r="A10106" s="163" t="s">
        <v>222</v>
      </c>
      <c r="B10106" s="163"/>
      <c r="C10106" s="163"/>
      <c r="J10106" s="165"/>
      <c r="K10106" s="166"/>
      <c r="L10106" s="166"/>
    </row>
    <row r="10107">
      <c r="A10107" s="163" t="s">
        <v>222</v>
      </c>
      <c r="B10107" s="163"/>
      <c r="C10107" s="163"/>
      <c r="J10107" s="165"/>
      <c r="K10107" s="166"/>
      <c r="L10107" s="166"/>
    </row>
    <row r="10108">
      <c r="A10108" s="163" t="s">
        <v>222</v>
      </c>
      <c r="B10108" s="163"/>
      <c r="C10108" s="163"/>
      <c r="J10108" s="165"/>
      <c r="K10108" s="166"/>
      <c r="L10108" s="166"/>
    </row>
    <row r="10109">
      <c r="A10109" s="163" t="s">
        <v>222</v>
      </c>
      <c r="B10109" s="163"/>
      <c r="C10109" s="163"/>
      <c r="J10109" s="165"/>
      <c r="K10109" s="166"/>
      <c r="L10109" s="166"/>
    </row>
    <row r="10110">
      <c r="A10110" s="163" t="s">
        <v>222</v>
      </c>
      <c r="B10110" s="163"/>
      <c r="C10110" s="163"/>
      <c r="J10110" s="165"/>
      <c r="K10110" s="166"/>
      <c r="L10110" s="166"/>
    </row>
    <row r="10111">
      <c r="A10111" s="163" t="s">
        <v>222</v>
      </c>
      <c r="B10111" s="163"/>
      <c r="C10111" s="163"/>
      <c r="J10111" s="165"/>
      <c r="K10111" s="166"/>
      <c r="L10111" s="166"/>
    </row>
    <row r="10112">
      <c r="A10112" s="163" t="s">
        <v>222</v>
      </c>
      <c r="B10112" s="163"/>
      <c r="C10112" s="163"/>
      <c r="J10112" s="165"/>
      <c r="K10112" s="166"/>
      <c r="L10112" s="166"/>
    </row>
    <row r="10113">
      <c r="A10113" s="163" t="s">
        <v>222</v>
      </c>
      <c r="B10113" s="163"/>
      <c r="C10113" s="163"/>
      <c r="J10113" s="165"/>
      <c r="K10113" s="166"/>
      <c r="L10113" s="166"/>
    </row>
    <row r="10114">
      <c r="A10114" s="163" t="s">
        <v>222</v>
      </c>
      <c r="B10114" s="163"/>
      <c r="C10114" s="163"/>
      <c r="J10114" s="165"/>
      <c r="K10114" s="166"/>
      <c r="L10114" s="166"/>
    </row>
    <row r="10115">
      <c r="A10115" s="163" t="s">
        <v>222</v>
      </c>
      <c r="B10115" s="163"/>
      <c r="C10115" s="163"/>
      <c r="J10115" s="165"/>
      <c r="K10115" s="166"/>
      <c r="L10115" s="166"/>
    </row>
    <row r="10116">
      <c r="A10116" s="163" t="s">
        <v>222</v>
      </c>
      <c r="B10116" s="163"/>
      <c r="C10116" s="163"/>
      <c r="J10116" s="165"/>
      <c r="K10116" s="166"/>
      <c r="L10116" s="166"/>
    </row>
    <row r="10117">
      <c r="A10117" s="163" t="s">
        <v>222</v>
      </c>
      <c r="B10117" s="163"/>
      <c r="C10117" s="163"/>
      <c r="J10117" s="165"/>
      <c r="K10117" s="166"/>
      <c r="L10117" s="166"/>
    </row>
    <row r="10118">
      <c r="A10118" s="163" t="s">
        <v>222</v>
      </c>
      <c r="B10118" s="163"/>
      <c r="C10118" s="163"/>
      <c r="J10118" s="165"/>
      <c r="K10118" s="166"/>
      <c r="L10118" s="166"/>
    </row>
    <row r="10119">
      <c r="A10119" s="163" t="s">
        <v>222</v>
      </c>
      <c r="B10119" s="163"/>
      <c r="C10119" s="163"/>
      <c r="J10119" s="165"/>
      <c r="K10119" s="166"/>
      <c r="L10119" s="166"/>
    </row>
    <row r="10120">
      <c r="A10120" s="163" t="s">
        <v>222</v>
      </c>
      <c r="B10120" s="163"/>
      <c r="C10120" s="163"/>
      <c r="J10120" s="165"/>
      <c r="K10120" s="166"/>
      <c r="L10120" s="166"/>
    </row>
    <row r="10121">
      <c r="A10121" s="163" t="s">
        <v>222</v>
      </c>
      <c r="B10121" s="163"/>
      <c r="C10121" s="163"/>
      <c r="J10121" s="165"/>
      <c r="K10121" s="166"/>
      <c r="L10121" s="166"/>
    </row>
    <row r="10122">
      <c r="A10122" s="163" t="s">
        <v>222</v>
      </c>
      <c r="B10122" s="163"/>
      <c r="C10122" s="163"/>
      <c r="J10122" s="165"/>
      <c r="K10122" s="166"/>
      <c r="L10122" s="166"/>
    </row>
    <row r="10123">
      <c r="A10123" s="163" t="s">
        <v>222</v>
      </c>
      <c r="B10123" s="163"/>
      <c r="C10123" s="163"/>
      <c r="J10123" s="165"/>
      <c r="K10123" s="166"/>
      <c r="L10123" s="166"/>
    </row>
    <row r="10124">
      <c r="A10124" s="163" t="s">
        <v>222</v>
      </c>
      <c r="B10124" s="163"/>
      <c r="C10124" s="163"/>
      <c r="J10124" s="165"/>
      <c r="K10124" s="166"/>
      <c r="L10124" s="166"/>
    </row>
    <row r="10125">
      <c r="A10125" s="163" t="s">
        <v>222</v>
      </c>
      <c r="B10125" s="163"/>
      <c r="C10125" s="163"/>
      <c r="J10125" s="165"/>
      <c r="K10125" s="166"/>
      <c r="L10125" s="166"/>
    </row>
    <row r="10126">
      <c r="A10126" s="163" t="s">
        <v>222</v>
      </c>
      <c r="B10126" s="163"/>
      <c r="C10126" s="163"/>
      <c r="J10126" s="165"/>
      <c r="K10126" s="166"/>
      <c r="L10126" s="166"/>
    </row>
    <row r="10127">
      <c r="A10127" s="163" t="s">
        <v>222</v>
      </c>
      <c r="B10127" s="163"/>
      <c r="C10127" s="163"/>
      <c r="J10127" s="165"/>
      <c r="K10127" s="166"/>
      <c r="L10127" s="166"/>
    </row>
    <row r="10128">
      <c r="A10128" s="163" t="s">
        <v>222</v>
      </c>
      <c r="B10128" s="163"/>
      <c r="C10128" s="163"/>
      <c r="J10128" s="165"/>
      <c r="K10128" s="166"/>
      <c r="L10128" s="166"/>
    </row>
    <row r="10129">
      <c r="A10129" s="163" t="s">
        <v>222</v>
      </c>
      <c r="B10129" s="163"/>
      <c r="C10129" s="163"/>
      <c r="J10129" s="165"/>
      <c r="K10129" s="166"/>
      <c r="L10129" s="166"/>
    </row>
    <row r="10130">
      <c r="A10130" s="163" t="s">
        <v>222</v>
      </c>
      <c r="B10130" s="163"/>
      <c r="C10130" s="163"/>
      <c r="J10130" s="165"/>
      <c r="K10130" s="166"/>
      <c r="L10130" s="166"/>
    </row>
    <row r="10131">
      <c r="A10131" s="163" t="s">
        <v>222</v>
      </c>
      <c r="B10131" s="163"/>
      <c r="C10131" s="163"/>
      <c r="J10131" s="165"/>
      <c r="K10131" s="166"/>
      <c r="L10131" s="166"/>
    </row>
    <row r="10132">
      <c r="A10132" s="163" t="s">
        <v>222</v>
      </c>
      <c r="B10132" s="163"/>
      <c r="C10132" s="163"/>
      <c r="J10132" s="165"/>
      <c r="K10132" s="166"/>
      <c r="L10132" s="166"/>
    </row>
    <row r="10133">
      <c r="A10133" s="163" t="s">
        <v>222</v>
      </c>
      <c r="B10133" s="163"/>
      <c r="C10133" s="163"/>
      <c r="J10133" s="165"/>
      <c r="K10133" s="166"/>
      <c r="L10133" s="166"/>
    </row>
    <row r="10134">
      <c r="A10134" s="163" t="s">
        <v>222</v>
      </c>
      <c r="B10134" s="163"/>
      <c r="C10134" s="163"/>
      <c r="J10134" s="165"/>
      <c r="K10134" s="166"/>
      <c r="L10134" s="166"/>
    </row>
    <row r="10135">
      <c r="A10135" s="163" t="s">
        <v>222</v>
      </c>
      <c r="B10135" s="163"/>
      <c r="C10135" s="163"/>
      <c r="J10135" s="165"/>
      <c r="K10135" s="166"/>
      <c r="L10135" s="166"/>
    </row>
    <row r="10136">
      <c r="A10136" s="163" t="s">
        <v>222</v>
      </c>
      <c r="B10136" s="163"/>
      <c r="C10136" s="163"/>
      <c r="J10136" s="165"/>
      <c r="K10136" s="166"/>
      <c r="L10136" s="166"/>
    </row>
    <row r="10137">
      <c r="A10137" s="163" t="s">
        <v>222</v>
      </c>
      <c r="B10137" s="163"/>
      <c r="C10137" s="163"/>
      <c r="J10137" s="165"/>
      <c r="K10137" s="166"/>
      <c r="L10137" s="166"/>
    </row>
    <row r="10138">
      <c r="A10138" s="163" t="s">
        <v>222</v>
      </c>
      <c r="B10138" s="163"/>
      <c r="C10138" s="163"/>
      <c r="J10138" s="165"/>
      <c r="K10138" s="166"/>
      <c r="L10138" s="166"/>
    </row>
    <row r="10139">
      <c r="A10139" s="163" t="s">
        <v>222</v>
      </c>
      <c r="B10139" s="163"/>
      <c r="C10139" s="163"/>
      <c r="J10139" s="165"/>
      <c r="K10139" s="166"/>
      <c r="L10139" s="166"/>
    </row>
    <row r="10140">
      <c r="A10140" s="163" t="s">
        <v>222</v>
      </c>
      <c r="B10140" s="163"/>
      <c r="C10140" s="163"/>
      <c r="J10140" s="165"/>
      <c r="K10140" s="166"/>
      <c r="L10140" s="166"/>
    </row>
    <row r="10141">
      <c r="A10141" s="163" t="s">
        <v>222</v>
      </c>
      <c r="B10141" s="163"/>
      <c r="C10141" s="163"/>
      <c r="J10141" s="165"/>
      <c r="K10141" s="166"/>
      <c r="L10141" s="166"/>
    </row>
    <row r="10142">
      <c r="A10142" s="163" t="s">
        <v>222</v>
      </c>
      <c r="B10142" s="163"/>
      <c r="C10142" s="163"/>
      <c r="J10142" s="165"/>
      <c r="K10142" s="166"/>
      <c r="L10142" s="166"/>
    </row>
    <row r="10143">
      <c r="A10143" s="163" t="s">
        <v>222</v>
      </c>
      <c r="B10143" s="163"/>
      <c r="C10143" s="163"/>
      <c r="J10143" s="165"/>
      <c r="K10143" s="166"/>
      <c r="L10143" s="166"/>
    </row>
    <row r="10144">
      <c r="A10144" s="163" t="s">
        <v>222</v>
      </c>
      <c r="B10144" s="163"/>
      <c r="C10144" s="163"/>
      <c r="J10144" s="165"/>
      <c r="K10144" s="166"/>
      <c r="L10144" s="166"/>
    </row>
    <row r="10145">
      <c r="A10145" s="163" t="s">
        <v>222</v>
      </c>
      <c r="B10145" s="163"/>
      <c r="C10145" s="163"/>
      <c r="J10145" s="165"/>
      <c r="K10145" s="166"/>
      <c r="L10145" s="166"/>
    </row>
    <row r="10146">
      <c r="A10146" s="163" t="s">
        <v>222</v>
      </c>
      <c r="B10146" s="163"/>
      <c r="C10146" s="163"/>
      <c r="J10146" s="165"/>
      <c r="K10146" s="166"/>
      <c r="L10146" s="166"/>
    </row>
    <row r="10147">
      <c r="A10147" s="163" t="s">
        <v>222</v>
      </c>
      <c r="B10147" s="163"/>
      <c r="C10147" s="163"/>
      <c r="J10147" s="165"/>
      <c r="K10147" s="166"/>
      <c r="L10147" s="166"/>
    </row>
    <row r="10148">
      <c r="A10148" s="163" t="s">
        <v>222</v>
      </c>
      <c r="B10148" s="163"/>
      <c r="C10148" s="163"/>
      <c r="J10148" s="165"/>
      <c r="K10148" s="166"/>
      <c r="L10148" s="166"/>
    </row>
    <row r="10149">
      <c r="A10149" s="163" t="s">
        <v>222</v>
      </c>
      <c r="B10149" s="163"/>
      <c r="C10149" s="163"/>
      <c r="J10149" s="165"/>
      <c r="K10149" s="166"/>
      <c r="L10149" s="166"/>
    </row>
    <row r="10150">
      <c r="A10150" s="163" t="s">
        <v>222</v>
      </c>
      <c r="B10150" s="163"/>
      <c r="C10150" s="163"/>
      <c r="J10150" s="165"/>
      <c r="K10150" s="166"/>
      <c r="L10150" s="166"/>
    </row>
    <row r="10151">
      <c r="A10151" s="163" t="s">
        <v>222</v>
      </c>
      <c r="B10151" s="163"/>
      <c r="C10151" s="163"/>
      <c r="J10151" s="165"/>
      <c r="K10151" s="166"/>
      <c r="L10151" s="166"/>
    </row>
    <row r="10152">
      <c r="A10152" s="163" t="s">
        <v>222</v>
      </c>
      <c r="B10152" s="163"/>
      <c r="C10152" s="163"/>
      <c r="J10152" s="165"/>
      <c r="K10152" s="166"/>
      <c r="L10152" s="166"/>
    </row>
    <row r="10153">
      <c r="A10153" s="163" t="s">
        <v>222</v>
      </c>
      <c r="B10153" s="163"/>
      <c r="C10153" s="163"/>
      <c r="J10153" s="165"/>
      <c r="K10153" s="166"/>
      <c r="L10153" s="166"/>
    </row>
    <row r="10154">
      <c r="A10154" s="163" t="s">
        <v>222</v>
      </c>
      <c r="B10154" s="163"/>
      <c r="C10154" s="163"/>
      <c r="J10154" s="165"/>
      <c r="K10154" s="166"/>
      <c r="L10154" s="166"/>
    </row>
    <row r="10155">
      <c r="A10155" s="163" t="s">
        <v>222</v>
      </c>
      <c r="B10155" s="163"/>
      <c r="C10155" s="163"/>
      <c r="J10155" s="165"/>
      <c r="K10155" s="166"/>
      <c r="L10155" s="166"/>
    </row>
    <row r="10156">
      <c r="A10156" s="163" t="s">
        <v>222</v>
      </c>
      <c r="B10156" s="163"/>
      <c r="C10156" s="163"/>
      <c r="J10156" s="165"/>
      <c r="K10156" s="166"/>
      <c r="L10156" s="166"/>
    </row>
    <row r="10157">
      <c r="A10157" s="163" t="s">
        <v>222</v>
      </c>
      <c r="B10157" s="163"/>
      <c r="C10157" s="163"/>
      <c r="J10157" s="165"/>
      <c r="K10157" s="166"/>
      <c r="L10157" s="166"/>
    </row>
    <row r="10158">
      <c r="A10158" s="163" t="s">
        <v>222</v>
      </c>
      <c r="B10158" s="163"/>
      <c r="C10158" s="163"/>
      <c r="J10158" s="165"/>
      <c r="K10158" s="166"/>
      <c r="L10158" s="166"/>
    </row>
    <row r="10159">
      <c r="A10159" s="163" t="s">
        <v>222</v>
      </c>
      <c r="B10159" s="163"/>
      <c r="C10159" s="163"/>
      <c r="J10159" s="165"/>
      <c r="K10159" s="166"/>
      <c r="L10159" s="166"/>
    </row>
    <row r="10160">
      <c r="A10160" s="163" t="s">
        <v>222</v>
      </c>
      <c r="B10160" s="163"/>
      <c r="C10160" s="163"/>
      <c r="J10160" s="165"/>
      <c r="K10160" s="166"/>
      <c r="L10160" s="166"/>
    </row>
    <row r="10161">
      <c r="A10161" s="163" t="s">
        <v>222</v>
      </c>
      <c r="B10161" s="163"/>
      <c r="C10161" s="163"/>
      <c r="J10161" s="165"/>
      <c r="K10161" s="166"/>
      <c r="L10161" s="166"/>
    </row>
    <row r="10162">
      <c r="A10162" s="163" t="s">
        <v>222</v>
      </c>
      <c r="B10162" s="163"/>
      <c r="C10162" s="163"/>
      <c r="J10162" s="165"/>
      <c r="K10162" s="166"/>
      <c r="L10162" s="166"/>
    </row>
    <row r="10163">
      <c r="A10163" s="163" t="s">
        <v>222</v>
      </c>
      <c r="B10163" s="163"/>
      <c r="C10163" s="163"/>
      <c r="J10163" s="165"/>
      <c r="K10163" s="166"/>
      <c r="L10163" s="166"/>
    </row>
    <row r="10164">
      <c r="A10164" s="163" t="s">
        <v>222</v>
      </c>
      <c r="B10164" s="163"/>
      <c r="C10164" s="163"/>
      <c r="J10164" s="165"/>
      <c r="K10164" s="166"/>
      <c r="L10164" s="166"/>
    </row>
    <row r="10165">
      <c r="A10165" s="163" t="s">
        <v>222</v>
      </c>
      <c r="B10165" s="163"/>
      <c r="C10165" s="163"/>
      <c r="J10165" s="165"/>
      <c r="K10165" s="166"/>
      <c r="L10165" s="166"/>
    </row>
    <row r="10166">
      <c r="A10166" s="163" t="s">
        <v>222</v>
      </c>
      <c r="B10166" s="163"/>
      <c r="C10166" s="163"/>
      <c r="J10166" s="165"/>
      <c r="K10166" s="166"/>
      <c r="L10166" s="166"/>
    </row>
    <row r="10167">
      <c r="A10167" s="163" t="s">
        <v>222</v>
      </c>
      <c r="B10167" s="163"/>
      <c r="C10167" s="163"/>
      <c r="J10167" s="165"/>
      <c r="K10167" s="166"/>
      <c r="L10167" s="166"/>
    </row>
    <row r="10168">
      <c r="A10168" s="163" t="s">
        <v>222</v>
      </c>
      <c r="B10168" s="163"/>
      <c r="C10168" s="163"/>
      <c r="J10168" s="165"/>
      <c r="K10168" s="166"/>
      <c r="L10168" s="166"/>
    </row>
    <row r="10169">
      <c r="A10169" s="163" t="s">
        <v>222</v>
      </c>
      <c r="B10169" s="163"/>
      <c r="C10169" s="163"/>
      <c r="J10169" s="165"/>
      <c r="K10169" s="166"/>
      <c r="L10169" s="166"/>
    </row>
    <row r="10170">
      <c r="A10170" s="163" t="s">
        <v>222</v>
      </c>
      <c r="B10170" s="163"/>
      <c r="C10170" s="163"/>
      <c r="J10170" s="165"/>
      <c r="K10170" s="166"/>
      <c r="L10170" s="166"/>
    </row>
    <row r="10171">
      <c r="A10171" s="163" t="s">
        <v>222</v>
      </c>
      <c r="B10171" s="163"/>
      <c r="C10171" s="163"/>
      <c r="J10171" s="165"/>
      <c r="K10171" s="166"/>
      <c r="L10171" s="166"/>
    </row>
    <row r="10172">
      <c r="A10172" s="163" t="s">
        <v>222</v>
      </c>
      <c r="B10172" s="163"/>
      <c r="C10172" s="163"/>
      <c r="J10172" s="165"/>
      <c r="K10172" s="166"/>
      <c r="L10172" s="166"/>
    </row>
    <row r="10173">
      <c r="A10173" s="163" t="s">
        <v>222</v>
      </c>
      <c r="B10173" s="163"/>
      <c r="C10173" s="163"/>
      <c r="J10173" s="165"/>
      <c r="K10173" s="166"/>
      <c r="L10173" s="166"/>
    </row>
    <row r="10174">
      <c r="A10174" s="163" t="s">
        <v>222</v>
      </c>
      <c r="B10174" s="163"/>
      <c r="C10174" s="163"/>
      <c r="J10174" s="165"/>
      <c r="K10174" s="166"/>
      <c r="L10174" s="166"/>
    </row>
    <row r="10175">
      <c r="A10175" s="163" t="s">
        <v>222</v>
      </c>
      <c r="B10175" s="163"/>
      <c r="C10175" s="163"/>
      <c r="J10175" s="165"/>
      <c r="K10175" s="166"/>
      <c r="L10175" s="166"/>
    </row>
    <row r="10176">
      <c r="A10176" s="163" t="s">
        <v>222</v>
      </c>
      <c r="B10176" s="163"/>
      <c r="C10176" s="163"/>
      <c r="J10176" s="165"/>
      <c r="K10176" s="166"/>
      <c r="L10176" s="166"/>
    </row>
    <row r="10177">
      <c r="A10177" s="163" t="s">
        <v>222</v>
      </c>
      <c r="B10177" s="163"/>
      <c r="C10177" s="163"/>
      <c r="J10177" s="165"/>
      <c r="K10177" s="166"/>
      <c r="L10177" s="166"/>
    </row>
    <row r="10178">
      <c r="A10178" s="163" t="s">
        <v>222</v>
      </c>
      <c r="B10178" s="163"/>
      <c r="C10178" s="163"/>
      <c r="J10178" s="165"/>
      <c r="K10178" s="166"/>
      <c r="L10178" s="166"/>
    </row>
    <row r="10179">
      <c r="A10179" s="163" t="s">
        <v>222</v>
      </c>
      <c r="B10179" s="163"/>
      <c r="C10179" s="163"/>
      <c r="J10179" s="165"/>
      <c r="K10179" s="166"/>
      <c r="L10179" s="166"/>
    </row>
    <row r="10180">
      <c r="A10180" s="163" t="s">
        <v>222</v>
      </c>
      <c r="B10180" s="163"/>
      <c r="C10180" s="163"/>
      <c r="J10180" s="165"/>
      <c r="K10180" s="166"/>
      <c r="L10180" s="166"/>
    </row>
    <row r="10181">
      <c r="A10181" s="163" t="s">
        <v>222</v>
      </c>
      <c r="B10181" s="163"/>
      <c r="C10181" s="163"/>
      <c r="J10181" s="165"/>
      <c r="K10181" s="166"/>
      <c r="L10181" s="166"/>
    </row>
    <row r="10182">
      <c r="A10182" s="163" t="s">
        <v>222</v>
      </c>
      <c r="B10182" s="163"/>
      <c r="C10182" s="163"/>
      <c r="J10182" s="165"/>
      <c r="K10182" s="166"/>
      <c r="L10182" s="166"/>
    </row>
    <row r="10183">
      <c r="A10183" s="163" t="s">
        <v>222</v>
      </c>
      <c r="B10183" s="163"/>
      <c r="C10183" s="163"/>
      <c r="J10183" s="165"/>
      <c r="K10183" s="166"/>
      <c r="L10183" s="166"/>
    </row>
    <row r="10184">
      <c r="A10184" s="163" t="s">
        <v>222</v>
      </c>
      <c r="B10184" s="163"/>
      <c r="C10184" s="163"/>
      <c r="J10184" s="165"/>
      <c r="K10184" s="166"/>
      <c r="L10184" s="166"/>
    </row>
    <row r="10185">
      <c r="A10185" s="163" t="s">
        <v>222</v>
      </c>
      <c r="B10185" s="163"/>
      <c r="C10185" s="163"/>
      <c r="J10185" s="165"/>
      <c r="K10185" s="166"/>
      <c r="L10185" s="166"/>
    </row>
    <row r="10186">
      <c r="A10186" s="163" t="s">
        <v>222</v>
      </c>
      <c r="B10186" s="163"/>
      <c r="C10186" s="163"/>
      <c r="J10186" s="165"/>
      <c r="K10186" s="166"/>
      <c r="L10186" s="166"/>
    </row>
    <row r="10187">
      <c r="A10187" s="163" t="s">
        <v>222</v>
      </c>
      <c r="B10187" s="163"/>
      <c r="C10187" s="163"/>
      <c r="J10187" s="165"/>
      <c r="K10187" s="166"/>
      <c r="L10187" s="166"/>
    </row>
    <row r="10188">
      <c r="A10188" s="163" t="s">
        <v>222</v>
      </c>
      <c r="B10188" s="163"/>
      <c r="C10188" s="163"/>
      <c r="J10188" s="165"/>
      <c r="K10188" s="166"/>
      <c r="L10188" s="166"/>
    </row>
    <row r="10189">
      <c r="A10189" s="163" t="s">
        <v>222</v>
      </c>
      <c r="B10189" s="163"/>
      <c r="C10189" s="163"/>
      <c r="J10189" s="165"/>
      <c r="K10189" s="166"/>
      <c r="L10189" s="166"/>
    </row>
    <row r="10190">
      <c r="A10190" s="163" t="s">
        <v>222</v>
      </c>
      <c r="B10190" s="163"/>
      <c r="C10190" s="163"/>
      <c r="J10190" s="165"/>
      <c r="K10190" s="166"/>
      <c r="L10190" s="166"/>
    </row>
    <row r="10191">
      <c r="A10191" s="163" t="s">
        <v>222</v>
      </c>
      <c r="B10191" s="163"/>
      <c r="C10191" s="163"/>
      <c r="J10191" s="165"/>
      <c r="K10191" s="166"/>
      <c r="L10191" s="166"/>
    </row>
    <row r="10192">
      <c r="A10192" s="163" t="s">
        <v>222</v>
      </c>
      <c r="B10192" s="163"/>
      <c r="C10192" s="163"/>
      <c r="J10192" s="165"/>
      <c r="K10192" s="166"/>
      <c r="L10192" s="166"/>
    </row>
    <row r="10193">
      <c r="A10193" s="163" t="s">
        <v>222</v>
      </c>
      <c r="B10193" s="163"/>
      <c r="C10193" s="163"/>
      <c r="J10193" s="165"/>
      <c r="K10193" s="166"/>
      <c r="L10193" s="166"/>
    </row>
    <row r="10194">
      <c r="A10194" s="163" t="s">
        <v>222</v>
      </c>
      <c r="B10194" s="163"/>
      <c r="C10194" s="163"/>
      <c r="J10194" s="165"/>
      <c r="K10194" s="166"/>
      <c r="L10194" s="166"/>
    </row>
    <row r="10195">
      <c r="A10195" s="163" t="s">
        <v>222</v>
      </c>
      <c r="B10195" s="163"/>
      <c r="C10195" s="163"/>
      <c r="J10195" s="165"/>
      <c r="K10195" s="166"/>
      <c r="L10195" s="166"/>
    </row>
    <row r="10196">
      <c r="A10196" s="163" t="s">
        <v>222</v>
      </c>
      <c r="B10196" s="163"/>
      <c r="C10196" s="163"/>
      <c r="J10196" s="165"/>
      <c r="K10196" s="166"/>
      <c r="L10196" s="166"/>
    </row>
    <row r="10197">
      <c r="A10197" s="163" t="s">
        <v>222</v>
      </c>
      <c r="B10197" s="163"/>
      <c r="C10197" s="163"/>
      <c r="J10197" s="165"/>
      <c r="K10197" s="166"/>
      <c r="L10197" s="166"/>
    </row>
    <row r="10198">
      <c r="A10198" s="163" t="s">
        <v>222</v>
      </c>
      <c r="B10198" s="163"/>
      <c r="C10198" s="163"/>
      <c r="J10198" s="165"/>
      <c r="K10198" s="166"/>
      <c r="L10198" s="166"/>
    </row>
    <row r="10199">
      <c r="A10199" s="163" t="s">
        <v>222</v>
      </c>
      <c r="B10199" s="163"/>
      <c r="C10199" s="163"/>
      <c r="J10199" s="165"/>
      <c r="K10199" s="166"/>
      <c r="L10199" s="166"/>
    </row>
    <row r="10200">
      <c r="A10200" s="163" t="s">
        <v>222</v>
      </c>
      <c r="B10200" s="163"/>
      <c r="C10200" s="163"/>
      <c r="J10200" s="165"/>
      <c r="K10200" s="166"/>
      <c r="L10200" s="166"/>
    </row>
    <row r="10201">
      <c r="A10201" s="163" t="s">
        <v>222</v>
      </c>
      <c r="B10201" s="163"/>
      <c r="C10201" s="163"/>
      <c r="J10201" s="165"/>
      <c r="K10201" s="166"/>
      <c r="L10201" s="166"/>
    </row>
    <row r="10202">
      <c r="A10202" s="163" t="s">
        <v>222</v>
      </c>
      <c r="B10202" s="163"/>
      <c r="C10202" s="163"/>
      <c r="J10202" s="165"/>
      <c r="K10202" s="166"/>
      <c r="L10202" s="166"/>
    </row>
    <row r="10203">
      <c r="A10203" s="163" t="s">
        <v>222</v>
      </c>
      <c r="B10203" s="163"/>
      <c r="C10203" s="163"/>
      <c r="J10203" s="165"/>
      <c r="K10203" s="166"/>
      <c r="L10203" s="166"/>
    </row>
    <row r="10204">
      <c r="A10204" s="163" t="s">
        <v>222</v>
      </c>
      <c r="B10204" s="163"/>
      <c r="C10204" s="163"/>
      <c r="J10204" s="165"/>
      <c r="K10204" s="166"/>
      <c r="L10204" s="166"/>
    </row>
    <row r="10205">
      <c r="A10205" s="163" t="s">
        <v>222</v>
      </c>
      <c r="B10205" s="163"/>
      <c r="C10205" s="163"/>
      <c r="J10205" s="165"/>
      <c r="K10205" s="166"/>
      <c r="L10205" s="166"/>
    </row>
    <row r="10206">
      <c r="A10206" s="163" t="s">
        <v>222</v>
      </c>
      <c r="B10206" s="163"/>
      <c r="C10206" s="163"/>
      <c r="J10206" s="165"/>
      <c r="K10206" s="166"/>
      <c r="L10206" s="166"/>
    </row>
    <row r="10207">
      <c r="A10207" s="163" t="s">
        <v>222</v>
      </c>
      <c r="B10207" s="163"/>
      <c r="C10207" s="163"/>
      <c r="J10207" s="165"/>
      <c r="K10207" s="166"/>
      <c r="L10207" s="166"/>
    </row>
    <row r="10208">
      <c r="A10208" s="163" t="s">
        <v>222</v>
      </c>
      <c r="B10208" s="163"/>
      <c r="C10208" s="163"/>
      <c r="J10208" s="165"/>
      <c r="K10208" s="166"/>
      <c r="L10208" s="166"/>
    </row>
    <row r="10209">
      <c r="A10209" s="163" t="s">
        <v>222</v>
      </c>
      <c r="B10209" s="163"/>
      <c r="C10209" s="163"/>
      <c r="J10209" s="165"/>
      <c r="K10209" s="166"/>
      <c r="L10209" s="166"/>
    </row>
    <row r="10210">
      <c r="A10210" s="163" t="s">
        <v>222</v>
      </c>
      <c r="B10210" s="163"/>
      <c r="C10210" s="163"/>
      <c r="J10210" s="165"/>
      <c r="K10210" s="166"/>
      <c r="L10210" s="166"/>
    </row>
    <row r="10211">
      <c r="A10211" s="163" t="s">
        <v>222</v>
      </c>
      <c r="B10211" s="163"/>
      <c r="C10211" s="163"/>
      <c r="J10211" s="165"/>
      <c r="K10211" s="166"/>
      <c r="L10211" s="166"/>
    </row>
    <row r="10212">
      <c r="A10212" s="163" t="s">
        <v>222</v>
      </c>
      <c r="B10212" s="163"/>
      <c r="C10212" s="163"/>
      <c r="J10212" s="165"/>
      <c r="K10212" s="166"/>
      <c r="L10212" s="166"/>
    </row>
    <row r="10213">
      <c r="A10213" s="163" t="s">
        <v>222</v>
      </c>
      <c r="B10213" s="163"/>
      <c r="C10213" s="163"/>
      <c r="J10213" s="165"/>
      <c r="K10213" s="166"/>
      <c r="L10213" s="166"/>
    </row>
    <row r="10214">
      <c r="A10214" s="163" t="s">
        <v>222</v>
      </c>
      <c r="B10214" s="163"/>
      <c r="C10214" s="163"/>
      <c r="J10214" s="165"/>
      <c r="K10214" s="166"/>
      <c r="L10214" s="166"/>
    </row>
    <row r="10215">
      <c r="A10215" s="163" t="s">
        <v>222</v>
      </c>
      <c r="B10215" s="163"/>
      <c r="C10215" s="163"/>
      <c r="J10215" s="165"/>
      <c r="K10215" s="166"/>
      <c r="L10215" s="166"/>
    </row>
    <row r="10216">
      <c r="A10216" s="163" t="s">
        <v>222</v>
      </c>
      <c r="B10216" s="163"/>
      <c r="C10216" s="163"/>
      <c r="J10216" s="165"/>
      <c r="K10216" s="166"/>
      <c r="L10216" s="166"/>
    </row>
    <row r="10217">
      <c r="A10217" s="163" t="s">
        <v>222</v>
      </c>
      <c r="B10217" s="163"/>
      <c r="C10217" s="163"/>
      <c r="J10217" s="165"/>
      <c r="K10217" s="166"/>
      <c r="L10217" s="166"/>
    </row>
    <row r="10218">
      <c r="A10218" s="163" t="s">
        <v>222</v>
      </c>
      <c r="B10218" s="163"/>
      <c r="C10218" s="163"/>
      <c r="J10218" s="165"/>
      <c r="K10218" s="166"/>
      <c r="L10218" s="166"/>
    </row>
    <row r="10219">
      <c r="A10219" s="163" t="s">
        <v>222</v>
      </c>
      <c r="B10219" s="163"/>
      <c r="C10219" s="163"/>
      <c r="J10219" s="165"/>
      <c r="K10219" s="166"/>
      <c r="L10219" s="166"/>
    </row>
    <row r="10220">
      <c r="A10220" s="163" t="s">
        <v>222</v>
      </c>
      <c r="B10220" s="163"/>
      <c r="C10220" s="163"/>
      <c r="J10220" s="165"/>
      <c r="K10220" s="166"/>
      <c r="L10220" s="166"/>
    </row>
    <row r="10221">
      <c r="A10221" s="163" t="s">
        <v>222</v>
      </c>
      <c r="B10221" s="163"/>
      <c r="C10221" s="163"/>
      <c r="J10221" s="165"/>
      <c r="K10221" s="166"/>
      <c r="L10221" s="166"/>
    </row>
    <row r="10222">
      <c r="A10222" s="163" t="s">
        <v>222</v>
      </c>
      <c r="B10222" s="163"/>
      <c r="C10222" s="163"/>
      <c r="J10222" s="165"/>
      <c r="K10222" s="166"/>
      <c r="L10222" s="166"/>
    </row>
    <row r="10223">
      <c r="A10223" s="163" t="s">
        <v>222</v>
      </c>
      <c r="B10223" s="163"/>
      <c r="C10223" s="163"/>
      <c r="J10223" s="165"/>
      <c r="K10223" s="166"/>
      <c r="L10223" s="166"/>
    </row>
    <row r="10224">
      <c r="A10224" s="163" t="s">
        <v>222</v>
      </c>
      <c r="B10224" s="163"/>
      <c r="C10224" s="163"/>
      <c r="J10224" s="165"/>
      <c r="K10224" s="166"/>
      <c r="L10224" s="166"/>
    </row>
    <row r="10225">
      <c r="A10225" s="163" t="s">
        <v>222</v>
      </c>
      <c r="B10225" s="163"/>
      <c r="C10225" s="163"/>
      <c r="J10225" s="165"/>
      <c r="K10225" s="166"/>
      <c r="L10225" s="166"/>
    </row>
    <row r="10226">
      <c r="A10226" s="163" t="s">
        <v>222</v>
      </c>
      <c r="B10226" s="163"/>
      <c r="C10226" s="163"/>
      <c r="J10226" s="165"/>
      <c r="K10226" s="166"/>
      <c r="L10226" s="166"/>
    </row>
    <row r="10227">
      <c r="A10227" s="163" t="s">
        <v>222</v>
      </c>
      <c r="B10227" s="163"/>
      <c r="C10227" s="163"/>
      <c r="J10227" s="165"/>
      <c r="K10227" s="166"/>
      <c r="L10227" s="166"/>
    </row>
    <row r="10228">
      <c r="A10228" s="163" t="s">
        <v>222</v>
      </c>
      <c r="B10228" s="163"/>
      <c r="C10228" s="163"/>
      <c r="J10228" s="165"/>
      <c r="K10228" s="166"/>
      <c r="L10228" s="166"/>
    </row>
    <row r="10229">
      <c r="A10229" s="163" t="s">
        <v>222</v>
      </c>
      <c r="B10229" s="163"/>
      <c r="C10229" s="163"/>
      <c r="J10229" s="165"/>
      <c r="K10229" s="166"/>
      <c r="L10229" s="166"/>
    </row>
    <row r="10230">
      <c r="A10230" s="163" t="s">
        <v>222</v>
      </c>
      <c r="B10230" s="163"/>
      <c r="C10230" s="163"/>
      <c r="J10230" s="165"/>
      <c r="K10230" s="166"/>
      <c r="L10230" s="166"/>
    </row>
    <row r="10231">
      <c r="A10231" s="163" t="s">
        <v>222</v>
      </c>
      <c r="B10231" s="163"/>
      <c r="C10231" s="163"/>
      <c r="J10231" s="165"/>
      <c r="K10231" s="166"/>
      <c r="L10231" s="166"/>
    </row>
    <row r="10232">
      <c r="A10232" s="163" t="s">
        <v>222</v>
      </c>
      <c r="B10232" s="163"/>
      <c r="C10232" s="163"/>
      <c r="J10232" s="165"/>
      <c r="K10232" s="166"/>
      <c r="L10232" s="166"/>
    </row>
    <row r="10233">
      <c r="A10233" s="163" t="s">
        <v>222</v>
      </c>
      <c r="B10233" s="163"/>
      <c r="C10233" s="163"/>
      <c r="J10233" s="165"/>
      <c r="K10233" s="166"/>
      <c r="L10233" s="166"/>
    </row>
    <row r="10234">
      <c r="A10234" s="163" t="s">
        <v>222</v>
      </c>
      <c r="B10234" s="163"/>
      <c r="C10234" s="163"/>
      <c r="J10234" s="165"/>
      <c r="K10234" s="166"/>
      <c r="L10234" s="166"/>
    </row>
    <row r="10235">
      <c r="A10235" s="163" t="s">
        <v>222</v>
      </c>
      <c r="B10235" s="163"/>
      <c r="C10235" s="163"/>
      <c r="J10235" s="165"/>
      <c r="K10235" s="166"/>
      <c r="L10235" s="166"/>
    </row>
    <row r="10236">
      <c r="A10236" s="163" t="s">
        <v>222</v>
      </c>
      <c r="B10236" s="163"/>
      <c r="C10236" s="163"/>
      <c r="J10236" s="165"/>
      <c r="K10236" s="166"/>
      <c r="L10236" s="166"/>
    </row>
    <row r="10237">
      <c r="A10237" s="163" t="s">
        <v>222</v>
      </c>
      <c r="B10237" s="163"/>
      <c r="C10237" s="163"/>
      <c r="J10237" s="165"/>
      <c r="K10237" s="166"/>
      <c r="L10237" s="166"/>
    </row>
    <row r="10238">
      <c r="A10238" s="163" t="s">
        <v>222</v>
      </c>
      <c r="B10238" s="163"/>
      <c r="C10238" s="163"/>
      <c r="J10238" s="165"/>
      <c r="K10238" s="166"/>
      <c r="L10238" s="166"/>
    </row>
    <row r="10239">
      <c r="A10239" s="163" t="s">
        <v>222</v>
      </c>
      <c r="B10239" s="163"/>
      <c r="C10239" s="163"/>
      <c r="J10239" s="165"/>
      <c r="K10239" s="166"/>
      <c r="L10239" s="166"/>
    </row>
    <row r="10240">
      <c r="A10240" s="163" t="s">
        <v>222</v>
      </c>
      <c r="B10240" s="163"/>
      <c r="C10240" s="163"/>
      <c r="J10240" s="165"/>
      <c r="K10240" s="166"/>
      <c r="L10240" s="166"/>
    </row>
    <row r="10241">
      <c r="A10241" s="163" t="s">
        <v>222</v>
      </c>
      <c r="B10241" s="163"/>
      <c r="C10241" s="163"/>
      <c r="J10241" s="165"/>
      <c r="K10241" s="166"/>
      <c r="L10241" s="166"/>
    </row>
    <row r="10242">
      <c r="A10242" s="163" t="s">
        <v>222</v>
      </c>
      <c r="B10242" s="163"/>
      <c r="C10242" s="163"/>
      <c r="J10242" s="165"/>
      <c r="K10242" s="166"/>
      <c r="L10242" s="166"/>
    </row>
    <row r="10243">
      <c r="A10243" s="163" t="s">
        <v>222</v>
      </c>
      <c r="B10243" s="163"/>
      <c r="C10243" s="163"/>
      <c r="J10243" s="165"/>
      <c r="K10243" s="166"/>
      <c r="L10243" s="166"/>
    </row>
    <row r="10244">
      <c r="A10244" s="163" t="s">
        <v>222</v>
      </c>
      <c r="B10244" s="163"/>
      <c r="C10244" s="163"/>
      <c r="J10244" s="165"/>
      <c r="K10244" s="166"/>
      <c r="L10244" s="166"/>
    </row>
    <row r="10245">
      <c r="A10245" s="163" t="s">
        <v>222</v>
      </c>
      <c r="B10245" s="163"/>
      <c r="C10245" s="163"/>
      <c r="J10245" s="165"/>
      <c r="K10245" s="166"/>
      <c r="L10245" s="166"/>
    </row>
    <row r="10246">
      <c r="A10246" s="163" t="s">
        <v>222</v>
      </c>
      <c r="B10246" s="163"/>
      <c r="C10246" s="163"/>
      <c r="J10246" s="165"/>
      <c r="K10246" s="166"/>
      <c r="L10246" s="166"/>
    </row>
    <row r="10247">
      <c r="A10247" s="163" t="s">
        <v>222</v>
      </c>
      <c r="B10247" s="163"/>
      <c r="C10247" s="163"/>
      <c r="J10247" s="165"/>
      <c r="K10247" s="166"/>
      <c r="L10247" s="166"/>
    </row>
    <row r="10248">
      <c r="A10248" s="163" t="s">
        <v>222</v>
      </c>
      <c r="B10248" s="163"/>
      <c r="C10248" s="163"/>
      <c r="J10248" s="165"/>
      <c r="K10248" s="166"/>
      <c r="L10248" s="166"/>
    </row>
    <row r="10249">
      <c r="A10249" s="163" t="s">
        <v>222</v>
      </c>
      <c r="B10249" s="163"/>
      <c r="C10249" s="163"/>
      <c r="J10249" s="165"/>
      <c r="K10249" s="166"/>
      <c r="L10249" s="166"/>
    </row>
    <row r="10250">
      <c r="A10250" s="163" t="s">
        <v>222</v>
      </c>
      <c r="B10250" s="163"/>
      <c r="C10250" s="163"/>
      <c r="J10250" s="165"/>
      <c r="K10250" s="166"/>
      <c r="L10250" s="166"/>
    </row>
    <row r="10251">
      <c r="A10251" s="163" t="s">
        <v>222</v>
      </c>
      <c r="B10251" s="163"/>
      <c r="C10251" s="163"/>
      <c r="J10251" s="165"/>
      <c r="K10251" s="166"/>
      <c r="L10251" s="166"/>
    </row>
    <row r="10252">
      <c r="A10252" s="163" t="s">
        <v>222</v>
      </c>
      <c r="B10252" s="163"/>
      <c r="C10252" s="163"/>
      <c r="J10252" s="165"/>
      <c r="K10252" s="166"/>
      <c r="L10252" s="166"/>
    </row>
    <row r="10253">
      <c r="A10253" s="163" t="s">
        <v>222</v>
      </c>
      <c r="B10253" s="163"/>
      <c r="C10253" s="163"/>
      <c r="J10253" s="165"/>
      <c r="K10253" s="166"/>
      <c r="L10253" s="166"/>
    </row>
    <row r="10254">
      <c r="A10254" s="163" t="s">
        <v>222</v>
      </c>
      <c r="B10254" s="163"/>
      <c r="C10254" s="163"/>
      <c r="J10254" s="165"/>
      <c r="K10254" s="166"/>
      <c r="L10254" s="166"/>
    </row>
    <row r="10255">
      <c r="A10255" s="163" t="s">
        <v>222</v>
      </c>
      <c r="B10255" s="163"/>
      <c r="C10255" s="163"/>
      <c r="J10255" s="165"/>
      <c r="K10255" s="166"/>
      <c r="L10255" s="166"/>
    </row>
    <row r="10256">
      <c r="A10256" s="163" t="s">
        <v>222</v>
      </c>
      <c r="B10256" s="163"/>
      <c r="C10256" s="163"/>
      <c r="J10256" s="165"/>
      <c r="K10256" s="166"/>
      <c r="L10256" s="166"/>
    </row>
    <row r="10257">
      <c r="A10257" s="163" t="s">
        <v>222</v>
      </c>
      <c r="B10257" s="163"/>
      <c r="C10257" s="163"/>
      <c r="J10257" s="165"/>
      <c r="K10257" s="166"/>
      <c r="L10257" s="166"/>
    </row>
    <row r="10258">
      <c r="A10258" s="163" t="s">
        <v>222</v>
      </c>
      <c r="B10258" s="163"/>
      <c r="C10258" s="163"/>
      <c r="J10258" s="165"/>
      <c r="K10258" s="166"/>
      <c r="L10258" s="166"/>
    </row>
    <row r="10259">
      <c r="A10259" s="163" t="s">
        <v>222</v>
      </c>
      <c r="B10259" s="163"/>
      <c r="C10259" s="163"/>
      <c r="J10259" s="165"/>
      <c r="K10259" s="166"/>
      <c r="L10259" s="166"/>
    </row>
    <row r="10260">
      <c r="A10260" s="163" t="s">
        <v>222</v>
      </c>
      <c r="B10260" s="163"/>
      <c r="C10260" s="163"/>
      <c r="J10260" s="165"/>
      <c r="K10260" s="166"/>
      <c r="L10260" s="166"/>
    </row>
    <row r="10261">
      <c r="A10261" s="163" t="s">
        <v>222</v>
      </c>
      <c r="B10261" s="163"/>
      <c r="C10261" s="163"/>
      <c r="J10261" s="165"/>
      <c r="K10261" s="166"/>
      <c r="L10261" s="166"/>
    </row>
    <row r="10262">
      <c r="A10262" s="163" t="s">
        <v>222</v>
      </c>
      <c r="B10262" s="163"/>
      <c r="C10262" s="163"/>
      <c r="J10262" s="165"/>
      <c r="K10262" s="166"/>
      <c r="L10262" s="166"/>
    </row>
    <row r="10263">
      <c r="A10263" s="163" t="s">
        <v>222</v>
      </c>
      <c r="B10263" s="163"/>
      <c r="C10263" s="163"/>
      <c r="J10263" s="165"/>
      <c r="K10263" s="166"/>
      <c r="L10263" s="166"/>
    </row>
    <row r="10264">
      <c r="A10264" s="163" t="s">
        <v>222</v>
      </c>
      <c r="B10264" s="163"/>
      <c r="C10264" s="163"/>
      <c r="J10264" s="165"/>
      <c r="K10264" s="166"/>
      <c r="L10264" s="166"/>
    </row>
    <row r="10265">
      <c r="A10265" s="163" t="s">
        <v>222</v>
      </c>
      <c r="B10265" s="163"/>
      <c r="C10265" s="163"/>
      <c r="J10265" s="165"/>
      <c r="K10265" s="166"/>
      <c r="L10265" s="166"/>
    </row>
    <row r="10266">
      <c r="A10266" s="163" t="s">
        <v>222</v>
      </c>
      <c r="B10266" s="163"/>
      <c r="C10266" s="163"/>
      <c r="J10266" s="165"/>
      <c r="K10266" s="166"/>
      <c r="L10266" s="166"/>
    </row>
    <row r="10267">
      <c r="A10267" s="163" t="s">
        <v>222</v>
      </c>
      <c r="B10267" s="163"/>
      <c r="C10267" s="163"/>
      <c r="J10267" s="165"/>
      <c r="K10267" s="166"/>
      <c r="L10267" s="166"/>
    </row>
    <row r="10268">
      <c r="A10268" s="163" t="s">
        <v>222</v>
      </c>
      <c r="B10268" s="163"/>
      <c r="C10268" s="163"/>
      <c r="J10268" s="165"/>
      <c r="K10268" s="166"/>
      <c r="L10268" s="166"/>
    </row>
    <row r="10269">
      <c r="A10269" s="163" t="s">
        <v>222</v>
      </c>
      <c r="B10269" s="163"/>
      <c r="C10269" s="163"/>
      <c r="J10269" s="165"/>
      <c r="K10269" s="166"/>
      <c r="L10269" s="166"/>
    </row>
    <row r="10270">
      <c r="A10270" s="163" t="s">
        <v>222</v>
      </c>
      <c r="B10270" s="163"/>
      <c r="C10270" s="163"/>
      <c r="J10270" s="165"/>
      <c r="K10270" s="166"/>
      <c r="L10270" s="166"/>
    </row>
    <row r="10271">
      <c r="A10271" s="163" t="s">
        <v>222</v>
      </c>
      <c r="B10271" s="163"/>
      <c r="C10271" s="163"/>
      <c r="J10271" s="165"/>
      <c r="K10271" s="166"/>
      <c r="L10271" s="166"/>
    </row>
    <row r="10272">
      <c r="A10272" s="163" t="s">
        <v>222</v>
      </c>
      <c r="B10272" s="163"/>
      <c r="C10272" s="163"/>
      <c r="J10272" s="165"/>
      <c r="K10272" s="166"/>
      <c r="L10272" s="166"/>
    </row>
    <row r="10273">
      <c r="A10273" s="163" t="s">
        <v>222</v>
      </c>
      <c r="B10273" s="163"/>
      <c r="C10273" s="163"/>
      <c r="J10273" s="165"/>
      <c r="K10273" s="166"/>
      <c r="L10273" s="166"/>
    </row>
    <row r="10274">
      <c r="A10274" s="163" t="s">
        <v>222</v>
      </c>
      <c r="B10274" s="163"/>
      <c r="C10274" s="163"/>
      <c r="J10274" s="165"/>
      <c r="K10274" s="166"/>
      <c r="L10274" s="166"/>
    </row>
    <row r="10275">
      <c r="A10275" s="163" t="s">
        <v>222</v>
      </c>
      <c r="B10275" s="163"/>
      <c r="C10275" s="163"/>
      <c r="J10275" s="165"/>
      <c r="K10275" s="166"/>
      <c r="L10275" s="166"/>
    </row>
    <row r="10276">
      <c r="A10276" s="163" t="s">
        <v>222</v>
      </c>
      <c r="B10276" s="163"/>
      <c r="C10276" s="163"/>
      <c r="J10276" s="165"/>
      <c r="K10276" s="166"/>
      <c r="L10276" s="166"/>
    </row>
    <row r="10277">
      <c r="A10277" s="163" t="s">
        <v>222</v>
      </c>
      <c r="B10277" s="163"/>
      <c r="C10277" s="163"/>
      <c r="J10277" s="165"/>
      <c r="K10277" s="166"/>
      <c r="L10277" s="166"/>
    </row>
    <row r="10278">
      <c r="A10278" s="163" t="s">
        <v>222</v>
      </c>
      <c r="B10278" s="163"/>
      <c r="C10278" s="163"/>
      <c r="J10278" s="165"/>
      <c r="K10278" s="166"/>
      <c r="L10278" s="166"/>
    </row>
    <row r="10279">
      <c r="A10279" s="163" t="s">
        <v>222</v>
      </c>
      <c r="B10279" s="163"/>
      <c r="C10279" s="163"/>
      <c r="J10279" s="165"/>
      <c r="K10279" s="166"/>
      <c r="L10279" s="166"/>
    </row>
    <row r="10280">
      <c r="A10280" s="163" t="s">
        <v>222</v>
      </c>
      <c r="B10280" s="163"/>
      <c r="C10280" s="163"/>
      <c r="J10280" s="165"/>
      <c r="K10280" s="166"/>
      <c r="L10280" s="166"/>
    </row>
    <row r="10281">
      <c r="A10281" s="163" t="s">
        <v>222</v>
      </c>
      <c r="B10281" s="163"/>
      <c r="C10281" s="163"/>
      <c r="J10281" s="165"/>
      <c r="K10281" s="166"/>
      <c r="L10281" s="166"/>
    </row>
    <row r="10282">
      <c r="A10282" s="163" t="s">
        <v>222</v>
      </c>
      <c r="B10282" s="163"/>
      <c r="C10282" s="163"/>
      <c r="J10282" s="165"/>
      <c r="K10282" s="166"/>
      <c r="L10282" s="166"/>
    </row>
    <row r="10283">
      <c r="A10283" s="163" t="s">
        <v>222</v>
      </c>
      <c r="B10283" s="163"/>
      <c r="C10283" s="163"/>
      <c r="J10283" s="165"/>
      <c r="K10283" s="166"/>
      <c r="L10283" s="166"/>
    </row>
    <row r="10284">
      <c r="A10284" s="163" t="s">
        <v>222</v>
      </c>
      <c r="B10284" s="163"/>
      <c r="C10284" s="163"/>
      <c r="J10284" s="165"/>
      <c r="K10284" s="166"/>
      <c r="L10284" s="166"/>
    </row>
    <row r="10285">
      <c r="A10285" s="163" t="s">
        <v>222</v>
      </c>
      <c r="B10285" s="163"/>
      <c r="C10285" s="163"/>
      <c r="J10285" s="165"/>
      <c r="K10285" s="166"/>
      <c r="L10285" s="166"/>
    </row>
    <row r="10286">
      <c r="A10286" s="163" t="s">
        <v>222</v>
      </c>
      <c r="B10286" s="163"/>
      <c r="C10286" s="163"/>
      <c r="J10286" s="165"/>
      <c r="K10286" s="166"/>
      <c r="L10286" s="166"/>
    </row>
    <row r="10287">
      <c r="A10287" s="163" t="s">
        <v>222</v>
      </c>
      <c r="B10287" s="163"/>
      <c r="C10287" s="163"/>
      <c r="J10287" s="165"/>
      <c r="K10287" s="166"/>
      <c r="L10287" s="166"/>
    </row>
    <row r="10288">
      <c r="A10288" s="163" t="s">
        <v>222</v>
      </c>
      <c r="B10288" s="163"/>
      <c r="C10288" s="163"/>
      <c r="J10288" s="165"/>
      <c r="K10288" s="166"/>
      <c r="L10288" s="166"/>
    </row>
    <row r="10289">
      <c r="A10289" s="163" t="s">
        <v>222</v>
      </c>
      <c r="B10289" s="163"/>
      <c r="C10289" s="163"/>
      <c r="J10289" s="165"/>
      <c r="K10289" s="166"/>
      <c r="L10289" s="166"/>
    </row>
    <row r="10290">
      <c r="A10290" s="163" t="s">
        <v>222</v>
      </c>
      <c r="B10290" s="163"/>
      <c r="C10290" s="163"/>
      <c r="J10290" s="165"/>
      <c r="K10290" s="166"/>
      <c r="L10290" s="166"/>
    </row>
    <row r="10291">
      <c r="A10291" s="163" t="s">
        <v>222</v>
      </c>
      <c r="B10291" s="163"/>
      <c r="C10291" s="163"/>
      <c r="J10291" s="165"/>
      <c r="K10291" s="166"/>
      <c r="L10291" s="166"/>
    </row>
    <row r="10292">
      <c r="A10292" s="163" t="s">
        <v>222</v>
      </c>
      <c r="B10292" s="163"/>
      <c r="C10292" s="163"/>
      <c r="J10292" s="165"/>
      <c r="K10292" s="166"/>
      <c r="L10292" s="166"/>
    </row>
    <row r="10293">
      <c r="A10293" s="163" t="s">
        <v>222</v>
      </c>
      <c r="B10293" s="163"/>
      <c r="C10293" s="163"/>
      <c r="J10293" s="165"/>
      <c r="K10293" s="166"/>
      <c r="L10293" s="166"/>
    </row>
    <row r="10294">
      <c r="A10294" s="163" t="s">
        <v>222</v>
      </c>
      <c r="B10294" s="163"/>
      <c r="C10294" s="163"/>
      <c r="J10294" s="165"/>
      <c r="K10294" s="166"/>
      <c r="L10294" s="166"/>
    </row>
    <row r="10295">
      <c r="A10295" s="163" t="s">
        <v>222</v>
      </c>
      <c r="B10295" s="163"/>
      <c r="C10295" s="163"/>
      <c r="J10295" s="165"/>
      <c r="K10295" s="166"/>
      <c r="L10295" s="166"/>
    </row>
    <row r="10296">
      <c r="A10296" s="163" t="s">
        <v>222</v>
      </c>
      <c r="B10296" s="163"/>
      <c r="C10296" s="163"/>
      <c r="J10296" s="165"/>
      <c r="K10296" s="166"/>
      <c r="L10296" s="166"/>
    </row>
    <row r="10297">
      <c r="A10297" s="163" t="s">
        <v>222</v>
      </c>
      <c r="B10297" s="163"/>
      <c r="C10297" s="163"/>
      <c r="J10297" s="165"/>
      <c r="K10297" s="166"/>
      <c r="L10297" s="166"/>
    </row>
    <row r="10298">
      <c r="A10298" s="163" t="s">
        <v>222</v>
      </c>
      <c r="B10298" s="163"/>
      <c r="C10298" s="163"/>
      <c r="J10298" s="165"/>
      <c r="K10298" s="166"/>
      <c r="L10298" s="166"/>
    </row>
    <row r="10299">
      <c r="A10299" s="163" t="s">
        <v>222</v>
      </c>
      <c r="B10299" s="163"/>
      <c r="C10299" s="163"/>
      <c r="J10299" s="165"/>
      <c r="K10299" s="166"/>
      <c r="L10299" s="166"/>
    </row>
    <row r="10300">
      <c r="A10300" s="163" t="s">
        <v>222</v>
      </c>
      <c r="B10300" s="163"/>
      <c r="C10300" s="163"/>
      <c r="J10300" s="165"/>
      <c r="K10300" s="166"/>
      <c r="L10300" s="166"/>
    </row>
    <row r="10301">
      <c r="A10301" s="163" t="s">
        <v>222</v>
      </c>
      <c r="B10301" s="163"/>
      <c r="C10301" s="163"/>
      <c r="J10301" s="165"/>
      <c r="K10301" s="166"/>
      <c r="L10301" s="166"/>
    </row>
    <row r="10302">
      <c r="A10302" s="163" t="s">
        <v>222</v>
      </c>
      <c r="B10302" s="163"/>
      <c r="C10302" s="163"/>
      <c r="J10302" s="165"/>
      <c r="K10302" s="166"/>
      <c r="L10302" s="166"/>
    </row>
    <row r="10303">
      <c r="A10303" s="163" t="s">
        <v>222</v>
      </c>
      <c r="B10303" s="163"/>
      <c r="C10303" s="163"/>
      <c r="J10303" s="165"/>
      <c r="K10303" s="166"/>
      <c r="L10303" s="166"/>
    </row>
    <row r="10304">
      <c r="A10304" s="163" t="s">
        <v>222</v>
      </c>
      <c r="B10304" s="163"/>
      <c r="C10304" s="163"/>
      <c r="J10304" s="165"/>
      <c r="K10304" s="166"/>
      <c r="L10304" s="166"/>
    </row>
    <row r="10305">
      <c r="A10305" s="163" t="s">
        <v>222</v>
      </c>
      <c r="B10305" s="163"/>
      <c r="C10305" s="163"/>
      <c r="J10305" s="165"/>
      <c r="K10305" s="166"/>
      <c r="L10305" s="166"/>
    </row>
    <row r="10306">
      <c r="A10306" s="163" t="s">
        <v>222</v>
      </c>
      <c r="B10306" s="163"/>
      <c r="C10306" s="163"/>
      <c r="J10306" s="165"/>
      <c r="K10306" s="166"/>
      <c r="L10306" s="166"/>
    </row>
    <row r="10307">
      <c r="A10307" s="163" t="s">
        <v>222</v>
      </c>
      <c r="B10307" s="163"/>
      <c r="C10307" s="163"/>
      <c r="J10307" s="165"/>
      <c r="K10307" s="166"/>
      <c r="L10307" s="166"/>
    </row>
    <row r="10308">
      <c r="A10308" s="163" t="s">
        <v>222</v>
      </c>
      <c r="B10308" s="163"/>
      <c r="C10308" s="163"/>
      <c r="J10308" s="165"/>
      <c r="K10308" s="166"/>
      <c r="L10308" s="166"/>
    </row>
    <row r="10309">
      <c r="A10309" s="163" t="s">
        <v>222</v>
      </c>
      <c r="B10309" s="163"/>
      <c r="C10309" s="163"/>
      <c r="J10309" s="165"/>
      <c r="K10309" s="166"/>
      <c r="L10309" s="166"/>
    </row>
    <row r="10310">
      <c r="A10310" s="163" t="s">
        <v>222</v>
      </c>
      <c r="B10310" s="163"/>
      <c r="C10310" s="163"/>
      <c r="J10310" s="165"/>
      <c r="K10310" s="166"/>
      <c r="L10310" s="166"/>
    </row>
    <row r="10311">
      <c r="A10311" s="163" t="s">
        <v>222</v>
      </c>
      <c r="B10311" s="163"/>
      <c r="C10311" s="163"/>
      <c r="J10311" s="165"/>
      <c r="K10311" s="166"/>
      <c r="L10311" s="166"/>
    </row>
    <row r="10312">
      <c r="A10312" s="163" t="s">
        <v>222</v>
      </c>
      <c r="B10312" s="163"/>
      <c r="C10312" s="163"/>
      <c r="J10312" s="165"/>
      <c r="K10312" s="166"/>
      <c r="L10312" s="166"/>
    </row>
    <row r="10313">
      <c r="A10313" s="163" t="s">
        <v>222</v>
      </c>
      <c r="B10313" s="163"/>
      <c r="C10313" s="163"/>
      <c r="J10313" s="165"/>
      <c r="K10313" s="166"/>
      <c r="L10313" s="166"/>
    </row>
    <row r="10314">
      <c r="A10314" s="163" t="s">
        <v>222</v>
      </c>
      <c r="B10314" s="163"/>
      <c r="C10314" s="163"/>
      <c r="J10314" s="165"/>
      <c r="K10314" s="166"/>
      <c r="L10314" s="166"/>
    </row>
    <row r="10315">
      <c r="A10315" s="163" t="s">
        <v>222</v>
      </c>
      <c r="B10315" s="163"/>
      <c r="C10315" s="163"/>
      <c r="J10315" s="165"/>
      <c r="K10315" s="166"/>
      <c r="L10315" s="166"/>
    </row>
    <row r="10316">
      <c r="A10316" s="163" t="s">
        <v>222</v>
      </c>
      <c r="B10316" s="163"/>
      <c r="C10316" s="163"/>
      <c r="J10316" s="165"/>
      <c r="K10316" s="166"/>
      <c r="L10316" s="166"/>
    </row>
    <row r="10317">
      <c r="A10317" s="163" t="s">
        <v>222</v>
      </c>
      <c r="B10317" s="163"/>
      <c r="C10317" s="163"/>
      <c r="J10317" s="165"/>
      <c r="K10317" s="166"/>
      <c r="L10317" s="166"/>
    </row>
    <row r="10318">
      <c r="A10318" s="163" t="s">
        <v>222</v>
      </c>
      <c r="B10318" s="163"/>
      <c r="C10318" s="163"/>
      <c r="J10318" s="165"/>
      <c r="K10318" s="166"/>
      <c r="L10318" s="166"/>
    </row>
    <row r="10319">
      <c r="A10319" s="163" t="s">
        <v>222</v>
      </c>
      <c r="B10319" s="163"/>
      <c r="C10319" s="163"/>
      <c r="J10319" s="165"/>
      <c r="K10319" s="166"/>
      <c r="L10319" s="166"/>
    </row>
    <row r="10320">
      <c r="A10320" s="163" t="s">
        <v>222</v>
      </c>
      <c r="B10320" s="163"/>
      <c r="C10320" s="163"/>
      <c r="J10320" s="165"/>
      <c r="K10320" s="166"/>
      <c r="L10320" s="166"/>
    </row>
    <row r="10321">
      <c r="A10321" s="163" t="s">
        <v>222</v>
      </c>
      <c r="B10321" s="163"/>
      <c r="C10321" s="163"/>
      <c r="J10321" s="165"/>
      <c r="K10321" s="166"/>
      <c r="L10321" s="166"/>
    </row>
    <row r="10322">
      <c r="A10322" s="163" t="s">
        <v>222</v>
      </c>
      <c r="B10322" s="163"/>
      <c r="C10322" s="163"/>
      <c r="J10322" s="165"/>
      <c r="K10322" s="166"/>
      <c r="L10322" s="166"/>
    </row>
    <row r="10323">
      <c r="A10323" s="163" t="s">
        <v>222</v>
      </c>
      <c r="B10323" s="163"/>
      <c r="C10323" s="163"/>
      <c r="J10323" s="165"/>
      <c r="K10323" s="166"/>
      <c r="L10323" s="166"/>
    </row>
    <row r="10324">
      <c r="A10324" s="163" t="s">
        <v>222</v>
      </c>
      <c r="B10324" s="163"/>
      <c r="C10324" s="163"/>
      <c r="J10324" s="165"/>
      <c r="K10324" s="166"/>
      <c r="L10324" s="166"/>
    </row>
    <row r="10325">
      <c r="A10325" s="163" t="s">
        <v>222</v>
      </c>
      <c r="B10325" s="163"/>
      <c r="C10325" s="163"/>
      <c r="J10325" s="165"/>
      <c r="K10325" s="166"/>
      <c r="L10325" s="166"/>
    </row>
    <row r="10326">
      <c r="A10326" s="163" t="s">
        <v>222</v>
      </c>
      <c r="B10326" s="163"/>
      <c r="C10326" s="163"/>
      <c r="J10326" s="165"/>
      <c r="K10326" s="166"/>
      <c r="L10326" s="166"/>
    </row>
    <row r="10327">
      <c r="A10327" s="163" t="s">
        <v>222</v>
      </c>
      <c r="B10327" s="163"/>
      <c r="C10327" s="163"/>
      <c r="J10327" s="165"/>
      <c r="K10327" s="166"/>
      <c r="L10327" s="166"/>
    </row>
    <row r="10328">
      <c r="A10328" s="163" t="s">
        <v>222</v>
      </c>
      <c r="B10328" s="163"/>
      <c r="C10328" s="163"/>
      <c r="J10328" s="165"/>
      <c r="K10328" s="166"/>
      <c r="L10328" s="166"/>
    </row>
    <row r="10329">
      <c r="A10329" s="163" t="s">
        <v>222</v>
      </c>
      <c r="B10329" s="163"/>
      <c r="C10329" s="163"/>
      <c r="J10329" s="165"/>
      <c r="K10329" s="166"/>
      <c r="L10329" s="166"/>
    </row>
    <row r="10330">
      <c r="A10330" s="163" t="s">
        <v>222</v>
      </c>
      <c r="B10330" s="163"/>
      <c r="C10330" s="163"/>
      <c r="J10330" s="165"/>
      <c r="K10330" s="166"/>
      <c r="L10330" s="166"/>
    </row>
    <row r="10331">
      <c r="A10331" s="163" t="s">
        <v>222</v>
      </c>
      <c r="B10331" s="163"/>
      <c r="C10331" s="163"/>
      <c r="J10331" s="165"/>
      <c r="K10331" s="166"/>
      <c r="L10331" s="166"/>
    </row>
    <row r="10332">
      <c r="A10332" s="163" t="s">
        <v>222</v>
      </c>
      <c r="B10332" s="163"/>
      <c r="C10332" s="163"/>
      <c r="J10332" s="165"/>
      <c r="K10332" s="166"/>
      <c r="L10332" s="166"/>
    </row>
    <row r="10333">
      <c r="A10333" s="163" t="s">
        <v>222</v>
      </c>
      <c r="B10333" s="163"/>
      <c r="C10333" s="163"/>
      <c r="J10333" s="165"/>
      <c r="K10333" s="166"/>
      <c r="L10333" s="166"/>
    </row>
    <row r="10334">
      <c r="A10334" s="163" t="s">
        <v>222</v>
      </c>
      <c r="B10334" s="163"/>
      <c r="C10334" s="163"/>
      <c r="J10334" s="165"/>
      <c r="K10334" s="166"/>
      <c r="L10334" s="166"/>
    </row>
    <row r="10335">
      <c r="A10335" s="163" t="s">
        <v>222</v>
      </c>
      <c r="B10335" s="163"/>
      <c r="C10335" s="163"/>
      <c r="J10335" s="165"/>
      <c r="K10335" s="166"/>
      <c r="L10335" s="166"/>
    </row>
    <row r="10336">
      <c r="A10336" s="163" t="s">
        <v>222</v>
      </c>
      <c r="B10336" s="163"/>
      <c r="C10336" s="163"/>
      <c r="J10336" s="165"/>
      <c r="K10336" s="166"/>
      <c r="L10336" s="166"/>
    </row>
    <row r="10337">
      <c r="A10337" s="163" t="s">
        <v>222</v>
      </c>
      <c r="B10337" s="163"/>
      <c r="C10337" s="163"/>
      <c r="J10337" s="165"/>
      <c r="K10337" s="166"/>
      <c r="L10337" s="166"/>
    </row>
    <row r="10338">
      <c r="A10338" s="163" t="s">
        <v>222</v>
      </c>
      <c r="B10338" s="163"/>
      <c r="C10338" s="163"/>
      <c r="J10338" s="165"/>
      <c r="K10338" s="166"/>
      <c r="L10338" s="166"/>
    </row>
    <row r="10339">
      <c r="A10339" s="163" t="s">
        <v>222</v>
      </c>
      <c r="B10339" s="163"/>
      <c r="C10339" s="163"/>
      <c r="J10339" s="165"/>
      <c r="K10339" s="166"/>
      <c r="L10339" s="166"/>
    </row>
    <row r="10340">
      <c r="A10340" s="163" t="s">
        <v>222</v>
      </c>
      <c r="B10340" s="163"/>
      <c r="C10340" s="163"/>
      <c r="J10340" s="165"/>
      <c r="K10340" s="166"/>
      <c r="L10340" s="166"/>
    </row>
    <row r="10341">
      <c r="A10341" s="163" t="s">
        <v>222</v>
      </c>
      <c r="B10341" s="163"/>
      <c r="C10341" s="163"/>
      <c r="J10341" s="165"/>
      <c r="K10341" s="166"/>
      <c r="L10341" s="166"/>
    </row>
    <row r="10342">
      <c r="A10342" s="163" t="s">
        <v>222</v>
      </c>
      <c r="B10342" s="163"/>
      <c r="C10342" s="163"/>
      <c r="J10342" s="165"/>
      <c r="K10342" s="166"/>
      <c r="L10342" s="166"/>
    </row>
    <row r="10343">
      <c r="A10343" s="163" t="s">
        <v>222</v>
      </c>
      <c r="B10343" s="163"/>
      <c r="C10343" s="163"/>
      <c r="J10343" s="165"/>
      <c r="K10343" s="166"/>
      <c r="L10343" s="166"/>
    </row>
    <row r="10344">
      <c r="A10344" s="163" t="s">
        <v>222</v>
      </c>
      <c r="B10344" s="163"/>
      <c r="C10344" s="163"/>
      <c r="J10344" s="165"/>
      <c r="K10344" s="166"/>
      <c r="L10344" s="166"/>
    </row>
    <row r="10345">
      <c r="A10345" s="163" t="s">
        <v>222</v>
      </c>
      <c r="B10345" s="163"/>
      <c r="C10345" s="163"/>
      <c r="J10345" s="165"/>
      <c r="K10345" s="166"/>
      <c r="L10345" s="166"/>
    </row>
    <row r="10346">
      <c r="A10346" s="163" t="s">
        <v>222</v>
      </c>
      <c r="B10346" s="163"/>
      <c r="C10346" s="163"/>
      <c r="J10346" s="165"/>
      <c r="K10346" s="166"/>
      <c r="L10346" s="166"/>
    </row>
    <row r="10347">
      <c r="A10347" s="163" t="s">
        <v>222</v>
      </c>
      <c r="B10347" s="163"/>
      <c r="C10347" s="163"/>
      <c r="J10347" s="165"/>
      <c r="K10347" s="166"/>
      <c r="L10347" s="166"/>
    </row>
    <row r="10348">
      <c r="A10348" s="163" t="s">
        <v>222</v>
      </c>
      <c r="B10348" s="163"/>
      <c r="C10348" s="163"/>
      <c r="J10348" s="165"/>
      <c r="K10348" s="166"/>
      <c r="L10348" s="166"/>
    </row>
    <row r="10349">
      <c r="A10349" s="163" t="s">
        <v>222</v>
      </c>
      <c r="B10349" s="163"/>
      <c r="C10349" s="163"/>
      <c r="J10349" s="165"/>
      <c r="K10349" s="166"/>
      <c r="L10349" s="166"/>
    </row>
    <row r="10350">
      <c r="A10350" s="163" t="s">
        <v>222</v>
      </c>
      <c r="B10350" s="163"/>
      <c r="C10350" s="163"/>
      <c r="J10350" s="165"/>
      <c r="K10350" s="166"/>
      <c r="L10350" s="166"/>
    </row>
    <row r="10351">
      <c r="A10351" s="163" t="s">
        <v>222</v>
      </c>
      <c r="B10351" s="163"/>
      <c r="C10351" s="163"/>
      <c r="J10351" s="165"/>
      <c r="K10351" s="166"/>
      <c r="L10351" s="166"/>
    </row>
    <row r="10352">
      <c r="A10352" s="163" t="s">
        <v>222</v>
      </c>
      <c r="B10352" s="163"/>
      <c r="C10352" s="163"/>
      <c r="J10352" s="165"/>
      <c r="K10352" s="166"/>
      <c r="L10352" s="166"/>
    </row>
    <row r="10353">
      <c r="A10353" s="163" t="s">
        <v>222</v>
      </c>
      <c r="B10353" s="163"/>
      <c r="C10353" s="163"/>
      <c r="J10353" s="165"/>
      <c r="K10353" s="166"/>
      <c r="L10353" s="166"/>
    </row>
    <row r="10354">
      <c r="A10354" s="163" t="s">
        <v>222</v>
      </c>
      <c r="B10354" s="163"/>
      <c r="C10354" s="163"/>
      <c r="J10354" s="165"/>
      <c r="K10354" s="166"/>
      <c r="L10354" s="166"/>
    </row>
    <row r="10355">
      <c r="A10355" s="163" t="s">
        <v>222</v>
      </c>
      <c r="B10355" s="163"/>
      <c r="C10355" s="163"/>
      <c r="J10355" s="165"/>
      <c r="K10355" s="166"/>
      <c r="L10355" s="166"/>
    </row>
    <row r="10356">
      <c r="A10356" s="163" t="s">
        <v>222</v>
      </c>
      <c r="B10356" s="163"/>
      <c r="C10356" s="163"/>
      <c r="J10356" s="165"/>
      <c r="K10356" s="166"/>
      <c r="L10356" s="166"/>
    </row>
    <row r="10357">
      <c r="A10357" s="163" t="s">
        <v>222</v>
      </c>
      <c r="B10357" s="163"/>
      <c r="C10357" s="163"/>
      <c r="J10357" s="165"/>
      <c r="K10357" s="166"/>
      <c r="L10357" s="166"/>
    </row>
    <row r="10358">
      <c r="A10358" s="163" t="s">
        <v>222</v>
      </c>
      <c r="B10358" s="163"/>
      <c r="C10358" s="163"/>
      <c r="J10358" s="165"/>
      <c r="K10358" s="166"/>
      <c r="L10358" s="166"/>
    </row>
    <row r="10359">
      <c r="A10359" s="163" t="s">
        <v>222</v>
      </c>
      <c r="B10359" s="163"/>
      <c r="C10359" s="163"/>
      <c r="J10359" s="165"/>
      <c r="K10359" s="166"/>
      <c r="L10359" s="166"/>
    </row>
    <row r="10360">
      <c r="A10360" s="163" t="s">
        <v>222</v>
      </c>
      <c r="B10360" s="163"/>
      <c r="C10360" s="163"/>
      <c r="J10360" s="165"/>
      <c r="K10360" s="166"/>
      <c r="L10360" s="166"/>
    </row>
    <row r="10361">
      <c r="A10361" s="163" t="s">
        <v>222</v>
      </c>
      <c r="B10361" s="163"/>
      <c r="C10361" s="163"/>
      <c r="J10361" s="165"/>
      <c r="K10361" s="166"/>
      <c r="L10361" s="166"/>
    </row>
    <row r="10362">
      <c r="A10362" s="163" t="s">
        <v>222</v>
      </c>
      <c r="B10362" s="163"/>
      <c r="C10362" s="163"/>
      <c r="J10362" s="165"/>
      <c r="K10362" s="166"/>
      <c r="L10362" s="166"/>
    </row>
    <row r="10363">
      <c r="A10363" s="163" t="s">
        <v>222</v>
      </c>
      <c r="B10363" s="163"/>
      <c r="C10363" s="163"/>
      <c r="J10363" s="165"/>
      <c r="K10363" s="166"/>
      <c r="L10363" s="166"/>
    </row>
    <row r="10364">
      <c r="A10364" s="163" t="s">
        <v>222</v>
      </c>
      <c r="B10364" s="163"/>
      <c r="C10364" s="163"/>
      <c r="J10364" s="165"/>
      <c r="K10364" s="166"/>
      <c r="L10364" s="166"/>
    </row>
    <row r="10365">
      <c r="A10365" s="163" t="s">
        <v>222</v>
      </c>
      <c r="B10365" s="163"/>
      <c r="C10365" s="163"/>
      <c r="J10365" s="165"/>
      <c r="K10365" s="166"/>
      <c r="L10365" s="166"/>
    </row>
    <row r="10366">
      <c r="A10366" s="163" t="s">
        <v>222</v>
      </c>
      <c r="B10366" s="163"/>
      <c r="C10366" s="163"/>
      <c r="J10366" s="165"/>
      <c r="K10366" s="166"/>
      <c r="L10366" s="166"/>
    </row>
    <row r="10367">
      <c r="A10367" s="163" t="s">
        <v>222</v>
      </c>
      <c r="B10367" s="163"/>
      <c r="C10367" s="163"/>
      <c r="J10367" s="165"/>
      <c r="K10367" s="166"/>
      <c r="L10367" s="166"/>
    </row>
    <row r="10368">
      <c r="A10368" s="163" t="s">
        <v>222</v>
      </c>
      <c r="B10368" s="163"/>
      <c r="C10368" s="163"/>
      <c r="J10368" s="165"/>
      <c r="K10368" s="166"/>
      <c r="L10368" s="166"/>
    </row>
    <row r="10369">
      <c r="A10369" s="163" t="s">
        <v>222</v>
      </c>
      <c r="B10369" s="163"/>
      <c r="C10369" s="163"/>
      <c r="J10369" s="165"/>
      <c r="K10369" s="166"/>
      <c r="L10369" s="166"/>
    </row>
    <row r="10370">
      <c r="A10370" s="163" t="s">
        <v>222</v>
      </c>
      <c r="B10370" s="163"/>
      <c r="C10370" s="163"/>
      <c r="J10370" s="165"/>
      <c r="K10370" s="166"/>
      <c r="L10370" s="166"/>
    </row>
    <row r="10371">
      <c r="A10371" s="163" t="s">
        <v>222</v>
      </c>
      <c r="B10371" s="163"/>
      <c r="C10371" s="163"/>
      <c r="J10371" s="165"/>
      <c r="K10371" s="166"/>
      <c r="L10371" s="166"/>
    </row>
    <row r="10372">
      <c r="A10372" s="163" t="s">
        <v>222</v>
      </c>
      <c r="B10372" s="163"/>
      <c r="C10372" s="163"/>
      <c r="J10372" s="165"/>
      <c r="K10372" s="166"/>
      <c r="L10372" s="166"/>
    </row>
    <row r="10373">
      <c r="A10373" s="163" t="s">
        <v>222</v>
      </c>
      <c r="B10373" s="163"/>
      <c r="C10373" s="163"/>
      <c r="J10373" s="165"/>
      <c r="K10373" s="166"/>
      <c r="L10373" s="166"/>
    </row>
    <row r="10374">
      <c r="A10374" s="163" t="s">
        <v>222</v>
      </c>
      <c r="B10374" s="163"/>
      <c r="C10374" s="163"/>
      <c r="J10374" s="165"/>
      <c r="K10374" s="166"/>
      <c r="L10374" s="166"/>
    </row>
    <row r="10375">
      <c r="A10375" s="163" t="s">
        <v>222</v>
      </c>
      <c r="B10375" s="163"/>
      <c r="C10375" s="163"/>
      <c r="J10375" s="165"/>
      <c r="K10375" s="166"/>
      <c r="L10375" s="166"/>
    </row>
    <row r="10376">
      <c r="A10376" s="163" t="s">
        <v>222</v>
      </c>
      <c r="B10376" s="163"/>
      <c r="C10376" s="163"/>
      <c r="J10376" s="165"/>
      <c r="K10376" s="166"/>
      <c r="L10376" s="166"/>
    </row>
    <row r="10377">
      <c r="A10377" s="163" t="s">
        <v>222</v>
      </c>
      <c r="B10377" s="163"/>
      <c r="C10377" s="163"/>
      <c r="J10377" s="165"/>
      <c r="K10377" s="166"/>
      <c r="L10377" s="166"/>
    </row>
    <row r="10378">
      <c r="A10378" s="163" t="s">
        <v>222</v>
      </c>
      <c r="B10378" s="163"/>
      <c r="C10378" s="163"/>
      <c r="J10378" s="165"/>
      <c r="K10378" s="166"/>
      <c r="L10378" s="166"/>
    </row>
    <row r="10379">
      <c r="A10379" s="163" t="s">
        <v>222</v>
      </c>
      <c r="B10379" s="163"/>
      <c r="C10379" s="163"/>
      <c r="J10379" s="165"/>
      <c r="K10379" s="166"/>
      <c r="L10379" s="166"/>
    </row>
    <row r="10380">
      <c r="A10380" s="163" t="s">
        <v>222</v>
      </c>
      <c r="B10380" s="163"/>
      <c r="C10380" s="163"/>
      <c r="J10380" s="165"/>
      <c r="K10380" s="166"/>
      <c r="L10380" s="166"/>
    </row>
    <row r="10381">
      <c r="A10381" s="163" t="s">
        <v>222</v>
      </c>
      <c r="B10381" s="163"/>
      <c r="C10381" s="163"/>
      <c r="J10381" s="165"/>
      <c r="K10381" s="166"/>
      <c r="L10381" s="166"/>
    </row>
    <row r="10382">
      <c r="A10382" s="163" t="s">
        <v>222</v>
      </c>
      <c r="B10382" s="163"/>
      <c r="C10382" s="163"/>
      <c r="J10382" s="165"/>
      <c r="K10382" s="166"/>
      <c r="L10382" s="166"/>
    </row>
    <row r="10383">
      <c r="A10383" s="163" t="s">
        <v>222</v>
      </c>
      <c r="B10383" s="163"/>
      <c r="C10383" s="163"/>
      <c r="J10383" s="165"/>
      <c r="K10383" s="166"/>
      <c r="L10383" s="166"/>
    </row>
    <row r="10384">
      <c r="A10384" s="163" t="s">
        <v>222</v>
      </c>
      <c r="B10384" s="163"/>
      <c r="C10384" s="163"/>
      <c r="J10384" s="165"/>
      <c r="K10384" s="166"/>
      <c r="L10384" s="166"/>
    </row>
    <row r="10385">
      <c r="A10385" s="163" t="s">
        <v>222</v>
      </c>
      <c r="B10385" s="163"/>
      <c r="C10385" s="163"/>
      <c r="J10385" s="165"/>
      <c r="K10385" s="166"/>
      <c r="L10385" s="166"/>
    </row>
    <row r="10386">
      <c r="A10386" s="163" t="s">
        <v>222</v>
      </c>
      <c r="B10386" s="163"/>
      <c r="C10386" s="163"/>
      <c r="J10386" s="165"/>
      <c r="K10386" s="166"/>
      <c r="L10386" s="166"/>
    </row>
    <row r="10387">
      <c r="A10387" s="163" t="s">
        <v>222</v>
      </c>
      <c r="B10387" s="163"/>
      <c r="C10387" s="163"/>
      <c r="J10387" s="165"/>
      <c r="K10387" s="166"/>
      <c r="L10387" s="166"/>
    </row>
    <row r="10388">
      <c r="A10388" s="163" t="s">
        <v>222</v>
      </c>
      <c r="B10388" s="163"/>
      <c r="C10388" s="163"/>
      <c r="J10388" s="165"/>
      <c r="K10388" s="166"/>
      <c r="L10388" s="166"/>
    </row>
    <row r="10389">
      <c r="A10389" s="163" t="s">
        <v>222</v>
      </c>
      <c r="B10389" s="163"/>
      <c r="C10389" s="163"/>
      <c r="J10389" s="165"/>
      <c r="K10389" s="166"/>
      <c r="L10389" s="166"/>
    </row>
    <row r="10390">
      <c r="A10390" s="163" t="s">
        <v>222</v>
      </c>
      <c r="B10390" s="163"/>
      <c r="C10390" s="163"/>
      <c r="J10390" s="165"/>
      <c r="K10390" s="166"/>
      <c r="L10390" s="166"/>
    </row>
    <row r="10391">
      <c r="A10391" s="163" t="s">
        <v>222</v>
      </c>
      <c r="B10391" s="163"/>
      <c r="C10391" s="163"/>
      <c r="J10391" s="165"/>
      <c r="K10391" s="166"/>
      <c r="L10391" s="166"/>
    </row>
    <row r="10392">
      <c r="A10392" s="163" t="s">
        <v>222</v>
      </c>
      <c r="B10392" s="163"/>
      <c r="C10392" s="163"/>
      <c r="J10392" s="165"/>
      <c r="K10392" s="166"/>
      <c r="L10392" s="166"/>
    </row>
    <row r="10393">
      <c r="A10393" s="163" t="s">
        <v>222</v>
      </c>
      <c r="B10393" s="163"/>
      <c r="C10393" s="163"/>
      <c r="J10393" s="165"/>
      <c r="K10393" s="166"/>
      <c r="L10393" s="166"/>
    </row>
    <row r="10394">
      <c r="A10394" s="163" t="s">
        <v>222</v>
      </c>
      <c r="B10394" s="163"/>
      <c r="C10394" s="163"/>
      <c r="J10394" s="165"/>
      <c r="K10394" s="166"/>
      <c r="L10394" s="166"/>
    </row>
    <row r="10395">
      <c r="A10395" s="163" t="s">
        <v>222</v>
      </c>
      <c r="B10395" s="163"/>
      <c r="C10395" s="163"/>
      <c r="J10395" s="165"/>
      <c r="K10395" s="166"/>
      <c r="L10395" s="166"/>
    </row>
    <row r="10396">
      <c r="A10396" s="163" t="s">
        <v>222</v>
      </c>
      <c r="B10396" s="163"/>
      <c r="C10396" s="163"/>
      <c r="J10396" s="165"/>
      <c r="K10396" s="166"/>
      <c r="L10396" s="166"/>
    </row>
    <row r="10397">
      <c r="A10397" s="163" t="s">
        <v>222</v>
      </c>
      <c r="B10397" s="163"/>
      <c r="C10397" s="163"/>
      <c r="J10397" s="165"/>
      <c r="K10397" s="166"/>
      <c r="L10397" s="166"/>
    </row>
    <row r="10398">
      <c r="A10398" s="163" t="s">
        <v>222</v>
      </c>
      <c r="B10398" s="163"/>
      <c r="C10398" s="163"/>
      <c r="J10398" s="165"/>
      <c r="K10398" s="166"/>
      <c r="L10398" s="166"/>
    </row>
    <row r="10399">
      <c r="A10399" s="163" t="s">
        <v>222</v>
      </c>
      <c r="B10399" s="163"/>
      <c r="C10399" s="163"/>
      <c r="J10399" s="165"/>
      <c r="K10399" s="166"/>
      <c r="L10399" s="166"/>
    </row>
    <row r="10400">
      <c r="A10400" s="163" t="s">
        <v>222</v>
      </c>
      <c r="B10400" s="163"/>
      <c r="C10400" s="163"/>
      <c r="J10400" s="165"/>
      <c r="K10400" s="166"/>
      <c r="L10400" s="166"/>
    </row>
    <row r="10401">
      <c r="A10401" s="163" t="s">
        <v>222</v>
      </c>
      <c r="B10401" s="163"/>
      <c r="C10401" s="163"/>
      <c r="J10401" s="165"/>
      <c r="K10401" s="166"/>
      <c r="L10401" s="166"/>
    </row>
    <row r="10402">
      <c r="A10402" s="163" t="s">
        <v>222</v>
      </c>
      <c r="B10402" s="163"/>
      <c r="C10402" s="163"/>
      <c r="J10402" s="165"/>
      <c r="K10402" s="166"/>
      <c r="L10402" s="166"/>
    </row>
    <row r="10403">
      <c r="A10403" s="163" t="s">
        <v>222</v>
      </c>
      <c r="B10403" s="163"/>
      <c r="C10403" s="163"/>
      <c r="J10403" s="165"/>
      <c r="K10403" s="166"/>
      <c r="L10403" s="166"/>
    </row>
    <row r="10404">
      <c r="A10404" s="163" t="s">
        <v>222</v>
      </c>
      <c r="B10404" s="163"/>
      <c r="C10404" s="163"/>
      <c r="J10404" s="165"/>
      <c r="K10404" s="166"/>
      <c r="L10404" s="166"/>
    </row>
    <row r="10405">
      <c r="A10405" s="163" t="s">
        <v>222</v>
      </c>
      <c r="B10405" s="163"/>
      <c r="C10405" s="163"/>
      <c r="J10405" s="165"/>
      <c r="K10405" s="166"/>
      <c r="L10405" s="166"/>
    </row>
    <row r="10406">
      <c r="A10406" s="163" t="s">
        <v>222</v>
      </c>
      <c r="B10406" s="163"/>
      <c r="C10406" s="163"/>
      <c r="J10406" s="165"/>
      <c r="K10406" s="166"/>
      <c r="L10406" s="166"/>
    </row>
    <row r="10407">
      <c r="A10407" s="163" t="s">
        <v>222</v>
      </c>
      <c r="B10407" s="163"/>
      <c r="C10407" s="163"/>
      <c r="J10407" s="165"/>
      <c r="K10407" s="166"/>
      <c r="L10407" s="166"/>
    </row>
    <row r="10408">
      <c r="A10408" s="163" t="s">
        <v>222</v>
      </c>
      <c r="B10408" s="163"/>
      <c r="C10408" s="163"/>
      <c r="J10408" s="165"/>
      <c r="K10408" s="166"/>
      <c r="L10408" s="166"/>
    </row>
    <row r="10409">
      <c r="A10409" s="163" t="s">
        <v>222</v>
      </c>
      <c r="B10409" s="163"/>
      <c r="C10409" s="163"/>
      <c r="J10409" s="165"/>
      <c r="K10409" s="166"/>
      <c r="L10409" s="166"/>
    </row>
    <row r="10410">
      <c r="A10410" s="163" t="s">
        <v>222</v>
      </c>
      <c r="B10410" s="163"/>
      <c r="C10410" s="163"/>
      <c r="J10410" s="165"/>
      <c r="K10410" s="166"/>
      <c r="L10410" s="166"/>
    </row>
    <row r="10411">
      <c r="A10411" s="163" t="s">
        <v>222</v>
      </c>
      <c r="B10411" s="163"/>
      <c r="C10411" s="163"/>
      <c r="J10411" s="165"/>
      <c r="K10411" s="166"/>
      <c r="L10411" s="166"/>
    </row>
    <row r="10412">
      <c r="A10412" s="163" t="s">
        <v>222</v>
      </c>
      <c r="B10412" s="163"/>
      <c r="C10412" s="163"/>
      <c r="J10412" s="165"/>
      <c r="K10412" s="166"/>
      <c r="L10412" s="166"/>
    </row>
    <row r="10413">
      <c r="A10413" s="163" t="s">
        <v>222</v>
      </c>
      <c r="B10413" s="163"/>
      <c r="C10413" s="163"/>
      <c r="J10413" s="165"/>
      <c r="K10413" s="166"/>
      <c r="L10413" s="166"/>
    </row>
    <row r="10414">
      <c r="A10414" s="163" t="s">
        <v>222</v>
      </c>
      <c r="B10414" s="163"/>
      <c r="C10414" s="163"/>
      <c r="J10414" s="165"/>
      <c r="K10414" s="166"/>
      <c r="L10414" s="166"/>
    </row>
    <row r="10415">
      <c r="A10415" s="163" t="s">
        <v>222</v>
      </c>
      <c r="B10415" s="163"/>
      <c r="C10415" s="163"/>
      <c r="J10415" s="165"/>
      <c r="K10415" s="166"/>
      <c r="L10415" s="166"/>
    </row>
    <row r="10416">
      <c r="A10416" s="163" t="s">
        <v>222</v>
      </c>
      <c r="B10416" s="163"/>
      <c r="C10416" s="163"/>
      <c r="J10416" s="165"/>
      <c r="K10416" s="166"/>
      <c r="L10416" s="166"/>
    </row>
    <row r="10417">
      <c r="A10417" s="163" t="s">
        <v>222</v>
      </c>
      <c r="B10417" s="163"/>
      <c r="C10417" s="163"/>
      <c r="J10417" s="165"/>
      <c r="K10417" s="166"/>
      <c r="L10417" s="166"/>
    </row>
    <row r="10418">
      <c r="A10418" s="163" t="s">
        <v>222</v>
      </c>
      <c r="B10418" s="163"/>
      <c r="C10418" s="163"/>
      <c r="J10418" s="165"/>
      <c r="K10418" s="166"/>
      <c r="L10418" s="166"/>
    </row>
    <row r="10419">
      <c r="A10419" s="163" t="s">
        <v>222</v>
      </c>
      <c r="B10419" s="163"/>
      <c r="C10419" s="163"/>
      <c r="J10419" s="165"/>
      <c r="K10419" s="166"/>
      <c r="L10419" s="166"/>
    </row>
    <row r="10420">
      <c r="A10420" s="163" t="s">
        <v>222</v>
      </c>
      <c r="B10420" s="163"/>
      <c r="C10420" s="163"/>
      <c r="J10420" s="165"/>
      <c r="K10420" s="166"/>
      <c r="L10420" s="166"/>
    </row>
    <row r="10421">
      <c r="A10421" s="163" t="s">
        <v>222</v>
      </c>
      <c r="B10421" s="163"/>
      <c r="C10421" s="163"/>
      <c r="J10421" s="165"/>
      <c r="K10421" s="166"/>
      <c r="L10421" s="166"/>
    </row>
    <row r="10422">
      <c r="A10422" s="163" t="s">
        <v>222</v>
      </c>
      <c r="B10422" s="163"/>
      <c r="C10422" s="163"/>
      <c r="J10422" s="165"/>
      <c r="K10422" s="166"/>
      <c r="L10422" s="166"/>
    </row>
    <row r="10423">
      <c r="A10423" s="163" t="s">
        <v>222</v>
      </c>
      <c r="B10423" s="163"/>
      <c r="C10423" s="163"/>
      <c r="J10423" s="165"/>
      <c r="K10423" s="166"/>
      <c r="L10423" s="166"/>
    </row>
    <row r="10424">
      <c r="A10424" s="163" t="s">
        <v>222</v>
      </c>
      <c r="B10424" s="163"/>
      <c r="C10424" s="163"/>
      <c r="J10424" s="165"/>
      <c r="K10424" s="166"/>
      <c r="L10424" s="166"/>
    </row>
    <row r="10425">
      <c r="A10425" s="163" t="s">
        <v>222</v>
      </c>
      <c r="B10425" s="163"/>
      <c r="C10425" s="163"/>
      <c r="J10425" s="165"/>
      <c r="K10425" s="166"/>
      <c r="L10425" s="166"/>
    </row>
    <row r="10426">
      <c r="A10426" s="163" t="s">
        <v>222</v>
      </c>
      <c r="B10426" s="163"/>
      <c r="C10426" s="163"/>
      <c r="J10426" s="165"/>
      <c r="K10426" s="166"/>
      <c r="L10426" s="166"/>
    </row>
    <row r="10427">
      <c r="A10427" s="163" t="s">
        <v>222</v>
      </c>
      <c r="B10427" s="163"/>
      <c r="C10427" s="163"/>
      <c r="J10427" s="165"/>
      <c r="K10427" s="166"/>
      <c r="L10427" s="166"/>
    </row>
    <row r="10428">
      <c r="A10428" s="163" t="s">
        <v>222</v>
      </c>
      <c r="B10428" s="163"/>
      <c r="C10428" s="163"/>
      <c r="J10428" s="165"/>
      <c r="K10428" s="166"/>
      <c r="L10428" s="166"/>
    </row>
    <row r="10429">
      <c r="A10429" s="163" t="s">
        <v>222</v>
      </c>
      <c r="B10429" s="163"/>
      <c r="C10429" s="163"/>
      <c r="J10429" s="165"/>
      <c r="K10429" s="166"/>
      <c r="L10429" s="166"/>
    </row>
    <row r="10430">
      <c r="A10430" s="163" t="s">
        <v>222</v>
      </c>
      <c r="B10430" s="163"/>
      <c r="C10430" s="163"/>
      <c r="J10430" s="165"/>
      <c r="K10430" s="166"/>
      <c r="L10430" s="166"/>
    </row>
    <row r="10431">
      <c r="A10431" s="163" t="s">
        <v>222</v>
      </c>
      <c r="B10431" s="163"/>
      <c r="C10431" s="163"/>
      <c r="J10431" s="165"/>
      <c r="K10431" s="166"/>
      <c r="L10431" s="166"/>
    </row>
    <row r="10432">
      <c r="A10432" s="163" t="s">
        <v>222</v>
      </c>
      <c r="B10432" s="163"/>
      <c r="C10432" s="163"/>
      <c r="J10432" s="165"/>
      <c r="K10432" s="166"/>
      <c r="L10432" s="166"/>
    </row>
    <row r="10433">
      <c r="A10433" s="163" t="s">
        <v>222</v>
      </c>
      <c r="B10433" s="163"/>
      <c r="C10433" s="163"/>
      <c r="J10433" s="165"/>
      <c r="K10433" s="166"/>
      <c r="L10433" s="166"/>
    </row>
    <row r="10434">
      <c r="A10434" s="163" t="s">
        <v>222</v>
      </c>
      <c r="B10434" s="163"/>
      <c r="C10434" s="163"/>
      <c r="J10434" s="165"/>
      <c r="K10434" s="166"/>
      <c r="L10434" s="166"/>
    </row>
    <row r="10435">
      <c r="A10435" s="163" t="s">
        <v>222</v>
      </c>
      <c r="B10435" s="163"/>
      <c r="C10435" s="163"/>
      <c r="J10435" s="165"/>
      <c r="K10435" s="166"/>
      <c r="L10435" s="166"/>
    </row>
    <row r="10436">
      <c r="A10436" s="163" t="s">
        <v>222</v>
      </c>
      <c r="B10436" s="163"/>
      <c r="C10436" s="163"/>
      <c r="J10436" s="165"/>
      <c r="K10436" s="166"/>
      <c r="L10436" s="166"/>
    </row>
    <row r="10437">
      <c r="A10437" s="163" t="s">
        <v>222</v>
      </c>
      <c r="B10437" s="163"/>
      <c r="C10437" s="163"/>
      <c r="J10437" s="165"/>
      <c r="K10437" s="166"/>
      <c r="L10437" s="166"/>
    </row>
    <row r="10438">
      <c r="A10438" s="163" t="s">
        <v>222</v>
      </c>
      <c r="B10438" s="163"/>
      <c r="C10438" s="163"/>
      <c r="J10438" s="165"/>
      <c r="K10438" s="166"/>
      <c r="L10438" s="166"/>
    </row>
    <row r="10439">
      <c r="A10439" s="163" t="s">
        <v>222</v>
      </c>
      <c r="B10439" s="163"/>
      <c r="C10439" s="163"/>
      <c r="J10439" s="165"/>
      <c r="K10439" s="166"/>
      <c r="L10439" s="166"/>
    </row>
    <row r="10440">
      <c r="A10440" s="163" t="s">
        <v>222</v>
      </c>
      <c r="B10440" s="163"/>
      <c r="C10440" s="163"/>
      <c r="J10440" s="165"/>
      <c r="K10440" s="166"/>
      <c r="L10440" s="166"/>
    </row>
    <row r="10441">
      <c r="A10441" s="163" t="s">
        <v>222</v>
      </c>
      <c r="B10441" s="163"/>
      <c r="C10441" s="163"/>
      <c r="J10441" s="165"/>
      <c r="K10441" s="166"/>
      <c r="L10441" s="166"/>
    </row>
    <row r="10442">
      <c r="A10442" s="163" t="s">
        <v>222</v>
      </c>
      <c r="B10442" s="163"/>
      <c r="C10442" s="163"/>
      <c r="J10442" s="165"/>
      <c r="K10442" s="166"/>
      <c r="L10442" s="166"/>
    </row>
    <row r="10443">
      <c r="A10443" s="163" t="s">
        <v>222</v>
      </c>
      <c r="B10443" s="163"/>
      <c r="C10443" s="163"/>
      <c r="J10443" s="165"/>
      <c r="K10443" s="166"/>
      <c r="L10443" s="166"/>
    </row>
    <row r="10444">
      <c r="A10444" s="163" t="s">
        <v>222</v>
      </c>
      <c r="B10444" s="163"/>
      <c r="C10444" s="163"/>
      <c r="J10444" s="165"/>
      <c r="K10444" s="166"/>
      <c r="L10444" s="166"/>
    </row>
    <row r="10445">
      <c r="A10445" s="163" t="s">
        <v>222</v>
      </c>
      <c r="B10445" s="163"/>
      <c r="C10445" s="163"/>
      <c r="J10445" s="165"/>
      <c r="K10445" s="166"/>
      <c r="L10445" s="166"/>
    </row>
    <row r="10446">
      <c r="A10446" s="163" t="s">
        <v>222</v>
      </c>
      <c r="B10446" s="163"/>
      <c r="C10446" s="163"/>
      <c r="J10446" s="165"/>
      <c r="K10446" s="166"/>
      <c r="L10446" s="166"/>
    </row>
    <row r="10447">
      <c r="A10447" s="163" t="s">
        <v>222</v>
      </c>
      <c r="B10447" s="163"/>
      <c r="C10447" s="163"/>
      <c r="J10447" s="165"/>
      <c r="K10447" s="166"/>
      <c r="L10447" s="166"/>
    </row>
    <row r="10448">
      <c r="A10448" s="163" t="s">
        <v>222</v>
      </c>
      <c r="B10448" s="163"/>
      <c r="C10448" s="163"/>
      <c r="J10448" s="165"/>
      <c r="K10448" s="166"/>
      <c r="L10448" s="166"/>
    </row>
    <row r="10449">
      <c r="A10449" s="163" t="s">
        <v>222</v>
      </c>
      <c r="B10449" s="163"/>
      <c r="C10449" s="163"/>
      <c r="J10449" s="165"/>
      <c r="K10449" s="166"/>
      <c r="L10449" s="166"/>
    </row>
    <row r="10450">
      <c r="A10450" s="163" t="s">
        <v>222</v>
      </c>
      <c r="B10450" s="163"/>
      <c r="C10450" s="163"/>
      <c r="J10450" s="165"/>
      <c r="K10450" s="166"/>
      <c r="L10450" s="166"/>
    </row>
    <row r="10451">
      <c r="A10451" s="163" t="s">
        <v>222</v>
      </c>
      <c r="B10451" s="163"/>
      <c r="C10451" s="163"/>
      <c r="J10451" s="165"/>
      <c r="K10451" s="166"/>
      <c r="L10451" s="166"/>
    </row>
    <row r="10452">
      <c r="A10452" s="163" t="s">
        <v>222</v>
      </c>
      <c r="B10452" s="163"/>
      <c r="C10452" s="163"/>
      <c r="J10452" s="165"/>
      <c r="K10452" s="166"/>
      <c r="L10452" s="166"/>
    </row>
    <row r="10453">
      <c r="A10453" s="163" t="s">
        <v>222</v>
      </c>
      <c r="B10453" s="163"/>
      <c r="C10453" s="163"/>
      <c r="J10453" s="165"/>
      <c r="K10453" s="166"/>
      <c r="L10453" s="166"/>
    </row>
    <row r="10454">
      <c r="A10454" s="163" t="s">
        <v>222</v>
      </c>
      <c r="B10454" s="163"/>
      <c r="C10454" s="163"/>
      <c r="J10454" s="165"/>
      <c r="K10454" s="166"/>
      <c r="L10454" s="166"/>
    </row>
    <row r="10455">
      <c r="A10455" s="163" t="s">
        <v>222</v>
      </c>
      <c r="B10455" s="163"/>
      <c r="C10455" s="163"/>
      <c r="J10455" s="165"/>
      <c r="K10455" s="166"/>
      <c r="L10455" s="166"/>
    </row>
    <row r="10456">
      <c r="A10456" s="163" t="s">
        <v>222</v>
      </c>
      <c r="B10456" s="163"/>
      <c r="C10456" s="163"/>
      <c r="J10456" s="165"/>
      <c r="K10456" s="166"/>
      <c r="L10456" s="166"/>
    </row>
    <row r="10457">
      <c r="A10457" s="163" t="s">
        <v>222</v>
      </c>
      <c r="B10457" s="163"/>
      <c r="C10457" s="163"/>
      <c r="J10457" s="165"/>
      <c r="K10457" s="166"/>
      <c r="L10457" s="166"/>
    </row>
    <row r="10458">
      <c r="A10458" s="163" t="s">
        <v>222</v>
      </c>
      <c r="B10458" s="163"/>
      <c r="C10458" s="163"/>
      <c r="J10458" s="165"/>
      <c r="K10458" s="166"/>
      <c r="L10458" s="166"/>
    </row>
    <row r="10459">
      <c r="A10459" s="163" t="s">
        <v>222</v>
      </c>
      <c r="B10459" s="163"/>
      <c r="C10459" s="163"/>
      <c r="J10459" s="165"/>
      <c r="K10459" s="166"/>
      <c r="L10459" s="166"/>
    </row>
    <row r="10460">
      <c r="A10460" s="163" t="s">
        <v>222</v>
      </c>
      <c r="B10460" s="163"/>
      <c r="C10460" s="163"/>
      <c r="J10460" s="165"/>
      <c r="K10460" s="166"/>
      <c r="L10460" s="166"/>
    </row>
    <row r="10461">
      <c r="A10461" s="163" t="s">
        <v>222</v>
      </c>
      <c r="B10461" s="163"/>
      <c r="C10461" s="163"/>
      <c r="J10461" s="165"/>
      <c r="K10461" s="166"/>
      <c r="L10461" s="166"/>
    </row>
    <row r="10462">
      <c r="A10462" s="163" t="s">
        <v>222</v>
      </c>
      <c r="B10462" s="163"/>
      <c r="C10462" s="163"/>
      <c r="J10462" s="165"/>
      <c r="K10462" s="166"/>
      <c r="L10462" s="166"/>
    </row>
    <row r="10463">
      <c r="A10463" s="163" t="s">
        <v>222</v>
      </c>
      <c r="B10463" s="163"/>
      <c r="C10463" s="163"/>
      <c r="J10463" s="165"/>
      <c r="K10463" s="166"/>
      <c r="L10463" s="166"/>
    </row>
    <row r="10464">
      <c r="A10464" s="163" t="s">
        <v>222</v>
      </c>
      <c r="B10464" s="163"/>
      <c r="C10464" s="163"/>
      <c r="J10464" s="165"/>
      <c r="K10464" s="166"/>
      <c r="L10464" s="166"/>
    </row>
    <row r="10465">
      <c r="A10465" s="163" t="s">
        <v>222</v>
      </c>
      <c r="B10465" s="163"/>
      <c r="C10465" s="163"/>
      <c r="J10465" s="165"/>
      <c r="K10465" s="166"/>
      <c r="L10465" s="166"/>
    </row>
    <row r="10466">
      <c r="A10466" s="163" t="s">
        <v>222</v>
      </c>
      <c r="B10466" s="163"/>
      <c r="C10466" s="163"/>
      <c r="J10466" s="165"/>
      <c r="K10466" s="166"/>
      <c r="L10466" s="166"/>
    </row>
    <row r="10467">
      <c r="A10467" s="163" t="s">
        <v>222</v>
      </c>
      <c r="B10467" s="163"/>
      <c r="C10467" s="163"/>
      <c r="J10467" s="165"/>
      <c r="K10467" s="166"/>
      <c r="L10467" s="166"/>
    </row>
    <row r="10468">
      <c r="A10468" s="163" t="s">
        <v>222</v>
      </c>
      <c r="B10468" s="163"/>
      <c r="C10468" s="163"/>
      <c r="J10468" s="165"/>
      <c r="K10468" s="166"/>
      <c r="L10468" s="166"/>
    </row>
    <row r="10469">
      <c r="A10469" s="163" t="s">
        <v>222</v>
      </c>
      <c r="B10469" s="163"/>
      <c r="C10469" s="163"/>
      <c r="J10469" s="165"/>
      <c r="K10469" s="166"/>
      <c r="L10469" s="166"/>
    </row>
    <row r="10470">
      <c r="A10470" s="163" t="s">
        <v>222</v>
      </c>
      <c r="B10470" s="163"/>
      <c r="C10470" s="163"/>
      <c r="J10470" s="165"/>
      <c r="K10470" s="166"/>
      <c r="L10470" s="166"/>
    </row>
    <row r="10471">
      <c r="A10471" s="163" t="s">
        <v>222</v>
      </c>
      <c r="B10471" s="163"/>
      <c r="C10471" s="163"/>
      <c r="J10471" s="165"/>
      <c r="K10471" s="166"/>
      <c r="L10471" s="166"/>
    </row>
    <row r="10472">
      <c r="A10472" s="163" t="s">
        <v>222</v>
      </c>
      <c r="B10472" s="163"/>
      <c r="C10472" s="163"/>
      <c r="J10472" s="165"/>
      <c r="K10472" s="166"/>
      <c r="L10472" s="166"/>
    </row>
    <row r="10473">
      <c r="A10473" s="163" t="s">
        <v>222</v>
      </c>
      <c r="B10473" s="163"/>
      <c r="C10473" s="163"/>
      <c r="J10473" s="165"/>
      <c r="K10473" s="166"/>
      <c r="L10473" s="166"/>
    </row>
    <row r="10474">
      <c r="A10474" s="163" t="s">
        <v>222</v>
      </c>
      <c r="B10474" s="163"/>
      <c r="C10474" s="163"/>
      <c r="J10474" s="165"/>
      <c r="K10474" s="166"/>
      <c r="L10474" s="166"/>
    </row>
    <row r="10475">
      <c r="A10475" s="163" t="s">
        <v>222</v>
      </c>
      <c r="B10475" s="163"/>
      <c r="C10475" s="163"/>
      <c r="J10475" s="165"/>
      <c r="K10475" s="166"/>
      <c r="L10475" s="166"/>
    </row>
    <row r="10476">
      <c r="A10476" s="163" t="s">
        <v>222</v>
      </c>
      <c r="B10476" s="163"/>
      <c r="C10476" s="163"/>
      <c r="J10476" s="165"/>
      <c r="K10476" s="166"/>
      <c r="L10476" s="166"/>
    </row>
    <row r="10477">
      <c r="A10477" s="163" t="s">
        <v>222</v>
      </c>
      <c r="B10477" s="163"/>
      <c r="C10477" s="163"/>
      <c r="J10477" s="165"/>
      <c r="K10477" s="166"/>
      <c r="L10477" s="166"/>
    </row>
    <row r="10478">
      <c r="A10478" s="163" t="s">
        <v>222</v>
      </c>
      <c r="B10478" s="163"/>
      <c r="C10478" s="163"/>
      <c r="J10478" s="165"/>
      <c r="K10478" s="166"/>
      <c r="L10478" s="166"/>
    </row>
    <row r="10479">
      <c r="A10479" s="163" t="s">
        <v>222</v>
      </c>
      <c r="B10479" s="163"/>
      <c r="C10479" s="163"/>
      <c r="J10479" s="165"/>
      <c r="K10479" s="166"/>
      <c r="L10479" s="166"/>
    </row>
    <row r="10480">
      <c r="A10480" s="163" t="s">
        <v>222</v>
      </c>
      <c r="B10480" s="163"/>
      <c r="C10480" s="163"/>
      <c r="J10480" s="165"/>
      <c r="K10480" s="166"/>
      <c r="L10480" s="166"/>
    </row>
    <row r="10481">
      <c r="A10481" s="163" t="s">
        <v>222</v>
      </c>
      <c r="B10481" s="163"/>
      <c r="C10481" s="163"/>
      <c r="J10481" s="165"/>
      <c r="K10481" s="166"/>
      <c r="L10481" s="166"/>
    </row>
    <row r="10482">
      <c r="A10482" s="163" t="s">
        <v>222</v>
      </c>
      <c r="B10482" s="163"/>
      <c r="C10482" s="163"/>
      <c r="J10482" s="165"/>
      <c r="K10482" s="166"/>
      <c r="L10482" s="166"/>
    </row>
    <row r="10483">
      <c r="A10483" s="163" t="s">
        <v>222</v>
      </c>
      <c r="B10483" s="163"/>
      <c r="C10483" s="163"/>
      <c r="J10483" s="165"/>
      <c r="K10483" s="166"/>
      <c r="L10483" s="166"/>
    </row>
    <row r="10484">
      <c r="A10484" s="163" t="s">
        <v>222</v>
      </c>
      <c r="B10484" s="163"/>
      <c r="C10484" s="163"/>
      <c r="J10484" s="165"/>
      <c r="K10484" s="166"/>
      <c r="L10484" s="166"/>
    </row>
    <row r="10485">
      <c r="A10485" s="163" t="s">
        <v>222</v>
      </c>
      <c r="B10485" s="163"/>
      <c r="C10485" s="163"/>
      <c r="J10485" s="165"/>
      <c r="K10485" s="166"/>
      <c r="L10485" s="166"/>
    </row>
    <row r="10486">
      <c r="A10486" s="163" t="s">
        <v>222</v>
      </c>
      <c r="B10486" s="163"/>
      <c r="C10486" s="163"/>
      <c r="J10486" s="165"/>
      <c r="K10486" s="166"/>
      <c r="L10486" s="166"/>
    </row>
    <row r="10487">
      <c r="A10487" s="163" t="s">
        <v>222</v>
      </c>
      <c r="B10487" s="163"/>
      <c r="C10487" s="163"/>
      <c r="J10487" s="165"/>
      <c r="K10487" s="166"/>
      <c r="L10487" s="166"/>
    </row>
    <row r="10488">
      <c r="A10488" s="163" t="s">
        <v>222</v>
      </c>
      <c r="B10488" s="163"/>
      <c r="C10488" s="163"/>
      <c r="J10488" s="165"/>
      <c r="K10488" s="166"/>
      <c r="L10488" s="166"/>
    </row>
    <row r="10489">
      <c r="A10489" s="163" t="s">
        <v>222</v>
      </c>
      <c r="B10489" s="163"/>
      <c r="C10489" s="163"/>
      <c r="J10489" s="165"/>
      <c r="K10489" s="166"/>
      <c r="L10489" s="166"/>
    </row>
    <row r="10490">
      <c r="A10490" s="163" t="s">
        <v>222</v>
      </c>
      <c r="B10490" s="163"/>
      <c r="C10490" s="163"/>
      <c r="J10490" s="165"/>
      <c r="K10490" s="166"/>
      <c r="L10490" s="166"/>
    </row>
    <row r="10491">
      <c r="A10491" s="163" t="s">
        <v>222</v>
      </c>
      <c r="B10491" s="163"/>
      <c r="C10491" s="163"/>
      <c r="J10491" s="165"/>
      <c r="K10491" s="166"/>
      <c r="L10491" s="166"/>
    </row>
    <row r="10492">
      <c r="A10492" s="163" t="s">
        <v>222</v>
      </c>
      <c r="B10492" s="163"/>
      <c r="C10492" s="163"/>
      <c r="J10492" s="165"/>
      <c r="K10492" s="166"/>
      <c r="L10492" s="166"/>
    </row>
    <row r="10493">
      <c r="A10493" s="163" t="s">
        <v>222</v>
      </c>
      <c r="B10493" s="163"/>
      <c r="C10493" s="163"/>
      <c r="J10493" s="165"/>
      <c r="K10493" s="166"/>
      <c r="L10493" s="166"/>
    </row>
    <row r="10494">
      <c r="A10494" s="163" t="s">
        <v>222</v>
      </c>
      <c r="B10494" s="163"/>
      <c r="C10494" s="163"/>
      <c r="J10494" s="165"/>
      <c r="K10494" s="166"/>
      <c r="L10494" s="166"/>
    </row>
    <row r="10495">
      <c r="A10495" s="163" t="s">
        <v>222</v>
      </c>
      <c r="B10495" s="163"/>
      <c r="C10495" s="163"/>
      <c r="J10495" s="165"/>
      <c r="K10495" s="166"/>
      <c r="L10495" s="166"/>
    </row>
    <row r="10496">
      <c r="A10496" s="163" t="s">
        <v>222</v>
      </c>
      <c r="B10496" s="163"/>
      <c r="C10496" s="163"/>
      <c r="J10496" s="165"/>
      <c r="K10496" s="166"/>
      <c r="L10496" s="166"/>
    </row>
    <row r="10497">
      <c r="A10497" s="163" t="s">
        <v>222</v>
      </c>
      <c r="B10497" s="163"/>
      <c r="C10497" s="163"/>
      <c r="J10497" s="165"/>
      <c r="K10497" s="166"/>
      <c r="L10497" s="166"/>
    </row>
    <row r="10498">
      <c r="A10498" s="163" t="s">
        <v>222</v>
      </c>
      <c r="B10498" s="163"/>
      <c r="C10498" s="163"/>
      <c r="J10498" s="165"/>
      <c r="K10498" s="166"/>
      <c r="L10498" s="166"/>
    </row>
    <row r="10499">
      <c r="A10499" s="163" t="s">
        <v>222</v>
      </c>
      <c r="B10499" s="163"/>
      <c r="C10499" s="163"/>
      <c r="J10499" s="165"/>
      <c r="K10499" s="166"/>
      <c r="L10499" s="166"/>
    </row>
    <row r="10500">
      <c r="A10500" s="163" t="s">
        <v>222</v>
      </c>
      <c r="B10500" s="163"/>
      <c r="C10500" s="163"/>
      <c r="J10500" s="165"/>
      <c r="K10500" s="166"/>
      <c r="L10500" s="166"/>
    </row>
    <row r="10501">
      <c r="A10501" s="163" t="s">
        <v>222</v>
      </c>
      <c r="B10501" s="163"/>
      <c r="C10501" s="163"/>
      <c r="J10501" s="165"/>
      <c r="K10501" s="166"/>
      <c r="L10501" s="166"/>
    </row>
    <row r="10502">
      <c r="A10502" s="163" t="s">
        <v>222</v>
      </c>
      <c r="B10502" s="163"/>
      <c r="C10502" s="163"/>
      <c r="J10502" s="165"/>
      <c r="K10502" s="166"/>
      <c r="L10502" s="166"/>
    </row>
    <row r="10503">
      <c r="A10503" s="163" t="s">
        <v>222</v>
      </c>
      <c r="B10503" s="163"/>
      <c r="C10503" s="163"/>
      <c r="J10503" s="165"/>
      <c r="K10503" s="166"/>
      <c r="L10503" s="166"/>
    </row>
    <row r="10504">
      <c r="A10504" s="163" t="s">
        <v>222</v>
      </c>
      <c r="B10504" s="163"/>
      <c r="C10504" s="163"/>
      <c r="J10504" s="165"/>
      <c r="K10504" s="166"/>
      <c r="L10504" s="166"/>
    </row>
    <row r="10505">
      <c r="A10505" s="163" t="s">
        <v>222</v>
      </c>
      <c r="B10505" s="163"/>
      <c r="C10505" s="163"/>
      <c r="J10505" s="165"/>
      <c r="K10505" s="166"/>
      <c r="L10505" s="166"/>
    </row>
    <row r="10506">
      <c r="A10506" s="163" t="s">
        <v>222</v>
      </c>
      <c r="B10506" s="163"/>
      <c r="C10506" s="163"/>
      <c r="J10506" s="165"/>
      <c r="K10506" s="166"/>
      <c r="L10506" s="166"/>
    </row>
    <row r="10507">
      <c r="A10507" s="163" t="s">
        <v>222</v>
      </c>
      <c r="B10507" s="163"/>
      <c r="C10507" s="163"/>
      <c r="J10507" s="165"/>
      <c r="K10507" s="166"/>
      <c r="L10507" s="166"/>
    </row>
    <row r="10508">
      <c r="A10508" s="163" t="s">
        <v>222</v>
      </c>
      <c r="B10508" s="163"/>
      <c r="C10508" s="163"/>
      <c r="J10508" s="165"/>
      <c r="K10508" s="166"/>
      <c r="L10508" s="166"/>
    </row>
    <row r="10509">
      <c r="A10509" s="163" t="s">
        <v>222</v>
      </c>
      <c r="B10509" s="163"/>
      <c r="C10509" s="163"/>
      <c r="J10509" s="165"/>
      <c r="K10509" s="166"/>
      <c r="L10509" s="166"/>
    </row>
    <row r="10510">
      <c r="A10510" s="163" t="s">
        <v>222</v>
      </c>
      <c r="B10510" s="163"/>
      <c r="C10510" s="163"/>
      <c r="J10510" s="165"/>
      <c r="K10510" s="166"/>
      <c r="L10510" s="166"/>
    </row>
    <row r="10511">
      <c r="A10511" s="163" t="s">
        <v>222</v>
      </c>
      <c r="B10511" s="163"/>
      <c r="C10511" s="163"/>
      <c r="J10511" s="165"/>
      <c r="K10511" s="166"/>
      <c r="L10511" s="166"/>
    </row>
    <row r="10512">
      <c r="A10512" s="163" t="s">
        <v>222</v>
      </c>
      <c r="B10512" s="163"/>
      <c r="C10512" s="163"/>
      <c r="J10512" s="165"/>
      <c r="K10512" s="166"/>
      <c r="L10512" s="166"/>
    </row>
    <row r="10513">
      <c r="A10513" s="163" t="s">
        <v>222</v>
      </c>
      <c r="B10513" s="163"/>
      <c r="C10513" s="163"/>
      <c r="J10513" s="165"/>
      <c r="K10513" s="166"/>
      <c r="L10513" s="166"/>
    </row>
    <row r="10514">
      <c r="A10514" s="163" t="s">
        <v>222</v>
      </c>
      <c r="B10514" s="163"/>
      <c r="C10514" s="163"/>
      <c r="J10514" s="165"/>
      <c r="K10514" s="166"/>
      <c r="L10514" s="166"/>
    </row>
    <row r="10515">
      <c r="A10515" s="163" t="s">
        <v>222</v>
      </c>
      <c r="B10515" s="163"/>
      <c r="C10515" s="163"/>
      <c r="J10515" s="165"/>
      <c r="K10515" s="166"/>
      <c r="L10515" s="166"/>
    </row>
    <row r="10516">
      <c r="A10516" s="163" t="s">
        <v>222</v>
      </c>
      <c r="B10516" s="163"/>
      <c r="C10516" s="163"/>
      <c r="J10516" s="165"/>
      <c r="K10516" s="166"/>
      <c r="L10516" s="166"/>
    </row>
    <row r="10517">
      <c r="A10517" s="163" t="s">
        <v>222</v>
      </c>
      <c r="B10517" s="163"/>
      <c r="C10517" s="163"/>
      <c r="J10517" s="165"/>
      <c r="K10517" s="166"/>
      <c r="L10517" s="166"/>
    </row>
    <row r="10518">
      <c r="A10518" s="163" t="s">
        <v>222</v>
      </c>
      <c r="B10518" s="163"/>
      <c r="C10518" s="163"/>
      <c r="J10518" s="165"/>
      <c r="K10518" s="166"/>
      <c r="L10518" s="166"/>
    </row>
    <row r="10519">
      <c r="A10519" s="163" t="s">
        <v>222</v>
      </c>
      <c r="B10519" s="163"/>
      <c r="C10519" s="163"/>
      <c r="J10519" s="165"/>
      <c r="K10519" s="166"/>
      <c r="L10519" s="166"/>
    </row>
    <row r="10520">
      <c r="A10520" s="163" t="s">
        <v>222</v>
      </c>
      <c r="B10520" s="163"/>
      <c r="C10520" s="163"/>
      <c r="J10520" s="165"/>
      <c r="K10520" s="166"/>
      <c r="L10520" s="166"/>
    </row>
    <row r="10521">
      <c r="A10521" s="163" t="s">
        <v>222</v>
      </c>
      <c r="B10521" s="163"/>
      <c r="C10521" s="163"/>
      <c r="J10521" s="165"/>
      <c r="K10521" s="166"/>
      <c r="L10521" s="166"/>
    </row>
    <row r="10522">
      <c r="A10522" s="163" t="s">
        <v>222</v>
      </c>
      <c r="B10522" s="163"/>
      <c r="C10522" s="163"/>
      <c r="J10522" s="165"/>
      <c r="K10522" s="166"/>
      <c r="L10522" s="166"/>
    </row>
    <row r="10523">
      <c r="A10523" s="163" t="s">
        <v>222</v>
      </c>
      <c r="B10523" s="163"/>
      <c r="C10523" s="163"/>
      <c r="J10523" s="165"/>
      <c r="K10523" s="166"/>
      <c r="L10523" s="166"/>
    </row>
    <row r="10524">
      <c r="A10524" s="163" t="s">
        <v>222</v>
      </c>
      <c r="B10524" s="163"/>
      <c r="C10524" s="163"/>
      <c r="J10524" s="165"/>
      <c r="K10524" s="166"/>
      <c r="L10524" s="166"/>
    </row>
    <row r="10525">
      <c r="A10525" s="163" t="s">
        <v>222</v>
      </c>
      <c r="B10525" s="163"/>
      <c r="C10525" s="163"/>
      <c r="J10525" s="165"/>
      <c r="K10525" s="166"/>
      <c r="L10525" s="166"/>
    </row>
    <row r="10526">
      <c r="A10526" s="163" t="s">
        <v>222</v>
      </c>
      <c r="B10526" s="163"/>
      <c r="C10526" s="163"/>
      <c r="J10526" s="165"/>
      <c r="K10526" s="166"/>
      <c r="L10526" s="166"/>
    </row>
    <row r="10527">
      <c r="A10527" s="163" t="s">
        <v>222</v>
      </c>
      <c r="B10527" s="163"/>
      <c r="C10527" s="163"/>
      <c r="J10527" s="165"/>
      <c r="K10527" s="166"/>
      <c r="L10527" s="166"/>
    </row>
    <row r="10528">
      <c r="A10528" s="163" t="s">
        <v>222</v>
      </c>
      <c r="B10528" s="163"/>
      <c r="C10528" s="163"/>
      <c r="J10528" s="165"/>
      <c r="K10528" s="166"/>
      <c r="L10528" s="166"/>
    </row>
    <row r="10529">
      <c r="A10529" s="163" t="s">
        <v>222</v>
      </c>
      <c r="B10529" s="163"/>
      <c r="C10529" s="163"/>
      <c r="J10529" s="165"/>
      <c r="K10529" s="166"/>
      <c r="L10529" s="166"/>
    </row>
    <row r="10530">
      <c r="A10530" s="163" t="s">
        <v>222</v>
      </c>
      <c r="B10530" s="163"/>
      <c r="C10530" s="163"/>
      <c r="J10530" s="165"/>
      <c r="K10530" s="166"/>
      <c r="L10530" s="166"/>
    </row>
    <row r="10531">
      <c r="A10531" s="163" t="s">
        <v>222</v>
      </c>
      <c r="B10531" s="163"/>
      <c r="C10531" s="163"/>
      <c r="J10531" s="165"/>
      <c r="K10531" s="166"/>
      <c r="L10531" s="166"/>
    </row>
    <row r="10532">
      <c r="A10532" s="163" t="s">
        <v>222</v>
      </c>
      <c r="B10532" s="163"/>
      <c r="C10532" s="163"/>
      <c r="J10532" s="165"/>
      <c r="K10532" s="166"/>
      <c r="L10532" s="166"/>
    </row>
    <row r="10533">
      <c r="A10533" s="163" t="s">
        <v>222</v>
      </c>
      <c r="B10533" s="163"/>
      <c r="C10533" s="163"/>
      <c r="J10533" s="165"/>
      <c r="K10533" s="166"/>
      <c r="L10533" s="166"/>
    </row>
    <row r="10534">
      <c r="A10534" s="163" t="s">
        <v>222</v>
      </c>
      <c r="B10534" s="163"/>
      <c r="C10534" s="163"/>
      <c r="J10534" s="165"/>
      <c r="K10534" s="166"/>
      <c r="L10534" s="166"/>
    </row>
    <row r="10535">
      <c r="A10535" s="163" t="s">
        <v>222</v>
      </c>
      <c r="B10535" s="163"/>
      <c r="C10535" s="163"/>
      <c r="J10535" s="165"/>
      <c r="K10535" s="166"/>
      <c r="L10535" s="166"/>
    </row>
    <row r="10536">
      <c r="A10536" s="163" t="s">
        <v>222</v>
      </c>
      <c r="B10536" s="163"/>
      <c r="C10536" s="163"/>
      <c r="J10536" s="165"/>
      <c r="K10536" s="166"/>
      <c r="L10536" s="166"/>
    </row>
    <row r="10537">
      <c r="A10537" s="163" t="s">
        <v>222</v>
      </c>
      <c r="B10537" s="163"/>
      <c r="C10537" s="163"/>
      <c r="J10537" s="165"/>
      <c r="K10537" s="166"/>
      <c r="L10537" s="166"/>
    </row>
    <row r="10538">
      <c r="A10538" s="163" t="s">
        <v>222</v>
      </c>
      <c r="B10538" s="163"/>
      <c r="C10538" s="163"/>
      <c r="J10538" s="165"/>
      <c r="K10538" s="166"/>
      <c r="L10538" s="166"/>
    </row>
    <row r="10539">
      <c r="A10539" s="163" t="s">
        <v>222</v>
      </c>
      <c r="B10539" s="163"/>
      <c r="C10539" s="163"/>
      <c r="J10539" s="165"/>
      <c r="K10539" s="166"/>
      <c r="L10539" s="166"/>
    </row>
    <row r="10540">
      <c r="A10540" s="163" t="s">
        <v>222</v>
      </c>
      <c r="B10540" s="163"/>
      <c r="C10540" s="163"/>
      <c r="J10540" s="165"/>
      <c r="K10540" s="166"/>
      <c r="L10540" s="166"/>
    </row>
    <row r="10541">
      <c r="A10541" s="163" t="s">
        <v>222</v>
      </c>
      <c r="B10541" s="163"/>
      <c r="C10541" s="163"/>
      <c r="J10541" s="165"/>
      <c r="K10541" s="166"/>
      <c r="L10541" s="166"/>
    </row>
    <row r="10542">
      <c r="A10542" s="163" t="s">
        <v>222</v>
      </c>
      <c r="B10542" s="163"/>
      <c r="C10542" s="163"/>
      <c r="J10542" s="165"/>
      <c r="K10542" s="166"/>
      <c r="L10542" s="166"/>
    </row>
    <row r="10543">
      <c r="A10543" s="163" t="s">
        <v>222</v>
      </c>
      <c r="B10543" s="163"/>
      <c r="C10543" s="163"/>
      <c r="J10543" s="165"/>
      <c r="K10543" s="166"/>
      <c r="L10543" s="166"/>
    </row>
    <row r="10544">
      <c r="A10544" s="163" t="s">
        <v>222</v>
      </c>
      <c r="B10544" s="163"/>
      <c r="C10544" s="163"/>
      <c r="J10544" s="165"/>
      <c r="K10544" s="166"/>
      <c r="L10544" s="166"/>
    </row>
    <row r="10545">
      <c r="A10545" s="163" t="s">
        <v>222</v>
      </c>
      <c r="B10545" s="163"/>
      <c r="C10545" s="163"/>
      <c r="J10545" s="165"/>
      <c r="K10545" s="166"/>
      <c r="L10545" s="166"/>
    </row>
    <row r="10546">
      <c r="A10546" s="163" t="s">
        <v>222</v>
      </c>
      <c r="B10546" s="163"/>
      <c r="C10546" s="163"/>
      <c r="J10546" s="165"/>
      <c r="K10546" s="166"/>
      <c r="L10546" s="166"/>
    </row>
    <row r="10547">
      <c r="A10547" s="163" t="s">
        <v>222</v>
      </c>
      <c r="B10547" s="163"/>
      <c r="C10547" s="163"/>
      <c r="J10547" s="165"/>
      <c r="K10547" s="166"/>
      <c r="L10547" s="166"/>
    </row>
    <row r="10548">
      <c r="A10548" s="163" t="s">
        <v>222</v>
      </c>
      <c r="B10548" s="163"/>
      <c r="C10548" s="163"/>
      <c r="J10548" s="165"/>
      <c r="K10548" s="166"/>
      <c r="L10548" s="166"/>
    </row>
    <row r="10549">
      <c r="A10549" s="163" t="s">
        <v>222</v>
      </c>
      <c r="B10549" s="163"/>
      <c r="C10549" s="163"/>
      <c r="J10549" s="165"/>
      <c r="K10549" s="166"/>
      <c r="L10549" s="166"/>
    </row>
    <row r="10550">
      <c r="A10550" s="163" t="s">
        <v>222</v>
      </c>
      <c r="B10550" s="163"/>
      <c r="C10550" s="163"/>
      <c r="J10550" s="165"/>
      <c r="K10550" s="166"/>
      <c r="L10550" s="166"/>
    </row>
    <row r="10551">
      <c r="A10551" s="163" t="s">
        <v>222</v>
      </c>
      <c r="B10551" s="163"/>
      <c r="C10551" s="163"/>
      <c r="J10551" s="165"/>
      <c r="K10551" s="166"/>
      <c r="L10551" s="166"/>
    </row>
    <row r="10552">
      <c r="A10552" s="163" t="s">
        <v>222</v>
      </c>
      <c r="B10552" s="163"/>
      <c r="C10552" s="163"/>
      <c r="J10552" s="165"/>
      <c r="K10552" s="166"/>
      <c r="L10552" s="166"/>
    </row>
    <row r="10553">
      <c r="A10553" s="163" t="s">
        <v>222</v>
      </c>
      <c r="B10553" s="163"/>
      <c r="C10553" s="163"/>
      <c r="J10553" s="165"/>
      <c r="K10553" s="166"/>
      <c r="L10553" s="166"/>
    </row>
    <row r="10554">
      <c r="A10554" s="163" t="s">
        <v>222</v>
      </c>
      <c r="B10554" s="163"/>
      <c r="C10554" s="163"/>
      <c r="J10554" s="165"/>
      <c r="K10554" s="166"/>
      <c r="L10554" s="166"/>
    </row>
    <row r="10555">
      <c r="A10555" s="163" t="s">
        <v>222</v>
      </c>
      <c r="B10555" s="163"/>
      <c r="C10555" s="163"/>
      <c r="J10555" s="165"/>
      <c r="K10555" s="166"/>
      <c r="L10555" s="166"/>
    </row>
    <row r="10556">
      <c r="A10556" s="163" t="s">
        <v>222</v>
      </c>
      <c r="B10556" s="163"/>
      <c r="C10556" s="163"/>
      <c r="J10556" s="165"/>
      <c r="K10556" s="166"/>
      <c r="L10556" s="166"/>
    </row>
    <row r="10557">
      <c r="A10557" s="163" t="s">
        <v>222</v>
      </c>
      <c r="B10557" s="163"/>
      <c r="C10557" s="163"/>
      <c r="J10557" s="165"/>
      <c r="K10557" s="166"/>
      <c r="L10557" s="166"/>
    </row>
    <row r="10558">
      <c r="A10558" s="163" t="s">
        <v>222</v>
      </c>
      <c r="B10558" s="163"/>
      <c r="C10558" s="163"/>
      <c r="J10558" s="165"/>
      <c r="K10558" s="166"/>
      <c r="L10558" s="166"/>
    </row>
    <row r="10559">
      <c r="A10559" s="163" t="s">
        <v>222</v>
      </c>
      <c r="B10559" s="163"/>
      <c r="C10559" s="163"/>
      <c r="J10559" s="165"/>
      <c r="K10559" s="166"/>
      <c r="L10559" s="166"/>
    </row>
    <row r="10560">
      <c r="A10560" s="163" t="s">
        <v>222</v>
      </c>
      <c r="B10560" s="163"/>
      <c r="C10560" s="163"/>
      <c r="J10560" s="165"/>
      <c r="K10560" s="166"/>
      <c r="L10560" s="166"/>
    </row>
    <row r="10561">
      <c r="A10561" s="163" t="s">
        <v>222</v>
      </c>
      <c r="B10561" s="163"/>
      <c r="C10561" s="163"/>
      <c r="J10561" s="165"/>
      <c r="K10561" s="166"/>
      <c r="L10561" s="166"/>
    </row>
    <row r="10562">
      <c r="A10562" s="163" t="s">
        <v>222</v>
      </c>
      <c r="B10562" s="163"/>
      <c r="C10562" s="163"/>
      <c r="J10562" s="165"/>
      <c r="K10562" s="166"/>
      <c r="L10562" s="166"/>
    </row>
    <row r="10563">
      <c r="A10563" s="163" t="s">
        <v>222</v>
      </c>
      <c r="B10563" s="163"/>
      <c r="C10563" s="163"/>
      <c r="J10563" s="165"/>
      <c r="K10563" s="166"/>
      <c r="L10563" s="166"/>
    </row>
    <row r="10564">
      <c r="A10564" s="163" t="s">
        <v>222</v>
      </c>
      <c r="B10564" s="163"/>
      <c r="C10564" s="163"/>
      <c r="J10564" s="165"/>
      <c r="K10564" s="166"/>
      <c r="L10564" s="166"/>
    </row>
    <row r="10565">
      <c r="A10565" s="163" t="s">
        <v>222</v>
      </c>
      <c r="B10565" s="163"/>
      <c r="C10565" s="163"/>
      <c r="J10565" s="165"/>
      <c r="K10565" s="166"/>
      <c r="L10565" s="166"/>
    </row>
    <row r="10566">
      <c r="A10566" s="163" t="s">
        <v>222</v>
      </c>
      <c r="B10566" s="163"/>
      <c r="C10566" s="163"/>
      <c r="J10566" s="165"/>
      <c r="K10566" s="166"/>
      <c r="L10566" s="166"/>
    </row>
    <row r="10567">
      <c r="A10567" s="163" t="s">
        <v>222</v>
      </c>
      <c r="B10567" s="163"/>
      <c r="C10567" s="163"/>
      <c r="J10567" s="165"/>
      <c r="K10567" s="166"/>
      <c r="L10567" s="166"/>
    </row>
    <row r="10568">
      <c r="A10568" s="163" t="s">
        <v>222</v>
      </c>
      <c r="B10568" s="163"/>
      <c r="C10568" s="163"/>
      <c r="J10568" s="165"/>
      <c r="K10568" s="166"/>
      <c r="L10568" s="166"/>
    </row>
    <row r="10569">
      <c r="A10569" s="163" t="s">
        <v>222</v>
      </c>
      <c r="B10569" s="163"/>
      <c r="C10569" s="163"/>
      <c r="J10569" s="165"/>
      <c r="K10569" s="166"/>
      <c r="L10569" s="166"/>
    </row>
    <row r="10570">
      <c r="A10570" s="163" t="s">
        <v>222</v>
      </c>
      <c r="B10570" s="163"/>
      <c r="C10570" s="163"/>
      <c r="J10570" s="165"/>
      <c r="K10570" s="166"/>
      <c r="L10570" s="166"/>
    </row>
    <row r="10571">
      <c r="A10571" s="163" t="s">
        <v>222</v>
      </c>
      <c r="B10571" s="163"/>
      <c r="C10571" s="163"/>
      <c r="J10571" s="165"/>
      <c r="K10571" s="166"/>
      <c r="L10571" s="166"/>
    </row>
    <row r="10572">
      <c r="A10572" s="163" t="s">
        <v>222</v>
      </c>
      <c r="B10572" s="163"/>
      <c r="C10572" s="163"/>
      <c r="J10572" s="165"/>
      <c r="K10572" s="166"/>
      <c r="L10572" s="166"/>
    </row>
    <row r="10573">
      <c r="A10573" s="163" t="s">
        <v>222</v>
      </c>
      <c r="B10573" s="163"/>
      <c r="C10573" s="163"/>
      <c r="J10573" s="165"/>
      <c r="K10573" s="166"/>
      <c r="L10573" s="166"/>
    </row>
    <row r="10574">
      <c r="A10574" s="163" t="s">
        <v>222</v>
      </c>
      <c r="B10574" s="163"/>
      <c r="C10574" s="163"/>
      <c r="J10574" s="165"/>
      <c r="K10574" s="166"/>
      <c r="L10574" s="166"/>
    </row>
    <row r="10575">
      <c r="A10575" s="163" t="s">
        <v>222</v>
      </c>
      <c r="B10575" s="163"/>
      <c r="C10575" s="163"/>
      <c r="J10575" s="165"/>
      <c r="K10575" s="166"/>
      <c r="L10575" s="166"/>
    </row>
    <row r="10576">
      <c r="A10576" s="163" t="s">
        <v>222</v>
      </c>
      <c r="B10576" s="163"/>
      <c r="C10576" s="163"/>
      <c r="J10576" s="165"/>
      <c r="K10576" s="166"/>
      <c r="L10576" s="166"/>
    </row>
    <row r="10577">
      <c r="A10577" s="163" t="s">
        <v>222</v>
      </c>
      <c r="B10577" s="163"/>
      <c r="C10577" s="163"/>
      <c r="J10577" s="165"/>
      <c r="K10577" s="166"/>
      <c r="L10577" s="166"/>
    </row>
    <row r="10578">
      <c r="A10578" s="163" t="s">
        <v>222</v>
      </c>
      <c r="B10578" s="163"/>
      <c r="C10578" s="163"/>
      <c r="J10578" s="165"/>
      <c r="K10578" s="166"/>
      <c r="L10578" s="166"/>
    </row>
    <row r="10579">
      <c r="A10579" s="163" t="s">
        <v>222</v>
      </c>
      <c r="B10579" s="163"/>
      <c r="C10579" s="163"/>
      <c r="J10579" s="165"/>
      <c r="K10579" s="166"/>
      <c r="L10579" s="166"/>
    </row>
    <row r="10580">
      <c r="A10580" s="163" t="s">
        <v>222</v>
      </c>
      <c r="B10580" s="163"/>
      <c r="C10580" s="163"/>
      <c r="J10580" s="165"/>
      <c r="K10580" s="166"/>
      <c r="L10580" s="166"/>
    </row>
    <row r="10581">
      <c r="A10581" s="163" t="s">
        <v>222</v>
      </c>
      <c r="B10581" s="163"/>
      <c r="C10581" s="163"/>
      <c r="J10581" s="165"/>
      <c r="K10581" s="166"/>
      <c r="L10581" s="166"/>
    </row>
    <row r="10582">
      <c r="A10582" s="163" t="s">
        <v>222</v>
      </c>
      <c r="B10582" s="163"/>
      <c r="C10582" s="163"/>
      <c r="J10582" s="165"/>
      <c r="K10582" s="166"/>
      <c r="L10582" s="166"/>
    </row>
    <row r="10583">
      <c r="A10583" s="163" t="s">
        <v>222</v>
      </c>
      <c r="B10583" s="163"/>
      <c r="C10583" s="163"/>
      <c r="J10583" s="165"/>
      <c r="K10583" s="166"/>
      <c r="L10583" s="166"/>
    </row>
    <row r="10584">
      <c r="A10584" s="163" t="s">
        <v>222</v>
      </c>
      <c r="B10584" s="163"/>
      <c r="C10584" s="163"/>
      <c r="J10584" s="165"/>
      <c r="K10584" s="166"/>
      <c r="L10584" s="166"/>
    </row>
    <row r="10585">
      <c r="A10585" s="163" t="s">
        <v>222</v>
      </c>
      <c r="B10585" s="163"/>
      <c r="C10585" s="163"/>
      <c r="J10585" s="165"/>
      <c r="K10585" s="166"/>
      <c r="L10585" s="166"/>
    </row>
    <row r="10586">
      <c r="A10586" s="163" t="s">
        <v>222</v>
      </c>
      <c r="B10586" s="163"/>
      <c r="C10586" s="163"/>
      <c r="J10586" s="165"/>
      <c r="K10586" s="166"/>
      <c r="L10586" s="166"/>
    </row>
    <row r="10587">
      <c r="A10587" s="163" t="s">
        <v>222</v>
      </c>
      <c r="B10587" s="163"/>
      <c r="C10587" s="163"/>
      <c r="J10587" s="165"/>
      <c r="K10587" s="166"/>
      <c r="L10587" s="166"/>
    </row>
    <row r="10588">
      <c r="A10588" s="163" t="s">
        <v>222</v>
      </c>
      <c r="B10588" s="163"/>
      <c r="C10588" s="163"/>
      <c r="J10588" s="165"/>
      <c r="K10588" s="166"/>
      <c r="L10588" s="166"/>
    </row>
    <row r="10589">
      <c r="A10589" s="163" t="s">
        <v>222</v>
      </c>
      <c r="B10589" s="163"/>
      <c r="C10589" s="163"/>
      <c r="J10589" s="165"/>
      <c r="K10589" s="166"/>
      <c r="L10589" s="166"/>
    </row>
    <row r="10590">
      <c r="A10590" s="163" t="s">
        <v>222</v>
      </c>
      <c r="B10590" s="163"/>
      <c r="C10590" s="163"/>
      <c r="J10590" s="165"/>
      <c r="K10590" s="166"/>
      <c r="L10590" s="166"/>
    </row>
    <row r="10591">
      <c r="A10591" s="163" t="s">
        <v>222</v>
      </c>
      <c r="B10591" s="163"/>
      <c r="C10591" s="163"/>
      <c r="J10591" s="165"/>
      <c r="K10591" s="166"/>
      <c r="L10591" s="166"/>
    </row>
    <row r="10592">
      <c r="A10592" s="163" t="s">
        <v>222</v>
      </c>
      <c r="B10592" s="163"/>
      <c r="C10592" s="163"/>
      <c r="J10592" s="165"/>
      <c r="K10592" s="166"/>
      <c r="L10592" s="166"/>
    </row>
    <row r="10593">
      <c r="A10593" s="163" t="s">
        <v>222</v>
      </c>
      <c r="B10593" s="163"/>
      <c r="C10593" s="163"/>
      <c r="J10593" s="165"/>
      <c r="K10593" s="166"/>
      <c r="L10593" s="166"/>
    </row>
    <row r="10594">
      <c r="A10594" s="163" t="s">
        <v>222</v>
      </c>
      <c r="B10594" s="163"/>
      <c r="C10594" s="163"/>
      <c r="J10594" s="165"/>
      <c r="K10594" s="166"/>
      <c r="L10594" s="166"/>
    </row>
    <row r="10595">
      <c r="A10595" s="163" t="s">
        <v>222</v>
      </c>
      <c r="B10595" s="163"/>
      <c r="C10595" s="163"/>
      <c r="J10595" s="165"/>
      <c r="K10595" s="166"/>
      <c r="L10595" s="166"/>
    </row>
    <row r="10596">
      <c r="A10596" s="163" t="s">
        <v>222</v>
      </c>
      <c r="B10596" s="163"/>
      <c r="C10596" s="163"/>
      <c r="J10596" s="165"/>
      <c r="K10596" s="166"/>
      <c r="L10596" s="166"/>
    </row>
    <row r="10597">
      <c r="A10597" s="163" t="s">
        <v>222</v>
      </c>
      <c r="B10597" s="163"/>
      <c r="C10597" s="163"/>
      <c r="J10597" s="165"/>
      <c r="K10597" s="166"/>
      <c r="L10597" s="166"/>
    </row>
    <row r="10598">
      <c r="A10598" s="163" t="s">
        <v>222</v>
      </c>
      <c r="B10598" s="163"/>
      <c r="C10598" s="163"/>
      <c r="J10598" s="165"/>
      <c r="K10598" s="166"/>
      <c r="L10598" s="166"/>
    </row>
    <row r="10599">
      <c r="A10599" s="163" t="s">
        <v>222</v>
      </c>
      <c r="B10599" s="163"/>
      <c r="C10599" s="163"/>
      <c r="J10599" s="165"/>
      <c r="K10599" s="166"/>
      <c r="L10599" s="166"/>
    </row>
    <row r="10600">
      <c r="A10600" s="163" t="s">
        <v>222</v>
      </c>
      <c r="B10600" s="163"/>
      <c r="C10600" s="163"/>
      <c r="J10600" s="165"/>
      <c r="K10600" s="166"/>
      <c r="L10600" s="166"/>
    </row>
    <row r="10601">
      <c r="A10601" s="163" t="s">
        <v>222</v>
      </c>
      <c r="B10601" s="163"/>
      <c r="C10601" s="163"/>
      <c r="J10601" s="165"/>
      <c r="K10601" s="166"/>
      <c r="L10601" s="166"/>
    </row>
    <row r="10602">
      <c r="A10602" s="163" t="s">
        <v>222</v>
      </c>
      <c r="B10602" s="163"/>
      <c r="C10602" s="163"/>
      <c r="J10602" s="165"/>
      <c r="K10602" s="166"/>
      <c r="L10602" s="166"/>
    </row>
    <row r="10603">
      <c r="A10603" s="163" t="s">
        <v>222</v>
      </c>
      <c r="B10603" s="163"/>
      <c r="C10603" s="163"/>
      <c r="J10603" s="165"/>
      <c r="K10603" s="166"/>
      <c r="L10603" s="166"/>
    </row>
    <row r="10604">
      <c r="A10604" s="163" t="s">
        <v>222</v>
      </c>
      <c r="B10604" s="163"/>
      <c r="C10604" s="163"/>
      <c r="J10604" s="165"/>
      <c r="K10604" s="166"/>
      <c r="L10604" s="166"/>
    </row>
    <row r="10605">
      <c r="A10605" s="163" t="s">
        <v>222</v>
      </c>
      <c r="B10605" s="163"/>
      <c r="C10605" s="163"/>
      <c r="J10605" s="165"/>
      <c r="K10605" s="166"/>
      <c r="L10605" s="166"/>
    </row>
    <row r="10606">
      <c r="A10606" s="163" t="s">
        <v>222</v>
      </c>
      <c r="B10606" s="163"/>
      <c r="C10606" s="163"/>
      <c r="J10606" s="165"/>
      <c r="K10606" s="166"/>
      <c r="L10606" s="166"/>
    </row>
    <row r="10607">
      <c r="A10607" s="163" t="s">
        <v>222</v>
      </c>
      <c r="B10607" s="163"/>
      <c r="C10607" s="163"/>
      <c r="J10607" s="165"/>
      <c r="K10607" s="166"/>
      <c r="L10607" s="166"/>
    </row>
    <row r="10608">
      <c r="A10608" s="163" t="s">
        <v>222</v>
      </c>
      <c r="B10608" s="163"/>
      <c r="C10608" s="163"/>
      <c r="J10608" s="165"/>
      <c r="K10608" s="166"/>
      <c r="L10608" s="166"/>
    </row>
    <row r="10609">
      <c r="A10609" s="163" t="s">
        <v>222</v>
      </c>
      <c r="B10609" s="163"/>
      <c r="C10609" s="163"/>
      <c r="J10609" s="165"/>
      <c r="K10609" s="166"/>
      <c r="L10609" s="166"/>
    </row>
    <row r="10610">
      <c r="A10610" s="163" t="s">
        <v>222</v>
      </c>
      <c r="B10610" s="163"/>
      <c r="C10610" s="163"/>
      <c r="J10610" s="165"/>
      <c r="K10610" s="166"/>
      <c r="L10610" s="166"/>
    </row>
    <row r="10611">
      <c r="A10611" s="163" t="s">
        <v>222</v>
      </c>
      <c r="B10611" s="163"/>
      <c r="C10611" s="163"/>
      <c r="J10611" s="165"/>
      <c r="K10611" s="166"/>
      <c r="L10611" s="166"/>
    </row>
    <row r="10612">
      <c r="A10612" s="163" t="s">
        <v>222</v>
      </c>
      <c r="B10612" s="163"/>
      <c r="C10612" s="163"/>
      <c r="J10612" s="165"/>
      <c r="K10612" s="166"/>
      <c r="L10612" s="166"/>
    </row>
    <row r="10613">
      <c r="A10613" s="163" t="s">
        <v>222</v>
      </c>
      <c r="B10613" s="163"/>
      <c r="C10613" s="163"/>
      <c r="J10613" s="165"/>
      <c r="K10613" s="166"/>
      <c r="L10613" s="166"/>
    </row>
    <row r="10614">
      <c r="A10614" s="163" t="s">
        <v>222</v>
      </c>
      <c r="B10614" s="163"/>
      <c r="C10614" s="163"/>
      <c r="J10614" s="165"/>
      <c r="K10614" s="166"/>
      <c r="L10614" s="166"/>
    </row>
    <row r="10615">
      <c r="A10615" s="163" t="s">
        <v>222</v>
      </c>
      <c r="B10615" s="163"/>
      <c r="C10615" s="163"/>
      <c r="J10615" s="165"/>
      <c r="K10615" s="166"/>
      <c r="L10615" s="166"/>
    </row>
    <row r="10616">
      <c r="A10616" s="163" t="s">
        <v>222</v>
      </c>
      <c r="B10616" s="163"/>
      <c r="C10616" s="163"/>
      <c r="J10616" s="165"/>
      <c r="K10616" s="166"/>
      <c r="L10616" s="166"/>
    </row>
    <row r="10617">
      <c r="A10617" s="163" t="s">
        <v>222</v>
      </c>
      <c r="B10617" s="163"/>
      <c r="C10617" s="163"/>
      <c r="J10617" s="165"/>
      <c r="K10617" s="166"/>
      <c r="L10617" s="166"/>
    </row>
    <row r="10618">
      <c r="A10618" s="163" t="s">
        <v>222</v>
      </c>
      <c r="B10618" s="163"/>
      <c r="C10618" s="163"/>
      <c r="J10618" s="165"/>
      <c r="K10618" s="166"/>
      <c r="L10618" s="166"/>
    </row>
    <row r="10619">
      <c r="A10619" s="163" t="s">
        <v>222</v>
      </c>
      <c r="B10619" s="163"/>
      <c r="C10619" s="163"/>
      <c r="J10619" s="165"/>
      <c r="K10619" s="166"/>
      <c r="L10619" s="166"/>
    </row>
    <row r="10620">
      <c r="A10620" s="163" t="s">
        <v>222</v>
      </c>
      <c r="B10620" s="163"/>
      <c r="C10620" s="163"/>
      <c r="J10620" s="165"/>
      <c r="K10620" s="166"/>
      <c r="L10620" s="166"/>
    </row>
    <row r="10621">
      <c r="A10621" s="163" t="s">
        <v>222</v>
      </c>
      <c r="B10621" s="163"/>
      <c r="C10621" s="163"/>
      <c r="J10621" s="165"/>
      <c r="K10621" s="166"/>
      <c r="L10621" s="166"/>
    </row>
    <row r="10622">
      <c r="A10622" s="163" t="s">
        <v>222</v>
      </c>
      <c r="B10622" s="163"/>
      <c r="C10622" s="163"/>
      <c r="J10622" s="165"/>
      <c r="K10622" s="166"/>
      <c r="L10622" s="166"/>
    </row>
    <row r="10623">
      <c r="A10623" s="163" t="s">
        <v>222</v>
      </c>
      <c r="B10623" s="163"/>
      <c r="C10623" s="163"/>
      <c r="J10623" s="165"/>
      <c r="K10623" s="166"/>
      <c r="L10623" s="166"/>
    </row>
    <row r="10624">
      <c r="A10624" s="163" t="s">
        <v>222</v>
      </c>
      <c r="B10624" s="163"/>
      <c r="C10624" s="163"/>
      <c r="J10624" s="165"/>
      <c r="K10624" s="166"/>
      <c r="L10624" s="166"/>
    </row>
    <row r="10625">
      <c r="A10625" s="163" t="s">
        <v>222</v>
      </c>
      <c r="B10625" s="163"/>
      <c r="C10625" s="163"/>
      <c r="J10625" s="165"/>
      <c r="K10625" s="166"/>
      <c r="L10625" s="166"/>
    </row>
    <row r="10626">
      <c r="A10626" s="163" t="s">
        <v>222</v>
      </c>
      <c r="B10626" s="163"/>
      <c r="C10626" s="163"/>
      <c r="J10626" s="165"/>
      <c r="K10626" s="166"/>
      <c r="L10626" s="166"/>
    </row>
    <row r="10627">
      <c r="A10627" s="163" t="s">
        <v>222</v>
      </c>
      <c r="B10627" s="163"/>
      <c r="C10627" s="163"/>
      <c r="J10627" s="165"/>
      <c r="K10627" s="166"/>
      <c r="L10627" s="166"/>
    </row>
    <row r="10628">
      <c r="A10628" s="163" t="s">
        <v>222</v>
      </c>
      <c r="B10628" s="163"/>
      <c r="C10628" s="163"/>
      <c r="J10628" s="165"/>
      <c r="K10628" s="166"/>
      <c r="L10628" s="166"/>
    </row>
    <row r="10629">
      <c r="A10629" s="163" t="s">
        <v>222</v>
      </c>
      <c r="B10629" s="163"/>
      <c r="C10629" s="163"/>
      <c r="J10629" s="165"/>
      <c r="K10629" s="166"/>
      <c r="L10629" s="166"/>
    </row>
    <row r="10630">
      <c r="A10630" s="163" t="s">
        <v>222</v>
      </c>
      <c r="B10630" s="163"/>
      <c r="C10630" s="163"/>
      <c r="J10630" s="165"/>
      <c r="K10630" s="166"/>
      <c r="L10630" s="166"/>
    </row>
    <row r="10631">
      <c r="A10631" s="163" t="s">
        <v>222</v>
      </c>
      <c r="B10631" s="163"/>
      <c r="C10631" s="163"/>
      <c r="J10631" s="165"/>
      <c r="K10631" s="166"/>
      <c r="L10631" s="166"/>
    </row>
    <row r="10632">
      <c r="A10632" s="163" t="s">
        <v>222</v>
      </c>
      <c r="B10632" s="163"/>
      <c r="C10632" s="163"/>
      <c r="J10632" s="165"/>
      <c r="K10632" s="166"/>
      <c r="L10632" s="166"/>
    </row>
    <row r="10633">
      <c r="A10633" s="163" t="s">
        <v>222</v>
      </c>
      <c r="B10633" s="163"/>
      <c r="C10633" s="163"/>
      <c r="J10633" s="165"/>
      <c r="K10633" s="166"/>
      <c r="L10633" s="166"/>
    </row>
    <row r="10634">
      <c r="A10634" s="163" t="s">
        <v>222</v>
      </c>
      <c r="B10634" s="163"/>
      <c r="C10634" s="163"/>
      <c r="J10634" s="165"/>
      <c r="K10634" s="166"/>
      <c r="L10634" s="166"/>
    </row>
    <row r="10635">
      <c r="A10635" s="163" t="s">
        <v>222</v>
      </c>
      <c r="B10635" s="163"/>
      <c r="C10635" s="163"/>
      <c r="J10635" s="165"/>
      <c r="K10635" s="166"/>
      <c r="L10635" s="166"/>
    </row>
    <row r="10636">
      <c r="A10636" s="163" t="s">
        <v>222</v>
      </c>
      <c r="B10636" s="163"/>
      <c r="C10636" s="163"/>
      <c r="J10636" s="165"/>
      <c r="K10636" s="166"/>
      <c r="L10636" s="166"/>
    </row>
    <row r="10637">
      <c r="A10637" s="163" t="s">
        <v>222</v>
      </c>
      <c r="B10637" s="163"/>
      <c r="C10637" s="163"/>
      <c r="J10637" s="165"/>
      <c r="K10637" s="166"/>
      <c r="L10637" s="166"/>
    </row>
    <row r="10638">
      <c r="A10638" s="163" t="s">
        <v>222</v>
      </c>
      <c r="B10638" s="163"/>
      <c r="C10638" s="163"/>
      <c r="J10638" s="165"/>
      <c r="K10638" s="166"/>
      <c r="L10638" s="166"/>
    </row>
    <row r="10639">
      <c r="A10639" s="163" t="s">
        <v>222</v>
      </c>
      <c r="B10639" s="163"/>
      <c r="C10639" s="163"/>
      <c r="J10639" s="165"/>
      <c r="K10639" s="166"/>
      <c r="L10639" s="166"/>
    </row>
    <row r="10640">
      <c r="A10640" s="163" t="s">
        <v>222</v>
      </c>
      <c r="B10640" s="163"/>
      <c r="C10640" s="163"/>
      <c r="J10640" s="165"/>
      <c r="K10640" s="166"/>
      <c r="L10640" s="166"/>
    </row>
    <row r="10641">
      <c r="A10641" s="163" t="s">
        <v>222</v>
      </c>
      <c r="B10641" s="163"/>
      <c r="C10641" s="163"/>
      <c r="J10641" s="165"/>
      <c r="K10641" s="166"/>
      <c r="L10641" s="166"/>
    </row>
    <row r="10642">
      <c r="A10642" s="163" t="s">
        <v>222</v>
      </c>
      <c r="B10642" s="163"/>
      <c r="C10642" s="163"/>
      <c r="J10642" s="165"/>
      <c r="K10642" s="166"/>
      <c r="L10642" s="166"/>
    </row>
    <row r="10643">
      <c r="A10643" s="163" t="s">
        <v>222</v>
      </c>
      <c r="B10643" s="163"/>
      <c r="C10643" s="163"/>
      <c r="J10643" s="165"/>
      <c r="K10643" s="166"/>
      <c r="L10643" s="166"/>
    </row>
    <row r="10644">
      <c r="A10644" s="163" t="s">
        <v>222</v>
      </c>
      <c r="B10644" s="163"/>
      <c r="C10644" s="163"/>
      <c r="J10644" s="165"/>
      <c r="K10644" s="166"/>
      <c r="L10644" s="166"/>
    </row>
    <row r="10645">
      <c r="A10645" s="163" t="s">
        <v>222</v>
      </c>
      <c r="B10645" s="163"/>
      <c r="C10645" s="163"/>
      <c r="J10645" s="165"/>
      <c r="K10645" s="166"/>
      <c r="L10645" s="166"/>
    </row>
    <row r="10646">
      <c r="A10646" s="163" t="s">
        <v>222</v>
      </c>
      <c r="B10646" s="163"/>
      <c r="C10646" s="163"/>
      <c r="J10646" s="165"/>
      <c r="K10646" s="166"/>
      <c r="L10646" s="166"/>
    </row>
    <row r="10647">
      <c r="A10647" s="163" t="s">
        <v>222</v>
      </c>
      <c r="B10647" s="163"/>
      <c r="C10647" s="163"/>
      <c r="J10647" s="165"/>
      <c r="K10647" s="166"/>
      <c r="L10647" s="166"/>
    </row>
    <row r="10648">
      <c r="A10648" s="163" t="s">
        <v>222</v>
      </c>
      <c r="B10648" s="163"/>
      <c r="C10648" s="163"/>
      <c r="J10648" s="165"/>
      <c r="K10648" s="166"/>
      <c r="L10648" s="166"/>
    </row>
    <row r="10649">
      <c r="A10649" s="163" t="s">
        <v>222</v>
      </c>
      <c r="B10649" s="163"/>
      <c r="C10649" s="163"/>
      <c r="J10649" s="165"/>
      <c r="K10649" s="166"/>
      <c r="L10649" s="166"/>
    </row>
    <row r="10650">
      <c r="A10650" s="163" t="s">
        <v>222</v>
      </c>
      <c r="B10650" s="163"/>
      <c r="C10650" s="163"/>
      <c r="J10650" s="165"/>
      <c r="K10650" s="166"/>
      <c r="L10650" s="166"/>
    </row>
    <row r="10651">
      <c r="A10651" s="163" t="s">
        <v>222</v>
      </c>
      <c r="B10651" s="163"/>
      <c r="C10651" s="163"/>
      <c r="J10651" s="165"/>
      <c r="K10651" s="166"/>
      <c r="L10651" s="166"/>
    </row>
    <row r="10652">
      <c r="A10652" s="163" t="s">
        <v>222</v>
      </c>
      <c r="B10652" s="163"/>
      <c r="C10652" s="163"/>
      <c r="J10652" s="165"/>
      <c r="K10652" s="166"/>
      <c r="L10652" s="166"/>
    </row>
    <row r="10653">
      <c r="A10653" s="163" t="s">
        <v>222</v>
      </c>
      <c r="B10653" s="163"/>
      <c r="C10653" s="163"/>
      <c r="J10653" s="165"/>
      <c r="K10653" s="166"/>
      <c r="L10653" s="166"/>
    </row>
    <row r="10654">
      <c r="A10654" s="163" t="s">
        <v>222</v>
      </c>
      <c r="B10654" s="163"/>
      <c r="C10654" s="163"/>
      <c r="J10654" s="165"/>
      <c r="K10654" s="166"/>
      <c r="L10654" s="166"/>
    </row>
    <row r="10655">
      <c r="A10655" s="163" t="s">
        <v>222</v>
      </c>
      <c r="B10655" s="163"/>
      <c r="C10655" s="163"/>
      <c r="J10655" s="165"/>
      <c r="K10655" s="166"/>
      <c r="L10655" s="166"/>
    </row>
    <row r="10656">
      <c r="A10656" s="163" t="s">
        <v>222</v>
      </c>
      <c r="B10656" s="163"/>
      <c r="C10656" s="163"/>
      <c r="J10656" s="165"/>
      <c r="K10656" s="166"/>
      <c r="L10656" s="166"/>
    </row>
    <row r="10657">
      <c r="A10657" s="163" t="s">
        <v>222</v>
      </c>
      <c r="B10657" s="163"/>
      <c r="C10657" s="163"/>
      <c r="J10657" s="165"/>
      <c r="K10657" s="166"/>
      <c r="L10657" s="166"/>
    </row>
    <row r="10658">
      <c r="A10658" s="163" t="s">
        <v>222</v>
      </c>
      <c r="B10658" s="163"/>
      <c r="C10658" s="163"/>
      <c r="J10658" s="165"/>
      <c r="K10658" s="166"/>
      <c r="L10658" s="166"/>
    </row>
    <row r="10659">
      <c r="A10659" s="163" t="s">
        <v>222</v>
      </c>
      <c r="B10659" s="163"/>
      <c r="C10659" s="163"/>
      <c r="J10659" s="165"/>
      <c r="K10659" s="166"/>
      <c r="L10659" s="166"/>
    </row>
    <row r="10660">
      <c r="A10660" s="163" t="s">
        <v>222</v>
      </c>
      <c r="B10660" s="163"/>
      <c r="C10660" s="163"/>
      <c r="J10660" s="165"/>
      <c r="K10660" s="166"/>
      <c r="L10660" s="166"/>
    </row>
    <row r="10661">
      <c r="A10661" s="163" t="s">
        <v>222</v>
      </c>
      <c r="B10661" s="163"/>
      <c r="C10661" s="163"/>
      <c r="J10661" s="165"/>
      <c r="K10661" s="166"/>
      <c r="L10661" s="166"/>
    </row>
    <row r="10662">
      <c r="A10662" s="163" t="s">
        <v>222</v>
      </c>
      <c r="B10662" s="163"/>
      <c r="C10662" s="163"/>
      <c r="J10662" s="165"/>
      <c r="K10662" s="166"/>
      <c r="L10662" s="166"/>
    </row>
    <row r="10663">
      <c r="A10663" s="163" t="s">
        <v>222</v>
      </c>
      <c r="B10663" s="163"/>
      <c r="C10663" s="163"/>
      <c r="J10663" s="165"/>
      <c r="K10663" s="166"/>
      <c r="L10663" s="166"/>
    </row>
    <row r="10664">
      <c r="A10664" s="163" t="s">
        <v>222</v>
      </c>
      <c r="B10664" s="163"/>
      <c r="C10664" s="163"/>
      <c r="J10664" s="165"/>
      <c r="K10664" s="166"/>
      <c r="L10664" s="166"/>
    </row>
    <row r="10665">
      <c r="A10665" s="163" t="s">
        <v>222</v>
      </c>
      <c r="B10665" s="163"/>
      <c r="C10665" s="163"/>
      <c r="J10665" s="165"/>
      <c r="K10665" s="166"/>
      <c r="L10665" s="166"/>
    </row>
    <row r="10666">
      <c r="A10666" s="163" t="s">
        <v>222</v>
      </c>
      <c r="B10666" s="163"/>
      <c r="C10666" s="163"/>
      <c r="J10666" s="165"/>
      <c r="K10666" s="166"/>
      <c r="L10666" s="166"/>
    </row>
    <row r="10667">
      <c r="A10667" s="163" t="s">
        <v>222</v>
      </c>
      <c r="B10667" s="163"/>
      <c r="C10667" s="163"/>
      <c r="J10667" s="165"/>
      <c r="K10667" s="166"/>
      <c r="L10667" s="166"/>
    </row>
    <row r="10668">
      <c r="A10668" s="163" t="s">
        <v>222</v>
      </c>
      <c r="B10668" s="163"/>
      <c r="C10668" s="163"/>
      <c r="J10668" s="165"/>
      <c r="K10668" s="166"/>
      <c r="L10668" s="166"/>
    </row>
    <row r="10669">
      <c r="A10669" s="163" t="s">
        <v>222</v>
      </c>
      <c r="B10669" s="163"/>
      <c r="C10669" s="163"/>
      <c r="J10669" s="165"/>
      <c r="K10669" s="166"/>
      <c r="L10669" s="166"/>
    </row>
    <row r="10670">
      <c r="A10670" s="163" t="s">
        <v>222</v>
      </c>
      <c r="B10670" s="163"/>
      <c r="C10670" s="163"/>
      <c r="J10670" s="165"/>
      <c r="K10670" s="166"/>
      <c r="L10670" s="166"/>
    </row>
    <row r="10671">
      <c r="A10671" s="163" t="s">
        <v>222</v>
      </c>
      <c r="B10671" s="163"/>
      <c r="C10671" s="163"/>
      <c r="J10671" s="165"/>
      <c r="K10671" s="166"/>
      <c r="L10671" s="166"/>
    </row>
    <row r="10672">
      <c r="A10672" s="163" t="s">
        <v>222</v>
      </c>
      <c r="B10672" s="163"/>
      <c r="C10672" s="163"/>
      <c r="J10672" s="165"/>
      <c r="K10672" s="166"/>
      <c r="L10672" s="166"/>
    </row>
    <row r="10673">
      <c r="A10673" s="163" t="s">
        <v>222</v>
      </c>
      <c r="B10673" s="163"/>
      <c r="C10673" s="163"/>
      <c r="J10673" s="165"/>
      <c r="K10673" s="166"/>
      <c r="L10673" s="166"/>
    </row>
    <row r="10674">
      <c r="A10674" s="163" t="s">
        <v>222</v>
      </c>
      <c r="B10674" s="163"/>
      <c r="C10674" s="163"/>
      <c r="J10674" s="165"/>
      <c r="K10674" s="166"/>
      <c r="L10674" s="166"/>
    </row>
    <row r="10675">
      <c r="A10675" s="163" t="s">
        <v>222</v>
      </c>
      <c r="B10675" s="163"/>
      <c r="C10675" s="163"/>
      <c r="J10675" s="165"/>
      <c r="K10675" s="166"/>
      <c r="L10675" s="166"/>
    </row>
    <row r="10676">
      <c r="A10676" s="163" t="s">
        <v>222</v>
      </c>
      <c r="B10676" s="163"/>
      <c r="C10676" s="163"/>
      <c r="J10676" s="165"/>
      <c r="K10676" s="166"/>
      <c r="L10676" s="166"/>
    </row>
    <row r="10677">
      <c r="A10677" s="163" t="s">
        <v>222</v>
      </c>
      <c r="B10677" s="163"/>
      <c r="C10677" s="163"/>
      <c r="J10677" s="165"/>
      <c r="K10677" s="166"/>
      <c r="L10677" s="166"/>
    </row>
    <row r="10678">
      <c r="A10678" s="163" t="s">
        <v>222</v>
      </c>
      <c r="B10678" s="163"/>
      <c r="C10678" s="163"/>
      <c r="J10678" s="165"/>
      <c r="K10678" s="166"/>
      <c r="L10678" s="166"/>
    </row>
    <row r="10679">
      <c r="A10679" s="163" t="s">
        <v>222</v>
      </c>
      <c r="B10679" s="163"/>
      <c r="C10679" s="163"/>
      <c r="J10679" s="165"/>
      <c r="K10679" s="166"/>
      <c r="L10679" s="166"/>
    </row>
    <row r="10680">
      <c r="A10680" s="163" t="s">
        <v>222</v>
      </c>
      <c r="B10680" s="163"/>
      <c r="C10680" s="163"/>
      <c r="J10680" s="165"/>
      <c r="K10680" s="166"/>
      <c r="L10680" s="166"/>
    </row>
    <row r="10681">
      <c r="A10681" s="163" t="s">
        <v>222</v>
      </c>
      <c r="B10681" s="163"/>
      <c r="C10681" s="163"/>
      <c r="J10681" s="165"/>
      <c r="K10681" s="166"/>
      <c r="L10681" s="166"/>
    </row>
    <row r="10682">
      <c r="A10682" s="163" t="s">
        <v>222</v>
      </c>
      <c r="B10682" s="163"/>
      <c r="C10682" s="163"/>
      <c r="J10682" s="165"/>
      <c r="K10682" s="166"/>
      <c r="L10682" s="166"/>
    </row>
    <row r="10683">
      <c r="A10683" s="163" t="s">
        <v>222</v>
      </c>
      <c r="B10683" s="163"/>
      <c r="C10683" s="163"/>
      <c r="J10683" s="165"/>
      <c r="K10683" s="166"/>
      <c r="L10683" s="166"/>
    </row>
    <row r="10684">
      <c r="A10684" s="163" t="s">
        <v>222</v>
      </c>
      <c r="B10684" s="163"/>
      <c r="C10684" s="163"/>
      <c r="J10684" s="165"/>
      <c r="K10684" s="166"/>
      <c r="L10684" s="166"/>
    </row>
    <row r="10685">
      <c r="A10685" s="163" t="s">
        <v>222</v>
      </c>
      <c r="B10685" s="163"/>
      <c r="C10685" s="163"/>
      <c r="J10685" s="165"/>
      <c r="K10685" s="166"/>
      <c r="L10685" s="166"/>
    </row>
    <row r="10686">
      <c r="A10686" s="163" t="s">
        <v>222</v>
      </c>
      <c r="B10686" s="163"/>
      <c r="C10686" s="163"/>
      <c r="J10686" s="165"/>
      <c r="K10686" s="166"/>
      <c r="L10686" s="166"/>
    </row>
    <row r="10687">
      <c r="A10687" s="163" t="s">
        <v>222</v>
      </c>
      <c r="B10687" s="163"/>
      <c r="C10687" s="163"/>
      <c r="J10687" s="165"/>
      <c r="K10687" s="166"/>
      <c r="L10687" s="166"/>
    </row>
    <row r="10688">
      <c r="A10688" s="163" t="s">
        <v>222</v>
      </c>
      <c r="B10688" s="163"/>
      <c r="C10688" s="163"/>
      <c r="J10688" s="165"/>
      <c r="K10688" s="166"/>
      <c r="L10688" s="166"/>
    </row>
    <row r="10689">
      <c r="A10689" s="163" t="s">
        <v>222</v>
      </c>
      <c r="B10689" s="163"/>
      <c r="C10689" s="163"/>
      <c r="J10689" s="165"/>
      <c r="K10689" s="166"/>
      <c r="L10689" s="166"/>
    </row>
    <row r="10690">
      <c r="A10690" s="163" t="s">
        <v>222</v>
      </c>
      <c r="B10690" s="163"/>
      <c r="C10690" s="163"/>
      <c r="J10690" s="165"/>
      <c r="K10690" s="166"/>
      <c r="L10690" s="166"/>
    </row>
    <row r="10691">
      <c r="A10691" s="163" t="s">
        <v>222</v>
      </c>
      <c r="B10691" s="163"/>
      <c r="C10691" s="163"/>
      <c r="J10691" s="165"/>
      <c r="K10691" s="166"/>
      <c r="L10691" s="166"/>
    </row>
    <row r="10692">
      <c r="A10692" s="163" t="s">
        <v>222</v>
      </c>
      <c r="B10692" s="163"/>
      <c r="C10692" s="163"/>
      <c r="J10692" s="165"/>
      <c r="K10692" s="166"/>
      <c r="L10692" s="166"/>
    </row>
    <row r="10693">
      <c r="A10693" s="163" t="s">
        <v>222</v>
      </c>
      <c r="B10693" s="163"/>
      <c r="C10693" s="163"/>
      <c r="J10693" s="165"/>
      <c r="K10693" s="166"/>
      <c r="L10693" s="166"/>
    </row>
    <row r="10694">
      <c r="A10694" s="163" t="s">
        <v>222</v>
      </c>
      <c r="B10694" s="163"/>
      <c r="C10694" s="163"/>
      <c r="J10694" s="165"/>
      <c r="K10694" s="166"/>
      <c r="L10694" s="166"/>
    </row>
    <row r="10695">
      <c r="A10695" s="163" t="s">
        <v>222</v>
      </c>
      <c r="B10695" s="163"/>
      <c r="C10695" s="163"/>
      <c r="J10695" s="165"/>
      <c r="K10695" s="166"/>
      <c r="L10695" s="166"/>
    </row>
    <row r="10696">
      <c r="A10696" s="163" t="s">
        <v>222</v>
      </c>
      <c r="B10696" s="163"/>
      <c r="C10696" s="163"/>
      <c r="J10696" s="165"/>
      <c r="K10696" s="166"/>
      <c r="L10696" s="166"/>
    </row>
    <row r="10697">
      <c r="A10697" s="163" t="s">
        <v>222</v>
      </c>
      <c r="B10697" s="163"/>
      <c r="C10697" s="163"/>
      <c r="J10697" s="165"/>
      <c r="K10697" s="166"/>
      <c r="L10697" s="166"/>
    </row>
    <row r="10698">
      <c r="A10698" s="163" t="s">
        <v>222</v>
      </c>
      <c r="B10698" s="163"/>
      <c r="C10698" s="163"/>
      <c r="J10698" s="165"/>
      <c r="K10698" s="166"/>
      <c r="L10698" s="166"/>
    </row>
    <row r="10699">
      <c r="A10699" s="163" t="s">
        <v>222</v>
      </c>
      <c r="B10699" s="163"/>
      <c r="C10699" s="163"/>
      <c r="J10699" s="165"/>
      <c r="K10699" s="166"/>
      <c r="L10699" s="166"/>
    </row>
    <row r="10700">
      <c r="A10700" s="163" t="s">
        <v>222</v>
      </c>
      <c r="B10700" s="163"/>
      <c r="C10700" s="163"/>
      <c r="J10700" s="165"/>
      <c r="K10700" s="166"/>
      <c r="L10700" s="166"/>
    </row>
    <row r="10701">
      <c r="A10701" s="163" t="s">
        <v>222</v>
      </c>
      <c r="B10701" s="163"/>
      <c r="C10701" s="163"/>
      <c r="J10701" s="165"/>
      <c r="K10701" s="166"/>
      <c r="L10701" s="166"/>
    </row>
    <row r="10702">
      <c r="A10702" s="163" t="s">
        <v>222</v>
      </c>
      <c r="B10702" s="163"/>
      <c r="C10702" s="163"/>
      <c r="J10702" s="165"/>
      <c r="K10702" s="166"/>
      <c r="L10702" s="166"/>
    </row>
    <row r="10703">
      <c r="A10703" s="163" t="s">
        <v>222</v>
      </c>
      <c r="B10703" s="163"/>
      <c r="C10703" s="163"/>
      <c r="J10703" s="165"/>
      <c r="K10703" s="166"/>
      <c r="L10703" s="166"/>
    </row>
    <row r="10704">
      <c r="A10704" s="163" t="s">
        <v>222</v>
      </c>
      <c r="B10704" s="163"/>
      <c r="C10704" s="163"/>
      <c r="J10704" s="165"/>
      <c r="K10704" s="166"/>
      <c r="L10704" s="166"/>
    </row>
    <row r="10705">
      <c r="A10705" s="163" t="s">
        <v>222</v>
      </c>
      <c r="B10705" s="163"/>
      <c r="C10705" s="163"/>
      <c r="J10705" s="165"/>
      <c r="K10705" s="166"/>
      <c r="L10705" s="166"/>
    </row>
    <row r="10706">
      <c r="A10706" s="163" t="s">
        <v>222</v>
      </c>
      <c r="B10706" s="163"/>
      <c r="C10706" s="163"/>
      <c r="J10706" s="165"/>
      <c r="K10706" s="166"/>
      <c r="L10706" s="166"/>
    </row>
    <row r="10707">
      <c r="A10707" s="163" t="s">
        <v>222</v>
      </c>
      <c r="B10707" s="163"/>
      <c r="C10707" s="163"/>
      <c r="J10707" s="165"/>
      <c r="K10707" s="166"/>
      <c r="L10707" s="166"/>
    </row>
    <row r="10708">
      <c r="A10708" s="163" t="s">
        <v>222</v>
      </c>
      <c r="B10708" s="163"/>
      <c r="C10708" s="163"/>
      <c r="J10708" s="165"/>
      <c r="K10708" s="166"/>
      <c r="L10708" s="166"/>
    </row>
    <row r="10709">
      <c r="A10709" s="163" t="s">
        <v>222</v>
      </c>
      <c r="B10709" s="163"/>
      <c r="C10709" s="163"/>
      <c r="J10709" s="165"/>
      <c r="K10709" s="166"/>
      <c r="L10709" s="166"/>
    </row>
    <row r="10710">
      <c r="A10710" s="163" t="s">
        <v>222</v>
      </c>
      <c r="B10710" s="163"/>
      <c r="C10710" s="163"/>
      <c r="J10710" s="165"/>
      <c r="K10710" s="166"/>
      <c r="L10710" s="166"/>
    </row>
    <row r="10711">
      <c r="A10711" s="163" t="s">
        <v>222</v>
      </c>
      <c r="B10711" s="163"/>
      <c r="C10711" s="163"/>
      <c r="J10711" s="165"/>
      <c r="K10711" s="166"/>
      <c r="L10711" s="166"/>
    </row>
    <row r="10712">
      <c r="A10712" s="163" t="s">
        <v>222</v>
      </c>
      <c r="B10712" s="163"/>
      <c r="C10712" s="163"/>
      <c r="J10712" s="165"/>
      <c r="K10712" s="166"/>
      <c r="L10712" s="166"/>
    </row>
    <row r="10713">
      <c r="A10713" s="163" t="s">
        <v>222</v>
      </c>
      <c r="B10713" s="163"/>
      <c r="C10713" s="163"/>
      <c r="J10713" s="165"/>
      <c r="K10713" s="166"/>
      <c r="L10713" s="166"/>
    </row>
    <row r="10714">
      <c r="A10714" s="163" t="s">
        <v>222</v>
      </c>
      <c r="B10714" s="163"/>
      <c r="C10714" s="163"/>
      <c r="J10714" s="165"/>
      <c r="K10714" s="166"/>
      <c r="L10714" s="166"/>
    </row>
    <row r="10715">
      <c r="A10715" s="163" t="s">
        <v>222</v>
      </c>
      <c r="B10715" s="163"/>
      <c r="C10715" s="163"/>
      <c r="J10715" s="165"/>
      <c r="K10715" s="166"/>
      <c r="L10715" s="166"/>
    </row>
    <row r="10716">
      <c r="A10716" s="163" t="s">
        <v>222</v>
      </c>
      <c r="B10716" s="163"/>
      <c r="C10716" s="163"/>
      <c r="J10716" s="165"/>
      <c r="K10716" s="166"/>
      <c r="L10716" s="166"/>
    </row>
    <row r="10717">
      <c r="A10717" s="163" t="s">
        <v>222</v>
      </c>
      <c r="B10717" s="163"/>
      <c r="C10717" s="163"/>
      <c r="J10717" s="165"/>
      <c r="K10717" s="166"/>
      <c r="L10717" s="166"/>
    </row>
    <row r="10718">
      <c r="A10718" s="163" t="s">
        <v>222</v>
      </c>
      <c r="B10718" s="163"/>
      <c r="C10718" s="163"/>
      <c r="J10718" s="165"/>
      <c r="K10718" s="166"/>
      <c r="L10718" s="166"/>
    </row>
    <row r="10719">
      <c r="A10719" s="163" t="s">
        <v>222</v>
      </c>
      <c r="B10719" s="163"/>
      <c r="C10719" s="163"/>
      <c r="J10719" s="165"/>
      <c r="K10719" s="166"/>
      <c r="L10719" s="166"/>
    </row>
    <row r="10720">
      <c r="A10720" s="163" t="s">
        <v>222</v>
      </c>
      <c r="B10720" s="163"/>
      <c r="C10720" s="163"/>
      <c r="J10720" s="165"/>
      <c r="K10720" s="166"/>
      <c r="L10720" s="166"/>
    </row>
    <row r="10721">
      <c r="A10721" s="163" t="s">
        <v>222</v>
      </c>
      <c r="B10721" s="163"/>
      <c r="C10721" s="163"/>
      <c r="J10721" s="165"/>
      <c r="K10721" s="166"/>
      <c r="L10721" s="166"/>
    </row>
    <row r="10722">
      <c r="A10722" s="163" t="s">
        <v>222</v>
      </c>
      <c r="B10722" s="163"/>
      <c r="C10722" s="163"/>
      <c r="J10722" s="165"/>
      <c r="K10722" s="166"/>
      <c r="L10722" s="166"/>
    </row>
    <row r="10723">
      <c r="A10723" s="163" t="s">
        <v>222</v>
      </c>
      <c r="B10723" s="163"/>
      <c r="C10723" s="163"/>
      <c r="J10723" s="165"/>
      <c r="K10723" s="166"/>
      <c r="L10723" s="166"/>
    </row>
    <row r="10724">
      <c r="A10724" s="163" t="s">
        <v>222</v>
      </c>
      <c r="B10724" s="163"/>
      <c r="C10724" s="163"/>
      <c r="J10724" s="165"/>
      <c r="K10724" s="166"/>
      <c r="L10724" s="166"/>
    </row>
    <row r="10725">
      <c r="A10725" s="163" t="s">
        <v>222</v>
      </c>
      <c r="B10725" s="163"/>
      <c r="C10725" s="163"/>
      <c r="J10725" s="165"/>
      <c r="K10725" s="166"/>
      <c r="L10725" s="166"/>
    </row>
    <row r="10726">
      <c r="A10726" s="163" t="s">
        <v>222</v>
      </c>
      <c r="B10726" s="163"/>
      <c r="C10726" s="163"/>
      <c r="J10726" s="165"/>
      <c r="K10726" s="166"/>
      <c r="L10726" s="166"/>
    </row>
    <row r="10727">
      <c r="A10727" s="163" t="s">
        <v>222</v>
      </c>
      <c r="B10727" s="163"/>
      <c r="C10727" s="163"/>
      <c r="J10727" s="165"/>
      <c r="K10727" s="166"/>
      <c r="L10727" s="166"/>
    </row>
    <row r="10728">
      <c r="A10728" s="163" t="s">
        <v>222</v>
      </c>
      <c r="B10728" s="163"/>
      <c r="C10728" s="163"/>
      <c r="J10728" s="165"/>
      <c r="K10728" s="166"/>
      <c r="L10728" s="166"/>
    </row>
    <row r="10729">
      <c r="A10729" s="163" t="s">
        <v>222</v>
      </c>
      <c r="B10729" s="163"/>
      <c r="C10729" s="163"/>
      <c r="J10729" s="165"/>
      <c r="K10729" s="166"/>
      <c r="L10729" s="166"/>
    </row>
    <row r="10730">
      <c r="A10730" s="163" t="s">
        <v>222</v>
      </c>
      <c r="B10730" s="163"/>
      <c r="C10730" s="163"/>
      <c r="J10730" s="165"/>
      <c r="K10730" s="166"/>
      <c r="L10730" s="166"/>
    </row>
    <row r="10731">
      <c r="A10731" s="163" t="s">
        <v>222</v>
      </c>
      <c r="B10731" s="163"/>
      <c r="C10731" s="163"/>
      <c r="J10731" s="165"/>
      <c r="K10731" s="166"/>
      <c r="L10731" s="166"/>
    </row>
    <row r="10732">
      <c r="A10732" s="163" t="s">
        <v>222</v>
      </c>
      <c r="B10732" s="163"/>
      <c r="C10732" s="163"/>
      <c r="J10732" s="165"/>
      <c r="K10732" s="166"/>
      <c r="L10732" s="166"/>
    </row>
    <row r="10733">
      <c r="A10733" s="163" t="s">
        <v>222</v>
      </c>
      <c r="B10733" s="163"/>
      <c r="C10733" s="163"/>
      <c r="J10733" s="165"/>
      <c r="K10733" s="166"/>
      <c r="L10733" s="166"/>
    </row>
    <row r="10734">
      <c r="A10734" s="163" t="s">
        <v>222</v>
      </c>
      <c r="B10734" s="163"/>
      <c r="C10734" s="163"/>
      <c r="J10734" s="165"/>
      <c r="K10734" s="166"/>
      <c r="L10734" s="166"/>
    </row>
    <row r="10735">
      <c r="A10735" s="163" t="s">
        <v>222</v>
      </c>
      <c r="B10735" s="163"/>
      <c r="C10735" s="163"/>
      <c r="J10735" s="165"/>
      <c r="K10735" s="166"/>
      <c r="L10735" s="166"/>
    </row>
    <row r="10736">
      <c r="A10736" s="163" t="s">
        <v>222</v>
      </c>
      <c r="B10736" s="163"/>
      <c r="C10736" s="163"/>
      <c r="J10736" s="165"/>
      <c r="K10736" s="166"/>
      <c r="L10736" s="166"/>
    </row>
    <row r="10737">
      <c r="A10737" s="163" t="s">
        <v>222</v>
      </c>
      <c r="B10737" s="163"/>
      <c r="C10737" s="163"/>
      <c r="J10737" s="165"/>
      <c r="K10737" s="166"/>
      <c r="L10737" s="166"/>
    </row>
    <row r="10738">
      <c r="A10738" s="163" t="s">
        <v>222</v>
      </c>
      <c r="B10738" s="163"/>
      <c r="C10738" s="163"/>
      <c r="J10738" s="165"/>
      <c r="K10738" s="166"/>
      <c r="L10738" s="166"/>
    </row>
    <row r="10739">
      <c r="A10739" s="163" t="s">
        <v>222</v>
      </c>
      <c r="B10739" s="163"/>
      <c r="C10739" s="163"/>
      <c r="J10739" s="165"/>
      <c r="K10739" s="166"/>
      <c r="L10739" s="166"/>
    </row>
    <row r="10740">
      <c r="A10740" s="163" t="s">
        <v>222</v>
      </c>
      <c r="B10740" s="163"/>
      <c r="C10740" s="163"/>
      <c r="J10740" s="165"/>
      <c r="K10740" s="166"/>
      <c r="L10740" s="166"/>
    </row>
    <row r="10741">
      <c r="A10741" s="163" t="s">
        <v>222</v>
      </c>
      <c r="B10741" s="163"/>
      <c r="C10741" s="163"/>
      <c r="J10741" s="165"/>
      <c r="K10741" s="166"/>
      <c r="L10741" s="166"/>
    </row>
    <row r="10742">
      <c r="A10742" s="163" t="s">
        <v>222</v>
      </c>
      <c r="B10742" s="163"/>
      <c r="C10742" s="163"/>
      <c r="J10742" s="165"/>
      <c r="K10742" s="166"/>
      <c r="L10742" s="166"/>
    </row>
    <row r="10743">
      <c r="A10743" s="163" t="s">
        <v>222</v>
      </c>
      <c r="B10743" s="163"/>
      <c r="C10743" s="163"/>
      <c r="J10743" s="165"/>
      <c r="K10743" s="166"/>
      <c r="L10743" s="166"/>
    </row>
    <row r="10744">
      <c r="A10744" s="163" t="s">
        <v>222</v>
      </c>
      <c r="B10744" s="163"/>
      <c r="C10744" s="163"/>
      <c r="J10744" s="165"/>
      <c r="K10744" s="166"/>
      <c r="L10744" s="166"/>
    </row>
    <row r="10745">
      <c r="A10745" s="163" t="s">
        <v>222</v>
      </c>
      <c r="B10745" s="163"/>
      <c r="C10745" s="163"/>
      <c r="J10745" s="165"/>
      <c r="K10745" s="166"/>
      <c r="L10745" s="166"/>
    </row>
    <row r="10746">
      <c r="A10746" s="163" t="s">
        <v>222</v>
      </c>
      <c r="B10746" s="163"/>
      <c r="C10746" s="163"/>
      <c r="J10746" s="165"/>
      <c r="K10746" s="166"/>
      <c r="L10746" s="166"/>
    </row>
    <row r="10747">
      <c r="A10747" s="163" t="s">
        <v>222</v>
      </c>
      <c r="B10747" s="163"/>
      <c r="C10747" s="163"/>
      <c r="J10747" s="165"/>
      <c r="K10747" s="166"/>
      <c r="L10747" s="166"/>
    </row>
    <row r="10748">
      <c r="A10748" s="163" t="s">
        <v>222</v>
      </c>
      <c r="B10748" s="163"/>
      <c r="C10748" s="163"/>
      <c r="J10748" s="165"/>
      <c r="K10748" s="166"/>
      <c r="L10748" s="166"/>
    </row>
    <row r="10749">
      <c r="A10749" s="163" t="s">
        <v>222</v>
      </c>
      <c r="B10749" s="163"/>
      <c r="C10749" s="163"/>
      <c r="J10749" s="165"/>
      <c r="K10749" s="166"/>
      <c r="L10749" s="166"/>
    </row>
    <row r="10750">
      <c r="A10750" s="163" t="s">
        <v>222</v>
      </c>
      <c r="B10750" s="163"/>
      <c r="C10750" s="163"/>
      <c r="J10750" s="165"/>
      <c r="K10750" s="166"/>
      <c r="L10750" s="166"/>
    </row>
    <row r="10751">
      <c r="A10751" s="163" t="s">
        <v>222</v>
      </c>
      <c r="B10751" s="163"/>
      <c r="C10751" s="163"/>
      <c r="J10751" s="165"/>
      <c r="K10751" s="166"/>
      <c r="L10751" s="166"/>
    </row>
    <row r="10752">
      <c r="A10752" s="163" t="s">
        <v>222</v>
      </c>
      <c r="B10752" s="163"/>
      <c r="C10752" s="163"/>
      <c r="J10752" s="165"/>
      <c r="K10752" s="166"/>
      <c r="L10752" s="166"/>
    </row>
    <row r="10753">
      <c r="A10753" s="163" t="s">
        <v>222</v>
      </c>
      <c r="B10753" s="163"/>
      <c r="C10753" s="163"/>
      <c r="J10753" s="165"/>
      <c r="K10753" s="166"/>
      <c r="L10753" s="166"/>
    </row>
    <row r="10754">
      <c r="A10754" s="163" t="s">
        <v>222</v>
      </c>
      <c r="B10754" s="163"/>
      <c r="C10754" s="163"/>
      <c r="J10754" s="165"/>
      <c r="K10754" s="166"/>
      <c r="L10754" s="166"/>
    </row>
    <row r="10755">
      <c r="A10755" s="163" t="s">
        <v>222</v>
      </c>
      <c r="B10755" s="163"/>
      <c r="C10755" s="163"/>
      <c r="J10755" s="165"/>
      <c r="K10755" s="166"/>
      <c r="L10755" s="166"/>
    </row>
    <row r="10756">
      <c r="A10756" s="163" t="s">
        <v>222</v>
      </c>
      <c r="B10756" s="163"/>
      <c r="C10756" s="163"/>
      <c r="J10756" s="165"/>
      <c r="K10756" s="166"/>
      <c r="L10756" s="166"/>
    </row>
    <row r="10757">
      <c r="A10757" s="163" t="s">
        <v>222</v>
      </c>
      <c r="B10757" s="163"/>
      <c r="C10757" s="163"/>
      <c r="J10757" s="165"/>
      <c r="K10757" s="166"/>
      <c r="L10757" s="166"/>
    </row>
    <row r="10758">
      <c r="A10758" s="163" t="s">
        <v>222</v>
      </c>
      <c r="B10758" s="163"/>
      <c r="C10758" s="163"/>
      <c r="J10758" s="165"/>
      <c r="K10758" s="166"/>
      <c r="L10758" s="166"/>
    </row>
    <row r="10759">
      <c r="A10759" s="163" t="s">
        <v>222</v>
      </c>
      <c r="B10759" s="163"/>
      <c r="C10759" s="163"/>
      <c r="J10759" s="165"/>
      <c r="K10759" s="166"/>
      <c r="L10759" s="166"/>
    </row>
    <row r="10760">
      <c r="A10760" s="163" t="s">
        <v>222</v>
      </c>
      <c r="B10760" s="163"/>
      <c r="C10760" s="163"/>
      <c r="J10760" s="165"/>
      <c r="K10760" s="166"/>
      <c r="L10760" s="166"/>
    </row>
    <row r="10761">
      <c r="A10761" s="163" t="s">
        <v>222</v>
      </c>
      <c r="B10761" s="163"/>
      <c r="C10761" s="163"/>
      <c r="J10761" s="165"/>
      <c r="K10761" s="166"/>
      <c r="L10761" s="166"/>
    </row>
    <row r="10762">
      <c r="A10762" s="163" t="s">
        <v>222</v>
      </c>
      <c r="B10762" s="163"/>
      <c r="C10762" s="163"/>
      <c r="J10762" s="165"/>
      <c r="K10762" s="166"/>
      <c r="L10762" s="166"/>
    </row>
    <row r="10763">
      <c r="A10763" s="163" t="s">
        <v>222</v>
      </c>
      <c r="B10763" s="163"/>
      <c r="C10763" s="163"/>
      <c r="J10763" s="165"/>
      <c r="K10763" s="166"/>
      <c r="L10763" s="166"/>
    </row>
    <row r="10764">
      <c r="A10764" s="163" t="s">
        <v>222</v>
      </c>
      <c r="B10764" s="163"/>
      <c r="C10764" s="163"/>
      <c r="J10764" s="165"/>
      <c r="K10764" s="166"/>
      <c r="L10764" s="166"/>
    </row>
    <row r="10765">
      <c r="A10765" s="163" t="s">
        <v>222</v>
      </c>
      <c r="B10765" s="163"/>
      <c r="C10765" s="163"/>
      <c r="J10765" s="165"/>
      <c r="K10765" s="166"/>
      <c r="L10765" s="166"/>
    </row>
    <row r="10766">
      <c r="A10766" s="163" t="s">
        <v>222</v>
      </c>
      <c r="B10766" s="163"/>
      <c r="C10766" s="163"/>
      <c r="J10766" s="165"/>
      <c r="K10766" s="166"/>
      <c r="L10766" s="166"/>
    </row>
    <row r="10767">
      <c r="A10767" s="163" t="s">
        <v>222</v>
      </c>
      <c r="B10767" s="163"/>
      <c r="C10767" s="163"/>
      <c r="J10767" s="165"/>
      <c r="K10767" s="166"/>
      <c r="L10767" s="166"/>
    </row>
    <row r="10768">
      <c r="A10768" s="163" t="s">
        <v>222</v>
      </c>
      <c r="B10768" s="163"/>
      <c r="C10768" s="163"/>
      <c r="J10768" s="165"/>
      <c r="K10768" s="166"/>
      <c r="L10768" s="166"/>
    </row>
    <row r="10769">
      <c r="A10769" s="163" t="s">
        <v>222</v>
      </c>
      <c r="B10769" s="163"/>
      <c r="C10769" s="163"/>
      <c r="J10769" s="165"/>
      <c r="K10769" s="166"/>
      <c r="L10769" s="166"/>
    </row>
    <row r="10770">
      <c r="A10770" s="163" t="s">
        <v>222</v>
      </c>
      <c r="B10770" s="163"/>
      <c r="C10770" s="163"/>
      <c r="J10770" s="165"/>
      <c r="K10770" s="166"/>
      <c r="L10770" s="166"/>
    </row>
    <row r="10771">
      <c r="A10771" s="163" t="s">
        <v>222</v>
      </c>
      <c r="B10771" s="163"/>
      <c r="C10771" s="163"/>
      <c r="J10771" s="165"/>
      <c r="K10771" s="166"/>
      <c r="L10771" s="166"/>
    </row>
    <row r="10772">
      <c r="A10772" s="163" t="s">
        <v>222</v>
      </c>
      <c r="B10772" s="163"/>
      <c r="C10772" s="163"/>
      <c r="J10772" s="165"/>
      <c r="K10772" s="166"/>
      <c r="L10772" s="166"/>
    </row>
    <row r="10773">
      <c r="A10773" s="163" t="s">
        <v>222</v>
      </c>
      <c r="B10773" s="163"/>
      <c r="C10773" s="163"/>
      <c r="J10773" s="165"/>
      <c r="K10773" s="166"/>
      <c r="L10773" s="166"/>
    </row>
    <row r="10774">
      <c r="A10774" s="163" t="s">
        <v>222</v>
      </c>
      <c r="B10774" s="163"/>
      <c r="C10774" s="163"/>
      <c r="J10774" s="165"/>
      <c r="K10774" s="166"/>
      <c r="L10774" s="166"/>
    </row>
    <row r="10775">
      <c r="A10775" s="163" t="s">
        <v>222</v>
      </c>
      <c r="B10775" s="163"/>
      <c r="C10775" s="163"/>
      <c r="J10775" s="165"/>
      <c r="K10775" s="166"/>
      <c r="L10775" s="166"/>
    </row>
    <row r="10776">
      <c r="A10776" s="163" t="s">
        <v>222</v>
      </c>
      <c r="B10776" s="163"/>
      <c r="C10776" s="163"/>
      <c r="J10776" s="165"/>
      <c r="K10776" s="166"/>
      <c r="L10776" s="166"/>
    </row>
    <row r="10777">
      <c r="A10777" s="163" t="s">
        <v>222</v>
      </c>
      <c r="B10777" s="163"/>
      <c r="C10777" s="163"/>
      <c r="J10777" s="165"/>
      <c r="K10777" s="166"/>
      <c r="L10777" s="166"/>
    </row>
    <row r="10778">
      <c r="A10778" s="163" t="s">
        <v>222</v>
      </c>
      <c r="B10778" s="163"/>
      <c r="C10778" s="163"/>
      <c r="J10778" s="165"/>
      <c r="K10778" s="166"/>
      <c r="L10778" s="166"/>
    </row>
    <row r="10779">
      <c r="A10779" s="163" t="s">
        <v>222</v>
      </c>
      <c r="B10779" s="163"/>
      <c r="C10779" s="163"/>
      <c r="J10779" s="165"/>
      <c r="K10779" s="166"/>
      <c r="L10779" s="166"/>
    </row>
    <row r="10780">
      <c r="A10780" s="163" t="s">
        <v>222</v>
      </c>
      <c r="B10780" s="163"/>
      <c r="C10780" s="163"/>
      <c r="J10780" s="165"/>
      <c r="K10780" s="166"/>
      <c r="L10780" s="166"/>
    </row>
    <row r="10781">
      <c r="A10781" s="163" t="s">
        <v>222</v>
      </c>
      <c r="B10781" s="163"/>
      <c r="C10781" s="163"/>
      <c r="J10781" s="165"/>
      <c r="K10781" s="166"/>
      <c r="L10781" s="166"/>
    </row>
    <row r="10782">
      <c r="A10782" s="163" t="s">
        <v>222</v>
      </c>
      <c r="B10782" s="163"/>
      <c r="C10782" s="163"/>
      <c r="J10782" s="165"/>
      <c r="K10782" s="166"/>
      <c r="L10782" s="166"/>
    </row>
    <row r="10783">
      <c r="A10783" s="163" t="s">
        <v>222</v>
      </c>
      <c r="B10783" s="163"/>
      <c r="C10783" s="163"/>
      <c r="J10783" s="165"/>
      <c r="K10783" s="166"/>
      <c r="L10783" s="166"/>
    </row>
    <row r="10784">
      <c r="A10784" s="163" t="s">
        <v>222</v>
      </c>
      <c r="B10784" s="163"/>
      <c r="C10784" s="163"/>
      <c r="J10784" s="165"/>
      <c r="K10784" s="166"/>
      <c r="L10784" s="166"/>
    </row>
    <row r="10785">
      <c r="A10785" s="163" t="s">
        <v>222</v>
      </c>
      <c r="B10785" s="163"/>
      <c r="C10785" s="163"/>
      <c r="J10785" s="165"/>
      <c r="K10785" s="166"/>
      <c r="L10785" s="166"/>
    </row>
    <row r="10786">
      <c r="A10786" s="163" t="s">
        <v>222</v>
      </c>
      <c r="B10786" s="163"/>
      <c r="C10786" s="163"/>
      <c r="J10786" s="165"/>
      <c r="K10786" s="166"/>
      <c r="L10786" s="166"/>
    </row>
    <row r="10787">
      <c r="A10787" s="163" t="s">
        <v>222</v>
      </c>
      <c r="B10787" s="163"/>
      <c r="C10787" s="163"/>
      <c r="J10787" s="165"/>
      <c r="K10787" s="166"/>
      <c r="L10787" s="166"/>
    </row>
    <row r="10788">
      <c r="A10788" s="163" t="s">
        <v>222</v>
      </c>
      <c r="B10788" s="163"/>
      <c r="C10788" s="163"/>
      <c r="J10788" s="165"/>
      <c r="K10788" s="166"/>
      <c r="L10788" s="166"/>
    </row>
    <row r="10789">
      <c r="A10789" s="163" t="s">
        <v>222</v>
      </c>
      <c r="B10789" s="163"/>
      <c r="C10789" s="163"/>
      <c r="J10789" s="165"/>
      <c r="K10789" s="166"/>
      <c r="L10789" s="166"/>
    </row>
    <row r="10790">
      <c r="A10790" s="163" t="s">
        <v>222</v>
      </c>
      <c r="B10790" s="163"/>
      <c r="C10790" s="163"/>
      <c r="J10790" s="165"/>
      <c r="K10790" s="166"/>
      <c r="L10790" s="166"/>
    </row>
    <row r="10791">
      <c r="A10791" s="163" t="s">
        <v>222</v>
      </c>
      <c r="B10791" s="163"/>
      <c r="C10791" s="163"/>
      <c r="J10791" s="165"/>
      <c r="K10791" s="166"/>
      <c r="L10791" s="166"/>
    </row>
    <row r="10792">
      <c r="A10792" s="163" t="s">
        <v>222</v>
      </c>
      <c r="B10792" s="163"/>
      <c r="C10792" s="163"/>
      <c r="J10792" s="165"/>
      <c r="K10792" s="166"/>
      <c r="L10792" s="166"/>
    </row>
    <row r="10793">
      <c r="A10793" s="163" t="s">
        <v>222</v>
      </c>
      <c r="B10793" s="163"/>
      <c r="C10793" s="163"/>
      <c r="J10793" s="165"/>
      <c r="K10793" s="166"/>
      <c r="L10793" s="166"/>
    </row>
    <row r="10794">
      <c r="A10794" s="163" t="s">
        <v>222</v>
      </c>
      <c r="B10794" s="163"/>
      <c r="C10794" s="163"/>
      <c r="J10794" s="165"/>
      <c r="K10794" s="166"/>
      <c r="L10794" s="166"/>
    </row>
    <row r="10795">
      <c r="A10795" s="163" t="s">
        <v>222</v>
      </c>
      <c r="B10795" s="163"/>
      <c r="C10795" s="163"/>
      <c r="J10795" s="165"/>
      <c r="K10795" s="166"/>
      <c r="L10795" s="166"/>
    </row>
    <row r="10796">
      <c r="A10796" s="163" t="s">
        <v>222</v>
      </c>
      <c r="B10796" s="163"/>
      <c r="C10796" s="163"/>
      <c r="J10796" s="165"/>
      <c r="K10796" s="166"/>
      <c r="L10796" s="166"/>
    </row>
    <row r="10797">
      <c r="A10797" s="163" t="s">
        <v>222</v>
      </c>
      <c r="B10797" s="163"/>
      <c r="C10797" s="163"/>
      <c r="J10797" s="165"/>
      <c r="K10797" s="166"/>
      <c r="L10797" s="166"/>
    </row>
    <row r="10798">
      <c r="A10798" s="163" t="s">
        <v>222</v>
      </c>
      <c r="B10798" s="163"/>
      <c r="C10798" s="163"/>
      <c r="J10798" s="165"/>
      <c r="K10798" s="166"/>
      <c r="L10798" s="166"/>
    </row>
    <row r="10799">
      <c r="A10799" s="163" t="s">
        <v>222</v>
      </c>
      <c r="B10799" s="163"/>
      <c r="C10799" s="163"/>
      <c r="J10799" s="165"/>
      <c r="K10799" s="166"/>
      <c r="L10799" s="166"/>
    </row>
    <row r="10800">
      <c r="A10800" s="163" t="s">
        <v>222</v>
      </c>
      <c r="B10800" s="163"/>
      <c r="C10800" s="163"/>
      <c r="J10800" s="165"/>
      <c r="K10800" s="166"/>
      <c r="L10800" s="166"/>
    </row>
    <row r="10801">
      <c r="A10801" s="163" t="s">
        <v>222</v>
      </c>
      <c r="B10801" s="163"/>
      <c r="C10801" s="163"/>
      <c r="J10801" s="165"/>
      <c r="K10801" s="166"/>
      <c r="L10801" s="166"/>
    </row>
    <row r="10802">
      <c r="A10802" s="163" t="s">
        <v>222</v>
      </c>
      <c r="B10802" s="163"/>
      <c r="C10802" s="163"/>
      <c r="J10802" s="165"/>
      <c r="K10802" s="166"/>
      <c r="L10802" s="166"/>
    </row>
    <row r="10803">
      <c r="A10803" s="163" t="s">
        <v>222</v>
      </c>
      <c r="B10803" s="163"/>
      <c r="C10803" s="163"/>
      <c r="J10803" s="165"/>
      <c r="K10803" s="166"/>
      <c r="L10803" s="166"/>
    </row>
    <row r="10804">
      <c r="A10804" s="163" t="s">
        <v>222</v>
      </c>
      <c r="B10804" s="163"/>
      <c r="C10804" s="163"/>
      <c r="J10804" s="165"/>
      <c r="K10804" s="166"/>
      <c r="L10804" s="166"/>
    </row>
    <row r="10805">
      <c r="A10805" s="163" t="s">
        <v>222</v>
      </c>
      <c r="B10805" s="163"/>
      <c r="C10805" s="163"/>
      <c r="J10805" s="165"/>
      <c r="K10805" s="166"/>
      <c r="L10805" s="166"/>
    </row>
    <row r="10806">
      <c r="A10806" s="163" t="s">
        <v>222</v>
      </c>
      <c r="B10806" s="163"/>
      <c r="C10806" s="163"/>
      <c r="J10806" s="165"/>
      <c r="K10806" s="166"/>
      <c r="L10806" s="166"/>
    </row>
    <row r="10807">
      <c r="A10807" s="163" t="s">
        <v>222</v>
      </c>
      <c r="B10807" s="163"/>
      <c r="C10807" s="163"/>
      <c r="J10807" s="165"/>
      <c r="K10807" s="166"/>
      <c r="L10807" s="166"/>
    </row>
    <row r="10808">
      <c r="A10808" s="163" t="s">
        <v>222</v>
      </c>
      <c r="B10808" s="163"/>
      <c r="C10808" s="163"/>
      <c r="J10808" s="165"/>
      <c r="K10808" s="166"/>
      <c r="L10808" s="166"/>
    </row>
    <row r="10809">
      <c r="A10809" s="163" t="s">
        <v>222</v>
      </c>
      <c r="B10809" s="163"/>
      <c r="C10809" s="163"/>
      <c r="J10809" s="165"/>
      <c r="K10809" s="166"/>
      <c r="L10809" s="166"/>
    </row>
    <row r="10810">
      <c r="A10810" s="163" t="s">
        <v>222</v>
      </c>
      <c r="B10810" s="163"/>
      <c r="C10810" s="163"/>
      <c r="J10810" s="165"/>
      <c r="K10810" s="166"/>
      <c r="L10810" s="166"/>
    </row>
    <row r="10811">
      <c r="A10811" s="163" t="s">
        <v>222</v>
      </c>
      <c r="B10811" s="163"/>
      <c r="C10811" s="163"/>
      <c r="J10811" s="165"/>
      <c r="K10811" s="166"/>
      <c r="L10811" s="166"/>
    </row>
    <row r="10812">
      <c r="A10812" s="163" t="s">
        <v>222</v>
      </c>
      <c r="B10812" s="163"/>
      <c r="C10812" s="163"/>
      <c r="J10812" s="165"/>
      <c r="K10812" s="166"/>
      <c r="L10812" s="166"/>
    </row>
    <row r="10813">
      <c r="A10813" s="163" t="s">
        <v>222</v>
      </c>
      <c r="B10813" s="163"/>
      <c r="C10813" s="163"/>
      <c r="J10813" s="165"/>
      <c r="K10813" s="166"/>
      <c r="L10813" s="166"/>
    </row>
    <row r="10814">
      <c r="A10814" s="163" t="s">
        <v>222</v>
      </c>
      <c r="B10814" s="163"/>
      <c r="C10814" s="163"/>
      <c r="J10814" s="165"/>
      <c r="K10814" s="166"/>
      <c r="L10814" s="166"/>
    </row>
    <row r="10815">
      <c r="A10815" s="163" t="s">
        <v>222</v>
      </c>
      <c r="B10815" s="163"/>
      <c r="C10815" s="163"/>
      <c r="J10815" s="165"/>
      <c r="K10815" s="166"/>
      <c r="L10815" s="166"/>
    </row>
    <row r="10816">
      <c r="A10816" s="163" t="s">
        <v>222</v>
      </c>
      <c r="B10816" s="163"/>
      <c r="C10816" s="163"/>
      <c r="J10816" s="165"/>
      <c r="K10816" s="166"/>
      <c r="L10816" s="166"/>
    </row>
    <row r="10817">
      <c r="A10817" s="163" t="s">
        <v>222</v>
      </c>
      <c r="B10817" s="163"/>
      <c r="C10817" s="163"/>
      <c r="J10817" s="165"/>
      <c r="K10817" s="166"/>
      <c r="L10817" s="166"/>
    </row>
    <row r="10818">
      <c r="A10818" s="163" t="s">
        <v>222</v>
      </c>
      <c r="B10818" s="163"/>
      <c r="C10818" s="163"/>
      <c r="J10818" s="165"/>
      <c r="K10818" s="166"/>
      <c r="L10818" s="166"/>
    </row>
    <row r="10819">
      <c r="A10819" s="163" t="s">
        <v>222</v>
      </c>
      <c r="B10819" s="163"/>
      <c r="C10819" s="163"/>
      <c r="J10819" s="165"/>
      <c r="K10819" s="166"/>
      <c r="L10819" s="166"/>
    </row>
    <row r="10820">
      <c r="A10820" s="163" t="s">
        <v>222</v>
      </c>
      <c r="B10820" s="163"/>
      <c r="C10820" s="163"/>
      <c r="J10820" s="165"/>
      <c r="K10820" s="166"/>
      <c r="L10820" s="166"/>
    </row>
    <row r="10821">
      <c r="A10821" s="163" t="s">
        <v>222</v>
      </c>
      <c r="B10821" s="163"/>
      <c r="C10821" s="163"/>
      <c r="J10821" s="165"/>
      <c r="K10821" s="166"/>
      <c r="L10821" s="166"/>
    </row>
    <row r="10822">
      <c r="A10822" s="163" t="s">
        <v>222</v>
      </c>
      <c r="B10822" s="163"/>
      <c r="C10822" s="163"/>
      <c r="J10822" s="165"/>
      <c r="K10822" s="166"/>
      <c r="L10822" s="166"/>
    </row>
    <row r="10823">
      <c r="A10823" s="163" t="s">
        <v>222</v>
      </c>
      <c r="B10823" s="163"/>
      <c r="C10823" s="163"/>
      <c r="J10823" s="165"/>
      <c r="K10823" s="166"/>
      <c r="L10823" s="166"/>
    </row>
    <row r="10824">
      <c r="A10824" s="163" t="s">
        <v>222</v>
      </c>
      <c r="B10824" s="163"/>
      <c r="C10824" s="163"/>
      <c r="J10824" s="165"/>
      <c r="K10824" s="166"/>
      <c r="L10824" s="166"/>
    </row>
    <row r="10825">
      <c r="A10825" s="163" t="s">
        <v>222</v>
      </c>
      <c r="B10825" s="163"/>
      <c r="C10825" s="163"/>
      <c r="J10825" s="165"/>
      <c r="K10825" s="166"/>
      <c r="L10825" s="166"/>
    </row>
    <row r="10826">
      <c r="A10826" s="163" t="s">
        <v>222</v>
      </c>
      <c r="B10826" s="163"/>
      <c r="C10826" s="163"/>
      <c r="J10826" s="165"/>
      <c r="K10826" s="166"/>
      <c r="L10826" s="166"/>
    </row>
    <row r="10827">
      <c r="A10827" s="163" t="s">
        <v>222</v>
      </c>
      <c r="B10827" s="163"/>
      <c r="C10827" s="163"/>
      <c r="J10827" s="165"/>
      <c r="K10827" s="166"/>
      <c r="L10827" s="166"/>
    </row>
    <row r="10828">
      <c r="A10828" s="163" t="s">
        <v>222</v>
      </c>
      <c r="B10828" s="163"/>
      <c r="C10828" s="163"/>
      <c r="J10828" s="165"/>
      <c r="K10828" s="166"/>
      <c r="L10828" s="166"/>
    </row>
    <row r="10829">
      <c r="A10829" s="163" t="s">
        <v>222</v>
      </c>
      <c r="B10829" s="163"/>
      <c r="C10829" s="163"/>
      <c r="J10829" s="165"/>
      <c r="K10829" s="166"/>
      <c r="L10829" s="166"/>
    </row>
    <row r="10830">
      <c r="A10830" s="163" t="s">
        <v>222</v>
      </c>
      <c r="B10830" s="163"/>
      <c r="C10830" s="163"/>
      <c r="J10830" s="165"/>
      <c r="K10830" s="166"/>
      <c r="L10830" s="166"/>
    </row>
    <row r="10831">
      <c r="A10831" s="163" t="s">
        <v>222</v>
      </c>
      <c r="B10831" s="163"/>
      <c r="C10831" s="163"/>
      <c r="J10831" s="165"/>
      <c r="K10831" s="166"/>
      <c r="L10831" s="166"/>
    </row>
    <row r="10832">
      <c r="A10832" s="163" t="s">
        <v>222</v>
      </c>
      <c r="B10832" s="163"/>
      <c r="C10832" s="163"/>
      <c r="J10832" s="165"/>
      <c r="K10832" s="166"/>
      <c r="L10832" s="166"/>
    </row>
    <row r="10833">
      <c r="A10833" s="163" t="s">
        <v>222</v>
      </c>
      <c r="B10833" s="163"/>
      <c r="C10833" s="163"/>
      <c r="J10833" s="165"/>
      <c r="K10833" s="166"/>
      <c r="L10833" s="166"/>
    </row>
    <row r="10834">
      <c r="A10834" s="163" t="s">
        <v>222</v>
      </c>
      <c r="B10834" s="163"/>
      <c r="C10834" s="163"/>
      <c r="J10834" s="165"/>
      <c r="K10834" s="166"/>
      <c r="L10834" s="166"/>
    </row>
    <row r="10835">
      <c r="A10835" s="163" t="s">
        <v>222</v>
      </c>
      <c r="B10835" s="163"/>
      <c r="C10835" s="163"/>
      <c r="J10835" s="165"/>
      <c r="K10835" s="166"/>
      <c r="L10835" s="166"/>
    </row>
    <row r="10836">
      <c r="A10836" s="163" t="s">
        <v>222</v>
      </c>
      <c r="B10836" s="163"/>
      <c r="C10836" s="163"/>
      <c r="J10836" s="165"/>
      <c r="K10836" s="166"/>
      <c r="L10836" s="166"/>
    </row>
    <row r="10837">
      <c r="A10837" s="163" t="s">
        <v>222</v>
      </c>
      <c r="B10837" s="163"/>
      <c r="C10837" s="163"/>
      <c r="J10837" s="165"/>
      <c r="K10837" s="166"/>
      <c r="L10837" s="166"/>
    </row>
    <row r="10838">
      <c r="A10838" s="163" t="s">
        <v>222</v>
      </c>
      <c r="B10838" s="163"/>
      <c r="C10838" s="163"/>
      <c r="J10838" s="165"/>
      <c r="K10838" s="166"/>
      <c r="L10838" s="166"/>
    </row>
    <row r="10839">
      <c r="A10839" s="163" t="s">
        <v>222</v>
      </c>
      <c r="B10839" s="163"/>
      <c r="C10839" s="163"/>
      <c r="J10839" s="165"/>
      <c r="K10839" s="166"/>
      <c r="L10839" s="166"/>
    </row>
    <row r="10840">
      <c r="A10840" s="163" t="s">
        <v>222</v>
      </c>
      <c r="B10840" s="163"/>
      <c r="C10840" s="163"/>
      <c r="J10840" s="165"/>
      <c r="K10840" s="166"/>
      <c r="L10840" s="166"/>
    </row>
    <row r="10841">
      <c r="A10841" s="163" t="s">
        <v>222</v>
      </c>
      <c r="B10841" s="163"/>
      <c r="C10841" s="163"/>
      <c r="J10841" s="165"/>
      <c r="K10841" s="166"/>
      <c r="L10841" s="166"/>
    </row>
    <row r="10842">
      <c r="A10842" s="163" t="s">
        <v>222</v>
      </c>
      <c r="B10842" s="163"/>
      <c r="C10842" s="163"/>
      <c r="J10842" s="165"/>
      <c r="K10842" s="166"/>
      <c r="L10842" s="166"/>
    </row>
    <row r="10843">
      <c r="A10843" s="163" t="s">
        <v>222</v>
      </c>
      <c r="B10843" s="163"/>
      <c r="C10843" s="163"/>
      <c r="J10843" s="165"/>
      <c r="K10843" s="166"/>
      <c r="L10843" s="166"/>
    </row>
    <row r="10844">
      <c r="A10844" s="163" t="s">
        <v>222</v>
      </c>
      <c r="B10844" s="163"/>
      <c r="C10844" s="163"/>
      <c r="J10844" s="165"/>
      <c r="K10844" s="166"/>
      <c r="L10844" s="166"/>
    </row>
    <row r="10845">
      <c r="A10845" s="163" t="s">
        <v>222</v>
      </c>
      <c r="B10845" s="163"/>
      <c r="C10845" s="163"/>
      <c r="J10845" s="165"/>
      <c r="K10845" s="166"/>
      <c r="L10845" s="166"/>
    </row>
    <row r="10846">
      <c r="A10846" s="163" t="s">
        <v>222</v>
      </c>
      <c r="B10846" s="163"/>
      <c r="C10846" s="163"/>
      <c r="J10846" s="165"/>
      <c r="K10846" s="166"/>
      <c r="L10846" s="166"/>
    </row>
    <row r="10847">
      <c r="A10847" s="163" t="s">
        <v>222</v>
      </c>
      <c r="B10847" s="163"/>
      <c r="C10847" s="163"/>
      <c r="J10847" s="165"/>
      <c r="K10847" s="166"/>
      <c r="L10847" s="166"/>
    </row>
    <row r="10848">
      <c r="A10848" s="163" t="s">
        <v>222</v>
      </c>
      <c r="B10848" s="163"/>
      <c r="C10848" s="163"/>
      <c r="J10848" s="165"/>
      <c r="K10848" s="166"/>
      <c r="L10848" s="166"/>
    </row>
    <row r="10849">
      <c r="A10849" s="163" t="s">
        <v>222</v>
      </c>
      <c r="B10849" s="163"/>
      <c r="C10849" s="163"/>
      <c r="J10849" s="165"/>
      <c r="K10849" s="166"/>
      <c r="L10849" s="166"/>
    </row>
    <row r="10850">
      <c r="A10850" s="163" t="s">
        <v>222</v>
      </c>
      <c r="B10850" s="163"/>
      <c r="C10850" s="163"/>
      <c r="J10850" s="165"/>
      <c r="K10850" s="166"/>
      <c r="L10850" s="166"/>
    </row>
    <row r="10851">
      <c r="A10851" s="163" t="s">
        <v>222</v>
      </c>
      <c r="B10851" s="163"/>
      <c r="C10851" s="163"/>
      <c r="J10851" s="165"/>
      <c r="K10851" s="166"/>
      <c r="L10851" s="166"/>
    </row>
    <row r="10852">
      <c r="A10852" s="163" t="s">
        <v>222</v>
      </c>
      <c r="B10852" s="163"/>
      <c r="C10852" s="163"/>
      <c r="J10852" s="165"/>
      <c r="K10852" s="166"/>
      <c r="L10852" s="166"/>
    </row>
    <row r="10853">
      <c r="A10853" s="163" t="s">
        <v>222</v>
      </c>
      <c r="B10853" s="163"/>
      <c r="C10853" s="163"/>
      <c r="J10853" s="165"/>
      <c r="K10853" s="166"/>
      <c r="L10853" s="166"/>
    </row>
    <row r="10854">
      <c r="A10854" s="163" t="s">
        <v>222</v>
      </c>
      <c r="B10854" s="163"/>
      <c r="C10854" s="163"/>
      <c r="J10854" s="165"/>
      <c r="K10854" s="166"/>
      <c r="L10854" s="166"/>
    </row>
    <row r="10855">
      <c r="A10855" s="163" t="s">
        <v>222</v>
      </c>
      <c r="B10855" s="163"/>
      <c r="C10855" s="163"/>
      <c r="J10855" s="165"/>
      <c r="K10855" s="166"/>
      <c r="L10855" s="166"/>
    </row>
    <row r="10856">
      <c r="A10856" s="163" t="s">
        <v>222</v>
      </c>
      <c r="B10856" s="163"/>
      <c r="C10856" s="163"/>
      <c r="J10856" s="165"/>
      <c r="K10856" s="166"/>
      <c r="L10856" s="166"/>
    </row>
    <row r="10857">
      <c r="A10857" s="163" t="s">
        <v>222</v>
      </c>
      <c r="B10857" s="163"/>
      <c r="C10857" s="163"/>
      <c r="J10857" s="165"/>
      <c r="K10857" s="166"/>
      <c r="L10857" s="166"/>
    </row>
    <row r="10858">
      <c r="A10858" s="163" t="s">
        <v>222</v>
      </c>
      <c r="B10858" s="163"/>
      <c r="C10858" s="163"/>
      <c r="J10858" s="165"/>
      <c r="K10858" s="166"/>
      <c r="L10858" s="166"/>
    </row>
    <row r="10859">
      <c r="A10859" s="163" t="s">
        <v>222</v>
      </c>
      <c r="B10859" s="163"/>
      <c r="C10859" s="163"/>
      <c r="J10859" s="165"/>
      <c r="K10859" s="166"/>
      <c r="L10859" s="166"/>
    </row>
    <row r="10860">
      <c r="A10860" s="163" t="s">
        <v>222</v>
      </c>
      <c r="B10860" s="163"/>
      <c r="C10860" s="163"/>
      <c r="J10860" s="165"/>
      <c r="K10860" s="166"/>
      <c r="L10860" s="166"/>
    </row>
    <row r="10861">
      <c r="A10861" s="163" t="s">
        <v>222</v>
      </c>
      <c r="B10861" s="163"/>
      <c r="C10861" s="163"/>
      <c r="J10861" s="165"/>
      <c r="K10861" s="166"/>
      <c r="L10861" s="166"/>
    </row>
    <row r="10862">
      <c r="A10862" s="163" t="s">
        <v>222</v>
      </c>
      <c r="B10862" s="163"/>
      <c r="C10862" s="163"/>
      <c r="J10862" s="165"/>
      <c r="K10862" s="166"/>
      <c r="L10862" s="166"/>
    </row>
    <row r="10863">
      <c r="A10863" s="163" t="s">
        <v>222</v>
      </c>
      <c r="B10863" s="163"/>
      <c r="C10863" s="163"/>
      <c r="J10863" s="165"/>
      <c r="K10863" s="166"/>
      <c r="L10863" s="166"/>
    </row>
    <row r="10864">
      <c r="A10864" s="163" t="s">
        <v>222</v>
      </c>
      <c r="B10864" s="163"/>
      <c r="C10864" s="163"/>
      <c r="J10864" s="165"/>
      <c r="K10864" s="166"/>
      <c r="L10864" s="166"/>
    </row>
    <row r="10865">
      <c r="A10865" s="163" t="s">
        <v>222</v>
      </c>
      <c r="B10865" s="163"/>
      <c r="C10865" s="163"/>
      <c r="J10865" s="165"/>
      <c r="K10865" s="166"/>
      <c r="L10865" s="166"/>
    </row>
    <row r="10866">
      <c r="A10866" s="163" t="s">
        <v>222</v>
      </c>
      <c r="B10866" s="163"/>
      <c r="C10866" s="163"/>
      <c r="J10866" s="165"/>
      <c r="K10866" s="166"/>
      <c r="L10866" s="166"/>
    </row>
    <row r="10867">
      <c r="A10867" s="163" t="s">
        <v>222</v>
      </c>
      <c r="B10867" s="163"/>
      <c r="C10867" s="163"/>
      <c r="J10867" s="165"/>
      <c r="K10867" s="166"/>
      <c r="L10867" s="166"/>
    </row>
    <row r="10868">
      <c r="A10868" s="163" t="s">
        <v>222</v>
      </c>
      <c r="B10868" s="163"/>
      <c r="C10868" s="163"/>
      <c r="J10868" s="165"/>
      <c r="K10868" s="166"/>
      <c r="L10868" s="166"/>
    </row>
    <row r="10869">
      <c r="A10869" s="163" t="s">
        <v>222</v>
      </c>
      <c r="B10869" s="163"/>
      <c r="C10869" s="163"/>
      <c r="J10869" s="165"/>
      <c r="K10869" s="166"/>
      <c r="L10869" s="166"/>
    </row>
    <row r="10870">
      <c r="A10870" s="163" t="s">
        <v>222</v>
      </c>
      <c r="B10870" s="163"/>
      <c r="C10870" s="163"/>
      <c r="J10870" s="165"/>
      <c r="K10870" s="166"/>
      <c r="L10870" s="166"/>
    </row>
    <row r="10871">
      <c r="A10871" s="163" t="s">
        <v>222</v>
      </c>
      <c r="B10871" s="163"/>
      <c r="C10871" s="163"/>
      <c r="J10871" s="165"/>
      <c r="K10871" s="166"/>
      <c r="L10871" s="166"/>
    </row>
    <row r="10872">
      <c r="A10872" s="163" t="s">
        <v>222</v>
      </c>
      <c r="B10872" s="163"/>
      <c r="C10872" s="163"/>
      <c r="J10872" s="165"/>
      <c r="K10872" s="166"/>
      <c r="L10872" s="166"/>
    </row>
    <row r="10873">
      <c r="A10873" s="163" t="s">
        <v>222</v>
      </c>
      <c r="B10873" s="163"/>
      <c r="C10873" s="163"/>
      <c r="J10873" s="165"/>
      <c r="K10873" s="166"/>
      <c r="L10873" s="166"/>
    </row>
    <row r="10874">
      <c r="A10874" s="163" t="s">
        <v>222</v>
      </c>
      <c r="B10874" s="163"/>
      <c r="C10874" s="163"/>
      <c r="J10874" s="165"/>
      <c r="K10874" s="166"/>
      <c r="L10874" s="166"/>
    </row>
    <row r="10875">
      <c r="A10875" s="163" t="s">
        <v>222</v>
      </c>
      <c r="B10875" s="163"/>
      <c r="C10875" s="163"/>
      <c r="J10875" s="165"/>
      <c r="K10875" s="166"/>
      <c r="L10875" s="166"/>
    </row>
    <row r="10876">
      <c r="A10876" s="163" t="s">
        <v>222</v>
      </c>
      <c r="B10876" s="163"/>
      <c r="C10876" s="163"/>
      <c r="J10876" s="165"/>
      <c r="K10876" s="166"/>
      <c r="L10876" s="166"/>
    </row>
    <row r="10877">
      <c r="A10877" s="163" t="s">
        <v>222</v>
      </c>
      <c r="B10877" s="163"/>
      <c r="C10877" s="163"/>
      <c r="J10877" s="165"/>
      <c r="K10877" s="166"/>
      <c r="L10877" s="166"/>
    </row>
    <row r="10878">
      <c r="A10878" s="163" t="s">
        <v>222</v>
      </c>
      <c r="B10878" s="163"/>
      <c r="C10878" s="163"/>
      <c r="J10878" s="165"/>
      <c r="K10878" s="166"/>
      <c r="L10878" s="166"/>
    </row>
    <row r="10879">
      <c r="A10879" s="163" t="s">
        <v>222</v>
      </c>
      <c r="B10879" s="163"/>
      <c r="C10879" s="163"/>
      <c r="J10879" s="165"/>
      <c r="K10879" s="166"/>
      <c r="L10879" s="166"/>
    </row>
    <row r="10880">
      <c r="A10880" s="163" t="s">
        <v>222</v>
      </c>
      <c r="B10880" s="163"/>
      <c r="C10880" s="163"/>
      <c r="J10880" s="165"/>
      <c r="K10880" s="166"/>
      <c r="L10880" s="166"/>
    </row>
    <row r="10881">
      <c r="A10881" s="163" t="s">
        <v>222</v>
      </c>
      <c r="B10881" s="163"/>
      <c r="C10881" s="163"/>
      <c r="J10881" s="165"/>
      <c r="K10881" s="166"/>
      <c r="L10881" s="166"/>
    </row>
    <row r="10882">
      <c r="A10882" s="163" t="s">
        <v>222</v>
      </c>
      <c r="B10882" s="163"/>
      <c r="C10882" s="163"/>
      <c r="J10882" s="165"/>
      <c r="K10882" s="166"/>
      <c r="L10882" s="166"/>
    </row>
    <row r="10883">
      <c r="A10883" s="163" t="s">
        <v>222</v>
      </c>
      <c r="B10883" s="163"/>
      <c r="C10883" s="163"/>
      <c r="J10883" s="165"/>
      <c r="K10883" s="166"/>
      <c r="L10883" s="166"/>
    </row>
    <row r="10884">
      <c r="A10884" s="163" t="s">
        <v>222</v>
      </c>
      <c r="B10884" s="163"/>
      <c r="C10884" s="163"/>
      <c r="J10884" s="165"/>
      <c r="K10884" s="166"/>
      <c r="L10884" s="166"/>
    </row>
    <row r="10885">
      <c r="A10885" s="163" t="s">
        <v>222</v>
      </c>
      <c r="B10885" s="163"/>
      <c r="C10885" s="163"/>
      <c r="J10885" s="165"/>
      <c r="K10885" s="166"/>
      <c r="L10885" s="166"/>
    </row>
    <row r="10886">
      <c r="A10886" s="163" t="s">
        <v>222</v>
      </c>
      <c r="B10886" s="163"/>
      <c r="C10886" s="163"/>
      <c r="J10886" s="165"/>
      <c r="K10886" s="166"/>
      <c r="L10886" s="166"/>
    </row>
    <row r="10887">
      <c r="A10887" s="163" t="s">
        <v>222</v>
      </c>
      <c r="B10887" s="163"/>
      <c r="C10887" s="163"/>
      <c r="J10887" s="165"/>
      <c r="K10887" s="166"/>
      <c r="L10887" s="166"/>
    </row>
    <row r="10888">
      <c r="A10888" s="163" t="s">
        <v>222</v>
      </c>
      <c r="B10888" s="163"/>
      <c r="C10888" s="163"/>
      <c r="J10888" s="165"/>
      <c r="K10888" s="166"/>
      <c r="L10888" s="166"/>
    </row>
    <row r="10889">
      <c r="A10889" s="163" t="s">
        <v>222</v>
      </c>
      <c r="B10889" s="163"/>
      <c r="C10889" s="163"/>
      <c r="J10889" s="165"/>
      <c r="K10889" s="166"/>
      <c r="L10889" s="166"/>
    </row>
    <row r="10890">
      <c r="A10890" s="163" t="s">
        <v>222</v>
      </c>
      <c r="B10890" s="163"/>
      <c r="C10890" s="163"/>
      <c r="J10890" s="165"/>
      <c r="K10890" s="166"/>
      <c r="L10890" s="166"/>
    </row>
    <row r="10891">
      <c r="A10891" s="163" t="s">
        <v>222</v>
      </c>
      <c r="B10891" s="163"/>
      <c r="C10891" s="163"/>
      <c r="J10891" s="165"/>
      <c r="K10891" s="166"/>
      <c r="L10891" s="166"/>
    </row>
    <row r="10892">
      <c r="A10892" s="163" t="s">
        <v>222</v>
      </c>
      <c r="B10892" s="163"/>
      <c r="C10892" s="163"/>
      <c r="J10892" s="165"/>
      <c r="K10892" s="166"/>
      <c r="L10892" s="166"/>
    </row>
    <row r="10893">
      <c r="A10893" s="163" t="s">
        <v>222</v>
      </c>
      <c r="B10893" s="163"/>
      <c r="C10893" s="163"/>
      <c r="J10893" s="165"/>
      <c r="K10893" s="166"/>
      <c r="L10893" s="166"/>
    </row>
    <row r="10894">
      <c r="A10894" s="163" t="s">
        <v>222</v>
      </c>
      <c r="B10894" s="163"/>
      <c r="C10894" s="163"/>
      <c r="J10894" s="165"/>
      <c r="K10894" s="166"/>
      <c r="L10894" s="166"/>
    </row>
    <row r="10895">
      <c r="A10895" s="163" t="s">
        <v>222</v>
      </c>
      <c r="B10895" s="163"/>
      <c r="C10895" s="163"/>
      <c r="J10895" s="165"/>
      <c r="K10895" s="166"/>
      <c r="L10895" s="166"/>
    </row>
    <row r="10896">
      <c r="A10896" s="163" t="s">
        <v>222</v>
      </c>
      <c r="B10896" s="163"/>
      <c r="C10896" s="163"/>
      <c r="J10896" s="165"/>
      <c r="K10896" s="166"/>
      <c r="L10896" s="166"/>
    </row>
    <row r="10897">
      <c r="A10897" s="163" t="s">
        <v>222</v>
      </c>
      <c r="B10897" s="163"/>
      <c r="C10897" s="163"/>
      <c r="J10897" s="165"/>
      <c r="K10897" s="166"/>
      <c r="L10897" s="166"/>
    </row>
    <row r="10898">
      <c r="A10898" s="163" t="s">
        <v>222</v>
      </c>
      <c r="B10898" s="163"/>
      <c r="C10898" s="163"/>
      <c r="J10898" s="165"/>
      <c r="K10898" s="166"/>
      <c r="L10898" s="166"/>
    </row>
    <row r="10899">
      <c r="A10899" s="163" t="s">
        <v>222</v>
      </c>
      <c r="B10899" s="163"/>
      <c r="C10899" s="163"/>
      <c r="J10899" s="165"/>
      <c r="K10899" s="166"/>
      <c r="L10899" s="166"/>
    </row>
    <row r="10900">
      <c r="A10900" s="163" t="s">
        <v>222</v>
      </c>
      <c r="B10900" s="163"/>
      <c r="C10900" s="163"/>
      <c r="J10900" s="165"/>
      <c r="K10900" s="166"/>
      <c r="L10900" s="166"/>
    </row>
    <row r="10901">
      <c r="A10901" s="163" t="s">
        <v>222</v>
      </c>
      <c r="B10901" s="163"/>
      <c r="C10901" s="163"/>
      <c r="J10901" s="165"/>
      <c r="K10901" s="166"/>
      <c r="L10901" s="166"/>
    </row>
    <row r="10902">
      <c r="A10902" s="163" t="s">
        <v>222</v>
      </c>
      <c r="B10902" s="163"/>
      <c r="C10902" s="163"/>
      <c r="J10902" s="165"/>
      <c r="K10902" s="166"/>
      <c r="L10902" s="166"/>
    </row>
    <row r="10903">
      <c r="A10903" s="163" t="s">
        <v>222</v>
      </c>
      <c r="B10903" s="163"/>
      <c r="C10903" s="163"/>
      <c r="J10903" s="165"/>
      <c r="K10903" s="166"/>
      <c r="L10903" s="166"/>
    </row>
    <row r="10904">
      <c r="A10904" s="163" t="s">
        <v>222</v>
      </c>
      <c r="B10904" s="163"/>
      <c r="C10904" s="163"/>
      <c r="J10904" s="165"/>
      <c r="K10904" s="166"/>
      <c r="L10904" s="166"/>
    </row>
    <row r="10905">
      <c r="A10905" s="163" t="s">
        <v>222</v>
      </c>
      <c r="B10905" s="163"/>
      <c r="C10905" s="163"/>
      <c r="J10905" s="165"/>
      <c r="K10905" s="166"/>
      <c r="L10905" s="166"/>
    </row>
    <row r="10906">
      <c r="A10906" s="163" t="s">
        <v>222</v>
      </c>
      <c r="B10906" s="163"/>
      <c r="C10906" s="163"/>
      <c r="J10906" s="165"/>
      <c r="K10906" s="166"/>
      <c r="L10906" s="166"/>
    </row>
    <row r="10907">
      <c r="A10907" s="163" t="s">
        <v>222</v>
      </c>
      <c r="B10907" s="163"/>
      <c r="C10907" s="163"/>
      <c r="J10907" s="165"/>
      <c r="K10907" s="166"/>
      <c r="L10907" s="166"/>
    </row>
    <row r="10908">
      <c r="A10908" s="163" t="s">
        <v>222</v>
      </c>
      <c r="B10908" s="163"/>
      <c r="C10908" s="163"/>
      <c r="J10908" s="165"/>
      <c r="K10908" s="166"/>
      <c r="L10908" s="166"/>
    </row>
    <row r="10909">
      <c r="A10909" s="163" t="s">
        <v>222</v>
      </c>
      <c r="B10909" s="163"/>
      <c r="C10909" s="163"/>
      <c r="J10909" s="165"/>
      <c r="K10909" s="166"/>
      <c r="L10909" s="166"/>
    </row>
    <row r="10910">
      <c r="A10910" s="163" t="s">
        <v>222</v>
      </c>
      <c r="B10910" s="163"/>
      <c r="C10910" s="163"/>
      <c r="J10910" s="165"/>
      <c r="K10910" s="166"/>
      <c r="L10910" s="166"/>
    </row>
    <row r="10911">
      <c r="A10911" s="163" t="s">
        <v>222</v>
      </c>
      <c r="B10911" s="163"/>
      <c r="C10911" s="163"/>
      <c r="J10911" s="165"/>
      <c r="K10911" s="166"/>
      <c r="L10911" s="166"/>
    </row>
    <row r="10912">
      <c r="A10912" s="163" t="s">
        <v>222</v>
      </c>
      <c r="B10912" s="163"/>
      <c r="C10912" s="163"/>
      <c r="J10912" s="165"/>
      <c r="K10912" s="166"/>
      <c r="L10912" s="166"/>
    </row>
    <row r="10913">
      <c r="A10913" s="163" t="s">
        <v>222</v>
      </c>
      <c r="B10913" s="163"/>
      <c r="C10913" s="163"/>
      <c r="J10913" s="165"/>
      <c r="K10913" s="166"/>
      <c r="L10913" s="166"/>
    </row>
    <row r="10914">
      <c r="A10914" s="163" t="s">
        <v>222</v>
      </c>
      <c r="B10914" s="163"/>
      <c r="C10914" s="163"/>
      <c r="J10914" s="165"/>
      <c r="K10914" s="166"/>
      <c r="L10914" s="166"/>
    </row>
    <row r="10915">
      <c r="A10915" s="163" t="s">
        <v>222</v>
      </c>
      <c r="B10915" s="163"/>
      <c r="C10915" s="163"/>
      <c r="J10915" s="165"/>
      <c r="K10915" s="166"/>
      <c r="L10915" s="166"/>
    </row>
    <row r="10916">
      <c r="A10916" s="163" t="s">
        <v>222</v>
      </c>
      <c r="B10916" s="163"/>
      <c r="C10916" s="163"/>
      <c r="J10916" s="165"/>
      <c r="K10916" s="166"/>
      <c r="L10916" s="166"/>
    </row>
    <row r="10917">
      <c r="A10917" s="163" t="s">
        <v>222</v>
      </c>
      <c r="B10917" s="163"/>
      <c r="C10917" s="163"/>
      <c r="J10917" s="165"/>
      <c r="K10917" s="166"/>
      <c r="L10917" s="166"/>
    </row>
    <row r="10918">
      <c r="A10918" s="163" t="s">
        <v>222</v>
      </c>
      <c r="B10918" s="163"/>
      <c r="C10918" s="163"/>
      <c r="J10918" s="165"/>
      <c r="K10918" s="166"/>
      <c r="L10918" s="166"/>
    </row>
    <row r="10919">
      <c r="A10919" s="163" t="s">
        <v>222</v>
      </c>
      <c r="B10919" s="163"/>
      <c r="C10919" s="163"/>
      <c r="J10919" s="165"/>
      <c r="K10919" s="166"/>
      <c r="L10919" s="166"/>
    </row>
    <row r="10920">
      <c r="A10920" s="163" t="s">
        <v>222</v>
      </c>
      <c r="B10920" s="163"/>
      <c r="C10920" s="163"/>
      <c r="J10920" s="165"/>
      <c r="K10920" s="166"/>
      <c r="L10920" s="166"/>
    </row>
    <row r="10921">
      <c r="A10921" s="163" t="s">
        <v>222</v>
      </c>
      <c r="B10921" s="163"/>
      <c r="C10921" s="163"/>
      <c r="J10921" s="165"/>
      <c r="K10921" s="166"/>
      <c r="L10921" s="166"/>
    </row>
    <row r="10922">
      <c r="A10922" s="163" t="s">
        <v>222</v>
      </c>
      <c r="B10922" s="163"/>
      <c r="C10922" s="163"/>
      <c r="J10922" s="165"/>
      <c r="K10922" s="166"/>
      <c r="L10922" s="166"/>
    </row>
    <row r="10923">
      <c r="A10923" s="163" t="s">
        <v>222</v>
      </c>
      <c r="B10923" s="163"/>
      <c r="C10923" s="163"/>
      <c r="J10923" s="165"/>
      <c r="K10923" s="166"/>
      <c r="L10923" s="166"/>
    </row>
    <row r="10924">
      <c r="A10924" s="163" t="s">
        <v>222</v>
      </c>
      <c r="B10924" s="163"/>
      <c r="C10924" s="163"/>
      <c r="J10924" s="165"/>
      <c r="K10924" s="166"/>
      <c r="L10924" s="166"/>
    </row>
    <row r="10925">
      <c r="A10925" s="163" t="s">
        <v>222</v>
      </c>
      <c r="B10925" s="163"/>
      <c r="C10925" s="163"/>
      <c r="J10925" s="165"/>
      <c r="K10925" s="166"/>
      <c r="L10925" s="166"/>
    </row>
    <row r="10926">
      <c r="A10926" s="163" t="s">
        <v>222</v>
      </c>
      <c r="B10926" s="163"/>
      <c r="C10926" s="163"/>
      <c r="J10926" s="165"/>
      <c r="K10926" s="166"/>
      <c r="L10926" s="166"/>
    </row>
    <row r="10927">
      <c r="A10927" s="163" t="s">
        <v>222</v>
      </c>
      <c r="B10927" s="163"/>
      <c r="C10927" s="163"/>
      <c r="J10927" s="165"/>
      <c r="K10927" s="166"/>
      <c r="L10927" s="166"/>
    </row>
    <row r="10928">
      <c r="A10928" s="163" t="s">
        <v>222</v>
      </c>
      <c r="B10928" s="163"/>
      <c r="C10928" s="163"/>
      <c r="J10928" s="165"/>
      <c r="K10928" s="166"/>
      <c r="L10928" s="166"/>
    </row>
    <row r="10929">
      <c r="A10929" s="163" t="s">
        <v>222</v>
      </c>
      <c r="B10929" s="163"/>
      <c r="C10929" s="163"/>
      <c r="J10929" s="165"/>
      <c r="K10929" s="166"/>
      <c r="L10929" s="166"/>
    </row>
    <row r="10930">
      <c r="A10930" s="163" t="s">
        <v>222</v>
      </c>
      <c r="B10930" s="163"/>
      <c r="C10930" s="163"/>
      <c r="J10930" s="165"/>
      <c r="K10930" s="166"/>
      <c r="L10930" s="166"/>
    </row>
    <row r="10931">
      <c r="A10931" s="163" t="s">
        <v>222</v>
      </c>
      <c r="B10931" s="163"/>
      <c r="C10931" s="163"/>
      <c r="J10931" s="165"/>
      <c r="K10931" s="166"/>
      <c r="L10931" s="166"/>
    </row>
    <row r="10932">
      <c r="A10932" s="163" t="s">
        <v>222</v>
      </c>
      <c r="B10932" s="163"/>
      <c r="C10932" s="163"/>
      <c r="J10932" s="165"/>
      <c r="K10932" s="166"/>
      <c r="L10932" s="166"/>
    </row>
    <row r="10933">
      <c r="A10933" s="163" t="s">
        <v>222</v>
      </c>
      <c r="B10933" s="163"/>
      <c r="C10933" s="163"/>
      <c r="J10933" s="165"/>
      <c r="K10933" s="166"/>
      <c r="L10933" s="166"/>
    </row>
    <row r="10934">
      <c r="A10934" s="163" t="s">
        <v>222</v>
      </c>
      <c r="B10934" s="163"/>
      <c r="C10934" s="163"/>
      <c r="J10934" s="165"/>
      <c r="K10934" s="166"/>
      <c r="L10934" s="166"/>
    </row>
    <row r="10935">
      <c r="A10935" s="163" t="s">
        <v>222</v>
      </c>
      <c r="B10935" s="163"/>
      <c r="C10935" s="163"/>
      <c r="J10935" s="165"/>
      <c r="K10935" s="166"/>
      <c r="L10935" s="166"/>
    </row>
    <row r="10936">
      <c r="A10936" s="163" t="s">
        <v>222</v>
      </c>
      <c r="B10936" s="163"/>
      <c r="C10936" s="163"/>
      <c r="J10936" s="165"/>
      <c r="K10936" s="166"/>
      <c r="L10936" s="166"/>
    </row>
    <row r="10937">
      <c r="A10937" s="163" t="s">
        <v>222</v>
      </c>
      <c r="B10937" s="163"/>
      <c r="C10937" s="163"/>
      <c r="J10937" s="165"/>
      <c r="K10937" s="166"/>
      <c r="L10937" s="166"/>
    </row>
    <row r="10938">
      <c r="A10938" s="163" t="s">
        <v>222</v>
      </c>
      <c r="B10938" s="163"/>
      <c r="C10938" s="163"/>
      <c r="J10938" s="165"/>
      <c r="K10938" s="166"/>
      <c r="L10938" s="166"/>
    </row>
    <row r="10939">
      <c r="A10939" s="163" t="s">
        <v>222</v>
      </c>
      <c r="B10939" s="163"/>
      <c r="C10939" s="163"/>
      <c r="J10939" s="165"/>
      <c r="K10939" s="166"/>
      <c r="L10939" s="166"/>
    </row>
    <row r="10940">
      <c r="A10940" s="163" t="s">
        <v>222</v>
      </c>
      <c r="B10940" s="163"/>
      <c r="C10940" s="163"/>
      <c r="J10940" s="165"/>
      <c r="K10940" s="166"/>
      <c r="L10940" s="166"/>
    </row>
    <row r="10941">
      <c r="A10941" s="163" t="s">
        <v>222</v>
      </c>
      <c r="B10941" s="163"/>
      <c r="C10941" s="163"/>
      <c r="J10941" s="165"/>
      <c r="K10941" s="166"/>
      <c r="L10941" s="166"/>
    </row>
    <row r="10942">
      <c r="A10942" s="163" t="s">
        <v>222</v>
      </c>
      <c r="B10942" s="163"/>
      <c r="C10942" s="163"/>
      <c r="J10942" s="165"/>
      <c r="K10942" s="166"/>
      <c r="L10942" s="166"/>
    </row>
    <row r="10943">
      <c r="A10943" s="163" t="s">
        <v>222</v>
      </c>
      <c r="B10943" s="163"/>
      <c r="C10943" s="163"/>
      <c r="J10943" s="165"/>
      <c r="K10943" s="166"/>
      <c r="L10943" s="166"/>
    </row>
    <row r="10944">
      <c r="A10944" s="163" t="s">
        <v>222</v>
      </c>
      <c r="B10944" s="163"/>
      <c r="C10944" s="163"/>
      <c r="J10944" s="165"/>
      <c r="K10944" s="166"/>
      <c r="L10944" s="166"/>
    </row>
    <row r="10945">
      <c r="A10945" s="163" t="s">
        <v>222</v>
      </c>
      <c r="B10945" s="163"/>
      <c r="C10945" s="163"/>
      <c r="J10945" s="165"/>
      <c r="K10945" s="166"/>
      <c r="L10945" s="166"/>
    </row>
    <row r="10946">
      <c r="A10946" s="163" t="s">
        <v>222</v>
      </c>
      <c r="B10946" s="163"/>
      <c r="C10946" s="163"/>
      <c r="J10946" s="165"/>
      <c r="K10946" s="166"/>
      <c r="L10946" s="166"/>
    </row>
    <row r="10947">
      <c r="A10947" s="163" t="s">
        <v>222</v>
      </c>
      <c r="B10947" s="163"/>
      <c r="C10947" s="163"/>
      <c r="J10947" s="165"/>
      <c r="K10947" s="166"/>
      <c r="L10947" s="166"/>
    </row>
    <row r="10948">
      <c r="A10948" s="163" t="s">
        <v>222</v>
      </c>
      <c r="B10948" s="163"/>
      <c r="C10948" s="163"/>
      <c r="J10948" s="165"/>
      <c r="K10948" s="166"/>
      <c r="L10948" s="166"/>
    </row>
    <row r="10949">
      <c r="A10949" s="163" t="s">
        <v>222</v>
      </c>
      <c r="B10949" s="163"/>
      <c r="C10949" s="163"/>
      <c r="J10949" s="165"/>
      <c r="K10949" s="166"/>
      <c r="L10949" s="166"/>
    </row>
    <row r="10950">
      <c r="A10950" s="163" t="s">
        <v>222</v>
      </c>
      <c r="B10950" s="163"/>
      <c r="C10950" s="163"/>
      <c r="J10950" s="165"/>
      <c r="K10950" s="166"/>
      <c r="L10950" s="166"/>
    </row>
    <row r="10951">
      <c r="A10951" s="163" t="s">
        <v>222</v>
      </c>
      <c r="B10951" s="163"/>
      <c r="C10951" s="163"/>
      <c r="J10951" s="165"/>
      <c r="K10951" s="166"/>
      <c r="L10951" s="166"/>
    </row>
    <row r="10952">
      <c r="A10952" s="163" t="s">
        <v>222</v>
      </c>
      <c r="B10952" s="163"/>
      <c r="C10952" s="163"/>
      <c r="J10952" s="165"/>
      <c r="K10952" s="166"/>
      <c r="L10952" s="166"/>
    </row>
    <row r="10953">
      <c r="A10953" s="163" t="s">
        <v>222</v>
      </c>
      <c r="B10953" s="163"/>
      <c r="C10953" s="163"/>
      <c r="J10953" s="165"/>
      <c r="K10953" s="166"/>
      <c r="L10953" s="166"/>
    </row>
    <row r="10954">
      <c r="A10954" s="163" t="s">
        <v>222</v>
      </c>
      <c r="B10954" s="163"/>
      <c r="C10954" s="163"/>
      <c r="J10954" s="165"/>
      <c r="K10954" s="166"/>
      <c r="L10954" s="166"/>
    </row>
    <row r="10955">
      <c r="A10955" s="163" t="s">
        <v>222</v>
      </c>
      <c r="B10955" s="163"/>
      <c r="C10955" s="163"/>
      <c r="J10955" s="165"/>
      <c r="K10955" s="166"/>
      <c r="L10955" s="166"/>
    </row>
    <row r="10956">
      <c r="A10956" s="163" t="s">
        <v>222</v>
      </c>
      <c r="B10956" s="163"/>
      <c r="C10956" s="163"/>
      <c r="J10956" s="165"/>
      <c r="K10956" s="166"/>
      <c r="L10956" s="166"/>
    </row>
    <row r="10957">
      <c r="A10957" s="163" t="s">
        <v>222</v>
      </c>
      <c r="B10957" s="163"/>
      <c r="C10957" s="163"/>
      <c r="J10957" s="165"/>
      <c r="K10957" s="166"/>
      <c r="L10957" s="166"/>
    </row>
    <row r="10958">
      <c r="A10958" s="163" t="s">
        <v>222</v>
      </c>
      <c r="B10958" s="163"/>
      <c r="C10958" s="163"/>
      <c r="J10958" s="165"/>
      <c r="K10958" s="166"/>
      <c r="L10958" s="166"/>
    </row>
    <row r="10959">
      <c r="A10959" s="163" t="s">
        <v>222</v>
      </c>
      <c r="B10959" s="163"/>
      <c r="C10959" s="163"/>
      <c r="J10959" s="165"/>
      <c r="K10959" s="166"/>
      <c r="L10959" s="166"/>
    </row>
    <row r="10960">
      <c r="A10960" s="163" t="s">
        <v>222</v>
      </c>
      <c r="B10960" s="163"/>
      <c r="C10960" s="163"/>
      <c r="J10960" s="165"/>
      <c r="K10960" s="166"/>
      <c r="L10960" s="166"/>
    </row>
    <row r="10961">
      <c r="A10961" s="163" t="s">
        <v>222</v>
      </c>
      <c r="B10961" s="163"/>
      <c r="C10961" s="163"/>
      <c r="J10961" s="165"/>
      <c r="K10961" s="166"/>
      <c r="L10961" s="166"/>
    </row>
    <row r="10962">
      <c r="A10962" s="163" t="s">
        <v>222</v>
      </c>
      <c r="B10962" s="163"/>
      <c r="C10962" s="163"/>
      <c r="J10962" s="165"/>
      <c r="K10962" s="166"/>
      <c r="L10962" s="166"/>
    </row>
    <row r="10963">
      <c r="A10963" s="163" t="s">
        <v>222</v>
      </c>
      <c r="B10963" s="163"/>
      <c r="C10963" s="163"/>
      <c r="J10963" s="165"/>
      <c r="K10963" s="166"/>
      <c r="L10963" s="166"/>
    </row>
    <row r="10964">
      <c r="A10964" s="163" t="s">
        <v>222</v>
      </c>
      <c r="B10964" s="163"/>
      <c r="C10964" s="163"/>
      <c r="J10964" s="165"/>
      <c r="K10964" s="166"/>
      <c r="L10964" s="166"/>
    </row>
    <row r="10965">
      <c r="A10965" s="163" t="s">
        <v>222</v>
      </c>
      <c r="B10965" s="163"/>
      <c r="C10965" s="163"/>
      <c r="J10965" s="165"/>
      <c r="K10965" s="166"/>
      <c r="L10965" s="166"/>
    </row>
    <row r="10966">
      <c r="A10966" s="163" t="s">
        <v>222</v>
      </c>
      <c r="B10966" s="163"/>
      <c r="C10966" s="163"/>
      <c r="J10966" s="165"/>
      <c r="K10966" s="166"/>
      <c r="L10966" s="166"/>
    </row>
    <row r="10967">
      <c r="A10967" s="163" t="s">
        <v>222</v>
      </c>
      <c r="B10967" s="163"/>
      <c r="C10967" s="163"/>
      <c r="J10967" s="165"/>
      <c r="K10967" s="166"/>
      <c r="L10967" s="166"/>
    </row>
    <row r="10968">
      <c r="A10968" s="163" t="s">
        <v>222</v>
      </c>
      <c r="B10968" s="163"/>
      <c r="C10968" s="163"/>
      <c r="J10968" s="165"/>
      <c r="K10968" s="166"/>
      <c r="L10968" s="166"/>
    </row>
    <row r="10969">
      <c r="A10969" s="163" t="s">
        <v>222</v>
      </c>
      <c r="B10969" s="163"/>
      <c r="C10969" s="163"/>
      <c r="J10969" s="165"/>
      <c r="K10969" s="166"/>
      <c r="L10969" s="166"/>
    </row>
    <row r="10970">
      <c r="A10970" s="163" t="s">
        <v>222</v>
      </c>
      <c r="B10970" s="163"/>
      <c r="C10970" s="163"/>
      <c r="J10970" s="165"/>
      <c r="K10970" s="166"/>
      <c r="L10970" s="166"/>
    </row>
    <row r="10971">
      <c r="A10971" s="163" t="s">
        <v>222</v>
      </c>
      <c r="B10971" s="163"/>
      <c r="C10971" s="163"/>
      <c r="J10971" s="165"/>
      <c r="K10971" s="166"/>
      <c r="L10971" s="166"/>
    </row>
    <row r="10972">
      <c r="A10972" s="163" t="s">
        <v>222</v>
      </c>
      <c r="B10972" s="163"/>
      <c r="C10972" s="163"/>
      <c r="J10972" s="165"/>
      <c r="K10972" s="166"/>
      <c r="L10972" s="166"/>
    </row>
    <row r="10973">
      <c r="A10973" s="163" t="s">
        <v>222</v>
      </c>
      <c r="B10973" s="163"/>
      <c r="C10973" s="163"/>
      <c r="J10973" s="165"/>
      <c r="K10973" s="166"/>
      <c r="L10973" s="166"/>
    </row>
    <row r="10974">
      <c r="A10974" s="163" t="s">
        <v>222</v>
      </c>
      <c r="B10974" s="163"/>
      <c r="C10974" s="163"/>
      <c r="J10974" s="165"/>
      <c r="K10974" s="166"/>
      <c r="L10974" s="166"/>
    </row>
    <row r="10975">
      <c r="A10975" s="163" t="s">
        <v>222</v>
      </c>
      <c r="B10975" s="163"/>
      <c r="C10975" s="163"/>
      <c r="J10975" s="165"/>
      <c r="K10975" s="166"/>
      <c r="L10975" s="166"/>
    </row>
    <row r="10976">
      <c r="A10976" s="163" t="s">
        <v>222</v>
      </c>
      <c r="B10976" s="163"/>
      <c r="C10976" s="163"/>
      <c r="J10976" s="165"/>
      <c r="K10976" s="166"/>
      <c r="L10976" s="166"/>
    </row>
    <row r="10977">
      <c r="A10977" s="163" t="s">
        <v>222</v>
      </c>
      <c r="B10977" s="163"/>
      <c r="C10977" s="163"/>
      <c r="J10977" s="165"/>
      <c r="K10977" s="166"/>
      <c r="L10977" s="166"/>
    </row>
    <row r="10978">
      <c r="A10978" s="163" t="s">
        <v>222</v>
      </c>
      <c r="B10978" s="163"/>
      <c r="C10978" s="163"/>
      <c r="J10978" s="165"/>
      <c r="K10978" s="166"/>
      <c r="L10978" s="166"/>
    </row>
    <row r="10979">
      <c r="A10979" s="163" t="s">
        <v>222</v>
      </c>
      <c r="B10979" s="163"/>
      <c r="C10979" s="163"/>
      <c r="J10979" s="165"/>
      <c r="K10979" s="166"/>
      <c r="L10979" s="166"/>
    </row>
    <row r="10980">
      <c r="A10980" s="163" t="s">
        <v>222</v>
      </c>
      <c r="B10980" s="163"/>
      <c r="C10980" s="163"/>
      <c r="J10980" s="165"/>
      <c r="K10980" s="166"/>
      <c r="L10980" s="166"/>
    </row>
    <row r="10981">
      <c r="A10981" s="163" t="s">
        <v>222</v>
      </c>
      <c r="B10981" s="163"/>
      <c r="C10981" s="163"/>
      <c r="J10981" s="165"/>
      <c r="K10981" s="166"/>
      <c r="L10981" s="166"/>
    </row>
    <row r="10982">
      <c r="A10982" s="163" t="s">
        <v>222</v>
      </c>
      <c r="B10982" s="163"/>
      <c r="C10982" s="163"/>
      <c r="J10982" s="165"/>
      <c r="K10982" s="166"/>
      <c r="L10982" s="166"/>
    </row>
    <row r="10983">
      <c r="A10983" s="163" t="s">
        <v>222</v>
      </c>
      <c r="B10983" s="163"/>
      <c r="C10983" s="163"/>
      <c r="J10983" s="165"/>
      <c r="K10983" s="166"/>
      <c r="L10983" s="166"/>
    </row>
    <row r="10984">
      <c r="A10984" s="163" t="s">
        <v>222</v>
      </c>
      <c r="B10984" s="163"/>
      <c r="C10984" s="163"/>
      <c r="J10984" s="165"/>
      <c r="K10984" s="166"/>
      <c r="L10984" s="166"/>
    </row>
    <row r="10985">
      <c r="A10985" s="163" t="s">
        <v>222</v>
      </c>
      <c r="B10985" s="163"/>
      <c r="C10985" s="163"/>
      <c r="J10985" s="165"/>
      <c r="K10985" s="166"/>
      <c r="L10985" s="166"/>
    </row>
    <row r="10986">
      <c r="A10986" s="163" t="s">
        <v>222</v>
      </c>
      <c r="B10986" s="163"/>
      <c r="C10986" s="163"/>
      <c r="J10986" s="165"/>
      <c r="K10986" s="166"/>
      <c r="L10986" s="166"/>
    </row>
    <row r="10987">
      <c r="A10987" s="163" t="s">
        <v>222</v>
      </c>
      <c r="B10987" s="163"/>
      <c r="C10987" s="163"/>
      <c r="J10987" s="165"/>
      <c r="K10987" s="166"/>
      <c r="L10987" s="166"/>
    </row>
    <row r="10988">
      <c r="A10988" s="163" t="s">
        <v>222</v>
      </c>
      <c r="B10988" s="163"/>
      <c r="C10988" s="163"/>
      <c r="J10988" s="165"/>
      <c r="K10988" s="166"/>
      <c r="L10988" s="166"/>
    </row>
    <row r="10989">
      <c r="A10989" s="163" t="s">
        <v>222</v>
      </c>
      <c r="B10989" s="163"/>
      <c r="C10989" s="163"/>
      <c r="J10989" s="165"/>
      <c r="K10989" s="166"/>
      <c r="L10989" s="166"/>
    </row>
    <row r="10990">
      <c r="A10990" s="163" t="s">
        <v>222</v>
      </c>
      <c r="B10990" s="163"/>
      <c r="C10990" s="163"/>
      <c r="J10990" s="165"/>
      <c r="K10990" s="166"/>
      <c r="L10990" s="166"/>
    </row>
    <row r="10991">
      <c r="A10991" s="163" t="s">
        <v>222</v>
      </c>
      <c r="B10991" s="163"/>
      <c r="C10991" s="163"/>
      <c r="J10991" s="165"/>
      <c r="K10991" s="166"/>
      <c r="L10991" s="166"/>
    </row>
    <row r="10992">
      <c r="A10992" s="163" t="s">
        <v>222</v>
      </c>
      <c r="B10992" s="163"/>
      <c r="C10992" s="163"/>
      <c r="J10992" s="165"/>
      <c r="K10992" s="166"/>
      <c r="L10992" s="166"/>
    </row>
    <row r="10993">
      <c r="A10993" s="163" t="s">
        <v>222</v>
      </c>
      <c r="B10993" s="163"/>
      <c r="C10993" s="163"/>
      <c r="J10993" s="165"/>
      <c r="K10993" s="166"/>
      <c r="L10993" s="166"/>
    </row>
    <row r="10994">
      <c r="A10994" s="163" t="s">
        <v>222</v>
      </c>
      <c r="B10994" s="163"/>
      <c r="C10994" s="163"/>
      <c r="J10994" s="165"/>
      <c r="K10994" s="166"/>
      <c r="L10994" s="166"/>
    </row>
    <row r="10995">
      <c r="A10995" s="163" t="s">
        <v>222</v>
      </c>
      <c r="B10995" s="163"/>
      <c r="C10995" s="163"/>
      <c r="J10995" s="165"/>
      <c r="K10995" s="166"/>
      <c r="L10995" s="166"/>
    </row>
    <row r="10996">
      <c r="A10996" s="163" t="s">
        <v>222</v>
      </c>
      <c r="B10996" s="163"/>
      <c r="C10996" s="163"/>
      <c r="J10996" s="165"/>
      <c r="K10996" s="166"/>
      <c r="L10996" s="166"/>
    </row>
    <row r="10997">
      <c r="A10997" s="163" t="s">
        <v>222</v>
      </c>
      <c r="B10997" s="163"/>
      <c r="C10997" s="163"/>
      <c r="J10997" s="165"/>
      <c r="K10997" s="166"/>
      <c r="L10997" s="166"/>
    </row>
    <row r="10998">
      <c r="A10998" s="163" t="s">
        <v>222</v>
      </c>
      <c r="B10998" s="163"/>
      <c r="C10998" s="163"/>
      <c r="J10998" s="165"/>
      <c r="K10998" s="166"/>
      <c r="L10998" s="166"/>
    </row>
    <row r="10999">
      <c r="A10999" s="163" t="s">
        <v>222</v>
      </c>
      <c r="B10999" s="163"/>
      <c r="C10999" s="163"/>
      <c r="J10999" s="165"/>
      <c r="K10999" s="166"/>
      <c r="L10999" s="166"/>
    </row>
    <row r="11000">
      <c r="A11000" s="163" t="s">
        <v>222</v>
      </c>
      <c r="B11000" s="163"/>
      <c r="C11000" s="163"/>
      <c r="J11000" s="165"/>
      <c r="K11000" s="166"/>
      <c r="L11000" s="166"/>
    </row>
    <row r="11001">
      <c r="A11001" s="163" t="s">
        <v>222</v>
      </c>
      <c r="B11001" s="163"/>
      <c r="C11001" s="163"/>
      <c r="J11001" s="165"/>
      <c r="K11001" s="166"/>
      <c r="L11001" s="166"/>
    </row>
    <row r="11002">
      <c r="A11002" s="163" t="s">
        <v>222</v>
      </c>
      <c r="B11002" s="163"/>
      <c r="C11002" s="163"/>
      <c r="J11002" s="165"/>
      <c r="K11002" s="166"/>
      <c r="L11002" s="166"/>
    </row>
    <row r="11003">
      <c r="A11003" s="163" t="s">
        <v>222</v>
      </c>
      <c r="B11003" s="163"/>
      <c r="C11003" s="163"/>
      <c r="J11003" s="165"/>
      <c r="K11003" s="166"/>
      <c r="L11003" s="166"/>
    </row>
    <row r="11004">
      <c r="A11004" s="163" t="s">
        <v>222</v>
      </c>
      <c r="B11004" s="163"/>
      <c r="C11004" s="163"/>
      <c r="J11004" s="165"/>
      <c r="K11004" s="166"/>
      <c r="L11004" s="166"/>
    </row>
    <row r="11005">
      <c r="A11005" s="163" t="s">
        <v>222</v>
      </c>
      <c r="B11005" s="163"/>
      <c r="C11005" s="163"/>
      <c r="J11005" s="165"/>
      <c r="K11005" s="166"/>
      <c r="L11005" s="166"/>
    </row>
    <row r="11006">
      <c r="A11006" s="163" t="s">
        <v>222</v>
      </c>
      <c r="B11006" s="163"/>
      <c r="C11006" s="163"/>
      <c r="J11006" s="165"/>
      <c r="K11006" s="166"/>
      <c r="L11006" s="166"/>
    </row>
    <row r="11007">
      <c r="A11007" s="163" t="s">
        <v>222</v>
      </c>
      <c r="B11007" s="163"/>
      <c r="C11007" s="163"/>
      <c r="J11007" s="165"/>
      <c r="K11007" s="166"/>
      <c r="L11007" s="166"/>
    </row>
    <row r="11008">
      <c r="A11008" s="163" t="s">
        <v>222</v>
      </c>
      <c r="B11008" s="163"/>
      <c r="C11008" s="163"/>
      <c r="J11008" s="165"/>
      <c r="K11008" s="166"/>
      <c r="L11008" s="166"/>
    </row>
    <row r="11009">
      <c r="A11009" s="163" t="s">
        <v>222</v>
      </c>
      <c r="B11009" s="163"/>
      <c r="C11009" s="163"/>
      <c r="J11009" s="165"/>
      <c r="K11009" s="166"/>
      <c r="L11009" s="166"/>
    </row>
    <row r="11010">
      <c r="A11010" s="163" t="s">
        <v>222</v>
      </c>
      <c r="B11010" s="163"/>
      <c r="C11010" s="163"/>
      <c r="J11010" s="165"/>
      <c r="K11010" s="166"/>
      <c r="L11010" s="166"/>
    </row>
    <row r="11011">
      <c r="A11011" s="163" t="s">
        <v>222</v>
      </c>
      <c r="B11011" s="163"/>
      <c r="C11011" s="163"/>
      <c r="J11011" s="165"/>
      <c r="K11011" s="166"/>
      <c r="L11011" s="166"/>
    </row>
    <row r="11012">
      <c r="A11012" s="163" t="s">
        <v>222</v>
      </c>
      <c r="B11012" s="163"/>
      <c r="C11012" s="163"/>
      <c r="J11012" s="165"/>
      <c r="K11012" s="166"/>
      <c r="L11012" s="166"/>
    </row>
    <row r="11013">
      <c r="A11013" s="163" t="s">
        <v>222</v>
      </c>
      <c r="B11013" s="163"/>
      <c r="C11013" s="163"/>
      <c r="J11013" s="165"/>
      <c r="K11013" s="166"/>
      <c r="L11013" s="166"/>
    </row>
    <row r="11014">
      <c r="A11014" s="163" t="s">
        <v>222</v>
      </c>
      <c r="B11014" s="163"/>
      <c r="C11014" s="163"/>
      <c r="J11014" s="165"/>
      <c r="K11014" s="166"/>
      <c r="L11014" s="166"/>
    </row>
    <row r="11015">
      <c r="A11015" s="163" t="s">
        <v>222</v>
      </c>
      <c r="B11015" s="163"/>
      <c r="C11015" s="163"/>
      <c r="J11015" s="165"/>
      <c r="K11015" s="166"/>
      <c r="L11015" s="166"/>
    </row>
    <row r="11016">
      <c r="A11016" s="163" t="s">
        <v>222</v>
      </c>
      <c r="B11016" s="163"/>
      <c r="C11016" s="163"/>
      <c r="J11016" s="165"/>
      <c r="K11016" s="166"/>
      <c r="L11016" s="166"/>
    </row>
    <row r="11017">
      <c r="A11017" s="163" t="s">
        <v>222</v>
      </c>
      <c r="B11017" s="163"/>
      <c r="C11017" s="163"/>
      <c r="J11017" s="165"/>
      <c r="K11017" s="166"/>
      <c r="L11017" s="166"/>
    </row>
    <row r="11018">
      <c r="A11018" s="163" t="s">
        <v>222</v>
      </c>
      <c r="B11018" s="163"/>
      <c r="C11018" s="163"/>
      <c r="J11018" s="165"/>
      <c r="K11018" s="166"/>
      <c r="L11018" s="166"/>
    </row>
    <row r="11019">
      <c r="A11019" s="163" t="s">
        <v>222</v>
      </c>
      <c r="B11019" s="163"/>
      <c r="C11019" s="163"/>
      <c r="J11019" s="165"/>
      <c r="K11019" s="166"/>
      <c r="L11019" s="166"/>
    </row>
    <row r="11020">
      <c r="A11020" s="163" t="s">
        <v>222</v>
      </c>
      <c r="B11020" s="163"/>
      <c r="C11020" s="163"/>
      <c r="J11020" s="165"/>
      <c r="K11020" s="166"/>
      <c r="L11020" s="166"/>
    </row>
    <row r="11021">
      <c r="A11021" s="163" t="s">
        <v>222</v>
      </c>
      <c r="B11021" s="163"/>
      <c r="C11021" s="163"/>
      <c r="J11021" s="165"/>
      <c r="K11021" s="166"/>
      <c r="L11021" s="166"/>
    </row>
    <row r="11022">
      <c r="A11022" s="163" t="s">
        <v>222</v>
      </c>
      <c r="B11022" s="163"/>
      <c r="C11022" s="163"/>
      <c r="J11022" s="165"/>
      <c r="K11022" s="166"/>
      <c r="L11022" s="166"/>
    </row>
    <row r="11023">
      <c r="A11023" s="163" t="s">
        <v>222</v>
      </c>
      <c r="B11023" s="163"/>
      <c r="C11023" s="163"/>
      <c r="J11023" s="165"/>
      <c r="K11023" s="166"/>
      <c r="L11023" s="166"/>
    </row>
    <row r="11024">
      <c r="A11024" s="163" t="s">
        <v>222</v>
      </c>
      <c r="B11024" s="163"/>
      <c r="C11024" s="163"/>
      <c r="J11024" s="165"/>
      <c r="K11024" s="166"/>
      <c r="L11024" s="166"/>
    </row>
    <row r="11025">
      <c r="A11025" s="163" t="s">
        <v>222</v>
      </c>
      <c r="B11025" s="163"/>
      <c r="C11025" s="163"/>
      <c r="J11025" s="165"/>
      <c r="K11025" s="166"/>
      <c r="L11025" s="166"/>
    </row>
    <row r="11026">
      <c r="A11026" s="163" t="s">
        <v>222</v>
      </c>
      <c r="B11026" s="163"/>
      <c r="C11026" s="163"/>
      <c r="J11026" s="165"/>
      <c r="K11026" s="166"/>
      <c r="L11026" s="166"/>
    </row>
    <row r="11027">
      <c r="A11027" s="163" t="s">
        <v>222</v>
      </c>
      <c r="B11027" s="163"/>
      <c r="C11027" s="163"/>
      <c r="J11027" s="165"/>
      <c r="K11027" s="166"/>
      <c r="L11027" s="166"/>
    </row>
    <row r="11028">
      <c r="A11028" s="163" t="s">
        <v>222</v>
      </c>
      <c r="B11028" s="163"/>
      <c r="C11028" s="163"/>
      <c r="J11028" s="165"/>
      <c r="K11028" s="166"/>
      <c r="L11028" s="166"/>
    </row>
    <row r="11029">
      <c r="A11029" s="163" t="s">
        <v>222</v>
      </c>
      <c r="B11029" s="163"/>
      <c r="C11029" s="163"/>
      <c r="J11029" s="165"/>
      <c r="K11029" s="166"/>
      <c r="L11029" s="166"/>
    </row>
    <row r="11030">
      <c r="A11030" s="163" t="s">
        <v>222</v>
      </c>
      <c r="B11030" s="163"/>
      <c r="C11030" s="163"/>
      <c r="J11030" s="165"/>
      <c r="K11030" s="166"/>
      <c r="L11030" s="166"/>
    </row>
    <row r="11031">
      <c r="A11031" s="163" t="s">
        <v>222</v>
      </c>
      <c r="B11031" s="163"/>
      <c r="C11031" s="163"/>
      <c r="J11031" s="165"/>
      <c r="K11031" s="166"/>
      <c r="L11031" s="166"/>
    </row>
    <row r="11032">
      <c r="A11032" s="163" t="s">
        <v>222</v>
      </c>
      <c r="B11032" s="163"/>
      <c r="C11032" s="163"/>
      <c r="J11032" s="165"/>
      <c r="K11032" s="166"/>
      <c r="L11032" s="166"/>
    </row>
    <row r="11033">
      <c r="A11033" s="163" t="s">
        <v>222</v>
      </c>
      <c r="B11033" s="163"/>
      <c r="C11033" s="163"/>
      <c r="J11033" s="165"/>
      <c r="K11033" s="166"/>
      <c r="L11033" s="166"/>
    </row>
    <row r="11034">
      <c r="A11034" s="163" t="s">
        <v>222</v>
      </c>
      <c r="B11034" s="163"/>
      <c r="C11034" s="163"/>
      <c r="J11034" s="165"/>
      <c r="K11034" s="166"/>
      <c r="L11034" s="166"/>
    </row>
    <row r="11035">
      <c r="A11035" s="163" t="s">
        <v>222</v>
      </c>
      <c r="B11035" s="163"/>
      <c r="C11035" s="163"/>
      <c r="J11035" s="165"/>
      <c r="K11035" s="166"/>
      <c r="L11035" s="166"/>
    </row>
    <row r="11036">
      <c r="A11036" s="163" t="s">
        <v>222</v>
      </c>
      <c r="B11036" s="163"/>
      <c r="C11036" s="163"/>
      <c r="J11036" s="165"/>
      <c r="K11036" s="166"/>
      <c r="L11036" s="166"/>
    </row>
    <row r="11037">
      <c r="A11037" s="163" t="s">
        <v>222</v>
      </c>
      <c r="B11037" s="163"/>
      <c r="C11037" s="163"/>
      <c r="J11037" s="165"/>
      <c r="K11037" s="166"/>
      <c r="L11037" s="166"/>
    </row>
    <row r="11038">
      <c r="A11038" s="163" t="s">
        <v>222</v>
      </c>
      <c r="B11038" s="163"/>
      <c r="C11038" s="163"/>
      <c r="J11038" s="165"/>
      <c r="K11038" s="166"/>
      <c r="L11038" s="166"/>
    </row>
    <row r="11039">
      <c r="A11039" s="163" t="s">
        <v>222</v>
      </c>
      <c r="B11039" s="163"/>
      <c r="C11039" s="163"/>
      <c r="J11039" s="165"/>
      <c r="K11039" s="166"/>
      <c r="L11039" s="166"/>
    </row>
    <row r="11040">
      <c r="A11040" s="163" t="s">
        <v>222</v>
      </c>
      <c r="B11040" s="163"/>
      <c r="C11040" s="163"/>
      <c r="J11040" s="165"/>
      <c r="K11040" s="166"/>
      <c r="L11040" s="166"/>
    </row>
    <row r="11041">
      <c r="A11041" s="163" t="s">
        <v>222</v>
      </c>
      <c r="B11041" s="163"/>
      <c r="C11041" s="163"/>
      <c r="J11041" s="165"/>
      <c r="K11041" s="166"/>
      <c r="L11041" s="166"/>
    </row>
    <row r="11042">
      <c r="A11042" s="163" t="s">
        <v>222</v>
      </c>
      <c r="B11042" s="163"/>
      <c r="C11042" s="163"/>
      <c r="J11042" s="165"/>
      <c r="K11042" s="166"/>
      <c r="L11042" s="166"/>
    </row>
    <row r="11043">
      <c r="A11043" s="163" t="s">
        <v>222</v>
      </c>
      <c r="B11043" s="163"/>
      <c r="C11043" s="163"/>
      <c r="J11043" s="165"/>
      <c r="K11043" s="166"/>
      <c r="L11043" s="166"/>
    </row>
    <row r="11044">
      <c r="A11044" s="163" t="s">
        <v>222</v>
      </c>
      <c r="B11044" s="163"/>
      <c r="C11044" s="163"/>
      <c r="J11044" s="165"/>
      <c r="K11044" s="166"/>
      <c r="L11044" s="166"/>
    </row>
    <row r="11045">
      <c r="A11045" s="163" t="s">
        <v>222</v>
      </c>
      <c r="B11045" s="163"/>
      <c r="C11045" s="163"/>
      <c r="J11045" s="165"/>
      <c r="K11045" s="166"/>
      <c r="L11045" s="166"/>
    </row>
    <row r="11046">
      <c r="A11046" s="163" t="s">
        <v>222</v>
      </c>
      <c r="B11046" s="163"/>
      <c r="C11046" s="163"/>
      <c r="J11046" s="165"/>
      <c r="K11046" s="166"/>
      <c r="L11046" s="166"/>
    </row>
    <row r="11047">
      <c r="A11047" s="163" t="s">
        <v>222</v>
      </c>
      <c r="B11047" s="163"/>
      <c r="C11047" s="163"/>
      <c r="J11047" s="165"/>
      <c r="K11047" s="166"/>
      <c r="L11047" s="166"/>
    </row>
    <row r="11048">
      <c r="A11048" s="163" t="s">
        <v>222</v>
      </c>
      <c r="B11048" s="163"/>
      <c r="C11048" s="163"/>
      <c r="J11048" s="165"/>
      <c r="K11048" s="166"/>
      <c r="L11048" s="166"/>
    </row>
    <row r="11049">
      <c r="A11049" s="163" t="s">
        <v>222</v>
      </c>
      <c r="B11049" s="163"/>
      <c r="C11049" s="163"/>
      <c r="J11049" s="165"/>
      <c r="K11049" s="166"/>
      <c r="L11049" s="166"/>
    </row>
    <row r="11050">
      <c r="A11050" s="163" t="s">
        <v>222</v>
      </c>
      <c r="B11050" s="163"/>
      <c r="C11050" s="163"/>
      <c r="J11050" s="165"/>
      <c r="K11050" s="166"/>
      <c r="L11050" s="166"/>
    </row>
    <row r="11051">
      <c r="A11051" s="163" t="s">
        <v>222</v>
      </c>
      <c r="B11051" s="163"/>
      <c r="C11051" s="163"/>
      <c r="J11051" s="165"/>
      <c r="K11051" s="166"/>
      <c r="L11051" s="166"/>
    </row>
    <row r="11052">
      <c r="A11052" s="163" t="s">
        <v>222</v>
      </c>
      <c r="B11052" s="163"/>
      <c r="C11052" s="163"/>
      <c r="J11052" s="165"/>
      <c r="K11052" s="166"/>
      <c r="L11052" s="166"/>
    </row>
    <row r="11053">
      <c r="A11053" s="163" t="s">
        <v>222</v>
      </c>
      <c r="B11053" s="163"/>
      <c r="C11053" s="163"/>
      <c r="J11053" s="165"/>
      <c r="K11053" s="166"/>
      <c r="L11053" s="166"/>
    </row>
    <row r="11054">
      <c r="A11054" s="163" t="s">
        <v>222</v>
      </c>
      <c r="B11054" s="163"/>
      <c r="C11054" s="163"/>
      <c r="J11054" s="165"/>
      <c r="K11054" s="166"/>
      <c r="L11054" s="166"/>
    </row>
    <row r="11055">
      <c r="A11055" s="163" t="s">
        <v>222</v>
      </c>
      <c r="B11055" s="163"/>
      <c r="C11055" s="163"/>
      <c r="J11055" s="165"/>
      <c r="K11055" s="166"/>
      <c r="L11055" s="166"/>
    </row>
    <row r="11056">
      <c r="A11056" s="163" t="s">
        <v>222</v>
      </c>
      <c r="B11056" s="163"/>
      <c r="C11056" s="163"/>
      <c r="J11056" s="165"/>
      <c r="K11056" s="166"/>
      <c r="L11056" s="166"/>
    </row>
    <row r="11057">
      <c r="A11057" s="163" t="s">
        <v>222</v>
      </c>
      <c r="B11057" s="163"/>
      <c r="C11057" s="163"/>
      <c r="J11057" s="165"/>
      <c r="K11057" s="166"/>
      <c r="L11057" s="166"/>
    </row>
    <row r="11058">
      <c r="A11058" s="163" t="s">
        <v>222</v>
      </c>
      <c r="B11058" s="163"/>
      <c r="C11058" s="163"/>
      <c r="J11058" s="165"/>
      <c r="K11058" s="166"/>
      <c r="L11058" s="166"/>
    </row>
    <row r="11059">
      <c r="A11059" s="163" t="s">
        <v>222</v>
      </c>
      <c r="B11059" s="163"/>
      <c r="C11059" s="163"/>
      <c r="J11059" s="165"/>
      <c r="K11059" s="166"/>
      <c r="L11059" s="166"/>
    </row>
    <row r="11060">
      <c r="A11060" s="163" t="s">
        <v>222</v>
      </c>
      <c r="B11060" s="163"/>
      <c r="C11060" s="163"/>
      <c r="J11060" s="165"/>
      <c r="K11060" s="166"/>
      <c r="L11060" s="166"/>
    </row>
    <row r="11061">
      <c r="A11061" s="163" t="s">
        <v>222</v>
      </c>
      <c r="B11061" s="163"/>
      <c r="C11061" s="163"/>
      <c r="J11061" s="165"/>
      <c r="K11061" s="166"/>
      <c r="L11061" s="166"/>
    </row>
    <row r="11062">
      <c r="A11062" s="163" t="s">
        <v>222</v>
      </c>
      <c r="B11062" s="163"/>
      <c r="C11062" s="163"/>
      <c r="J11062" s="165"/>
      <c r="K11062" s="166"/>
      <c r="L11062" s="166"/>
    </row>
    <row r="11063">
      <c r="A11063" s="163" t="s">
        <v>222</v>
      </c>
      <c r="B11063" s="163"/>
      <c r="C11063" s="163"/>
      <c r="J11063" s="165"/>
      <c r="K11063" s="166"/>
      <c r="L11063" s="166"/>
    </row>
    <row r="11064">
      <c r="A11064" s="163" t="s">
        <v>222</v>
      </c>
      <c r="B11064" s="163"/>
      <c r="C11064" s="163"/>
      <c r="J11064" s="165"/>
      <c r="K11064" s="166"/>
      <c r="L11064" s="166"/>
    </row>
    <row r="11065">
      <c r="A11065" s="163" t="s">
        <v>222</v>
      </c>
      <c r="B11065" s="163"/>
      <c r="C11065" s="163"/>
      <c r="J11065" s="165"/>
      <c r="K11065" s="166"/>
      <c r="L11065" s="166"/>
    </row>
    <row r="11066">
      <c r="A11066" s="163" t="s">
        <v>222</v>
      </c>
      <c r="B11066" s="163"/>
      <c r="C11066" s="163"/>
      <c r="J11066" s="165"/>
      <c r="K11066" s="166"/>
      <c r="L11066" s="166"/>
    </row>
    <row r="11067">
      <c r="A11067" s="163" t="s">
        <v>222</v>
      </c>
      <c r="B11067" s="163"/>
      <c r="C11067" s="163"/>
      <c r="J11067" s="165"/>
      <c r="K11067" s="166"/>
      <c r="L11067" s="166"/>
    </row>
    <row r="11068">
      <c r="A11068" s="163" t="s">
        <v>222</v>
      </c>
      <c r="B11068" s="163"/>
      <c r="C11068" s="163"/>
      <c r="J11068" s="165"/>
      <c r="K11068" s="166"/>
      <c r="L11068" s="166"/>
    </row>
    <row r="11069">
      <c r="A11069" s="163" t="s">
        <v>222</v>
      </c>
      <c r="B11069" s="163"/>
      <c r="C11069" s="163"/>
      <c r="J11069" s="165"/>
      <c r="K11069" s="166"/>
      <c r="L11069" s="166"/>
    </row>
    <row r="11070">
      <c r="A11070" s="163" t="s">
        <v>222</v>
      </c>
      <c r="B11070" s="163"/>
      <c r="C11070" s="163"/>
      <c r="J11070" s="165"/>
      <c r="K11070" s="166"/>
      <c r="L11070" s="166"/>
    </row>
    <row r="11071">
      <c r="A11071" s="163" t="s">
        <v>222</v>
      </c>
      <c r="B11071" s="163"/>
      <c r="C11071" s="163"/>
      <c r="J11071" s="165"/>
      <c r="K11071" s="166"/>
      <c r="L11071" s="166"/>
    </row>
    <row r="11072">
      <c r="A11072" s="163" t="s">
        <v>222</v>
      </c>
      <c r="B11072" s="163"/>
      <c r="C11072" s="163"/>
      <c r="J11072" s="165"/>
      <c r="K11072" s="166"/>
      <c r="L11072" s="166"/>
    </row>
    <row r="11073">
      <c r="A11073" s="163" t="s">
        <v>222</v>
      </c>
      <c r="B11073" s="163"/>
      <c r="C11073" s="163"/>
      <c r="J11073" s="165"/>
      <c r="K11073" s="166"/>
      <c r="L11073" s="166"/>
    </row>
    <row r="11074">
      <c r="A11074" s="163" t="s">
        <v>222</v>
      </c>
      <c r="B11074" s="163"/>
      <c r="C11074" s="163"/>
      <c r="J11074" s="165"/>
      <c r="K11074" s="166"/>
      <c r="L11074" s="166"/>
    </row>
    <row r="11075">
      <c r="A11075" s="163" t="s">
        <v>222</v>
      </c>
      <c r="B11075" s="163"/>
      <c r="C11075" s="163"/>
      <c r="J11075" s="165"/>
      <c r="K11075" s="166"/>
      <c r="L11075" s="166"/>
    </row>
    <row r="11076">
      <c r="A11076" s="163" t="s">
        <v>222</v>
      </c>
      <c r="B11076" s="163"/>
      <c r="C11076" s="163"/>
      <c r="J11076" s="165"/>
      <c r="K11076" s="166"/>
      <c r="L11076" s="166"/>
    </row>
    <row r="11077">
      <c r="A11077" s="163" t="s">
        <v>222</v>
      </c>
      <c r="B11077" s="163"/>
      <c r="C11077" s="163"/>
      <c r="J11077" s="165"/>
      <c r="K11077" s="166"/>
      <c r="L11077" s="166"/>
    </row>
    <row r="11078">
      <c r="A11078" s="163" t="s">
        <v>222</v>
      </c>
      <c r="B11078" s="163"/>
      <c r="C11078" s="163"/>
      <c r="J11078" s="165"/>
      <c r="K11078" s="166"/>
      <c r="L11078" s="166"/>
    </row>
    <row r="11079">
      <c r="A11079" s="163" t="s">
        <v>222</v>
      </c>
      <c r="B11079" s="163"/>
      <c r="C11079" s="163"/>
      <c r="J11079" s="165"/>
      <c r="K11079" s="166"/>
      <c r="L11079" s="166"/>
    </row>
    <row r="11080">
      <c r="A11080" s="163" t="s">
        <v>222</v>
      </c>
      <c r="B11080" s="163"/>
      <c r="C11080" s="163"/>
      <c r="J11080" s="165"/>
      <c r="K11080" s="166"/>
      <c r="L11080" s="166"/>
    </row>
    <row r="11081">
      <c r="A11081" s="163" t="s">
        <v>222</v>
      </c>
      <c r="B11081" s="163"/>
      <c r="C11081" s="163"/>
      <c r="J11081" s="165"/>
      <c r="K11081" s="166"/>
      <c r="L11081" s="166"/>
    </row>
    <row r="11082">
      <c r="A11082" s="163" t="s">
        <v>222</v>
      </c>
      <c r="B11082" s="163"/>
      <c r="C11082" s="163"/>
      <c r="J11082" s="165"/>
      <c r="K11082" s="166"/>
      <c r="L11082" s="166"/>
    </row>
    <row r="11083">
      <c r="A11083" s="163" t="s">
        <v>222</v>
      </c>
      <c r="B11083" s="163"/>
      <c r="C11083" s="163"/>
      <c r="J11083" s="165"/>
      <c r="K11083" s="166"/>
      <c r="L11083" s="166"/>
    </row>
    <row r="11084">
      <c r="A11084" s="163" t="s">
        <v>222</v>
      </c>
      <c r="B11084" s="163"/>
      <c r="C11084" s="163"/>
      <c r="J11084" s="165"/>
      <c r="K11084" s="166"/>
      <c r="L11084" s="166"/>
    </row>
    <row r="11085">
      <c r="A11085" s="163" t="s">
        <v>222</v>
      </c>
      <c r="B11085" s="163"/>
      <c r="C11085" s="163"/>
      <c r="J11085" s="165"/>
      <c r="K11085" s="166"/>
      <c r="L11085" s="166"/>
    </row>
    <row r="11086">
      <c r="A11086" s="163" t="s">
        <v>222</v>
      </c>
      <c r="B11086" s="163"/>
      <c r="C11086" s="163"/>
      <c r="J11086" s="165"/>
      <c r="K11086" s="166"/>
      <c r="L11086" s="166"/>
    </row>
    <row r="11087">
      <c r="A11087" s="163" t="s">
        <v>222</v>
      </c>
      <c r="B11087" s="163"/>
      <c r="C11087" s="163"/>
      <c r="J11087" s="165"/>
      <c r="K11087" s="166"/>
      <c r="L11087" s="166"/>
    </row>
    <row r="11088">
      <c r="A11088" s="163" t="s">
        <v>222</v>
      </c>
      <c r="B11088" s="163"/>
      <c r="C11088" s="163"/>
      <c r="J11088" s="165"/>
      <c r="K11088" s="166"/>
      <c r="L11088" s="166"/>
    </row>
    <row r="11089">
      <c r="A11089" s="163" t="s">
        <v>222</v>
      </c>
      <c r="B11089" s="163"/>
      <c r="C11089" s="163"/>
      <c r="J11089" s="165"/>
      <c r="K11089" s="166"/>
      <c r="L11089" s="166"/>
    </row>
    <row r="11090">
      <c r="A11090" s="163" t="s">
        <v>222</v>
      </c>
      <c r="B11090" s="163"/>
      <c r="C11090" s="163"/>
      <c r="J11090" s="165"/>
      <c r="K11090" s="166"/>
      <c r="L11090" s="166"/>
    </row>
    <row r="11091">
      <c r="A11091" s="163" t="s">
        <v>222</v>
      </c>
      <c r="B11091" s="163"/>
      <c r="C11091" s="163"/>
      <c r="J11091" s="165"/>
      <c r="K11091" s="166"/>
      <c r="L11091" s="166"/>
    </row>
    <row r="11092">
      <c r="A11092" s="163" t="s">
        <v>222</v>
      </c>
      <c r="B11092" s="163"/>
      <c r="C11092" s="163"/>
      <c r="J11092" s="165"/>
      <c r="K11092" s="166"/>
      <c r="L11092" s="166"/>
    </row>
    <row r="11093">
      <c r="A11093" s="163" t="s">
        <v>222</v>
      </c>
      <c r="B11093" s="163"/>
      <c r="C11093" s="163"/>
      <c r="J11093" s="165"/>
      <c r="K11093" s="166"/>
      <c r="L11093" s="166"/>
    </row>
    <row r="11094">
      <c r="A11094" s="163" t="s">
        <v>222</v>
      </c>
      <c r="B11094" s="163"/>
      <c r="C11094" s="163"/>
      <c r="J11094" s="165"/>
      <c r="K11094" s="166"/>
      <c r="L11094" s="166"/>
    </row>
    <row r="11095">
      <c r="A11095" s="163" t="s">
        <v>222</v>
      </c>
      <c r="B11095" s="163"/>
      <c r="C11095" s="163"/>
      <c r="J11095" s="165"/>
      <c r="K11095" s="166"/>
      <c r="L11095" s="166"/>
    </row>
    <row r="11096">
      <c r="A11096" s="163" t="s">
        <v>222</v>
      </c>
      <c r="B11096" s="163"/>
      <c r="C11096" s="163"/>
      <c r="J11096" s="165"/>
      <c r="K11096" s="166"/>
      <c r="L11096" s="166"/>
    </row>
    <row r="11097">
      <c r="A11097" s="163" t="s">
        <v>222</v>
      </c>
      <c r="B11097" s="163"/>
      <c r="C11097" s="163"/>
      <c r="J11097" s="165"/>
      <c r="K11097" s="166"/>
      <c r="L11097" s="166"/>
    </row>
    <row r="11098">
      <c r="A11098" s="163" t="s">
        <v>222</v>
      </c>
      <c r="B11098" s="163"/>
      <c r="C11098" s="163"/>
      <c r="J11098" s="165"/>
      <c r="K11098" s="166"/>
      <c r="L11098" s="166"/>
    </row>
    <row r="11099">
      <c r="A11099" s="163" t="s">
        <v>222</v>
      </c>
      <c r="B11099" s="163"/>
      <c r="C11099" s="163"/>
      <c r="J11099" s="165"/>
      <c r="K11099" s="166"/>
      <c r="L11099" s="166"/>
    </row>
    <row r="11100">
      <c r="A11100" s="163" t="s">
        <v>222</v>
      </c>
      <c r="B11100" s="163"/>
      <c r="C11100" s="163"/>
      <c r="J11100" s="165"/>
      <c r="K11100" s="166"/>
      <c r="L11100" s="166"/>
    </row>
    <row r="11101">
      <c r="A11101" s="163" t="s">
        <v>222</v>
      </c>
      <c r="B11101" s="163"/>
      <c r="C11101" s="163"/>
      <c r="J11101" s="165"/>
      <c r="K11101" s="166"/>
      <c r="L11101" s="166"/>
    </row>
    <row r="11102">
      <c r="A11102" s="163" t="s">
        <v>222</v>
      </c>
      <c r="B11102" s="163"/>
      <c r="C11102" s="163"/>
      <c r="J11102" s="165"/>
      <c r="K11102" s="166"/>
      <c r="L11102" s="166"/>
    </row>
    <row r="11103">
      <c r="A11103" s="163" t="s">
        <v>222</v>
      </c>
      <c r="B11103" s="163"/>
      <c r="C11103" s="163"/>
      <c r="J11103" s="165"/>
      <c r="K11103" s="166"/>
      <c r="L11103" s="166"/>
    </row>
    <row r="11104">
      <c r="A11104" s="163" t="s">
        <v>222</v>
      </c>
      <c r="B11104" s="163"/>
      <c r="C11104" s="163"/>
      <c r="J11104" s="165"/>
      <c r="K11104" s="166"/>
      <c r="L11104" s="166"/>
    </row>
    <row r="11105">
      <c r="A11105" s="163" t="s">
        <v>222</v>
      </c>
      <c r="B11105" s="163"/>
      <c r="C11105" s="163"/>
      <c r="J11105" s="165"/>
      <c r="K11105" s="166"/>
      <c r="L11105" s="166"/>
    </row>
    <row r="11106">
      <c r="A11106" s="163" t="s">
        <v>222</v>
      </c>
      <c r="B11106" s="163"/>
      <c r="C11106" s="163"/>
      <c r="J11106" s="165"/>
      <c r="K11106" s="166"/>
      <c r="L11106" s="166"/>
    </row>
    <row r="11107">
      <c r="A11107" s="163" t="s">
        <v>222</v>
      </c>
      <c r="B11107" s="163"/>
      <c r="C11107" s="163"/>
      <c r="J11107" s="165"/>
      <c r="K11107" s="166"/>
      <c r="L11107" s="166"/>
    </row>
    <row r="11108">
      <c r="A11108" s="163" t="s">
        <v>222</v>
      </c>
      <c r="B11108" s="163"/>
      <c r="C11108" s="163"/>
      <c r="J11108" s="165"/>
      <c r="K11108" s="166"/>
      <c r="L11108" s="166"/>
    </row>
    <row r="11109">
      <c r="A11109" s="163" t="s">
        <v>222</v>
      </c>
      <c r="B11109" s="163"/>
      <c r="C11109" s="163"/>
      <c r="J11109" s="165"/>
      <c r="K11109" s="166"/>
      <c r="L11109" s="166"/>
    </row>
    <row r="11110">
      <c r="A11110" s="163" t="s">
        <v>222</v>
      </c>
      <c r="B11110" s="163"/>
      <c r="C11110" s="163"/>
      <c r="J11110" s="165"/>
      <c r="K11110" s="166"/>
      <c r="L11110" s="166"/>
    </row>
    <row r="11111">
      <c r="A11111" s="163" t="s">
        <v>222</v>
      </c>
      <c r="B11111" s="163"/>
      <c r="C11111" s="163"/>
      <c r="J11111" s="165"/>
      <c r="K11111" s="166"/>
      <c r="L11111" s="166"/>
    </row>
    <row r="11112">
      <c r="A11112" s="163" t="s">
        <v>222</v>
      </c>
      <c r="B11112" s="163"/>
      <c r="C11112" s="163"/>
      <c r="J11112" s="165"/>
      <c r="K11112" s="166"/>
      <c r="L11112" s="166"/>
    </row>
    <row r="11113">
      <c r="A11113" s="163" t="s">
        <v>222</v>
      </c>
      <c r="B11113" s="163"/>
      <c r="C11113" s="163"/>
      <c r="J11113" s="165"/>
      <c r="K11113" s="166"/>
      <c r="L11113" s="166"/>
    </row>
    <row r="11114">
      <c r="A11114" s="163" t="s">
        <v>222</v>
      </c>
      <c r="B11114" s="163"/>
      <c r="C11114" s="163"/>
      <c r="J11114" s="165"/>
      <c r="K11114" s="166"/>
      <c r="L11114" s="166"/>
    </row>
    <row r="11115">
      <c r="A11115" s="163" t="s">
        <v>222</v>
      </c>
      <c r="B11115" s="163"/>
      <c r="C11115" s="163"/>
      <c r="J11115" s="165"/>
      <c r="K11115" s="166"/>
      <c r="L11115" s="166"/>
    </row>
    <row r="11116">
      <c r="A11116" s="163" t="s">
        <v>222</v>
      </c>
      <c r="B11116" s="163"/>
      <c r="C11116" s="163"/>
      <c r="J11116" s="165"/>
      <c r="K11116" s="166"/>
      <c r="L11116" s="166"/>
    </row>
    <row r="11117">
      <c r="A11117" s="163" t="s">
        <v>222</v>
      </c>
      <c r="B11117" s="163"/>
      <c r="C11117" s="163"/>
      <c r="J11117" s="165"/>
      <c r="K11117" s="166"/>
      <c r="L11117" s="166"/>
    </row>
    <row r="11118">
      <c r="A11118" s="163" t="s">
        <v>222</v>
      </c>
      <c r="B11118" s="163"/>
      <c r="C11118" s="163"/>
      <c r="J11118" s="165"/>
      <c r="K11118" s="166"/>
      <c r="L11118" s="166"/>
    </row>
    <row r="11119">
      <c r="A11119" s="163" t="s">
        <v>222</v>
      </c>
      <c r="B11119" s="163"/>
      <c r="C11119" s="163"/>
      <c r="J11119" s="165"/>
      <c r="K11119" s="166"/>
      <c r="L11119" s="166"/>
    </row>
    <row r="11120">
      <c r="A11120" s="163" t="s">
        <v>222</v>
      </c>
      <c r="B11120" s="163"/>
      <c r="C11120" s="163"/>
      <c r="J11120" s="165"/>
      <c r="K11120" s="166"/>
      <c r="L11120" s="166"/>
    </row>
    <row r="11121">
      <c r="A11121" s="163" t="s">
        <v>222</v>
      </c>
      <c r="B11121" s="163"/>
      <c r="C11121" s="163"/>
      <c r="J11121" s="165"/>
      <c r="K11121" s="166"/>
      <c r="L11121" s="166"/>
    </row>
    <row r="11122">
      <c r="A11122" s="163" t="s">
        <v>222</v>
      </c>
      <c r="B11122" s="163"/>
      <c r="C11122" s="163"/>
      <c r="J11122" s="165"/>
      <c r="K11122" s="166"/>
      <c r="L11122" s="166"/>
    </row>
    <row r="11123">
      <c r="A11123" s="163" t="s">
        <v>222</v>
      </c>
      <c r="B11123" s="163"/>
      <c r="C11123" s="163"/>
      <c r="J11123" s="165"/>
      <c r="K11123" s="166"/>
      <c r="L11123" s="166"/>
    </row>
    <row r="11124">
      <c r="A11124" s="163" t="s">
        <v>222</v>
      </c>
      <c r="B11124" s="163"/>
      <c r="C11124" s="163"/>
      <c r="J11124" s="165"/>
      <c r="K11124" s="166"/>
      <c r="L11124" s="166"/>
    </row>
    <row r="11125">
      <c r="A11125" s="163" t="s">
        <v>222</v>
      </c>
      <c r="B11125" s="163"/>
      <c r="C11125" s="163"/>
      <c r="J11125" s="165"/>
      <c r="K11125" s="166"/>
      <c r="L11125" s="166"/>
    </row>
    <row r="11126">
      <c r="A11126" s="163" t="s">
        <v>222</v>
      </c>
      <c r="B11126" s="163"/>
      <c r="C11126" s="163"/>
      <c r="J11126" s="165"/>
      <c r="K11126" s="166"/>
      <c r="L11126" s="166"/>
    </row>
    <row r="11127">
      <c r="A11127" s="163" t="s">
        <v>222</v>
      </c>
      <c r="B11127" s="163"/>
      <c r="C11127" s="163"/>
      <c r="J11127" s="165"/>
      <c r="K11127" s="166"/>
      <c r="L11127" s="166"/>
    </row>
    <row r="11128">
      <c r="A11128" s="163" t="s">
        <v>222</v>
      </c>
      <c r="B11128" s="163"/>
      <c r="C11128" s="163"/>
      <c r="J11128" s="165"/>
      <c r="K11128" s="166"/>
      <c r="L11128" s="166"/>
    </row>
    <row r="11129">
      <c r="A11129" s="163" t="s">
        <v>222</v>
      </c>
      <c r="B11129" s="163"/>
      <c r="C11129" s="163"/>
      <c r="J11129" s="165"/>
      <c r="K11129" s="166"/>
      <c r="L11129" s="166"/>
    </row>
    <row r="11130">
      <c r="A11130" s="163" t="s">
        <v>222</v>
      </c>
      <c r="B11130" s="163"/>
      <c r="C11130" s="163"/>
      <c r="J11130" s="165"/>
      <c r="K11130" s="166"/>
      <c r="L11130" s="166"/>
    </row>
    <row r="11131">
      <c r="A11131" s="163" t="s">
        <v>222</v>
      </c>
      <c r="B11131" s="163"/>
      <c r="C11131" s="163"/>
      <c r="J11131" s="165"/>
      <c r="K11131" s="166"/>
      <c r="L11131" s="166"/>
    </row>
    <row r="11132">
      <c r="A11132" s="163" t="s">
        <v>222</v>
      </c>
      <c r="B11132" s="163"/>
      <c r="C11132" s="163"/>
      <c r="J11132" s="165"/>
      <c r="K11132" s="166"/>
      <c r="L11132" s="166"/>
    </row>
    <row r="11133">
      <c r="A11133" s="163" t="s">
        <v>222</v>
      </c>
      <c r="B11133" s="163"/>
      <c r="C11133" s="163"/>
      <c r="J11133" s="165"/>
      <c r="K11133" s="166"/>
      <c r="L11133" s="166"/>
    </row>
    <row r="11134">
      <c r="A11134" s="163" t="s">
        <v>222</v>
      </c>
      <c r="B11134" s="163"/>
      <c r="C11134" s="163"/>
      <c r="J11134" s="165"/>
      <c r="K11134" s="166"/>
      <c r="L11134" s="166"/>
    </row>
    <row r="11135">
      <c r="A11135" s="163" t="s">
        <v>222</v>
      </c>
      <c r="B11135" s="163"/>
      <c r="C11135" s="163"/>
      <c r="J11135" s="165"/>
      <c r="K11135" s="166"/>
      <c r="L11135" s="166"/>
    </row>
    <row r="11136">
      <c r="A11136" s="163" t="s">
        <v>222</v>
      </c>
      <c r="B11136" s="163"/>
      <c r="C11136" s="163"/>
      <c r="J11136" s="165"/>
      <c r="K11136" s="166"/>
      <c r="L11136" s="166"/>
    </row>
    <row r="11137">
      <c r="A11137" s="163" t="s">
        <v>222</v>
      </c>
      <c r="B11137" s="163"/>
      <c r="C11137" s="163"/>
      <c r="J11137" s="165"/>
      <c r="K11137" s="166"/>
      <c r="L11137" s="166"/>
    </row>
    <row r="11138">
      <c r="A11138" s="163" t="s">
        <v>222</v>
      </c>
      <c r="B11138" s="163"/>
      <c r="C11138" s="163"/>
      <c r="J11138" s="165"/>
      <c r="K11138" s="166"/>
      <c r="L11138" s="166"/>
    </row>
    <row r="11139">
      <c r="A11139" s="163" t="s">
        <v>222</v>
      </c>
      <c r="B11139" s="163"/>
      <c r="C11139" s="163"/>
      <c r="J11139" s="165"/>
      <c r="K11139" s="166"/>
      <c r="L11139" s="166"/>
    </row>
    <row r="11140">
      <c r="A11140" s="163" t="s">
        <v>222</v>
      </c>
      <c r="B11140" s="163"/>
      <c r="C11140" s="163"/>
      <c r="J11140" s="165"/>
      <c r="K11140" s="166"/>
      <c r="L11140" s="166"/>
    </row>
    <row r="11141">
      <c r="A11141" s="163" t="s">
        <v>222</v>
      </c>
      <c r="B11141" s="163"/>
      <c r="C11141" s="163"/>
      <c r="J11141" s="165"/>
      <c r="K11141" s="166"/>
      <c r="L11141" s="166"/>
    </row>
    <row r="11142">
      <c r="A11142" s="163" t="s">
        <v>222</v>
      </c>
      <c r="B11142" s="163"/>
      <c r="C11142" s="163"/>
      <c r="J11142" s="165"/>
      <c r="K11142" s="166"/>
      <c r="L11142" s="166"/>
    </row>
    <row r="11143">
      <c r="A11143" s="163" t="s">
        <v>222</v>
      </c>
      <c r="B11143" s="163"/>
      <c r="C11143" s="163"/>
      <c r="J11143" s="165"/>
      <c r="K11143" s="166"/>
      <c r="L11143" s="166"/>
    </row>
    <row r="11144">
      <c r="A11144" s="163" t="s">
        <v>222</v>
      </c>
      <c r="B11144" s="163"/>
      <c r="C11144" s="163"/>
      <c r="J11144" s="165"/>
      <c r="K11144" s="166"/>
      <c r="L11144" s="166"/>
    </row>
    <row r="11145">
      <c r="A11145" s="163" t="s">
        <v>222</v>
      </c>
      <c r="B11145" s="163"/>
      <c r="C11145" s="163"/>
      <c r="J11145" s="165"/>
      <c r="K11145" s="166"/>
      <c r="L11145" s="166"/>
    </row>
    <row r="11146">
      <c r="A11146" s="163" t="s">
        <v>222</v>
      </c>
      <c r="B11146" s="163"/>
      <c r="C11146" s="163"/>
      <c r="J11146" s="165"/>
      <c r="K11146" s="166"/>
      <c r="L11146" s="166"/>
    </row>
    <row r="11147">
      <c r="A11147" s="163" t="s">
        <v>222</v>
      </c>
      <c r="B11147" s="163"/>
      <c r="C11147" s="163"/>
      <c r="J11147" s="165"/>
      <c r="K11147" s="166"/>
      <c r="L11147" s="166"/>
    </row>
    <row r="11148">
      <c r="A11148" s="163" t="s">
        <v>222</v>
      </c>
      <c r="B11148" s="163"/>
      <c r="C11148" s="163"/>
      <c r="J11148" s="165"/>
      <c r="K11148" s="166"/>
      <c r="L11148" s="166"/>
    </row>
    <row r="11149">
      <c r="A11149" s="163" t="s">
        <v>222</v>
      </c>
      <c r="B11149" s="163"/>
      <c r="C11149" s="163"/>
      <c r="J11149" s="165"/>
      <c r="K11149" s="166"/>
      <c r="L11149" s="166"/>
    </row>
    <row r="11150">
      <c r="A11150" s="163" t="s">
        <v>222</v>
      </c>
      <c r="B11150" s="163"/>
      <c r="C11150" s="163"/>
      <c r="J11150" s="165"/>
      <c r="K11150" s="166"/>
      <c r="L11150" s="166"/>
    </row>
    <row r="11151">
      <c r="A11151" s="163" t="s">
        <v>222</v>
      </c>
      <c r="B11151" s="163"/>
      <c r="C11151" s="163"/>
      <c r="J11151" s="165"/>
      <c r="K11151" s="166"/>
      <c r="L11151" s="166"/>
    </row>
    <row r="11152">
      <c r="A11152" s="163" t="s">
        <v>222</v>
      </c>
      <c r="B11152" s="163"/>
      <c r="C11152" s="163"/>
      <c r="J11152" s="165"/>
      <c r="K11152" s="166"/>
      <c r="L11152" s="166"/>
    </row>
    <row r="11153">
      <c r="A11153" s="163" t="s">
        <v>222</v>
      </c>
      <c r="B11153" s="163"/>
      <c r="C11153" s="163"/>
      <c r="J11153" s="165"/>
      <c r="K11153" s="166"/>
      <c r="L11153" s="166"/>
    </row>
    <row r="11154">
      <c r="A11154" s="163" t="s">
        <v>222</v>
      </c>
      <c r="B11154" s="163"/>
      <c r="C11154" s="163"/>
      <c r="J11154" s="165"/>
      <c r="K11154" s="166"/>
      <c r="L11154" s="166"/>
    </row>
    <row r="11155">
      <c r="A11155" s="163" t="s">
        <v>222</v>
      </c>
      <c r="B11155" s="163"/>
      <c r="C11155" s="163"/>
      <c r="J11155" s="165"/>
      <c r="K11155" s="166"/>
      <c r="L11155" s="166"/>
    </row>
    <row r="11156">
      <c r="A11156" s="163" t="s">
        <v>222</v>
      </c>
      <c r="B11156" s="163"/>
      <c r="C11156" s="163"/>
      <c r="J11156" s="165"/>
      <c r="K11156" s="166"/>
      <c r="L11156" s="166"/>
    </row>
    <row r="11157">
      <c r="A11157" s="163" t="s">
        <v>222</v>
      </c>
      <c r="B11157" s="163"/>
      <c r="C11157" s="163"/>
      <c r="J11157" s="165"/>
      <c r="K11157" s="166"/>
      <c r="L11157" s="166"/>
    </row>
    <row r="11158">
      <c r="A11158" s="163" t="s">
        <v>222</v>
      </c>
      <c r="B11158" s="163"/>
      <c r="C11158" s="163"/>
      <c r="J11158" s="165"/>
      <c r="K11158" s="166"/>
      <c r="L11158" s="166"/>
    </row>
    <row r="11159">
      <c r="A11159" s="163" t="s">
        <v>222</v>
      </c>
      <c r="B11159" s="163"/>
      <c r="C11159" s="163"/>
      <c r="J11159" s="165"/>
      <c r="K11159" s="166"/>
      <c r="L11159" s="166"/>
    </row>
    <row r="11160">
      <c r="A11160" s="163" t="s">
        <v>222</v>
      </c>
      <c r="B11160" s="163"/>
      <c r="C11160" s="163"/>
      <c r="J11160" s="165"/>
      <c r="K11160" s="166"/>
      <c r="L11160" s="166"/>
    </row>
    <row r="11161">
      <c r="A11161" s="163" t="s">
        <v>222</v>
      </c>
      <c r="B11161" s="163"/>
      <c r="C11161" s="163"/>
      <c r="J11161" s="165"/>
      <c r="K11161" s="166"/>
      <c r="L11161" s="166"/>
    </row>
    <row r="11162">
      <c r="A11162" s="163" t="s">
        <v>222</v>
      </c>
      <c r="B11162" s="163"/>
      <c r="C11162" s="163"/>
      <c r="J11162" s="165"/>
      <c r="K11162" s="166"/>
      <c r="L11162" s="166"/>
    </row>
    <row r="11163">
      <c r="A11163" s="163" t="s">
        <v>222</v>
      </c>
      <c r="B11163" s="163"/>
      <c r="C11163" s="163"/>
      <c r="J11163" s="165"/>
      <c r="K11163" s="166"/>
      <c r="L11163" s="166"/>
    </row>
    <row r="11164">
      <c r="A11164" s="163" t="s">
        <v>222</v>
      </c>
      <c r="B11164" s="163"/>
      <c r="C11164" s="163"/>
      <c r="J11164" s="165"/>
      <c r="K11164" s="166"/>
      <c r="L11164" s="166"/>
    </row>
    <row r="11165">
      <c r="A11165" s="163" t="s">
        <v>222</v>
      </c>
      <c r="B11165" s="163"/>
      <c r="C11165" s="163"/>
      <c r="J11165" s="165"/>
      <c r="K11165" s="166"/>
      <c r="L11165" s="166"/>
    </row>
    <row r="11166">
      <c r="A11166" s="163" t="s">
        <v>222</v>
      </c>
      <c r="B11166" s="163"/>
      <c r="C11166" s="163"/>
      <c r="J11166" s="165"/>
      <c r="K11166" s="166"/>
      <c r="L11166" s="166"/>
    </row>
    <row r="11167">
      <c r="A11167" s="163" t="s">
        <v>222</v>
      </c>
      <c r="B11167" s="163"/>
      <c r="C11167" s="163"/>
      <c r="J11167" s="165"/>
      <c r="K11167" s="166"/>
      <c r="L11167" s="166"/>
    </row>
    <row r="11168">
      <c r="A11168" s="163" t="s">
        <v>222</v>
      </c>
      <c r="B11168" s="163"/>
      <c r="C11168" s="163"/>
      <c r="J11168" s="165"/>
      <c r="K11168" s="166"/>
      <c r="L11168" s="166"/>
    </row>
    <row r="11169">
      <c r="A11169" s="163" t="s">
        <v>222</v>
      </c>
      <c r="B11169" s="163"/>
      <c r="C11169" s="163"/>
      <c r="J11169" s="165"/>
      <c r="K11169" s="166"/>
      <c r="L11169" s="166"/>
    </row>
    <row r="11170">
      <c r="A11170" s="163" t="s">
        <v>222</v>
      </c>
      <c r="B11170" s="163"/>
      <c r="C11170" s="163"/>
      <c r="J11170" s="165"/>
      <c r="K11170" s="166"/>
      <c r="L11170" s="166"/>
    </row>
    <row r="11171">
      <c r="A11171" s="163" t="s">
        <v>222</v>
      </c>
      <c r="B11171" s="163"/>
      <c r="C11171" s="163"/>
      <c r="J11171" s="165"/>
      <c r="K11171" s="166"/>
      <c r="L11171" s="166"/>
    </row>
    <row r="11172">
      <c r="A11172" s="163" t="s">
        <v>222</v>
      </c>
      <c r="B11172" s="163"/>
      <c r="C11172" s="163"/>
      <c r="J11172" s="165"/>
      <c r="K11172" s="166"/>
      <c r="L11172" s="166"/>
    </row>
    <row r="11173">
      <c r="A11173" s="163" t="s">
        <v>222</v>
      </c>
      <c r="B11173" s="163"/>
      <c r="C11173" s="163"/>
      <c r="J11173" s="165"/>
      <c r="K11173" s="166"/>
      <c r="L11173" s="166"/>
    </row>
    <row r="11174">
      <c r="A11174" s="163" t="s">
        <v>222</v>
      </c>
      <c r="B11174" s="163"/>
      <c r="C11174" s="163"/>
      <c r="J11174" s="165"/>
      <c r="K11174" s="166"/>
      <c r="L11174" s="166"/>
    </row>
    <row r="11175">
      <c r="A11175" s="163" t="s">
        <v>222</v>
      </c>
      <c r="B11175" s="163"/>
      <c r="C11175" s="163"/>
      <c r="J11175" s="165"/>
      <c r="K11175" s="166"/>
      <c r="L11175" s="166"/>
    </row>
    <row r="11176">
      <c r="A11176" s="163" t="s">
        <v>222</v>
      </c>
      <c r="B11176" s="163"/>
      <c r="C11176" s="163"/>
      <c r="J11176" s="165"/>
      <c r="K11176" s="166"/>
      <c r="L11176" s="166"/>
    </row>
    <row r="11177">
      <c r="A11177" s="163" t="s">
        <v>222</v>
      </c>
      <c r="B11177" s="163"/>
      <c r="C11177" s="163"/>
      <c r="J11177" s="165"/>
      <c r="K11177" s="166"/>
      <c r="L11177" s="166"/>
    </row>
    <row r="11178">
      <c r="A11178" s="163" t="s">
        <v>222</v>
      </c>
      <c r="B11178" s="163"/>
      <c r="C11178" s="163"/>
      <c r="J11178" s="165"/>
      <c r="K11178" s="166"/>
      <c r="L11178" s="166"/>
    </row>
    <row r="11179">
      <c r="A11179" s="163" t="s">
        <v>222</v>
      </c>
      <c r="B11179" s="163"/>
      <c r="C11179" s="163"/>
      <c r="J11179" s="165"/>
      <c r="K11179" s="166"/>
      <c r="L11179" s="166"/>
    </row>
    <row r="11180">
      <c r="A11180" s="163" t="s">
        <v>222</v>
      </c>
      <c r="B11180" s="163"/>
      <c r="C11180" s="163"/>
      <c r="J11180" s="165"/>
      <c r="K11180" s="166"/>
      <c r="L11180" s="166"/>
    </row>
    <row r="11181">
      <c r="A11181" s="163" t="s">
        <v>222</v>
      </c>
      <c r="B11181" s="163"/>
      <c r="C11181" s="163"/>
      <c r="J11181" s="165"/>
      <c r="K11181" s="166"/>
      <c r="L11181" s="166"/>
    </row>
    <row r="11182">
      <c r="A11182" s="163" t="s">
        <v>222</v>
      </c>
      <c r="B11182" s="163"/>
      <c r="C11182" s="163"/>
      <c r="J11182" s="165"/>
      <c r="K11182" s="166"/>
      <c r="L11182" s="166"/>
    </row>
    <row r="11183">
      <c r="A11183" s="163" t="s">
        <v>222</v>
      </c>
      <c r="B11183" s="163"/>
      <c r="C11183" s="163"/>
      <c r="J11183" s="165"/>
      <c r="K11183" s="166"/>
      <c r="L11183" s="166"/>
    </row>
    <row r="11184">
      <c r="A11184" s="163" t="s">
        <v>222</v>
      </c>
      <c r="B11184" s="163"/>
      <c r="C11184" s="163"/>
      <c r="J11184" s="165"/>
      <c r="K11184" s="166"/>
      <c r="L11184" s="166"/>
    </row>
    <row r="11185">
      <c r="A11185" s="163" t="s">
        <v>222</v>
      </c>
      <c r="B11185" s="163"/>
      <c r="C11185" s="163"/>
      <c r="J11185" s="165"/>
      <c r="K11185" s="166"/>
      <c r="L11185" s="166"/>
    </row>
    <row r="11186">
      <c r="A11186" s="163" t="s">
        <v>222</v>
      </c>
      <c r="B11186" s="163"/>
      <c r="C11186" s="163"/>
      <c r="J11186" s="165"/>
      <c r="K11186" s="166"/>
      <c r="L11186" s="166"/>
    </row>
    <row r="11187">
      <c r="A11187" s="163" t="s">
        <v>222</v>
      </c>
      <c r="B11187" s="163"/>
      <c r="C11187" s="163"/>
      <c r="J11187" s="165"/>
      <c r="K11187" s="166"/>
      <c r="L11187" s="166"/>
    </row>
    <row r="11188">
      <c r="A11188" s="163" t="s">
        <v>222</v>
      </c>
      <c r="B11188" s="163"/>
      <c r="C11188" s="163"/>
      <c r="J11188" s="165"/>
      <c r="K11188" s="166"/>
      <c r="L11188" s="166"/>
    </row>
    <row r="11189">
      <c r="A11189" s="163" t="s">
        <v>222</v>
      </c>
      <c r="B11189" s="163"/>
      <c r="C11189" s="163"/>
      <c r="J11189" s="165"/>
      <c r="K11189" s="166"/>
      <c r="L11189" s="166"/>
    </row>
    <row r="11190">
      <c r="A11190" s="163" t="s">
        <v>222</v>
      </c>
      <c r="B11190" s="163"/>
      <c r="C11190" s="163"/>
      <c r="J11190" s="165"/>
      <c r="K11190" s="166"/>
      <c r="L11190" s="166"/>
    </row>
    <row r="11191">
      <c r="A11191" s="163" t="s">
        <v>222</v>
      </c>
      <c r="B11191" s="163"/>
      <c r="C11191" s="163"/>
      <c r="J11191" s="165"/>
      <c r="K11191" s="166"/>
      <c r="L11191" s="166"/>
    </row>
    <row r="11192">
      <c r="A11192" s="163" t="s">
        <v>222</v>
      </c>
      <c r="B11192" s="163"/>
      <c r="C11192" s="163"/>
      <c r="J11192" s="165"/>
      <c r="K11192" s="166"/>
      <c r="L11192" s="166"/>
    </row>
    <row r="11193">
      <c r="A11193" s="163" t="s">
        <v>222</v>
      </c>
      <c r="B11193" s="163"/>
      <c r="C11193" s="163"/>
      <c r="J11193" s="165"/>
      <c r="K11193" s="166"/>
      <c r="L11193" s="166"/>
    </row>
    <row r="11194">
      <c r="A11194" s="163" t="s">
        <v>222</v>
      </c>
      <c r="B11194" s="163"/>
      <c r="C11194" s="163"/>
      <c r="J11194" s="165"/>
      <c r="K11194" s="166"/>
      <c r="L11194" s="166"/>
    </row>
    <row r="11195">
      <c r="A11195" s="163" t="s">
        <v>222</v>
      </c>
      <c r="B11195" s="163"/>
      <c r="C11195" s="163"/>
      <c r="J11195" s="165"/>
      <c r="K11195" s="166"/>
      <c r="L11195" s="166"/>
    </row>
    <row r="11196">
      <c r="A11196" s="163" t="s">
        <v>222</v>
      </c>
      <c r="B11196" s="163"/>
      <c r="C11196" s="163"/>
      <c r="J11196" s="165"/>
      <c r="K11196" s="166"/>
      <c r="L11196" s="166"/>
    </row>
    <row r="11197">
      <c r="A11197" s="163" t="s">
        <v>222</v>
      </c>
      <c r="B11197" s="163"/>
      <c r="C11197" s="163"/>
      <c r="J11197" s="165"/>
      <c r="K11197" s="166"/>
      <c r="L11197" s="166"/>
    </row>
    <row r="11198">
      <c r="A11198" s="163" t="s">
        <v>222</v>
      </c>
      <c r="B11198" s="163"/>
      <c r="C11198" s="163"/>
      <c r="J11198" s="165"/>
      <c r="K11198" s="166"/>
      <c r="L11198" s="166"/>
    </row>
    <row r="11199">
      <c r="A11199" s="163" t="s">
        <v>222</v>
      </c>
      <c r="B11199" s="163"/>
      <c r="C11199" s="163"/>
      <c r="J11199" s="165"/>
      <c r="K11199" s="166"/>
      <c r="L11199" s="166"/>
    </row>
    <row r="11200">
      <c r="A11200" s="163" t="s">
        <v>222</v>
      </c>
      <c r="B11200" s="163"/>
      <c r="C11200" s="163"/>
      <c r="J11200" s="165"/>
      <c r="K11200" s="166"/>
      <c r="L11200" s="166"/>
    </row>
    <row r="11201">
      <c r="A11201" s="163" t="s">
        <v>222</v>
      </c>
      <c r="B11201" s="163"/>
      <c r="C11201" s="163"/>
      <c r="J11201" s="165"/>
      <c r="K11201" s="166"/>
      <c r="L11201" s="166"/>
    </row>
    <row r="11202">
      <c r="A11202" s="163" t="s">
        <v>222</v>
      </c>
      <c r="B11202" s="163"/>
      <c r="C11202" s="163"/>
      <c r="J11202" s="165"/>
      <c r="K11202" s="166"/>
      <c r="L11202" s="166"/>
    </row>
    <row r="11203">
      <c r="A11203" s="163" t="s">
        <v>222</v>
      </c>
      <c r="B11203" s="163"/>
      <c r="C11203" s="163"/>
      <c r="J11203" s="165"/>
      <c r="K11203" s="166"/>
      <c r="L11203" s="166"/>
    </row>
    <row r="11204">
      <c r="A11204" s="163" t="s">
        <v>222</v>
      </c>
      <c r="B11204" s="163"/>
      <c r="C11204" s="163"/>
      <c r="J11204" s="165"/>
      <c r="K11204" s="166"/>
      <c r="L11204" s="166"/>
    </row>
    <row r="11205">
      <c r="A11205" s="163" t="s">
        <v>222</v>
      </c>
      <c r="B11205" s="163"/>
      <c r="C11205" s="163"/>
      <c r="J11205" s="165"/>
      <c r="K11205" s="166"/>
      <c r="L11205" s="166"/>
    </row>
    <row r="11206">
      <c r="A11206" s="163" t="s">
        <v>222</v>
      </c>
      <c r="B11206" s="163"/>
      <c r="C11206" s="163"/>
      <c r="J11206" s="165"/>
      <c r="K11206" s="166"/>
      <c r="L11206" s="166"/>
    </row>
    <row r="11207">
      <c r="A11207" s="163" t="s">
        <v>222</v>
      </c>
      <c r="B11207" s="163"/>
      <c r="C11207" s="163"/>
      <c r="J11207" s="165"/>
      <c r="K11207" s="166"/>
      <c r="L11207" s="166"/>
    </row>
    <row r="11208">
      <c r="A11208" s="163" t="s">
        <v>222</v>
      </c>
      <c r="B11208" s="163"/>
      <c r="C11208" s="163"/>
      <c r="J11208" s="165"/>
      <c r="K11208" s="166"/>
      <c r="L11208" s="166"/>
    </row>
    <row r="11209">
      <c r="A11209" s="163" t="s">
        <v>222</v>
      </c>
      <c r="B11209" s="163"/>
      <c r="C11209" s="163"/>
      <c r="J11209" s="165"/>
      <c r="K11209" s="166"/>
      <c r="L11209" s="166"/>
    </row>
    <row r="11210">
      <c r="A11210" s="163" t="s">
        <v>222</v>
      </c>
      <c r="B11210" s="163"/>
      <c r="C11210" s="163"/>
      <c r="J11210" s="165"/>
      <c r="K11210" s="166"/>
      <c r="L11210" s="166"/>
    </row>
    <row r="11211">
      <c r="A11211" s="163" t="s">
        <v>222</v>
      </c>
      <c r="B11211" s="163"/>
      <c r="C11211" s="163"/>
      <c r="J11211" s="165"/>
      <c r="K11211" s="166"/>
      <c r="L11211" s="166"/>
    </row>
    <row r="11212">
      <c r="A11212" s="163" t="s">
        <v>222</v>
      </c>
      <c r="B11212" s="163"/>
      <c r="C11212" s="163"/>
      <c r="J11212" s="165"/>
      <c r="K11212" s="166"/>
      <c r="L11212" s="166"/>
    </row>
    <row r="11213">
      <c r="A11213" s="163" t="s">
        <v>222</v>
      </c>
      <c r="B11213" s="163"/>
      <c r="C11213" s="163"/>
      <c r="J11213" s="165"/>
      <c r="K11213" s="166"/>
      <c r="L11213" s="166"/>
    </row>
    <row r="11214">
      <c r="A11214" s="163" t="s">
        <v>222</v>
      </c>
      <c r="B11214" s="163"/>
      <c r="C11214" s="163"/>
      <c r="J11214" s="165"/>
      <c r="K11214" s="166"/>
      <c r="L11214" s="166"/>
    </row>
    <row r="11215">
      <c r="A11215" s="163" t="s">
        <v>222</v>
      </c>
      <c r="B11215" s="163"/>
      <c r="C11215" s="163"/>
      <c r="J11215" s="165"/>
      <c r="K11215" s="166"/>
      <c r="L11215" s="166"/>
    </row>
    <row r="11216">
      <c r="A11216" s="163" t="s">
        <v>222</v>
      </c>
      <c r="B11216" s="163"/>
      <c r="C11216" s="163"/>
      <c r="J11216" s="165"/>
      <c r="K11216" s="166"/>
      <c r="L11216" s="166"/>
    </row>
    <row r="11217">
      <c r="A11217" s="163" t="s">
        <v>222</v>
      </c>
      <c r="B11217" s="163"/>
      <c r="C11217" s="163"/>
      <c r="J11217" s="165"/>
      <c r="K11217" s="166"/>
      <c r="L11217" s="166"/>
    </row>
    <row r="11218">
      <c r="A11218" s="163" t="s">
        <v>222</v>
      </c>
      <c r="B11218" s="163"/>
      <c r="C11218" s="163"/>
      <c r="J11218" s="165"/>
      <c r="K11218" s="166"/>
      <c r="L11218" s="166"/>
    </row>
    <row r="11219">
      <c r="A11219" s="163" t="s">
        <v>222</v>
      </c>
      <c r="B11219" s="163"/>
      <c r="C11219" s="163"/>
      <c r="J11219" s="165"/>
      <c r="K11219" s="166"/>
      <c r="L11219" s="166"/>
    </row>
    <row r="11220">
      <c r="A11220" s="163" t="s">
        <v>222</v>
      </c>
      <c r="B11220" s="163"/>
      <c r="C11220" s="163"/>
      <c r="J11220" s="165"/>
      <c r="K11220" s="166"/>
      <c r="L11220" s="166"/>
    </row>
    <row r="11221">
      <c r="A11221" s="163" t="s">
        <v>222</v>
      </c>
      <c r="B11221" s="163"/>
      <c r="C11221" s="163"/>
      <c r="J11221" s="165"/>
      <c r="K11221" s="166"/>
      <c r="L11221" s="166"/>
    </row>
    <row r="11222">
      <c r="A11222" s="163" t="s">
        <v>222</v>
      </c>
      <c r="B11222" s="163"/>
      <c r="C11222" s="163"/>
      <c r="J11222" s="165"/>
      <c r="K11222" s="166"/>
      <c r="L11222" s="166"/>
    </row>
    <row r="11223">
      <c r="A11223" s="163" t="s">
        <v>222</v>
      </c>
      <c r="B11223" s="163"/>
      <c r="C11223" s="163"/>
      <c r="J11223" s="165"/>
      <c r="K11223" s="166"/>
      <c r="L11223" s="166"/>
    </row>
    <row r="11224">
      <c r="A11224" s="163" t="s">
        <v>222</v>
      </c>
      <c r="B11224" s="163"/>
      <c r="C11224" s="163"/>
      <c r="J11224" s="165"/>
      <c r="K11224" s="166"/>
      <c r="L11224" s="166"/>
    </row>
    <row r="11225">
      <c r="A11225" s="163" t="s">
        <v>222</v>
      </c>
      <c r="B11225" s="163"/>
      <c r="C11225" s="163"/>
      <c r="J11225" s="165"/>
      <c r="K11225" s="166"/>
      <c r="L11225" s="166"/>
    </row>
    <row r="11226">
      <c r="A11226" s="163" t="s">
        <v>222</v>
      </c>
      <c r="B11226" s="163"/>
      <c r="C11226" s="163"/>
      <c r="J11226" s="165"/>
      <c r="K11226" s="166"/>
      <c r="L11226" s="166"/>
    </row>
    <row r="11227">
      <c r="A11227" s="163" t="s">
        <v>222</v>
      </c>
      <c r="B11227" s="163"/>
      <c r="C11227" s="163"/>
      <c r="J11227" s="165"/>
      <c r="K11227" s="166"/>
      <c r="L11227" s="166"/>
    </row>
    <row r="11228">
      <c r="A11228" s="163" t="s">
        <v>222</v>
      </c>
      <c r="B11228" s="163"/>
      <c r="C11228" s="163"/>
      <c r="J11228" s="165"/>
      <c r="K11228" s="166"/>
      <c r="L11228" s="166"/>
    </row>
    <row r="11229">
      <c r="A11229" s="163" t="s">
        <v>222</v>
      </c>
      <c r="B11229" s="163"/>
      <c r="C11229" s="163"/>
      <c r="J11229" s="165"/>
      <c r="K11229" s="166"/>
      <c r="L11229" s="166"/>
    </row>
    <row r="11230">
      <c r="A11230" s="163" t="s">
        <v>222</v>
      </c>
      <c r="B11230" s="163"/>
      <c r="C11230" s="163"/>
      <c r="J11230" s="165"/>
      <c r="K11230" s="166"/>
      <c r="L11230" s="166"/>
    </row>
    <row r="11231">
      <c r="A11231" s="163" t="s">
        <v>222</v>
      </c>
      <c r="B11231" s="163"/>
      <c r="C11231" s="163"/>
      <c r="J11231" s="165"/>
      <c r="K11231" s="166"/>
      <c r="L11231" s="166"/>
    </row>
    <row r="11232">
      <c r="A11232" s="163" t="s">
        <v>222</v>
      </c>
      <c r="B11232" s="163"/>
      <c r="C11232" s="163"/>
      <c r="J11232" s="165"/>
      <c r="K11232" s="166"/>
      <c r="L11232" s="166"/>
    </row>
    <row r="11233">
      <c r="A11233" s="163" t="s">
        <v>222</v>
      </c>
      <c r="B11233" s="163"/>
      <c r="C11233" s="163"/>
      <c r="J11233" s="165"/>
      <c r="K11233" s="166"/>
      <c r="L11233" s="166"/>
    </row>
    <row r="11234">
      <c r="A11234" s="163" t="s">
        <v>222</v>
      </c>
      <c r="B11234" s="163"/>
      <c r="C11234" s="163"/>
      <c r="J11234" s="165"/>
      <c r="K11234" s="166"/>
      <c r="L11234" s="166"/>
    </row>
    <row r="11235">
      <c r="A11235" s="163" t="s">
        <v>222</v>
      </c>
      <c r="B11235" s="163"/>
      <c r="C11235" s="163"/>
      <c r="J11235" s="165"/>
      <c r="K11235" s="166"/>
      <c r="L11235" s="166"/>
    </row>
    <row r="11236">
      <c r="A11236" s="163" t="s">
        <v>222</v>
      </c>
      <c r="B11236" s="163"/>
      <c r="C11236" s="163"/>
      <c r="J11236" s="165"/>
      <c r="K11236" s="166"/>
      <c r="L11236" s="166"/>
    </row>
    <row r="11237">
      <c r="A11237" s="163" t="s">
        <v>222</v>
      </c>
      <c r="B11237" s="163"/>
      <c r="C11237" s="163"/>
      <c r="J11237" s="165"/>
      <c r="K11237" s="166"/>
      <c r="L11237" s="166"/>
    </row>
    <row r="11238">
      <c r="A11238" s="163" t="s">
        <v>222</v>
      </c>
      <c r="B11238" s="163"/>
      <c r="C11238" s="163"/>
      <c r="J11238" s="165"/>
      <c r="K11238" s="166"/>
      <c r="L11238" s="166"/>
    </row>
    <row r="11239">
      <c r="A11239" s="163" t="s">
        <v>222</v>
      </c>
      <c r="B11239" s="163"/>
      <c r="C11239" s="163"/>
      <c r="J11239" s="165"/>
      <c r="K11239" s="166"/>
      <c r="L11239" s="166"/>
    </row>
    <row r="11240">
      <c r="A11240" s="163" t="s">
        <v>222</v>
      </c>
      <c r="B11240" s="163"/>
      <c r="C11240" s="163"/>
      <c r="J11240" s="165"/>
      <c r="K11240" s="166"/>
      <c r="L11240" s="166"/>
    </row>
    <row r="11241">
      <c r="A11241" s="163" t="s">
        <v>222</v>
      </c>
      <c r="B11241" s="163"/>
      <c r="C11241" s="163"/>
      <c r="J11241" s="165"/>
      <c r="K11241" s="166"/>
      <c r="L11241" s="166"/>
    </row>
    <row r="11242">
      <c r="A11242" s="163" t="s">
        <v>222</v>
      </c>
      <c r="B11242" s="163"/>
      <c r="C11242" s="163"/>
      <c r="J11242" s="165"/>
      <c r="K11242" s="166"/>
      <c r="L11242" s="166"/>
    </row>
    <row r="11243">
      <c r="A11243" s="163" t="s">
        <v>222</v>
      </c>
      <c r="B11243" s="163"/>
      <c r="C11243" s="163"/>
      <c r="J11243" s="165"/>
      <c r="K11243" s="166"/>
      <c r="L11243" s="166"/>
    </row>
    <row r="11244">
      <c r="A11244" s="163" t="s">
        <v>222</v>
      </c>
      <c r="B11244" s="163"/>
      <c r="C11244" s="163"/>
      <c r="J11244" s="165"/>
      <c r="K11244" s="166"/>
      <c r="L11244" s="166"/>
    </row>
    <row r="11245">
      <c r="A11245" s="163" t="s">
        <v>222</v>
      </c>
      <c r="B11245" s="163"/>
      <c r="C11245" s="163"/>
      <c r="J11245" s="165"/>
      <c r="K11245" s="166"/>
      <c r="L11245" s="166"/>
    </row>
    <row r="11246">
      <c r="A11246" s="163" t="s">
        <v>222</v>
      </c>
      <c r="B11246" s="163"/>
      <c r="C11246" s="163"/>
      <c r="J11246" s="165"/>
      <c r="K11246" s="166"/>
      <c r="L11246" s="166"/>
    </row>
    <row r="11247">
      <c r="A11247" s="163" t="s">
        <v>222</v>
      </c>
      <c r="B11247" s="163"/>
      <c r="C11247" s="163"/>
      <c r="J11247" s="165"/>
      <c r="K11247" s="166"/>
      <c r="L11247" s="166"/>
    </row>
    <row r="11248">
      <c r="A11248" s="163" t="s">
        <v>222</v>
      </c>
      <c r="B11248" s="163"/>
      <c r="C11248" s="163"/>
      <c r="J11248" s="165"/>
      <c r="K11248" s="166"/>
      <c r="L11248" s="166"/>
    </row>
    <row r="11249">
      <c r="A11249" s="163" t="s">
        <v>222</v>
      </c>
      <c r="B11249" s="163"/>
      <c r="C11249" s="163"/>
      <c r="J11249" s="165"/>
      <c r="K11249" s="166"/>
      <c r="L11249" s="166"/>
    </row>
    <row r="11250">
      <c r="A11250" s="163" t="s">
        <v>222</v>
      </c>
      <c r="B11250" s="163"/>
      <c r="C11250" s="163"/>
      <c r="J11250" s="165"/>
      <c r="K11250" s="166"/>
      <c r="L11250" s="166"/>
    </row>
    <row r="11251">
      <c r="A11251" s="163" t="s">
        <v>222</v>
      </c>
      <c r="B11251" s="163"/>
      <c r="C11251" s="163"/>
      <c r="J11251" s="165"/>
      <c r="K11251" s="166"/>
      <c r="L11251" s="166"/>
    </row>
    <row r="11252">
      <c r="A11252" s="163" t="s">
        <v>222</v>
      </c>
      <c r="B11252" s="163"/>
      <c r="C11252" s="163"/>
      <c r="J11252" s="165"/>
      <c r="K11252" s="166"/>
      <c r="L11252" s="166"/>
    </row>
    <row r="11253">
      <c r="A11253" s="163" t="s">
        <v>222</v>
      </c>
      <c r="B11253" s="163"/>
      <c r="C11253" s="163"/>
      <c r="J11253" s="165"/>
      <c r="K11253" s="166"/>
      <c r="L11253" s="166"/>
    </row>
    <row r="11254">
      <c r="A11254" s="163" t="s">
        <v>222</v>
      </c>
      <c r="B11254" s="163"/>
      <c r="C11254" s="163"/>
      <c r="J11254" s="165"/>
      <c r="K11254" s="166"/>
      <c r="L11254" s="166"/>
    </row>
    <row r="11255">
      <c r="A11255" s="163" t="s">
        <v>222</v>
      </c>
      <c r="B11255" s="163"/>
      <c r="C11255" s="163"/>
      <c r="J11255" s="165"/>
      <c r="K11255" s="166"/>
      <c r="L11255" s="166"/>
    </row>
    <row r="11256">
      <c r="A11256" s="163" t="s">
        <v>222</v>
      </c>
      <c r="B11256" s="163"/>
      <c r="C11256" s="163"/>
      <c r="J11256" s="165"/>
      <c r="K11256" s="166"/>
      <c r="L11256" s="166"/>
    </row>
    <row r="11257">
      <c r="A11257" s="163" t="s">
        <v>222</v>
      </c>
      <c r="B11257" s="163"/>
      <c r="C11257" s="163"/>
      <c r="J11257" s="165"/>
      <c r="K11257" s="166"/>
      <c r="L11257" s="166"/>
    </row>
    <row r="11258">
      <c r="A11258" s="163" t="s">
        <v>222</v>
      </c>
      <c r="B11258" s="163"/>
      <c r="C11258" s="163"/>
      <c r="J11258" s="165"/>
      <c r="K11258" s="166"/>
      <c r="L11258" s="166"/>
    </row>
    <row r="11259">
      <c r="A11259" s="163" t="s">
        <v>222</v>
      </c>
      <c r="B11259" s="163"/>
      <c r="C11259" s="163"/>
      <c r="J11259" s="165"/>
      <c r="K11259" s="166"/>
      <c r="L11259" s="166"/>
    </row>
    <row r="11260">
      <c r="A11260" s="163" t="s">
        <v>222</v>
      </c>
      <c r="B11260" s="163"/>
      <c r="C11260" s="163"/>
      <c r="J11260" s="165"/>
      <c r="K11260" s="166"/>
      <c r="L11260" s="166"/>
    </row>
    <row r="11261">
      <c r="A11261" s="163" t="s">
        <v>222</v>
      </c>
      <c r="B11261" s="163"/>
      <c r="C11261" s="163"/>
      <c r="J11261" s="165"/>
      <c r="K11261" s="166"/>
      <c r="L11261" s="166"/>
    </row>
    <row r="11262">
      <c r="A11262" s="163" t="s">
        <v>222</v>
      </c>
      <c r="B11262" s="163"/>
      <c r="C11262" s="163"/>
      <c r="J11262" s="165"/>
      <c r="K11262" s="166"/>
      <c r="L11262" s="166"/>
    </row>
    <row r="11263">
      <c r="A11263" s="163" t="s">
        <v>222</v>
      </c>
      <c r="B11263" s="163"/>
      <c r="C11263" s="163"/>
      <c r="J11263" s="165"/>
      <c r="K11263" s="166"/>
      <c r="L11263" s="166"/>
    </row>
    <row r="11264">
      <c r="A11264" s="163" t="s">
        <v>222</v>
      </c>
      <c r="B11264" s="163"/>
      <c r="C11264" s="163"/>
      <c r="J11264" s="165"/>
      <c r="K11264" s="166"/>
      <c r="L11264" s="166"/>
    </row>
    <row r="11265">
      <c r="A11265" s="163" t="s">
        <v>222</v>
      </c>
      <c r="B11265" s="163"/>
      <c r="C11265" s="163"/>
      <c r="J11265" s="165"/>
      <c r="K11265" s="166"/>
      <c r="L11265" s="166"/>
    </row>
    <row r="11266">
      <c r="A11266" s="163" t="s">
        <v>222</v>
      </c>
      <c r="B11266" s="163"/>
      <c r="C11266" s="163"/>
      <c r="J11266" s="165"/>
      <c r="K11266" s="166"/>
      <c r="L11266" s="166"/>
    </row>
    <row r="11267">
      <c r="A11267" s="163" t="s">
        <v>222</v>
      </c>
      <c r="B11267" s="163"/>
      <c r="C11267" s="163"/>
      <c r="J11267" s="165"/>
      <c r="K11267" s="166"/>
      <c r="L11267" s="166"/>
    </row>
    <row r="11268">
      <c r="A11268" s="163" t="s">
        <v>222</v>
      </c>
      <c r="B11268" s="163"/>
      <c r="C11268" s="163"/>
      <c r="J11268" s="165"/>
      <c r="K11268" s="166"/>
      <c r="L11268" s="166"/>
    </row>
    <row r="11269">
      <c r="A11269" s="163" t="s">
        <v>222</v>
      </c>
      <c r="B11269" s="163"/>
      <c r="C11269" s="163"/>
      <c r="J11269" s="165"/>
      <c r="K11269" s="166"/>
      <c r="L11269" s="166"/>
    </row>
    <row r="11270">
      <c r="A11270" s="163" t="s">
        <v>222</v>
      </c>
      <c r="B11270" s="163"/>
      <c r="C11270" s="163"/>
      <c r="J11270" s="165"/>
      <c r="K11270" s="166"/>
      <c r="L11270" s="166"/>
    </row>
    <row r="11271">
      <c r="A11271" s="163" t="s">
        <v>222</v>
      </c>
      <c r="B11271" s="163"/>
      <c r="C11271" s="163"/>
      <c r="J11271" s="165"/>
      <c r="K11271" s="166"/>
      <c r="L11271" s="166"/>
    </row>
    <row r="11272">
      <c r="A11272" s="163" t="s">
        <v>222</v>
      </c>
      <c r="B11272" s="163"/>
      <c r="C11272" s="163"/>
      <c r="J11272" s="165"/>
      <c r="K11272" s="166"/>
      <c r="L11272" s="166"/>
    </row>
    <row r="11273">
      <c r="A11273" s="163" t="s">
        <v>222</v>
      </c>
      <c r="B11273" s="163"/>
      <c r="C11273" s="163"/>
      <c r="J11273" s="165"/>
      <c r="K11273" s="166"/>
      <c r="L11273" s="166"/>
    </row>
    <row r="11274">
      <c r="A11274" s="163" t="s">
        <v>222</v>
      </c>
      <c r="B11274" s="163"/>
      <c r="C11274" s="163"/>
      <c r="J11274" s="165"/>
      <c r="K11274" s="166"/>
      <c r="L11274" s="166"/>
    </row>
    <row r="11275">
      <c r="A11275" s="163" t="s">
        <v>222</v>
      </c>
      <c r="B11275" s="163"/>
      <c r="C11275" s="163"/>
      <c r="J11275" s="165"/>
      <c r="K11275" s="166"/>
      <c r="L11275" s="166"/>
    </row>
    <row r="11276">
      <c r="A11276" s="163" t="s">
        <v>222</v>
      </c>
      <c r="B11276" s="163"/>
      <c r="C11276" s="163"/>
      <c r="J11276" s="165"/>
      <c r="K11276" s="166"/>
      <c r="L11276" s="166"/>
    </row>
    <row r="11277">
      <c r="A11277" s="163" t="s">
        <v>222</v>
      </c>
      <c r="B11277" s="163"/>
      <c r="C11277" s="163"/>
      <c r="J11277" s="165"/>
      <c r="K11277" s="166"/>
      <c r="L11277" s="166"/>
    </row>
    <row r="11278">
      <c r="A11278" s="163" t="s">
        <v>222</v>
      </c>
      <c r="B11278" s="163"/>
      <c r="C11278" s="163"/>
      <c r="J11278" s="165"/>
      <c r="K11278" s="166"/>
      <c r="L11278" s="166"/>
    </row>
    <row r="11279">
      <c r="A11279" s="163" t="s">
        <v>222</v>
      </c>
      <c r="B11279" s="163"/>
      <c r="C11279" s="163"/>
      <c r="J11279" s="165"/>
      <c r="K11279" s="166"/>
      <c r="L11279" s="166"/>
    </row>
    <row r="11280">
      <c r="A11280" s="163" t="s">
        <v>222</v>
      </c>
      <c r="B11280" s="163"/>
      <c r="C11280" s="163"/>
      <c r="J11280" s="165"/>
      <c r="K11280" s="166"/>
      <c r="L11280" s="166"/>
    </row>
    <row r="11281">
      <c r="A11281" s="163" t="s">
        <v>222</v>
      </c>
      <c r="B11281" s="163"/>
      <c r="C11281" s="163"/>
      <c r="J11281" s="165"/>
      <c r="K11281" s="166"/>
      <c r="L11281" s="166"/>
    </row>
    <row r="11282">
      <c r="A11282" s="163" t="s">
        <v>222</v>
      </c>
      <c r="B11282" s="163"/>
      <c r="C11282" s="163"/>
      <c r="J11282" s="165"/>
      <c r="K11282" s="166"/>
      <c r="L11282" s="166"/>
    </row>
    <row r="11283">
      <c r="A11283" s="163" t="s">
        <v>222</v>
      </c>
      <c r="B11283" s="163"/>
      <c r="C11283" s="163"/>
      <c r="J11283" s="165"/>
      <c r="K11283" s="166"/>
      <c r="L11283" s="166"/>
    </row>
    <row r="11284">
      <c r="A11284" s="163" t="s">
        <v>222</v>
      </c>
      <c r="B11284" s="163"/>
      <c r="C11284" s="163"/>
      <c r="J11284" s="165"/>
      <c r="K11284" s="166"/>
      <c r="L11284" s="166"/>
    </row>
    <row r="11285">
      <c r="A11285" s="163" t="s">
        <v>222</v>
      </c>
      <c r="B11285" s="163"/>
      <c r="C11285" s="163"/>
      <c r="J11285" s="165"/>
      <c r="K11285" s="166"/>
      <c r="L11285" s="166"/>
    </row>
    <row r="11286">
      <c r="A11286" s="163" t="s">
        <v>222</v>
      </c>
      <c r="B11286" s="163"/>
      <c r="C11286" s="163"/>
      <c r="J11286" s="165"/>
      <c r="K11286" s="166"/>
      <c r="L11286" s="166"/>
    </row>
    <row r="11287">
      <c r="A11287" s="163" t="s">
        <v>222</v>
      </c>
      <c r="B11287" s="163"/>
      <c r="C11287" s="163"/>
      <c r="J11287" s="165"/>
      <c r="K11287" s="166"/>
      <c r="L11287" s="166"/>
    </row>
    <row r="11288">
      <c r="A11288" s="163" t="s">
        <v>222</v>
      </c>
      <c r="B11288" s="163"/>
      <c r="C11288" s="163"/>
      <c r="J11288" s="165"/>
      <c r="K11288" s="166"/>
      <c r="L11288" s="166"/>
    </row>
    <row r="11289">
      <c r="A11289" s="163" t="s">
        <v>222</v>
      </c>
      <c r="B11289" s="163"/>
      <c r="C11289" s="163"/>
      <c r="J11289" s="165"/>
      <c r="K11289" s="166"/>
      <c r="L11289" s="166"/>
    </row>
    <row r="11290">
      <c r="A11290" s="163" t="s">
        <v>222</v>
      </c>
      <c r="B11290" s="163"/>
      <c r="C11290" s="163"/>
      <c r="J11290" s="165"/>
      <c r="K11290" s="166"/>
      <c r="L11290" s="166"/>
    </row>
    <row r="11291">
      <c r="A11291" s="163" t="s">
        <v>222</v>
      </c>
      <c r="B11291" s="163"/>
      <c r="C11291" s="163"/>
      <c r="J11291" s="165"/>
      <c r="K11291" s="166"/>
      <c r="L11291" s="166"/>
    </row>
    <row r="11292">
      <c r="A11292" s="163" t="s">
        <v>222</v>
      </c>
      <c r="B11292" s="163"/>
      <c r="C11292" s="163"/>
      <c r="J11292" s="165"/>
      <c r="K11292" s="166"/>
      <c r="L11292" s="166"/>
    </row>
    <row r="11293">
      <c r="A11293" s="163" t="s">
        <v>222</v>
      </c>
      <c r="B11293" s="163"/>
      <c r="C11293" s="163"/>
      <c r="J11293" s="165"/>
      <c r="K11293" s="166"/>
      <c r="L11293" s="166"/>
    </row>
    <row r="11294">
      <c r="A11294" s="163" t="s">
        <v>222</v>
      </c>
      <c r="B11294" s="163"/>
      <c r="C11294" s="163"/>
      <c r="J11294" s="165"/>
      <c r="K11294" s="166"/>
      <c r="L11294" s="166"/>
    </row>
    <row r="11295">
      <c r="A11295" s="163" t="s">
        <v>222</v>
      </c>
      <c r="B11295" s="163"/>
      <c r="C11295" s="163"/>
      <c r="J11295" s="165"/>
      <c r="K11295" s="166"/>
      <c r="L11295" s="166"/>
    </row>
    <row r="11296">
      <c r="A11296" s="163" t="s">
        <v>222</v>
      </c>
      <c r="B11296" s="163"/>
      <c r="C11296" s="163"/>
      <c r="J11296" s="165"/>
      <c r="K11296" s="166"/>
      <c r="L11296" s="166"/>
    </row>
    <row r="11297">
      <c r="A11297" s="163" t="s">
        <v>222</v>
      </c>
      <c r="B11297" s="163"/>
      <c r="C11297" s="163"/>
      <c r="J11297" s="165"/>
      <c r="K11297" s="166"/>
      <c r="L11297" s="166"/>
    </row>
    <row r="11298">
      <c r="A11298" s="163" t="s">
        <v>222</v>
      </c>
      <c r="B11298" s="163"/>
      <c r="C11298" s="163"/>
      <c r="J11298" s="165"/>
      <c r="K11298" s="166"/>
      <c r="L11298" s="166"/>
    </row>
    <row r="11299">
      <c r="A11299" s="163" t="s">
        <v>222</v>
      </c>
      <c r="B11299" s="163"/>
      <c r="C11299" s="163"/>
      <c r="J11299" s="165"/>
      <c r="K11299" s="166"/>
      <c r="L11299" s="166"/>
    </row>
    <row r="11300">
      <c r="A11300" s="163" t="s">
        <v>222</v>
      </c>
      <c r="B11300" s="163"/>
      <c r="C11300" s="163"/>
      <c r="J11300" s="165"/>
      <c r="K11300" s="166"/>
      <c r="L11300" s="166"/>
    </row>
    <row r="11301">
      <c r="A11301" s="163" t="s">
        <v>222</v>
      </c>
      <c r="B11301" s="163"/>
      <c r="C11301" s="163"/>
      <c r="J11301" s="165"/>
      <c r="K11301" s="166"/>
      <c r="L11301" s="166"/>
    </row>
    <row r="11302">
      <c r="A11302" s="163" t="s">
        <v>222</v>
      </c>
      <c r="B11302" s="163"/>
      <c r="C11302" s="163"/>
      <c r="J11302" s="165"/>
      <c r="K11302" s="166"/>
      <c r="L11302" s="166"/>
    </row>
    <row r="11303">
      <c r="A11303" s="163" t="s">
        <v>222</v>
      </c>
      <c r="B11303" s="163"/>
      <c r="C11303" s="163"/>
      <c r="J11303" s="165"/>
      <c r="K11303" s="166"/>
      <c r="L11303" s="166"/>
    </row>
    <row r="11304">
      <c r="A11304" s="163" t="s">
        <v>222</v>
      </c>
      <c r="B11304" s="163"/>
      <c r="C11304" s="163"/>
      <c r="J11304" s="165"/>
      <c r="K11304" s="166"/>
      <c r="L11304" s="166"/>
    </row>
    <row r="11305">
      <c r="A11305" s="163" t="s">
        <v>222</v>
      </c>
      <c r="B11305" s="163"/>
      <c r="C11305" s="163"/>
      <c r="J11305" s="165"/>
      <c r="K11305" s="166"/>
      <c r="L11305" s="166"/>
    </row>
    <row r="11306">
      <c r="A11306" s="163" t="s">
        <v>222</v>
      </c>
      <c r="B11306" s="163"/>
      <c r="C11306" s="163"/>
      <c r="J11306" s="165"/>
      <c r="K11306" s="166"/>
      <c r="L11306" s="166"/>
    </row>
    <row r="11307">
      <c r="A11307" s="163" t="s">
        <v>222</v>
      </c>
      <c r="B11307" s="163"/>
      <c r="C11307" s="163"/>
      <c r="J11307" s="165"/>
      <c r="K11307" s="166"/>
      <c r="L11307" s="166"/>
    </row>
    <row r="11308">
      <c r="A11308" s="163" t="s">
        <v>222</v>
      </c>
      <c r="B11308" s="163"/>
      <c r="C11308" s="163"/>
      <c r="J11308" s="165"/>
      <c r="K11308" s="166"/>
      <c r="L11308" s="166"/>
    </row>
    <row r="11309">
      <c r="A11309" s="163" t="s">
        <v>222</v>
      </c>
      <c r="B11309" s="163"/>
      <c r="C11309" s="163"/>
      <c r="J11309" s="165"/>
      <c r="K11309" s="166"/>
      <c r="L11309" s="166"/>
    </row>
    <row r="11310">
      <c r="A11310" s="163" t="s">
        <v>222</v>
      </c>
      <c r="B11310" s="163"/>
      <c r="C11310" s="163"/>
      <c r="J11310" s="165"/>
      <c r="K11310" s="166"/>
      <c r="L11310" s="166"/>
    </row>
    <row r="11311">
      <c r="A11311" s="163" t="s">
        <v>222</v>
      </c>
      <c r="B11311" s="163"/>
      <c r="C11311" s="163"/>
      <c r="J11311" s="165"/>
      <c r="K11311" s="166"/>
      <c r="L11311" s="166"/>
    </row>
    <row r="11312">
      <c r="A11312" s="163" t="s">
        <v>222</v>
      </c>
      <c r="B11312" s="163"/>
      <c r="C11312" s="163"/>
      <c r="J11312" s="165"/>
      <c r="K11312" s="166"/>
      <c r="L11312" s="166"/>
    </row>
    <row r="11313">
      <c r="A11313" s="163" t="s">
        <v>222</v>
      </c>
      <c r="B11313" s="163"/>
      <c r="C11313" s="163"/>
      <c r="J11313" s="165"/>
      <c r="K11313" s="166"/>
      <c r="L11313" s="166"/>
    </row>
    <row r="11314">
      <c r="A11314" s="163" t="s">
        <v>222</v>
      </c>
      <c r="B11314" s="163"/>
      <c r="C11314" s="163"/>
      <c r="J11314" s="165"/>
      <c r="K11314" s="166"/>
      <c r="L11314" s="166"/>
    </row>
    <row r="11315">
      <c r="A11315" s="163" t="s">
        <v>222</v>
      </c>
      <c r="B11315" s="163"/>
      <c r="C11315" s="163"/>
      <c r="J11315" s="165"/>
      <c r="K11315" s="166"/>
      <c r="L11315" s="166"/>
    </row>
    <row r="11316">
      <c r="A11316" s="163" t="s">
        <v>222</v>
      </c>
      <c r="B11316" s="163"/>
      <c r="C11316" s="163"/>
      <c r="J11316" s="165"/>
      <c r="K11316" s="166"/>
      <c r="L11316" s="166"/>
    </row>
    <row r="11317">
      <c r="A11317" s="163" t="s">
        <v>222</v>
      </c>
      <c r="B11317" s="163"/>
      <c r="C11317" s="163"/>
      <c r="J11317" s="165"/>
      <c r="K11317" s="166"/>
      <c r="L11317" s="166"/>
    </row>
    <row r="11318">
      <c r="A11318" s="163" t="s">
        <v>222</v>
      </c>
      <c r="B11318" s="163"/>
      <c r="C11318" s="163"/>
      <c r="J11318" s="165"/>
      <c r="K11318" s="166"/>
      <c r="L11318" s="166"/>
    </row>
    <row r="11319">
      <c r="A11319" s="163" t="s">
        <v>222</v>
      </c>
      <c r="B11319" s="163"/>
      <c r="C11319" s="163"/>
      <c r="J11319" s="165"/>
      <c r="K11319" s="166"/>
      <c r="L11319" s="166"/>
    </row>
    <row r="11320">
      <c r="A11320" s="163" t="s">
        <v>222</v>
      </c>
      <c r="B11320" s="163"/>
      <c r="C11320" s="163"/>
      <c r="J11320" s="165"/>
      <c r="K11320" s="166"/>
      <c r="L11320" s="166"/>
    </row>
    <row r="11321">
      <c r="A11321" s="163" t="s">
        <v>222</v>
      </c>
      <c r="B11321" s="163"/>
      <c r="C11321" s="163"/>
      <c r="J11321" s="165"/>
      <c r="K11321" s="166"/>
      <c r="L11321" s="166"/>
    </row>
    <row r="11322">
      <c r="A11322" s="163" t="s">
        <v>222</v>
      </c>
      <c r="B11322" s="163"/>
      <c r="C11322" s="163"/>
      <c r="J11322" s="165"/>
      <c r="K11322" s="166"/>
      <c r="L11322" s="166"/>
    </row>
    <row r="11323">
      <c r="A11323" s="163" t="s">
        <v>222</v>
      </c>
      <c r="B11323" s="163"/>
      <c r="C11323" s="163"/>
      <c r="J11323" s="165"/>
      <c r="K11323" s="166"/>
      <c r="L11323" s="166"/>
    </row>
    <row r="11324">
      <c r="A11324" s="163" t="s">
        <v>222</v>
      </c>
      <c r="B11324" s="163"/>
      <c r="C11324" s="163"/>
      <c r="J11324" s="165"/>
      <c r="K11324" s="166"/>
      <c r="L11324" s="166"/>
    </row>
    <row r="11325">
      <c r="A11325" s="163" t="s">
        <v>222</v>
      </c>
      <c r="B11325" s="163"/>
      <c r="C11325" s="163"/>
      <c r="J11325" s="165"/>
      <c r="K11325" s="166"/>
      <c r="L11325" s="166"/>
    </row>
    <row r="11326">
      <c r="A11326" s="163" t="s">
        <v>222</v>
      </c>
      <c r="B11326" s="163"/>
      <c r="C11326" s="163"/>
      <c r="J11326" s="165"/>
      <c r="K11326" s="166"/>
      <c r="L11326" s="166"/>
    </row>
    <row r="11327">
      <c r="A11327" s="163" t="s">
        <v>222</v>
      </c>
      <c r="B11327" s="163"/>
      <c r="C11327" s="163"/>
      <c r="J11327" s="165"/>
      <c r="K11327" s="166"/>
      <c r="L11327" s="166"/>
    </row>
    <row r="11328">
      <c r="A11328" s="163" t="s">
        <v>222</v>
      </c>
      <c r="B11328" s="163"/>
      <c r="C11328" s="163"/>
      <c r="J11328" s="165"/>
      <c r="K11328" s="166"/>
      <c r="L11328" s="166"/>
    </row>
    <row r="11329">
      <c r="A11329" s="163" t="s">
        <v>222</v>
      </c>
      <c r="B11329" s="163"/>
      <c r="C11329" s="163"/>
      <c r="J11329" s="165"/>
      <c r="K11329" s="166"/>
      <c r="L11329" s="166"/>
    </row>
    <row r="11330">
      <c r="A11330" s="163" t="s">
        <v>222</v>
      </c>
      <c r="B11330" s="163"/>
      <c r="C11330" s="163"/>
      <c r="J11330" s="165"/>
      <c r="K11330" s="166"/>
      <c r="L11330" s="166"/>
    </row>
    <row r="11331">
      <c r="A11331" s="163" t="s">
        <v>222</v>
      </c>
      <c r="B11331" s="163"/>
      <c r="C11331" s="163"/>
      <c r="J11331" s="165"/>
      <c r="K11331" s="166"/>
      <c r="L11331" s="166"/>
    </row>
    <row r="11332">
      <c r="A11332" s="163" t="s">
        <v>222</v>
      </c>
      <c r="B11332" s="163"/>
      <c r="C11332" s="163"/>
      <c r="J11332" s="165"/>
      <c r="K11332" s="166"/>
      <c r="L11332" s="166"/>
    </row>
    <row r="11333">
      <c r="A11333" s="163" t="s">
        <v>222</v>
      </c>
      <c r="B11333" s="163"/>
      <c r="C11333" s="163"/>
      <c r="J11333" s="165"/>
      <c r="K11333" s="166"/>
      <c r="L11333" s="166"/>
    </row>
    <row r="11334">
      <c r="A11334" s="163" t="s">
        <v>222</v>
      </c>
      <c r="B11334" s="163"/>
      <c r="C11334" s="163"/>
      <c r="J11334" s="165"/>
      <c r="K11334" s="166"/>
      <c r="L11334" s="166"/>
    </row>
    <row r="11335">
      <c r="A11335" s="163" t="s">
        <v>222</v>
      </c>
      <c r="B11335" s="163"/>
      <c r="C11335" s="163"/>
      <c r="J11335" s="165"/>
      <c r="K11335" s="166"/>
      <c r="L11335" s="166"/>
    </row>
    <row r="11336">
      <c r="A11336" s="163" t="s">
        <v>222</v>
      </c>
      <c r="B11336" s="163"/>
      <c r="C11336" s="163"/>
      <c r="J11336" s="165"/>
      <c r="K11336" s="166"/>
      <c r="L11336" s="166"/>
    </row>
    <row r="11337">
      <c r="A11337" s="163" t="s">
        <v>222</v>
      </c>
      <c r="B11337" s="163"/>
      <c r="C11337" s="163"/>
      <c r="J11337" s="165"/>
      <c r="K11337" s="166"/>
      <c r="L11337" s="166"/>
    </row>
    <row r="11338">
      <c r="A11338" s="163" t="s">
        <v>222</v>
      </c>
      <c r="B11338" s="163"/>
      <c r="C11338" s="163"/>
      <c r="J11338" s="165"/>
      <c r="K11338" s="166"/>
      <c r="L11338" s="166"/>
    </row>
    <row r="11339">
      <c r="A11339" s="163" t="s">
        <v>222</v>
      </c>
      <c r="B11339" s="163"/>
      <c r="C11339" s="163"/>
      <c r="J11339" s="165"/>
      <c r="K11339" s="166"/>
      <c r="L11339" s="166"/>
    </row>
    <row r="11340">
      <c r="A11340" s="163" t="s">
        <v>222</v>
      </c>
      <c r="B11340" s="163"/>
      <c r="C11340" s="163"/>
      <c r="J11340" s="165"/>
      <c r="K11340" s="166"/>
      <c r="L11340" s="166"/>
    </row>
    <row r="11341">
      <c r="A11341" s="163" t="s">
        <v>222</v>
      </c>
      <c r="B11341" s="163"/>
      <c r="C11341" s="163"/>
      <c r="J11341" s="165"/>
      <c r="K11341" s="166"/>
      <c r="L11341" s="166"/>
    </row>
    <row r="11342">
      <c r="A11342" s="163" t="s">
        <v>222</v>
      </c>
      <c r="B11342" s="163"/>
      <c r="C11342" s="163"/>
      <c r="J11342" s="165"/>
      <c r="K11342" s="166"/>
      <c r="L11342" s="166"/>
    </row>
    <row r="11343">
      <c r="A11343" s="163" t="s">
        <v>222</v>
      </c>
      <c r="B11343" s="163"/>
      <c r="C11343" s="163"/>
      <c r="J11343" s="165"/>
      <c r="K11343" s="166"/>
      <c r="L11343" s="166"/>
    </row>
    <row r="11344">
      <c r="A11344" s="163" t="s">
        <v>222</v>
      </c>
      <c r="B11344" s="163"/>
      <c r="C11344" s="163"/>
      <c r="J11344" s="165"/>
      <c r="K11344" s="166"/>
      <c r="L11344" s="166"/>
    </row>
    <row r="11345">
      <c r="A11345" s="163" t="s">
        <v>222</v>
      </c>
      <c r="B11345" s="163"/>
      <c r="C11345" s="163"/>
      <c r="J11345" s="165"/>
      <c r="K11345" s="166"/>
      <c r="L11345" s="166"/>
    </row>
    <row r="11346">
      <c r="A11346" s="163" t="s">
        <v>222</v>
      </c>
      <c r="B11346" s="163"/>
      <c r="C11346" s="163"/>
      <c r="J11346" s="165"/>
      <c r="K11346" s="166"/>
      <c r="L11346" s="166"/>
    </row>
    <row r="11347">
      <c r="A11347" s="163" t="s">
        <v>222</v>
      </c>
      <c r="B11347" s="163"/>
      <c r="C11347" s="163"/>
      <c r="J11347" s="165"/>
      <c r="K11347" s="166"/>
      <c r="L11347" s="166"/>
    </row>
    <row r="11348">
      <c r="A11348" s="163" t="s">
        <v>222</v>
      </c>
      <c r="B11348" s="163"/>
      <c r="C11348" s="163"/>
      <c r="J11348" s="165"/>
      <c r="K11348" s="166"/>
      <c r="L11348" s="166"/>
    </row>
    <row r="11349">
      <c r="A11349" s="163" t="s">
        <v>222</v>
      </c>
      <c r="B11349" s="163"/>
      <c r="C11349" s="163"/>
      <c r="J11349" s="165"/>
      <c r="K11349" s="166"/>
      <c r="L11349" s="166"/>
    </row>
    <row r="11350">
      <c r="A11350" s="163" t="s">
        <v>222</v>
      </c>
      <c r="B11350" s="163"/>
      <c r="C11350" s="163"/>
      <c r="J11350" s="165"/>
      <c r="K11350" s="166"/>
      <c r="L11350" s="166"/>
    </row>
    <row r="11351">
      <c r="A11351" s="163" t="s">
        <v>222</v>
      </c>
      <c r="B11351" s="163"/>
      <c r="C11351" s="163"/>
      <c r="J11351" s="165"/>
      <c r="K11351" s="166"/>
      <c r="L11351" s="166"/>
    </row>
    <row r="11352">
      <c r="A11352" s="163" t="s">
        <v>222</v>
      </c>
      <c r="B11352" s="163"/>
      <c r="C11352" s="163"/>
      <c r="J11352" s="165"/>
      <c r="K11352" s="166"/>
      <c r="L11352" s="166"/>
    </row>
    <row r="11353">
      <c r="A11353" s="163" t="s">
        <v>222</v>
      </c>
      <c r="B11353" s="163"/>
      <c r="C11353" s="163"/>
      <c r="J11353" s="165"/>
      <c r="K11353" s="166"/>
      <c r="L11353" s="166"/>
    </row>
    <row r="11354">
      <c r="A11354" s="163" t="s">
        <v>222</v>
      </c>
      <c r="B11354" s="163"/>
      <c r="C11354" s="163"/>
      <c r="J11354" s="165"/>
      <c r="K11354" s="166"/>
      <c r="L11354" s="166"/>
    </row>
    <row r="11355">
      <c r="A11355" s="163" t="s">
        <v>222</v>
      </c>
      <c r="B11355" s="163"/>
      <c r="C11355" s="163"/>
      <c r="J11355" s="165"/>
      <c r="K11355" s="166"/>
      <c r="L11355" s="166"/>
    </row>
    <row r="11356">
      <c r="A11356" s="163" t="s">
        <v>222</v>
      </c>
      <c r="B11356" s="163"/>
      <c r="C11356" s="163"/>
      <c r="J11356" s="165"/>
      <c r="K11356" s="166"/>
      <c r="L11356" s="166"/>
    </row>
    <row r="11357">
      <c r="A11357" s="163" t="s">
        <v>222</v>
      </c>
      <c r="B11357" s="163"/>
      <c r="C11357" s="163"/>
      <c r="J11357" s="165"/>
      <c r="K11357" s="166"/>
      <c r="L11357" s="166"/>
    </row>
    <row r="11358">
      <c r="A11358" s="163" t="s">
        <v>222</v>
      </c>
      <c r="B11358" s="163"/>
      <c r="C11358" s="163"/>
      <c r="J11358" s="165"/>
      <c r="K11358" s="166"/>
      <c r="L11358" s="166"/>
    </row>
    <row r="11359">
      <c r="A11359" s="163" t="s">
        <v>222</v>
      </c>
      <c r="B11359" s="163"/>
      <c r="C11359" s="163"/>
      <c r="J11359" s="165"/>
      <c r="K11359" s="166"/>
      <c r="L11359" s="166"/>
    </row>
    <row r="11360">
      <c r="A11360" s="163" t="s">
        <v>222</v>
      </c>
      <c r="B11360" s="163"/>
      <c r="C11360" s="163"/>
      <c r="J11360" s="165"/>
      <c r="K11360" s="166"/>
      <c r="L11360" s="166"/>
    </row>
    <row r="11361">
      <c r="A11361" s="163" t="s">
        <v>222</v>
      </c>
      <c r="B11361" s="163"/>
      <c r="C11361" s="163"/>
      <c r="J11361" s="165"/>
      <c r="K11361" s="166"/>
      <c r="L11361" s="166"/>
    </row>
    <row r="11362">
      <c r="A11362" s="163" t="s">
        <v>222</v>
      </c>
      <c r="B11362" s="163"/>
      <c r="C11362" s="163"/>
      <c r="J11362" s="165"/>
      <c r="K11362" s="166"/>
      <c r="L11362" s="166"/>
    </row>
    <row r="11363">
      <c r="A11363" s="163" t="s">
        <v>222</v>
      </c>
      <c r="B11363" s="163"/>
      <c r="C11363" s="163"/>
      <c r="J11363" s="165"/>
      <c r="K11363" s="166"/>
      <c r="L11363" s="166"/>
    </row>
    <row r="11364">
      <c r="A11364" s="163" t="s">
        <v>222</v>
      </c>
      <c r="B11364" s="163"/>
      <c r="C11364" s="163"/>
      <c r="J11364" s="165"/>
      <c r="K11364" s="166"/>
      <c r="L11364" s="166"/>
    </row>
    <row r="11365">
      <c r="A11365" s="163" t="s">
        <v>222</v>
      </c>
      <c r="B11365" s="163"/>
      <c r="C11365" s="163"/>
      <c r="J11365" s="165"/>
      <c r="K11365" s="166"/>
      <c r="L11365" s="166"/>
    </row>
    <row r="11366">
      <c r="A11366" s="163" t="s">
        <v>222</v>
      </c>
      <c r="B11366" s="163"/>
      <c r="C11366" s="163"/>
      <c r="J11366" s="165"/>
      <c r="K11366" s="166"/>
      <c r="L11366" s="166"/>
    </row>
    <row r="11367">
      <c r="A11367" s="163" t="s">
        <v>222</v>
      </c>
      <c r="B11367" s="163"/>
      <c r="C11367" s="163"/>
      <c r="J11367" s="165"/>
      <c r="K11367" s="166"/>
      <c r="L11367" s="166"/>
    </row>
    <row r="11368">
      <c r="A11368" s="163" t="s">
        <v>222</v>
      </c>
      <c r="B11368" s="163"/>
      <c r="C11368" s="163"/>
      <c r="J11368" s="165"/>
      <c r="K11368" s="166"/>
      <c r="L11368" s="166"/>
    </row>
    <row r="11369">
      <c r="A11369" s="163" t="s">
        <v>222</v>
      </c>
      <c r="B11369" s="163"/>
      <c r="C11369" s="163"/>
      <c r="J11369" s="165"/>
      <c r="K11369" s="166"/>
      <c r="L11369" s="166"/>
    </row>
    <row r="11370">
      <c r="A11370" s="163" t="s">
        <v>222</v>
      </c>
      <c r="B11370" s="163"/>
      <c r="C11370" s="163"/>
      <c r="J11370" s="165"/>
      <c r="K11370" s="166"/>
      <c r="L11370" s="166"/>
    </row>
    <row r="11371">
      <c r="A11371" s="163" t="s">
        <v>222</v>
      </c>
      <c r="B11371" s="163"/>
      <c r="C11371" s="163"/>
      <c r="J11371" s="165"/>
      <c r="K11371" s="166"/>
      <c r="L11371" s="166"/>
    </row>
    <row r="11372">
      <c r="A11372" s="163" t="s">
        <v>222</v>
      </c>
      <c r="B11372" s="163"/>
      <c r="C11372" s="163"/>
      <c r="J11372" s="165"/>
      <c r="K11372" s="166"/>
      <c r="L11372" s="166"/>
    </row>
    <row r="11373">
      <c r="A11373" s="163" t="s">
        <v>222</v>
      </c>
      <c r="B11373" s="163"/>
      <c r="C11373" s="163"/>
      <c r="J11373" s="165"/>
      <c r="K11373" s="166"/>
      <c r="L11373" s="166"/>
    </row>
    <row r="11374">
      <c r="A11374" s="163" t="s">
        <v>222</v>
      </c>
      <c r="B11374" s="163"/>
      <c r="C11374" s="163"/>
      <c r="J11374" s="165"/>
      <c r="K11374" s="166"/>
      <c r="L11374" s="166"/>
    </row>
    <row r="11375">
      <c r="A11375" s="163" t="s">
        <v>222</v>
      </c>
      <c r="B11375" s="163"/>
      <c r="C11375" s="163"/>
      <c r="J11375" s="165"/>
      <c r="K11375" s="166"/>
      <c r="L11375" s="166"/>
    </row>
    <row r="11376">
      <c r="A11376" s="163" t="s">
        <v>222</v>
      </c>
      <c r="B11376" s="163"/>
      <c r="C11376" s="163"/>
      <c r="J11376" s="165"/>
      <c r="K11376" s="166"/>
      <c r="L11376" s="166"/>
    </row>
    <row r="11377">
      <c r="A11377" s="163" t="s">
        <v>222</v>
      </c>
      <c r="B11377" s="163"/>
      <c r="C11377" s="163"/>
      <c r="J11377" s="165"/>
      <c r="K11377" s="166"/>
      <c r="L11377" s="166"/>
    </row>
    <row r="11378">
      <c r="A11378" s="163" t="s">
        <v>222</v>
      </c>
      <c r="B11378" s="163"/>
      <c r="C11378" s="163"/>
      <c r="J11378" s="165"/>
      <c r="K11378" s="166"/>
      <c r="L11378" s="166"/>
    </row>
    <row r="11379">
      <c r="A11379" s="163" t="s">
        <v>222</v>
      </c>
      <c r="B11379" s="163"/>
      <c r="C11379" s="163"/>
      <c r="J11379" s="165"/>
      <c r="K11379" s="166"/>
      <c r="L11379" s="166"/>
    </row>
    <row r="11380">
      <c r="A11380" s="163" t="s">
        <v>222</v>
      </c>
      <c r="B11380" s="163"/>
      <c r="C11380" s="163"/>
      <c r="J11380" s="165"/>
      <c r="K11380" s="166"/>
      <c r="L11380" s="166"/>
    </row>
    <row r="11381">
      <c r="A11381" s="163" t="s">
        <v>222</v>
      </c>
      <c r="B11381" s="163"/>
      <c r="C11381" s="163"/>
      <c r="J11381" s="165"/>
      <c r="K11381" s="166"/>
      <c r="L11381" s="166"/>
    </row>
    <row r="11382">
      <c r="A11382" s="163" t="s">
        <v>222</v>
      </c>
      <c r="B11382" s="163"/>
      <c r="C11382" s="163"/>
      <c r="J11382" s="165"/>
      <c r="K11382" s="166"/>
      <c r="L11382" s="166"/>
    </row>
    <row r="11383">
      <c r="A11383" s="163" t="s">
        <v>222</v>
      </c>
      <c r="B11383" s="163"/>
      <c r="C11383" s="163"/>
      <c r="J11383" s="165"/>
      <c r="K11383" s="166"/>
      <c r="L11383" s="166"/>
    </row>
    <row r="11384">
      <c r="A11384" s="163" t="s">
        <v>222</v>
      </c>
      <c r="B11384" s="163"/>
      <c r="C11384" s="163"/>
      <c r="J11384" s="165"/>
      <c r="K11384" s="166"/>
      <c r="L11384" s="166"/>
    </row>
    <row r="11385">
      <c r="A11385" s="163" t="s">
        <v>222</v>
      </c>
      <c r="B11385" s="163"/>
      <c r="C11385" s="163"/>
      <c r="J11385" s="165"/>
      <c r="K11385" s="166"/>
      <c r="L11385" s="166"/>
    </row>
    <row r="11386">
      <c r="A11386" s="163" t="s">
        <v>222</v>
      </c>
      <c r="B11386" s="163"/>
      <c r="C11386" s="163"/>
      <c r="J11386" s="165"/>
      <c r="K11386" s="166"/>
      <c r="L11386" s="166"/>
    </row>
    <row r="11387">
      <c r="A11387" s="163" t="s">
        <v>222</v>
      </c>
      <c r="B11387" s="163"/>
      <c r="C11387" s="163"/>
      <c r="J11387" s="165"/>
      <c r="K11387" s="166"/>
      <c r="L11387" s="166"/>
    </row>
    <row r="11388">
      <c r="A11388" s="163" t="s">
        <v>222</v>
      </c>
      <c r="B11388" s="163"/>
      <c r="C11388" s="163"/>
      <c r="J11388" s="165"/>
      <c r="K11388" s="166"/>
      <c r="L11388" s="166"/>
    </row>
    <row r="11389">
      <c r="A11389" s="163" t="s">
        <v>222</v>
      </c>
      <c r="B11389" s="163"/>
      <c r="C11389" s="163"/>
      <c r="J11389" s="165"/>
      <c r="K11389" s="166"/>
      <c r="L11389" s="166"/>
    </row>
    <row r="11390">
      <c r="A11390" s="163" t="s">
        <v>222</v>
      </c>
      <c r="B11390" s="163"/>
      <c r="C11390" s="163"/>
      <c r="J11390" s="165"/>
      <c r="K11390" s="166"/>
      <c r="L11390" s="166"/>
    </row>
    <row r="11391">
      <c r="A11391" s="163" t="s">
        <v>222</v>
      </c>
      <c r="B11391" s="163"/>
      <c r="C11391" s="163"/>
      <c r="J11391" s="165"/>
      <c r="K11391" s="166"/>
      <c r="L11391" s="166"/>
    </row>
    <row r="11392">
      <c r="A11392" s="163" t="s">
        <v>222</v>
      </c>
      <c r="B11392" s="163"/>
      <c r="C11392" s="163"/>
      <c r="J11392" s="165"/>
      <c r="K11392" s="166"/>
      <c r="L11392" s="166"/>
    </row>
    <row r="11393">
      <c r="A11393" s="163" t="s">
        <v>222</v>
      </c>
      <c r="B11393" s="163"/>
      <c r="C11393" s="163"/>
      <c r="J11393" s="165"/>
      <c r="K11393" s="166"/>
      <c r="L11393" s="166"/>
    </row>
    <row r="11394">
      <c r="A11394" s="163" t="s">
        <v>222</v>
      </c>
      <c r="B11394" s="163"/>
      <c r="C11394" s="163"/>
      <c r="J11394" s="165"/>
      <c r="K11394" s="166"/>
      <c r="L11394" s="166"/>
    </row>
    <row r="11395">
      <c r="A11395" s="163" t="s">
        <v>222</v>
      </c>
      <c r="B11395" s="163"/>
      <c r="C11395" s="163"/>
      <c r="J11395" s="165"/>
      <c r="K11395" s="166"/>
      <c r="L11395" s="166"/>
    </row>
    <row r="11396">
      <c r="A11396" s="163" t="s">
        <v>222</v>
      </c>
      <c r="B11396" s="163"/>
      <c r="C11396" s="163"/>
      <c r="J11396" s="165"/>
      <c r="K11396" s="166"/>
      <c r="L11396" s="166"/>
    </row>
    <row r="11397">
      <c r="A11397" s="163" t="s">
        <v>222</v>
      </c>
      <c r="B11397" s="163"/>
      <c r="C11397" s="163"/>
      <c r="J11397" s="165"/>
      <c r="K11397" s="166"/>
      <c r="L11397" s="166"/>
    </row>
    <row r="11398">
      <c r="A11398" s="163" t="s">
        <v>222</v>
      </c>
      <c r="B11398" s="163"/>
      <c r="C11398" s="163"/>
      <c r="J11398" s="165"/>
      <c r="K11398" s="166"/>
      <c r="L11398" s="166"/>
    </row>
    <row r="11399">
      <c r="A11399" s="163" t="s">
        <v>222</v>
      </c>
      <c r="B11399" s="163"/>
      <c r="C11399" s="163"/>
      <c r="J11399" s="165"/>
      <c r="K11399" s="166"/>
      <c r="L11399" s="166"/>
    </row>
    <row r="11400">
      <c r="A11400" s="163" t="s">
        <v>222</v>
      </c>
      <c r="B11400" s="163"/>
      <c r="C11400" s="163"/>
      <c r="J11400" s="165"/>
      <c r="K11400" s="166"/>
      <c r="L11400" s="166"/>
    </row>
    <row r="11401">
      <c r="A11401" s="163" t="s">
        <v>222</v>
      </c>
      <c r="B11401" s="163"/>
      <c r="C11401" s="163"/>
      <c r="J11401" s="165"/>
      <c r="K11401" s="166"/>
      <c r="L11401" s="166"/>
    </row>
    <row r="11402">
      <c r="A11402" s="163" t="s">
        <v>222</v>
      </c>
      <c r="B11402" s="163"/>
      <c r="C11402" s="163"/>
      <c r="J11402" s="165"/>
      <c r="K11402" s="166"/>
      <c r="L11402" s="166"/>
    </row>
    <row r="11403">
      <c r="A11403" s="163" t="s">
        <v>222</v>
      </c>
      <c r="B11403" s="163"/>
      <c r="C11403" s="163"/>
      <c r="J11403" s="165"/>
      <c r="K11403" s="166"/>
      <c r="L11403" s="166"/>
    </row>
    <row r="11404">
      <c r="A11404" s="163" t="s">
        <v>222</v>
      </c>
      <c r="B11404" s="163"/>
      <c r="C11404" s="163"/>
      <c r="J11404" s="165"/>
      <c r="K11404" s="166"/>
      <c r="L11404" s="166"/>
    </row>
    <row r="11405">
      <c r="A11405" s="163" t="s">
        <v>222</v>
      </c>
      <c r="B11405" s="163"/>
      <c r="C11405" s="163"/>
      <c r="J11405" s="165"/>
      <c r="K11405" s="166"/>
      <c r="L11405" s="166"/>
    </row>
    <row r="11406">
      <c r="A11406" s="163" t="s">
        <v>222</v>
      </c>
      <c r="B11406" s="163"/>
      <c r="C11406" s="163"/>
      <c r="J11406" s="165"/>
      <c r="K11406" s="166"/>
      <c r="L11406" s="166"/>
    </row>
    <row r="11407">
      <c r="A11407" s="163" t="s">
        <v>222</v>
      </c>
      <c r="B11407" s="163"/>
      <c r="C11407" s="163"/>
      <c r="J11407" s="165"/>
      <c r="K11407" s="166"/>
      <c r="L11407" s="166"/>
    </row>
    <row r="11408">
      <c r="A11408" s="163" t="s">
        <v>222</v>
      </c>
      <c r="B11408" s="163"/>
      <c r="C11408" s="163"/>
      <c r="J11408" s="165"/>
      <c r="K11408" s="166"/>
      <c r="L11408" s="166"/>
    </row>
    <row r="11409">
      <c r="A11409" s="163" t="s">
        <v>222</v>
      </c>
      <c r="B11409" s="163"/>
      <c r="C11409" s="163"/>
      <c r="J11409" s="165"/>
      <c r="K11409" s="166"/>
      <c r="L11409" s="166"/>
    </row>
    <row r="11410">
      <c r="A11410" s="163" t="s">
        <v>222</v>
      </c>
      <c r="B11410" s="163"/>
      <c r="C11410" s="163"/>
      <c r="J11410" s="165"/>
      <c r="K11410" s="166"/>
      <c r="L11410" s="166"/>
    </row>
    <row r="11411">
      <c r="A11411" s="163" t="s">
        <v>222</v>
      </c>
      <c r="B11411" s="163"/>
      <c r="C11411" s="163"/>
      <c r="J11411" s="165"/>
      <c r="K11411" s="166"/>
      <c r="L11411" s="166"/>
    </row>
    <row r="11412">
      <c r="A11412" s="163" t="s">
        <v>222</v>
      </c>
      <c r="B11412" s="163"/>
      <c r="C11412" s="163"/>
      <c r="J11412" s="165"/>
      <c r="K11412" s="166"/>
      <c r="L11412" s="166"/>
    </row>
    <row r="11413">
      <c r="A11413" s="163" t="s">
        <v>222</v>
      </c>
      <c r="B11413" s="163"/>
      <c r="C11413" s="163"/>
      <c r="J11413" s="165"/>
      <c r="K11413" s="166"/>
      <c r="L11413" s="166"/>
    </row>
    <row r="11414">
      <c r="A11414" s="163" t="s">
        <v>222</v>
      </c>
      <c r="B11414" s="163"/>
      <c r="C11414" s="163"/>
      <c r="J11414" s="165"/>
      <c r="K11414" s="166"/>
      <c r="L11414" s="166"/>
    </row>
    <row r="11415">
      <c r="A11415" s="163" t="s">
        <v>222</v>
      </c>
      <c r="B11415" s="163"/>
      <c r="C11415" s="163"/>
      <c r="J11415" s="165"/>
      <c r="K11415" s="166"/>
      <c r="L11415" s="166"/>
    </row>
    <row r="11416">
      <c r="A11416" s="163" t="s">
        <v>222</v>
      </c>
      <c r="B11416" s="163"/>
      <c r="C11416" s="163"/>
      <c r="J11416" s="165"/>
      <c r="K11416" s="166"/>
      <c r="L11416" s="166"/>
    </row>
    <row r="11417">
      <c r="A11417" s="163" t="s">
        <v>222</v>
      </c>
      <c r="B11417" s="163"/>
      <c r="C11417" s="163"/>
      <c r="J11417" s="165"/>
      <c r="K11417" s="166"/>
      <c r="L11417" s="166"/>
    </row>
    <row r="11418">
      <c r="A11418" s="163" t="s">
        <v>222</v>
      </c>
      <c r="B11418" s="163"/>
      <c r="C11418" s="163"/>
      <c r="J11418" s="165"/>
      <c r="K11418" s="166"/>
      <c r="L11418" s="166"/>
    </row>
    <row r="11419">
      <c r="A11419" s="163" t="s">
        <v>222</v>
      </c>
      <c r="B11419" s="163"/>
      <c r="C11419" s="163"/>
      <c r="J11419" s="165"/>
      <c r="K11419" s="166"/>
      <c r="L11419" s="166"/>
    </row>
    <row r="11420">
      <c r="A11420" s="163" t="s">
        <v>222</v>
      </c>
      <c r="B11420" s="163"/>
      <c r="C11420" s="163"/>
      <c r="J11420" s="165"/>
      <c r="K11420" s="166"/>
      <c r="L11420" s="166"/>
    </row>
    <row r="11421">
      <c r="A11421" s="163" t="s">
        <v>222</v>
      </c>
      <c r="B11421" s="163"/>
      <c r="C11421" s="163"/>
      <c r="J11421" s="165"/>
      <c r="K11421" s="166"/>
      <c r="L11421" s="166"/>
    </row>
    <row r="11422">
      <c r="A11422" s="163" t="s">
        <v>222</v>
      </c>
      <c r="B11422" s="163"/>
      <c r="C11422" s="163"/>
      <c r="J11422" s="165"/>
      <c r="K11422" s="166"/>
      <c r="L11422" s="166"/>
    </row>
    <row r="11423">
      <c r="A11423" s="163" t="s">
        <v>222</v>
      </c>
      <c r="B11423" s="163"/>
      <c r="C11423" s="163"/>
      <c r="J11423" s="165"/>
      <c r="K11423" s="166"/>
      <c r="L11423" s="166"/>
    </row>
    <row r="11424">
      <c r="A11424" s="163" t="s">
        <v>222</v>
      </c>
      <c r="B11424" s="163"/>
      <c r="C11424" s="163"/>
      <c r="J11424" s="165"/>
      <c r="K11424" s="166"/>
      <c r="L11424" s="166"/>
    </row>
    <row r="11425">
      <c r="A11425" s="163" t="s">
        <v>222</v>
      </c>
      <c r="B11425" s="163"/>
      <c r="C11425" s="163"/>
      <c r="J11425" s="165"/>
      <c r="K11425" s="166"/>
      <c r="L11425" s="166"/>
    </row>
    <row r="11426">
      <c r="A11426" s="163" t="s">
        <v>222</v>
      </c>
      <c r="B11426" s="163"/>
      <c r="C11426" s="163"/>
      <c r="J11426" s="165"/>
      <c r="K11426" s="166"/>
      <c r="L11426" s="166"/>
    </row>
    <row r="11427">
      <c r="A11427" s="163" t="s">
        <v>222</v>
      </c>
      <c r="B11427" s="163"/>
      <c r="C11427" s="163"/>
      <c r="J11427" s="165"/>
      <c r="K11427" s="166"/>
      <c r="L11427" s="166"/>
    </row>
    <row r="11428">
      <c r="A11428" s="163" t="s">
        <v>222</v>
      </c>
      <c r="B11428" s="163"/>
      <c r="C11428" s="163"/>
      <c r="J11428" s="165"/>
      <c r="K11428" s="166"/>
      <c r="L11428" s="166"/>
    </row>
    <row r="11429">
      <c r="A11429" s="163" t="s">
        <v>222</v>
      </c>
      <c r="B11429" s="163"/>
      <c r="C11429" s="163"/>
      <c r="J11429" s="165"/>
      <c r="K11429" s="166"/>
      <c r="L11429" s="166"/>
    </row>
    <row r="11430">
      <c r="A11430" s="163" t="s">
        <v>222</v>
      </c>
      <c r="B11430" s="163"/>
      <c r="C11430" s="163"/>
      <c r="J11430" s="165"/>
      <c r="K11430" s="166"/>
      <c r="L11430" s="166"/>
    </row>
    <row r="11431">
      <c r="A11431" s="163" t="s">
        <v>222</v>
      </c>
      <c r="B11431" s="163"/>
      <c r="C11431" s="163"/>
      <c r="J11431" s="165"/>
      <c r="K11431" s="166"/>
      <c r="L11431" s="166"/>
    </row>
    <row r="11432">
      <c r="A11432" s="163" t="s">
        <v>222</v>
      </c>
      <c r="B11432" s="163"/>
      <c r="C11432" s="163"/>
      <c r="J11432" s="165"/>
      <c r="K11432" s="166"/>
      <c r="L11432" s="166"/>
    </row>
    <row r="11433">
      <c r="A11433" s="163" t="s">
        <v>222</v>
      </c>
      <c r="B11433" s="163"/>
      <c r="C11433" s="163"/>
      <c r="J11433" s="165"/>
      <c r="K11433" s="166"/>
      <c r="L11433" s="166"/>
    </row>
    <row r="11434">
      <c r="A11434" s="163" t="s">
        <v>222</v>
      </c>
      <c r="B11434" s="163"/>
      <c r="C11434" s="163"/>
      <c r="J11434" s="165"/>
      <c r="K11434" s="166"/>
      <c r="L11434" s="166"/>
    </row>
    <row r="11435">
      <c r="A11435" s="163" t="s">
        <v>222</v>
      </c>
      <c r="B11435" s="163"/>
      <c r="C11435" s="163"/>
      <c r="J11435" s="165"/>
      <c r="K11435" s="166"/>
      <c r="L11435" s="166"/>
    </row>
    <row r="11436">
      <c r="A11436" s="163" t="s">
        <v>222</v>
      </c>
      <c r="B11436" s="163"/>
      <c r="C11436" s="163"/>
      <c r="J11436" s="165"/>
      <c r="K11436" s="166"/>
      <c r="L11436" s="166"/>
    </row>
    <row r="11437">
      <c r="A11437" s="163" t="s">
        <v>222</v>
      </c>
      <c r="B11437" s="163"/>
      <c r="C11437" s="163"/>
      <c r="J11437" s="165"/>
      <c r="K11437" s="166"/>
      <c r="L11437" s="166"/>
    </row>
    <row r="11438">
      <c r="A11438" s="163" t="s">
        <v>222</v>
      </c>
      <c r="B11438" s="163"/>
      <c r="C11438" s="163"/>
      <c r="J11438" s="165"/>
      <c r="K11438" s="166"/>
      <c r="L11438" s="166"/>
    </row>
    <row r="11439">
      <c r="A11439" s="163" t="s">
        <v>222</v>
      </c>
      <c r="B11439" s="163"/>
      <c r="C11439" s="163"/>
      <c r="J11439" s="165"/>
      <c r="K11439" s="166"/>
      <c r="L11439" s="166"/>
    </row>
    <row r="11440">
      <c r="A11440" s="163" t="s">
        <v>222</v>
      </c>
      <c r="B11440" s="163"/>
      <c r="C11440" s="163"/>
      <c r="J11440" s="165"/>
      <c r="K11440" s="166"/>
      <c r="L11440" s="166"/>
    </row>
    <row r="11441">
      <c r="A11441" s="163" t="s">
        <v>222</v>
      </c>
      <c r="B11441" s="163"/>
      <c r="C11441" s="163"/>
      <c r="J11441" s="165"/>
      <c r="K11441" s="166"/>
      <c r="L11441" s="166"/>
    </row>
    <row r="11442">
      <c r="A11442" s="163" t="s">
        <v>222</v>
      </c>
      <c r="B11442" s="163"/>
      <c r="C11442" s="163"/>
      <c r="J11442" s="165"/>
      <c r="K11442" s="166"/>
      <c r="L11442" s="166"/>
    </row>
    <row r="11443">
      <c r="A11443" s="163" t="s">
        <v>222</v>
      </c>
      <c r="B11443" s="163"/>
      <c r="C11443" s="163"/>
      <c r="J11443" s="165"/>
      <c r="K11443" s="166"/>
      <c r="L11443" s="166"/>
    </row>
    <row r="11444">
      <c r="A11444" s="163" t="s">
        <v>222</v>
      </c>
      <c r="B11444" s="163"/>
      <c r="C11444" s="163"/>
      <c r="J11444" s="165"/>
      <c r="K11444" s="166"/>
      <c r="L11444" s="166"/>
    </row>
    <row r="11445">
      <c r="A11445" s="163" t="s">
        <v>222</v>
      </c>
      <c r="B11445" s="163"/>
      <c r="C11445" s="163"/>
      <c r="J11445" s="165"/>
      <c r="K11445" s="166"/>
      <c r="L11445" s="166"/>
    </row>
    <row r="11446">
      <c r="A11446" s="163" t="s">
        <v>222</v>
      </c>
      <c r="B11446" s="163"/>
      <c r="C11446" s="163"/>
      <c r="J11446" s="165"/>
      <c r="K11446" s="166"/>
      <c r="L11446" s="166"/>
    </row>
    <row r="11447">
      <c r="A11447" s="163" t="s">
        <v>222</v>
      </c>
      <c r="B11447" s="163"/>
      <c r="C11447" s="163"/>
      <c r="J11447" s="165"/>
      <c r="K11447" s="166"/>
      <c r="L11447" s="166"/>
    </row>
    <row r="11448">
      <c r="A11448" s="163" t="s">
        <v>222</v>
      </c>
      <c r="B11448" s="163"/>
      <c r="C11448" s="163"/>
      <c r="J11448" s="165"/>
      <c r="K11448" s="166"/>
      <c r="L11448" s="166"/>
    </row>
    <row r="11449">
      <c r="A11449" s="163" t="s">
        <v>222</v>
      </c>
      <c r="B11449" s="163"/>
      <c r="C11449" s="163"/>
      <c r="J11449" s="165"/>
      <c r="K11449" s="166"/>
      <c r="L11449" s="166"/>
    </row>
    <row r="11450">
      <c r="A11450" s="163" t="s">
        <v>222</v>
      </c>
      <c r="B11450" s="163"/>
      <c r="C11450" s="163"/>
      <c r="J11450" s="165"/>
      <c r="K11450" s="166"/>
      <c r="L11450" s="166"/>
    </row>
    <row r="11451">
      <c r="A11451" s="163" t="s">
        <v>222</v>
      </c>
      <c r="B11451" s="163"/>
      <c r="C11451" s="163"/>
      <c r="J11451" s="165"/>
      <c r="K11451" s="166"/>
      <c r="L11451" s="166"/>
    </row>
    <row r="11452">
      <c r="A11452" s="163" t="s">
        <v>222</v>
      </c>
      <c r="B11452" s="163"/>
      <c r="C11452" s="163"/>
      <c r="J11452" s="165"/>
      <c r="K11452" s="166"/>
      <c r="L11452" s="166"/>
    </row>
    <row r="11453">
      <c r="A11453" s="163" t="s">
        <v>222</v>
      </c>
      <c r="B11453" s="163"/>
      <c r="C11453" s="163"/>
      <c r="J11453" s="165"/>
      <c r="K11453" s="166"/>
      <c r="L11453" s="166"/>
    </row>
    <row r="11454">
      <c r="A11454" s="163" t="s">
        <v>222</v>
      </c>
      <c r="B11454" s="163"/>
      <c r="C11454" s="163"/>
      <c r="J11454" s="165"/>
      <c r="K11454" s="166"/>
      <c r="L11454" s="166"/>
    </row>
    <row r="11455">
      <c r="A11455" s="163" t="s">
        <v>222</v>
      </c>
      <c r="B11455" s="163"/>
      <c r="C11455" s="163"/>
      <c r="J11455" s="165"/>
      <c r="K11455" s="166"/>
      <c r="L11455" s="166"/>
    </row>
    <row r="11456">
      <c r="A11456" s="163" t="s">
        <v>222</v>
      </c>
      <c r="B11456" s="163"/>
      <c r="C11456" s="163"/>
      <c r="J11456" s="165"/>
      <c r="K11456" s="166"/>
      <c r="L11456" s="166"/>
    </row>
    <row r="11457">
      <c r="A11457" s="163" t="s">
        <v>222</v>
      </c>
      <c r="B11457" s="163"/>
      <c r="C11457" s="163"/>
      <c r="J11457" s="165"/>
      <c r="K11457" s="166"/>
      <c r="L11457" s="166"/>
    </row>
    <row r="11458">
      <c r="A11458" s="163" t="s">
        <v>222</v>
      </c>
      <c r="B11458" s="163"/>
      <c r="C11458" s="163"/>
      <c r="J11458" s="165"/>
      <c r="K11458" s="166"/>
      <c r="L11458" s="166"/>
    </row>
    <row r="11459">
      <c r="A11459" s="163" t="s">
        <v>222</v>
      </c>
      <c r="B11459" s="163"/>
      <c r="C11459" s="163"/>
      <c r="J11459" s="165"/>
      <c r="K11459" s="166"/>
      <c r="L11459" s="166"/>
    </row>
    <row r="11460">
      <c r="A11460" s="163" t="s">
        <v>222</v>
      </c>
      <c r="B11460" s="163"/>
      <c r="C11460" s="163"/>
      <c r="J11460" s="165"/>
      <c r="K11460" s="166"/>
      <c r="L11460" s="166"/>
    </row>
    <row r="11461">
      <c r="A11461" s="163" t="s">
        <v>222</v>
      </c>
      <c r="B11461" s="163"/>
      <c r="C11461" s="163"/>
      <c r="J11461" s="165"/>
      <c r="K11461" s="166"/>
      <c r="L11461" s="166"/>
    </row>
    <row r="11462">
      <c r="A11462" s="163" t="s">
        <v>222</v>
      </c>
      <c r="B11462" s="163"/>
      <c r="C11462" s="163"/>
      <c r="J11462" s="165"/>
      <c r="K11462" s="166"/>
      <c r="L11462" s="166"/>
    </row>
    <row r="11463">
      <c r="A11463" s="163" t="s">
        <v>222</v>
      </c>
      <c r="B11463" s="163"/>
      <c r="C11463" s="163"/>
      <c r="J11463" s="165"/>
      <c r="K11463" s="166"/>
      <c r="L11463" s="166"/>
    </row>
    <row r="11464">
      <c r="A11464" s="163" t="s">
        <v>222</v>
      </c>
      <c r="B11464" s="163"/>
      <c r="C11464" s="163"/>
      <c r="J11464" s="165"/>
      <c r="K11464" s="166"/>
      <c r="L11464" s="166"/>
    </row>
    <row r="11465">
      <c r="A11465" s="163" t="s">
        <v>222</v>
      </c>
      <c r="B11465" s="163"/>
      <c r="C11465" s="163"/>
      <c r="J11465" s="165"/>
      <c r="K11465" s="166"/>
      <c r="L11465" s="166"/>
    </row>
    <row r="11466">
      <c r="A11466" s="163" t="s">
        <v>222</v>
      </c>
      <c r="B11466" s="163"/>
      <c r="C11466" s="163"/>
      <c r="J11466" s="165"/>
      <c r="K11466" s="166"/>
      <c r="L11466" s="166"/>
    </row>
    <row r="11467">
      <c r="A11467" s="163" t="s">
        <v>222</v>
      </c>
      <c r="B11467" s="163"/>
      <c r="C11467" s="163"/>
      <c r="J11467" s="165"/>
      <c r="K11467" s="166"/>
      <c r="L11467" s="166"/>
    </row>
    <row r="11468">
      <c r="A11468" s="163" t="s">
        <v>222</v>
      </c>
      <c r="B11468" s="163"/>
      <c r="C11468" s="163"/>
      <c r="J11468" s="165"/>
      <c r="K11468" s="166"/>
      <c r="L11468" s="166"/>
    </row>
    <row r="11469">
      <c r="A11469" s="163" t="s">
        <v>222</v>
      </c>
      <c r="B11469" s="163"/>
      <c r="C11469" s="163"/>
      <c r="J11469" s="165"/>
      <c r="K11469" s="166"/>
      <c r="L11469" s="166"/>
    </row>
    <row r="11470">
      <c r="A11470" s="163" t="s">
        <v>222</v>
      </c>
      <c r="B11470" s="163"/>
      <c r="C11470" s="163"/>
      <c r="J11470" s="165"/>
      <c r="K11470" s="166"/>
      <c r="L11470" s="166"/>
    </row>
    <row r="11471">
      <c r="A11471" s="163" t="s">
        <v>222</v>
      </c>
      <c r="B11471" s="163"/>
      <c r="C11471" s="163"/>
      <c r="J11471" s="165"/>
      <c r="K11471" s="166"/>
      <c r="L11471" s="166"/>
    </row>
    <row r="11472">
      <c r="A11472" s="163" t="s">
        <v>222</v>
      </c>
      <c r="B11472" s="163"/>
      <c r="C11472" s="163"/>
      <c r="J11472" s="165"/>
      <c r="K11472" s="166"/>
      <c r="L11472" s="166"/>
    </row>
    <row r="11473">
      <c r="A11473" s="163" t="s">
        <v>222</v>
      </c>
      <c r="B11473" s="163"/>
      <c r="C11473" s="163"/>
      <c r="J11473" s="165"/>
      <c r="K11473" s="166"/>
      <c r="L11473" s="166"/>
    </row>
    <row r="11474">
      <c r="A11474" s="163" t="s">
        <v>222</v>
      </c>
      <c r="B11474" s="163"/>
      <c r="C11474" s="163"/>
      <c r="J11474" s="165"/>
      <c r="K11474" s="166"/>
      <c r="L11474" s="166"/>
    </row>
    <row r="11475">
      <c r="A11475" s="163" t="s">
        <v>222</v>
      </c>
      <c r="B11475" s="163"/>
      <c r="C11475" s="163"/>
      <c r="J11475" s="165"/>
      <c r="K11475" s="166"/>
      <c r="L11475" s="166"/>
    </row>
    <row r="11476">
      <c r="A11476" s="163" t="s">
        <v>222</v>
      </c>
      <c r="B11476" s="163"/>
      <c r="C11476" s="163"/>
      <c r="J11476" s="165"/>
      <c r="K11476" s="166"/>
      <c r="L11476" s="166"/>
    </row>
    <row r="11477">
      <c r="A11477" s="163" t="s">
        <v>222</v>
      </c>
      <c r="B11477" s="163"/>
      <c r="C11477" s="163"/>
      <c r="J11477" s="165"/>
      <c r="K11477" s="166"/>
      <c r="L11477" s="166"/>
    </row>
    <row r="11478">
      <c r="A11478" s="163" t="s">
        <v>222</v>
      </c>
      <c r="B11478" s="163"/>
      <c r="C11478" s="163"/>
      <c r="J11478" s="165"/>
      <c r="K11478" s="166"/>
      <c r="L11478" s="166"/>
    </row>
    <row r="11479">
      <c r="A11479" s="163" t="s">
        <v>222</v>
      </c>
      <c r="B11479" s="163"/>
      <c r="C11479" s="163"/>
      <c r="J11479" s="165"/>
      <c r="K11479" s="166"/>
      <c r="L11479" s="166"/>
    </row>
    <row r="11480">
      <c r="A11480" s="163" t="s">
        <v>222</v>
      </c>
      <c r="B11480" s="163"/>
      <c r="C11480" s="163"/>
      <c r="J11480" s="165"/>
      <c r="K11480" s="166"/>
      <c r="L11480" s="166"/>
    </row>
    <row r="11481">
      <c r="A11481" s="163" t="s">
        <v>222</v>
      </c>
      <c r="B11481" s="163"/>
      <c r="C11481" s="163"/>
      <c r="J11481" s="165"/>
      <c r="K11481" s="166"/>
      <c r="L11481" s="166"/>
    </row>
    <row r="11482">
      <c r="A11482" s="163" t="s">
        <v>222</v>
      </c>
      <c r="B11482" s="163"/>
      <c r="C11482" s="163"/>
      <c r="J11482" s="165"/>
      <c r="K11482" s="166"/>
      <c r="L11482" s="166"/>
    </row>
    <row r="11483">
      <c r="A11483" s="163" t="s">
        <v>222</v>
      </c>
      <c r="B11483" s="163"/>
      <c r="C11483" s="163"/>
      <c r="J11483" s="165"/>
      <c r="K11483" s="166"/>
      <c r="L11483" s="166"/>
    </row>
    <row r="11484">
      <c r="A11484" s="163" t="s">
        <v>222</v>
      </c>
      <c r="B11484" s="163"/>
      <c r="C11484" s="163"/>
      <c r="J11484" s="165"/>
      <c r="K11484" s="166"/>
      <c r="L11484" s="166"/>
    </row>
    <row r="11485">
      <c r="A11485" s="163" t="s">
        <v>222</v>
      </c>
      <c r="B11485" s="163"/>
      <c r="C11485" s="163"/>
      <c r="J11485" s="165"/>
      <c r="K11485" s="166"/>
      <c r="L11485" s="166"/>
    </row>
    <row r="11486">
      <c r="A11486" s="163" t="s">
        <v>222</v>
      </c>
      <c r="B11486" s="163"/>
      <c r="C11486" s="163"/>
      <c r="J11486" s="165"/>
      <c r="K11486" s="166"/>
      <c r="L11486" s="166"/>
    </row>
    <row r="11487">
      <c r="A11487" s="163" t="s">
        <v>222</v>
      </c>
      <c r="B11487" s="163"/>
      <c r="C11487" s="163"/>
      <c r="J11487" s="165"/>
      <c r="K11487" s="166"/>
      <c r="L11487" s="166"/>
    </row>
    <row r="11488">
      <c r="A11488" s="163" t="s">
        <v>222</v>
      </c>
      <c r="B11488" s="163"/>
      <c r="C11488" s="163"/>
      <c r="J11488" s="165"/>
      <c r="K11488" s="166"/>
      <c r="L11488" s="166"/>
    </row>
    <row r="11489">
      <c r="A11489" s="163" t="s">
        <v>222</v>
      </c>
      <c r="B11489" s="163"/>
      <c r="C11489" s="163"/>
      <c r="J11489" s="165"/>
      <c r="K11489" s="166"/>
      <c r="L11489" s="166"/>
    </row>
    <row r="11490">
      <c r="A11490" s="163" t="s">
        <v>222</v>
      </c>
      <c r="B11490" s="163"/>
      <c r="C11490" s="163"/>
      <c r="J11490" s="165"/>
      <c r="K11490" s="166"/>
      <c r="L11490" s="166"/>
    </row>
    <row r="11491">
      <c r="A11491" s="163" t="s">
        <v>222</v>
      </c>
      <c r="B11491" s="163"/>
      <c r="C11491" s="163"/>
      <c r="J11491" s="165"/>
      <c r="K11491" s="166"/>
      <c r="L11491" s="166"/>
    </row>
    <row r="11492">
      <c r="A11492" s="163" t="s">
        <v>222</v>
      </c>
      <c r="B11492" s="163"/>
      <c r="C11492" s="163"/>
      <c r="J11492" s="165"/>
      <c r="K11492" s="166"/>
      <c r="L11492" s="166"/>
    </row>
    <row r="11493">
      <c r="A11493" s="163" t="s">
        <v>222</v>
      </c>
      <c r="B11493" s="163"/>
      <c r="C11493" s="163"/>
      <c r="J11493" s="165"/>
      <c r="K11493" s="166"/>
      <c r="L11493" s="166"/>
    </row>
    <row r="11494">
      <c r="A11494" s="163" t="s">
        <v>222</v>
      </c>
      <c r="B11494" s="163"/>
      <c r="C11494" s="163"/>
      <c r="J11494" s="165"/>
      <c r="K11494" s="166"/>
      <c r="L11494" s="166"/>
    </row>
    <row r="11495">
      <c r="A11495" s="163" t="s">
        <v>222</v>
      </c>
      <c r="B11495" s="163"/>
      <c r="C11495" s="163"/>
      <c r="J11495" s="165"/>
      <c r="K11495" s="166"/>
      <c r="L11495" s="166"/>
    </row>
    <row r="11496">
      <c r="A11496" s="163" t="s">
        <v>222</v>
      </c>
      <c r="B11496" s="163"/>
      <c r="C11496" s="163"/>
      <c r="J11496" s="165"/>
      <c r="K11496" s="166"/>
      <c r="L11496" s="166"/>
    </row>
    <row r="11497">
      <c r="A11497" s="163" t="s">
        <v>222</v>
      </c>
      <c r="B11497" s="163"/>
      <c r="C11497" s="163"/>
      <c r="J11497" s="165"/>
      <c r="K11497" s="166"/>
      <c r="L11497" s="166"/>
    </row>
    <row r="11498">
      <c r="A11498" s="163" t="s">
        <v>222</v>
      </c>
      <c r="B11498" s="163"/>
      <c r="C11498" s="163"/>
      <c r="J11498" s="165"/>
      <c r="K11498" s="166"/>
      <c r="L11498" s="166"/>
    </row>
    <row r="11499">
      <c r="A11499" s="163" t="s">
        <v>222</v>
      </c>
      <c r="B11499" s="163"/>
      <c r="C11499" s="163"/>
      <c r="J11499" s="165"/>
      <c r="K11499" s="166"/>
      <c r="L11499" s="166"/>
    </row>
    <row r="11500">
      <c r="A11500" s="163" t="s">
        <v>222</v>
      </c>
      <c r="B11500" s="163"/>
      <c r="C11500" s="163"/>
      <c r="J11500" s="165"/>
      <c r="K11500" s="166"/>
      <c r="L11500" s="166"/>
    </row>
    <row r="11501">
      <c r="A11501" s="163" t="s">
        <v>222</v>
      </c>
      <c r="B11501" s="163"/>
      <c r="C11501" s="163"/>
      <c r="J11501" s="165"/>
      <c r="K11501" s="166"/>
      <c r="L11501" s="166"/>
    </row>
    <row r="11502">
      <c r="A11502" s="163" t="s">
        <v>222</v>
      </c>
      <c r="B11502" s="163"/>
      <c r="C11502" s="163"/>
      <c r="J11502" s="165"/>
      <c r="K11502" s="166"/>
      <c r="L11502" s="166"/>
    </row>
    <row r="11503">
      <c r="A11503" s="163" t="s">
        <v>222</v>
      </c>
      <c r="B11503" s="163"/>
      <c r="C11503" s="163"/>
      <c r="J11503" s="165"/>
      <c r="K11503" s="166"/>
      <c r="L11503" s="166"/>
    </row>
    <row r="11504">
      <c r="A11504" s="163" t="s">
        <v>222</v>
      </c>
      <c r="B11504" s="163"/>
      <c r="C11504" s="163"/>
      <c r="J11504" s="165"/>
      <c r="K11504" s="166"/>
      <c r="L11504" s="166"/>
    </row>
    <row r="11505">
      <c r="A11505" s="163" t="s">
        <v>222</v>
      </c>
      <c r="B11505" s="163"/>
      <c r="C11505" s="163"/>
      <c r="J11505" s="165"/>
      <c r="K11505" s="166"/>
      <c r="L11505" s="166"/>
    </row>
    <row r="11506">
      <c r="A11506" s="163" t="s">
        <v>222</v>
      </c>
      <c r="B11506" s="163"/>
      <c r="C11506" s="163"/>
      <c r="J11506" s="165"/>
      <c r="K11506" s="166"/>
      <c r="L11506" s="166"/>
    </row>
    <row r="11507">
      <c r="A11507" s="163" t="s">
        <v>222</v>
      </c>
      <c r="B11507" s="163"/>
      <c r="C11507" s="163"/>
      <c r="J11507" s="165"/>
      <c r="K11507" s="166"/>
      <c r="L11507" s="166"/>
    </row>
    <row r="11508">
      <c r="A11508" s="163" t="s">
        <v>222</v>
      </c>
      <c r="B11508" s="163"/>
      <c r="C11508" s="163"/>
      <c r="J11508" s="165"/>
      <c r="K11508" s="166"/>
      <c r="L11508" s="166"/>
    </row>
    <row r="11509">
      <c r="A11509" s="163" t="s">
        <v>222</v>
      </c>
      <c r="B11509" s="163"/>
      <c r="C11509" s="163"/>
      <c r="J11509" s="165"/>
      <c r="K11509" s="166"/>
      <c r="L11509" s="166"/>
    </row>
    <row r="11510">
      <c r="A11510" s="163" t="s">
        <v>222</v>
      </c>
      <c r="B11510" s="163"/>
      <c r="C11510" s="163"/>
      <c r="J11510" s="165"/>
      <c r="K11510" s="166"/>
      <c r="L11510" s="166"/>
    </row>
    <row r="11511">
      <c r="A11511" s="163" t="s">
        <v>222</v>
      </c>
      <c r="B11511" s="163"/>
      <c r="C11511" s="163"/>
      <c r="J11511" s="165"/>
      <c r="K11511" s="166"/>
      <c r="L11511" s="166"/>
    </row>
    <row r="11512">
      <c r="A11512" s="163" t="s">
        <v>222</v>
      </c>
      <c r="B11512" s="163"/>
      <c r="C11512" s="163"/>
      <c r="J11512" s="165"/>
      <c r="K11512" s="166"/>
      <c r="L11512" s="166"/>
    </row>
    <row r="11513">
      <c r="A11513" s="163" t="s">
        <v>222</v>
      </c>
      <c r="B11513" s="163"/>
      <c r="C11513" s="163"/>
      <c r="J11513" s="165"/>
      <c r="K11513" s="166"/>
      <c r="L11513" s="166"/>
    </row>
    <row r="11514">
      <c r="A11514" s="163" t="s">
        <v>222</v>
      </c>
      <c r="B11514" s="163"/>
      <c r="C11514" s="163"/>
      <c r="J11514" s="165"/>
      <c r="K11514" s="166"/>
      <c r="L11514" s="166"/>
    </row>
    <row r="11515">
      <c r="A11515" s="163" t="s">
        <v>222</v>
      </c>
      <c r="B11515" s="163"/>
      <c r="C11515" s="163"/>
      <c r="J11515" s="165"/>
      <c r="K11515" s="166"/>
      <c r="L11515" s="166"/>
    </row>
    <row r="11516">
      <c r="A11516" s="163" t="s">
        <v>222</v>
      </c>
      <c r="B11516" s="163"/>
      <c r="C11516" s="163"/>
      <c r="J11516" s="165"/>
      <c r="K11516" s="166"/>
      <c r="L11516" s="166"/>
    </row>
    <row r="11517">
      <c r="A11517" s="163" t="s">
        <v>222</v>
      </c>
      <c r="B11517" s="163"/>
      <c r="C11517" s="163"/>
      <c r="J11517" s="165"/>
      <c r="K11517" s="166"/>
      <c r="L11517" s="166"/>
    </row>
    <row r="11518">
      <c r="A11518" s="163" t="s">
        <v>222</v>
      </c>
      <c r="B11518" s="163"/>
      <c r="C11518" s="163"/>
      <c r="J11518" s="165"/>
      <c r="K11518" s="166"/>
      <c r="L11518" s="166"/>
    </row>
    <row r="11519">
      <c r="A11519" s="163" t="s">
        <v>222</v>
      </c>
      <c r="B11519" s="163"/>
      <c r="C11519" s="163"/>
      <c r="J11519" s="165"/>
      <c r="K11519" s="166"/>
      <c r="L11519" s="166"/>
    </row>
    <row r="11520">
      <c r="A11520" s="163" t="s">
        <v>222</v>
      </c>
      <c r="B11520" s="163"/>
      <c r="C11520" s="163"/>
      <c r="J11520" s="165"/>
      <c r="K11520" s="166"/>
      <c r="L11520" s="166"/>
    </row>
    <row r="11521">
      <c r="A11521" s="163" t="s">
        <v>222</v>
      </c>
      <c r="B11521" s="163"/>
      <c r="C11521" s="163"/>
      <c r="J11521" s="165"/>
      <c r="K11521" s="166"/>
      <c r="L11521" s="166"/>
    </row>
    <row r="11522">
      <c r="A11522" s="163" t="s">
        <v>222</v>
      </c>
      <c r="B11522" s="163"/>
      <c r="C11522" s="163"/>
      <c r="J11522" s="165"/>
      <c r="K11522" s="166"/>
      <c r="L11522" s="166"/>
    </row>
    <row r="11523">
      <c r="A11523" s="163" t="s">
        <v>222</v>
      </c>
      <c r="B11523" s="163"/>
      <c r="C11523" s="163"/>
      <c r="J11523" s="165"/>
      <c r="K11523" s="166"/>
      <c r="L11523" s="166"/>
    </row>
    <row r="11524">
      <c r="A11524" s="163" t="s">
        <v>222</v>
      </c>
      <c r="B11524" s="163"/>
      <c r="C11524" s="163"/>
      <c r="J11524" s="165"/>
      <c r="K11524" s="166"/>
      <c r="L11524" s="166"/>
    </row>
    <row r="11525">
      <c r="A11525" s="163" t="s">
        <v>222</v>
      </c>
      <c r="B11525" s="163"/>
      <c r="C11525" s="163"/>
      <c r="J11525" s="165"/>
      <c r="K11525" s="166"/>
      <c r="L11525" s="166"/>
    </row>
    <row r="11526">
      <c r="A11526" s="163" t="s">
        <v>222</v>
      </c>
      <c r="B11526" s="163"/>
      <c r="C11526" s="163"/>
      <c r="J11526" s="165"/>
      <c r="K11526" s="166"/>
      <c r="L11526" s="166"/>
    </row>
    <row r="11527">
      <c r="A11527" s="163" t="s">
        <v>222</v>
      </c>
      <c r="B11527" s="163"/>
      <c r="C11527" s="163"/>
      <c r="J11527" s="165"/>
      <c r="K11527" s="166"/>
      <c r="L11527" s="166"/>
    </row>
    <row r="11528">
      <c r="A11528" s="163" t="s">
        <v>222</v>
      </c>
      <c r="B11528" s="163"/>
      <c r="C11528" s="163"/>
      <c r="J11528" s="165"/>
      <c r="K11528" s="166"/>
      <c r="L11528" s="166"/>
    </row>
    <row r="11529">
      <c r="A11529" s="163" t="s">
        <v>222</v>
      </c>
      <c r="B11529" s="163"/>
      <c r="C11529" s="163"/>
      <c r="J11529" s="165"/>
      <c r="K11529" s="166"/>
      <c r="L11529" s="166"/>
    </row>
    <row r="11530">
      <c r="A11530" s="163" t="s">
        <v>222</v>
      </c>
      <c r="B11530" s="163"/>
      <c r="C11530" s="163"/>
      <c r="J11530" s="165"/>
      <c r="K11530" s="166"/>
      <c r="L11530" s="166"/>
    </row>
    <row r="11531">
      <c r="A11531" s="163" t="s">
        <v>222</v>
      </c>
      <c r="B11531" s="163"/>
      <c r="C11531" s="163"/>
      <c r="J11531" s="165"/>
      <c r="K11531" s="166"/>
      <c r="L11531" s="166"/>
    </row>
    <row r="11532">
      <c r="A11532" s="163" t="s">
        <v>222</v>
      </c>
      <c r="B11532" s="163"/>
      <c r="C11532" s="163"/>
      <c r="J11532" s="165"/>
      <c r="K11532" s="166"/>
      <c r="L11532" s="166"/>
    </row>
    <row r="11533">
      <c r="A11533" s="163" t="s">
        <v>222</v>
      </c>
      <c r="B11533" s="163"/>
      <c r="C11533" s="163"/>
      <c r="J11533" s="165"/>
      <c r="K11533" s="166"/>
      <c r="L11533" s="166"/>
    </row>
    <row r="11534">
      <c r="A11534" s="163" t="s">
        <v>222</v>
      </c>
      <c r="B11534" s="163"/>
      <c r="C11534" s="163"/>
      <c r="J11534" s="165"/>
      <c r="K11534" s="166"/>
      <c r="L11534" s="166"/>
    </row>
    <row r="11535">
      <c r="A11535" s="163" t="s">
        <v>222</v>
      </c>
      <c r="B11535" s="163"/>
      <c r="C11535" s="163"/>
      <c r="J11535" s="165"/>
      <c r="K11535" s="166"/>
      <c r="L11535" s="166"/>
    </row>
    <row r="11536">
      <c r="A11536" s="163" t="s">
        <v>222</v>
      </c>
      <c r="B11536" s="163"/>
      <c r="C11536" s="163"/>
      <c r="J11536" s="165"/>
      <c r="K11536" s="166"/>
      <c r="L11536" s="166"/>
    </row>
    <row r="11537">
      <c r="A11537" s="163" t="s">
        <v>222</v>
      </c>
      <c r="B11537" s="163"/>
      <c r="C11537" s="163"/>
      <c r="J11537" s="165"/>
      <c r="K11537" s="166"/>
      <c r="L11537" s="166"/>
    </row>
    <row r="11538">
      <c r="A11538" s="163" t="s">
        <v>222</v>
      </c>
      <c r="B11538" s="163"/>
      <c r="C11538" s="163"/>
      <c r="J11538" s="165"/>
      <c r="K11538" s="166"/>
      <c r="L11538" s="166"/>
    </row>
    <row r="11539">
      <c r="A11539" s="163" t="s">
        <v>222</v>
      </c>
      <c r="B11539" s="163"/>
      <c r="C11539" s="163"/>
      <c r="J11539" s="165"/>
      <c r="K11539" s="166"/>
      <c r="L11539" s="166"/>
    </row>
    <row r="11540">
      <c r="A11540" s="163" t="s">
        <v>222</v>
      </c>
      <c r="B11540" s="163"/>
      <c r="C11540" s="163"/>
      <c r="J11540" s="165"/>
      <c r="K11540" s="166"/>
      <c r="L11540" s="166"/>
    </row>
    <row r="11541">
      <c r="A11541" s="163" t="s">
        <v>222</v>
      </c>
      <c r="B11541" s="163"/>
      <c r="C11541" s="163"/>
      <c r="J11541" s="165"/>
      <c r="K11541" s="166"/>
      <c r="L11541" s="166"/>
    </row>
    <row r="11542">
      <c r="A11542" s="163" t="s">
        <v>222</v>
      </c>
      <c r="B11542" s="163"/>
      <c r="C11542" s="163"/>
      <c r="J11542" s="165"/>
      <c r="K11542" s="166"/>
      <c r="L11542" s="166"/>
    </row>
    <row r="11543">
      <c r="A11543" s="163" t="s">
        <v>222</v>
      </c>
      <c r="B11543" s="163"/>
      <c r="C11543" s="163"/>
      <c r="J11543" s="165"/>
      <c r="K11543" s="166"/>
      <c r="L11543" s="166"/>
    </row>
    <row r="11544">
      <c r="A11544" s="163" t="s">
        <v>222</v>
      </c>
      <c r="B11544" s="163"/>
      <c r="C11544" s="163"/>
      <c r="J11544" s="165"/>
      <c r="K11544" s="166"/>
      <c r="L11544" s="166"/>
    </row>
    <row r="11545">
      <c r="A11545" s="163" t="s">
        <v>222</v>
      </c>
      <c r="B11545" s="163"/>
      <c r="C11545" s="163"/>
      <c r="J11545" s="165"/>
      <c r="K11545" s="166"/>
      <c r="L11545" s="166"/>
    </row>
    <row r="11546">
      <c r="A11546" s="163" t="s">
        <v>222</v>
      </c>
      <c r="B11546" s="163"/>
      <c r="C11546" s="163"/>
      <c r="J11546" s="165"/>
      <c r="K11546" s="166"/>
      <c r="L11546" s="166"/>
    </row>
    <row r="11547">
      <c r="A11547" s="163" t="s">
        <v>222</v>
      </c>
      <c r="B11547" s="163"/>
      <c r="C11547" s="163"/>
      <c r="J11547" s="165"/>
      <c r="K11547" s="166"/>
      <c r="L11547" s="166"/>
    </row>
    <row r="11548">
      <c r="A11548" s="163" t="s">
        <v>222</v>
      </c>
      <c r="B11548" s="163"/>
      <c r="C11548" s="163"/>
      <c r="J11548" s="165"/>
      <c r="K11548" s="166"/>
      <c r="L11548" s="166"/>
    </row>
    <row r="11549">
      <c r="A11549" s="163" t="s">
        <v>222</v>
      </c>
      <c r="B11549" s="163"/>
      <c r="C11549" s="163"/>
      <c r="J11549" s="165"/>
      <c r="K11549" s="166"/>
      <c r="L11549" s="166"/>
    </row>
    <row r="11550">
      <c r="A11550" s="163" t="s">
        <v>222</v>
      </c>
      <c r="B11550" s="163"/>
      <c r="C11550" s="163"/>
      <c r="J11550" s="165"/>
      <c r="K11550" s="166"/>
      <c r="L11550" s="166"/>
    </row>
    <row r="11551">
      <c r="A11551" s="163" t="s">
        <v>222</v>
      </c>
      <c r="B11551" s="163"/>
      <c r="C11551" s="163"/>
      <c r="J11551" s="165"/>
      <c r="K11551" s="166"/>
      <c r="L11551" s="166"/>
    </row>
    <row r="11552">
      <c r="A11552" s="163" t="s">
        <v>222</v>
      </c>
      <c r="B11552" s="163"/>
      <c r="C11552" s="163"/>
      <c r="J11552" s="165"/>
      <c r="K11552" s="166"/>
      <c r="L11552" s="166"/>
    </row>
    <row r="11553">
      <c r="A11553" s="163" t="s">
        <v>222</v>
      </c>
      <c r="B11553" s="163"/>
      <c r="C11553" s="163"/>
      <c r="J11553" s="165"/>
      <c r="K11553" s="166"/>
      <c r="L11553" s="166"/>
    </row>
    <row r="11554">
      <c r="A11554" s="163" t="s">
        <v>222</v>
      </c>
      <c r="B11554" s="163"/>
      <c r="C11554" s="163"/>
      <c r="J11554" s="165"/>
      <c r="K11554" s="166"/>
      <c r="L11554" s="166"/>
    </row>
    <row r="11555">
      <c r="A11555" s="163" t="s">
        <v>222</v>
      </c>
      <c r="B11555" s="163"/>
      <c r="C11555" s="163"/>
      <c r="J11555" s="165"/>
      <c r="K11555" s="166"/>
      <c r="L11555" s="166"/>
    </row>
    <row r="11556">
      <c r="A11556" s="163" t="s">
        <v>222</v>
      </c>
      <c r="B11556" s="163"/>
      <c r="C11556" s="163"/>
      <c r="J11556" s="165"/>
      <c r="K11556" s="166"/>
      <c r="L11556" s="166"/>
    </row>
    <row r="11557">
      <c r="A11557" s="163" t="s">
        <v>222</v>
      </c>
      <c r="B11557" s="163"/>
      <c r="C11557" s="163"/>
      <c r="J11557" s="165"/>
      <c r="K11557" s="166"/>
      <c r="L11557" s="166"/>
    </row>
    <row r="11558">
      <c r="A11558" s="163" t="s">
        <v>222</v>
      </c>
      <c r="B11558" s="163"/>
      <c r="C11558" s="163"/>
      <c r="J11558" s="165"/>
      <c r="K11558" s="166"/>
      <c r="L11558" s="166"/>
    </row>
    <row r="11559">
      <c r="A11559" s="163" t="s">
        <v>222</v>
      </c>
      <c r="B11559" s="163"/>
      <c r="C11559" s="163"/>
      <c r="J11559" s="165"/>
      <c r="K11559" s="166"/>
      <c r="L11559" s="166"/>
    </row>
    <row r="11560">
      <c r="A11560" s="163" t="s">
        <v>222</v>
      </c>
      <c r="B11560" s="163"/>
      <c r="C11560" s="163"/>
      <c r="J11560" s="165"/>
      <c r="K11560" s="166"/>
      <c r="L11560" s="166"/>
    </row>
    <row r="11561">
      <c r="A11561" s="163" t="s">
        <v>222</v>
      </c>
      <c r="B11561" s="163"/>
      <c r="C11561" s="163"/>
      <c r="J11561" s="165"/>
      <c r="K11561" s="166"/>
      <c r="L11561" s="166"/>
    </row>
    <row r="11562">
      <c r="A11562" s="163" t="s">
        <v>222</v>
      </c>
      <c r="B11562" s="163"/>
      <c r="C11562" s="163"/>
      <c r="J11562" s="165"/>
      <c r="K11562" s="166"/>
      <c r="L11562" s="166"/>
    </row>
    <row r="11563">
      <c r="A11563" s="163" t="s">
        <v>222</v>
      </c>
      <c r="B11563" s="163"/>
      <c r="C11563" s="163"/>
      <c r="J11563" s="165"/>
      <c r="K11563" s="166"/>
      <c r="L11563" s="166"/>
    </row>
    <row r="11564">
      <c r="A11564" s="163" t="s">
        <v>222</v>
      </c>
      <c r="B11564" s="163"/>
      <c r="C11564" s="163"/>
      <c r="J11564" s="165"/>
      <c r="K11564" s="166"/>
      <c r="L11564" s="166"/>
    </row>
    <row r="11565">
      <c r="A11565" s="163" t="s">
        <v>222</v>
      </c>
      <c r="B11565" s="163"/>
      <c r="C11565" s="163"/>
      <c r="J11565" s="165"/>
      <c r="K11565" s="166"/>
      <c r="L11565" s="166"/>
    </row>
    <row r="11566">
      <c r="A11566" s="163" t="s">
        <v>222</v>
      </c>
      <c r="B11566" s="163"/>
      <c r="C11566" s="163"/>
      <c r="J11566" s="165"/>
      <c r="K11566" s="166"/>
      <c r="L11566" s="166"/>
    </row>
    <row r="11567">
      <c r="A11567" s="163" t="s">
        <v>222</v>
      </c>
      <c r="B11567" s="163"/>
      <c r="C11567" s="163"/>
      <c r="J11567" s="165"/>
      <c r="K11567" s="166"/>
      <c r="L11567" s="166"/>
    </row>
    <row r="11568">
      <c r="A11568" s="163" t="s">
        <v>222</v>
      </c>
      <c r="B11568" s="163"/>
      <c r="C11568" s="163"/>
      <c r="J11568" s="165"/>
      <c r="K11568" s="166"/>
      <c r="L11568" s="166"/>
    </row>
    <row r="11569">
      <c r="A11569" s="163" t="s">
        <v>222</v>
      </c>
      <c r="B11569" s="163"/>
      <c r="C11569" s="163"/>
      <c r="J11569" s="165"/>
      <c r="K11569" s="166"/>
      <c r="L11569" s="166"/>
    </row>
    <row r="11570">
      <c r="A11570" s="163" t="s">
        <v>222</v>
      </c>
      <c r="B11570" s="163"/>
      <c r="C11570" s="163"/>
      <c r="J11570" s="165"/>
      <c r="K11570" s="166"/>
      <c r="L11570" s="166"/>
    </row>
    <row r="11571">
      <c r="A11571" s="163" t="s">
        <v>222</v>
      </c>
      <c r="B11571" s="163"/>
      <c r="C11571" s="163"/>
      <c r="J11571" s="165"/>
      <c r="K11571" s="166"/>
      <c r="L11571" s="166"/>
    </row>
    <row r="11572">
      <c r="A11572" s="163" t="s">
        <v>222</v>
      </c>
      <c r="B11572" s="163"/>
      <c r="C11572" s="163"/>
      <c r="J11572" s="165"/>
      <c r="K11572" s="166"/>
      <c r="L11572" s="166"/>
    </row>
    <row r="11573">
      <c r="A11573" s="163" t="s">
        <v>222</v>
      </c>
      <c r="B11573" s="163"/>
      <c r="C11573" s="163"/>
      <c r="J11573" s="165"/>
      <c r="K11573" s="166"/>
      <c r="L11573" s="166"/>
    </row>
    <row r="11574">
      <c r="A11574" s="163" t="s">
        <v>222</v>
      </c>
      <c r="B11574" s="163"/>
      <c r="C11574" s="163"/>
      <c r="J11574" s="165"/>
      <c r="K11574" s="166"/>
      <c r="L11574" s="166"/>
    </row>
    <row r="11575">
      <c r="A11575" s="163" t="s">
        <v>222</v>
      </c>
      <c r="B11575" s="163"/>
      <c r="C11575" s="163"/>
      <c r="J11575" s="165"/>
      <c r="K11575" s="166"/>
      <c r="L11575" s="166"/>
    </row>
    <row r="11576">
      <c r="A11576" s="163" t="s">
        <v>222</v>
      </c>
      <c r="B11576" s="163"/>
      <c r="C11576" s="163"/>
      <c r="J11576" s="165"/>
      <c r="K11576" s="166"/>
      <c r="L11576" s="166"/>
    </row>
    <row r="11577">
      <c r="A11577" s="163" t="s">
        <v>222</v>
      </c>
      <c r="B11577" s="163"/>
      <c r="C11577" s="163"/>
      <c r="J11577" s="165"/>
      <c r="K11577" s="166"/>
      <c r="L11577" s="166"/>
    </row>
    <row r="11578">
      <c r="A11578" s="163" t="s">
        <v>222</v>
      </c>
      <c r="B11578" s="163"/>
      <c r="C11578" s="163"/>
      <c r="J11578" s="165"/>
      <c r="K11578" s="166"/>
      <c r="L11578" s="166"/>
    </row>
    <row r="11579">
      <c r="A11579" s="163" t="s">
        <v>222</v>
      </c>
      <c r="B11579" s="163"/>
      <c r="C11579" s="163"/>
      <c r="J11579" s="165"/>
      <c r="K11579" s="166"/>
      <c r="L11579" s="166"/>
    </row>
    <row r="11580">
      <c r="A11580" s="163" t="s">
        <v>222</v>
      </c>
      <c r="B11580" s="163"/>
      <c r="C11580" s="163"/>
      <c r="J11580" s="165"/>
      <c r="K11580" s="166"/>
      <c r="L11580" s="166"/>
    </row>
    <row r="11581">
      <c r="A11581" s="163" t="s">
        <v>222</v>
      </c>
      <c r="B11581" s="163"/>
      <c r="C11581" s="163"/>
      <c r="J11581" s="165"/>
      <c r="K11581" s="166"/>
      <c r="L11581" s="166"/>
    </row>
    <row r="11582">
      <c r="A11582" s="163" t="s">
        <v>222</v>
      </c>
      <c r="B11582" s="163"/>
      <c r="C11582" s="163"/>
      <c r="J11582" s="165"/>
      <c r="K11582" s="166"/>
      <c r="L11582" s="166"/>
    </row>
    <row r="11583">
      <c r="A11583" s="163" t="s">
        <v>222</v>
      </c>
      <c r="B11583" s="163"/>
      <c r="C11583" s="163"/>
      <c r="J11583" s="165"/>
      <c r="K11583" s="166"/>
      <c r="L11583" s="166"/>
    </row>
    <row r="11584">
      <c r="A11584" s="163" t="s">
        <v>222</v>
      </c>
      <c r="B11584" s="163"/>
      <c r="C11584" s="163"/>
      <c r="J11584" s="165"/>
      <c r="K11584" s="166"/>
      <c r="L11584" s="166"/>
    </row>
    <row r="11585">
      <c r="A11585" s="163" t="s">
        <v>222</v>
      </c>
      <c r="B11585" s="163"/>
      <c r="C11585" s="163"/>
      <c r="J11585" s="165"/>
      <c r="K11585" s="166"/>
      <c r="L11585" s="166"/>
    </row>
    <row r="11586">
      <c r="A11586" s="163" t="s">
        <v>222</v>
      </c>
      <c r="B11586" s="163"/>
      <c r="C11586" s="163"/>
      <c r="J11586" s="165"/>
      <c r="K11586" s="166"/>
      <c r="L11586" s="166"/>
    </row>
    <row r="11587">
      <c r="A11587" s="163" t="s">
        <v>222</v>
      </c>
      <c r="B11587" s="163"/>
      <c r="C11587" s="163"/>
      <c r="J11587" s="165"/>
      <c r="K11587" s="166"/>
      <c r="L11587" s="166"/>
    </row>
    <row r="11588">
      <c r="A11588" s="163" t="s">
        <v>222</v>
      </c>
      <c r="B11588" s="163"/>
      <c r="C11588" s="163"/>
      <c r="J11588" s="165"/>
      <c r="K11588" s="166"/>
      <c r="L11588" s="166"/>
    </row>
    <row r="11589">
      <c r="A11589" s="163" t="s">
        <v>222</v>
      </c>
      <c r="B11589" s="163"/>
      <c r="C11589" s="163"/>
      <c r="J11589" s="165"/>
      <c r="K11589" s="166"/>
      <c r="L11589" s="166"/>
    </row>
    <row r="11590">
      <c r="A11590" s="163" t="s">
        <v>222</v>
      </c>
      <c r="B11590" s="163"/>
      <c r="C11590" s="163"/>
      <c r="J11590" s="165"/>
      <c r="K11590" s="166"/>
      <c r="L11590" s="166"/>
    </row>
    <row r="11591">
      <c r="A11591" s="163" t="s">
        <v>222</v>
      </c>
      <c r="B11591" s="163"/>
      <c r="C11591" s="163"/>
      <c r="J11591" s="165"/>
      <c r="K11591" s="166"/>
      <c r="L11591" s="166"/>
    </row>
    <row r="11592">
      <c r="A11592" s="163" t="s">
        <v>222</v>
      </c>
      <c r="B11592" s="163"/>
      <c r="C11592" s="163"/>
      <c r="J11592" s="165"/>
      <c r="K11592" s="166"/>
      <c r="L11592" s="166"/>
    </row>
    <row r="11593">
      <c r="A11593" s="163" t="s">
        <v>222</v>
      </c>
      <c r="B11593" s="163"/>
      <c r="C11593" s="163"/>
      <c r="J11593" s="165"/>
      <c r="K11593" s="166"/>
      <c r="L11593" s="166"/>
    </row>
    <row r="11594">
      <c r="A11594" s="163" t="s">
        <v>222</v>
      </c>
      <c r="B11594" s="163"/>
      <c r="C11594" s="163"/>
      <c r="J11594" s="165"/>
      <c r="K11594" s="166"/>
      <c r="L11594" s="166"/>
    </row>
    <row r="11595">
      <c r="A11595" s="163" t="s">
        <v>222</v>
      </c>
      <c r="B11595" s="163"/>
      <c r="C11595" s="163"/>
      <c r="J11595" s="165"/>
      <c r="K11595" s="166"/>
      <c r="L11595" s="166"/>
    </row>
    <row r="11596">
      <c r="A11596" s="163" t="s">
        <v>222</v>
      </c>
      <c r="B11596" s="163"/>
      <c r="C11596" s="163"/>
      <c r="J11596" s="165"/>
      <c r="K11596" s="166"/>
      <c r="L11596" s="166"/>
    </row>
    <row r="11597">
      <c r="A11597" s="163" t="s">
        <v>222</v>
      </c>
      <c r="B11597" s="163"/>
      <c r="C11597" s="163"/>
      <c r="J11597" s="165"/>
      <c r="K11597" s="166"/>
      <c r="L11597" s="166"/>
    </row>
    <row r="11598">
      <c r="A11598" s="163" t="s">
        <v>222</v>
      </c>
      <c r="B11598" s="163"/>
      <c r="C11598" s="163"/>
      <c r="J11598" s="165"/>
      <c r="K11598" s="166"/>
      <c r="L11598" s="166"/>
    </row>
    <row r="11599">
      <c r="A11599" s="163" t="s">
        <v>222</v>
      </c>
      <c r="B11599" s="163"/>
      <c r="C11599" s="163"/>
      <c r="J11599" s="165"/>
      <c r="K11599" s="166"/>
      <c r="L11599" s="166"/>
    </row>
    <row r="11600">
      <c r="A11600" s="163" t="s">
        <v>222</v>
      </c>
      <c r="B11600" s="163"/>
      <c r="C11600" s="163"/>
      <c r="J11600" s="165"/>
      <c r="K11600" s="166"/>
      <c r="L11600" s="166"/>
    </row>
    <row r="11601">
      <c r="A11601" s="163" t="s">
        <v>222</v>
      </c>
      <c r="B11601" s="163"/>
      <c r="C11601" s="163"/>
      <c r="J11601" s="165"/>
      <c r="K11601" s="166"/>
      <c r="L11601" s="166"/>
    </row>
    <row r="11602">
      <c r="A11602" s="163" t="s">
        <v>222</v>
      </c>
      <c r="B11602" s="163"/>
      <c r="C11602" s="163"/>
      <c r="J11602" s="165"/>
      <c r="K11602" s="166"/>
      <c r="L11602" s="166"/>
    </row>
    <row r="11603">
      <c r="A11603" s="163" t="s">
        <v>222</v>
      </c>
      <c r="B11603" s="163"/>
      <c r="C11603" s="163"/>
      <c r="J11603" s="165"/>
      <c r="K11603" s="166"/>
      <c r="L11603" s="166"/>
    </row>
    <row r="11604">
      <c r="A11604" s="163" t="s">
        <v>222</v>
      </c>
      <c r="B11604" s="163"/>
      <c r="C11604" s="163"/>
      <c r="J11604" s="165"/>
      <c r="K11604" s="166"/>
      <c r="L11604" s="166"/>
    </row>
    <row r="11605">
      <c r="A11605" s="163" t="s">
        <v>222</v>
      </c>
      <c r="B11605" s="163"/>
      <c r="C11605" s="163"/>
      <c r="J11605" s="165"/>
      <c r="K11605" s="166"/>
      <c r="L11605" s="166"/>
    </row>
    <row r="11606">
      <c r="A11606" s="163" t="s">
        <v>222</v>
      </c>
      <c r="B11606" s="163"/>
      <c r="C11606" s="163"/>
      <c r="J11606" s="165"/>
      <c r="K11606" s="166"/>
      <c r="L11606" s="166"/>
    </row>
    <row r="11607">
      <c r="A11607" s="163" t="s">
        <v>222</v>
      </c>
      <c r="B11607" s="163"/>
      <c r="C11607" s="163"/>
      <c r="J11607" s="165"/>
      <c r="K11607" s="166"/>
      <c r="L11607" s="166"/>
    </row>
    <row r="11608">
      <c r="A11608" s="163" t="s">
        <v>222</v>
      </c>
      <c r="B11608" s="163"/>
      <c r="C11608" s="163"/>
      <c r="J11608" s="165"/>
      <c r="K11608" s="166"/>
      <c r="L11608" s="166"/>
    </row>
    <row r="11609">
      <c r="A11609" s="163" t="s">
        <v>222</v>
      </c>
      <c r="B11609" s="163"/>
      <c r="C11609" s="163"/>
      <c r="J11609" s="165"/>
      <c r="K11609" s="166"/>
      <c r="L11609" s="166"/>
    </row>
    <row r="11610">
      <c r="A11610" s="163" t="s">
        <v>222</v>
      </c>
      <c r="B11610" s="163"/>
      <c r="C11610" s="163"/>
      <c r="J11610" s="165"/>
      <c r="K11610" s="166"/>
      <c r="L11610" s="166"/>
    </row>
    <row r="11611">
      <c r="A11611" s="163" t="s">
        <v>222</v>
      </c>
      <c r="B11611" s="163"/>
      <c r="C11611" s="163"/>
      <c r="J11611" s="165"/>
      <c r="K11611" s="166"/>
      <c r="L11611" s="166"/>
    </row>
    <row r="11612">
      <c r="A11612" s="163" t="s">
        <v>222</v>
      </c>
      <c r="B11612" s="163"/>
      <c r="C11612" s="163"/>
      <c r="J11612" s="165"/>
      <c r="K11612" s="166"/>
      <c r="L11612" s="166"/>
    </row>
    <row r="11613">
      <c r="A11613" s="163" t="s">
        <v>222</v>
      </c>
      <c r="B11613" s="163"/>
      <c r="C11613" s="163"/>
      <c r="J11613" s="165"/>
      <c r="K11613" s="166"/>
      <c r="L11613" s="166"/>
    </row>
    <row r="11614">
      <c r="A11614" s="163" t="s">
        <v>222</v>
      </c>
      <c r="B11614" s="163"/>
      <c r="C11614" s="163"/>
      <c r="J11614" s="165"/>
      <c r="K11614" s="166"/>
      <c r="L11614" s="166"/>
    </row>
    <row r="11615">
      <c r="A11615" s="163" t="s">
        <v>222</v>
      </c>
      <c r="B11615" s="163"/>
      <c r="C11615" s="163"/>
      <c r="J11615" s="165"/>
      <c r="K11615" s="166"/>
      <c r="L11615" s="166"/>
    </row>
    <row r="11616">
      <c r="A11616" s="163" t="s">
        <v>222</v>
      </c>
      <c r="B11616" s="163"/>
      <c r="C11616" s="163"/>
      <c r="J11616" s="165"/>
      <c r="K11616" s="166"/>
      <c r="L11616" s="166"/>
    </row>
    <row r="11617">
      <c r="A11617" s="163" t="s">
        <v>222</v>
      </c>
      <c r="B11617" s="163"/>
      <c r="C11617" s="163"/>
      <c r="J11617" s="165"/>
      <c r="K11617" s="166"/>
      <c r="L11617" s="166"/>
    </row>
    <row r="11618">
      <c r="A11618" s="163" t="s">
        <v>222</v>
      </c>
      <c r="B11618" s="163"/>
      <c r="C11618" s="163"/>
      <c r="J11618" s="165"/>
      <c r="K11618" s="166"/>
      <c r="L11618" s="166"/>
    </row>
    <row r="11619">
      <c r="A11619" s="163" t="s">
        <v>222</v>
      </c>
      <c r="B11619" s="163"/>
      <c r="C11619" s="163"/>
      <c r="J11619" s="165"/>
      <c r="K11619" s="166"/>
      <c r="L11619" s="166"/>
    </row>
    <row r="11620">
      <c r="A11620" s="163" t="s">
        <v>222</v>
      </c>
      <c r="B11620" s="163"/>
      <c r="C11620" s="163"/>
      <c r="J11620" s="165"/>
      <c r="K11620" s="166"/>
      <c r="L11620" s="166"/>
    </row>
    <row r="11621">
      <c r="A11621" s="163" t="s">
        <v>222</v>
      </c>
      <c r="B11621" s="163"/>
      <c r="C11621" s="163"/>
      <c r="J11621" s="165"/>
      <c r="K11621" s="166"/>
      <c r="L11621" s="166"/>
    </row>
    <row r="11622">
      <c r="A11622" s="163" t="s">
        <v>222</v>
      </c>
      <c r="B11622" s="163"/>
      <c r="C11622" s="163"/>
      <c r="J11622" s="165"/>
      <c r="K11622" s="166"/>
      <c r="L11622" s="166"/>
    </row>
    <row r="11623">
      <c r="A11623" s="163" t="s">
        <v>222</v>
      </c>
      <c r="B11623" s="163"/>
      <c r="C11623" s="163"/>
      <c r="J11623" s="165"/>
      <c r="K11623" s="166"/>
      <c r="L11623" s="166"/>
    </row>
    <row r="11624">
      <c r="A11624" s="163" t="s">
        <v>222</v>
      </c>
      <c r="B11624" s="163"/>
      <c r="C11624" s="163"/>
      <c r="J11624" s="165"/>
      <c r="K11624" s="166"/>
      <c r="L11624" s="166"/>
    </row>
    <row r="11625">
      <c r="A11625" s="163" t="s">
        <v>222</v>
      </c>
      <c r="B11625" s="163"/>
      <c r="C11625" s="163"/>
      <c r="J11625" s="165"/>
      <c r="K11625" s="166"/>
      <c r="L11625" s="166"/>
    </row>
    <row r="11626">
      <c r="A11626" s="163" t="s">
        <v>222</v>
      </c>
      <c r="B11626" s="163"/>
      <c r="C11626" s="163"/>
      <c r="J11626" s="165"/>
      <c r="K11626" s="166"/>
      <c r="L11626" s="166"/>
    </row>
    <row r="11627">
      <c r="A11627" s="163" t="s">
        <v>222</v>
      </c>
      <c r="B11627" s="163"/>
      <c r="C11627" s="163"/>
      <c r="J11627" s="165"/>
      <c r="K11627" s="166"/>
      <c r="L11627" s="166"/>
    </row>
    <row r="11628">
      <c r="A11628" s="163" t="s">
        <v>222</v>
      </c>
      <c r="B11628" s="163"/>
      <c r="C11628" s="163"/>
      <c r="J11628" s="165"/>
      <c r="K11628" s="166"/>
      <c r="L11628" s="166"/>
    </row>
    <row r="11629">
      <c r="A11629" s="163" t="s">
        <v>222</v>
      </c>
      <c r="B11629" s="163"/>
      <c r="C11629" s="163"/>
      <c r="J11629" s="165"/>
      <c r="K11629" s="166"/>
      <c r="L11629" s="166"/>
    </row>
    <row r="11630">
      <c r="A11630" s="163" t="s">
        <v>222</v>
      </c>
      <c r="B11630" s="163"/>
      <c r="C11630" s="163"/>
      <c r="J11630" s="165"/>
      <c r="K11630" s="166"/>
      <c r="L11630" s="166"/>
    </row>
    <row r="11631">
      <c r="A11631" s="163" t="s">
        <v>222</v>
      </c>
      <c r="B11631" s="163"/>
      <c r="C11631" s="163"/>
      <c r="J11631" s="165"/>
      <c r="K11631" s="166"/>
      <c r="L11631" s="166"/>
    </row>
    <row r="11632">
      <c r="A11632" s="163" t="s">
        <v>222</v>
      </c>
      <c r="B11632" s="163"/>
      <c r="C11632" s="163"/>
      <c r="J11632" s="165"/>
      <c r="K11632" s="166"/>
      <c r="L11632" s="166"/>
    </row>
    <row r="11633">
      <c r="A11633" s="163" t="s">
        <v>222</v>
      </c>
      <c r="B11633" s="163"/>
      <c r="C11633" s="163"/>
      <c r="J11633" s="165"/>
      <c r="K11633" s="166"/>
      <c r="L11633" s="166"/>
    </row>
    <row r="11634">
      <c r="A11634" s="163" t="s">
        <v>222</v>
      </c>
      <c r="B11634" s="163"/>
      <c r="C11634" s="163"/>
      <c r="J11634" s="165"/>
      <c r="K11634" s="166"/>
      <c r="L11634" s="166"/>
    </row>
    <row r="11635">
      <c r="A11635" s="163" t="s">
        <v>222</v>
      </c>
      <c r="B11635" s="163"/>
      <c r="C11635" s="163"/>
      <c r="J11635" s="165"/>
      <c r="K11635" s="166"/>
      <c r="L11635" s="166"/>
    </row>
    <row r="11636">
      <c r="A11636" s="163" t="s">
        <v>222</v>
      </c>
      <c r="B11636" s="163"/>
      <c r="C11636" s="163"/>
      <c r="J11636" s="165"/>
      <c r="K11636" s="166"/>
      <c r="L11636" s="166"/>
    </row>
    <row r="11637">
      <c r="A11637" s="163" t="s">
        <v>222</v>
      </c>
      <c r="B11637" s="163"/>
      <c r="C11637" s="163"/>
      <c r="J11637" s="165"/>
      <c r="K11637" s="166"/>
      <c r="L11637" s="166"/>
    </row>
    <row r="11638">
      <c r="A11638" s="163" t="s">
        <v>222</v>
      </c>
      <c r="B11638" s="163"/>
      <c r="C11638" s="163"/>
      <c r="J11638" s="165"/>
      <c r="K11638" s="166"/>
      <c r="L11638" s="166"/>
    </row>
    <row r="11639">
      <c r="A11639" s="163" t="s">
        <v>222</v>
      </c>
      <c r="B11639" s="163"/>
      <c r="C11639" s="163"/>
      <c r="J11639" s="165"/>
      <c r="K11639" s="166"/>
      <c r="L11639" s="166"/>
    </row>
    <row r="11640">
      <c r="A11640" s="163" t="s">
        <v>222</v>
      </c>
      <c r="B11640" s="163"/>
      <c r="C11640" s="163"/>
      <c r="J11640" s="165"/>
      <c r="K11640" s="166"/>
      <c r="L11640" s="166"/>
    </row>
    <row r="11641">
      <c r="A11641" s="163" t="s">
        <v>222</v>
      </c>
      <c r="B11641" s="163"/>
      <c r="C11641" s="163"/>
      <c r="J11641" s="165"/>
      <c r="K11641" s="166"/>
      <c r="L11641" s="166"/>
    </row>
    <row r="11642">
      <c r="A11642" s="163" t="s">
        <v>222</v>
      </c>
      <c r="B11642" s="163"/>
      <c r="C11642" s="163"/>
      <c r="J11642" s="165"/>
      <c r="K11642" s="166"/>
      <c r="L11642" s="166"/>
    </row>
    <row r="11643">
      <c r="A11643" s="163" t="s">
        <v>222</v>
      </c>
      <c r="B11643" s="163"/>
      <c r="C11643" s="163"/>
      <c r="J11643" s="165"/>
      <c r="K11643" s="166"/>
      <c r="L11643" s="166"/>
    </row>
    <row r="11644">
      <c r="A11644" s="163" t="s">
        <v>222</v>
      </c>
      <c r="B11644" s="163"/>
      <c r="C11644" s="163"/>
      <c r="J11644" s="165"/>
      <c r="K11644" s="166"/>
      <c r="L11644" s="166"/>
    </row>
    <row r="11645">
      <c r="A11645" s="163" t="s">
        <v>222</v>
      </c>
      <c r="B11645" s="163"/>
      <c r="C11645" s="163"/>
      <c r="J11645" s="165"/>
      <c r="K11645" s="166"/>
      <c r="L11645" s="166"/>
    </row>
    <row r="11646">
      <c r="A11646" s="163" t="s">
        <v>222</v>
      </c>
      <c r="B11646" s="163"/>
      <c r="C11646" s="163"/>
      <c r="J11646" s="165"/>
      <c r="K11646" s="166"/>
      <c r="L11646" s="166"/>
    </row>
    <row r="11647">
      <c r="A11647" s="163" t="s">
        <v>222</v>
      </c>
      <c r="B11647" s="163"/>
      <c r="C11647" s="163"/>
      <c r="J11647" s="165"/>
      <c r="K11647" s="166"/>
      <c r="L11647" s="166"/>
    </row>
    <row r="11648">
      <c r="A11648" s="163" t="s">
        <v>222</v>
      </c>
      <c r="B11648" s="163"/>
      <c r="C11648" s="163"/>
      <c r="J11648" s="165"/>
      <c r="K11648" s="166"/>
      <c r="L11648" s="166"/>
    </row>
    <row r="11649">
      <c r="A11649" s="163" t="s">
        <v>222</v>
      </c>
      <c r="B11649" s="163"/>
      <c r="C11649" s="163"/>
      <c r="J11649" s="165"/>
      <c r="K11649" s="166"/>
      <c r="L11649" s="166"/>
    </row>
    <row r="11650">
      <c r="A11650" s="163" t="s">
        <v>222</v>
      </c>
      <c r="B11650" s="163"/>
      <c r="C11650" s="163"/>
      <c r="J11650" s="165"/>
      <c r="K11650" s="166"/>
      <c r="L11650" s="166"/>
    </row>
    <row r="11651">
      <c r="A11651" s="163" t="s">
        <v>222</v>
      </c>
      <c r="B11651" s="163"/>
      <c r="C11651" s="163"/>
      <c r="J11651" s="165"/>
      <c r="K11651" s="166"/>
      <c r="L11651" s="166"/>
    </row>
    <row r="11652">
      <c r="A11652" s="163" t="s">
        <v>222</v>
      </c>
      <c r="B11652" s="163"/>
      <c r="C11652" s="163"/>
      <c r="J11652" s="165"/>
      <c r="K11652" s="166"/>
      <c r="L11652" s="166"/>
    </row>
    <row r="11653">
      <c r="A11653" s="163" t="s">
        <v>222</v>
      </c>
      <c r="B11653" s="163"/>
      <c r="C11653" s="163"/>
      <c r="J11653" s="165"/>
      <c r="K11653" s="166"/>
      <c r="L11653" s="166"/>
    </row>
    <row r="11654">
      <c r="A11654" s="163" t="s">
        <v>222</v>
      </c>
      <c r="B11654" s="163"/>
      <c r="C11654" s="163"/>
      <c r="J11654" s="165"/>
      <c r="K11654" s="166"/>
      <c r="L11654" s="166"/>
    </row>
    <row r="11655">
      <c r="A11655" s="163" t="s">
        <v>222</v>
      </c>
      <c r="B11655" s="163"/>
      <c r="C11655" s="163"/>
      <c r="J11655" s="165"/>
      <c r="K11655" s="166"/>
      <c r="L11655" s="166"/>
    </row>
    <row r="11656">
      <c r="A11656" s="163" t="s">
        <v>222</v>
      </c>
      <c r="B11656" s="163"/>
      <c r="C11656" s="163"/>
      <c r="J11656" s="165"/>
      <c r="K11656" s="166"/>
      <c r="L11656" s="166"/>
    </row>
    <row r="11657">
      <c r="A11657" s="163" t="s">
        <v>222</v>
      </c>
      <c r="B11657" s="163"/>
      <c r="C11657" s="163"/>
      <c r="J11657" s="165"/>
      <c r="K11657" s="166"/>
      <c r="L11657" s="166"/>
    </row>
    <row r="11658">
      <c r="A11658" s="163" t="s">
        <v>222</v>
      </c>
      <c r="B11658" s="163"/>
      <c r="C11658" s="163"/>
      <c r="J11658" s="165"/>
      <c r="K11658" s="166"/>
      <c r="L11658" s="166"/>
    </row>
    <row r="11659">
      <c r="A11659" s="163" t="s">
        <v>222</v>
      </c>
      <c r="B11659" s="163"/>
      <c r="C11659" s="163"/>
      <c r="J11659" s="165"/>
      <c r="K11659" s="166"/>
      <c r="L11659" s="166"/>
    </row>
    <row r="11660">
      <c r="A11660" s="163" t="s">
        <v>222</v>
      </c>
      <c r="B11660" s="163"/>
      <c r="C11660" s="163"/>
      <c r="J11660" s="165"/>
      <c r="K11660" s="166"/>
      <c r="L11660" s="166"/>
    </row>
    <row r="11661">
      <c r="A11661" s="163" t="s">
        <v>222</v>
      </c>
      <c r="B11661" s="163"/>
      <c r="C11661" s="163"/>
      <c r="J11661" s="165"/>
      <c r="K11661" s="166"/>
      <c r="L11661" s="166"/>
    </row>
    <row r="11662">
      <c r="A11662" s="163" t="s">
        <v>222</v>
      </c>
      <c r="B11662" s="163"/>
      <c r="C11662" s="163"/>
      <c r="J11662" s="165"/>
      <c r="K11662" s="166"/>
      <c r="L11662" s="166"/>
    </row>
    <row r="11663">
      <c r="A11663" s="163" t="s">
        <v>222</v>
      </c>
      <c r="B11663" s="163"/>
      <c r="C11663" s="163"/>
      <c r="J11663" s="165"/>
      <c r="K11663" s="166"/>
      <c r="L11663" s="166"/>
    </row>
    <row r="11664">
      <c r="A11664" s="163" t="s">
        <v>222</v>
      </c>
      <c r="B11664" s="163"/>
      <c r="C11664" s="163"/>
      <c r="J11664" s="165"/>
      <c r="K11664" s="166"/>
      <c r="L11664" s="166"/>
    </row>
    <row r="11665">
      <c r="A11665" s="163" t="s">
        <v>222</v>
      </c>
      <c r="B11665" s="163"/>
      <c r="C11665" s="163"/>
      <c r="J11665" s="165"/>
      <c r="K11665" s="166"/>
      <c r="L11665" s="166"/>
    </row>
    <row r="11666">
      <c r="A11666" s="163" t="s">
        <v>222</v>
      </c>
      <c r="B11666" s="163"/>
      <c r="C11666" s="163"/>
      <c r="J11666" s="165"/>
      <c r="K11666" s="166"/>
      <c r="L11666" s="166"/>
    </row>
    <row r="11667">
      <c r="A11667" s="163" t="s">
        <v>222</v>
      </c>
      <c r="B11667" s="163"/>
      <c r="C11667" s="163"/>
      <c r="J11667" s="165"/>
      <c r="K11667" s="166"/>
      <c r="L11667" s="166"/>
    </row>
    <row r="11668">
      <c r="A11668" s="163" t="s">
        <v>222</v>
      </c>
      <c r="B11668" s="163"/>
      <c r="C11668" s="163"/>
      <c r="J11668" s="165"/>
      <c r="K11668" s="166"/>
      <c r="L11668" s="166"/>
    </row>
    <row r="11669">
      <c r="A11669" s="163" t="s">
        <v>222</v>
      </c>
      <c r="B11669" s="163"/>
      <c r="C11669" s="163"/>
      <c r="J11669" s="165"/>
      <c r="K11669" s="166"/>
      <c r="L11669" s="166"/>
    </row>
    <row r="11670">
      <c r="A11670" s="163" t="s">
        <v>222</v>
      </c>
      <c r="B11670" s="163"/>
      <c r="C11670" s="163"/>
      <c r="J11670" s="165"/>
      <c r="K11670" s="166"/>
      <c r="L11670" s="166"/>
    </row>
    <row r="11671">
      <c r="A11671" s="163" t="s">
        <v>222</v>
      </c>
      <c r="B11671" s="163"/>
      <c r="C11671" s="163"/>
      <c r="J11671" s="165"/>
      <c r="K11671" s="166"/>
      <c r="L11671" s="166"/>
    </row>
    <row r="11672">
      <c r="A11672" s="163" t="s">
        <v>222</v>
      </c>
      <c r="B11672" s="163"/>
      <c r="C11672" s="163"/>
      <c r="J11672" s="165"/>
      <c r="K11672" s="166"/>
      <c r="L11672" s="166"/>
    </row>
    <row r="11673">
      <c r="A11673" s="163" t="s">
        <v>222</v>
      </c>
      <c r="B11673" s="163"/>
      <c r="C11673" s="163"/>
      <c r="J11673" s="165"/>
      <c r="K11673" s="166"/>
      <c r="L11673" s="166"/>
    </row>
    <row r="11674">
      <c r="A11674" s="163" t="s">
        <v>222</v>
      </c>
      <c r="B11674" s="163"/>
      <c r="C11674" s="163"/>
      <c r="J11674" s="165"/>
      <c r="K11674" s="166"/>
      <c r="L11674" s="166"/>
    </row>
    <row r="11675">
      <c r="A11675" s="163" t="s">
        <v>222</v>
      </c>
      <c r="B11675" s="163"/>
      <c r="C11675" s="163"/>
      <c r="J11675" s="165"/>
      <c r="K11675" s="166"/>
      <c r="L11675" s="166"/>
    </row>
    <row r="11676">
      <c r="A11676" s="163" t="s">
        <v>222</v>
      </c>
      <c r="B11676" s="163"/>
      <c r="C11676" s="163"/>
      <c r="J11676" s="165"/>
      <c r="K11676" s="166"/>
      <c r="L11676" s="166"/>
    </row>
    <row r="11677">
      <c r="A11677" s="163" t="s">
        <v>222</v>
      </c>
      <c r="B11677" s="163"/>
      <c r="C11677" s="163"/>
      <c r="J11677" s="165"/>
      <c r="K11677" s="166"/>
      <c r="L11677" s="166"/>
    </row>
    <row r="11678">
      <c r="A11678" s="163" t="s">
        <v>222</v>
      </c>
      <c r="B11678" s="163"/>
      <c r="C11678" s="163"/>
      <c r="J11678" s="165"/>
      <c r="K11678" s="166"/>
      <c r="L11678" s="166"/>
    </row>
    <row r="11679">
      <c r="A11679" s="163" t="s">
        <v>222</v>
      </c>
      <c r="B11679" s="163"/>
      <c r="C11679" s="163"/>
      <c r="J11679" s="165"/>
      <c r="K11679" s="166"/>
      <c r="L11679" s="166"/>
    </row>
    <row r="11680">
      <c r="A11680" s="163" t="s">
        <v>222</v>
      </c>
      <c r="B11680" s="163"/>
      <c r="C11680" s="163"/>
      <c r="J11680" s="165"/>
      <c r="K11680" s="166"/>
      <c r="L11680" s="166"/>
    </row>
    <row r="11681">
      <c r="A11681" s="163" t="s">
        <v>222</v>
      </c>
      <c r="B11681" s="163"/>
      <c r="C11681" s="163"/>
      <c r="J11681" s="165"/>
      <c r="K11681" s="166"/>
      <c r="L11681" s="166"/>
    </row>
    <row r="11682">
      <c r="A11682" s="163" t="s">
        <v>222</v>
      </c>
      <c r="B11682" s="163"/>
      <c r="C11682" s="163"/>
      <c r="J11682" s="165"/>
      <c r="K11682" s="166"/>
      <c r="L11682" s="166"/>
    </row>
    <row r="11683">
      <c r="A11683" s="163" t="s">
        <v>222</v>
      </c>
      <c r="B11683" s="163"/>
      <c r="C11683" s="163"/>
      <c r="J11683" s="165"/>
      <c r="K11683" s="166"/>
      <c r="L11683" s="166"/>
    </row>
    <row r="11684">
      <c r="A11684" s="163" t="s">
        <v>222</v>
      </c>
      <c r="B11684" s="163"/>
      <c r="C11684" s="163"/>
      <c r="J11684" s="165"/>
      <c r="K11684" s="166"/>
      <c r="L11684" s="166"/>
    </row>
    <row r="11685">
      <c r="A11685" s="163" t="s">
        <v>222</v>
      </c>
      <c r="B11685" s="163"/>
      <c r="C11685" s="163"/>
      <c r="J11685" s="165"/>
      <c r="K11685" s="166"/>
      <c r="L11685" s="166"/>
    </row>
    <row r="11686">
      <c r="A11686" s="163" t="s">
        <v>222</v>
      </c>
      <c r="B11686" s="163"/>
      <c r="C11686" s="163"/>
      <c r="J11686" s="165"/>
      <c r="K11686" s="166"/>
      <c r="L11686" s="166"/>
    </row>
    <row r="11687">
      <c r="A11687" s="163" t="s">
        <v>222</v>
      </c>
      <c r="B11687" s="163"/>
      <c r="C11687" s="163"/>
      <c r="J11687" s="165"/>
      <c r="K11687" s="166"/>
      <c r="L11687" s="166"/>
    </row>
    <row r="11688">
      <c r="A11688" s="163" t="s">
        <v>222</v>
      </c>
      <c r="B11688" s="163"/>
      <c r="C11688" s="163"/>
      <c r="J11688" s="165"/>
      <c r="K11688" s="166"/>
      <c r="L11688" s="166"/>
    </row>
    <row r="11689">
      <c r="A11689" s="163" t="s">
        <v>222</v>
      </c>
      <c r="B11689" s="163"/>
      <c r="C11689" s="163"/>
      <c r="J11689" s="165"/>
      <c r="K11689" s="166"/>
      <c r="L11689" s="166"/>
    </row>
    <row r="11690">
      <c r="A11690" s="163" t="s">
        <v>222</v>
      </c>
      <c r="B11690" s="163"/>
      <c r="C11690" s="163"/>
      <c r="J11690" s="165"/>
      <c r="K11690" s="166"/>
      <c r="L11690" s="166"/>
    </row>
    <row r="11691">
      <c r="A11691" s="163" t="s">
        <v>222</v>
      </c>
      <c r="B11691" s="163"/>
      <c r="C11691" s="163"/>
      <c r="J11691" s="165"/>
      <c r="K11691" s="166"/>
      <c r="L11691" s="166"/>
    </row>
    <row r="11692">
      <c r="A11692" s="163" t="s">
        <v>222</v>
      </c>
      <c r="B11692" s="163"/>
      <c r="C11692" s="163"/>
      <c r="J11692" s="165"/>
      <c r="K11692" s="166"/>
      <c r="L11692" s="166"/>
    </row>
    <row r="11693">
      <c r="A11693" s="163" t="s">
        <v>222</v>
      </c>
      <c r="B11693" s="163"/>
      <c r="C11693" s="163"/>
      <c r="J11693" s="165"/>
      <c r="K11693" s="166"/>
      <c r="L11693" s="166"/>
    </row>
    <row r="11694">
      <c r="A11694" s="163" t="s">
        <v>222</v>
      </c>
      <c r="B11694" s="163"/>
      <c r="C11694" s="163"/>
      <c r="J11694" s="165"/>
      <c r="K11694" s="166"/>
      <c r="L11694" s="166"/>
    </row>
    <row r="11695">
      <c r="A11695" s="163" t="s">
        <v>222</v>
      </c>
      <c r="B11695" s="163"/>
      <c r="C11695" s="163"/>
      <c r="J11695" s="165"/>
      <c r="K11695" s="166"/>
      <c r="L11695" s="166"/>
    </row>
    <row r="11696">
      <c r="A11696" s="163" t="s">
        <v>222</v>
      </c>
      <c r="B11696" s="163"/>
      <c r="C11696" s="163"/>
      <c r="J11696" s="165"/>
      <c r="K11696" s="166"/>
      <c r="L11696" s="166"/>
    </row>
    <row r="11697">
      <c r="A11697" s="163" t="s">
        <v>222</v>
      </c>
      <c r="B11697" s="163"/>
      <c r="C11697" s="163"/>
      <c r="J11697" s="165"/>
      <c r="K11697" s="166"/>
      <c r="L11697" s="166"/>
    </row>
    <row r="11698">
      <c r="A11698" s="163" t="s">
        <v>222</v>
      </c>
      <c r="B11698" s="163"/>
      <c r="C11698" s="163"/>
      <c r="J11698" s="165"/>
      <c r="K11698" s="166"/>
      <c r="L11698" s="166"/>
    </row>
    <row r="11699">
      <c r="A11699" s="163" t="s">
        <v>222</v>
      </c>
      <c r="B11699" s="163"/>
      <c r="C11699" s="163"/>
      <c r="J11699" s="165"/>
      <c r="K11699" s="166"/>
      <c r="L11699" s="166"/>
    </row>
    <row r="11700">
      <c r="A11700" s="163" t="s">
        <v>222</v>
      </c>
      <c r="B11700" s="163"/>
      <c r="C11700" s="163"/>
      <c r="J11700" s="165"/>
      <c r="K11700" s="166"/>
      <c r="L11700" s="166"/>
    </row>
    <row r="11701">
      <c r="A11701" s="163" t="s">
        <v>222</v>
      </c>
      <c r="B11701" s="163"/>
      <c r="C11701" s="163"/>
      <c r="J11701" s="165"/>
      <c r="K11701" s="166"/>
      <c r="L11701" s="166"/>
    </row>
    <row r="11702">
      <c r="A11702" s="163" t="s">
        <v>222</v>
      </c>
      <c r="B11702" s="163"/>
      <c r="C11702" s="163"/>
      <c r="J11702" s="165"/>
      <c r="K11702" s="166"/>
      <c r="L11702" s="166"/>
    </row>
    <row r="11703">
      <c r="A11703" s="163" t="s">
        <v>222</v>
      </c>
      <c r="B11703" s="163"/>
      <c r="C11703" s="163"/>
      <c r="J11703" s="165"/>
      <c r="K11703" s="166"/>
      <c r="L11703" s="166"/>
    </row>
    <row r="11704">
      <c r="A11704" s="163" t="s">
        <v>222</v>
      </c>
      <c r="B11704" s="163"/>
      <c r="C11704" s="163"/>
      <c r="J11704" s="165"/>
      <c r="K11704" s="166"/>
      <c r="L11704" s="166"/>
    </row>
    <row r="11705">
      <c r="A11705" s="163" t="s">
        <v>222</v>
      </c>
      <c r="B11705" s="163"/>
      <c r="C11705" s="163"/>
      <c r="J11705" s="165"/>
      <c r="K11705" s="166"/>
      <c r="L11705" s="166"/>
    </row>
    <row r="11706">
      <c r="A11706" s="163" t="s">
        <v>222</v>
      </c>
      <c r="B11706" s="163"/>
      <c r="C11706" s="163"/>
      <c r="J11706" s="165"/>
      <c r="K11706" s="166"/>
      <c r="L11706" s="166"/>
    </row>
    <row r="11707">
      <c r="A11707" s="163" t="s">
        <v>222</v>
      </c>
      <c r="B11707" s="163"/>
      <c r="C11707" s="163"/>
      <c r="J11707" s="165"/>
      <c r="K11707" s="166"/>
      <c r="L11707" s="166"/>
    </row>
    <row r="11708">
      <c r="A11708" s="163" t="s">
        <v>222</v>
      </c>
      <c r="B11708" s="163"/>
      <c r="C11708" s="163"/>
      <c r="J11708" s="165"/>
      <c r="K11708" s="166"/>
      <c r="L11708" s="166"/>
    </row>
    <row r="11709">
      <c r="A11709" s="163" t="s">
        <v>222</v>
      </c>
      <c r="B11709" s="163"/>
      <c r="C11709" s="163"/>
      <c r="J11709" s="165"/>
      <c r="K11709" s="166"/>
      <c r="L11709" s="166"/>
    </row>
    <row r="11710">
      <c r="A11710" s="163" t="s">
        <v>222</v>
      </c>
      <c r="B11710" s="163"/>
      <c r="C11710" s="163"/>
      <c r="J11710" s="165"/>
      <c r="K11710" s="166"/>
      <c r="L11710" s="166"/>
    </row>
    <row r="11711">
      <c r="A11711" s="163" t="s">
        <v>222</v>
      </c>
      <c r="B11711" s="163"/>
      <c r="C11711" s="163"/>
      <c r="J11711" s="165"/>
      <c r="K11711" s="166"/>
      <c r="L11711" s="166"/>
    </row>
    <row r="11712">
      <c r="A11712" s="163" t="s">
        <v>222</v>
      </c>
      <c r="B11712" s="163"/>
      <c r="C11712" s="163"/>
      <c r="J11712" s="165"/>
      <c r="K11712" s="166"/>
      <c r="L11712" s="166"/>
    </row>
    <row r="11713">
      <c r="A11713" s="163" t="s">
        <v>222</v>
      </c>
      <c r="B11713" s="163"/>
      <c r="C11713" s="163"/>
      <c r="J11713" s="165"/>
      <c r="K11713" s="166"/>
      <c r="L11713" s="166"/>
    </row>
    <row r="11714">
      <c r="A11714" s="163" t="s">
        <v>222</v>
      </c>
      <c r="B11714" s="163"/>
      <c r="C11714" s="163"/>
      <c r="J11714" s="165"/>
      <c r="K11714" s="166"/>
      <c r="L11714" s="166"/>
    </row>
    <row r="11715">
      <c r="A11715" s="163" t="s">
        <v>222</v>
      </c>
      <c r="B11715" s="163"/>
      <c r="C11715" s="163"/>
      <c r="J11715" s="165"/>
      <c r="K11715" s="166"/>
      <c r="L11715" s="166"/>
    </row>
    <row r="11716">
      <c r="A11716" s="163" t="s">
        <v>222</v>
      </c>
      <c r="B11716" s="163"/>
      <c r="C11716" s="163"/>
      <c r="J11716" s="165"/>
      <c r="K11716" s="166"/>
      <c r="L11716" s="166"/>
    </row>
    <row r="11717">
      <c r="A11717" s="163" t="s">
        <v>222</v>
      </c>
      <c r="B11717" s="163"/>
      <c r="C11717" s="163"/>
      <c r="J11717" s="165"/>
      <c r="K11717" s="166"/>
      <c r="L11717" s="166"/>
    </row>
    <row r="11718">
      <c r="A11718" s="163" t="s">
        <v>222</v>
      </c>
      <c r="B11718" s="163"/>
      <c r="C11718" s="163"/>
      <c r="J11718" s="165"/>
      <c r="K11718" s="166"/>
      <c r="L11718" s="166"/>
    </row>
    <row r="11719">
      <c r="A11719" s="163" t="s">
        <v>222</v>
      </c>
      <c r="B11719" s="163"/>
      <c r="C11719" s="163"/>
      <c r="J11719" s="165"/>
      <c r="K11719" s="166"/>
      <c r="L11719" s="166"/>
    </row>
    <row r="11720">
      <c r="A11720" s="163" t="s">
        <v>222</v>
      </c>
      <c r="B11720" s="163"/>
      <c r="C11720" s="163"/>
      <c r="J11720" s="165"/>
      <c r="K11720" s="166"/>
      <c r="L11720" s="166"/>
    </row>
    <row r="11721">
      <c r="A11721" s="163" t="s">
        <v>222</v>
      </c>
      <c r="B11721" s="163"/>
      <c r="C11721" s="163"/>
      <c r="J11721" s="165"/>
      <c r="K11721" s="166"/>
      <c r="L11721" s="166"/>
    </row>
    <row r="11722">
      <c r="A11722" s="163" t="s">
        <v>222</v>
      </c>
      <c r="B11722" s="163"/>
      <c r="C11722" s="163"/>
      <c r="J11722" s="165"/>
      <c r="K11722" s="166"/>
      <c r="L11722" s="166"/>
    </row>
    <row r="11723">
      <c r="A11723" s="163" t="s">
        <v>222</v>
      </c>
      <c r="B11723" s="163"/>
      <c r="C11723" s="163"/>
      <c r="J11723" s="165"/>
      <c r="K11723" s="166"/>
      <c r="L11723" s="166"/>
    </row>
    <row r="11724">
      <c r="A11724" s="163" t="s">
        <v>222</v>
      </c>
      <c r="B11724" s="163"/>
      <c r="C11724" s="163"/>
      <c r="J11724" s="165"/>
      <c r="K11724" s="166"/>
      <c r="L11724" s="166"/>
    </row>
    <row r="11725">
      <c r="A11725" s="163" t="s">
        <v>222</v>
      </c>
      <c r="B11725" s="163"/>
      <c r="C11725" s="163"/>
      <c r="J11725" s="165"/>
      <c r="K11725" s="166"/>
      <c r="L11725" s="166"/>
    </row>
    <row r="11726">
      <c r="A11726" s="163" t="s">
        <v>222</v>
      </c>
      <c r="B11726" s="163"/>
      <c r="C11726" s="163"/>
      <c r="J11726" s="165"/>
      <c r="K11726" s="166"/>
      <c r="L11726" s="166"/>
    </row>
    <row r="11727">
      <c r="A11727" s="163" t="s">
        <v>222</v>
      </c>
      <c r="B11727" s="163"/>
      <c r="C11727" s="163"/>
      <c r="J11727" s="165"/>
      <c r="K11727" s="166"/>
      <c r="L11727" s="166"/>
    </row>
    <row r="11728">
      <c r="A11728" s="163" t="s">
        <v>222</v>
      </c>
      <c r="B11728" s="163"/>
      <c r="C11728" s="163"/>
      <c r="J11728" s="165"/>
      <c r="K11728" s="166"/>
      <c r="L11728" s="166"/>
    </row>
    <row r="11729">
      <c r="A11729" s="163" t="s">
        <v>222</v>
      </c>
      <c r="B11729" s="163"/>
      <c r="C11729" s="163"/>
      <c r="J11729" s="165"/>
      <c r="K11729" s="166"/>
      <c r="L11729" s="166"/>
    </row>
    <row r="11730">
      <c r="A11730" s="163" t="s">
        <v>222</v>
      </c>
      <c r="B11730" s="163"/>
      <c r="C11730" s="163"/>
      <c r="J11730" s="165"/>
      <c r="K11730" s="166"/>
      <c r="L11730" s="166"/>
    </row>
    <row r="11731">
      <c r="A11731" s="163" t="s">
        <v>222</v>
      </c>
      <c r="B11731" s="163"/>
      <c r="C11731" s="163"/>
      <c r="J11731" s="165"/>
      <c r="K11731" s="166"/>
      <c r="L11731" s="166"/>
    </row>
    <row r="11732">
      <c r="A11732" s="163" t="s">
        <v>222</v>
      </c>
      <c r="B11732" s="163"/>
      <c r="C11732" s="163"/>
      <c r="J11732" s="165"/>
      <c r="K11732" s="166"/>
      <c r="L11732" s="166"/>
    </row>
    <row r="11733">
      <c r="A11733" s="163" t="s">
        <v>222</v>
      </c>
      <c r="B11733" s="163"/>
      <c r="C11733" s="163"/>
      <c r="J11733" s="165"/>
      <c r="K11733" s="166"/>
      <c r="L11733" s="166"/>
    </row>
    <row r="11734">
      <c r="A11734" s="163" t="s">
        <v>222</v>
      </c>
      <c r="B11734" s="163"/>
      <c r="C11734" s="163"/>
      <c r="J11734" s="165"/>
      <c r="K11734" s="166"/>
      <c r="L11734" s="166"/>
    </row>
    <row r="11735">
      <c r="A11735" s="163" t="s">
        <v>222</v>
      </c>
      <c r="B11735" s="163"/>
      <c r="C11735" s="163"/>
      <c r="J11735" s="165"/>
      <c r="K11735" s="166"/>
      <c r="L11735" s="166"/>
    </row>
    <row r="11736">
      <c r="A11736" s="163" t="s">
        <v>222</v>
      </c>
      <c r="B11736" s="163"/>
      <c r="C11736" s="163"/>
      <c r="J11736" s="165"/>
      <c r="K11736" s="166"/>
      <c r="L11736" s="166"/>
    </row>
    <row r="11737">
      <c r="A11737" s="163" t="s">
        <v>222</v>
      </c>
      <c r="B11737" s="163"/>
      <c r="C11737" s="163"/>
      <c r="J11737" s="165"/>
      <c r="K11737" s="166"/>
      <c r="L11737" s="166"/>
    </row>
    <row r="11738">
      <c r="A11738" s="163" t="s">
        <v>222</v>
      </c>
      <c r="B11738" s="163"/>
      <c r="C11738" s="163"/>
      <c r="J11738" s="165"/>
      <c r="K11738" s="166"/>
      <c r="L11738" s="166"/>
    </row>
    <row r="11739">
      <c r="A11739" s="163" t="s">
        <v>222</v>
      </c>
      <c r="B11739" s="163"/>
      <c r="C11739" s="163"/>
      <c r="J11739" s="165"/>
      <c r="K11739" s="166"/>
      <c r="L11739" s="166"/>
    </row>
    <row r="11740">
      <c r="A11740" s="163" t="s">
        <v>222</v>
      </c>
      <c r="B11740" s="163"/>
      <c r="C11740" s="163"/>
      <c r="J11740" s="165"/>
      <c r="K11740" s="166"/>
      <c r="L11740" s="166"/>
    </row>
    <row r="11741">
      <c r="A11741" s="163" t="s">
        <v>222</v>
      </c>
      <c r="B11741" s="163"/>
      <c r="C11741" s="163"/>
      <c r="J11741" s="165"/>
      <c r="K11741" s="166"/>
      <c r="L11741" s="166"/>
    </row>
    <row r="11742">
      <c r="A11742" s="163" t="s">
        <v>222</v>
      </c>
      <c r="B11742" s="163"/>
      <c r="C11742" s="163"/>
      <c r="J11742" s="165"/>
      <c r="K11742" s="166"/>
      <c r="L11742" s="166"/>
    </row>
    <row r="11743">
      <c r="A11743" s="163" t="s">
        <v>222</v>
      </c>
      <c r="B11743" s="163"/>
      <c r="C11743" s="163"/>
      <c r="J11743" s="165"/>
      <c r="K11743" s="166"/>
      <c r="L11743" s="166"/>
    </row>
    <row r="11744">
      <c r="A11744" s="163" t="s">
        <v>222</v>
      </c>
      <c r="B11744" s="163"/>
      <c r="C11744" s="163"/>
      <c r="J11744" s="165"/>
      <c r="K11744" s="166"/>
      <c r="L11744" s="166"/>
    </row>
    <row r="11745">
      <c r="A11745" s="163" t="s">
        <v>222</v>
      </c>
      <c r="B11745" s="163"/>
      <c r="C11745" s="163"/>
      <c r="J11745" s="165"/>
      <c r="K11745" s="166"/>
      <c r="L11745" s="166"/>
    </row>
    <row r="11746">
      <c r="A11746" s="163" t="s">
        <v>222</v>
      </c>
      <c r="B11746" s="163"/>
      <c r="C11746" s="163"/>
      <c r="J11746" s="165"/>
      <c r="K11746" s="166"/>
      <c r="L11746" s="166"/>
    </row>
    <row r="11747">
      <c r="A11747" s="163" t="s">
        <v>222</v>
      </c>
      <c r="B11747" s="163"/>
      <c r="C11747" s="163"/>
      <c r="J11747" s="165"/>
      <c r="K11747" s="166"/>
      <c r="L11747" s="166"/>
    </row>
    <row r="11748">
      <c r="A11748" s="163" t="s">
        <v>222</v>
      </c>
      <c r="B11748" s="163"/>
      <c r="C11748" s="163"/>
      <c r="J11748" s="165"/>
      <c r="K11748" s="166"/>
      <c r="L11748" s="166"/>
    </row>
    <row r="11749">
      <c r="A11749" s="163" t="s">
        <v>222</v>
      </c>
      <c r="B11749" s="163"/>
      <c r="C11749" s="163"/>
      <c r="J11749" s="165"/>
      <c r="K11749" s="166"/>
      <c r="L11749" s="166"/>
    </row>
    <row r="11750">
      <c r="A11750" s="163" t="s">
        <v>222</v>
      </c>
      <c r="B11750" s="163"/>
      <c r="C11750" s="163"/>
      <c r="J11750" s="165"/>
      <c r="K11750" s="166"/>
      <c r="L11750" s="166"/>
    </row>
    <row r="11751">
      <c r="A11751" s="163" t="s">
        <v>222</v>
      </c>
      <c r="B11751" s="163"/>
      <c r="C11751" s="163"/>
      <c r="J11751" s="165"/>
      <c r="K11751" s="166"/>
      <c r="L11751" s="166"/>
    </row>
    <row r="11752">
      <c r="A11752" s="163" t="s">
        <v>222</v>
      </c>
      <c r="B11752" s="163"/>
      <c r="C11752" s="163"/>
      <c r="J11752" s="165"/>
      <c r="K11752" s="166"/>
      <c r="L11752" s="166"/>
    </row>
    <row r="11753">
      <c r="A11753" s="163" t="s">
        <v>222</v>
      </c>
      <c r="B11753" s="163"/>
      <c r="C11753" s="163"/>
      <c r="J11753" s="165"/>
      <c r="K11753" s="166"/>
      <c r="L11753" s="166"/>
    </row>
    <row r="11754">
      <c r="A11754" s="163" t="s">
        <v>222</v>
      </c>
      <c r="B11754" s="163"/>
      <c r="C11754" s="163"/>
      <c r="J11754" s="165"/>
      <c r="K11754" s="166"/>
      <c r="L11754" s="166"/>
    </row>
    <row r="11755">
      <c r="A11755" s="163" t="s">
        <v>222</v>
      </c>
      <c r="B11755" s="163"/>
      <c r="C11755" s="163"/>
      <c r="J11755" s="165"/>
      <c r="K11755" s="166"/>
      <c r="L11755" s="166"/>
    </row>
    <row r="11756">
      <c r="A11756" s="163" t="s">
        <v>222</v>
      </c>
      <c r="B11756" s="163"/>
      <c r="C11756" s="163"/>
      <c r="J11756" s="165"/>
      <c r="K11756" s="166"/>
      <c r="L11756" s="166"/>
    </row>
    <row r="11757">
      <c r="A11757" s="163" t="s">
        <v>222</v>
      </c>
      <c r="B11757" s="163"/>
      <c r="C11757" s="163"/>
      <c r="J11757" s="165"/>
      <c r="K11757" s="166"/>
      <c r="L11757" s="166"/>
    </row>
    <row r="11758">
      <c r="A11758" s="163" t="s">
        <v>222</v>
      </c>
      <c r="B11758" s="163"/>
      <c r="C11758" s="163"/>
      <c r="J11758" s="165"/>
      <c r="K11758" s="166"/>
      <c r="L11758" s="166"/>
    </row>
    <row r="11759">
      <c r="A11759" s="163" t="s">
        <v>222</v>
      </c>
      <c r="B11759" s="163"/>
      <c r="C11759" s="163"/>
      <c r="J11759" s="165"/>
      <c r="K11759" s="166"/>
      <c r="L11759" s="166"/>
    </row>
    <row r="11760">
      <c r="A11760" s="163" t="s">
        <v>222</v>
      </c>
      <c r="B11760" s="163"/>
      <c r="C11760" s="163"/>
      <c r="J11760" s="165"/>
      <c r="K11760" s="166"/>
      <c r="L11760" s="166"/>
    </row>
    <row r="11761">
      <c r="A11761" s="163" t="s">
        <v>222</v>
      </c>
      <c r="B11761" s="163"/>
      <c r="C11761" s="163"/>
      <c r="J11761" s="165"/>
      <c r="K11761" s="166"/>
      <c r="L11761" s="166"/>
    </row>
    <row r="11762">
      <c r="A11762" s="163" t="s">
        <v>222</v>
      </c>
      <c r="B11762" s="163"/>
      <c r="C11762" s="163"/>
      <c r="J11762" s="165"/>
      <c r="K11762" s="166"/>
      <c r="L11762" s="166"/>
    </row>
    <row r="11763">
      <c r="A11763" s="163" t="s">
        <v>222</v>
      </c>
      <c r="B11763" s="163"/>
      <c r="C11763" s="163"/>
      <c r="J11763" s="165"/>
      <c r="K11763" s="166"/>
      <c r="L11763" s="166"/>
    </row>
    <row r="11764">
      <c r="A11764" s="163" t="s">
        <v>222</v>
      </c>
      <c r="B11764" s="163"/>
      <c r="C11764" s="163"/>
      <c r="J11764" s="165"/>
      <c r="K11764" s="166"/>
      <c r="L11764" s="166"/>
    </row>
    <row r="11765">
      <c r="A11765" s="163" t="s">
        <v>222</v>
      </c>
      <c r="B11765" s="163"/>
      <c r="C11765" s="163"/>
      <c r="J11765" s="165"/>
      <c r="K11765" s="166"/>
      <c r="L11765" s="166"/>
    </row>
    <row r="11766">
      <c r="A11766" s="163" t="s">
        <v>222</v>
      </c>
      <c r="B11766" s="163"/>
      <c r="C11766" s="163"/>
      <c r="J11766" s="165"/>
      <c r="K11766" s="166"/>
      <c r="L11766" s="166"/>
    </row>
    <row r="11767">
      <c r="A11767" s="163" t="s">
        <v>222</v>
      </c>
      <c r="B11767" s="163"/>
      <c r="C11767" s="163"/>
      <c r="J11767" s="165"/>
      <c r="K11767" s="166"/>
      <c r="L11767" s="166"/>
    </row>
    <row r="11768">
      <c r="A11768" s="163" t="s">
        <v>222</v>
      </c>
      <c r="B11768" s="163"/>
      <c r="C11768" s="163"/>
      <c r="J11768" s="165"/>
      <c r="K11768" s="166"/>
      <c r="L11768" s="166"/>
    </row>
    <row r="11769">
      <c r="A11769" s="163" t="s">
        <v>222</v>
      </c>
      <c r="B11769" s="163"/>
      <c r="C11769" s="163"/>
      <c r="J11769" s="165"/>
      <c r="K11769" s="166"/>
      <c r="L11769" s="166"/>
    </row>
    <row r="11770">
      <c r="A11770" s="163" t="s">
        <v>222</v>
      </c>
      <c r="B11770" s="163"/>
      <c r="C11770" s="163"/>
      <c r="J11770" s="165"/>
      <c r="K11770" s="166"/>
      <c r="L11770" s="166"/>
    </row>
    <row r="11771">
      <c r="A11771" s="163" t="s">
        <v>222</v>
      </c>
      <c r="B11771" s="163"/>
      <c r="C11771" s="163"/>
      <c r="J11771" s="165"/>
      <c r="K11771" s="166"/>
      <c r="L11771" s="166"/>
    </row>
    <row r="11772">
      <c r="A11772" s="163" t="s">
        <v>222</v>
      </c>
      <c r="B11772" s="163"/>
      <c r="C11772" s="163"/>
      <c r="J11772" s="165"/>
      <c r="K11772" s="166"/>
      <c r="L11772" s="166"/>
    </row>
    <row r="11773">
      <c r="A11773" s="163" t="s">
        <v>222</v>
      </c>
      <c r="B11773" s="163"/>
      <c r="C11773" s="163"/>
      <c r="J11773" s="165"/>
      <c r="K11773" s="166"/>
      <c r="L11773" s="166"/>
    </row>
    <row r="11774">
      <c r="A11774" s="163" t="s">
        <v>222</v>
      </c>
      <c r="B11774" s="163"/>
      <c r="C11774" s="163"/>
      <c r="J11774" s="165"/>
      <c r="K11774" s="166"/>
      <c r="L11774" s="166"/>
    </row>
    <row r="11775">
      <c r="A11775" s="163" t="s">
        <v>222</v>
      </c>
      <c r="B11775" s="163"/>
      <c r="C11775" s="163"/>
      <c r="J11775" s="165"/>
      <c r="K11775" s="166"/>
      <c r="L11775" s="166"/>
    </row>
    <row r="11776">
      <c r="A11776" s="163" t="s">
        <v>222</v>
      </c>
      <c r="B11776" s="163"/>
      <c r="C11776" s="163"/>
      <c r="J11776" s="165"/>
      <c r="K11776" s="166"/>
      <c r="L11776" s="166"/>
    </row>
    <row r="11777">
      <c r="A11777" s="163" t="s">
        <v>222</v>
      </c>
      <c r="B11777" s="163"/>
      <c r="C11777" s="163"/>
      <c r="J11777" s="165"/>
      <c r="K11777" s="166"/>
      <c r="L11777" s="166"/>
    </row>
    <row r="11778">
      <c r="A11778" s="163" t="s">
        <v>222</v>
      </c>
      <c r="B11778" s="163"/>
      <c r="C11778" s="163"/>
      <c r="J11778" s="165"/>
      <c r="K11778" s="166"/>
      <c r="L11778" s="166"/>
    </row>
    <row r="11779">
      <c r="A11779" s="163" t="s">
        <v>222</v>
      </c>
      <c r="B11779" s="163"/>
      <c r="C11779" s="163"/>
      <c r="J11779" s="165"/>
      <c r="K11779" s="166"/>
      <c r="L11779" s="166"/>
    </row>
    <row r="11780">
      <c r="A11780" s="163" t="s">
        <v>222</v>
      </c>
      <c r="B11780" s="163"/>
      <c r="C11780" s="163"/>
      <c r="J11780" s="165"/>
      <c r="K11780" s="166"/>
      <c r="L11780" s="166"/>
    </row>
    <row r="11781">
      <c r="A11781" s="163" t="s">
        <v>222</v>
      </c>
      <c r="B11781" s="163"/>
      <c r="C11781" s="163"/>
      <c r="J11781" s="165"/>
      <c r="K11781" s="166"/>
      <c r="L11781" s="166"/>
    </row>
    <row r="11782">
      <c r="A11782" s="163" t="s">
        <v>222</v>
      </c>
      <c r="B11782" s="163"/>
      <c r="C11782" s="163"/>
      <c r="J11782" s="165"/>
      <c r="K11782" s="166"/>
      <c r="L11782" s="166"/>
    </row>
    <row r="11783">
      <c r="A11783" s="163" t="s">
        <v>222</v>
      </c>
      <c r="B11783" s="163"/>
      <c r="C11783" s="163"/>
      <c r="J11783" s="165"/>
      <c r="K11783" s="166"/>
      <c r="L11783" s="166"/>
    </row>
    <row r="11784">
      <c r="A11784" s="163" t="s">
        <v>222</v>
      </c>
      <c r="B11784" s="163"/>
      <c r="C11784" s="163"/>
      <c r="J11784" s="165"/>
      <c r="K11784" s="166"/>
      <c r="L11784" s="166"/>
    </row>
    <row r="11785">
      <c r="A11785" s="163" t="s">
        <v>222</v>
      </c>
      <c r="B11785" s="163"/>
      <c r="C11785" s="163"/>
      <c r="J11785" s="165"/>
      <c r="K11785" s="166"/>
      <c r="L11785" s="166"/>
    </row>
    <row r="11786">
      <c r="A11786" s="163" t="s">
        <v>222</v>
      </c>
      <c r="B11786" s="163"/>
      <c r="C11786" s="163"/>
      <c r="J11786" s="165"/>
      <c r="K11786" s="166"/>
      <c r="L11786" s="166"/>
    </row>
    <row r="11787">
      <c r="A11787" s="163" t="s">
        <v>222</v>
      </c>
      <c r="B11787" s="163"/>
      <c r="C11787" s="163"/>
      <c r="J11787" s="165"/>
      <c r="K11787" s="166"/>
      <c r="L11787" s="166"/>
    </row>
    <row r="11788">
      <c r="A11788" s="163" t="s">
        <v>222</v>
      </c>
      <c r="B11788" s="163"/>
      <c r="C11788" s="163"/>
      <c r="J11788" s="165"/>
      <c r="K11788" s="166"/>
      <c r="L11788" s="166"/>
    </row>
    <row r="11789">
      <c r="A11789" s="163" t="s">
        <v>222</v>
      </c>
      <c r="B11789" s="163"/>
      <c r="C11789" s="163"/>
      <c r="J11789" s="165"/>
      <c r="K11789" s="166"/>
      <c r="L11789" s="166"/>
    </row>
    <row r="11790">
      <c r="A11790" s="163" t="s">
        <v>222</v>
      </c>
      <c r="B11790" s="163"/>
      <c r="C11790" s="163"/>
      <c r="J11790" s="165"/>
      <c r="K11790" s="166"/>
      <c r="L11790" s="166"/>
    </row>
    <row r="11791">
      <c r="A11791" s="163" t="s">
        <v>222</v>
      </c>
      <c r="B11791" s="163"/>
      <c r="C11791" s="163"/>
      <c r="J11791" s="165"/>
      <c r="K11791" s="166"/>
      <c r="L11791" s="166"/>
    </row>
    <row r="11792">
      <c r="A11792" s="163" t="s">
        <v>222</v>
      </c>
      <c r="B11792" s="163"/>
      <c r="C11792" s="163"/>
      <c r="J11792" s="165"/>
      <c r="K11792" s="166"/>
      <c r="L11792" s="166"/>
    </row>
    <row r="11793">
      <c r="A11793" s="163" t="s">
        <v>222</v>
      </c>
      <c r="B11793" s="163"/>
      <c r="C11793" s="163"/>
      <c r="J11793" s="165"/>
      <c r="K11793" s="166"/>
      <c r="L11793" s="166"/>
    </row>
    <row r="11794">
      <c r="A11794" s="163" t="s">
        <v>222</v>
      </c>
      <c r="B11794" s="163"/>
      <c r="C11794" s="163"/>
      <c r="J11794" s="165"/>
      <c r="K11794" s="166"/>
      <c r="L11794" s="166"/>
    </row>
    <row r="11795">
      <c r="A11795" s="163" t="s">
        <v>222</v>
      </c>
      <c r="B11795" s="163"/>
      <c r="C11795" s="163"/>
      <c r="J11795" s="165"/>
      <c r="K11795" s="166"/>
      <c r="L11795" s="166"/>
    </row>
    <row r="11796">
      <c r="A11796" s="163" t="s">
        <v>222</v>
      </c>
      <c r="B11796" s="163"/>
      <c r="C11796" s="163"/>
      <c r="J11796" s="165"/>
      <c r="K11796" s="166"/>
      <c r="L11796" s="166"/>
    </row>
    <row r="11797">
      <c r="A11797" s="163" t="s">
        <v>222</v>
      </c>
      <c r="B11797" s="163"/>
      <c r="C11797" s="163"/>
      <c r="J11797" s="165"/>
      <c r="K11797" s="166"/>
      <c r="L11797" s="166"/>
    </row>
    <row r="11798">
      <c r="A11798" s="163" t="s">
        <v>222</v>
      </c>
      <c r="B11798" s="163"/>
      <c r="C11798" s="163"/>
      <c r="J11798" s="165"/>
      <c r="K11798" s="166"/>
      <c r="L11798" s="166"/>
    </row>
    <row r="11799">
      <c r="A11799" s="163" t="s">
        <v>222</v>
      </c>
      <c r="B11799" s="163"/>
      <c r="C11799" s="163"/>
      <c r="J11799" s="165"/>
      <c r="K11799" s="166"/>
      <c r="L11799" s="166"/>
    </row>
    <row r="11800">
      <c r="A11800" s="163" t="s">
        <v>222</v>
      </c>
      <c r="B11800" s="163"/>
      <c r="C11800" s="163"/>
      <c r="J11800" s="165"/>
      <c r="K11800" s="166"/>
      <c r="L11800" s="166"/>
    </row>
    <row r="11801">
      <c r="A11801" s="163" t="s">
        <v>222</v>
      </c>
      <c r="B11801" s="163"/>
      <c r="C11801" s="163"/>
      <c r="J11801" s="165"/>
      <c r="K11801" s="166"/>
      <c r="L11801" s="166"/>
    </row>
    <row r="11802">
      <c r="A11802" s="163" t="s">
        <v>222</v>
      </c>
      <c r="B11802" s="163"/>
      <c r="C11802" s="163"/>
      <c r="J11802" s="165"/>
      <c r="K11802" s="166"/>
      <c r="L11802" s="166"/>
    </row>
    <row r="11803">
      <c r="A11803" s="163" t="s">
        <v>222</v>
      </c>
      <c r="B11803" s="163"/>
      <c r="C11803" s="163"/>
      <c r="J11803" s="165"/>
      <c r="K11803" s="166"/>
      <c r="L11803" s="166"/>
    </row>
    <row r="11804">
      <c r="A11804" s="163" t="s">
        <v>222</v>
      </c>
      <c r="B11804" s="163"/>
      <c r="C11804" s="163"/>
      <c r="J11804" s="165"/>
      <c r="K11804" s="166"/>
      <c r="L11804" s="166"/>
    </row>
    <row r="11805">
      <c r="A11805" s="163" t="s">
        <v>222</v>
      </c>
      <c r="B11805" s="163"/>
      <c r="C11805" s="163"/>
      <c r="J11805" s="165"/>
      <c r="K11805" s="166"/>
      <c r="L11805" s="166"/>
    </row>
    <row r="11806">
      <c r="A11806" s="163" t="s">
        <v>222</v>
      </c>
      <c r="B11806" s="163"/>
      <c r="C11806" s="163"/>
      <c r="J11806" s="165"/>
      <c r="K11806" s="166"/>
      <c r="L11806" s="166"/>
    </row>
    <row r="11807">
      <c r="A11807" s="163" t="s">
        <v>222</v>
      </c>
      <c r="B11807" s="163"/>
      <c r="C11807" s="163"/>
      <c r="J11807" s="165"/>
      <c r="K11807" s="166"/>
      <c r="L11807" s="166"/>
    </row>
    <row r="11808">
      <c r="A11808" s="163" t="s">
        <v>222</v>
      </c>
      <c r="B11808" s="163"/>
      <c r="C11808" s="163"/>
      <c r="J11808" s="165"/>
      <c r="K11808" s="166"/>
      <c r="L11808" s="166"/>
    </row>
    <row r="11809">
      <c r="A11809" s="163" t="s">
        <v>222</v>
      </c>
      <c r="B11809" s="163"/>
      <c r="C11809" s="163"/>
      <c r="J11809" s="165"/>
      <c r="K11809" s="166"/>
      <c r="L11809" s="166"/>
    </row>
    <row r="11810">
      <c r="A11810" s="163" t="s">
        <v>222</v>
      </c>
      <c r="B11810" s="163"/>
      <c r="C11810" s="163"/>
      <c r="J11810" s="165"/>
      <c r="K11810" s="166"/>
      <c r="L11810" s="166"/>
    </row>
    <row r="11811">
      <c r="A11811" s="163" t="s">
        <v>222</v>
      </c>
      <c r="B11811" s="163"/>
      <c r="C11811" s="163"/>
      <c r="J11811" s="165"/>
      <c r="K11811" s="166"/>
      <c r="L11811" s="166"/>
    </row>
    <row r="11812">
      <c r="A11812" s="163" t="s">
        <v>222</v>
      </c>
      <c r="B11812" s="163"/>
      <c r="C11812" s="163"/>
      <c r="J11812" s="165"/>
      <c r="K11812" s="166"/>
      <c r="L11812" s="166"/>
    </row>
    <row r="11813">
      <c r="A11813" s="163" t="s">
        <v>222</v>
      </c>
      <c r="B11813" s="163"/>
      <c r="C11813" s="163"/>
      <c r="J11813" s="165"/>
      <c r="K11813" s="166"/>
      <c r="L11813" s="166"/>
    </row>
    <row r="11814">
      <c r="A11814" s="163" t="s">
        <v>222</v>
      </c>
      <c r="B11814" s="163"/>
      <c r="C11814" s="163"/>
      <c r="J11814" s="165"/>
      <c r="K11814" s="166"/>
      <c r="L11814" s="166"/>
    </row>
    <row r="11815">
      <c r="A11815" s="163" t="s">
        <v>222</v>
      </c>
      <c r="B11815" s="163"/>
      <c r="C11815" s="163"/>
      <c r="J11815" s="165"/>
      <c r="K11815" s="166"/>
      <c r="L11815" s="166"/>
    </row>
    <row r="11816">
      <c r="A11816" s="163" t="s">
        <v>222</v>
      </c>
      <c r="B11816" s="163"/>
      <c r="C11816" s="163"/>
      <c r="J11816" s="165"/>
      <c r="K11816" s="166"/>
      <c r="L11816" s="166"/>
    </row>
    <row r="11817">
      <c r="A11817" s="163" t="s">
        <v>222</v>
      </c>
      <c r="B11817" s="163"/>
      <c r="C11817" s="163"/>
      <c r="J11817" s="165"/>
      <c r="K11817" s="166"/>
      <c r="L11817" s="166"/>
    </row>
    <row r="11818">
      <c r="A11818" s="163" t="s">
        <v>222</v>
      </c>
      <c r="B11818" s="163"/>
      <c r="C11818" s="163"/>
      <c r="J11818" s="165"/>
      <c r="K11818" s="166"/>
      <c r="L11818" s="166"/>
    </row>
    <row r="11819">
      <c r="A11819" s="163" t="s">
        <v>222</v>
      </c>
      <c r="B11819" s="163"/>
      <c r="C11819" s="163"/>
      <c r="J11819" s="165"/>
      <c r="K11819" s="166"/>
      <c r="L11819" s="166"/>
    </row>
    <row r="11820">
      <c r="A11820" s="163" t="s">
        <v>222</v>
      </c>
      <c r="B11820" s="163"/>
      <c r="C11820" s="163"/>
      <c r="J11820" s="165"/>
      <c r="K11820" s="166"/>
      <c r="L11820" s="166"/>
    </row>
    <row r="11821">
      <c r="A11821" s="163" t="s">
        <v>222</v>
      </c>
      <c r="B11821" s="163"/>
      <c r="C11821" s="163"/>
      <c r="J11821" s="165"/>
      <c r="K11821" s="166"/>
      <c r="L11821" s="166"/>
    </row>
    <row r="11822">
      <c r="A11822" s="163" t="s">
        <v>222</v>
      </c>
      <c r="B11822" s="163"/>
      <c r="C11822" s="163"/>
      <c r="J11822" s="165"/>
      <c r="K11822" s="166"/>
      <c r="L11822" s="166"/>
    </row>
    <row r="11823">
      <c r="A11823" s="163" t="s">
        <v>222</v>
      </c>
      <c r="B11823" s="163"/>
      <c r="C11823" s="163"/>
      <c r="J11823" s="165"/>
      <c r="K11823" s="166"/>
      <c r="L11823" s="166"/>
    </row>
    <row r="11824">
      <c r="A11824" s="163" t="s">
        <v>222</v>
      </c>
      <c r="B11824" s="163"/>
      <c r="C11824" s="163"/>
      <c r="J11824" s="165"/>
      <c r="K11824" s="166"/>
      <c r="L11824" s="166"/>
    </row>
    <row r="11825">
      <c r="A11825" s="163" t="s">
        <v>222</v>
      </c>
      <c r="B11825" s="163"/>
      <c r="C11825" s="163"/>
      <c r="J11825" s="165"/>
      <c r="K11825" s="166"/>
      <c r="L11825" s="166"/>
    </row>
    <row r="11826">
      <c r="A11826" s="163" t="s">
        <v>222</v>
      </c>
      <c r="B11826" s="163"/>
      <c r="C11826" s="163"/>
      <c r="J11826" s="165"/>
      <c r="K11826" s="166"/>
      <c r="L11826" s="166"/>
    </row>
    <row r="11827">
      <c r="A11827" s="163" t="s">
        <v>222</v>
      </c>
      <c r="B11827" s="163"/>
      <c r="C11827" s="163"/>
      <c r="J11827" s="165"/>
      <c r="K11827" s="166"/>
      <c r="L11827" s="166"/>
    </row>
    <row r="11828">
      <c r="A11828" s="163" t="s">
        <v>222</v>
      </c>
      <c r="B11828" s="163"/>
      <c r="C11828" s="163"/>
      <c r="J11828" s="165"/>
      <c r="K11828" s="166"/>
      <c r="L11828" s="166"/>
    </row>
    <row r="11829">
      <c r="A11829" s="163" t="s">
        <v>222</v>
      </c>
      <c r="B11829" s="163"/>
      <c r="C11829" s="163"/>
      <c r="J11829" s="165"/>
      <c r="K11829" s="166"/>
      <c r="L11829" s="166"/>
    </row>
    <row r="11830">
      <c r="A11830" s="163" t="s">
        <v>222</v>
      </c>
      <c r="B11830" s="163"/>
      <c r="C11830" s="163"/>
      <c r="J11830" s="165"/>
      <c r="K11830" s="166"/>
      <c r="L11830" s="166"/>
    </row>
    <row r="11831">
      <c r="A11831" s="163" t="s">
        <v>222</v>
      </c>
      <c r="B11831" s="163"/>
      <c r="C11831" s="163"/>
      <c r="J11831" s="165"/>
      <c r="K11831" s="166"/>
      <c r="L11831" s="166"/>
    </row>
    <row r="11832">
      <c r="A11832" s="163" t="s">
        <v>222</v>
      </c>
      <c r="B11832" s="163"/>
      <c r="C11832" s="163"/>
      <c r="J11832" s="165"/>
      <c r="K11832" s="166"/>
      <c r="L11832" s="166"/>
    </row>
    <row r="11833">
      <c r="A11833" s="163" t="s">
        <v>222</v>
      </c>
      <c r="B11833" s="163"/>
      <c r="C11833" s="163"/>
      <c r="J11833" s="165"/>
      <c r="K11833" s="166"/>
      <c r="L11833" s="166"/>
    </row>
    <row r="11834">
      <c r="A11834" s="163" t="s">
        <v>222</v>
      </c>
      <c r="B11834" s="163"/>
      <c r="C11834" s="163"/>
      <c r="J11834" s="165"/>
      <c r="K11834" s="166"/>
      <c r="L11834" s="166"/>
    </row>
    <row r="11835">
      <c r="A11835" s="163" t="s">
        <v>222</v>
      </c>
      <c r="B11835" s="163"/>
      <c r="C11835" s="163"/>
      <c r="J11835" s="165"/>
      <c r="K11835" s="166"/>
      <c r="L11835" s="166"/>
    </row>
    <row r="11836">
      <c r="A11836" s="163" t="s">
        <v>222</v>
      </c>
      <c r="B11836" s="163"/>
      <c r="C11836" s="163"/>
      <c r="J11836" s="165"/>
      <c r="K11836" s="166"/>
      <c r="L11836" s="166"/>
    </row>
    <row r="11837">
      <c r="A11837" s="163" t="s">
        <v>222</v>
      </c>
      <c r="B11837" s="163"/>
      <c r="C11837" s="163"/>
      <c r="J11837" s="165"/>
      <c r="K11837" s="166"/>
      <c r="L11837" s="166"/>
    </row>
    <row r="11838">
      <c r="A11838" s="163" t="s">
        <v>222</v>
      </c>
      <c r="B11838" s="163"/>
      <c r="C11838" s="163"/>
      <c r="J11838" s="165"/>
      <c r="K11838" s="166"/>
      <c r="L11838" s="166"/>
    </row>
    <row r="11839">
      <c r="A11839" s="163" t="s">
        <v>222</v>
      </c>
      <c r="B11839" s="163"/>
      <c r="C11839" s="163"/>
      <c r="J11839" s="165"/>
      <c r="K11839" s="166"/>
      <c r="L11839" s="166"/>
    </row>
    <row r="11840">
      <c r="A11840" s="163" t="s">
        <v>222</v>
      </c>
      <c r="B11840" s="163"/>
      <c r="C11840" s="163"/>
      <c r="J11840" s="165"/>
      <c r="K11840" s="166"/>
      <c r="L11840" s="166"/>
    </row>
    <row r="11841">
      <c r="A11841" s="163" t="s">
        <v>222</v>
      </c>
      <c r="B11841" s="163"/>
      <c r="C11841" s="163"/>
      <c r="J11841" s="165"/>
      <c r="K11841" s="166"/>
      <c r="L11841" s="166"/>
    </row>
    <row r="11842">
      <c r="A11842" s="163" t="s">
        <v>222</v>
      </c>
      <c r="B11842" s="163"/>
      <c r="C11842" s="163"/>
      <c r="J11842" s="165"/>
      <c r="K11842" s="166"/>
      <c r="L11842" s="166"/>
    </row>
    <row r="11843">
      <c r="A11843" s="163" t="s">
        <v>222</v>
      </c>
      <c r="B11843" s="163"/>
      <c r="C11843" s="163"/>
      <c r="J11843" s="165"/>
      <c r="K11843" s="166"/>
      <c r="L11843" s="166"/>
    </row>
    <row r="11844">
      <c r="A11844" s="163" t="s">
        <v>222</v>
      </c>
      <c r="B11844" s="163"/>
      <c r="C11844" s="163"/>
      <c r="J11844" s="165"/>
      <c r="K11844" s="166"/>
      <c r="L11844" s="166"/>
    </row>
    <row r="11845">
      <c r="A11845" s="163" t="s">
        <v>222</v>
      </c>
      <c r="B11845" s="163"/>
      <c r="C11845" s="163"/>
      <c r="J11845" s="165"/>
      <c r="K11845" s="166"/>
      <c r="L11845" s="166"/>
    </row>
    <row r="11846">
      <c r="A11846" s="163" t="s">
        <v>222</v>
      </c>
      <c r="B11846" s="163"/>
      <c r="C11846" s="163"/>
      <c r="J11846" s="165"/>
      <c r="K11846" s="166"/>
      <c r="L11846" s="166"/>
    </row>
    <row r="11847">
      <c r="A11847" s="163" t="s">
        <v>222</v>
      </c>
      <c r="B11847" s="163"/>
      <c r="C11847" s="163"/>
      <c r="J11847" s="165"/>
      <c r="K11847" s="166"/>
      <c r="L11847" s="166"/>
    </row>
    <row r="11848">
      <c r="A11848" s="163" t="s">
        <v>222</v>
      </c>
      <c r="B11848" s="163"/>
      <c r="C11848" s="163"/>
      <c r="J11848" s="165"/>
      <c r="K11848" s="166"/>
      <c r="L11848" s="166"/>
    </row>
    <row r="11849">
      <c r="A11849" s="163" t="s">
        <v>222</v>
      </c>
      <c r="B11849" s="163"/>
      <c r="C11849" s="163"/>
      <c r="J11849" s="165"/>
      <c r="K11849" s="166"/>
      <c r="L11849" s="166"/>
    </row>
    <row r="11850">
      <c r="A11850" s="163" t="s">
        <v>222</v>
      </c>
      <c r="B11850" s="163"/>
      <c r="C11850" s="163"/>
      <c r="J11850" s="165"/>
      <c r="K11850" s="166"/>
      <c r="L11850" s="166"/>
    </row>
    <row r="11851">
      <c r="A11851" s="163" t="s">
        <v>222</v>
      </c>
      <c r="B11851" s="163"/>
      <c r="C11851" s="163"/>
      <c r="J11851" s="165"/>
      <c r="K11851" s="166"/>
      <c r="L11851" s="166"/>
    </row>
    <row r="11852">
      <c r="A11852" s="163" t="s">
        <v>222</v>
      </c>
      <c r="B11852" s="163"/>
      <c r="C11852" s="163"/>
      <c r="J11852" s="165"/>
      <c r="K11852" s="166"/>
      <c r="L11852" s="166"/>
    </row>
    <row r="11853">
      <c r="A11853" s="163" t="s">
        <v>222</v>
      </c>
      <c r="B11853" s="163"/>
      <c r="C11853" s="163"/>
      <c r="J11853" s="165"/>
      <c r="K11853" s="166"/>
      <c r="L11853" s="166"/>
    </row>
    <row r="11854">
      <c r="A11854" s="163" t="s">
        <v>222</v>
      </c>
      <c r="B11854" s="163"/>
      <c r="C11854" s="163"/>
      <c r="J11854" s="165"/>
      <c r="K11854" s="166"/>
      <c r="L11854" s="166"/>
    </row>
    <row r="11855">
      <c r="A11855" s="163" t="s">
        <v>222</v>
      </c>
      <c r="B11855" s="163"/>
      <c r="C11855" s="163"/>
      <c r="J11855" s="165"/>
      <c r="K11855" s="166"/>
      <c r="L11855" s="166"/>
    </row>
    <row r="11856">
      <c r="A11856" s="163" t="s">
        <v>222</v>
      </c>
      <c r="B11856" s="163"/>
      <c r="C11856" s="163"/>
      <c r="J11856" s="165"/>
      <c r="K11856" s="166"/>
      <c r="L11856" s="166"/>
    </row>
    <row r="11857">
      <c r="A11857" s="163" t="s">
        <v>222</v>
      </c>
      <c r="B11857" s="163"/>
      <c r="C11857" s="163"/>
      <c r="J11857" s="165"/>
      <c r="K11857" s="166"/>
      <c r="L11857" s="166"/>
    </row>
    <row r="11858">
      <c r="A11858" s="163" t="s">
        <v>222</v>
      </c>
      <c r="B11858" s="163"/>
      <c r="C11858" s="163"/>
      <c r="J11858" s="165"/>
      <c r="K11858" s="166"/>
      <c r="L11858" s="166"/>
    </row>
    <row r="11859">
      <c r="A11859" s="163" t="s">
        <v>222</v>
      </c>
      <c r="B11859" s="163"/>
      <c r="C11859" s="163"/>
      <c r="J11859" s="165"/>
      <c r="K11859" s="166"/>
      <c r="L11859" s="166"/>
    </row>
    <row r="11860">
      <c r="A11860" s="163" t="s">
        <v>222</v>
      </c>
      <c r="B11860" s="163"/>
      <c r="C11860" s="163"/>
      <c r="J11860" s="165"/>
      <c r="K11860" s="166"/>
      <c r="L11860" s="166"/>
    </row>
    <row r="11861">
      <c r="A11861" s="163" t="s">
        <v>222</v>
      </c>
      <c r="B11861" s="163"/>
      <c r="C11861" s="163"/>
      <c r="J11861" s="165"/>
      <c r="K11861" s="166"/>
      <c r="L11861" s="166"/>
    </row>
    <row r="11862">
      <c r="A11862" s="163" t="s">
        <v>222</v>
      </c>
      <c r="B11862" s="163"/>
      <c r="C11862" s="163"/>
      <c r="J11862" s="165"/>
      <c r="K11862" s="166"/>
      <c r="L11862" s="166"/>
    </row>
    <row r="11863">
      <c r="A11863" s="163" t="s">
        <v>222</v>
      </c>
      <c r="B11863" s="163"/>
      <c r="C11863" s="163"/>
      <c r="J11863" s="165"/>
      <c r="K11863" s="166"/>
      <c r="L11863" s="166"/>
    </row>
    <row r="11864">
      <c r="A11864" s="163" t="s">
        <v>222</v>
      </c>
      <c r="B11864" s="163"/>
      <c r="C11864" s="163"/>
      <c r="J11864" s="165"/>
      <c r="K11864" s="166"/>
      <c r="L11864" s="166"/>
    </row>
    <row r="11865">
      <c r="A11865" s="163" t="s">
        <v>222</v>
      </c>
      <c r="B11865" s="163"/>
      <c r="C11865" s="163"/>
      <c r="J11865" s="165"/>
      <c r="K11865" s="166"/>
      <c r="L11865" s="166"/>
    </row>
    <row r="11866">
      <c r="A11866" s="163" t="s">
        <v>222</v>
      </c>
      <c r="B11866" s="163"/>
      <c r="C11866" s="163"/>
      <c r="J11866" s="165"/>
      <c r="K11866" s="166"/>
      <c r="L11866" s="166"/>
    </row>
    <row r="11867">
      <c r="A11867" s="163" t="s">
        <v>222</v>
      </c>
      <c r="B11867" s="163"/>
      <c r="C11867" s="163"/>
      <c r="J11867" s="165"/>
      <c r="K11867" s="166"/>
      <c r="L11867" s="166"/>
    </row>
    <row r="11868">
      <c r="A11868" s="163" t="s">
        <v>222</v>
      </c>
      <c r="B11868" s="163"/>
      <c r="C11868" s="163"/>
      <c r="J11868" s="165"/>
      <c r="K11868" s="166"/>
      <c r="L11868" s="166"/>
    </row>
    <row r="11869">
      <c r="A11869" s="163" t="s">
        <v>222</v>
      </c>
      <c r="B11869" s="163"/>
      <c r="C11869" s="163"/>
      <c r="J11869" s="165"/>
      <c r="K11869" s="166"/>
      <c r="L11869" s="166"/>
    </row>
    <row r="11870">
      <c r="A11870" s="163" t="s">
        <v>222</v>
      </c>
      <c r="B11870" s="163"/>
      <c r="C11870" s="163"/>
      <c r="J11870" s="165"/>
      <c r="K11870" s="166"/>
      <c r="L11870" s="166"/>
    </row>
    <row r="11871">
      <c r="A11871" s="163" t="s">
        <v>222</v>
      </c>
      <c r="B11871" s="163"/>
      <c r="C11871" s="163"/>
      <c r="J11871" s="165"/>
      <c r="K11871" s="166"/>
      <c r="L11871" s="166"/>
    </row>
    <row r="11872">
      <c r="A11872" s="163" t="s">
        <v>222</v>
      </c>
      <c r="B11872" s="163"/>
      <c r="C11872" s="163"/>
      <c r="J11872" s="165"/>
      <c r="K11872" s="166"/>
      <c r="L11872" s="166"/>
    </row>
    <row r="11873">
      <c r="A11873" s="163" t="s">
        <v>222</v>
      </c>
      <c r="B11873" s="163"/>
      <c r="C11873" s="163"/>
      <c r="J11873" s="165"/>
      <c r="K11873" s="166"/>
      <c r="L11873" s="166"/>
    </row>
    <row r="11874">
      <c r="A11874" s="163" t="s">
        <v>222</v>
      </c>
      <c r="B11874" s="163"/>
      <c r="C11874" s="163"/>
      <c r="J11874" s="165"/>
      <c r="K11874" s="166"/>
      <c r="L11874" s="166"/>
    </row>
    <row r="11875">
      <c r="A11875" s="163" t="s">
        <v>222</v>
      </c>
      <c r="B11875" s="163"/>
      <c r="C11875" s="163"/>
      <c r="J11875" s="165"/>
      <c r="K11875" s="166"/>
      <c r="L11875" s="166"/>
    </row>
    <row r="11876">
      <c r="A11876" s="163" t="s">
        <v>222</v>
      </c>
      <c r="B11876" s="163"/>
      <c r="C11876" s="163"/>
      <c r="J11876" s="165"/>
      <c r="K11876" s="166"/>
      <c r="L11876" s="166"/>
    </row>
    <row r="11877">
      <c r="A11877" s="163" t="s">
        <v>222</v>
      </c>
      <c r="B11877" s="163"/>
      <c r="C11877" s="163"/>
      <c r="J11877" s="165"/>
      <c r="K11877" s="166"/>
      <c r="L11877" s="166"/>
    </row>
    <row r="11878">
      <c r="A11878" s="163" t="s">
        <v>222</v>
      </c>
      <c r="B11878" s="163"/>
      <c r="C11878" s="163"/>
      <c r="J11878" s="165"/>
      <c r="K11878" s="166"/>
      <c r="L11878" s="166"/>
    </row>
    <row r="11879">
      <c r="A11879" s="163" t="s">
        <v>222</v>
      </c>
      <c r="B11879" s="163"/>
      <c r="C11879" s="163"/>
      <c r="J11879" s="165"/>
      <c r="K11879" s="166"/>
      <c r="L11879" s="166"/>
    </row>
    <row r="11880">
      <c r="A11880" s="163" t="s">
        <v>222</v>
      </c>
      <c r="B11880" s="163"/>
      <c r="C11880" s="163"/>
      <c r="J11880" s="165"/>
      <c r="K11880" s="166"/>
      <c r="L11880" s="166"/>
    </row>
    <row r="11881">
      <c r="A11881" s="163" t="s">
        <v>222</v>
      </c>
      <c r="B11881" s="163"/>
      <c r="C11881" s="163"/>
      <c r="J11881" s="165"/>
      <c r="K11881" s="166"/>
      <c r="L11881" s="166"/>
    </row>
    <row r="11882">
      <c r="A11882" s="163" t="s">
        <v>222</v>
      </c>
      <c r="B11882" s="163"/>
      <c r="C11882" s="163"/>
      <c r="J11882" s="165"/>
      <c r="K11882" s="166"/>
      <c r="L11882" s="166"/>
    </row>
    <row r="11883">
      <c r="A11883" s="163" t="s">
        <v>222</v>
      </c>
      <c r="B11883" s="163"/>
      <c r="C11883" s="163"/>
      <c r="J11883" s="165"/>
      <c r="K11883" s="166"/>
      <c r="L11883" s="166"/>
    </row>
    <row r="11884">
      <c r="A11884" s="163" t="s">
        <v>222</v>
      </c>
      <c r="B11884" s="163"/>
      <c r="C11884" s="163"/>
      <c r="J11884" s="165"/>
      <c r="K11884" s="166"/>
      <c r="L11884" s="166"/>
    </row>
    <row r="11885">
      <c r="A11885" s="163" t="s">
        <v>222</v>
      </c>
      <c r="B11885" s="163"/>
      <c r="C11885" s="163"/>
      <c r="J11885" s="165"/>
      <c r="K11885" s="166"/>
      <c r="L11885" s="166"/>
    </row>
    <row r="11886">
      <c r="A11886" s="163" t="s">
        <v>222</v>
      </c>
      <c r="B11886" s="163"/>
      <c r="C11886" s="163"/>
      <c r="J11886" s="165"/>
      <c r="K11886" s="166"/>
      <c r="L11886" s="166"/>
    </row>
    <row r="11887">
      <c r="A11887" s="163" t="s">
        <v>222</v>
      </c>
      <c r="B11887" s="163"/>
      <c r="C11887" s="163"/>
      <c r="J11887" s="165"/>
      <c r="K11887" s="166"/>
      <c r="L11887" s="166"/>
    </row>
    <row r="11888">
      <c r="A11888" s="163" t="s">
        <v>222</v>
      </c>
      <c r="B11888" s="163"/>
      <c r="C11888" s="163"/>
      <c r="J11888" s="165"/>
      <c r="K11888" s="166"/>
      <c r="L11888" s="166"/>
    </row>
    <row r="11889">
      <c r="A11889" s="163" t="s">
        <v>222</v>
      </c>
      <c r="B11889" s="163"/>
      <c r="C11889" s="163"/>
      <c r="J11889" s="165"/>
      <c r="K11889" s="166"/>
      <c r="L11889" s="166"/>
    </row>
    <row r="11890">
      <c r="A11890" s="163" t="s">
        <v>222</v>
      </c>
      <c r="B11890" s="163"/>
      <c r="C11890" s="163"/>
      <c r="J11890" s="165"/>
      <c r="K11890" s="166"/>
      <c r="L11890" s="166"/>
    </row>
    <row r="11891">
      <c r="A11891" s="163" t="s">
        <v>222</v>
      </c>
      <c r="B11891" s="163"/>
      <c r="C11891" s="163"/>
      <c r="J11891" s="165"/>
      <c r="K11891" s="166"/>
      <c r="L11891" s="166"/>
    </row>
    <row r="11892">
      <c r="A11892" s="163" t="s">
        <v>222</v>
      </c>
      <c r="B11892" s="163"/>
      <c r="C11892" s="163"/>
      <c r="J11892" s="165"/>
      <c r="K11892" s="166"/>
      <c r="L11892" s="166"/>
    </row>
    <row r="11893">
      <c r="A11893" s="163" t="s">
        <v>222</v>
      </c>
      <c r="B11893" s="163"/>
      <c r="C11893" s="163"/>
      <c r="J11893" s="165"/>
      <c r="K11893" s="166"/>
      <c r="L11893" s="166"/>
    </row>
    <row r="11894">
      <c r="A11894" s="163" t="s">
        <v>222</v>
      </c>
      <c r="B11894" s="163"/>
      <c r="C11894" s="163"/>
      <c r="J11894" s="165"/>
      <c r="K11894" s="166"/>
      <c r="L11894" s="166"/>
    </row>
    <row r="11895">
      <c r="A11895" s="163" t="s">
        <v>222</v>
      </c>
      <c r="B11895" s="163"/>
      <c r="C11895" s="163"/>
      <c r="J11895" s="165"/>
      <c r="K11895" s="166"/>
      <c r="L11895" s="166"/>
    </row>
    <row r="11896">
      <c r="A11896" s="163" t="s">
        <v>222</v>
      </c>
      <c r="B11896" s="163"/>
      <c r="C11896" s="163"/>
      <c r="J11896" s="165"/>
      <c r="K11896" s="166"/>
      <c r="L11896" s="166"/>
    </row>
    <row r="11897">
      <c r="A11897" s="163" t="s">
        <v>222</v>
      </c>
      <c r="B11897" s="163"/>
      <c r="C11897" s="163"/>
      <c r="J11897" s="165"/>
      <c r="K11897" s="166"/>
      <c r="L11897" s="166"/>
    </row>
    <row r="11898">
      <c r="A11898" s="163" t="s">
        <v>222</v>
      </c>
      <c r="B11898" s="163"/>
      <c r="C11898" s="163"/>
      <c r="J11898" s="165"/>
      <c r="K11898" s="166"/>
      <c r="L11898" s="166"/>
    </row>
    <row r="11899">
      <c r="A11899" s="163" t="s">
        <v>222</v>
      </c>
      <c r="B11899" s="163"/>
      <c r="C11899" s="163"/>
      <c r="J11899" s="165"/>
      <c r="K11899" s="166"/>
      <c r="L11899" s="166"/>
    </row>
    <row r="11900">
      <c r="A11900" s="163" t="s">
        <v>222</v>
      </c>
      <c r="B11900" s="163"/>
      <c r="C11900" s="163"/>
      <c r="J11900" s="165"/>
      <c r="K11900" s="166"/>
      <c r="L11900" s="166"/>
    </row>
    <row r="11901">
      <c r="A11901" s="163" t="s">
        <v>222</v>
      </c>
      <c r="B11901" s="163"/>
      <c r="C11901" s="163"/>
      <c r="J11901" s="165"/>
      <c r="K11901" s="166"/>
      <c r="L11901" s="166"/>
    </row>
    <row r="11902">
      <c r="A11902" s="163" t="s">
        <v>222</v>
      </c>
      <c r="B11902" s="163"/>
      <c r="C11902" s="163"/>
      <c r="J11902" s="165"/>
      <c r="K11902" s="166"/>
      <c r="L11902" s="166"/>
    </row>
    <row r="11903">
      <c r="A11903" s="163" t="s">
        <v>222</v>
      </c>
      <c r="B11903" s="163"/>
      <c r="C11903" s="163"/>
      <c r="J11903" s="165"/>
      <c r="K11903" s="166"/>
      <c r="L11903" s="166"/>
    </row>
    <row r="11904">
      <c r="A11904" s="163" t="s">
        <v>222</v>
      </c>
      <c r="B11904" s="163"/>
      <c r="C11904" s="163"/>
      <c r="J11904" s="165"/>
      <c r="K11904" s="166"/>
      <c r="L11904" s="166"/>
    </row>
    <row r="11905">
      <c r="A11905" s="163" t="s">
        <v>222</v>
      </c>
      <c r="B11905" s="163"/>
      <c r="C11905" s="163"/>
      <c r="J11905" s="165"/>
      <c r="K11905" s="166"/>
      <c r="L11905" s="166"/>
    </row>
    <row r="11906">
      <c r="A11906" s="163" t="s">
        <v>222</v>
      </c>
      <c r="B11906" s="163"/>
      <c r="C11906" s="163"/>
      <c r="J11906" s="165"/>
      <c r="K11906" s="166"/>
      <c r="L11906" s="166"/>
    </row>
    <row r="11907">
      <c r="A11907" s="163" t="s">
        <v>222</v>
      </c>
      <c r="B11907" s="163"/>
      <c r="C11907" s="163"/>
      <c r="J11907" s="165"/>
      <c r="K11907" s="166"/>
      <c r="L11907" s="166"/>
    </row>
    <row r="11908">
      <c r="A11908" s="163" t="s">
        <v>222</v>
      </c>
      <c r="B11908" s="163"/>
      <c r="C11908" s="163"/>
      <c r="J11908" s="165"/>
      <c r="K11908" s="166"/>
      <c r="L11908" s="166"/>
    </row>
    <row r="11909">
      <c r="A11909" s="163" t="s">
        <v>222</v>
      </c>
      <c r="B11909" s="163"/>
      <c r="C11909" s="163"/>
      <c r="J11909" s="165"/>
      <c r="K11909" s="166"/>
      <c r="L11909" s="166"/>
    </row>
    <row r="11910">
      <c r="A11910" s="163" t="s">
        <v>222</v>
      </c>
      <c r="B11910" s="163"/>
      <c r="C11910" s="163"/>
      <c r="J11910" s="165"/>
      <c r="K11910" s="166"/>
      <c r="L11910" s="166"/>
    </row>
    <row r="11911">
      <c r="A11911" s="163" t="s">
        <v>222</v>
      </c>
      <c r="B11911" s="163"/>
      <c r="C11911" s="163"/>
      <c r="J11911" s="165"/>
      <c r="K11911" s="166"/>
      <c r="L11911" s="166"/>
    </row>
    <row r="11912">
      <c r="A11912" s="163" t="s">
        <v>222</v>
      </c>
      <c r="B11912" s="163"/>
      <c r="C11912" s="163"/>
      <c r="J11912" s="165"/>
      <c r="K11912" s="166"/>
      <c r="L11912" s="166"/>
    </row>
    <row r="11913">
      <c r="A11913" s="163" t="s">
        <v>222</v>
      </c>
      <c r="B11913" s="163"/>
      <c r="C11913" s="163"/>
      <c r="J11913" s="165"/>
      <c r="K11913" s="166"/>
      <c r="L11913" s="166"/>
    </row>
    <row r="11914">
      <c r="A11914" s="163" t="s">
        <v>222</v>
      </c>
      <c r="B11914" s="163"/>
      <c r="C11914" s="163"/>
      <c r="J11914" s="165"/>
      <c r="K11914" s="166"/>
      <c r="L11914" s="166"/>
    </row>
    <row r="11915">
      <c r="A11915" s="163" t="s">
        <v>222</v>
      </c>
      <c r="B11915" s="163"/>
      <c r="C11915" s="163"/>
      <c r="J11915" s="165"/>
      <c r="K11915" s="166"/>
      <c r="L11915" s="166"/>
    </row>
    <row r="11916">
      <c r="A11916" s="163" t="s">
        <v>222</v>
      </c>
      <c r="B11916" s="163"/>
      <c r="C11916" s="163"/>
      <c r="J11916" s="165"/>
      <c r="K11916" s="166"/>
      <c r="L11916" s="166"/>
    </row>
    <row r="11917">
      <c r="A11917" s="163" t="s">
        <v>222</v>
      </c>
      <c r="B11917" s="163"/>
      <c r="C11917" s="163"/>
      <c r="J11917" s="165"/>
      <c r="K11917" s="166"/>
      <c r="L11917" s="166"/>
    </row>
    <row r="11918">
      <c r="A11918" s="163" t="s">
        <v>222</v>
      </c>
      <c r="B11918" s="163"/>
      <c r="C11918" s="163"/>
      <c r="J11918" s="165"/>
      <c r="K11918" s="166"/>
      <c r="L11918" s="166"/>
    </row>
    <row r="11919">
      <c r="A11919" s="163" t="s">
        <v>222</v>
      </c>
      <c r="B11919" s="163"/>
      <c r="C11919" s="163"/>
      <c r="J11919" s="165"/>
      <c r="K11919" s="166"/>
      <c r="L11919" s="166"/>
    </row>
    <row r="11920">
      <c r="A11920" s="163" t="s">
        <v>222</v>
      </c>
      <c r="B11920" s="163"/>
      <c r="C11920" s="163"/>
      <c r="J11920" s="165"/>
      <c r="K11920" s="166"/>
      <c r="L11920" s="166"/>
    </row>
    <row r="11921">
      <c r="A11921" s="163" t="s">
        <v>222</v>
      </c>
      <c r="B11921" s="163"/>
      <c r="C11921" s="163"/>
      <c r="J11921" s="165"/>
      <c r="K11921" s="166"/>
      <c r="L11921" s="166"/>
    </row>
    <row r="11922">
      <c r="A11922" s="163" t="s">
        <v>222</v>
      </c>
      <c r="B11922" s="163"/>
      <c r="C11922" s="163"/>
      <c r="J11922" s="165"/>
      <c r="K11922" s="166"/>
      <c r="L11922" s="166"/>
    </row>
    <row r="11923">
      <c r="A11923" s="163" t="s">
        <v>222</v>
      </c>
      <c r="B11923" s="163"/>
      <c r="C11923" s="163"/>
      <c r="J11923" s="165"/>
      <c r="K11923" s="166"/>
      <c r="L11923" s="166"/>
    </row>
    <row r="11924">
      <c r="A11924" s="163" t="s">
        <v>222</v>
      </c>
      <c r="B11924" s="163"/>
      <c r="C11924" s="163"/>
      <c r="J11924" s="165"/>
      <c r="K11924" s="166"/>
      <c r="L11924" s="166"/>
    </row>
    <row r="11925">
      <c r="A11925" s="163" t="s">
        <v>222</v>
      </c>
      <c r="B11925" s="163"/>
      <c r="C11925" s="163"/>
      <c r="J11925" s="165"/>
      <c r="K11925" s="166"/>
      <c r="L11925" s="166"/>
    </row>
    <row r="11926">
      <c r="A11926" s="163" t="s">
        <v>222</v>
      </c>
      <c r="B11926" s="163"/>
      <c r="C11926" s="163"/>
      <c r="J11926" s="165"/>
      <c r="K11926" s="166"/>
      <c r="L11926" s="166"/>
    </row>
    <row r="11927">
      <c r="A11927" s="163" t="s">
        <v>222</v>
      </c>
      <c r="B11927" s="163"/>
      <c r="C11927" s="163"/>
      <c r="J11927" s="165"/>
      <c r="K11927" s="166"/>
      <c r="L11927" s="166"/>
    </row>
    <row r="11928">
      <c r="A11928" s="163" t="s">
        <v>222</v>
      </c>
      <c r="B11928" s="163"/>
      <c r="C11928" s="163"/>
      <c r="J11928" s="165"/>
      <c r="K11928" s="166"/>
      <c r="L11928" s="166"/>
    </row>
    <row r="11929">
      <c r="A11929" s="163" t="s">
        <v>222</v>
      </c>
      <c r="B11929" s="163"/>
      <c r="C11929" s="163"/>
      <c r="J11929" s="165"/>
      <c r="K11929" s="166"/>
      <c r="L11929" s="166"/>
    </row>
    <row r="11930">
      <c r="A11930" s="163" t="s">
        <v>222</v>
      </c>
      <c r="B11930" s="163"/>
      <c r="C11930" s="163"/>
      <c r="J11930" s="165"/>
      <c r="K11930" s="166"/>
      <c r="L11930" s="166"/>
    </row>
    <row r="11931">
      <c r="A11931" s="163" t="s">
        <v>222</v>
      </c>
      <c r="B11931" s="163"/>
      <c r="C11931" s="163"/>
      <c r="J11931" s="165"/>
      <c r="K11931" s="166"/>
      <c r="L11931" s="166"/>
    </row>
    <row r="11932">
      <c r="A11932" s="163" t="s">
        <v>222</v>
      </c>
      <c r="B11932" s="163"/>
      <c r="C11932" s="163"/>
      <c r="J11932" s="165"/>
      <c r="K11932" s="166"/>
      <c r="L11932" s="166"/>
    </row>
    <row r="11933">
      <c r="A11933" s="163" t="s">
        <v>222</v>
      </c>
      <c r="B11933" s="163"/>
      <c r="C11933" s="163"/>
      <c r="J11933" s="165"/>
      <c r="K11933" s="166"/>
      <c r="L11933" s="166"/>
    </row>
    <row r="11934">
      <c r="A11934" s="163" t="s">
        <v>222</v>
      </c>
      <c r="B11934" s="163"/>
      <c r="C11934" s="163"/>
      <c r="J11934" s="165"/>
      <c r="K11934" s="166"/>
      <c r="L11934" s="166"/>
    </row>
    <row r="11935">
      <c r="A11935" s="163" t="s">
        <v>222</v>
      </c>
      <c r="B11935" s="163"/>
      <c r="C11935" s="163"/>
      <c r="J11935" s="165"/>
      <c r="K11935" s="166"/>
      <c r="L11935" s="166"/>
    </row>
    <row r="11936">
      <c r="A11936" s="163" t="s">
        <v>222</v>
      </c>
      <c r="B11936" s="163"/>
      <c r="C11936" s="163"/>
      <c r="J11936" s="165"/>
      <c r="K11936" s="166"/>
      <c r="L11936" s="166"/>
    </row>
    <row r="11937">
      <c r="A11937" s="163" t="s">
        <v>222</v>
      </c>
      <c r="B11937" s="163"/>
      <c r="C11937" s="163"/>
      <c r="J11937" s="165"/>
      <c r="K11937" s="166"/>
      <c r="L11937" s="166"/>
    </row>
    <row r="11938">
      <c r="A11938" s="163" t="s">
        <v>222</v>
      </c>
      <c r="B11938" s="163"/>
      <c r="C11938" s="163"/>
      <c r="J11938" s="165"/>
      <c r="K11938" s="166"/>
      <c r="L11938" s="166"/>
    </row>
    <row r="11939">
      <c r="A11939" s="163" t="s">
        <v>222</v>
      </c>
      <c r="B11939" s="163"/>
      <c r="C11939" s="163"/>
      <c r="J11939" s="165"/>
      <c r="K11939" s="166"/>
      <c r="L11939" s="166"/>
    </row>
    <row r="11940">
      <c r="A11940" s="163" t="s">
        <v>222</v>
      </c>
      <c r="B11940" s="163"/>
      <c r="C11940" s="163"/>
      <c r="J11940" s="165"/>
      <c r="K11940" s="166"/>
      <c r="L11940" s="166"/>
    </row>
    <row r="11941">
      <c r="A11941" s="163" t="s">
        <v>222</v>
      </c>
      <c r="B11941" s="163"/>
      <c r="C11941" s="163"/>
      <c r="J11941" s="165"/>
      <c r="K11941" s="166"/>
      <c r="L11941" s="166"/>
    </row>
    <row r="11942">
      <c r="A11942" s="163" t="s">
        <v>222</v>
      </c>
      <c r="B11942" s="163"/>
      <c r="C11942" s="163"/>
      <c r="J11942" s="165"/>
      <c r="K11942" s="166"/>
      <c r="L11942" s="166"/>
    </row>
    <row r="11943">
      <c r="A11943" s="163" t="s">
        <v>222</v>
      </c>
      <c r="B11943" s="163"/>
      <c r="C11943" s="163"/>
      <c r="J11943" s="165"/>
      <c r="K11943" s="166"/>
      <c r="L11943" s="166"/>
    </row>
    <row r="11944">
      <c r="A11944" s="163" t="s">
        <v>222</v>
      </c>
      <c r="B11944" s="163"/>
      <c r="C11944" s="163"/>
      <c r="J11944" s="165"/>
      <c r="K11944" s="166"/>
      <c r="L11944" s="166"/>
    </row>
    <row r="11945">
      <c r="A11945" s="163" t="s">
        <v>222</v>
      </c>
      <c r="B11945" s="163"/>
      <c r="C11945" s="163"/>
      <c r="J11945" s="165"/>
      <c r="K11945" s="166"/>
      <c r="L11945" s="166"/>
    </row>
    <row r="11946">
      <c r="A11946" s="163" t="s">
        <v>222</v>
      </c>
      <c r="B11946" s="163"/>
      <c r="C11946" s="163"/>
      <c r="J11946" s="165"/>
      <c r="K11946" s="166"/>
      <c r="L11946" s="166"/>
    </row>
    <row r="11947">
      <c r="A11947" s="163" t="s">
        <v>222</v>
      </c>
      <c r="B11947" s="163"/>
      <c r="C11947" s="163"/>
      <c r="J11947" s="165"/>
      <c r="K11947" s="166"/>
      <c r="L11947" s="166"/>
    </row>
    <row r="11948">
      <c r="A11948" s="163" t="s">
        <v>222</v>
      </c>
      <c r="B11948" s="163"/>
      <c r="C11948" s="163"/>
      <c r="J11948" s="165"/>
      <c r="K11948" s="166"/>
      <c r="L11948" s="166"/>
    </row>
    <row r="11949">
      <c r="A11949" s="163" t="s">
        <v>222</v>
      </c>
      <c r="B11949" s="163"/>
      <c r="C11949" s="163"/>
      <c r="J11949" s="165"/>
      <c r="K11949" s="166"/>
      <c r="L11949" s="166"/>
    </row>
    <row r="11950">
      <c r="A11950" s="163" t="s">
        <v>222</v>
      </c>
      <c r="B11950" s="163"/>
      <c r="C11950" s="163"/>
      <c r="J11950" s="165"/>
      <c r="K11950" s="166"/>
      <c r="L11950" s="166"/>
    </row>
    <row r="11951">
      <c r="A11951" s="163" t="s">
        <v>222</v>
      </c>
      <c r="B11951" s="163"/>
      <c r="C11951" s="163"/>
      <c r="J11951" s="165"/>
      <c r="K11951" s="166"/>
      <c r="L11951" s="166"/>
    </row>
    <row r="11952">
      <c r="A11952" s="163" t="s">
        <v>222</v>
      </c>
      <c r="B11952" s="163"/>
      <c r="C11952" s="163"/>
      <c r="J11952" s="165"/>
      <c r="K11952" s="166"/>
      <c r="L11952" s="166"/>
    </row>
    <row r="11953">
      <c r="A11953" s="163" t="s">
        <v>222</v>
      </c>
      <c r="B11953" s="163"/>
      <c r="C11953" s="163"/>
      <c r="J11953" s="165"/>
      <c r="K11953" s="166"/>
      <c r="L11953" s="166"/>
    </row>
    <row r="11954">
      <c r="A11954" s="163" t="s">
        <v>222</v>
      </c>
      <c r="B11954" s="163"/>
      <c r="C11954" s="163"/>
      <c r="J11954" s="165"/>
      <c r="K11954" s="166"/>
      <c r="L11954" s="166"/>
    </row>
    <row r="11955">
      <c r="A11955" s="163" t="s">
        <v>222</v>
      </c>
      <c r="B11955" s="163"/>
      <c r="C11955" s="163"/>
      <c r="J11955" s="165"/>
      <c r="K11955" s="166"/>
      <c r="L11955" s="166"/>
    </row>
    <row r="11956">
      <c r="A11956" s="163" t="s">
        <v>222</v>
      </c>
      <c r="B11956" s="163"/>
      <c r="C11956" s="163"/>
      <c r="J11956" s="165"/>
      <c r="K11956" s="166"/>
      <c r="L11956" s="166"/>
    </row>
    <row r="11957">
      <c r="A11957" s="163" t="s">
        <v>222</v>
      </c>
      <c r="B11957" s="163"/>
      <c r="C11957" s="163"/>
      <c r="J11957" s="165"/>
      <c r="K11957" s="166"/>
      <c r="L11957" s="166"/>
    </row>
    <row r="11958">
      <c r="A11958" s="163" t="s">
        <v>222</v>
      </c>
      <c r="B11958" s="163"/>
      <c r="C11958" s="163"/>
      <c r="J11958" s="165"/>
      <c r="K11958" s="166"/>
      <c r="L11958" s="166"/>
    </row>
    <row r="11959">
      <c r="A11959" s="163" t="s">
        <v>222</v>
      </c>
      <c r="B11959" s="163"/>
      <c r="C11959" s="163"/>
      <c r="J11959" s="165"/>
      <c r="K11959" s="166"/>
      <c r="L11959" s="166"/>
    </row>
    <row r="11960">
      <c r="A11960" s="163" t="s">
        <v>222</v>
      </c>
      <c r="B11960" s="163"/>
      <c r="C11960" s="163"/>
      <c r="J11960" s="165"/>
      <c r="K11960" s="166"/>
      <c r="L11960" s="166"/>
    </row>
    <row r="11961">
      <c r="A11961" s="163" t="s">
        <v>222</v>
      </c>
      <c r="B11961" s="163"/>
      <c r="C11961" s="163"/>
      <c r="J11961" s="165"/>
      <c r="K11961" s="166"/>
      <c r="L11961" s="166"/>
    </row>
    <row r="11962">
      <c r="A11962" s="163" t="s">
        <v>222</v>
      </c>
      <c r="B11962" s="163"/>
      <c r="C11962" s="163"/>
      <c r="J11962" s="165"/>
      <c r="K11962" s="166"/>
      <c r="L11962" s="166"/>
    </row>
    <row r="11963">
      <c r="A11963" s="163" t="s">
        <v>222</v>
      </c>
      <c r="B11963" s="163"/>
      <c r="C11963" s="163"/>
      <c r="J11963" s="165"/>
      <c r="K11963" s="166"/>
      <c r="L11963" s="166"/>
    </row>
    <row r="11964">
      <c r="A11964" s="163" t="s">
        <v>222</v>
      </c>
      <c r="B11964" s="163"/>
      <c r="C11964" s="163"/>
      <c r="J11964" s="165"/>
      <c r="K11964" s="166"/>
      <c r="L11964" s="166"/>
    </row>
    <row r="11965">
      <c r="A11965" s="163" t="s">
        <v>222</v>
      </c>
      <c r="B11965" s="163"/>
      <c r="C11965" s="163"/>
      <c r="J11965" s="165"/>
      <c r="K11965" s="166"/>
      <c r="L11965" s="166"/>
    </row>
    <row r="11966">
      <c r="A11966" s="163" t="s">
        <v>222</v>
      </c>
      <c r="B11966" s="163"/>
      <c r="C11966" s="163"/>
      <c r="J11966" s="165"/>
      <c r="K11966" s="166"/>
      <c r="L11966" s="166"/>
    </row>
    <row r="11967">
      <c r="A11967" s="163" t="s">
        <v>222</v>
      </c>
      <c r="B11967" s="163"/>
      <c r="C11967" s="163"/>
      <c r="J11967" s="165"/>
      <c r="K11967" s="166"/>
      <c r="L11967" s="166"/>
    </row>
    <row r="11968">
      <c r="A11968" s="163" t="s">
        <v>222</v>
      </c>
      <c r="B11968" s="163"/>
      <c r="C11968" s="163"/>
      <c r="J11968" s="165"/>
      <c r="K11968" s="166"/>
      <c r="L11968" s="166"/>
    </row>
    <row r="11969">
      <c r="A11969" s="163" t="s">
        <v>222</v>
      </c>
      <c r="B11969" s="163"/>
      <c r="C11969" s="163"/>
      <c r="J11969" s="165"/>
      <c r="K11969" s="166"/>
      <c r="L11969" s="166"/>
    </row>
    <row r="11970">
      <c r="A11970" s="163" t="s">
        <v>222</v>
      </c>
      <c r="B11970" s="163"/>
      <c r="C11970" s="163"/>
      <c r="J11970" s="165"/>
      <c r="K11970" s="166"/>
      <c r="L11970" s="166"/>
    </row>
    <row r="11971">
      <c r="A11971" s="163" t="s">
        <v>222</v>
      </c>
      <c r="B11971" s="163"/>
      <c r="C11971" s="163"/>
      <c r="J11971" s="165"/>
      <c r="K11971" s="166"/>
      <c r="L11971" s="166"/>
    </row>
    <row r="11972">
      <c r="A11972" s="163" t="s">
        <v>222</v>
      </c>
      <c r="B11972" s="163"/>
      <c r="C11972" s="163"/>
      <c r="J11972" s="165"/>
      <c r="K11972" s="166"/>
      <c r="L11972" s="166"/>
    </row>
    <row r="11973">
      <c r="A11973" s="163" t="s">
        <v>222</v>
      </c>
      <c r="B11973" s="163"/>
      <c r="C11973" s="163"/>
      <c r="J11973" s="165"/>
      <c r="K11973" s="166"/>
      <c r="L11973" s="166"/>
    </row>
    <row r="11974">
      <c r="A11974" s="163" t="s">
        <v>222</v>
      </c>
      <c r="B11974" s="163"/>
      <c r="C11974" s="163"/>
      <c r="J11974" s="165"/>
      <c r="K11974" s="166"/>
      <c r="L11974" s="166"/>
    </row>
    <row r="11975">
      <c r="A11975" s="163" t="s">
        <v>222</v>
      </c>
      <c r="B11975" s="163"/>
      <c r="C11975" s="163"/>
      <c r="J11975" s="165"/>
      <c r="K11975" s="166"/>
      <c r="L11975" s="166"/>
    </row>
    <row r="11976">
      <c r="A11976" s="163" t="s">
        <v>222</v>
      </c>
      <c r="B11976" s="163"/>
      <c r="C11976" s="163"/>
      <c r="J11976" s="165"/>
      <c r="K11976" s="166"/>
      <c r="L11976" s="166"/>
    </row>
    <row r="11977">
      <c r="A11977" s="163" t="s">
        <v>222</v>
      </c>
      <c r="B11977" s="163"/>
      <c r="C11977" s="163"/>
      <c r="J11977" s="165"/>
      <c r="K11977" s="166"/>
      <c r="L11977" s="166"/>
    </row>
    <row r="11978">
      <c r="A11978" s="163" t="s">
        <v>222</v>
      </c>
      <c r="B11978" s="163"/>
      <c r="C11978" s="163"/>
      <c r="J11978" s="165"/>
      <c r="K11978" s="166"/>
      <c r="L11978" s="166"/>
    </row>
    <row r="11979">
      <c r="A11979" s="163" t="s">
        <v>222</v>
      </c>
      <c r="B11979" s="163"/>
      <c r="C11979" s="163"/>
      <c r="J11979" s="165"/>
      <c r="K11979" s="166"/>
      <c r="L11979" s="166"/>
    </row>
    <row r="11980">
      <c r="A11980" s="163" t="s">
        <v>222</v>
      </c>
      <c r="B11980" s="163"/>
      <c r="C11980" s="163"/>
      <c r="J11980" s="165"/>
      <c r="K11980" s="166"/>
      <c r="L11980" s="166"/>
    </row>
    <row r="11981">
      <c r="A11981" s="163" t="s">
        <v>222</v>
      </c>
      <c r="B11981" s="163"/>
      <c r="C11981" s="163"/>
      <c r="J11981" s="165"/>
      <c r="K11981" s="166"/>
      <c r="L11981" s="166"/>
    </row>
    <row r="11982">
      <c r="A11982" s="163" t="s">
        <v>222</v>
      </c>
      <c r="B11982" s="163"/>
      <c r="C11982" s="163"/>
      <c r="J11982" s="165"/>
      <c r="K11982" s="166"/>
      <c r="L11982" s="166"/>
    </row>
    <row r="11983">
      <c r="A11983" s="163" t="s">
        <v>222</v>
      </c>
      <c r="B11983" s="163"/>
      <c r="C11983" s="163"/>
      <c r="J11983" s="165"/>
      <c r="K11983" s="166"/>
      <c r="L11983" s="166"/>
    </row>
    <row r="11984">
      <c r="A11984" s="163" t="s">
        <v>222</v>
      </c>
      <c r="B11984" s="163"/>
      <c r="C11984" s="163"/>
      <c r="J11984" s="165"/>
      <c r="K11984" s="166"/>
      <c r="L11984" s="166"/>
    </row>
    <row r="11985">
      <c r="A11985" s="163" t="s">
        <v>222</v>
      </c>
      <c r="B11985" s="163"/>
      <c r="C11985" s="163"/>
      <c r="J11985" s="165"/>
      <c r="K11985" s="166"/>
      <c r="L11985" s="166"/>
    </row>
    <row r="11986">
      <c r="A11986" s="163" t="s">
        <v>222</v>
      </c>
      <c r="B11986" s="163"/>
      <c r="C11986" s="163"/>
      <c r="J11986" s="165"/>
      <c r="K11986" s="166"/>
      <c r="L11986" s="166"/>
    </row>
    <row r="11987">
      <c r="A11987" s="163" t="s">
        <v>222</v>
      </c>
      <c r="B11987" s="163"/>
      <c r="C11987" s="163"/>
      <c r="J11987" s="165"/>
      <c r="K11987" s="166"/>
      <c r="L11987" s="166"/>
    </row>
    <row r="11988">
      <c r="A11988" s="163" t="s">
        <v>222</v>
      </c>
      <c r="B11988" s="163"/>
      <c r="C11988" s="163"/>
      <c r="J11988" s="165"/>
      <c r="K11988" s="166"/>
      <c r="L11988" s="166"/>
    </row>
    <row r="11989">
      <c r="A11989" s="163" t="s">
        <v>222</v>
      </c>
      <c r="B11989" s="163"/>
      <c r="C11989" s="163"/>
      <c r="J11989" s="165"/>
      <c r="K11989" s="166"/>
      <c r="L11989" s="166"/>
    </row>
    <row r="11990">
      <c r="A11990" s="163" t="s">
        <v>222</v>
      </c>
      <c r="B11990" s="163"/>
      <c r="C11990" s="163"/>
      <c r="J11990" s="165"/>
      <c r="K11990" s="166"/>
      <c r="L11990" s="166"/>
    </row>
    <row r="11991">
      <c r="A11991" s="163" t="s">
        <v>222</v>
      </c>
      <c r="B11991" s="163"/>
      <c r="C11991" s="163"/>
      <c r="J11991" s="165"/>
      <c r="K11991" s="166"/>
      <c r="L11991" s="166"/>
    </row>
    <row r="11992">
      <c r="A11992" s="163" t="s">
        <v>222</v>
      </c>
      <c r="B11992" s="163"/>
      <c r="C11992" s="163"/>
      <c r="J11992" s="165"/>
      <c r="K11992" s="166"/>
      <c r="L11992" s="166"/>
    </row>
    <row r="11993">
      <c r="A11993" s="163" t="s">
        <v>222</v>
      </c>
      <c r="B11993" s="163"/>
      <c r="C11993" s="163"/>
      <c r="J11993" s="165"/>
      <c r="K11993" s="166"/>
      <c r="L11993" s="166"/>
    </row>
    <row r="11994">
      <c r="A11994" s="163" t="s">
        <v>222</v>
      </c>
      <c r="B11994" s="163"/>
      <c r="C11994" s="163"/>
      <c r="J11994" s="165"/>
      <c r="K11994" s="166"/>
      <c r="L11994" s="166"/>
    </row>
    <row r="11995">
      <c r="A11995" s="163" t="s">
        <v>222</v>
      </c>
      <c r="B11995" s="163"/>
      <c r="C11995" s="163"/>
      <c r="J11995" s="165"/>
      <c r="K11995" s="166"/>
      <c r="L11995" s="166"/>
    </row>
    <row r="11996">
      <c r="A11996" s="163" t="s">
        <v>222</v>
      </c>
      <c r="B11996" s="163"/>
      <c r="C11996" s="163"/>
      <c r="J11996" s="165"/>
      <c r="K11996" s="166"/>
      <c r="L11996" s="166"/>
    </row>
    <row r="11997">
      <c r="A11997" s="163" t="s">
        <v>222</v>
      </c>
      <c r="B11997" s="163"/>
      <c r="C11997" s="163"/>
      <c r="J11997" s="165"/>
      <c r="K11997" s="166"/>
      <c r="L11997" s="166"/>
    </row>
    <row r="11998">
      <c r="A11998" s="163" t="s">
        <v>222</v>
      </c>
      <c r="B11998" s="163"/>
      <c r="C11998" s="163"/>
      <c r="J11998" s="165"/>
      <c r="K11998" s="166"/>
      <c r="L11998" s="166"/>
    </row>
    <row r="11999">
      <c r="A11999" s="163" t="s">
        <v>222</v>
      </c>
      <c r="B11999" s="163"/>
      <c r="C11999" s="163"/>
      <c r="J11999" s="165"/>
      <c r="K11999" s="166"/>
      <c r="L11999" s="166"/>
    </row>
    <row r="12000">
      <c r="A12000" s="163" t="s">
        <v>222</v>
      </c>
      <c r="B12000" s="163"/>
      <c r="C12000" s="163"/>
      <c r="J12000" s="165"/>
      <c r="K12000" s="166"/>
      <c r="L12000" s="166"/>
    </row>
    <row r="12001">
      <c r="A12001" s="163" t="s">
        <v>222</v>
      </c>
      <c r="B12001" s="163"/>
      <c r="C12001" s="163"/>
      <c r="J12001" s="165"/>
      <c r="K12001" s="166"/>
      <c r="L12001" s="166"/>
    </row>
    <row r="12002">
      <c r="A12002" s="163" t="s">
        <v>222</v>
      </c>
      <c r="B12002" s="163"/>
      <c r="C12002" s="163"/>
      <c r="J12002" s="165"/>
      <c r="K12002" s="166"/>
      <c r="L12002" s="166"/>
    </row>
    <row r="12003">
      <c r="A12003" s="163" t="s">
        <v>222</v>
      </c>
      <c r="B12003" s="163"/>
      <c r="C12003" s="163"/>
      <c r="J12003" s="165"/>
      <c r="K12003" s="166"/>
      <c r="L12003" s="166"/>
    </row>
    <row r="12004">
      <c r="A12004" s="163" t="s">
        <v>222</v>
      </c>
      <c r="B12004" s="163"/>
      <c r="C12004" s="163"/>
      <c r="J12004" s="165"/>
      <c r="K12004" s="166"/>
      <c r="L12004" s="166"/>
    </row>
    <row r="12005">
      <c r="A12005" s="163" t="s">
        <v>222</v>
      </c>
      <c r="B12005" s="163"/>
      <c r="C12005" s="163"/>
      <c r="J12005" s="165"/>
      <c r="K12005" s="166"/>
      <c r="L12005" s="166"/>
    </row>
    <row r="12006">
      <c r="A12006" s="163" t="s">
        <v>222</v>
      </c>
      <c r="B12006" s="163"/>
      <c r="C12006" s="163"/>
      <c r="J12006" s="165"/>
      <c r="K12006" s="166"/>
      <c r="L12006" s="166"/>
    </row>
    <row r="12007">
      <c r="A12007" s="163" t="s">
        <v>222</v>
      </c>
      <c r="B12007" s="163"/>
      <c r="C12007" s="163"/>
      <c r="J12007" s="165"/>
      <c r="K12007" s="166"/>
      <c r="L12007" s="166"/>
    </row>
    <row r="12008">
      <c r="A12008" s="163" t="s">
        <v>222</v>
      </c>
      <c r="B12008" s="163"/>
      <c r="C12008" s="163"/>
      <c r="J12008" s="165"/>
      <c r="K12008" s="166"/>
      <c r="L12008" s="166"/>
    </row>
    <row r="12009">
      <c r="A12009" s="163" t="s">
        <v>222</v>
      </c>
      <c r="B12009" s="163"/>
      <c r="C12009" s="163"/>
      <c r="J12009" s="165"/>
      <c r="K12009" s="166"/>
      <c r="L12009" s="166"/>
    </row>
    <row r="12010">
      <c r="A12010" s="163" t="s">
        <v>222</v>
      </c>
      <c r="B12010" s="163"/>
      <c r="C12010" s="163"/>
      <c r="J12010" s="165"/>
      <c r="K12010" s="166"/>
      <c r="L12010" s="166"/>
    </row>
    <row r="12011">
      <c r="A12011" s="163" t="s">
        <v>222</v>
      </c>
      <c r="B12011" s="163"/>
      <c r="C12011" s="163"/>
      <c r="J12011" s="165"/>
      <c r="K12011" s="166"/>
      <c r="L12011" s="166"/>
    </row>
    <row r="12012">
      <c r="A12012" s="163" t="s">
        <v>222</v>
      </c>
      <c r="B12012" s="163"/>
      <c r="C12012" s="163"/>
      <c r="J12012" s="165"/>
      <c r="K12012" s="166"/>
      <c r="L12012" s="166"/>
    </row>
    <row r="12013">
      <c r="A12013" s="163" t="s">
        <v>222</v>
      </c>
      <c r="B12013" s="163"/>
      <c r="C12013" s="163"/>
      <c r="J12013" s="165"/>
      <c r="K12013" s="166"/>
      <c r="L12013" s="166"/>
    </row>
    <row r="12014">
      <c r="A12014" s="163" t="s">
        <v>222</v>
      </c>
      <c r="B12014" s="163"/>
      <c r="C12014" s="163"/>
      <c r="J12014" s="165"/>
      <c r="K12014" s="166"/>
      <c r="L12014" s="166"/>
    </row>
    <row r="12015">
      <c r="A12015" s="163" t="s">
        <v>222</v>
      </c>
      <c r="B12015" s="163"/>
      <c r="C12015" s="163"/>
      <c r="J12015" s="165"/>
      <c r="K12015" s="166"/>
      <c r="L12015" s="166"/>
    </row>
    <row r="12016">
      <c r="A12016" s="163" t="s">
        <v>222</v>
      </c>
      <c r="B12016" s="163"/>
      <c r="C12016" s="163"/>
      <c r="J12016" s="165"/>
      <c r="K12016" s="166"/>
      <c r="L12016" s="166"/>
    </row>
    <row r="12017">
      <c r="A12017" s="163" t="s">
        <v>222</v>
      </c>
      <c r="B12017" s="163"/>
      <c r="C12017" s="163"/>
      <c r="J12017" s="165"/>
      <c r="K12017" s="166"/>
      <c r="L12017" s="166"/>
    </row>
    <row r="12018">
      <c r="A12018" s="163" t="s">
        <v>222</v>
      </c>
      <c r="B12018" s="163"/>
      <c r="C12018" s="163"/>
      <c r="J12018" s="165"/>
      <c r="K12018" s="166"/>
      <c r="L12018" s="166"/>
    </row>
    <row r="12019">
      <c r="A12019" s="163" t="s">
        <v>222</v>
      </c>
      <c r="B12019" s="163"/>
      <c r="C12019" s="163"/>
      <c r="J12019" s="165"/>
      <c r="K12019" s="166"/>
      <c r="L12019" s="166"/>
    </row>
    <row r="12020">
      <c r="A12020" s="163" t="s">
        <v>222</v>
      </c>
      <c r="B12020" s="163"/>
      <c r="C12020" s="163"/>
      <c r="J12020" s="165"/>
      <c r="K12020" s="166"/>
      <c r="L12020" s="166"/>
    </row>
    <row r="12021">
      <c r="A12021" s="163" t="s">
        <v>222</v>
      </c>
      <c r="B12021" s="163"/>
      <c r="C12021" s="163"/>
      <c r="J12021" s="165"/>
      <c r="K12021" s="166"/>
      <c r="L12021" s="166"/>
    </row>
    <row r="12022">
      <c r="A12022" s="163" t="s">
        <v>222</v>
      </c>
      <c r="B12022" s="163"/>
      <c r="C12022" s="163"/>
      <c r="J12022" s="165"/>
      <c r="K12022" s="166"/>
      <c r="L12022" s="166"/>
    </row>
    <row r="12023">
      <c r="A12023" s="163" t="s">
        <v>222</v>
      </c>
      <c r="B12023" s="163"/>
      <c r="C12023" s="163"/>
      <c r="J12023" s="165"/>
      <c r="K12023" s="166"/>
      <c r="L12023" s="166"/>
    </row>
    <row r="12024">
      <c r="A12024" s="163" t="s">
        <v>222</v>
      </c>
      <c r="B12024" s="163"/>
      <c r="C12024" s="163"/>
      <c r="J12024" s="165"/>
      <c r="K12024" s="166"/>
      <c r="L12024" s="166"/>
    </row>
    <row r="12025">
      <c r="A12025" s="163" t="s">
        <v>222</v>
      </c>
      <c r="B12025" s="163"/>
      <c r="C12025" s="163"/>
      <c r="J12025" s="165"/>
      <c r="K12025" s="166"/>
      <c r="L12025" s="166"/>
    </row>
    <row r="12026">
      <c r="A12026" s="163" t="s">
        <v>222</v>
      </c>
      <c r="B12026" s="163"/>
      <c r="C12026" s="163"/>
      <c r="J12026" s="165"/>
      <c r="K12026" s="166"/>
      <c r="L12026" s="166"/>
    </row>
    <row r="12027">
      <c r="A12027" s="163" t="s">
        <v>222</v>
      </c>
      <c r="B12027" s="163"/>
      <c r="C12027" s="163"/>
      <c r="J12027" s="165"/>
      <c r="K12027" s="166"/>
      <c r="L12027" s="166"/>
    </row>
    <row r="12028">
      <c r="A12028" s="163" t="s">
        <v>222</v>
      </c>
      <c r="B12028" s="163"/>
      <c r="C12028" s="163"/>
      <c r="J12028" s="165"/>
      <c r="K12028" s="166"/>
      <c r="L12028" s="166"/>
    </row>
    <row r="12029">
      <c r="A12029" s="163" t="s">
        <v>222</v>
      </c>
      <c r="B12029" s="163"/>
      <c r="C12029" s="163"/>
      <c r="J12029" s="165"/>
      <c r="K12029" s="166"/>
      <c r="L12029" s="166"/>
    </row>
    <row r="12030">
      <c r="A12030" s="163" t="s">
        <v>222</v>
      </c>
      <c r="B12030" s="163"/>
      <c r="C12030" s="163"/>
      <c r="J12030" s="165"/>
      <c r="K12030" s="166"/>
      <c r="L12030" s="166"/>
    </row>
    <row r="12031">
      <c r="A12031" s="163" t="s">
        <v>222</v>
      </c>
      <c r="B12031" s="163"/>
      <c r="C12031" s="163"/>
      <c r="J12031" s="165"/>
      <c r="K12031" s="166"/>
      <c r="L12031" s="166"/>
    </row>
    <row r="12032">
      <c r="A12032" s="163" t="s">
        <v>222</v>
      </c>
      <c r="B12032" s="163"/>
      <c r="C12032" s="163"/>
      <c r="J12032" s="165"/>
      <c r="K12032" s="166"/>
      <c r="L12032" s="166"/>
    </row>
    <row r="12033">
      <c r="A12033" s="163" t="s">
        <v>222</v>
      </c>
      <c r="B12033" s="163"/>
      <c r="C12033" s="163"/>
      <c r="J12033" s="165"/>
      <c r="K12033" s="166"/>
      <c r="L12033" s="166"/>
    </row>
    <row r="12034">
      <c r="A12034" s="163" t="s">
        <v>222</v>
      </c>
      <c r="B12034" s="163"/>
      <c r="C12034" s="163"/>
      <c r="J12034" s="165"/>
      <c r="K12034" s="166"/>
      <c r="L12034" s="166"/>
    </row>
    <row r="12035">
      <c r="A12035" s="163" t="s">
        <v>222</v>
      </c>
      <c r="B12035" s="163"/>
      <c r="C12035" s="163"/>
      <c r="J12035" s="165"/>
      <c r="K12035" s="166"/>
      <c r="L12035" s="166"/>
    </row>
    <row r="12036">
      <c r="A12036" s="163" t="s">
        <v>222</v>
      </c>
      <c r="B12036" s="163"/>
      <c r="C12036" s="163"/>
      <c r="J12036" s="165"/>
      <c r="K12036" s="166"/>
      <c r="L12036" s="166"/>
    </row>
    <row r="12037">
      <c r="A12037" s="163" t="s">
        <v>222</v>
      </c>
      <c r="B12037" s="163"/>
      <c r="C12037" s="163"/>
      <c r="J12037" s="165"/>
      <c r="K12037" s="166"/>
      <c r="L12037" s="166"/>
    </row>
    <row r="12038">
      <c r="A12038" s="163" t="s">
        <v>222</v>
      </c>
      <c r="B12038" s="163"/>
      <c r="C12038" s="163"/>
      <c r="J12038" s="165"/>
      <c r="K12038" s="166"/>
      <c r="L12038" s="166"/>
    </row>
    <row r="12039">
      <c r="A12039" s="163" t="s">
        <v>222</v>
      </c>
      <c r="B12039" s="163"/>
      <c r="C12039" s="163"/>
      <c r="J12039" s="165"/>
      <c r="K12039" s="166"/>
      <c r="L12039" s="166"/>
    </row>
    <row r="12040">
      <c r="A12040" s="163" t="s">
        <v>222</v>
      </c>
      <c r="B12040" s="163"/>
      <c r="C12040" s="163"/>
      <c r="J12040" s="165"/>
      <c r="K12040" s="166"/>
      <c r="L12040" s="166"/>
    </row>
    <row r="12041">
      <c r="A12041" s="163" t="s">
        <v>222</v>
      </c>
      <c r="B12041" s="163"/>
      <c r="C12041" s="163"/>
      <c r="J12041" s="165"/>
      <c r="K12041" s="166"/>
      <c r="L12041" s="166"/>
    </row>
    <row r="12042">
      <c r="A12042" s="163" t="s">
        <v>222</v>
      </c>
      <c r="B12042" s="163"/>
      <c r="C12042" s="163"/>
      <c r="J12042" s="165"/>
      <c r="K12042" s="166"/>
      <c r="L12042" s="166"/>
    </row>
    <row r="12043">
      <c r="A12043" s="163" t="s">
        <v>222</v>
      </c>
      <c r="B12043" s="163"/>
      <c r="C12043" s="163"/>
      <c r="J12043" s="165"/>
      <c r="K12043" s="166"/>
      <c r="L12043" s="166"/>
    </row>
    <row r="12044">
      <c r="A12044" s="163" t="s">
        <v>222</v>
      </c>
      <c r="B12044" s="163"/>
      <c r="C12044" s="163"/>
      <c r="J12044" s="165"/>
      <c r="K12044" s="166"/>
      <c r="L12044" s="166"/>
    </row>
    <row r="12045">
      <c r="A12045" s="163" t="s">
        <v>222</v>
      </c>
      <c r="B12045" s="163"/>
      <c r="C12045" s="163"/>
      <c r="J12045" s="165"/>
      <c r="K12045" s="166"/>
      <c r="L12045" s="166"/>
    </row>
    <row r="12046">
      <c r="A12046" s="163" t="s">
        <v>222</v>
      </c>
      <c r="B12046" s="163"/>
      <c r="C12046" s="163"/>
      <c r="J12046" s="165"/>
      <c r="K12046" s="166"/>
      <c r="L12046" s="166"/>
    </row>
    <row r="12047">
      <c r="A12047" s="163" t="s">
        <v>222</v>
      </c>
      <c r="B12047" s="163"/>
      <c r="C12047" s="163"/>
      <c r="J12047" s="165"/>
      <c r="K12047" s="166"/>
      <c r="L12047" s="166"/>
    </row>
    <row r="12048">
      <c r="A12048" s="163" t="s">
        <v>222</v>
      </c>
      <c r="B12048" s="163"/>
      <c r="C12048" s="163"/>
      <c r="J12048" s="165"/>
      <c r="K12048" s="166"/>
      <c r="L12048" s="166"/>
    </row>
    <row r="12049">
      <c r="A12049" s="163" t="s">
        <v>222</v>
      </c>
      <c r="B12049" s="163"/>
      <c r="C12049" s="163"/>
      <c r="J12049" s="165"/>
      <c r="K12049" s="166"/>
      <c r="L12049" s="166"/>
    </row>
    <row r="12050">
      <c r="A12050" s="163" t="s">
        <v>222</v>
      </c>
      <c r="B12050" s="163"/>
      <c r="C12050" s="163"/>
      <c r="J12050" s="165"/>
      <c r="K12050" s="166"/>
      <c r="L12050" s="166"/>
    </row>
    <row r="12051">
      <c r="A12051" s="163" t="s">
        <v>222</v>
      </c>
      <c r="B12051" s="163"/>
      <c r="C12051" s="163"/>
      <c r="J12051" s="165"/>
      <c r="K12051" s="166"/>
      <c r="L12051" s="166"/>
    </row>
    <row r="12052">
      <c r="A12052" s="163" t="s">
        <v>222</v>
      </c>
      <c r="B12052" s="163"/>
      <c r="C12052" s="163"/>
      <c r="J12052" s="165"/>
      <c r="K12052" s="166"/>
      <c r="L12052" s="166"/>
    </row>
    <row r="12053">
      <c r="A12053" s="163" t="s">
        <v>222</v>
      </c>
      <c r="B12053" s="163"/>
      <c r="C12053" s="163"/>
      <c r="J12053" s="165"/>
      <c r="K12053" s="166"/>
      <c r="L12053" s="166"/>
    </row>
    <row r="12054">
      <c r="A12054" s="163" t="s">
        <v>222</v>
      </c>
      <c r="B12054" s="163"/>
      <c r="C12054" s="163"/>
      <c r="J12054" s="165"/>
      <c r="K12054" s="166"/>
      <c r="L12054" s="166"/>
    </row>
    <row r="12055">
      <c r="A12055" s="163" t="s">
        <v>222</v>
      </c>
      <c r="B12055" s="163"/>
      <c r="C12055" s="163"/>
      <c r="J12055" s="165"/>
      <c r="K12055" s="166"/>
      <c r="L12055" s="166"/>
    </row>
    <row r="12056">
      <c r="A12056" s="163" t="s">
        <v>222</v>
      </c>
      <c r="B12056" s="163"/>
      <c r="C12056" s="163"/>
      <c r="J12056" s="165"/>
      <c r="K12056" s="166"/>
      <c r="L12056" s="166"/>
    </row>
    <row r="12057">
      <c r="A12057" s="163" t="s">
        <v>222</v>
      </c>
      <c r="B12057" s="163"/>
      <c r="C12057" s="163"/>
      <c r="J12057" s="165"/>
      <c r="K12057" s="166"/>
      <c r="L12057" s="166"/>
    </row>
    <row r="12058">
      <c r="A12058" s="163" t="s">
        <v>222</v>
      </c>
      <c r="B12058" s="163"/>
      <c r="C12058" s="163"/>
      <c r="J12058" s="165"/>
      <c r="K12058" s="166"/>
      <c r="L12058" s="166"/>
    </row>
    <row r="12059">
      <c r="A12059" s="163" t="s">
        <v>222</v>
      </c>
      <c r="B12059" s="163"/>
      <c r="C12059" s="163"/>
      <c r="J12059" s="165"/>
      <c r="K12059" s="166"/>
      <c r="L12059" s="166"/>
    </row>
    <row r="12060">
      <c r="A12060" s="163" t="s">
        <v>222</v>
      </c>
      <c r="B12060" s="163"/>
      <c r="C12060" s="163"/>
      <c r="J12060" s="165"/>
      <c r="K12060" s="166"/>
      <c r="L12060" s="166"/>
    </row>
    <row r="12061">
      <c r="A12061" s="163" t="s">
        <v>222</v>
      </c>
      <c r="B12061" s="163"/>
      <c r="C12061" s="163"/>
      <c r="J12061" s="165"/>
      <c r="K12061" s="166"/>
      <c r="L12061" s="166"/>
    </row>
    <row r="12062">
      <c r="A12062" s="163" t="s">
        <v>222</v>
      </c>
      <c r="B12062" s="163"/>
      <c r="C12062" s="163"/>
      <c r="J12062" s="165"/>
      <c r="K12062" s="166"/>
      <c r="L12062" s="166"/>
    </row>
    <row r="12063">
      <c r="A12063" s="163" t="s">
        <v>222</v>
      </c>
      <c r="B12063" s="163"/>
      <c r="C12063" s="163"/>
      <c r="J12063" s="165"/>
      <c r="K12063" s="166"/>
      <c r="L12063" s="166"/>
    </row>
    <row r="12064">
      <c r="A12064" s="163" t="s">
        <v>222</v>
      </c>
      <c r="B12064" s="163"/>
      <c r="C12064" s="163"/>
      <c r="J12064" s="165"/>
      <c r="K12064" s="166"/>
      <c r="L12064" s="166"/>
    </row>
    <row r="12065">
      <c r="A12065" s="163" t="s">
        <v>222</v>
      </c>
      <c r="B12065" s="163"/>
      <c r="C12065" s="163"/>
      <c r="J12065" s="165"/>
      <c r="K12065" s="166"/>
      <c r="L12065" s="166"/>
    </row>
    <row r="12066">
      <c r="A12066" s="163" t="s">
        <v>222</v>
      </c>
      <c r="B12066" s="163"/>
      <c r="C12066" s="163"/>
      <c r="J12066" s="165"/>
      <c r="K12066" s="166"/>
      <c r="L12066" s="166"/>
    </row>
    <row r="12067">
      <c r="A12067" s="163" t="s">
        <v>222</v>
      </c>
      <c r="B12067" s="163"/>
      <c r="C12067" s="163"/>
      <c r="J12067" s="165"/>
      <c r="K12067" s="166"/>
      <c r="L12067" s="166"/>
    </row>
    <row r="12068">
      <c r="A12068" s="163" t="s">
        <v>222</v>
      </c>
      <c r="B12068" s="163"/>
      <c r="C12068" s="163"/>
      <c r="J12068" s="165"/>
      <c r="K12068" s="166"/>
      <c r="L12068" s="166"/>
    </row>
    <row r="12069">
      <c r="A12069" s="163" t="s">
        <v>222</v>
      </c>
      <c r="B12069" s="163"/>
      <c r="C12069" s="163"/>
      <c r="J12069" s="165"/>
      <c r="K12069" s="166"/>
      <c r="L12069" s="166"/>
    </row>
    <row r="12070">
      <c r="A12070" s="163" t="s">
        <v>222</v>
      </c>
      <c r="B12070" s="163"/>
      <c r="C12070" s="163"/>
      <c r="J12070" s="165"/>
      <c r="K12070" s="166"/>
      <c r="L12070" s="166"/>
    </row>
    <row r="12071">
      <c r="A12071" s="163" t="s">
        <v>222</v>
      </c>
      <c r="B12071" s="163"/>
      <c r="C12071" s="163"/>
      <c r="J12071" s="165"/>
      <c r="K12071" s="166"/>
      <c r="L12071" s="166"/>
    </row>
    <row r="12072">
      <c r="A12072" s="163" t="s">
        <v>222</v>
      </c>
      <c r="B12072" s="163"/>
      <c r="C12072" s="163"/>
      <c r="J12072" s="165"/>
      <c r="K12072" s="166"/>
      <c r="L12072" s="166"/>
    </row>
    <row r="12073">
      <c r="A12073" s="163" t="s">
        <v>222</v>
      </c>
      <c r="B12073" s="163"/>
      <c r="C12073" s="163"/>
      <c r="J12073" s="165"/>
      <c r="K12073" s="166"/>
      <c r="L12073" s="166"/>
    </row>
    <row r="12074">
      <c r="A12074" s="163" t="s">
        <v>222</v>
      </c>
      <c r="B12074" s="163"/>
      <c r="C12074" s="163"/>
      <c r="J12074" s="165"/>
      <c r="K12074" s="166"/>
      <c r="L12074" s="166"/>
    </row>
    <row r="12075">
      <c r="A12075" s="163" t="s">
        <v>222</v>
      </c>
      <c r="B12075" s="163"/>
      <c r="C12075" s="163"/>
      <c r="J12075" s="165"/>
      <c r="K12075" s="166"/>
      <c r="L12075" s="166"/>
    </row>
    <row r="12076">
      <c r="A12076" s="163" t="s">
        <v>222</v>
      </c>
      <c r="B12076" s="163"/>
      <c r="C12076" s="163"/>
      <c r="J12076" s="165"/>
      <c r="K12076" s="166"/>
      <c r="L12076" s="166"/>
    </row>
    <row r="12077">
      <c r="A12077" s="163" t="s">
        <v>222</v>
      </c>
      <c r="B12077" s="163"/>
      <c r="C12077" s="163"/>
      <c r="J12077" s="165"/>
      <c r="K12077" s="166"/>
      <c r="L12077" s="166"/>
    </row>
    <row r="12078">
      <c r="A12078" s="163" t="s">
        <v>222</v>
      </c>
      <c r="B12078" s="163"/>
      <c r="C12078" s="163"/>
      <c r="J12078" s="165"/>
      <c r="K12078" s="166"/>
      <c r="L12078" s="166"/>
    </row>
    <row r="12079">
      <c r="A12079" s="163" t="s">
        <v>222</v>
      </c>
      <c r="B12079" s="163"/>
      <c r="C12079" s="163"/>
      <c r="J12079" s="165"/>
      <c r="K12079" s="166"/>
      <c r="L12079" s="166"/>
    </row>
    <row r="12080">
      <c r="A12080" s="163" t="s">
        <v>222</v>
      </c>
      <c r="B12080" s="163"/>
      <c r="C12080" s="163"/>
      <c r="J12080" s="165"/>
      <c r="K12080" s="166"/>
      <c r="L12080" s="166"/>
    </row>
    <row r="12081">
      <c r="A12081" s="163" t="s">
        <v>222</v>
      </c>
      <c r="B12081" s="163"/>
      <c r="C12081" s="163"/>
      <c r="J12081" s="165"/>
      <c r="K12081" s="166"/>
      <c r="L12081" s="166"/>
    </row>
    <row r="12082">
      <c r="A12082" s="163" t="s">
        <v>222</v>
      </c>
      <c r="B12082" s="163"/>
      <c r="C12082" s="163"/>
      <c r="J12082" s="165"/>
      <c r="K12082" s="166"/>
      <c r="L12082" s="166"/>
    </row>
    <row r="12083">
      <c r="A12083" s="163" t="s">
        <v>222</v>
      </c>
      <c r="B12083" s="163"/>
      <c r="C12083" s="163"/>
      <c r="J12083" s="165"/>
      <c r="K12083" s="166"/>
      <c r="L12083" s="166"/>
    </row>
    <row r="12084">
      <c r="A12084" s="163" t="s">
        <v>222</v>
      </c>
      <c r="B12084" s="163"/>
      <c r="C12084" s="163"/>
      <c r="J12084" s="165"/>
      <c r="K12084" s="166"/>
      <c r="L12084" s="166"/>
    </row>
    <row r="12085">
      <c r="A12085" s="163" t="s">
        <v>222</v>
      </c>
      <c r="B12085" s="163"/>
      <c r="C12085" s="163"/>
      <c r="J12085" s="165"/>
      <c r="K12085" s="166"/>
      <c r="L12085" s="166"/>
    </row>
    <row r="12086">
      <c r="A12086" s="163" t="s">
        <v>222</v>
      </c>
      <c r="B12086" s="163"/>
      <c r="C12086" s="163"/>
      <c r="J12086" s="165"/>
      <c r="K12086" s="166"/>
      <c r="L12086" s="166"/>
    </row>
    <row r="12087">
      <c r="A12087" s="163" t="s">
        <v>222</v>
      </c>
      <c r="B12087" s="163"/>
      <c r="C12087" s="163"/>
      <c r="J12087" s="165"/>
      <c r="K12087" s="166"/>
      <c r="L12087" s="166"/>
    </row>
    <row r="12088">
      <c r="A12088" s="163" t="s">
        <v>222</v>
      </c>
      <c r="B12088" s="163"/>
      <c r="C12088" s="163"/>
      <c r="J12088" s="165"/>
      <c r="K12088" s="166"/>
      <c r="L12088" s="166"/>
    </row>
    <row r="12089">
      <c r="A12089" s="163" t="s">
        <v>222</v>
      </c>
      <c r="B12089" s="163"/>
      <c r="C12089" s="163"/>
      <c r="J12089" s="165"/>
      <c r="K12089" s="166"/>
      <c r="L12089" s="166"/>
    </row>
    <row r="12090">
      <c r="A12090" s="163" t="s">
        <v>222</v>
      </c>
      <c r="B12090" s="163"/>
      <c r="C12090" s="163"/>
      <c r="J12090" s="165"/>
      <c r="K12090" s="166"/>
      <c r="L12090" s="166"/>
    </row>
    <row r="12091">
      <c r="A12091" s="163" t="s">
        <v>222</v>
      </c>
      <c r="B12091" s="163"/>
      <c r="C12091" s="163"/>
      <c r="J12091" s="165"/>
      <c r="K12091" s="166"/>
      <c r="L12091" s="166"/>
    </row>
    <row r="12092">
      <c r="A12092" s="163" t="s">
        <v>222</v>
      </c>
      <c r="B12092" s="163"/>
      <c r="C12092" s="163"/>
      <c r="J12092" s="165"/>
      <c r="K12092" s="166"/>
      <c r="L12092" s="166"/>
    </row>
    <row r="12093">
      <c r="A12093" s="163" t="s">
        <v>222</v>
      </c>
      <c r="B12093" s="163"/>
      <c r="C12093" s="163"/>
      <c r="J12093" s="165"/>
      <c r="K12093" s="166"/>
      <c r="L12093" s="166"/>
    </row>
    <row r="12094">
      <c r="A12094" s="163" t="s">
        <v>222</v>
      </c>
      <c r="B12094" s="163"/>
      <c r="C12094" s="163"/>
      <c r="J12094" s="165"/>
      <c r="K12094" s="166"/>
      <c r="L12094" s="166"/>
    </row>
    <row r="12095">
      <c r="A12095" s="163" t="s">
        <v>222</v>
      </c>
      <c r="B12095" s="163"/>
      <c r="C12095" s="163"/>
      <c r="J12095" s="165"/>
      <c r="K12095" s="166"/>
      <c r="L12095" s="166"/>
    </row>
    <row r="12096">
      <c r="A12096" s="163" t="s">
        <v>222</v>
      </c>
      <c r="B12096" s="163"/>
      <c r="C12096" s="163"/>
      <c r="J12096" s="165"/>
      <c r="K12096" s="166"/>
      <c r="L12096" s="166"/>
    </row>
    <row r="12097">
      <c r="A12097" s="163" t="s">
        <v>222</v>
      </c>
      <c r="B12097" s="163"/>
      <c r="C12097" s="163"/>
      <c r="J12097" s="165"/>
      <c r="K12097" s="166"/>
      <c r="L12097" s="166"/>
    </row>
    <row r="12098">
      <c r="A12098" s="163" t="s">
        <v>222</v>
      </c>
      <c r="B12098" s="163"/>
      <c r="C12098" s="163"/>
      <c r="J12098" s="165"/>
      <c r="K12098" s="166"/>
      <c r="L12098" s="166"/>
    </row>
    <row r="12099">
      <c r="A12099" s="163" t="s">
        <v>222</v>
      </c>
      <c r="B12099" s="163"/>
      <c r="C12099" s="163"/>
      <c r="J12099" s="165"/>
      <c r="K12099" s="166"/>
      <c r="L12099" s="166"/>
    </row>
    <row r="12100">
      <c r="A12100" s="163" t="s">
        <v>222</v>
      </c>
      <c r="B12100" s="163"/>
      <c r="C12100" s="163"/>
      <c r="J12100" s="165"/>
      <c r="K12100" s="166"/>
      <c r="L12100" s="166"/>
    </row>
    <row r="12101">
      <c r="A12101" s="163" t="s">
        <v>222</v>
      </c>
      <c r="B12101" s="163"/>
      <c r="C12101" s="163"/>
      <c r="J12101" s="165"/>
      <c r="K12101" s="166"/>
      <c r="L12101" s="166"/>
    </row>
    <row r="12102">
      <c r="A12102" s="163" t="s">
        <v>222</v>
      </c>
      <c r="B12102" s="163"/>
      <c r="C12102" s="163"/>
      <c r="J12102" s="165"/>
      <c r="K12102" s="166"/>
      <c r="L12102" s="166"/>
    </row>
    <row r="12103">
      <c r="A12103" s="163" t="s">
        <v>222</v>
      </c>
      <c r="B12103" s="163"/>
      <c r="C12103" s="163"/>
      <c r="J12103" s="165"/>
      <c r="K12103" s="166"/>
      <c r="L12103" s="166"/>
    </row>
    <row r="12104">
      <c r="A12104" s="163" t="s">
        <v>222</v>
      </c>
      <c r="B12104" s="163"/>
      <c r="C12104" s="163"/>
      <c r="J12104" s="165"/>
      <c r="K12104" s="166"/>
      <c r="L12104" s="166"/>
    </row>
    <row r="12105">
      <c r="A12105" s="163" t="s">
        <v>222</v>
      </c>
      <c r="B12105" s="163"/>
      <c r="C12105" s="163"/>
      <c r="J12105" s="165"/>
      <c r="K12105" s="166"/>
      <c r="L12105" s="166"/>
    </row>
    <row r="12106">
      <c r="A12106" s="163" t="s">
        <v>222</v>
      </c>
      <c r="B12106" s="163"/>
      <c r="C12106" s="163"/>
      <c r="J12106" s="165"/>
      <c r="K12106" s="166"/>
      <c r="L12106" s="166"/>
    </row>
    <row r="12107">
      <c r="A12107" s="163" t="s">
        <v>222</v>
      </c>
      <c r="B12107" s="163"/>
      <c r="C12107" s="163"/>
      <c r="J12107" s="165"/>
      <c r="K12107" s="166"/>
      <c r="L12107" s="166"/>
    </row>
    <row r="12108">
      <c r="A12108" s="163" t="s">
        <v>222</v>
      </c>
      <c r="B12108" s="163"/>
      <c r="C12108" s="163"/>
      <c r="J12108" s="165"/>
      <c r="K12108" s="166"/>
      <c r="L12108" s="166"/>
    </row>
    <row r="12109">
      <c r="A12109" s="163" t="s">
        <v>222</v>
      </c>
      <c r="B12109" s="163"/>
      <c r="C12109" s="163"/>
      <c r="J12109" s="165"/>
      <c r="K12109" s="166"/>
      <c r="L12109" s="166"/>
    </row>
    <row r="12110">
      <c r="A12110" s="163" t="s">
        <v>222</v>
      </c>
      <c r="B12110" s="163"/>
      <c r="C12110" s="163"/>
      <c r="J12110" s="165"/>
      <c r="K12110" s="166"/>
      <c r="L12110" s="166"/>
    </row>
    <row r="12111">
      <c r="A12111" s="163" t="s">
        <v>222</v>
      </c>
      <c r="B12111" s="163"/>
      <c r="C12111" s="163"/>
      <c r="J12111" s="165"/>
      <c r="K12111" s="166"/>
      <c r="L12111" s="166"/>
    </row>
    <row r="12112">
      <c r="A12112" s="163" t="s">
        <v>222</v>
      </c>
      <c r="B12112" s="163"/>
      <c r="C12112" s="163"/>
      <c r="J12112" s="165"/>
      <c r="K12112" s="166"/>
      <c r="L12112" s="166"/>
    </row>
    <row r="12113">
      <c r="A12113" s="163" t="s">
        <v>222</v>
      </c>
      <c r="B12113" s="163"/>
      <c r="C12113" s="163"/>
      <c r="J12113" s="165"/>
      <c r="K12113" s="166"/>
      <c r="L12113" s="166"/>
    </row>
    <row r="12114">
      <c r="A12114" s="163" t="s">
        <v>222</v>
      </c>
      <c r="B12114" s="163"/>
      <c r="C12114" s="163"/>
      <c r="J12114" s="165"/>
      <c r="K12114" s="166"/>
      <c r="L12114" s="166"/>
    </row>
    <row r="12115">
      <c r="A12115" s="163" t="s">
        <v>222</v>
      </c>
      <c r="B12115" s="163"/>
      <c r="C12115" s="163"/>
      <c r="J12115" s="165"/>
      <c r="K12115" s="166"/>
      <c r="L12115" s="166"/>
    </row>
    <row r="12116">
      <c r="A12116" s="163" t="s">
        <v>222</v>
      </c>
      <c r="B12116" s="163"/>
      <c r="C12116" s="163"/>
      <c r="J12116" s="165"/>
      <c r="K12116" s="166"/>
      <c r="L12116" s="166"/>
    </row>
    <row r="12117">
      <c r="A12117" s="163" t="s">
        <v>222</v>
      </c>
      <c r="B12117" s="163"/>
      <c r="C12117" s="163"/>
      <c r="J12117" s="165"/>
      <c r="K12117" s="166"/>
      <c r="L12117" s="166"/>
    </row>
    <row r="12118">
      <c r="A12118" s="163" t="s">
        <v>222</v>
      </c>
      <c r="B12118" s="163"/>
      <c r="C12118" s="163"/>
      <c r="J12118" s="165"/>
      <c r="K12118" s="166"/>
      <c r="L12118" s="166"/>
    </row>
    <row r="12119">
      <c r="A12119" s="163" t="s">
        <v>222</v>
      </c>
      <c r="B12119" s="163"/>
      <c r="C12119" s="163"/>
      <c r="J12119" s="165"/>
      <c r="K12119" s="166"/>
      <c r="L12119" s="166"/>
    </row>
    <row r="12120">
      <c r="A12120" s="163" t="s">
        <v>222</v>
      </c>
      <c r="B12120" s="163"/>
      <c r="C12120" s="163"/>
      <c r="J12120" s="165"/>
      <c r="K12120" s="166"/>
      <c r="L12120" s="166"/>
    </row>
    <row r="12121">
      <c r="A12121" s="163" t="s">
        <v>222</v>
      </c>
      <c r="B12121" s="163"/>
      <c r="C12121" s="163"/>
      <c r="J12121" s="165"/>
      <c r="K12121" s="166"/>
      <c r="L12121" s="166"/>
    </row>
    <row r="12122">
      <c r="A12122" s="163" t="s">
        <v>222</v>
      </c>
      <c r="B12122" s="163"/>
      <c r="C12122" s="163"/>
      <c r="J12122" s="165"/>
      <c r="K12122" s="166"/>
      <c r="L12122" s="166"/>
    </row>
    <row r="12123">
      <c r="A12123" s="163" t="s">
        <v>222</v>
      </c>
      <c r="B12123" s="163"/>
      <c r="C12123" s="163"/>
      <c r="J12123" s="165"/>
      <c r="K12123" s="166"/>
      <c r="L12123" s="166"/>
    </row>
    <row r="12124">
      <c r="A12124" s="163" t="s">
        <v>222</v>
      </c>
      <c r="B12124" s="163"/>
      <c r="C12124" s="163"/>
      <c r="J12124" s="165"/>
      <c r="K12124" s="166"/>
      <c r="L12124" s="166"/>
    </row>
    <row r="12125">
      <c r="A12125" s="163" t="s">
        <v>222</v>
      </c>
      <c r="B12125" s="163"/>
      <c r="C12125" s="163"/>
      <c r="J12125" s="165"/>
      <c r="K12125" s="166"/>
      <c r="L12125" s="166"/>
    </row>
    <row r="12126">
      <c r="A12126" s="163" t="s">
        <v>222</v>
      </c>
      <c r="B12126" s="163"/>
      <c r="C12126" s="163"/>
      <c r="J12126" s="165"/>
      <c r="K12126" s="166"/>
      <c r="L12126" s="166"/>
    </row>
    <row r="12127">
      <c r="A12127" s="163" t="s">
        <v>222</v>
      </c>
      <c r="B12127" s="163"/>
      <c r="C12127" s="163"/>
      <c r="J12127" s="165"/>
      <c r="K12127" s="166"/>
      <c r="L12127" s="166"/>
    </row>
    <row r="12128">
      <c r="A12128" s="163" t="s">
        <v>222</v>
      </c>
      <c r="B12128" s="163"/>
      <c r="C12128" s="163"/>
      <c r="J12128" s="165"/>
      <c r="K12128" s="166"/>
      <c r="L12128" s="166"/>
    </row>
    <row r="12129">
      <c r="A12129" s="163" t="s">
        <v>222</v>
      </c>
      <c r="B12129" s="163"/>
      <c r="C12129" s="163"/>
      <c r="J12129" s="165"/>
      <c r="K12129" s="166"/>
      <c r="L12129" s="166"/>
    </row>
    <row r="12130">
      <c r="A12130" s="163" t="s">
        <v>222</v>
      </c>
      <c r="B12130" s="163"/>
      <c r="C12130" s="163"/>
      <c r="J12130" s="165"/>
      <c r="K12130" s="166"/>
      <c r="L12130" s="166"/>
    </row>
    <row r="12131">
      <c r="A12131" s="163" t="s">
        <v>222</v>
      </c>
      <c r="B12131" s="163"/>
      <c r="C12131" s="163"/>
      <c r="J12131" s="165"/>
      <c r="K12131" s="166"/>
      <c r="L12131" s="166"/>
    </row>
    <row r="12132">
      <c r="A12132" s="163" t="s">
        <v>222</v>
      </c>
      <c r="B12132" s="163"/>
      <c r="C12132" s="163"/>
      <c r="J12132" s="165"/>
      <c r="K12132" s="166"/>
      <c r="L12132" s="166"/>
    </row>
    <row r="12133">
      <c r="A12133" s="163" t="s">
        <v>222</v>
      </c>
      <c r="B12133" s="163"/>
      <c r="C12133" s="163"/>
      <c r="J12133" s="165"/>
      <c r="K12133" s="166"/>
      <c r="L12133" s="166"/>
    </row>
    <row r="12134">
      <c r="A12134" s="163" t="s">
        <v>222</v>
      </c>
      <c r="B12134" s="163"/>
      <c r="C12134" s="163"/>
      <c r="J12134" s="165"/>
      <c r="K12134" s="166"/>
      <c r="L12134" s="166"/>
    </row>
    <row r="12135">
      <c r="A12135" s="163" t="s">
        <v>222</v>
      </c>
      <c r="B12135" s="163"/>
      <c r="C12135" s="163"/>
      <c r="J12135" s="165"/>
      <c r="K12135" s="166"/>
      <c r="L12135" s="166"/>
    </row>
    <row r="12136">
      <c r="A12136" s="163" t="s">
        <v>222</v>
      </c>
      <c r="B12136" s="163"/>
      <c r="C12136" s="163"/>
      <c r="J12136" s="165"/>
      <c r="K12136" s="166"/>
      <c r="L12136" s="166"/>
    </row>
    <row r="12137">
      <c r="A12137" s="163" t="s">
        <v>222</v>
      </c>
      <c r="B12137" s="163"/>
      <c r="C12137" s="163"/>
      <c r="J12137" s="165"/>
      <c r="K12137" s="166"/>
      <c r="L12137" s="166"/>
    </row>
    <row r="12138">
      <c r="A12138" s="163" t="s">
        <v>222</v>
      </c>
      <c r="B12138" s="163"/>
      <c r="C12138" s="163"/>
      <c r="J12138" s="165"/>
      <c r="K12138" s="166"/>
      <c r="L12138" s="166"/>
    </row>
    <row r="12139">
      <c r="A12139" s="163" t="s">
        <v>222</v>
      </c>
      <c r="B12139" s="163"/>
      <c r="C12139" s="163"/>
      <c r="J12139" s="165"/>
      <c r="K12139" s="166"/>
      <c r="L12139" s="166"/>
    </row>
    <row r="12140">
      <c r="A12140" s="163" t="s">
        <v>222</v>
      </c>
      <c r="B12140" s="163"/>
      <c r="C12140" s="163"/>
      <c r="J12140" s="165"/>
      <c r="K12140" s="166"/>
      <c r="L12140" s="166"/>
    </row>
    <row r="12141">
      <c r="A12141" s="163" t="s">
        <v>222</v>
      </c>
      <c r="B12141" s="163"/>
      <c r="C12141" s="163"/>
      <c r="J12141" s="165"/>
      <c r="K12141" s="166"/>
      <c r="L12141" s="166"/>
    </row>
    <row r="12142">
      <c r="A12142" s="163" t="s">
        <v>222</v>
      </c>
      <c r="B12142" s="163"/>
      <c r="C12142" s="163"/>
      <c r="J12142" s="165"/>
      <c r="K12142" s="166"/>
      <c r="L12142" s="166"/>
    </row>
    <row r="12143">
      <c r="A12143" s="163" t="s">
        <v>222</v>
      </c>
      <c r="B12143" s="163"/>
      <c r="C12143" s="163"/>
      <c r="J12143" s="165"/>
      <c r="K12143" s="166"/>
      <c r="L12143" s="166"/>
    </row>
    <row r="12144">
      <c r="A12144" s="163" t="s">
        <v>222</v>
      </c>
      <c r="B12144" s="163"/>
      <c r="C12144" s="163"/>
      <c r="J12144" s="165"/>
      <c r="K12144" s="166"/>
      <c r="L12144" s="166"/>
    </row>
    <row r="12145">
      <c r="A12145" s="163" t="s">
        <v>222</v>
      </c>
      <c r="B12145" s="163"/>
      <c r="C12145" s="163"/>
      <c r="J12145" s="165"/>
      <c r="K12145" s="166"/>
      <c r="L12145" s="166"/>
    </row>
    <row r="12146">
      <c r="A12146" s="163" t="s">
        <v>222</v>
      </c>
      <c r="B12146" s="163"/>
      <c r="C12146" s="163"/>
      <c r="J12146" s="165"/>
      <c r="K12146" s="166"/>
      <c r="L12146" s="166"/>
    </row>
    <row r="12147">
      <c r="A12147" s="163" t="s">
        <v>222</v>
      </c>
      <c r="B12147" s="163"/>
      <c r="C12147" s="163"/>
      <c r="J12147" s="165"/>
      <c r="K12147" s="166"/>
      <c r="L12147" s="166"/>
    </row>
    <row r="12148">
      <c r="A12148" s="163" t="s">
        <v>222</v>
      </c>
      <c r="B12148" s="163"/>
      <c r="C12148" s="163"/>
      <c r="J12148" s="165"/>
      <c r="K12148" s="166"/>
      <c r="L12148" s="166"/>
    </row>
    <row r="12149">
      <c r="A12149" s="163" t="s">
        <v>222</v>
      </c>
      <c r="B12149" s="163"/>
      <c r="C12149" s="163"/>
      <c r="J12149" s="165"/>
      <c r="K12149" s="166"/>
      <c r="L12149" s="166"/>
    </row>
    <row r="12150">
      <c r="A12150" s="163" t="s">
        <v>222</v>
      </c>
      <c r="B12150" s="163"/>
      <c r="C12150" s="163"/>
      <c r="J12150" s="165"/>
      <c r="K12150" s="166"/>
      <c r="L12150" s="166"/>
    </row>
    <row r="12151">
      <c r="A12151" s="163" t="s">
        <v>222</v>
      </c>
      <c r="B12151" s="163"/>
      <c r="C12151" s="163"/>
      <c r="J12151" s="165"/>
      <c r="K12151" s="166"/>
      <c r="L12151" s="166"/>
    </row>
    <row r="12152">
      <c r="A12152" s="163" t="s">
        <v>222</v>
      </c>
      <c r="B12152" s="163"/>
      <c r="C12152" s="163"/>
      <c r="J12152" s="165"/>
      <c r="K12152" s="166"/>
      <c r="L12152" s="166"/>
    </row>
    <row r="12153">
      <c r="A12153" s="163" t="s">
        <v>222</v>
      </c>
      <c r="B12153" s="163"/>
      <c r="C12153" s="163"/>
      <c r="J12153" s="165"/>
      <c r="K12153" s="166"/>
      <c r="L12153" s="166"/>
    </row>
    <row r="12154">
      <c r="A12154" s="163" t="s">
        <v>222</v>
      </c>
      <c r="B12154" s="163"/>
      <c r="C12154" s="163"/>
      <c r="J12154" s="165"/>
      <c r="K12154" s="166"/>
      <c r="L12154" s="166"/>
    </row>
    <row r="12155">
      <c r="A12155" s="163" t="s">
        <v>222</v>
      </c>
      <c r="B12155" s="163"/>
      <c r="C12155" s="163"/>
      <c r="J12155" s="165"/>
      <c r="K12155" s="166"/>
      <c r="L12155" s="166"/>
    </row>
    <row r="12156">
      <c r="A12156" s="163" t="s">
        <v>222</v>
      </c>
      <c r="B12156" s="163"/>
      <c r="C12156" s="163"/>
      <c r="J12156" s="165"/>
      <c r="K12156" s="166"/>
      <c r="L12156" s="166"/>
    </row>
    <row r="12157">
      <c r="A12157" s="163" t="s">
        <v>222</v>
      </c>
      <c r="B12157" s="163"/>
      <c r="C12157" s="163"/>
      <c r="J12157" s="165"/>
      <c r="K12157" s="166"/>
      <c r="L12157" s="166"/>
    </row>
    <row r="12158">
      <c r="A12158" s="163" t="s">
        <v>222</v>
      </c>
      <c r="B12158" s="163"/>
      <c r="C12158" s="163"/>
      <c r="J12158" s="165"/>
      <c r="K12158" s="166"/>
      <c r="L12158" s="166"/>
    </row>
    <row r="12159">
      <c r="A12159" s="163" t="s">
        <v>222</v>
      </c>
      <c r="B12159" s="163"/>
      <c r="C12159" s="163"/>
      <c r="J12159" s="165"/>
      <c r="K12159" s="166"/>
      <c r="L12159" s="166"/>
    </row>
    <row r="12160">
      <c r="A12160" s="163" t="s">
        <v>222</v>
      </c>
      <c r="B12160" s="163"/>
      <c r="C12160" s="163"/>
      <c r="J12160" s="165"/>
      <c r="K12160" s="166"/>
      <c r="L12160" s="166"/>
    </row>
    <row r="12161">
      <c r="A12161" s="163" t="s">
        <v>222</v>
      </c>
      <c r="B12161" s="163"/>
      <c r="C12161" s="163"/>
      <c r="J12161" s="165"/>
      <c r="K12161" s="166"/>
      <c r="L12161" s="166"/>
    </row>
    <row r="12162">
      <c r="A12162" s="163" t="s">
        <v>222</v>
      </c>
      <c r="B12162" s="163"/>
      <c r="C12162" s="163"/>
      <c r="J12162" s="165"/>
      <c r="K12162" s="166"/>
      <c r="L12162" s="166"/>
    </row>
    <row r="12163">
      <c r="A12163" s="163" t="s">
        <v>222</v>
      </c>
      <c r="B12163" s="163"/>
      <c r="C12163" s="163"/>
      <c r="J12163" s="165"/>
      <c r="K12163" s="166"/>
      <c r="L12163" s="166"/>
    </row>
    <row r="12164">
      <c r="A12164" s="163" t="s">
        <v>222</v>
      </c>
      <c r="B12164" s="163"/>
      <c r="C12164" s="163"/>
      <c r="J12164" s="165"/>
      <c r="K12164" s="166"/>
      <c r="L12164" s="166"/>
    </row>
    <row r="12165">
      <c r="A12165" s="163" t="s">
        <v>222</v>
      </c>
      <c r="B12165" s="163"/>
      <c r="C12165" s="163"/>
      <c r="J12165" s="165"/>
      <c r="K12165" s="166"/>
      <c r="L12165" s="166"/>
    </row>
    <row r="12166">
      <c r="A12166" s="163" t="s">
        <v>222</v>
      </c>
      <c r="B12166" s="163"/>
      <c r="C12166" s="163"/>
      <c r="J12166" s="165"/>
      <c r="K12166" s="166"/>
      <c r="L12166" s="166"/>
    </row>
    <row r="12167">
      <c r="A12167" s="163" t="s">
        <v>222</v>
      </c>
      <c r="B12167" s="163"/>
      <c r="C12167" s="163"/>
      <c r="J12167" s="165"/>
      <c r="K12167" s="166"/>
      <c r="L12167" s="166"/>
    </row>
    <row r="12168">
      <c r="A12168" s="163" t="s">
        <v>222</v>
      </c>
      <c r="B12168" s="163"/>
      <c r="C12168" s="163"/>
      <c r="J12168" s="165"/>
      <c r="K12168" s="166"/>
      <c r="L12168" s="166"/>
    </row>
    <row r="12169">
      <c r="A12169" s="163" t="s">
        <v>222</v>
      </c>
      <c r="B12169" s="163"/>
      <c r="C12169" s="163"/>
      <c r="J12169" s="165"/>
      <c r="K12169" s="166"/>
      <c r="L12169" s="166"/>
    </row>
    <row r="12170">
      <c r="A12170" s="163" t="s">
        <v>222</v>
      </c>
      <c r="B12170" s="163"/>
      <c r="C12170" s="163"/>
      <c r="J12170" s="165"/>
      <c r="K12170" s="166"/>
      <c r="L12170" s="166"/>
    </row>
    <row r="12171">
      <c r="A12171" s="163" t="s">
        <v>222</v>
      </c>
      <c r="B12171" s="163"/>
      <c r="C12171" s="163"/>
      <c r="J12171" s="165"/>
      <c r="K12171" s="166"/>
      <c r="L12171" s="166"/>
    </row>
    <row r="12172">
      <c r="A12172" s="163" t="s">
        <v>222</v>
      </c>
      <c r="B12172" s="163"/>
      <c r="C12172" s="163"/>
      <c r="J12172" s="165"/>
      <c r="K12172" s="166"/>
      <c r="L12172" s="166"/>
    </row>
    <row r="12173">
      <c r="A12173" s="163" t="s">
        <v>222</v>
      </c>
      <c r="B12173" s="163"/>
      <c r="C12173" s="163"/>
      <c r="J12173" s="165"/>
      <c r="K12173" s="166"/>
      <c r="L12173" s="166"/>
    </row>
    <row r="12174">
      <c r="A12174" s="163" t="s">
        <v>222</v>
      </c>
      <c r="B12174" s="163"/>
      <c r="C12174" s="163"/>
      <c r="J12174" s="165"/>
      <c r="K12174" s="166"/>
      <c r="L12174" s="166"/>
    </row>
    <row r="12175">
      <c r="A12175" s="163" t="s">
        <v>222</v>
      </c>
      <c r="B12175" s="163"/>
      <c r="C12175" s="163"/>
      <c r="J12175" s="165"/>
      <c r="K12175" s="166"/>
      <c r="L12175" s="166"/>
    </row>
    <row r="12176">
      <c r="A12176" s="163" t="s">
        <v>222</v>
      </c>
      <c r="B12176" s="163"/>
      <c r="C12176" s="163"/>
      <c r="J12176" s="165"/>
      <c r="K12176" s="166"/>
      <c r="L12176" s="166"/>
    </row>
    <row r="12177">
      <c r="A12177" s="163" t="s">
        <v>222</v>
      </c>
      <c r="B12177" s="163"/>
      <c r="C12177" s="163"/>
      <c r="J12177" s="165"/>
      <c r="K12177" s="166"/>
      <c r="L12177" s="166"/>
    </row>
    <row r="12178">
      <c r="A12178" s="163" t="s">
        <v>222</v>
      </c>
      <c r="B12178" s="163"/>
      <c r="C12178" s="163"/>
      <c r="J12178" s="165"/>
      <c r="K12178" s="166"/>
      <c r="L12178" s="166"/>
    </row>
    <row r="12179">
      <c r="A12179" s="163" t="s">
        <v>222</v>
      </c>
      <c r="B12179" s="163"/>
      <c r="C12179" s="163"/>
      <c r="J12179" s="165"/>
      <c r="K12179" s="166"/>
      <c r="L12179" s="166"/>
    </row>
    <row r="12180">
      <c r="A12180" s="163" t="s">
        <v>222</v>
      </c>
      <c r="B12180" s="163"/>
      <c r="C12180" s="163"/>
      <c r="J12180" s="165"/>
      <c r="K12180" s="166"/>
      <c r="L12180" s="166"/>
    </row>
    <row r="12181">
      <c r="A12181" s="163" t="s">
        <v>222</v>
      </c>
      <c r="B12181" s="163"/>
      <c r="C12181" s="163"/>
      <c r="J12181" s="165"/>
      <c r="K12181" s="166"/>
      <c r="L12181" s="166"/>
    </row>
    <row r="12182">
      <c r="A12182" s="163" t="s">
        <v>222</v>
      </c>
      <c r="B12182" s="163"/>
      <c r="C12182" s="163"/>
      <c r="J12182" s="165"/>
      <c r="K12182" s="166"/>
      <c r="L12182" s="166"/>
    </row>
    <row r="12183">
      <c r="A12183" s="163" t="s">
        <v>222</v>
      </c>
      <c r="B12183" s="163"/>
      <c r="C12183" s="163"/>
      <c r="J12183" s="165"/>
      <c r="K12183" s="166"/>
      <c r="L12183" s="166"/>
    </row>
    <row r="12184">
      <c r="A12184" s="163" t="s">
        <v>222</v>
      </c>
      <c r="B12184" s="163"/>
      <c r="C12184" s="163"/>
      <c r="J12184" s="165"/>
      <c r="K12184" s="166"/>
      <c r="L12184" s="166"/>
    </row>
    <row r="12185">
      <c r="A12185" s="163" t="s">
        <v>222</v>
      </c>
      <c r="B12185" s="163"/>
      <c r="C12185" s="163"/>
      <c r="J12185" s="165"/>
      <c r="K12185" s="166"/>
      <c r="L12185" s="166"/>
    </row>
    <row r="12186">
      <c r="A12186" s="163" t="s">
        <v>222</v>
      </c>
      <c r="B12186" s="163"/>
      <c r="C12186" s="163"/>
      <c r="J12186" s="165"/>
      <c r="K12186" s="166"/>
      <c r="L12186" s="166"/>
    </row>
    <row r="12187">
      <c r="A12187" s="163" t="s">
        <v>222</v>
      </c>
      <c r="B12187" s="163"/>
      <c r="C12187" s="163"/>
      <c r="J12187" s="165"/>
      <c r="K12187" s="166"/>
      <c r="L12187" s="166"/>
    </row>
    <row r="12188">
      <c r="A12188" s="163" t="s">
        <v>222</v>
      </c>
      <c r="B12188" s="163"/>
      <c r="C12188" s="163"/>
      <c r="J12188" s="165"/>
      <c r="K12188" s="166"/>
      <c r="L12188" s="166"/>
    </row>
    <row r="12189">
      <c r="A12189" s="163" t="s">
        <v>222</v>
      </c>
      <c r="B12189" s="163"/>
      <c r="C12189" s="163"/>
      <c r="J12189" s="165"/>
      <c r="K12189" s="166"/>
      <c r="L12189" s="166"/>
    </row>
    <row r="12190">
      <c r="A12190" s="163" t="s">
        <v>222</v>
      </c>
      <c r="B12190" s="163"/>
      <c r="C12190" s="163"/>
      <c r="J12190" s="165"/>
      <c r="K12190" s="166"/>
      <c r="L12190" s="166"/>
    </row>
    <row r="12191">
      <c r="A12191" s="163" t="s">
        <v>222</v>
      </c>
      <c r="B12191" s="163"/>
      <c r="C12191" s="163"/>
      <c r="J12191" s="165"/>
      <c r="K12191" s="166"/>
      <c r="L12191" s="166"/>
    </row>
    <row r="12192">
      <c r="A12192" s="163" t="s">
        <v>222</v>
      </c>
      <c r="B12192" s="163"/>
      <c r="C12192" s="163"/>
      <c r="J12192" s="165"/>
      <c r="K12192" s="166"/>
      <c r="L12192" s="166"/>
    </row>
    <row r="12193">
      <c r="A12193" s="163" t="s">
        <v>222</v>
      </c>
      <c r="B12193" s="163"/>
      <c r="C12193" s="163"/>
      <c r="J12193" s="165"/>
      <c r="K12193" s="166"/>
      <c r="L12193" s="166"/>
    </row>
    <row r="12194">
      <c r="A12194" s="163" t="s">
        <v>222</v>
      </c>
      <c r="B12194" s="163"/>
      <c r="C12194" s="163"/>
      <c r="J12194" s="165"/>
      <c r="K12194" s="166"/>
      <c r="L12194" s="166"/>
    </row>
    <row r="12195">
      <c r="A12195" s="163" t="s">
        <v>222</v>
      </c>
      <c r="B12195" s="163"/>
      <c r="C12195" s="163"/>
      <c r="J12195" s="165"/>
      <c r="K12195" s="166"/>
      <c r="L12195" s="166"/>
    </row>
    <row r="12196">
      <c r="A12196" s="163" t="s">
        <v>222</v>
      </c>
      <c r="B12196" s="163"/>
      <c r="C12196" s="163"/>
      <c r="J12196" s="165"/>
      <c r="K12196" s="166"/>
      <c r="L12196" s="166"/>
    </row>
    <row r="12197">
      <c r="A12197" s="163" t="s">
        <v>222</v>
      </c>
      <c r="B12197" s="163"/>
      <c r="C12197" s="163"/>
      <c r="J12197" s="165"/>
      <c r="K12197" s="166"/>
      <c r="L12197" s="166"/>
    </row>
    <row r="12198">
      <c r="A12198" s="163" t="s">
        <v>222</v>
      </c>
      <c r="B12198" s="163"/>
      <c r="C12198" s="163"/>
      <c r="J12198" s="165"/>
      <c r="K12198" s="166"/>
      <c r="L12198" s="166"/>
    </row>
    <row r="12199">
      <c r="A12199" s="163" t="s">
        <v>222</v>
      </c>
      <c r="B12199" s="163"/>
      <c r="C12199" s="163"/>
      <c r="J12199" s="165"/>
      <c r="K12199" s="166"/>
      <c r="L12199" s="166"/>
    </row>
    <row r="12200">
      <c r="A12200" s="163" t="s">
        <v>222</v>
      </c>
      <c r="B12200" s="163"/>
      <c r="C12200" s="163"/>
      <c r="J12200" s="165"/>
      <c r="K12200" s="166"/>
      <c r="L12200" s="166"/>
    </row>
    <row r="12201">
      <c r="A12201" s="163" t="s">
        <v>222</v>
      </c>
      <c r="B12201" s="163"/>
      <c r="C12201" s="163"/>
      <c r="J12201" s="165"/>
      <c r="K12201" s="166"/>
      <c r="L12201" s="166"/>
    </row>
    <row r="12202">
      <c r="A12202" s="163" t="s">
        <v>222</v>
      </c>
      <c r="B12202" s="163"/>
      <c r="C12202" s="163"/>
      <c r="J12202" s="165"/>
      <c r="K12202" s="166"/>
      <c r="L12202" s="166"/>
    </row>
    <row r="12203">
      <c r="A12203" s="163" t="s">
        <v>222</v>
      </c>
      <c r="B12203" s="163"/>
      <c r="C12203" s="163"/>
      <c r="J12203" s="165"/>
      <c r="K12203" s="166"/>
      <c r="L12203" s="166"/>
    </row>
    <row r="12204">
      <c r="A12204" s="163" t="s">
        <v>222</v>
      </c>
      <c r="B12204" s="163"/>
      <c r="C12204" s="163"/>
      <c r="J12204" s="165"/>
      <c r="K12204" s="166"/>
      <c r="L12204" s="166"/>
    </row>
    <row r="12205">
      <c r="A12205" s="163" t="s">
        <v>222</v>
      </c>
      <c r="B12205" s="163"/>
      <c r="C12205" s="163"/>
      <c r="J12205" s="165"/>
      <c r="K12205" s="166"/>
      <c r="L12205" s="166"/>
    </row>
    <row r="12206">
      <c r="A12206" s="163" t="s">
        <v>222</v>
      </c>
      <c r="B12206" s="163"/>
      <c r="C12206" s="163"/>
      <c r="J12206" s="165"/>
      <c r="K12206" s="166"/>
      <c r="L12206" s="166"/>
    </row>
    <row r="12207">
      <c r="A12207" s="163" t="s">
        <v>222</v>
      </c>
      <c r="B12207" s="163"/>
      <c r="C12207" s="163"/>
      <c r="J12207" s="165"/>
      <c r="K12207" s="166"/>
      <c r="L12207" s="166"/>
    </row>
    <row r="12208">
      <c r="A12208" s="163" t="s">
        <v>222</v>
      </c>
      <c r="B12208" s="163"/>
      <c r="C12208" s="163"/>
      <c r="J12208" s="165"/>
      <c r="K12208" s="166"/>
      <c r="L12208" s="166"/>
    </row>
    <row r="12209">
      <c r="A12209" s="163" t="s">
        <v>222</v>
      </c>
      <c r="B12209" s="163"/>
      <c r="C12209" s="163"/>
      <c r="J12209" s="165"/>
      <c r="K12209" s="166"/>
      <c r="L12209" s="166"/>
    </row>
    <row r="12210">
      <c r="A12210" s="163" t="s">
        <v>222</v>
      </c>
      <c r="B12210" s="163"/>
      <c r="C12210" s="163"/>
      <c r="J12210" s="165"/>
      <c r="K12210" s="166"/>
      <c r="L12210" s="166"/>
    </row>
    <row r="12211">
      <c r="A12211" s="163" t="s">
        <v>222</v>
      </c>
      <c r="B12211" s="163"/>
      <c r="C12211" s="163"/>
      <c r="J12211" s="165"/>
      <c r="K12211" s="166"/>
      <c r="L12211" s="166"/>
    </row>
    <row r="12212">
      <c r="A12212" s="163" t="s">
        <v>222</v>
      </c>
      <c r="B12212" s="163"/>
      <c r="C12212" s="163"/>
      <c r="J12212" s="165"/>
      <c r="K12212" s="166"/>
      <c r="L12212" s="166"/>
    </row>
    <row r="12213">
      <c r="A12213" s="163" t="s">
        <v>222</v>
      </c>
      <c r="B12213" s="163"/>
      <c r="C12213" s="163"/>
      <c r="J12213" s="165"/>
      <c r="K12213" s="166"/>
      <c r="L12213" s="166"/>
    </row>
    <row r="12214">
      <c r="A12214" s="163" t="s">
        <v>222</v>
      </c>
      <c r="B12214" s="163"/>
      <c r="C12214" s="163"/>
      <c r="J12214" s="165"/>
      <c r="K12214" s="166"/>
      <c r="L12214" s="166"/>
    </row>
    <row r="12215">
      <c r="A12215" s="163" t="s">
        <v>222</v>
      </c>
      <c r="B12215" s="163"/>
      <c r="C12215" s="163"/>
      <c r="J12215" s="165"/>
      <c r="K12215" s="166"/>
      <c r="L12215" s="166"/>
    </row>
    <row r="12216">
      <c r="A12216" s="163" t="s">
        <v>222</v>
      </c>
      <c r="B12216" s="163"/>
      <c r="C12216" s="163"/>
      <c r="J12216" s="165"/>
      <c r="K12216" s="166"/>
      <c r="L12216" s="166"/>
    </row>
    <row r="12217">
      <c r="A12217" s="163" t="s">
        <v>222</v>
      </c>
      <c r="B12217" s="163"/>
      <c r="C12217" s="163"/>
      <c r="J12217" s="165"/>
      <c r="K12217" s="166"/>
      <c r="L12217" s="166"/>
    </row>
    <row r="12218">
      <c r="A12218" s="163" t="s">
        <v>222</v>
      </c>
      <c r="B12218" s="163"/>
      <c r="C12218" s="163"/>
      <c r="J12218" s="165"/>
      <c r="K12218" s="166"/>
      <c r="L12218" s="166"/>
    </row>
    <row r="12219">
      <c r="A12219" s="163" t="s">
        <v>222</v>
      </c>
      <c r="B12219" s="163"/>
      <c r="C12219" s="163"/>
      <c r="J12219" s="165"/>
      <c r="K12219" s="166"/>
      <c r="L12219" s="166"/>
    </row>
    <row r="12220">
      <c r="A12220" s="163" t="s">
        <v>222</v>
      </c>
      <c r="B12220" s="163"/>
      <c r="C12220" s="163"/>
      <c r="J12220" s="165"/>
      <c r="K12220" s="166"/>
      <c r="L12220" s="166"/>
    </row>
    <row r="12221">
      <c r="A12221" s="163" t="s">
        <v>222</v>
      </c>
      <c r="B12221" s="163"/>
      <c r="C12221" s="163"/>
      <c r="J12221" s="165"/>
      <c r="K12221" s="166"/>
      <c r="L12221" s="166"/>
    </row>
    <row r="12222">
      <c r="A12222" s="163" t="s">
        <v>222</v>
      </c>
      <c r="B12222" s="163"/>
      <c r="C12222" s="163"/>
      <c r="J12222" s="165"/>
      <c r="K12222" s="166"/>
      <c r="L12222" s="166"/>
    </row>
    <row r="12223">
      <c r="A12223" s="163" t="s">
        <v>222</v>
      </c>
      <c r="B12223" s="163"/>
      <c r="C12223" s="163"/>
      <c r="J12223" s="165"/>
      <c r="K12223" s="166"/>
      <c r="L12223" s="166"/>
    </row>
    <row r="12224">
      <c r="A12224" s="163" t="s">
        <v>222</v>
      </c>
      <c r="B12224" s="163"/>
      <c r="C12224" s="163"/>
      <c r="J12224" s="165"/>
      <c r="K12224" s="166"/>
      <c r="L12224" s="166"/>
    </row>
    <row r="12225">
      <c r="A12225" s="163" t="s">
        <v>222</v>
      </c>
      <c r="B12225" s="163"/>
      <c r="C12225" s="163"/>
      <c r="J12225" s="165"/>
      <c r="K12225" s="166"/>
      <c r="L12225" s="166"/>
    </row>
    <row r="12226">
      <c r="A12226" s="163" t="s">
        <v>222</v>
      </c>
      <c r="B12226" s="163"/>
      <c r="C12226" s="163"/>
      <c r="J12226" s="165"/>
      <c r="K12226" s="166"/>
      <c r="L12226" s="166"/>
    </row>
    <row r="12227">
      <c r="A12227" s="163" t="s">
        <v>222</v>
      </c>
      <c r="B12227" s="163"/>
      <c r="C12227" s="163"/>
      <c r="J12227" s="165"/>
      <c r="K12227" s="166"/>
      <c r="L12227" s="166"/>
    </row>
    <row r="12228">
      <c r="A12228" s="163" t="s">
        <v>222</v>
      </c>
      <c r="B12228" s="163"/>
      <c r="C12228" s="163"/>
      <c r="J12228" s="165"/>
      <c r="K12228" s="166"/>
      <c r="L12228" s="166"/>
    </row>
    <row r="12229">
      <c r="A12229" s="163" t="s">
        <v>222</v>
      </c>
      <c r="B12229" s="163"/>
      <c r="C12229" s="163"/>
      <c r="J12229" s="165"/>
      <c r="K12229" s="166"/>
      <c r="L12229" s="166"/>
    </row>
    <row r="12230">
      <c r="A12230" s="163" t="s">
        <v>222</v>
      </c>
      <c r="B12230" s="163"/>
      <c r="C12230" s="163"/>
      <c r="J12230" s="165"/>
      <c r="K12230" s="166"/>
      <c r="L12230" s="166"/>
    </row>
    <row r="12231">
      <c r="A12231" s="163" t="s">
        <v>222</v>
      </c>
      <c r="B12231" s="163"/>
      <c r="C12231" s="163"/>
      <c r="J12231" s="165"/>
      <c r="K12231" s="166"/>
      <c r="L12231" s="166"/>
    </row>
    <row r="12232">
      <c r="A12232" s="163" t="s">
        <v>222</v>
      </c>
      <c r="B12232" s="163"/>
      <c r="C12232" s="163"/>
      <c r="J12232" s="165"/>
      <c r="K12232" s="166"/>
      <c r="L12232" s="166"/>
    </row>
    <row r="12233">
      <c r="A12233" s="163" t="s">
        <v>222</v>
      </c>
      <c r="B12233" s="163"/>
      <c r="C12233" s="163"/>
      <c r="J12233" s="165"/>
      <c r="K12233" s="166"/>
      <c r="L12233" s="166"/>
    </row>
    <row r="12234">
      <c r="A12234" s="163" t="s">
        <v>222</v>
      </c>
      <c r="B12234" s="163"/>
      <c r="C12234" s="163"/>
      <c r="J12234" s="165"/>
      <c r="K12234" s="166"/>
      <c r="L12234" s="166"/>
    </row>
    <row r="12235">
      <c r="A12235" s="163" t="s">
        <v>222</v>
      </c>
      <c r="B12235" s="163"/>
      <c r="C12235" s="163"/>
      <c r="J12235" s="165"/>
      <c r="K12235" s="166"/>
      <c r="L12235" s="166"/>
    </row>
    <row r="12236">
      <c r="A12236" s="163" t="s">
        <v>222</v>
      </c>
      <c r="B12236" s="163"/>
      <c r="C12236" s="163"/>
      <c r="J12236" s="165"/>
      <c r="K12236" s="166"/>
      <c r="L12236" s="166"/>
    </row>
    <row r="12237">
      <c r="A12237" s="163" t="s">
        <v>222</v>
      </c>
      <c r="B12237" s="163"/>
      <c r="C12237" s="163"/>
      <c r="J12237" s="165"/>
      <c r="K12237" s="166"/>
      <c r="L12237" s="166"/>
    </row>
    <row r="12238">
      <c r="A12238" s="163" t="s">
        <v>222</v>
      </c>
      <c r="B12238" s="163"/>
      <c r="C12238" s="163"/>
      <c r="J12238" s="165"/>
      <c r="K12238" s="166"/>
      <c r="L12238" s="166"/>
    </row>
    <row r="12239">
      <c r="A12239" s="163" t="s">
        <v>222</v>
      </c>
      <c r="B12239" s="163"/>
      <c r="C12239" s="163"/>
      <c r="J12239" s="165"/>
      <c r="K12239" s="166"/>
      <c r="L12239" s="166"/>
    </row>
    <row r="12240">
      <c r="A12240" s="163" t="s">
        <v>222</v>
      </c>
      <c r="B12240" s="163"/>
      <c r="C12240" s="163"/>
      <c r="J12240" s="165"/>
      <c r="K12240" s="166"/>
      <c r="L12240" s="166"/>
    </row>
    <row r="12241">
      <c r="A12241" s="163" t="s">
        <v>222</v>
      </c>
      <c r="B12241" s="163"/>
      <c r="C12241" s="163"/>
      <c r="J12241" s="165"/>
      <c r="K12241" s="166"/>
      <c r="L12241" s="166"/>
    </row>
    <row r="12242">
      <c r="A12242" s="163" t="s">
        <v>222</v>
      </c>
      <c r="B12242" s="163"/>
      <c r="C12242" s="163"/>
      <c r="J12242" s="165"/>
      <c r="K12242" s="166"/>
      <c r="L12242" s="166"/>
    </row>
    <row r="12243">
      <c r="A12243" s="163" t="s">
        <v>222</v>
      </c>
      <c r="B12243" s="163"/>
      <c r="C12243" s="163"/>
      <c r="J12243" s="165"/>
      <c r="K12243" s="166"/>
      <c r="L12243" s="166"/>
    </row>
    <row r="12244">
      <c r="A12244" s="163" t="s">
        <v>222</v>
      </c>
      <c r="B12244" s="163"/>
      <c r="C12244" s="163"/>
      <c r="J12244" s="165"/>
      <c r="K12244" s="166"/>
      <c r="L12244" s="166"/>
    </row>
    <row r="12245">
      <c r="A12245" s="163" t="s">
        <v>222</v>
      </c>
      <c r="B12245" s="163"/>
      <c r="C12245" s="163"/>
      <c r="J12245" s="165"/>
      <c r="K12245" s="166"/>
      <c r="L12245" s="166"/>
    </row>
    <row r="12246">
      <c r="A12246" s="163" t="s">
        <v>222</v>
      </c>
      <c r="B12246" s="163"/>
      <c r="C12246" s="163"/>
      <c r="J12246" s="165"/>
      <c r="K12246" s="166"/>
      <c r="L12246" s="166"/>
    </row>
    <row r="12247">
      <c r="A12247" s="163" t="s">
        <v>222</v>
      </c>
      <c r="B12247" s="163"/>
      <c r="C12247" s="163"/>
      <c r="J12247" s="165"/>
      <c r="K12247" s="166"/>
      <c r="L12247" s="166"/>
    </row>
    <row r="12248">
      <c r="A12248" s="163" t="s">
        <v>222</v>
      </c>
      <c r="B12248" s="163"/>
      <c r="C12248" s="163"/>
      <c r="J12248" s="165"/>
      <c r="K12248" s="166"/>
      <c r="L12248" s="166"/>
    </row>
    <row r="12249">
      <c r="A12249" s="163" t="s">
        <v>222</v>
      </c>
      <c r="B12249" s="163"/>
      <c r="C12249" s="163"/>
      <c r="J12249" s="165"/>
      <c r="K12249" s="166"/>
      <c r="L12249" s="166"/>
    </row>
    <row r="12250">
      <c r="A12250" s="163" t="s">
        <v>222</v>
      </c>
      <c r="B12250" s="163"/>
      <c r="C12250" s="163"/>
      <c r="J12250" s="165"/>
      <c r="K12250" s="166"/>
      <c r="L12250" s="166"/>
    </row>
    <row r="12251">
      <c r="A12251" s="163" t="s">
        <v>222</v>
      </c>
      <c r="B12251" s="163"/>
      <c r="C12251" s="163"/>
      <c r="J12251" s="165"/>
      <c r="K12251" s="166"/>
      <c r="L12251" s="166"/>
    </row>
    <row r="12252">
      <c r="A12252" s="163" t="s">
        <v>222</v>
      </c>
      <c r="B12252" s="163"/>
      <c r="C12252" s="163"/>
      <c r="J12252" s="165"/>
      <c r="K12252" s="166"/>
      <c r="L12252" s="166"/>
    </row>
    <row r="12253">
      <c r="A12253" s="163" t="s">
        <v>222</v>
      </c>
      <c r="B12253" s="163"/>
      <c r="C12253" s="163"/>
      <c r="J12253" s="165"/>
      <c r="K12253" s="166"/>
      <c r="L12253" s="166"/>
    </row>
    <row r="12254">
      <c r="A12254" s="163" t="s">
        <v>222</v>
      </c>
      <c r="B12254" s="163"/>
      <c r="C12254" s="163"/>
      <c r="J12254" s="165"/>
      <c r="K12254" s="166"/>
      <c r="L12254" s="166"/>
    </row>
    <row r="12255">
      <c r="A12255" s="163" t="s">
        <v>222</v>
      </c>
      <c r="B12255" s="163"/>
      <c r="C12255" s="163"/>
      <c r="J12255" s="165"/>
      <c r="K12255" s="166"/>
      <c r="L12255" s="166"/>
    </row>
    <row r="12256">
      <c r="A12256" s="163" t="s">
        <v>222</v>
      </c>
      <c r="B12256" s="163"/>
      <c r="C12256" s="163"/>
      <c r="J12256" s="165"/>
      <c r="K12256" s="166"/>
      <c r="L12256" s="166"/>
    </row>
    <row r="12257">
      <c r="A12257" s="163" t="s">
        <v>222</v>
      </c>
      <c r="B12257" s="163"/>
      <c r="C12257" s="163"/>
      <c r="J12257" s="165"/>
      <c r="K12257" s="166"/>
      <c r="L12257" s="166"/>
    </row>
    <row r="12258">
      <c r="A12258" s="163" t="s">
        <v>222</v>
      </c>
      <c r="B12258" s="163"/>
      <c r="C12258" s="163"/>
      <c r="J12258" s="165"/>
      <c r="K12258" s="166"/>
      <c r="L12258" s="166"/>
    </row>
    <row r="12259">
      <c r="A12259" s="163" t="s">
        <v>222</v>
      </c>
      <c r="B12259" s="163"/>
      <c r="C12259" s="163"/>
      <c r="J12259" s="165"/>
      <c r="K12259" s="166"/>
      <c r="L12259" s="166"/>
    </row>
    <row r="12260">
      <c r="A12260" s="163" t="s">
        <v>222</v>
      </c>
      <c r="B12260" s="163"/>
      <c r="C12260" s="163"/>
      <c r="J12260" s="165"/>
      <c r="K12260" s="166"/>
      <c r="L12260" s="166"/>
    </row>
    <row r="12261">
      <c r="A12261" s="163" t="s">
        <v>222</v>
      </c>
      <c r="B12261" s="163"/>
      <c r="C12261" s="163"/>
      <c r="J12261" s="165"/>
      <c r="K12261" s="166"/>
      <c r="L12261" s="166"/>
    </row>
    <row r="12262">
      <c r="A12262" s="163" t="s">
        <v>222</v>
      </c>
      <c r="B12262" s="163"/>
      <c r="C12262" s="163"/>
      <c r="J12262" s="165"/>
      <c r="K12262" s="166"/>
      <c r="L12262" s="166"/>
    </row>
    <row r="12263">
      <c r="A12263" s="163" t="s">
        <v>222</v>
      </c>
      <c r="B12263" s="163"/>
      <c r="C12263" s="163"/>
      <c r="J12263" s="165"/>
      <c r="K12263" s="166"/>
      <c r="L12263" s="166"/>
    </row>
    <row r="12264">
      <c r="A12264" s="163" t="s">
        <v>222</v>
      </c>
      <c r="B12264" s="163"/>
      <c r="C12264" s="163"/>
      <c r="J12264" s="165"/>
      <c r="K12264" s="166"/>
      <c r="L12264" s="166"/>
    </row>
    <row r="12265">
      <c r="A12265" s="163" t="s">
        <v>222</v>
      </c>
      <c r="B12265" s="163"/>
      <c r="C12265" s="163"/>
      <c r="J12265" s="165"/>
      <c r="K12265" s="166"/>
      <c r="L12265" s="166"/>
    </row>
    <row r="12266">
      <c r="A12266" s="163" t="s">
        <v>222</v>
      </c>
      <c r="B12266" s="163"/>
      <c r="C12266" s="163"/>
      <c r="J12266" s="165"/>
      <c r="K12266" s="166"/>
      <c r="L12266" s="166"/>
    </row>
    <row r="12267">
      <c r="A12267" s="163" t="s">
        <v>222</v>
      </c>
      <c r="B12267" s="163"/>
      <c r="C12267" s="163"/>
      <c r="J12267" s="165"/>
      <c r="K12267" s="166"/>
      <c r="L12267" s="166"/>
    </row>
    <row r="12268">
      <c r="A12268" s="163" t="s">
        <v>222</v>
      </c>
      <c r="B12268" s="163"/>
      <c r="C12268" s="163"/>
      <c r="J12268" s="165"/>
      <c r="K12268" s="166"/>
      <c r="L12268" s="166"/>
    </row>
    <row r="12269">
      <c r="A12269" s="163" t="s">
        <v>222</v>
      </c>
      <c r="B12269" s="163"/>
      <c r="C12269" s="163"/>
      <c r="J12269" s="165"/>
      <c r="K12269" s="166"/>
      <c r="L12269" s="166"/>
    </row>
    <row r="12270">
      <c r="A12270" s="163" t="s">
        <v>222</v>
      </c>
      <c r="B12270" s="163"/>
      <c r="C12270" s="163"/>
      <c r="J12270" s="165"/>
      <c r="K12270" s="166"/>
      <c r="L12270" s="166"/>
    </row>
    <row r="12271">
      <c r="A12271" s="163" t="s">
        <v>222</v>
      </c>
      <c r="B12271" s="163"/>
      <c r="C12271" s="163"/>
      <c r="J12271" s="165"/>
      <c r="K12271" s="166"/>
      <c r="L12271" s="166"/>
    </row>
    <row r="12272">
      <c r="A12272" s="163" t="s">
        <v>222</v>
      </c>
      <c r="B12272" s="163"/>
      <c r="C12272" s="163"/>
      <c r="J12272" s="165"/>
      <c r="K12272" s="166"/>
      <c r="L12272" s="166"/>
    </row>
    <row r="12273">
      <c r="A12273" s="163" t="s">
        <v>222</v>
      </c>
      <c r="B12273" s="163"/>
      <c r="C12273" s="163"/>
      <c r="J12273" s="165"/>
      <c r="K12273" s="166"/>
      <c r="L12273" s="166"/>
    </row>
    <row r="12274">
      <c r="A12274" s="163" t="s">
        <v>222</v>
      </c>
      <c r="B12274" s="163"/>
      <c r="C12274" s="163"/>
      <c r="J12274" s="165"/>
      <c r="K12274" s="166"/>
      <c r="L12274" s="166"/>
    </row>
    <row r="12275">
      <c r="A12275" s="163" t="s">
        <v>222</v>
      </c>
      <c r="B12275" s="163"/>
      <c r="C12275" s="163"/>
      <c r="J12275" s="165"/>
      <c r="K12275" s="166"/>
      <c r="L12275" s="166"/>
    </row>
    <row r="12276">
      <c r="A12276" s="163" t="s">
        <v>222</v>
      </c>
      <c r="B12276" s="163"/>
      <c r="C12276" s="163"/>
      <c r="J12276" s="165"/>
      <c r="K12276" s="166"/>
      <c r="L12276" s="166"/>
    </row>
    <row r="12277">
      <c r="A12277" s="163" t="s">
        <v>222</v>
      </c>
      <c r="B12277" s="163"/>
      <c r="C12277" s="163"/>
      <c r="J12277" s="165"/>
      <c r="K12277" s="166"/>
      <c r="L12277" s="166"/>
    </row>
    <row r="12278">
      <c r="A12278" s="163" t="s">
        <v>222</v>
      </c>
      <c r="B12278" s="163"/>
      <c r="C12278" s="163"/>
      <c r="J12278" s="165"/>
      <c r="K12278" s="166"/>
      <c r="L12278" s="166"/>
    </row>
    <row r="12279">
      <c r="A12279" s="163" t="s">
        <v>222</v>
      </c>
      <c r="B12279" s="163"/>
      <c r="C12279" s="163"/>
      <c r="J12279" s="165"/>
      <c r="K12279" s="166"/>
      <c r="L12279" s="166"/>
    </row>
    <row r="12280">
      <c r="A12280" s="163" t="s">
        <v>222</v>
      </c>
      <c r="B12280" s="163"/>
      <c r="C12280" s="163"/>
      <c r="J12280" s="165"/>
      <c r="K12280" s="166"/>
      <c r="L12280" s="166"/>
    </row>
    <row r="12281">
      <c r="A12281" s="163" t="s">
        <v>222</v>
      </c>
      <c r="B12281" s="163"/>
      <c r="C12281" s="163"/>
      <c r="J12281" s="165"/>
      <c r="K12281" s="166"/>
      <c r="L12281" s="166"/>
    </row>
    <row r="12282">
      <c r="A12282" s="163" t="s">
        <v>222</v>
      </c>
      <c r="B12282" s="163"/>
      <c r="C12282" s="163"/>
      <c r="J12282" s="165"/>
      <c r="K12282" s="166"/>
      <c r="L12282" s="166"/>
    </row>
    <row r="12283">
      <c r="A12283" s="163" t="s">
        <v>222</v>
      </c>
      <c r="B12283" s="163"/>
      <c r="C12283" s="163"/>
      <c r="J12283" s="165"/>
      <c r="K12283" s="166"/>
      <c r="L12283" s="166"/>
    </row>
    <row r="12284">
      <c r="A12284" s="163" t="s">
        <v>222</v>
      </c>
      <c r="B12284" s="163"/>
      <c r="C12284" s="163"/>
      <c r="J12284" s="165"/>
      <c r="K12284" s="166"/>
      <c r="L12284" s="166"/>
    </row>
    <row r="12285">
      <c r="A12285" s="163" t="s">
        <v>222</v>
      </c>
      <c r="B12285" s="163"/>
      <c r="C12285" s="163"/>
      <c r="J12285" s="165"/>
      <c r="K12285" s="166"/>
      <c r="L12285" s="166"/>
    </row>
    <row r="12286">
      <c r="A12286" s="163" t="s">
        <v>222</v>
      </c>
      <c r="B12286" s="163"/>
      <c r="C12286" s="163"/>
      <c r="J12286" s="165"/>
      <c r="K12286" s="166"/>
      <c r="L12286" s="166"/>
    </row>
    <row r="12287">
      <c r="A12287" s="163" t="s">
        <v>222</v>
      </c>
      <c r="B12287" s="163"/>
      <c r="C12287" s="163"/>
      <c r="J12287" s="165"/>
      <c r="K12287" s="166"/>
      <c r="L12287" s="166"/>
    </row>
    <row r="12288">
      <c r="A12288" s="163" t="s">
        <v>222</v>
      </c>
      <c r="B12288" s="163"/>
      <c r="C12288" s="163"/>
      <c r="J12288" s="165"/>
      <c r="K12288" s="166"/>
      <c r="L12288" s="166"/>
    </row>
    <row r="12289">
      <c r="A12289" s="163" t="s">
        <v>222</v>
      </c>
      <c r="B12289" s="163"/>
      <c r="C12289" s="163"/>
      <c r="J12289" s="165"/>
      <c r="K12289" s="166"/>
      <c r="L12289" s="166"/>
    </row>
    <row r="12290">
      <c r="A12290" s="163" t="s">
        <v>222</v>
      </c>
      <c r="B12290" s="163"/>
      <c r="C12290" s="163"/>
      <c r="J12290" s="165"/>
      <c r="K12290" s="166"/>
      <c r="L12290" s="166"/>
    </row>
    <row r="12291">
      <c r="A12291" s="163" t="s">
        <v>222</v>
      </c>
      <c r="B12291" s="163"/>
      <c r="C12291" s="163"/>
      <c r="J12291" s="165"/>
      <c r="K12291" s="166"/>
      <c r="L12291" s="166"/>
    </row>
    <row r="12292">
      <c r="A12292" s="163" t="s">
        <v>222</v>
      </c>
      <c r="B12292" s="163"/>
      <c r="C12292" s="163"/>
      <c r="J12292" s="165"/>
      <c r="K12292" s="166"/>
      <c r="L12292" s="166"/>
    </row>
    <row r="12293">
      <c r="A12293" s="163" t="s">
        <v>222</v>
      </c>
      <c r="B12293" s="163"/>
      <c r="C12293" s="163"/>
      <c r="J12293" s="165"/>
      <c r="K12293" s="166"/>
      <c r="L12293" s="166"/>
    </row>
    <row r="12294">
      <c r="A12294" s="163" t="s">
        <v>222</v>
      </c>
      <c r="B12294" s="163"/>
      <c r="C12294" s="163"/>
      <c r="J12294" s="165"/>
      <c r="K12294" s="166"/>
      <c r="L12294" s="166"/>
    </row>
    <row r="12295">
      <c r="A12295" s="163" t="s">
        <v>222</v>
      </c>
      <c r="B12295" s="163"/>
      <c r="C12295" s="163"/>
      <c r="J12295" s="165"/>
      <c r="K12295" s="166"/>
      <c r="L12295" s="166"/>
    </row>
    <row r="12296">
      <c r="A12296" s="163" t="s">
        <v>222</v>
      </c>
      <c r="B12296" s="163"/>
      <c r="C12296" s="163"/>
      <c r="J12296" s="165"/>
      <c r="K12296" s="166"/>
      <c r="L12296" s="166"/>
    </row>
    <row r="12297">
      <c r="A12297" s="163" t="s">
        <v>222</v>
      </c>
      <c r="B12297" s="163"/>
      <c r="C12297" s="163"/>
      <c r="J12297" s="165"/>
      <c r="K12297" s="166"/>
      <c r="L12297" s="166"/>
    </row>
    <row r="12298">
      <c r="A12298" s="163" t="s">
        <v>222</v>
      </c>
      <c r="B12298" s="163"/>
      <c r="C12298" s="163"/>
      <c r="J12298" s="165"/>
      <c r="K12298" s="166"/>
      <c r="L12298" s="166"/>
    </row>
    <row r="12299">
      <c r="A12299" s="163" t="s">
        <v>222</v>
      </c>
      <c r="B12299" s="163"/>
      <c r="C12299" s="163"/>
      <c r="J12299" s="165"/>
      <c r="K12299" s="166"/>
      <c r="L12299" s="166"/>
    </row>
    <row r="12300">
      <c r="A12300" s="163" t="s">
        <v>222</v>
      </c>
      <c r="B12300" s="163"/>
      <c r="C12300" s="163"/>
      <c r="J12300" s="165"/>
      <c r="K12300" s="166"/>
      <c r="L12300" s="166"/>
    </row>
    <row r="12301">
      <c r="A12301" s="163" t="s">
        <v>222</v>
      </c>
      <c r="B12301" s="163"/>
      <c r="C12301" s="163"/>
      <c r="J12301" s="165"/>
      <c r="K12301" s="166"/>
      <c r="L12301" s="166"/>
    </row>
    <row r="12302">
      <c r="A12302" s="163" t="s">
        <v>222</v>
      </c>
      <c r="B12302" s="163"/>
      <c r="C12302" s="163"/>
      <c r="J12302" s="165"/>
      <c r="K12302" s="166"/>
      <c r="L12302" s="166"/>
    </row>
    <row r="12303">
      <c r="A12303" s="163" t="s">
        <v>222</v>
      </c>
      <c r="B12303" s="163"/>
      <c r="C12303" s="163"/>
      <c r="J12303" s="165"/>
      <c r="K12303" s="166"/>
      <c r="L12303" s="166"/>
    </row>
    <row r="12304">
      <c r="A12304" s="163" t="s">
        <v>222</v>
      </c>
      <c r="B12304" s="163"/>
      <c r="C12304" s="163"/>
      <c r="J12304" s="165"/>
      <c r="K12304" s="166"/>
      <c r="L12304" s="166"/>
    </row>
    <row r="12305">
      <c r="A12305" s="163" t="s">
        <v>222</v>
      </c>
      <c r="B12305" s="163"/>
      <c r="C12305" s="163"/>
      <c r="J12305" s="165"/>
      <c r="K12305" s="166"/>
      <c r="L12305" s="166"/>
    </row>
    <row r="12306">
      <c r="A12306" s="163" t="s">
        <v>222</v>
      </c>
      <c r="B12306" s="163"/>
      <c r="C12306" s="163"/>
      <c r="J12306" s="165"/>
      <c r="K12306" s="166"/>
      <c r="L12306" s="166"/>
    </row>
    <row r="12307">
      <c r="A12307" s="163" t="s">
        <v>222</v>
      </c>
      <c r="B12307" s="163"/>
      <c r="C12307" s="163"/>
      <c r="J12307" s="165"/>
      <c r="K12307" s="166"/>
      <c r="L12307" s="166"/>
    </row>
    <row r="12308">
      <c r="A12308" s="163" t="s">
        <v>222</v>
      </c>
      <c r="B12308" s="163"/>
      <c r="C12308" s="163"/>
      <c r="J12308" s="165"/>
      <c r="K12308" s="166"/>
      <c r="L12308" s="166"/>
    </row>
    <row r="12309">
      <c r="A12309" s="163" t="s">
        <v>222</v>
      </c>
      <c r="B12309" s="163"/>
      <c r="C12309" s="163"/>
      <c r="J12309" s="165"/>
      <c r="K12309" s="166"/>
      <c r="L12309" s="166"/>
    </row>
    <row r="12310">
      <c r="A12310" s="163" t="s">
        <v>222</v>
      </c>
      <c r="B12310" s="163"/>
      <c r="C12310" s="163"/>
      <c r="J12310" s="165"/>
      <c r="K12310" s="166"/>
      <c r="L12310" s="166"/>
    </row>
    <row r="12311">
      <c r="A12311" s="163" t="s">
        <v>222</v>
      </c>
      <c r="B12311" s="163"/>
      <c r="C12311" s="163"/>
      <c r="J12311" s="165"/>
      <c r="K12311" s="166"/>
      <c r="L12311" s="166"/>
    </row>
    <row r="12312">
      <c r="A12312" s="163" t="s">
        <v>222</v>
      </c>
      <c r="B12312" s="163"/>
      <c r="C12312" s="163"/>
      <c r="J12312" s="165"/>
      <c r="K12312" s="166"/>
      <c r="L12312" s="166"/>
    </row>
    <row r="12313">
      <c r="A12313" s="163" t="s">
        <v>222</v>
      </c>
      <c r="B12313" s="163"/>
      <c r="C12313" s="163"/>
      <c r="J12313" s="165"/>
      <c r="K12313" s="166"/>
      <c r="L12313" s="166"/>
    </row>
    <row r="12314">
      <c r="A12314" s="163" t="s">
        <v>222</v>
      </c>
      <c r="B12314" s="163"/>
      <c r="C12314" s="163"/>
      <c r="J12314" s="165"/>
      <c r="K12314" s="166"/>
      <c r="L12314" s="166"/>
    </row>
    <row r="12315">
      <c r="A12315" s="163" t="s">
        <v>222</v>
      </c>
      <c r="B12315" s="163"/>
      <c r="C12315" s="163"/>
      <c r="J12315" s="165"/>
      <c r="K12315" s="166"/>
      <c r="L12315" s="166"/>
    </row>
    <row r="12316">
      <c r="A12316" s="163" t="s">
        <v>222</v>
      </c>
      <c r="B12316" s="163"/>
      <c r="C12316" s="163"/>
      <c r="J12316" s="165"/>
      <c r="K12316" s="166"/>
      <c r="L12316" s="166"/>
    </row>
    <row r="12317">
      <c r="A12317" s="163" t="s">
        <v>222</v>
      </c>
      <c r="B12317" s="163"/>
      <c r="C12317" s="163"/>
      <c r="J12317" s="165"/>
      <c r="K12317" s="166"/>
      <c r="L12317" s="166"/>
    </row>
    <row r="12318">
      <c r="A12318" s="163" t="s">
        <v>222</v>
      </c>
      <c r="B12318" s="163"/>
      <c r="C12318" s="163"/>
      <c r="J12318" s="165"/>
      <c r="K12318" s="166"/>
      <c r="L12318" s="166"/>
    </row>
    <row r="12319">
      <c r="A12319" s="163" t="s">
        <v>222</v>
      </c>
      <c r="B12319" s="163"/>
      <c r="C12319" s="163"/>
      <c r="J12319" s="165"/>
      <c r="K12319" s="166"/>
      <c r="L12319" s="166"/>
    </row>
    <row r="12320">
      <c r="A12320" s="163" t="s">
        <v>222</v>
      </c>
      <c r="B12320" s="163"/>
      <c r="C12320" s="163"/>
      <c r="J12320" s="165"/>
      <c r="K12320" s="166"/>
      <c r="L12320" s="166"/>
    </row>
    <row r="12321">
      <c r="A12321" s="163" t="s">
        <v>222</v>
      </c>
      <c r="B12321" s="163"/>
      <c r="C12321" s="163"/>
      <c r="J12321" s="165"/>
      <c r="K12321" s="166"/>
      <c r="L12321" s="166"/>
    </row>
    <row r="12322">
      <c r="A12322" s="163" t="s">
        <v>222</v>
      </c>
      <c r="B12322" s="163"/>
      <c r="C12322" s="163"/>
      <c r="J12322" s="165"/>
      <c r="K12322" s="166"/>
      <c r="L12322" s="166"/>
    </row>
    <row r="12323">
      <c r="A12323" s="163" t="s">
        <v>222</v>
      </c>
      <c r="B12323" s="163"/>
      <c r="C12323" s="163"/>
      <c r="J12323" s="165"/>
      <c r="K12323" s="166"/>
      <c r="L12323" s="166"/>
    </row>
    <row r="12324">
      <c r="A12324" s="163" t="s">
        <v>222</v>
      </c>
      <c r="B12324" s="163"/>
      <c r="C12324" s="163"/>
      <c r="J12324" s="165"/>
      <c r="K12324" s="166"/>
      <c r="L12324" s="166"/>
    </row>
    <row r="12325">
      <c r="A12325" s="163" t="s">
        <v>222</v>
      </c>
      <c r="B12325" s="163"/>
      <c r="C12325" s="163"/>
      <c r="J12325" s="165"/>
      <c r="K12325" s="166"/>
      <c r="L12325" s="166"/>
    </row>
    <row r="12326">
      <c r="A12326" s="163" t="s">
        <v>222</v>
      </c>
      <c r="B12326" s="163"/>
      <c r="C12326" s="163"/>
      <c r="J12326" s="165"/>
      <c r="K12326" s="166"/>
      <c r="L12326" s="166"/>
    </row>
    <row r="12327">
      <c r="A12327" s="163" t="s">
        <v>222</v>
      </c>
      <c r="B12327" s="163"/>
      <c r="C12327" s="163"/>
      <c r="J12327" s="165"/>
      <c r="K12327" s="166"/>
      <c r="L12327" s="166"/>
    </row>
    <row r="12328">
      <c r="A12328" s="163" t="s">
        <v>222</v>
      </c>
      <c r="B12328" s="163"/>
      <c r="C12328" s="163"/>
      <c r="J12328" s="165"/>
      <c r="K12328" s="166"/>
      <c r="L12328" s="166"/>
    </row>
    <row r="12329">
      <c r="A12329" s="163" t="s">
        <v>222</v>
      </c>
      <c r="B12329" s="163"/>
      <c r="C12329" s="163"/>
      <c r="J12329" s="165"/>
      <c r="K12329" s="166"/>
      <c r="L12329" s="166"/>
    </row>
    <row r="12330">
      <c r="A12330" s="163" t="s">
        <v>222</v>
      </c>
      <c r="B12330" s="163"/>
      <c r="C12330" s="163"/>
      <c r="J12330" s="165"/>
      <c r="K12330" s="166"/>
      <c r="L12330" s="166"/>
    </row>
    <row r="12331">
      <c r="A12331" s="163" t="s">
        <v>222</v>
      </c>
      <c r="B12331" s="163"/>
      <c r="C12331" s="163"/>
      <c r="J12331" s="165"/>
      <c r="K12331" s="166"/>
      <c r="L12331" s="166"/>
    </row>
    <row r="12332">
      <c r="A12332" s="163" t="s">
        <v>222</v>
      </c>
      <c r="B12332" s="163"/>
      <c r="C12332" s="163"/>
      <c r="J12332" s="165"/>
      <c r="K12332" s="166"/>
      <c r="L12332" s="166"/>
    </row>
    <row r="12333">
      <c r="A12333" s="163" t="s">
        <v>222</v>
      </c>
      <c r="B12333" s="163"/>
      <c r="C12333" s="163"/>
      <c r="J12333" s="165"/>
      <c r="K12333" s="166"/>
      <c r="L12333" s="166"/>
    </row>
    <row r="12334">
      <c r="A12334" s="163" t="s">
        <v>222</v>
      </c>
      <c r="B12334" s="163"/>
      <c r="C12334" s="163"/>
      <c r="J12334" s="165"/>
      <c r="K12334" s="166"/>
      <c r="L12334" s="166"/>
    </row>
    <row r="12335">
      <c r="A12335" s="163" t="s">
        <v>222</v>
      </c>
      <c r="B12335" s="163"/>
      <c r="C12335" s="163"/>
      <c r="J12335" s="165"/>
      <c r="K12335" s="166"/>
      <c r="L12335" s="166"/>
    </row>
    <row r="12336">
      <c r="A12336" s="163" t="s">
        <v>222</v>
      </c>
      <c r="B12336" s="163"/>
      <c r="C12336" s="163"/>
      <c r="J12336" s="165"/>
      <c r="K12336" s="166"/>
      <c r="L12336" s="166"/>
    </row>
    <row r="12337">
      <c r="A12337" s="163" t="s">
        <v>222</v>
      </c>
      <c r="B12337" s="163"/>
      <c r="C12337" s="163"/>
      <c r="J12337" s="165"/>
      <c r="K12337" s="166"/>
      <c r="L12337" s="166"/>
    </row>
    <row r="12338">
      <c r="A12338" s="163" t="s">
        <v>222</v>
      </c>
      <c r="B12338" s="163"/>
      <c r="C12338" s="163"/>
      <c r="J12338" s="165"/>
      <c r="K12338" s="166"/>
      <c r="L12338" s="166"/>
    </row>
    <row r="12339">
      <c r="A12339" s="163" t="s">
        <v>222</v>
      </c>
      <c r="B12339" s="163"/>
      <c r="C12339" s="163"/>
      <c r="J12339" s="165"/>
      <c r="K12339" s="166"/>
      <c r="L12339" s="166"/>
    </row>
    <row r="12340">
      <c r="A12340" s="163" t="s">
        <v>222</v>
      </c>
      <c r="B12340" s="163"/>
      <c r="C12340" s="163"/>
      <c r="J12340" s="165"/>
      <c r="K12340" s="166"/>
      <c r="L12340" s="166"/>
    </row>
    <row r="12341">
      <c r="A12341" s="163" t="s">
        <v>222</v>
      </c>
      <c r="B12341" s="163"/>
      <c r="C12341" s="163"/>
      <c r="J12341" s="165"/>
      <c r="K12341" s="166"/>
      <c r="L12341" s="166"/>
    </row>
    <row r="12342">
      <c r="A12342" s="163" t="s">
        <v>222</v>
      </c>
      <c r="B12342" s="163"/>
      <c r="C12342" s="163"/>
      <c r="J12342" s="165"/>
      <c r="K12342" s="166"/>
      <c r="L12342" s="166"/>
    </row>
    <row r="12343">
      <c r="A12343" s="163" t="s">
        <v>222</v>
      </c>
      <c r="B12343" s="163"/>
      <c r="C12343" s="163"/>
      <c r="J12343" s="165"/>
      <c r="K12343" s="166"/>
      <c r="L12343" s="166"/>
    </row>
    <row r="12344">
      <c r="A12344" s="163" t="s">
        <v>222</v>
      </c>
      <c r="B12344" s="163"/>
      <c r="C12344" s="163"/>
      <c r="J12344" s="165"/>
      <c r="K12344" s="166"/>
      <c r="L12344" s="166"/>
    </row>
    <row r="12345">
      <c r="A12345" s="163" t="s">
        <v>222</v>
      </c>
      <c r="B12345" s="163"/>
      <c r="C12345" s="163"/>
      <c r="J12345" s="165"/>
      <c r="K12345" s="166"/>
      <c r="L12345" s="166"/>
    </row>
    <row r="12346">
      <c r="A12346" s="163" t="s">
        <v>222</v>
      </c>
      <c r="B12346" s="163"/>
      <c r="C12346" s="163"/>
      <c r="J12346" s="165"/>
      <c r="K12346" s="166"/>
      <c r="L12346" s="166"/>
    </row>
    <row r="12347">
      <c r="A12347" s="163" t="s">
        <v>222</v>
      </c>
      <c r="B12347" s="163"/>
      <c r="C12347" s="163"/>
      <c r="J12347" s="165"/>
      <c r="K12347" s="166"/>
      <c r="L12347" s="166"/>
    </row>
    <row r="12348">
      <c r="A12348" s="163" t="s">
        <v>222</v>
      </c>
      <c r="B12348" s="163"/>
      <c r="C12348" s="163"/>
      <c r="J12348" s="165"/>
      <c r="K12348" s="166"/>
      <c r="L12348" s="166"/>
    </row>
    <row r="12349">
      <c r="A12349" s="163" t="s">
        <v>222</v>
      </c>
      <c r="B12349" s="163"/>
      <c r="C12349" s="163"/>
      <c r="J12349" s="165"/>
      <c r="K12349" s="166"/>
      <c r="L12349" s="166"/>
    </row>
    <row r="12350">
      <c r="A12350" s="163" t="s">
        <v>222</v>
      </c>
      <c r="B12350" s="163"/>
      <c r="C12350" s="163"/>
      <c r="J12350" s="165"/>
      <c r="K12350" s="166"/>
      <c r="L12350" s="166"/>
    </row>
    <row r="12351">
      <c r="A12351" s="163" t="s">
        <v>222</v>
      </c>
      <c r="B12351" s="163"/>
      <c r="C12351" s="163"/>
      <c r="J12351" s="165"/>
      <c r="K12351" s="166"/>
      <c r="L12351" s="166"/>
    </row>
    <row r="12352">
      <c r="A12352" s="163" t="s">
        <v>222</v>
      </c>
      <c r="B12352" s="163"/>
      <c r="C12352" s="163"/>
      <c r="J12352" s="165"/>
      <c r="K12352" s="166"/>
      <c r="L12352" s="166"/>
    </row>
    <row r="12353">
      <c r="A12353" s="163" t="s">
        <v>222</v>
      </c>
      <c r="B12353" s="163"/>
      <c r="C12353" s="163"/>
      <c r="J12353" s="165"/>
      <c r="K12353" s="166"/>
      <c r="L12353" s="166"/>
    </row>
    <row r="12354">
      <c r="A12354" s="163" t="s">
        <v>222</v>
      </c>
      <c r="B12354" s="163"/>
      <c r="C12354" s="163"/>
      <c r="J12354" s="165"/>
      <c r="K12354" s="166"/>
      <c r="L12354" s="166"/>
    </row>
    <row r="12355">
      <c r="A12355" s="163" t="s">
        <v>222</v>
      </c>
      <c r="B12355" s="163"/>
      <c r="C12355" s="163"/>
      <c r="J12355" s="165"/>
      <c r="K12355" s="166"/>
      <c r="L12355" s="166"/>
    </row>
    <row r="12356">
      <c r="A12356" s="163" t="s">
        <v>222</v>
      </c>
      <c r="B12356" s="163"/>
      <c r="C12356" s="163"/>
      <c r="J12356" s="165"/>
      <c r="K12356" s="166"/>
      <c r="L12356" s="166"/>
    </row>
    <row r="12357">
      <c r="A12357" s="163" t="s">
        <v>222</v>
      </c>
      <c r="B12357" s="163"/>
      <c r="C12357" s="163"/>
      <c r="J12357" s="165"/>
      <c r="K12357" s="166"/>
      <c r="L12357" s="166"/>
    </row>
    <row r="12358">
      <c r="A12358" s="163" t="s">
        <v>222</v>
      </c>
      <c r="B12358" s="163"/>
      <c r="C12358" s="163"/>
      <c r="J12358" s="165"/>
      <c r="K12358" s="166"/>
      <c r="L12358" s="166"/>
    </row>
    <row r="12359">
      <c r="A12359" s="163" t="s">
        <v>222</v>
      </c>
      <c r="B12359" s="163"/>
      <c r="C12359" s="163"/>
      <c r="J12359" s="165"/>
      <c r="K12359" s="166"/>
      <c r="L12359" s="166"/>
    </row>
    <row r="12360">
      <c r="A12360" s="163" t="s">
        <v>222</v>
      </c>
      <c r="B12360" s="163"/>
      <c r="C12360" s="163"/>
      <c r="J12360" s="165"/>
      <c r="K12360" s="166"/>
      <c r="L12360" s="166"/>
    </row>
    <row r="12361">
      <c r="A12361" s="163" t="s">
        <v>222</v>
      </c>
      <c r="B12361" s="163"/>
      <c r="C12361" s="163"/>
      <c r="J12361" s="165"/>
      <c r="K12361" s="166"/>
      <c r="L12361" s="166"/>
    </row>
    <row r="12362">
      <c r="A12362" s="163" t="s">
        <v>222</v>
      </c>
      <c r="B12362" s="163"/>
      <c r="C12362" s="163"/>
      <c r="J12362" s="165"/>
      <c r="K12362" s="166"/>
      <c r="L12362" s="166"/>
    </row>
    <row r="12363">
      <c r="A12363" s="163" t="s">
        <v>222</v>
      </c>
      <c r="B12363" s="163"/>
      <c r="C12363" s="163"/>
      <c r="J12363" s="165"/>
      <c r="K12363" s="166"/>
      <c r="L12363" s="166"/>
    </row>
    <row r="12364">
      <c r="A12364" s="163" t="s">
        <v>222</v>
      </c>
      <c r="B12364" s="163"/>
      <c r="C12364" s="163"/>
      <c r="J12364" s="165"/>
      <c r="K12364" s="166"/>
      <c r="L12364" s="166"/>
    </row>
    <row r="12365">
      <c r="A12365" s="163" t="s">
        <v>222</v>
      </c>
      <c r="B12365" s="163"/>
      <c r="C12365" s="163"/>
      <c r="J12365" s="165"/>
      <c r="K12365" s="166"/>
      <c r="L12365" s="166"/>
    </row>
    <row r="12366">
      <c r="A12366" s="163" t="s">
        <v>222</v>
      </c>
      <c r="B12366" s="163"/>
      <c r="C12366" s="163"/>
      <c r="J12366" s="165"/>
      <c r="K12366" s="166"/>
      <c r="L12366" s="166"/>
    </row>
    <row r="12367">
      <c r="A12367" s="163" t="s">
        <v>222</v>
      </c>
      <c r="B12367" s="163"/>
      <c r="C12367" s="163"/>
      <c r="J12367" s="165"/>
      <c r="K12367" s="166"/>
      <c r="L12367" s="166"/>
    </row>
    <row r="12368">
      <c r="A12368" s="163" t="s">
        <v>222</v>
      </c>
      <c r="B12368" s="163"/>
      <c r="C12368" s="163"/>
      <c r="J12368" s="165"/>
      <c r="K12368" s="166"/>
      <c r="L12368" s="166"/>
    </row>
    <row r="12369">
      <c r="A12369" s="163" t="s">
        <v>222</v>
      </c>
      <c r="B12369" s="163"/>
      <c r="C12369" s="163"/>
      <c r="J12369" s="165"/>
      <c r="K12369" s="166"/>
      <c r="L12369" s="166"/>
    </row>
    <row r="12370">
      <c r="A12370" s="163" t="s">
        <v>222</v>
      </c>
      <c r="B12370" s="163"/>
      <c r="C12370" s="163"/>
      <c r="J12370" s="165"/>
      <c r="K12370" s="166"/>
      <c r="L12370" s="166"/>
    </row>
    <row r="12371">
      <c r="A12371" s="163" t="s">
        <v>222</v>
      </c>
      <c r="B12371" s="163"/>
      <c r="C12371" s="163"/>
      <c r="J12371" s="165"/>
      <c r="K12371" s="166"/>
      <c r="L12371" s="166"/>
    </row>
    <row r="12372">
      <c r="A12372" s="163" t="s">
        <v>222</v>
      </c>
      <c r="B12372" s="163"/>
      <c r="C12372" s="163"/>
      <c r="J12372" s="165"/>
      <c r="K12372" s="166"/>
      <c r="L12372" s="166"/>
    </row>
    <row r="12373">
      <c r="A12373" s="163" t="s">
        <v>222</v>
      </c>
      <c r="B12373" s="163"/>
      <c r="C12373" s="163"/>
      <c r="J12373" s="165"/>
      <c r="K12373" s="166"/>
      <c r="L12373" s="166"/>
    </row>
    <row r="12374">
      <c r="A12374" s="163" t="s">
        <v>222</v>
      </c>
      <c r="B12374" s="163"/>
      <c r="C12374" s="163"/>
      <c r="J12374" s="165"/>
      <c r="K12374" s="166"/>
      <c r="L12374" s="166"/>
    </row>
    <row r="12375">
      <c r="A12375" s="163" t="s">
        <v>222</v>
      </c>
      <c r="B12375" s="163"/>
      <c r="C12375" s="163"/>
      <c r="J12375" s="165"/>
      <c r="K12375" s="166"/>
      <c r="L12375" s="166"/>
    </row>
    <row r="12376">
      <c r="A12376" s="163" t="s">
        <v>222</v>
      </c>
      <c r="B12376" s="163"/>
      <c r="C12376" s="163"/>
      <c r="J12376" s="165"/>
      <c r="K12376" s="166"/>
      <c r="L12376" s="166"/>
    </row>
    <row r="12377">
      <c r="A12377" s="163" t="s">
        <v>222</v>
      </c>
      <c r="B12377" s="163"/>
      <c r="C12377" s="163"/>
      <c r="J12377" s="165"/>
      <c r="K12377" s="166"/>
      <c r="L12377" s="166"/>
    </row>
    <row r="12378">
      <c r="A12378" s="163" t="s">
        <v>222</v>
      </c>
      <c r="B12378" s="163"/>
      <c r="C12378" s="163"/>
      <c r="J12378" s="165"/>
      <c r="K12378" s="166"/>
      <c r="L12378" s="166"/>
    </row>
    <row r="12379">
      <c r="A12379" s="163" t="s">
        <v>222</v>
      </c>
      <c r="B12379" s="163"/>
      <c r="C12379" s="163"/>
      <c r="J12379" s="165"/>
      <c r="K12379" s="166"/>
      <c r="L12379" s="166"/>
    </row>
    <row r="12380">
      <c r="A12380" s="163" t="s">
        <v>222</v>
      </c>
      <c r="B12380" s="163"/>
      <c r="C12380" s="163"/>
      <c r="J12380" s="165"/>
      <c r="K12380" s="166"/>
      <c r="L12380" s="166"/>
    </row>
    <row r="12381">
      <c r="A12381" s="163" t="s">
        <v>222</v>
      </c>
      <c r="B12381" s="163"/>
      <c r="C12381" s="163"/>
      <c r="J12381" s="165"/>
      <c r="K12381" s="166"/>
      <c r="L12381" s="166"/>
    </row>
    <row r="12382">
      <c r="A12382" s="163" t="s">
        <v>222</v>
      </c>
      <c r="B12382" s="163"/>
      <c r="C12382" s="163"/>
      <c r="J12382" s="165"/>
      <c r="K12382" s="166"/>
      <c r="L12382" s="166"/>
    </row>
    <row r="12383">
      <c r="A12383" s="163" t="s">
        <v>222</v>
      </c>
      <c r="B12383" s="163"/>
      <c r="C12383" s="163"/>
      <c r="J12383" s="165"/>
      <c r="K12383" s="166"/>
      <c r="L12383" s="166"/>
    </row>
    <row r="12384">
      <c r="A12384" s="163" t="s">
        <v>222</v>
      </c>
      <c r="B12384" s="163"/>
      <c r="C12384" s="163"/>
      <c r="J12384" s="165"/>
      <c r="K12384" s="166"/>
      <c r="L12384" s="166"/>
    </row>
    <row r="12385">
      <c r="A12385" s="163" t="s">
        <v>222</v>
      </c>
      <c r="B12385" s="163"/>
      <c r="C12385" s="163"/>
      <c r="J12385" s="165"/>
      <c r="K12385" s="166"/>
      <c r="L12385" s="166"/>
    </row>
    <row r="12386">
      <c r="A12386" s="163" t="s">
        <v>222</v>
      </c>
      <c r="B12386" s="163"/>
      <c r="C12386" s="163"/>
      <c r="J12386" s="165"/>
      <c r="K12386" s="166"/>
      <c r="L12386" s="166"/>
    </row>
    <row r="12387">
      <c r="A12387" s="163" t="s">
        <v>222</v>
      </c>
      <c r="B12387" s="163"/>
      <c r="C12387" s="163"/>
      <c r="J12387" s="165"/>
      <c r="K12387" s="166"/>
      <c r="L12387" s="166"/>
    </row>
    <row r="12388">
      <c r="A12388" s="163" t="s">
        <v>222</v>
      </c>
      <c r="B12388" s="163"/>
      <c r="C12388" s="163"/>
      <c r="J12388" s="165"/>
      <c r="K12388" s="166"/>
      <c r="L12388" s="166"/>
    </row>
    <row r="12389">
      <c r="A12389" s="163" t="s">
        <v>222</v>
      </c>
      <c r="B12389" s="163"/>
      <c r="C12389" s="163"/>
      <c r="J12389" s="165"/>
      <c r="K12389" s="166"/>
      <c r="L12389" s="166"/>
    </row>
    <row r="12390">
      <c r="A12390" s="163" t="s">
        <v>222</v>
      </c>
      <c r="B12390" s="163"/>
      <c r="C12390" s="163"/>
      <c r="J12390" s="165"/>
      <c r="K12390" s="166"/>
      <c r="L12390" s="166"/>
    </row>
    <row r="12391">
      <c r="A12391" s="163" t="s">
        <v>222</v>
      </c>
      <c r="B12391" s="163"/>
      <c r="C12391" s="163"/>
      <c r="J12391" s="165"/>
      <c r="K12391" s="166"/>
      <c r="L12391" s="166"/>
    </row>
    <row r="12392">
      <c r="A12392" s="163" t="s">
        <v>222</v>
      </c>
      <c r="B12392" s="163"/>
      <c r="C12392" s="163"/>
      <c r="J12392" s="165"/>
      <c r="K12392" s="166"/>
      <c r="L12392" s="166"/>
    </row>
    <row r="12393">
      <c r="A12393" s="163" t="s">
        <v>222</v>
      </c>
      <c r="B12393" s="163"/>
      <c r="C12393" s="163"/>
      <c r="J12393" s="165"/>
      <c r="K12393" s="166"/>
      <c r="L12393" s="166"/>
    </row>
    <row r="12394">
      <c r="A12394" s="163" t="s">
        <v>222</v>
      </c>
      <c r="B12394" s="163"/>
      <c r="C12394" s="163"/>
      <c r="J12394" s="165"/>
      <c r="K12394" s="166"/>
      <c r="L12394" s="166"/>
    </row>
    <row r="12395">
      <c r="A12395" s="163" t="s">
        <v>222</v>
      </c>
      <c r="B12395" s="163"/>
      <c r="C12395" s="163"/>
      <c r="J12395" s="165"/>
      <c r="K12395" s="166"/>
      <c r="L12395" s="166"/>
    </row>
    <row r="12396">
      <c r="A12396" s="163" t="s">
        <v>222</v>
      </c>
      <c r="B12396" s="163"/>
      <c r="C12396" s="163"/>
      <c r="J12396" s="165"/>
      <c r="K12396" s="166"/>
      <c r="L12396" s="166"/>
    </row>
    <row r="12397">
      <c r="A12397" s="163" t="s">
        <v>222</v>
      </c>
      <c r="B12397" s="163"/>
      <c r="C12397" s="163"/>
      <c r="J12397" s="165"/>
      <c r="K12397" s="166"/>
      <c r="L12397" s="166"/>
    </row>
    <row r="12398">
      <c r="A12398" s="163" t="s">
        <v>222</v>
      </c>
      <c r="B12398" s="163"/>
      <c r="C12398" s="163"/>
      <c r="J12398" s="165"/>
      <c r="K12398" s="166"/>
      <c r="L12398" s="166"/>
    </row>
    <row r="12399">
      <c r="A12399" s="163" t="s">
        <v>222</v>
      </c>
      <c r="B12399" s="163"/>
      <c r="C12399" s="163"/>
      <c r="J12399" s="165"/>
      <c r="K12399" s="166"/>
      <c r="L12399" s="166"/>
    </row>
    <row r="12400">
      <c r="A12400" s="163" t="s">
        <v>222</v>
      </c>
      <c r="B12400" s="163"/>
      <c r="C12400" s="163"/>
      <c r="J12400" s="165"/>
      <c r="K12400" s="166"/>
      <c r="L12400" s="166"/>
    </row>
    <row r="12401">
      <c r="A12401" s="163" t="s">
        <v>222</v>
      </c>
      <c r="B12401" s="163"/>
      <c r="C12401" s="163"/>
      <c r="J12401" s="165"/>
      <c r="K12401" s="166"/>
      <c r="L12401" s="166"/>
    </row>
    <row r="12402">
      <c r="A12402" s="163" t="s">
        <v>222</v>
      </c>
      <c r="B12402" s="163"/>
      <c r="C12402" s="163"/>
      <c r="J12402" s="165"/>
      <c r="K12402" s="166"/>
      <c r="L12402" s="166"/>
    </row>
    <row r="12403">
      <c r="A12403" s="163" t="s">
        <v>222</v>
      </c>
      <c r="B12403" s="163"/>
      <c r="C12403" s="163"/>
      <c r="J12403" s="165"/>
      <c r="K12403" s="166"/>
      <c r="L12403" s="166"/>
    </row>
    <row r="12404">
      <c r="A12404" s="163" t="s">
        <v>222</v>
      </c>
      <c r="B12404" s="163"/>
      <c r="C12404" s="163"/>
      <c r="J12404" s="165"/>
      <c r="K12404" s="166"/>
      <c r="L12404" s="166"/>
    </row>
    <row r="12405">
      <c r="A12405" s="163" t="s">
        <v>222</v>
      </c>
      <c r="B12405" s="163"/>
      <c r="C12405" s="163"/>
      <c r="J12405" s="165"/>
      <c r="K12405" s="166"/>
      <c r="L12405" s="166"/>
    </row>
    <row r="12406">
      <c r="A12406" s="163" t="s">
        <v>222</v>
      </c>
      <c r="B12406" s="163"/>
      <c r="C12406" s="163"/>
      <c r="J12406" s="165"/>
      <c r="K12406" s="166"/>
      <c r="L12406" s="166"/>
    </row>
    <row r="12407">
      <c r="A12407" s="163" t="s">
        <v>222</v>
      </c>
      <c r="B12407" s="163"/>
      <c r="C12407" s="163"/>
      <c r="J12407" s="165"/>
      <c r="K12407" s="166"/>
      <c r="L12407" s="166"/>
    </row>
    <row r="12408">
      <c r="A12408" s="163" t="s">
        <v>222</v>
      </c>
      <c r="B12408" s="163"/>
      <c r="C12408" s="163"/>
      <c r="J12408" s="165"/>
      <c r="K12408" s="166"/>
      <c r="L12408" s="166"/>
    </row>
    <row r="12409">
      <c r="A12409" s="163" t="s">
        <v>222</v>
      </c>
      <c r="B12409" s="163"/>
      <c r="C12409" s="163"/>
      <c r="J12409" s="165"/>
      <c r="K12409" s="166"/>
      <c r="L12409" s="166"/>
    </row>
    <row r="12410">
      <c r="A12410" s="163" t="s">
        <v>222</v>
      </c>
      <c r="B12410" s="163"/>
      <c r="C12410" s="163"/>
      <c r="J12410" s="165"/>
      <c r="K12410" s="166"/>
      <c r="L12410" s="166"/>
    </row>
    <row r="12411">
      <c r="A12411" s="163" t="s">
        <v>222</v>
      </c>
      <c r="B12411" s="163"/>
      <c r="C12411" s="163"/>
      <c r="J12411" s="165"/>
      <c r="K12411" s="166"/>
      <c r="L12411" s="166"/>
    </row>
    <row r="12412">
      <c r="A12412" s="163" t="s">
        <v>222</v>
      </c>
      <c r="B12412" s="163"/>
      <c r="C12412" s="163"/>
      <c r="J12412" s="165"/>
      <c r="K12412" s="166"/>
      <c r="L12412" s="166"/>
    </row>
    <row r="12413">
      <c r="A12413" s="163" t="s">
        <v>222</v>
      </c>
      <c r="B12413" s="163"/>
      <c r="C12413" s="163"/>
      <c r="J12413" s="165"/>
      <c r="K12413" s="166"/>
      <c r="L12413" s="166"/>
    </row>
    <row r="12414">
      <c r="A12414" s="163" t="s">
        <v>222</v>
      </c>
      <c r="B12414" s="163"/>
      <c r="C12414" s="163"/>
      <c r="J12414" s="165"/>
      <c r="K12414" s="166"/>
      <c r="L12414" s="166"/>
    </row>
    <row r="12415">
      <c r="A12415" s="163" t="s">
        <v>222</v>
      </c>
      <c r="B12415" s="163"/>
      <c r="C12415" s="163"/>
      <c r="J12415" s="165"/>
      <c r="K12415" s="166"/>
      <c r="L12415" s="166"/>
    </row>
    <row r="12416">
      <c r="A12416" s="163" t="s">
        <v>222</v>
      </c>
      <c r="B12416" s="163"/>
      <c r="C12416" s="163"/>
      <c r="J12416" s="165"/>
      <c r="K12416" s="166"/>
      <c r="L12416" s="166"/>
    </row>
    <row r="12417">
      <c r="A12417" s="163" t="s">
        <v>222</v>
      </c>
      <c r="B12417" s="163"/>
      <c r="C12417" s="163"/>
      <c r="J12417" s="165"/>
      <c r="K12417" s="166"/>
      <c r="L12417" s="166"/>
    </row>
    <row r="12418">
      <c r="A12418" s="163" t="s">
        <v>222</v>
      </c>
      <c r="B12418" s="163"/>
      <c r="C12418" s="163"/>
      <c r="J12418" s="165"/>
      <c r="K12418" s="166"/>
      <c r="L12418" s="166"/>
    </row>
    <row r="12419">
      <c r="A12419" s="163" t="s">
        <v>222</v>
      </c>
      <c r="B12419" s="163"/>
      <c r="C12419" s="163"/>
      <c r="J12419" s="165"/>
      <c r="K12419" s="166"/>
      <c r="L12419" s="166"/>
    </row>
    <row r="12420">
      <c r="A12420" s="163" t="s">
        <v>222</v>
      </c>
      <c r="B12420" s="163"/>
      <c r="C12420" s="163"/>
      <c r="J12420" s="165"/>
      <c r="K12420" s="166"/>
      <c r="L12420" s="166"/>
    </row>
    <row r="12421">
      <c r="A12421" s="163" t="s">
        <v>222</v>
      </c>
      <c r="B12421" s="163"/>
      <c r="C12421" s="163"/>
      <c r="J12421" s="165"/>
      <c r="K12421" s="166"/>
      <c r="L12421" s="166"/>
    </row>
    <row r="12422">
      <c r="A12422" s="163" t="s">
        <v>222</v>
      </c>
      <c r="B12422" s="163"/>
      <c r="C12422" s="163"/>
      <c r="J12422" s="165"/>
      <c r="K12422" s="166"/>
      <c r="L12422" s="166"/>
    </row>
    <row r="12423">
      <c r="A12423" s="163" t="s">
        <v>222</v>
      </c>
      <c r="B12423" s="163"/>
      <c r="C12423" s="163"/>
      <c r="J12423" s="165"/>
      <c r="K12423" s="166"/>
      <c r="L12423" s="166"/>
    </row>
    <row r="12424">
      <c r="A12424" s="163" t="s">
        <v>222</v>
      </c>
      <c r="B12424" s="163"/>
      <c r="C12424" s="163"/>
      <c r="J12424" s="165"/>
      <c r="K12424" s="166"/>
      <c r="L12424" s="166"/>
    </row>
    <row r="12425">
      <c r="A12425" s="163" t="s">
        <v>222</v>
      </c>
      <c r="B12425" s="163"/>
      <c r="C12425" s="163"/>
      <c r="J12425" s="165"/>
      <c r="K12425" s="166"/>
      <c r="L12425" s="166"/>
    </row>
    <row r="12426">
      <c r="A12426" s="163" t="s">
        <v>222</v>
      </c>
      <c r="B12426" s="163"/>
      <c r="C12426" s="163"/>
      <c r="J12426" s="165"/>
      <c r="K12426" s="166"/>
      <c r="L12426" s="166"/>
    </row>
    <row r="12427">
      <c r="A12427" s="163" t="s">
        <v>222</v>
      </c>
      <c r="B12427" s="163"/>
      <c r="C12427" s="163"/>
      <c r="J12427" s="165"/>
      <c r="K12427" s="166"/>
      <c r="L12427" s="166"/>
    </row>
    <row r="12428">
      <c r="A12428" s="163" t="s">
        <v>222</v>
      </c>
      <c r="B12428" s="163"/>
      <c r="C12428" s="163"/>
      <c r="J12428" s="165"/>
      <c r="K12428" s="166"/>
      <c r="L12428" s="166"/>
    </row>
    <row r="12429">
      <c r="A12429" s="163" t="s">
        <v>222</v>
      </c>
      <c r="B12429" s="163"/>
      <c r="C12429" s="163"/>
      <c r="J12429" s="165"/>
      <c r="K12429" s="166"/>
      <c r="L12429" s="166"/>
    </row>
    <row r="12430">
      <c r="A12430" s="163" t="s">
        <v>222</v>
      </c>
      <c r="B12430" s="163"/>
      <c r="C12430" s="163"/>
      <c r="J12430" s="165"/>
      <c r="K12430" s="166"/>
      <c r="L12430" s="166"/>
    </row>
    <row r="12431">
      <c r="A12431" s="163" t="s">
        <v>222</v>
      </c>
      <c r="B12431" s="163"/>
      <c r="C12431" s="163"/>
      <c r="J12431" s="165"/>
      <c r="K12431" s="166"/>
      <c r="L12431" s="166"/>
    </row>
    <row r="12432">
      <c r="A12432" s="163" t="s">
        <v>222</v>
      </c>
      <c r="B12432" s="163"/>
      <c r="C12432" s="163"/>
      <c r="J12432" s="165"/>
      <c r="K12432" s="166"/>
      <c r="L12432" s="166"/>
    </row>
    <row r="12433">
      <c r="A12433" s="163" t="s">
        <v>222</v>
      </c>
      <c r="B12433" s="163"/>
      <c r="C12433" s="163"/>
      <c r="J12433" s="165"/>
      <c r="K12433" s="166"/>
      <c r="L12433" s="166"/>
    </row>
    <row r="12434">
      <c r="A12434" s="163" t="s">
        <v>222</v>
      </c>
      <c r="B12434" s="163"/>
      <c r="C12434" s="163"/>
      <c r="J12434" s="165"/>
      <c r="K12434" s="166"/>
      <c r="L12434" s="166"/>
    </row>
    <row r="12435">
      <c r="A12435" s="163" t="s">
        <v>222</v>
      </c>
      <c r="B12435" s="163"/>
      <c r="C12435" s="163"/>
      <c r="J12435" s="165"/>
      <c r="K12435" s="166"/>
      <c r="L12435" s="166"/>
    </row>
    <row r="12436">
      <c r="A12436" s="163" t="s">
        <v>222</v>
      </c>
      <c r="B12436" s="163"/>
      <c r="C12436" s="163"/>
      <c r="J12436" s="165"/>
      <c r="K12436" s="166"/>
      <c r="L12436" s="166"/>
    </row>
    <row r="12437">
      <c r="A12437" s="163" t="s">
        <v>222</v>
      </c>
      <c r="B12437" s="163"/>
      <c r="C12437" s="163"/>
      <c r="J12437" s="165"/>
      <c r="K12437" s="166"/>
      <c r="L12437" s="166"/>
    </row>
    <row r="12438">
      <c r="A12438" s="163" t="s">
        <v>222</v>
      </c>
      <c r="B12438" s="163"/>
      <c r="C12438" s="163"/>
      <c r="J12438" s="165"/>
      <c r="K12438" s="166"/>
      <c r="L12438" s="166"/>
    </row>
    <row r="12439">
      <c r="A12439" s="163" t="s">
        <v>222</v>
      </c>
      <c r="B12439" s="163"/>
      <c r="C12439" s="163"/>
      <c r="J12439" s="165"/>
      <c r="K12439" s="166"/>
      <c r="L12439" s="166"/>
    </row>
    <row r="12440">
      <c r="A12440" s="163" t="s">
        <v>222</v>
      </c>
      <c r="B12440" s="163"/>
      <c r="C12440" s="163"/>
      <c r="J12440" s="165"/>
      <c r="K12440" s="166"/>
      <c r="L12440" s="166"/>
    </row>
    <row r="12441">
      <c r="A12441" s="163" t="s">
        <v>222</v>
      </c>
      <c r="B12441" s="163"/>
      <c r="C12441" s="163"/>
      <c r="J12441" s="165"/>
      <c r="K12441" s="166"/>
      <c r="L12441" s="166"/>
    </row>
    <row r="12442">
      <c r="A12442" s="163" t="s">
        <v>222</v>
      </c>
      <c r="B12442" s="163"/>
      <c r="C12442" s="163"/>
      <c r="J12442" s="165"/>
      <c r="K12442" s="166"/>
      <c r="L12442" s="166"/>
    </row>
    <row r="12443">
      <c r="A12443" s="163" t="s">
        <v>222</v>
      </c>
      <c r="B12443" s="163"/>
      <c r="C12443" s="163"/>
      <c r="J12443" s="165"/>
      <c r="K12443" s="166"/>
      <c r="L12443" s="166"/>
    </row>
    <row r="12444">
      <c r="A12444" s="163" t="s">
        <v>222</v>
      </c>
      <c r="B12444" s="163"/>
      <c r="C12444" s="163"/>
      <c r="J12444" s="165"/>
      <c r="K12444" s="166"/>
      <c r="L12444" s="166"/>
    </row>
    <row r="12445">
      <c r="A12445" s="163" t="s">
        <v>222</v>
      </c>
      <c r="B12445" s="163"/>
      <c r="C12445" s="163"/>
      <c r="J12445" s="165"/>
      <c r="K12445" s="166"/>
      <c r="L12445" s="166"/>
    </row>
    <row r="12446">
      <c r="A12446" s="163" t="s">
        <v>222</v>
      </c>
      <c r="B12446" s="163"/>
      <c r="C12446" s="163"/>
      <c r="J12446" s="165"/>
      <c r="K12446" s="166"/>
      <c r="L12446" s="166"/>
    </row>
    <row r="12447">
      <c r="A12447" s="163" t="s">
        <v>222</v>
      </c>
      <c r="B12447" s="163"/>
      <c r="C12447" s="163"/>
      <c r="J12447" s="165"/>
      <c r="K12447" s="166"/>
      <c r="L12447" s="166"/>
    </row>
    <row r="12448">
      <c r="A12448" s="163" t="s">
        <v>222</v>
      </c>
      <c r="B12448" s="163"/>
      <c r="C12448" s="163"/>
      <c r="J12448" s="165"/>
      <c r="K12448" s="166"/>
      <c r="L12448" s="166"/>
    </row>
    <row r="12449">
      <c r="A12449" s="163" t="s">
        <v>222</v>
      </c>
      <c r="B12449" s="163"/>
      <c r="C12449" s="163"/>
      <c r="J12449" s="165"/>
      <c r="K12449" s="166"/>
      <c r="L12449" s="166"/>
    </row>
    <row r="12450">
      <c r="A12450" s="163" t="s">
        <v>222</v>
      </c>
      <c r="B12450" s="163"/>
      <c r="C12450" s="163"/>
      <c r="J12450" s="165"/>
      <c r="K12450" s="166"/>
      <c r="L12450" s="166"/>
    </row>
    <row r="12451">
      <c r="A12451" s="163" t="s">
        <v>222</v>
      </c>
      <c r="B12451" s="163"/>
      <c r="C12451" s="163"/>
      <c r="J12451" s="165"/>
      <c r="K12451" s="166"/>
      <c r="L12451" s="166"/>
    </row>
    <row r="12452">
      <c r="A12452" s="163" t="s">
        <v>222</v>
      </c>
      <c r="B12452" s="163"/>
      <c r="C12452" s="163"/>
      <c r="J12452" s="165"/>
      <c r="K12452" s="166"/>
      <c r="L12452" s="166"/>
    </row>
    <row r="12453">
      <c r="A12453" s="163" t="s">
        <v>222</v>
      </c>
      <c r="B12453" s="163"/>
      <c r="C12453" s="163"/>
      <c r="J12453" s="165"/>
      <c r="K12453" s="166"/>
      <c r="L12453" s="166"/>
    </row>
    <row r="12454">
      <c r="A12454" s="163" t="s">
        <v>222</v>
      </c>
      <c r="B12454" s="163"/>
      <c r="C12454" s="163"/>
      <c r="J12454" s="165"/>
      <c r="K12454" s="166"/>
      <c r="L12454" s="166"/>
    </row>
    <row r="12455">
      <c r="A12455" s="163" t="s">
        <v>222</v>
      </c>
      <c r="B12455" s="163"/>
      <c r="C12455" s="163"/>
      <c r="J12455" s="165"/>
      <c r="K12455" s="166"/>
      <c r="L12455" s="166"/>
    </row>
    <row r="12456">
      <c r="A12456" s="163" t="s">
        <v>222</v>
      </c>
      <c r="B12456" s="163"/>
      <c r="C12456" s="163"/>
      <c r="J12456" s="165"/>
      <c r="K12456" s="166"/>
      <c r="L12456" s="166"/>
    </row>
    <row r="12457">
      <c r="A12457" s="163" t="s">
        <v>222</v>
      </c>
      <c r="B12457" s="163"/>
      <c r="C12457" s="163"/>
      <c r="J12457" s="165"/>
      <c r="K12457" s="166"/>
      <c r="L12457" s="166"/>
    </row>
    <row r="12458">
      <c r="A12458" s="163" t="s">
        <v>222</v>
      </c>
      <c r="B12458" s="163"/>
      <c r="C12458" s="163"/>
      <c r="J12458" s="165"/>
      <c r="K12458" s="166"/>
      <c r="L12458" s="166"/>
    </row>
    <row r="12459">
      <c r="A12459" s="163" t="s">
        <v>222</v>
      </c>
      <c r="B12459" s="163"/>
      <c r="C12459" s="163"/>
      <c r="J12459" s="165"/>
      <c r="K12459" s="166"/>
      <c r="L12459" s="166"/>
    </row>
    <row r="12460">
      <c r="A12460" s="163" t="s">
        <v>222</v>
      </c>
      <c r="B12460" s="163"/>
      <c r="C12460" s="163"/>
      <c r="J12460" s="165"/>
      <c r="K12460" s="166"/>
      <c r="L12460" s="166"/>
    </row>
    <row r="12461">
      <c r="A12461" s="163" t="s">
        <v>222</v>
      </c>
      <c r="B12461" s="163"/>
      <c r="C12461" s="163"/>
      <c r="J12461" s="165"/>
      <c r="K12461" s="166"/>
      <c r="L12461" s="166"/>
    </row>
    <row r="12462">
      <c r="A12462" s="163" t="s">
        <v>222</v>
      </c>
      <c r="B12462" s="163"/>
      <c r="C12462" s="163"/>
      <c r="J12462" s="165"/>
      <c r="K12462" s="166"/>
      <c r="L12462" s="166"/>
    </row>
    <row r="12463">
      <c r="A12463" s="163" t="s">
        <v>222</v>
      </c>
      <c r="B12463" s="163"/>
      <c r="C12463" s="163"/>
      <c r="J12463" s="165"/>
      <c r="K12463" s="166"/>
      <c r="L12463" s="166"/>
    </row>
    <row r="12464">
      <c r="A12464" s="163" t="s">
        <v>222</v>
      </c>
      <c r="B12464" s="163"/>
      <c r="C12464" s="163"/>
      <c r="J12464" s="165"/>
      <c r="K12464" s="166"/>
      <c r="L12464" s="166"/>
    </row>
    <row r="12465">
      <c r="A12465" s="163" t="s">
        <v>222</v>
      </c>
      <c r="B12465" s="163"/>
      <c r="C12465" s="163"/>
      <c r="J12465" s="165"/>
      <c r="K12465" s="166"/>
      <c r="L12465" s="166"/>
    </row>
    <row r="12466">
      <c r="A12466" s="163" t="s">
        <v>222</v>
      </c>
      <c r="B12466" s="163"/>
      <c r="C12466" s="163"/>
      <c r="J12466" s="165"/>
      <c r="K12466" s="166"/>
      <c r="L12466" s="166"/>
    </row>
    <row r="12467">
      <c r="A12467" s="163" t="s">
        <v>222</v>
      </c>
      <c r="B12467" s="163"/>
      <c r="C12467" s="163"/>
      <c r="J12467" s="165"/>
      <c r="K12467" s="166"/>
      <c r="L12467" s="166"/>
    </row>
    <row r="12468">
      <c r="A12468" s="163" t="s">
        <v>222</v>
      </c>
      <c r="B12468" s="163"/>
      <c r="C12468" s="163"/>
      <c r="J12468" s="165"/>
      <c r="K12468" s="166"/>
      <c r="L12468" s="166"/>
    </row>
    <row r="12469">
      <c r="A12469" s="163" t="s">
        <v>222</v>
      </c>
      <c r="B12469" s="163"/>
      <c r="C12469" s="163"/>
      <c r="J12469" s="165"/>
      <c r="K12469" s="166"/>
      <c r="L12469" s="166"/>
    </row>
    <row r="12470">
      <c r="A12470" s="163" t="s">
        <v>222</v>
      </c>
      <c r="B12470" s="163"/>
      <c r="C12470" s="163"/>
      <c r="J12470" s="165"/>
      <c r="K12470" s="166"/>
      <c r="L12470" s="166"/>
    </row>
    <row r="12471">
      <c r="A12471" s="163" t="s">
        <v>222</v>
      </c>
      <c r="B12471" s="163"/>
      <c r="C12471" s="163"/>
      <c r="J12471" s="165"/>
      <c r="K12471" s="166"/>
      <c r="L12471" s="166"/>
    </row>
    <row r="12472">
      <c r="A12472" s="163" t="s">
        <v>222</v>
      </c>
      <c r="B12472" s="163"/>
      <c r="C12472" s="163"/>
      <c r="J12472" s="165"/>
      <c r="K12472" s="166"/>
      <c r="L12472" s="166"/>
    </row>
    <row r="12473">
      <c r="A12473" s="163" t="s">
        <v>222</v>
      </c>
      <c r="B12473" s="163"/>
      <c r="C12473" s="163"/>
      <c r="J12473" s="165"/>
      <c r="K12473" s="166"/>
      <c r="L12473" s="166"/>
    </row>
    <row r="12474">
      <c r="A12474" s="163" t="s">
        <v>222</v>
      </c>
      <c r="B12474" s="163"/>
      <c r="C12474" s="163"/>
      <c r="J12474" s="165"/>
      <c r="K12474" s="166"/>
      <c r="L12474" s="166"/>
    </row>
    <row r="12475">
      <c r="A12475" s="163" t="s">
        <v>222</v>
      </c>
      <c r="B12475" s="163"/>
      <c r="C12475" s="163"/>
      <c r="J12475" s="165"/>
      <c r="K12475" s="166"/>
      <c r="L12475" s="166"/>
    </row>
    <row r="12476">
      <c r="A12476" s="163" t="s">
        <v>222</v>
      </c>
      <c r="B12476" s="163"/>
      <c r="C12476" s="163"/>
      <c r="J12476" s="165"/>
      <c r="K12476" s="166"/>
      <c r="L12476" s="166"/>
    </row>
    <row r="12477">
      <c r="A12477" s="163" t="s">
        <v>222</v>
      </c>
      <c r="B12477" s="163"/>
      <c r="C12477" s="163"/>
      <c r="J12477" s="165"/>
      <c r="K12477" s="166"/>
      <c r="L12477" s="166"/>
    </row>
    <row r="12478">
      <c r="A12478" s="163" t="s">
        <v>222</v>
      </c>
      <c r="B12478" s="163"/>
      <c r="C12478" s="163"/>
      <c r="J12478" s="165"/>
      <c r="K12478" s="166"/>
      <c r="L12478" s="166"/>
    </row>
    <row r="12479">
      <c r="A12479" s="163" t="s">
        <v>222</v>
      </c>
      <c r="B12479" s="163"/>
      <c r="C12479" s="163"/>
      <c r="J12479" s="165"/>
      <c r="K12479" s="166"/>
      <c r="L12479" s="166"/>
    </row>
    <row r="12480">
      <c r="A12480" s="163" t="s">
        <v>222</v>
      </c>
      <c r="B12480" s="163"/>
      <c r="C12480" s="163"/>
      <c r="J12480" s="165"/>
      <c r="K12480" s="166"/>
      <c r="L12480" s="166"/>
    </row>
    <row r="12481">
      <c r="A12481" s="163" t="s">
        <v>222</v>
      </c>
      <c r="B12481" s="163"/>
      <c r="C12481" s="163"/>
      <c r="J12481" s="165"/>
      <c r="K12481" s="166"/>
      <c r="L12481" s="166"/>
    </row>
    <row r="12482">
      <c r="A12482" s="163" t="s">
        <v>222</v>
      </c>
      <c r="B12482" s="163"/>
      <c r="C12482" s="163"/>
      <c r="J12482" s="165"/>
      <c r="K12482" s="166"/>
      <c r="L12482" s="166"/>
    </row>
    <row r="12483">
      <c r="A12483" s="163" t="s">
        <v>222</v>
      </c>
      <c r="B12483" s="163"/>
      <c r="C12483" s="163"/>
      <c r="J12483" s="165"/>
      <c r="K12483" s="166"/>
      <c r="L12483" s="166"/>
    </row>
    <row r="12484">
      <c r="A12484" s="163" t="s">
        <v>222</v>
      </c>
      <c r="B12484" s="163"/>
      <c r="C12484" s="163"/>
      <c r="J12484" s="165"/>
      <c r="K12484" s="166"/>
      <c r="L12484" s="166"/>
    </row>
    <row r="12485">
      <c r="A12485" s="163" t="s">
        <v>222</v>
      </c>
      <c r="B12485" s="163"/>
      <c r="C12485" s="163"/>
      <c r="J12485" s="165"/>
      <c r="K12485" s="166"/>
      <c r="L12485" s="166"/>
    </row>
    <row r="12486">
      <c r="A12486" s="163" t="s">
        <v>222</v>
      </c>
      <c r="B12486" s="163"/>
      <c r="C12486" s="163"/>
      <c r="J12486" s="165"/>
      <c r="K12486" s="166"/>
      <c r="L12486" s="166"/>
    </row>
    <row r="12487">
      <c r="A12487" s="163" t="s">
        <v>222</v>
      </c>
      <c r="B12487" s="163"/>
      <c r="C12487" s="163"/>
      <c r="J12487" s="165"/>
      <c r="K12487" s="166"/>
      <c r="L12487" s="166"/>
    </row>
    <row r="12488">
      <c r="A12488" s="163" t="s">
        <v>222</v>
      </c>
      <c r="B12488" s="163"/>
      <c r="C12488" s="163"/>
      <c r="J12488" s="165"/>
      <c r="K12488" s="166"/>
      <c r="L12488" s="166"/>
    </row>
    <row r="12489">
      <c r="A12489" s="163" t="s">
        <v>222</v>
      </c>
      <c r="B12489" s="163"/>
      <c r="C12489" s="163"/>
      <c r="J12489" s="165"/>
      <c r="K12489" s="166"/>
      <c r="L12489" s="166"/>
    </row>
    <row r="12490">
      <c r="A12490" s="163" t="s">
        <v>222</v>
      </c>
      <c r="B12490" s="163"/>
      <c r="C12490" s="163"/>
      <c r="J12490" s="165"/>
      <c r="K12490" s="166"/>
      <c r="L12490" s="166"/>
    </row>
    <row r="12491">
      <c r="A12491" s="163" t="s">
        <v>222</v>
      </c>
      <c r="B12491" s="163"/>
      <c r="C12491" s="163"/>
      <c r="J12491" s="165"/>
      <c r="K12491" s="166"/>
      <c r="L12491" s="166"/>
    </row>
    <row r="12492">
      <c r="A12492" s="163" t="s">
        <v>222</v>
      </c>
      <c r="B12492" s="163"/>
      <c r="C12492" s="163"/>
      <c r="J12492" s="165"/>
      <c r="K12492" s="166"/>
      <c r="L12492" s="166"/>
    </row>
    <row r="12493">
      <c r="A12493" s="163" t="s">
        <v>222</v>
      </c>
      <c r="B12493" s="163"/>
      <c r="C12493" s="163"/>
      <c r="J12493" s="165"/>
      <c r="K12493" s="166"/>
      <c r="L12493" s="166"/>
    </row>
    <row r="12494">
      <c r="A12494" s="163" t="s">
        <v>222</v>
      </c>
      <c r="B12494" s="163"/>
      <c r="C12494" s="163"/>
      <c r="J12494" s="165"/>
      <c r="K12494" s="166"/>
      <c r="L12494" s="166"/>
    </row>
    <row r="12495">
      <c r="A12495" s="163" t="s">
        <v>222</v>
      </c>
      <c r="B12495" s="163"/>
      <c r="C12495" s="163"/>
      <c r="J12495" s="165"/>
      <c r="K12495" s="166"/>
      <c r="L12495" s="166"/>
    </row>
    <row r="12496">
      <c r="A12496" s="163" t="s">
        <v>222</v>
      </c>
      <c r="B12496" s="163"/>
      <c r="C12496" s="163"/>
      <c r="J12496" s="165"/>
      <c r="K12496" s="166"/>
      <c r="L12496" s="166"/>
    </row>
    <row r="12497">
      <c r="A12497" s="163" t="s">
        <v>222</v>
      </c>
      <c r="B12497" s="163"/>
      <c r="C12497" s="163"/>
      <c r="J12497" s="165"/>
      <c r="K12497" s="166"/>
      <c r="L12497" s="166"/>
    </row>
    <row r="12498">
      <c r="A12498" s="163" t="s">
        <v>222</v>
      </c>
      <c r="B12498" s="163"/>
      <c r="C12498" s="163"/>
      <c r="J12498" s="165"/>
      <c r="K12498" s="166"/>
      <c r="L12498" s="166"/>
    </row>
    <row r="12499">
      <c r="A12499" s="163" t="s">
        <v>222</v>
      </c>
      <c r="B12499" s="163"/>
      <c r="C12499" s="163"/>
      <c r="J12499" s="165"/>
      <c r="K12499" s="166"/>
      <c r="L12499" s="166"/>
    </row>
    <row r="12500">
      <c r="A12500" s="163" t="s">
        <v>222</v>
      </c>
      <c r="B12500" s="163"/>
      <c r="C12500" s="163"/>
      <c r="J12500" s="165"/>
      <c r="K12500" s="166"/>
      <c r="L12500" s="166"/>
    </row>
    <row r="12501">
      <c r="A12501" s="163" t="s">
        <v>222</v>
      </c>
      <c r="B12501" s="163"/>
      <c r="C12501" s="163"/>
      <c r="J12501" s="165"/>
      <c r="K12501" s="166"/>
      <c r="L12501" s="166"/>
    </row>
    <row r="12502">
      <c r="A12502" s="163" t="s">
        <v>222</v>
      </c>
      <c r="B12502" s="163"/>
      <c r="C12502" s="163"/>
      <c r="J12502" s="165"/>
      <c r="K12502" s="166"/>
      <c r="L12502" s="166"/>
    </row>
    <row r="12503">
      <c r="A12503" s="163" t="s">
        <v>222</v>
      </c>
      <c r="B12503" s="163"/>
      <c r="C12503" s="163"/>
      <c r="J12503" s="165"/>
      <c r="K12503" s="166"/>
      <c r="L12503" s="166"/>
    </row>
    <row r="12504">
      <c r="A12504" s="163" t="s">
        <v>222</v>
      </c>
      <c r="B12504" s="163"/>
      <c r="C12504" s="163"/>
      <c r="J12504" s="165"/>
      <c r="K12504" s="166"/>
      <c r="L12504" s="166"/>
    </row>
    <row r="12505">
      <c r="A12505" s="163" t="s">
        <v>222</v>
      </c>
      <c r="B12505" s="163"/>
      <c r="C12505" s="163"/>
      <c r="J12505" s="165"/>
      <c r="K12505" s="166"/>
      <c r="L12505" s="166"/>
    </row>
    <row r="12506">
      <c r="A12506" s="163" t="s">
        <v>222</v>
      </c>
      <c r="B12506" s="163"/>
      <c r="C12506" s="163"/>
      <c r="J12506" s="165"/>
      <c r="K12506" s="166"/>
      <c r="L12506" s="166"/>
    </row>
    <row r="12507">
      <c r="A12507" s="163" t="s">
        <v>222</v>
      </c>
      <c r="B12507" s="163"/>
      <c r="C12507" s="163"/>
      <c r="J12507" s="165"/>
      <c r="K12507" s="166"/>
      <c r="L12507" s="166"/>
    </row>
    <row r="12508">
      <c r="A12508" s="163" t="s">
        <v>222</v>
      </c>
      <c r="B12508" s="163"/>
      <c r="C12508" s="163"/>
      <c r="J12508" s="165"/>
      <c r="K12508" s="166"/>
      <c r="L12508" s="166"/>
    </row>
    <row r="12509">
      <c r="A12509" s="163" t="s">
        <v>222</v>
      </c>
      <c r="B12509" s="163"/>
      <c r="C12509" s="163"/>
      <c r="J12509" s="165"/>
      <c r="K12509" s="166"/>
      <c r="L12509" s="166"/>
    </row>
    <row r="12510">
      <c r="A12510" s="163" t="s">
        <v>222</v>
      </c>
      <c r="B12510" s="163"/>
      <c r="C12510" s="163"/>
      <c r="J12510" s="165"/>
      <c r="K12510" s="166"/>
      <c r="L12510" s="166"/>
    </row>
    <row r="12511">
      <c r="A12511" s="163" t="s">
        <v>222</v>
      </c>
      <c r="B12511" s="163"/>
      <c r="C12511" s="163"/>
      <c r="J12511" s="165"/>
      <c r="K12511" s="166"/>
      <c r="L12511" s="166"/>
    </row>
    <row r="12512">
      <c r="A12512" s="163" t="s">
        <v>222</v>
      </c>
      <c r="B12512" s="163"/>
      <c r="C12512" s="163"/>
      <c r="J12512" s="165"/>
      <c r="K12512" s="166"/>
      <c r="L12512" s="166"/>
    </row>
    <row r="12513">
      <c r="A12513" s="163" t="s">
        <v>222</v>
      </c>
      <c r="B12513" s="163"/>
      <c r="C12513" s="163"/>
      <c r="J12513" s="165"/>
      <c r="K12513" s="166"/>
      <c r="L12513" s="166"/>
    </row>
    <row r="12514">
      <c r="A12514" s="163" t="s">
        <v>222</v>
      </c>
      <c r="B12514" s="163"/>
      <c r="C12514" s="163"/>
      <c r="J12514" s="165"/>
      <c r="K12514" s="166"/>
      <c r="L12514" s="166"/>
    </row>
    <row r="12515">
      <c r="A12515" s="163" t="s">
        <v>222</v>
      </c>
      <c r="B12515" s="163"/>
      <c r="C12515" s="163"/>
      <c r="J12515" s="165"/>
      <c r="K12515" s="166"/>
      <c r="L12515" s="166"/>
    </row>
    <row r="12516">
      <c r="A12516" s="163" t="s">
        <v>222</v>
      </c>
      <c r="B12516" s="163"/>
      <c r="C12516" s="163"/>
      <c r="J12516" s="165"/>
      <c r="K12516" s="166"/>
      <c r="L12516" s="166"/>
    </row>
    <row r="12517">
      <c r="A12517" s="163" t="s">
        <v>222</v>
      </c>
      <c r="B12517" s="163"/>
      <c r="C12517" s="163"/>
      <c r="J12517" s="165"/>
      <c r="K12517" s="166"/>
      <c r="L12517" s="166"/>
    </row>
    <row r="12518">
      <c r="A12518" s="163" t="s">
        <v>222</v>
      </c>
      <c r="B12518" s="163"/>
      <c r="C12518" s="163"/>
      <c r="J12518" s="165"/>
      <c r="K12518" s="166"/>
      <c r="L12518" s="166"/>
    </row>
    <row r="12519">
      <c r="A12519" s="163" t="s">
        <v>222</v>
      </c>
      <c r="B12519" s="163"/>
      <c r="C12519" s="163"/>
      <c r="J12519" s="165"/>
      <c r="K12519" s="166"/>
      <c r="L12519" s="166"/>
    </row>
    <row r="12520">
      <c r="A12520" s="163" t="s">
        <v>222</v>
      </c>
      <c r="B12520" s="163"/>
      <c r="C12520" s="163"/>
      <c r="J12520" s="165"/>
      <c r="K12520" s="166"/>
      <c r="L12520" s="166"/>
    </row>
    <row r="12521">
      <c r="A12521" s="163" t="s">
        <v>222</v>
      </c>
      <c r="B12521" s="163"/>
      <c r="C12521" s="163"/>
      <c r="J12521" s="165"/>
      <c r="K12521" s="166"/>
      <c r="L12521" s="166"/>
    </row>
    <row r="12522">
      <c r="A12522" s="163" t="s">
        <v>222</v>
      </c>
      <c r="B12522" s="163"/>
      <c r="C12522" s="163"/>
      <c r="J12522" s="165"/>
      <c r="K12522" s="166"/>
      <c r="L12522" s="166"/>
    </row>
    <row r="12523">
      <c r="A12523" s="163" t="s">
        <v>222</v>
      </c>
      <c r="B12523" s="163"/>
      <c r="C12523" s="163"/>
      <c r="J12523" s="165"/>
      <c r="K12523" s="166"/>
      <c r="L12523" s="166"/>
    </row>
    <row r="12524">
      <c r="A12524" s="163" t="s">
        <v>222</v>
      </c>
      <c r="B12524" s="163"/>
      <c r="C12524" s="163"/>
      <c r="J12524" s="165"/>
      <c r="K12524" s="166"/>
      <c r="L12524" s="166"/>
    </row>
    <row r="12525">
      <c r="A12525" s="163" t="s">
        <v>222</v>
      </c>
      <c r="B12525" s="163"/>
      <c r="C12525" s="163"/>
      <c r="J12525" s="165"/>
      <c r="K12525" s="166"/>
      <c r="L12525" s="166"/>
    </row>
    <row r="12526">
      <c r="A12526" s="163" t="s">
        <v>222</v>
      </c>
      <c r="B12526" s="163"/>
      <c r="C12526" s="163"/>
      <c r="J12526" s="165"/>
      <c r="K12526" s="166"/>
      <c r="L12526" s="166"/>
    </row>
    <row r="12527">
      <c r="A12527" s="163" t="s">
        <v>222</v>
      </c>
      <c r="B12527" s="163"/>
      <c r="C12527" s="163"/>
      <c r="J12527" s="165"/>
      <c r="K12527" s="166"/>
      <c r="L12527" s="166"/>
    </row>
    <row r="12528">
      <c r="A12528" s="163" t="s">
        <v>222</v>
      </c>
      <c r="B12528" s="163"/>
      <c r="C12528" s="163"/>
      <c r="J12528" s="165"/>
      <c r="K12528" s="166"/>
      <c r="L12528" s="166"/>
    </row>
    <row r="12529">
      <c r="A12529" s="163" t="s">
        <v>222</v>
      </c>
      <c r="B12529" s="163"/>
      <c r="C12529" s="163"/>
      <c r="J12529" s="165"/>
      <c r="K12529" s="166"/>
      <c r="L12529" s="166"/>
    </row>
    <row r="12530">
      <c r="A12530" s="163" t="s">
        <v>222</v>
      </c>
      <c r="B12530" s="163"/>
      <c r="C12530" s="163"/>
      <c r="J12530" s="165"/>
      <c r="K12530" s="166"/>
      <c r="L12530" s="166"/>
    </row>
    <row r="12531">
      <c r="A12531" s="163" t="s">
        <v>222</v>
      </c>
      <c r="B12531" s="163"/>
      <c r="C12531" s="163"/>
      <c r="J12531" s="165"/>
      <c r="K12531" s="166"/>
      <c r="L12531" s="166"/>
    </row>
    <row r="12532">
      <c r="A12532" s="163" t="s">
        <v>222</v>
      </c>
      <c r="B12532" s="163"/>
      <c r="C12532" s="163"/>
      <c r="J12532" s="165"/>
      <c r="K12532" s="166"/>
      <c r="L12532" s="166"/>
    </row>
    <row r="12533">
      <c r="A12533" s="163" t="s">
        <v>222</v>
      </c>
      <c r="B12533" s="163"/>
      <c r="C12533" s="163"/>
      <c r="J12533" s="165"/>
      <c r="K12533" s="166"/>
      <c r="L12533" s="166"/>
    </row>
    <row r="12534">
      <c r="A12534" s="163" t="s">
        <v>222</v>
      </c>
      <c r="B12534" s="163"/>
      <c r="C12534" s="163"/>
      <c r="J12534" s="165"/>
      <c r="K12534" s="166"/>
      <c r="L12534" s="166"/>
    </row>
    <row r="12535">
      <c r="A12535" s="163" t="s">
        <v>222</v>
      </c>
      <c r="B12535" s="163"/>
      <c r="C12535" s="163"/>
      <c r="J12535" s="165"/>
      <c r="K12535" s="166"/>
      <c r="L12535" s="166"/>
    </row>
    <row r="12536">
      <c r="A12536" s="163" t="s">
        <v>222</v>
      </c>
      <c r="B12536" s="163"/>
      <c r="C12536" s="163"/>
      <c r="J12536" s="165"/>
      <c r="K12536" s="166"/>
      <c r="L12536" s="166"/>
    </row>
    <row r="12537">
      <c r="A12537" s="163" t="s">
        <v>222</v>
      </c>
      <c r="B12537" s="163"/>
      <c r="C12537" s="163"/>
      <c r="J12537" s="165"/>
      <c r="K12537" s="166"/>
      <c r="L12537" s="166"/>
    </row>
    <row r="12538">
      <c r="A12538" s="163" t="s">
        <v>222</v>
      </c>
      <c r="B12538" s="163"/>
      <c r="C12538" s="163"/>
      <c r="J12538" s="165"/>
      <c r="K12538" s="166"/>
      <c r="L12538" s="166"/>
    </row>
    <row r="12539">
      <c r="A12539" s="163" t="s">
        <v>222</v>
      </c>
      <c r="B12539" s="163"/>
      <c r="C12539" s="163"/>
      <c r="J12539" s="165"/>
      <c r="K12539" s="166"/>
      <c r="L12539" s="166"/>
    </row>
    <row r="12540">
      <c r="A12540" s="163" t="s">
        <v>222</v>
      </c>
      <c r="B12540" s="163"/>
      <c r="C12540" s="163"/>
      <c r="J12540" s="165"/>
      <c r="K12540" s="166"/>
      <c r="L12540" s="166"/>
    </row>
    <row r="12541">
      <c r="A12541" s="163" t="s">
        <v>222</v>
      </c>
      <c r="B12541" s="163"/>
      <c r="C12541" s="163"/>
      <c r="J12541" s="165"/>
      <c r="K12541" s="166"/>
      <c r="L12541" s="166"/>
    </row>
    <row r="12542">
      <c r="A12542" s="163" t="s">
        <v>222</v>
      </c>
      <c r="B12542" s="163"/>
      <c r="C12542" s="163"/>
      <c r="J12542" s="165"/>
      <c r="K12542" s="166"/>
      <c r="L12542" s="166"/>
    </row>
    <row r="12543">
      <c r="A12543" s="163" t="s">
        <v>222</v>
      </c>
      <c r="B12543" s="163"/>
      <c r="C12543" s="163"/>
      <c r="J12543" s="165"/>
      <c r="K12543" s="166"/>
      <c r="L12543" s="166"/>
    </row>
    <row r="12544">
      <c r="A12544" s="163" t="s">
        <v>222</v>
      </c>
      <c r="B12544" s="163"/>
      <c r="C12544" s="163"/>
      <c r="J12544" s="165"/>
      <c r="K12544" s="166"/>
      <c r="L12544" s="166"/>
    </row>
    <row r="12545">
      <c r="A12545" s="163" t="s">
        <v>222</v>
      </c>
      <c r="B12545" s="163"/>
      <c r="C12545" s="163"/>
      <c r="J12545" s="165"/>
      <c r="K12545" s="166"/>
      <c r="L12545" s="166"/>
    </row>
    <row r="12546">
      <c r="A12546" s="163" t="s">
        <v>222</v>
      </c>
      <c r="B12546" s="163"/>
      <c r="C12546" s="163"/>
      <c r="J12546" s="165"/>
      <c r="K12546" s="166"/>
      <c r="L12546" s="166"/>
    </row>
    <row r="12547">
      <c r="A12547" s="163" t="s">
        <v>222</v>
      </c>
      <c r="B12547" s="163"/>
      <c r="C12547" s="163"/>
      <c r="J12547" s="165"/>
      <c r="K12547" s="166"/>
      <c r="L12547" s="166"/>
    </row>
    <row r="12548">
      <c r="A12548" s="163" t="s">
        <v>222</v>
      </c>
      <c r="B12548" s="163"/>
      <c r="C12548" s="163"/>
      <c r="J12548" s="165"/>
      <c r="K12548" s="166"/>
      <c r="L12548" s="166"/>
    </row>
    <row r="12549">
      <c r="A12549" s="163" t="s">
        <v>222</v>
      </c>
      <c r="B12549" s="163"/>
      <c r="C12549" s="163"/>
      <c r="J12549" s="165"/>
      <c r="K12549" s="166"/>
      <c r="L12549" s="166"/>
    </row>
    <row r="12550">
      <c r="A12550" s="163" t="s">
        <v>222</v>
      </c>
      <c r="B12550" s="163"/>
      <c r="C12550" s="163"/>
      <c r="J12550" s="165"/>
      <c r="K12550" s="166"/>
      <c r="L12550" s="166"/>
    </row>
    <row r="12551">
      <c r="A12551" s="163" t="s">
        <v>222</v>
      </c>
      <c r="B12551" s="163"/>
      <c r="C12551" s="163"/>
      <c r="J12551" s="165"/>
      <c r="K12551" s="166"/>
      <c r="L12551" s="166"/>
    </row>
    <row r="12552">
      <c r="A12552" s="163" t="s">
        <v>222</v>
      </c>
      <c r="B12552" s="163"/>
      <c r="C12552" s="163"/>
      <c r="J12552" s="165"/>
      <c r="K12552" s="166"/>
      <c r="L12552" s="166"/>
    </row>
    <row r="12553">
      <c r="A12553" s="163" t="s">
        <v>222</v>
      </c>
      <c r="B12553" s="163"/>
      <c r="C12553" s="163"/>
      <c r="J12553" s="165"/>
      <c r="K12553" s="166"/>
      <c r="L12553" s="166"/>
    </row>
    <row r="12554">
      <c r="A12554" s="163" t="s">
        <v>222</v>
      </c>
      <c r="B12554" s="163"/>
      <c r="C12554" s="163"/>
      <c r="J12554" s="165"/>
      <c r="K12554" s="166"/>
      <c r="L12554" s="166"/>
    </row>
    <row r="12555">
      <c r="A12555" s="163" t="s">
        <v>222</v>
      </c>
      <c r="B12555" s="163"/>
      <c r="C12555" s="163"/>
      <c r="J12555" s="165"/>
      <c r="K12555" s="166"/>
      <c r="L12555" s="166"/>
    </row>
    <row r="12556">
      <c r="A12556" s="163" t="s">
        <v>222</v>
      </c>
      <c r="B12556" s="163"/>
      <c r="C12556" s="163"/>
      <c r="J12556" s="165"/>
      <c r="K12556" s="166"/>
      <c r="L12556" s="166"/>
    </row>
    <row r="12557">
      <c r="A12557" s="163" t="s">
        <v>222</v>
      </c>
      <c r="B12557" s="163"/>
      <c r="C12557" s="163"/>
      <c r="J12557" s="165"/>
      <c r="K12557" s="166"/>
      <c r="L12557" s="166"/>
    </row>
    <row r="12558">
      <c r="A12558" s="163" t="s">
        <v>222</v>
      </c>
      <c r="B12558" s="163"/>
      <c r="C12558" s="163"/>
      <c r="J12558" s="165"/>
      <c r="K12558" s="166"/>
      <c r="L12558" s="166"/>
    </row>
    <row r="12559">
      <c r="A12559" s="163" t="s">
        <v>222</v>
      </c>
      <c r="B12559" s="163"/>
      <c r="C12559" s="163"/>
      <c r="J12559" s="165"/>
      <c r="K12559" s="166"/>
      <c r="L12559" s="166"/>
    </row>
    <row r="12560">
      <c r="A12560" s="163" t="s">
        <v>222</v>
      </c>
      <c r="B12560" s="163"/>
      <c r="C12560" s="163"/>
      <c r="J12560" s="165"/>
      <c r="K12560" s="166"/>
      <c r="L12560" s="166"/>
    </row>
    <row r="12561">
      <c r="A12561" s="163" t="s">
        <v>222</v>
      </c>
      <c r="B12561" s="163"/>
      <c r="C12561" s="163"/>
      <c r="J12561" s="165"/>
      <c r="K12561" s="166"/>
      <c r="L12561" s="166"/>
    </row>
    <row r="12562">
      <c r="A12562" s="163" t="s">
        <v>222</v>
      </c>
      <c r="B12562" s="163"/>
      <c r="C12562" s="163"/>
      <c r="J12562" s="165"/>
      <c r="K12562" s="166"/>
      <c r="L12562" s="166"/>
    </row>
    <row r="12563">
      <c r="A12563" s="163" t="s">
        <v>222</v>
      </c>
      <c r="B12563" s="163"/>
      <c r="C12563" s="163"/>
      <c r="J12563" s="165"/>
      <c r="K12563" s="166"/>
      <c r="L12563" s="166"/>
    </row>
    <row r="12564">
      <c r="A12564" s="163" t="s">
        <v>222</v>
      </c>
      <c r="B12564" s="163"/>
      <c r="C12564" s="163"/>
      <c r="J12564" s="165"/>
      <c r="K12564" s="166"/>
      <c r="L12564" s="166"/>
    </row>
    <row r="12565">
      <c r="A12565" s="163" t="s">
        <v>222</v>
      </c>
      <c r="B12565" s="163"/>
      <c r="C12565" s="163"/>
      <c r="J12565" s="165"/>
      <c r="K12565" s="166"/>
      <c r="L12565" s="166"/>
    </row>
    <row r="12566">
      <c r="A12566" s="163" t="s">
        <v>222</v>
      </c>
      <c r="B12566" s="163"/>
      <c r="C12566" s="163"/>
      <c r="J12566" s="165"/>
      <c r="K12566" s="166"/>
      <c r="L12566" s="166"/>
    </row>
    <row r="12567">
      <c r="A12567" s="163" t="s">
        <v>222</v>
      </c>
      <c r="B12567" s="163"/>
      <c r="C12567" s="163"/>
      <c r="J12567" s="165"/>
      <c r="K12567" s="166"/>
      <c r="L12567" s="166"/>
    </row>
    <row r="12568">
      <c r="A12568" s="163" t="s">
        <v>222</v>
      </c>
      <c r="B12568" s="163"/>
      <c r="C12568" s="163"/>
      <c r="J12568" s="165"/>
      <c r="K12568" s="166"/>
      <c r="L12568" s="166"/>
    </row>
    <row r="12569">
      <c r="A12569" s="163" t="s">
        <v>222</v>
      </c>
      <c r="B12569" s="163"/>
      <c r="C12569" s="163"/>
      <c r="J12569" s="165"/>
      <c r="K12569" s="166"/>
      <c r="L12569" s="166"/>
    </row>
    <row r="12570">
      <c r="A12570" s="163" t="s">
        <v>222</v>
      </c>
      <c r="B12570" s="163"/>
      <c r="C12570" s="163"/>
      <c r="J12570" s="165"/>
      <c r="K12570" s="166"/>
      <c r="L12570" s="166"/>
    </row>
    <row r="12571">
      <c r="A12571" s="163" t="s">
        <v>222</v>
      </c>
      <c r="B12571" s="163"/>
      <c r="C12571" s="163"/>
      <c r="J12571" s="165"/>
      <c r="K12571" s="166"/>
      <c r="L12571" s="166"/>
    </row>
    <row r="12572">
      <c r="A12572" s="163" t="s">
        <v>222</v>
      </c>
      <c r="B12572" s="163"/>
      <c r="C12572" s="163"/>
      <c r="J12572" s="165"/>
      <c r="K12572" s="166"/>
      <c r="L12572" s="166"/>
    </row>
    <row r="12573">
      <c r="A12573" s="163" t="s">
        <v>222</v>
      </c>
      <c r="B12573" s="163"/>
      <c r="C12573" s="163"/>
      <c r="J12573" s="165"/>
      <c r="K12573" s="166"/>
      <c r="L12573" s="166"/>
    </row>
    <row r="12574">
      <c r="A12574" s="163" t="s">
        <v>222</v>
      </c>
      <c r="B12574" s="163"/>
      <c r="C12574" s="163"/>
      <c r="J12574" s="165"/>
      <c r="K12574" s="166"/>
      <c r="L12574" s="166"/>
    </row>
    <row r="12575">
      <c r="A12575" s="163" t="s">
        <v>222</v>
      </c>
      <c r="B12575" s="163"/>
      <c r="C12575" s="163"/>
      <c r="J12575" s="165"/>
      <c r="K12575" s="166"/>
      <c r="L12575" s="166"/>
    </row>
    <row r="12576">
      <c r="A12576" s="163" t="s">
        <v>222</v>
      </c>
      <c r="B12576" s="163"/>
      <c r="C12576" s="163"/>
      <c r="J12576" s="165"/>
      <c r="K12576" s="166"/>
      <c r="L12576" s="166"/>
    </row>
    <row r="12577">
      <c r="A12577" s="163" t="s">
        <v>222</v>
      </c>
      <c r="B12577" s="163"/>
      <c r="C12577" s="163"/>
      <c r="J12577" s="165"/>
      <c r="K12577" s="166"/>
      <c r="L12577" s="166"/>
    </row>
    <row r="12578">
      <c r="A12578" s="163" t="s">
        <v>222</v>
      </c>
      <c r="B12578" s="163"/>
      <c r="C12578" s="163"/>
      <c r="J12578" s="165"/>
      <c r="K12578" s="166"/>
      <c r="L12578" s="166"/>
    </row>
    <row r="12579">
      <c r="A12579" s="163" t="s">
        <v>222</v>
      </c>
      <c r="B12579" s="163"/>
      <c r="C12579" s="163"/>
      <c r="J12579" s="165"/>
      <c r="K12579" s="166"/>
      <c r="L12579" s="166"/>
    </row>
    <row r="12580">
      <c r="A12580" s="163" t="s">
        <v>222</v>
      </c>
      <c r="B12580" s="163"/>
      <c r="C12580" s="163"/>
      <c r="J12580" s="165"/>
      <c r="K12580" s="166"/>
      <c r="L12580" s="166"/>
    </row>
    <row r="12581">
      <c r="A12581" s="163" t="s">
        <v>222</v>
      </c>
      <c r="B12581" s="163"/>
      <c r="C12581" s="163"/>
      <c r="J12581" s="165"/>
      <c r="K12581" s="166"/>
      <c r="L12581" s="166"/>
    </row>
    <row r="12582">
      <c r="A12582" s="163" t="s">
        <v>222</v>
      </c>
      <c r="B12582" s="163"/>
      <c r="C12582" s="163"/>
      <c r="J12582" s="165"/>
      <c r="K12582" s="166"/>
      <c r="L12582" s="166"/>
    </row>
    <row r="12583">
      <c r="A12583" s="163" t="s">
        <v>222</v>
      </c>
      <c r="B12583" s="163"/>
      <c r="C12583" s="163"/>
      <c r="J12583" s="165"/>
      <c r="K12583" s="166"/>
      <c r="L12583" s="166"/>
    </row>
    <row r="12584">
      <c r="A12584" s="163" t="s">
        <v>222</v>
      </c>
      <c r="B12584" s="163"/>
      <c r="C12584" s="163"/>
      <c r="J12584" s="165"/>
      <c r="K12584" s="166"/>
      <c r="L12584" s="166"/>
    </row>
    <row r="12585">
      <c r="A12585" s="163" t="s">
        <v>222</v>
      </c>
      <c r="B12585" s="163"/>
      <c r="C12585" s="163"/>
      <c r="J12585" s="165"/>
      <c r="K12585" s="166"/>
      <c r="L12585" s="166"/>
    </row>
    <row r="12586">
      <c r="A12586" s="163" t="s">
        <v>222</v>
      </c>
      <c r="B12586" s="163"/>
      <c r="C12586" s="163"/>
      <c r="J12586" s="165"/>
      <c r="K12586" s="166"/>
      <c r="L12586" s="166"/>
    </row>
    <row r="12587">
      <c r="A12587" s="163" t="s">
        <v>222</v>
      </c>
      <c r="B12587" s="163"/>
      <c r="C12587" s="163"/>
      <c r="J12587" s="165"/>
      <c r="K12587" s="166"/>
      <c r="L12587" s="166"/>
    </row>
    <row r="12588">
      <c r="A12588" s="163" t="s">
        <v>222</v>
      </c>
      <c r="B12588" s="163"/>
      <c r="C12588" s="163"/>
      <c r="J12588" s="165"/>
      <c r="K12588" s="166"/>
      <c r="L12588" s="166"/>
    </row>
    <row r="12589">
      <c r="A12589" s="163" t="s">
        <v>222</v>
      </c>
      <c r="B12589" s="163"/>
      <c r="C12589" s="163"/>
      <c r="J12589" s="165"/>
      <c r="K12589" s="166"/>
      <c r="L12589" s="166"/>
    </row>
    <row r="12590">
      <c r="A12590" s="163" t="s">
        <v>222</v>
      </c>
      <c r="B12590" s="163"/>
      <c r="C12590" s="163"/>
      <c r="J12590" s="165"/>
      <c r="K12590" s="166"/>
      <c r="L12590" s="166"/>
    </row>
    <row r="12591">
      <c r="A12591" s="163" t="s">
        <v>222</v>
      </c>
      <c r="B12591" s="163"/>
      <c r="C12591" s="163"/>
      <c r="J12591" s="165"/>
      <c r="K12591" s="166"/>
      <c r="L12591" s="166"/>
    </row>
    <row r="12592">
      <c r="A12592" s="163" t="s">
        <v>222</v>
      </c>
      <c r="B12592" s="163"/>
      <c r="C12592" s="163"/>
      <c r="J12592" s="165"/>
      <c r="K12592" s="166"/>
      <c r="L12592" s="166"/>
    </row>
    <row r="12593">
      <c r="A12593" s="163" t="s">
        <v>222</v>
      </c>
      <c r="B12593" s="163"/>
      <c r="C12593" s="163"/>
      <c r="J12593" s="165"/>
      <c r="K12593" s="166"/>
      <c r="L12593" s="166"/>
    </row>
    <row r="12594">
      <c r="A12594" s="163" t="s">
        <v>222</v>
      </c>
      <c r="B12594" s="163"/>
      <c r="C12594" s="163"/>
      <c r="J12594" s="165"/>
      <c r="K12594" s="166"/>
      <c r="L12594" s="166"/>
    </row>
    <row r="12595">
      <c r="A12595" s="163" t="s">
        <v>222</v>
      </c>
      <c r="B12595" s="163"/>
      <c r="C12595" s="163"/>
      <c r="J12595" s="165"/>
      <c r="K12595" s="166"/>
      <c r="L12595" s="166"/>
    </row>
    <row r="12596">
      <c r="A12596" s="163" t="s">
        <v>222</v>
      </c>
      <c r="B12596" s="163"/>
      <c r="C12596" s="163"/>
      <c r="J12596" s="165"/>
      <c r="K12596" s="166"/>
      <c r="L12596" s="166"/>
    </row>
    <row r="12597">
      <c r="A12597" s="163" t="s">
        <v>222</v>
      </c>
      <c r="B12597" s="163"/>
      <c r="C12597" s="163"/>
      <c r="J12597" s="165"/>
      <c r="K12597" s="166"/>
      <c r="L12597" s="166"/>
    </row>
    <row r="12598">
      <c r="A12598" s="163" t="s">
        <v>222</v>
      </c>
      <c r="B12598" s="163"/>
      <c r="C12598" s="163"/>
      <c r="J12598" s="165"/>
      <c r="K12598" s="166"/>
      <c r="L12598" s="166"/>
    </row>
    <row r="12599">
      <c r="A12599" s="163" t="s">
        <v>222</v>
      </c>
      <c r="B12599" s="163"/>
      <c r="C12599" s="163"/>
      <c r="J12599" s="165"/>
      <c r="K12599" s="166"/>
      <c r="L12599" s="166"/>
    </row>
    <row r="12600">
      <c r="A12600" s="163" t="s">
        <v>222</v>
      </c>
      <c r="B12600" s="163"/>
      <c r="C12600" s="163"/>
      <c r="J12600" s="165"/>
      <c r="K12600" s="166"/>
      <c r="L12600" s="166"/>
    </row>
    <row r="12601">
      <c r="A12601" s="163" t="s">
        <v>222</v>
      </c>
      <c r="B12601" s="163"/>
      <c r="C12601" s="163"/>
      <c r="J12601" s="165"/>
      <c r="K12601" s="166"/>
      <c r="L12601" s="166"/>
    </row>
    <row r="12602">
      <c r="A12602" s="163" t="s">
        <v>222</v>
      </c>
      <c r="B12602" s="163"/>
      <c r="C12602" s="163"/>
      <c r="J12602" s="165"/>
      <c r="K12602" s="166"/>
      <c r="L12602" s="166"/>
    </row>
    <row r="12603">
      <c r="A12603" s="163" t="s">
        <v>222</v>
      </c>
      <c r="B12603" s="163"/>
      <c r="C12603" s="163"/>
      <c r="J12603" s="165"/>
      <c r="K12603" s="166"/>
      <c r="L12603" s="166"/>
    </row>
    <row r="12604">
      <c r="A12604" s="163" t="s">
        <v>222</v>
      </c>
      <c r="B12604" s="163"/>
      <c r="C12604" s="163"/>
      <c r="J12604" s="165"/>
      <c r="K12604" s="166"/>
      <c r="L12604" s="166"/>
    </row>
    <row r="12605">
      <c r="A12605" s="163" t="s">
        <v>222</v>
      </c>
      <c r="B12605" s="163"/>
      <c r="C12605" s="163"/>
      <c r="J12605" s="165"/>
      <c r="K12605" s="166"/>
      <c r="L12605" s="166"/>
    </row>
    <row r="12606">
      <c r="A12606" s="163" t="s">
        <v>222</v>
      </c>
      <c r="B12606" s="163"/>
      <c r="C12606" s="163"/>
      <c r="J12606" s="165"/>
      <c r="K12606" s="166"/>
      <c r="L12606" s="166"/>
    </row>
    <row r="12607">
      <c r="A12607" s="163" t="s">
        <v>222</v>
      </c>
      <c r="B12607" s="163"/>
      <c r="C12607" s="163"/>
      <c r="J12607" s="165"/>
      <c r="K12607" s="166"/>
      <c r="L12607" s="166"/>
    </row>
    <row r="12608">
      <c r="A12608" s="163" t="s">
        <v>222</v>
      </c>
      <c r="B12608" s="163"/>
      <c r="C12608" s="163"/>
      <c r="J12608" s="165"/>
      <c r="K12608" s="166"/>
      <c r="L12608" s="166"/>
    </row>
    <row r="12609">
      <c r="A12609" s="163" t="s">
        <v>222</v>
      </c>
      <c r="B12609" s="163"/>
      <c r="C12609" s="163"/>
      <c r="J12609" s="165"/>
      <c r="K12609" s="166"/>
      <c r="L12609" s="166"/>
    </row>
    <row r="12610">
      <c r="A12610" s="163" t="s">
        <v>222</v>
      </c>
      <c r="B12610" s="163"/>
      <c r="C12610" s="163"/>
      <c r="J12610" s="165"/>
      <c r="K12610" s="166"/>
      <c r="L12610" s="166"/>
    </row>
    <row r="12611">
      <c r="A12611" s="163" t="s">
        <v>222</v>
      </c>
      <c r="B12611" s="163"/>
      <c r="C12611" s="163"/>
      <c r="J12611" s="165"/>
      <c r="K12611" s="166"/>
      <c r="L12611" s="166"/>
    </row>
    <row r="12612">
      <c r="A12612" s="163" t="s">
        <v>222</v>
      </c>
      <c r="B12612" s="163"/>
      <c r="C12612" s="163"/>
      <c r="J12612" s="165"/>
      <c r="K12612" s="166"/>
      <c r="L12612" s="166"/>
    </row>
    <row r="12613">
      <c r="A12613" s="163" t="s">
        <v>222</v>
      </c>
      <c r="B12613" s="163"/>
      <c r="C12613" s="163"/>
      <c r="J12613" s="165"/>
      <c r="K12613" s="166"/>
      <c r="L12613" s="166"/>
    </row>
    <row r="12614">
      <c r="A12614" s="163" t="s">
        <v>222</v>
      </c>
      <c r="B12614" s="163"/>
      <c r="C12614" s="163"/>
      <c r="J12614" s="165"/>
      <c r="K12614" s="166"/>
      <c r="L12614" s="166"/>
    </row>
    <row r="12615">
      <c r="A12615" s="163" t="s">
        <v>222</v>
      </c>
      <c r="B12615" s="163"/>
      <c r="C12615" s="163"/>
      <c r="J12615" s="165"/>
      <c r="K12615" s="166"/>
      <c r="L12615" s="166"/>
    </row>
    <row r="12616">
      <c r="A12616" s="163" t="s">
        <v>222</v>
      </c>
      <c r="B12616" s="163"/>
      <c r="C12616" s="163"/>
      <c r="J12616" s="165"/>
      <c r="K12616" s="166"/>
      <c r="L12616" s="166"/>
    </row>
    <row r="12617">
      <c r="A12617" s="163" t="s">
        <v>222</v>
      </c>
      <c r="B12617" s="163"/>
      <c r="C12617" s="163"/>
      <c r="J12617" s="165"/>
      <c r="K12617" s="166"/>
      <c r="L12617" s="166"/>
    </row>
    <row r="12618">
      <c r="A12618" s="163" t="s">
        <v>222</v>
      </c>
      <c r="B12618" s="163"/>
      <c r="C12618" s="163"/>
      <c r="J12618" s="165"/>
      <c r="K12618" s="166"/>
      <c r="L12618" s="166"/>
    </row>
    <row r="12619">
      <c r="A12619" s="163" t="s">
        <v>222</v>
      </c>
      <c r="B12619" s="163"/>
      <c r="C12619" s="163"/>
      <c r="J12619" s="165"/>
      <c r="K12619" s="166"/>
      <c r="L12619" s="166"/>
    </row>
    <row r="12620">
      <c r="A12620" s="163" t="s">
        <v>222</v>
      </c>
      <c r="B12620" s="163"/>
      <c r="C12620" s="163"/>
      <c r="J12620" s="165"/>
      <c r="K12620" s="166"/>
      <c r="L12620" s="166"/>
    </row>
    <row r="12621">
      <c r="A12621" s="163" t="s">
        <v>222</v>
      </c>
      <c r="B12621" s="163"/>
      <c r="C12621" s="163"/>
      <c r="J12621" s="165"/>
      <c r="K12621" s="166"/>
      <c r="L12621" s="166"/>
    </row>
    <row r="12622">
      <c r="A12622" s="163" t="s">
        <v>222</v>
      </c>
      <c r="B12622" s="163"/>
      <c r="C12622" s="163"/>
      <c r="J12622" s="165"/>
      <c r="K12622" s="166"/>
      <c r="L12622" s="166"/>
    </row>
    <row r="12623">
      <c r="A12623" s="163" t="s">
        <v>222</v>
      </c>
      <c r="B12623" s="163"/>
      <c r="C12623" s="163"/>
      <c r="J12623" s="165"/>
      <c r="K12623" s="166"/>
      <c r="L12623" s="166"/>
    </row>
    <row r="12624">
      <c r="A12624" s="163" t="s">
        <v>222</v>
      </c>
      <c r="B12624" s="163"/>
      <c r="C12624" s="163"/>
      <c r="J12624" s="165"/>
      <c r="K12624" s="166"/>
      <c r="L12624" s="166"/>
    </row>
    <row r="12625">
      <c r="A12625" s="163" t="s">
        <v>222</v>
      </c>
      <c r="B12625" s="163"/>
      <c r="C12625" s="163"/>
      <c r="J12625" s="165"/>
      <c r="K12625" s="166"/>
      <c r="L12625" s="166"/>
    </row>
    <row r="12626">
      <c r="A12626" s="163" t="s">
        <v>222</v>
      </c>
      <c r="B12626" s="163"/>
      <c r="C12626" s="163"/>
      <c r="J12626" s="165"/>
      <c r="K12626" s="166"/>
      <c r="L12626" s="166"/>
    </row>
    <row r="12627">
      <c r="A12627" s="163" t="s">
        <v>222</v>
      </c>
      <c r="B12627" s="163"/>
      <c r="C12627" s="163"/>
      <c r="J12627" s="165"/>
      <c r="K12627" s="166"/>
      <c r="L12627" s="166"/>
    </row>
    <row r="12628">
      <c r="A12628" s="163" t="s">
        <v>222</v>
      </c>
      <c r="B12628" s="163"/>
      <c r="C12628" s="163"/>
      <c r="J12628" s="165"/>
      <c r="K12628" s="166"/>
      <c r="L12628" s="166"/>
    </row>
    <row r="12629">
      <c r="A12629" s="163" t="s">
        <v>222</v>
      </c>
      <c r="B12629" s="163"/>
      <c r="C12629" s="163"/>
      <c r="J12629" s="165"/>
      <c r="K12629" s="166"/>
      <c r="L12629" s="166"/>
    </row>
    <row r="12630">
      <c r="A12630" s="163" t="s">
        <v>222</v>
      </c>
      <c r="B12630" s="163"/>
      <c r="C12630" s="163"/>
      <c r="J12630" s="165"/>
      <c r="K12630" s="166"/>
      <c r="L12630" s="166"/>
    </row>
    <row r="12631">
      <c r="A12631" s="163" t="s">
        <v>222</v>
      </c>
      <c r="B12631" s="163"/>
      <c r="C12631" s="163"/>
      <c r="J12631" s="165"/>
      <c r="K12631" s="166"/>
      <c r="L12631" s="166"/>
    </row>
    <row r="12632">
      <c r="A12632" s="163" t="s">
        <v>222</v>
      </c>
      <c r="B12632" s="163"/>
      <c r="C12632" s="163"/>
      <c r="J12632" s="165"/>
      <c r="K12632" s="166"/>
      <c r="L12632" s="166"/>
    </row>
    <row r="12633">
      <c r="A12633" s="163" t="s">
        <v>222</v>
      </c>
      <c r="B12633" s="163"/>
      <c r="C12633" s="163"/>
      <c r="J12633" s="165"/>
      <c r="K12633" s="166"/>
      <c r="L12633" s="166"/>
    </row>
    <row r="12634">
      <c r="A12634" s="163" t="s">
        <v>222</v>
      </c>
      <c r="B12634" s="163"/>
      <c r="C12634" s="163"/>
      <c r="J12634" s="165"/>
      <c r="K12634" s="166"/>
      <c r="L12634" s="166"/>
    </row>
    <row r="12635">
      <c r="A12635" s="163" t="s">
        <v>222</v>
      </c>
      <c r="B12635" s="163"/>
      <c r="C12635" s="163"/>
      <c r="J12635" s="165"/>
      <c r="K12635" s="166"/>
      <c r="L12635" s="166"/>
    </row>
    <row r="12636">
      <c r="A12636" s="163" t="s">
        <v>222</v>
      </c>
      <c r="B12636" s="163"/>
      <c r="C12636" s="163"/>
      <c r="J12636" s="165"/>
      <c r="K12636" s="166"/>
      <c r="L12636" s="166"/>
    </row>
    <row r="12637">
      <c r="A12637" s="163" t="s">
        <v>222</v>
      </c>
      <c r="B12637" s="163"/>
      <c r="C12637" s="163"/>
      <c r="J12637" s="165"/>
      <c r="K12637" s="166"/>
      <c r="L12637" s="166"/>
    </row>
    <row r="12638">
      <c r="A12638" s="163" t="s">
        <v>222</v>
      </c>
      <c r="B12638" s="163"/>
      <c r="C12638" s="163"/>
      <c r="J12638" s="165"/>
      <c r="K12638" s="166"/>
      <c r="L12638" s="166"/>
    </row>
    <row r="12639">
      <c r="A12639" s="163" t="s">
        <v>222</v>
      </c>
      <c r="B12639" s="163"/>
      <c r="C12639" s="163"/>
      <c r="J12639" s="165"/>
      <c r="K12639" s="166"/>
      <c r="L12639" s="166"/>
    </row>
    <row r="12640">
      <c r="A12640" s="163" t="s">
        <v>222</v>
      </c>
      <c r="B12640" s="163"/>
      <c r="C12640" s="163"/>
      <c r="J12640" s="165"/>
      <c r="K12640" s="166"/>
      <c r="L12640" s="166"/>
    </row>
    <row r="12641">
      <c r="A12641" s="163" t="s">
        <v>222</v>
      </c>
      <c r="B12641" s="163"/>
      <c r="C12641" s="163"/>
      <c r="J12641" s="165"/>
      <c r="K12641" s="166"/>
      <c r="L12641" s="166"/>
    </row>
    <row r="12642">
      <c r="A12642" s="163" t="s">
        <v>222</v>
      </c>
      <c r="B12642" s="163"/>
      <c r="C12642" s="163"/>
      <c r="J12642" s="165"/>
      <c r="K12642" s="166"/>
      <c r="L12642" s="166"/>
    </row>
    <row r="12643">
      <c r="A12643" s="163" t="s">
        <v>222</v>
      </c>
      <c r="B12643" s="163"/>
      <c r="C12643" s="163"/>
      <c r="J12643" s="165"/>
      <c r="K12643" s="166"/>
      <c r="L12643" s="166"/>
    </row>
    <row r="12644">
      <c r="A12644" s="163" t="s">
        <v>222</v>
      </c>
      <c r="B12644" s="163"/>
      <c r="C12644" s="163"/>
      <c r="J12644" s="165"/>
      <c r="K12644" s="166"/>
      <c r="L12644" s="166"/>
    </row>
    <row r="12645">
      <c r="A12645" s="163" t="s">
        <v>222</v>
      </c>
      <c r="B12645" s="163"/>
      <c r="C12645" s="163"/>
      <c r="J12645" s="165"/>
      <c r="K12645" s="166"/>
      <c r="L12645" s="166"/>
    </row>
    <row r="12646">
      <c r="A12646" s="163" t="s">
        <v>222</v>
      </c>
      <c r="B12646" s="163"/>
      <c r="C12646" s="163"/>
      <c r="J12646" s="165"/>
      <c r="K12646" s="166"/>
      <c r="L12646" s="166"/>
    </row>
    <row r="12647">
      <c r="A12647" s="163" t="s">
        <v>222</v>
      </c>
      <c r="B12647" s="163"/>
      <c r="C12647" s="163"/>
      <c r="J12647" s="165"/>
      <c r="K12647" s="166"/>
      <c r="L12647" s="166"/>
    </row>
    <row r="12648">
      <c r="A12648" s="163" t="s">
        <v>222</v>
      </c>
      <c r="B12648" s="163"/>
      <c r="C12648" s="163"/>
      <c r="J12648" s="165"/>
      <c r="K12648" s="166"/>
      <c r="L12648" s="166"/>
    </row>
    <row r="12649">
      <c r="A12649" s="163" t="s">
        <v>222</v>
      </c>
      <c r="B12649" s="163"/>
      <c r="C12649" s="163"/>
      <c r="J12649" s="165"/>
      <c r="K12649" s="166"/>
      <c r="L12649" s="166"/>
    </row>
    <row r="12650">
      <c r="A12650" s="163" t="s">
        <v>222</v>
      </c>
      <c r="B12650" s="163"/>
      <c r="C12650" s="163"/>
      <c r="J12650" s="165"/>
      <c r="K12650" s="166"/>
      <c r="L12650" s="166"/>
    </row>
    <row r="12651">
      <c r="A12651" s="163" t="s">
        <v>222</v>
      </c>
      <c r="B12651" s="163"/>
      <c r="C12651" s="163"/>
      <c r="J12651" s="165"/>
      <c r="K12651" s="166"/>
      <c r="L12651" s="166"/>
    </row>
    <row r="12652">
      <c r="A12652" s="163" t="s">
        <v>222</v>
      </c>
      <c r="B12652" s="163"/>
      <c r="C12652" s="163"/>
      <c r="J12652" s="165"/>
      <c r="K12652" s="166"/>
      <c r="L12652" s="166"/>
    </row>
    <row r="12653">
      <c r="A12653" s="163" t="s">
        <v>222</v>
      </c>
      <c r="B12653" s="163"/>
      <c r="C12653" s="163"/>
      <c r="J12653" s="165"/>
      <c r="K12653" s="166"/>
      <c r="L12653" s="166"/>
    </row>
    <row r="12654">
      <c r="A12654" s="163" t="s">
        <v>222</v>
      </c>
      <c r="B12654" s="163"/>
      <c r="C12654" s="163"/>
      <c r="J12654" s="165"/>
      <c r="K12654" s="166"/>
      <c r="L12654" s="166"/>
    </row>
    <row r="12655">
      <c r="A12655" s="163" t="s">
        <v>222</v>
      </c>
      <c r="B12655" s="163"/>
      <c r="C12655" s="163"/>
      <c r="J12655" s="165"/>
      <c r="K12655" s="166"/>
      <c r="L12655" s="166"/>
    </row>
    <row r="12656">
      <c r="A12656" s="163" t="s">
        <v>222</v>
      </c>
      <c r="B12656" s="163"/>
      <c r="C12656" s="163"/>
      <c r="J12656" s="165"/>
      <c r="K12656" s="166"/>
      <c r="L12656" s="166"/>
    </row>
    <row r="12657">
      <c r="A12657" s="163" t="s">
        <v>222</v>
      </c>
      <c r="B12657" s="163"/>
      <c r="C12657" s="163"/>
      <c r="J12657" s="165"/>
      <c r="K12657" s="166"/>
      <c r="L12657" s="166"/>
    </row>
    <row r="12658">
      <c r="A12658" s="163" t="s">
        <v>222</v>
      </c>
      <c r="B12658" s="163"/>
      <c r="C12658" s="163"/>
      <c r="J12658" s="165"/>
      <c r="K12658" s="166"/>
      <c r="L12658" s="166"/>
    </row>
    <row r="12659">
      <c r="A12659" s="163" t="s">
        <v>222</v>
      </c>
      <c r="B12659" s="163"/>
      <c r="C12659" s="163"/>
      <c r="J12659" s="165"/>
      <c r="K12659" s="166"/>
      <c r="L12659" s="166"/>
    </row>
    <row r="12660">
      <c r="A12660" s="163" t="s">
        <v>222</v>
      </c>
      <c r="B12660" s="163"/>
      <c r="C12660" s="163"/>
      <c r="J12660" s="165"/>
      <c r="K12660" s="166"/>
      <c r="L12660" s="166"/>
    </row>
    <row r="12661">
      <c r="A12661" s="163" t="s">
        <v>222</v>
      </c>
      <c r="B12661" s="163"/>
      <c r="C12661" s="163"/>
      <c r="J12661" s="165"/>
      <c r="K12661" s="166"/>
      <c r="L12661" s="166"/>
    </row>
    <row r="12662">
      <c r="A12662" s="163" t="s">
        <v>222</v>
      </c>
      <c r="B12662" s="163"/>
      <c r="C12662" s="163"/>
      <c r="J12662" s="165"/>
      <c r="K12662" s="166"/>
      <c r="L12662" s="166"/>
    </row>
    <row r="12663">
      <c r="A12663" s="163" t="s">
        <v>222</v>
      </c>
      <c r="B12663" s="163"/>
      <c r="C12663" s="163"/>
      <c r="J12663" s="165"/>
      <c r="K12663" s="166"/>
      <c r="L12663" s="166"/>
    </row>
    <row r="12664">
      <c r="A12664" s="163" t="s">
        <v>222</v>
      </c>
      <c r="B12664" s="163"/>
      <c r="C12664" s="163"/>
      <c r="J12664" s="165"/>
      <c r="K12664" s="166"/>
      <c r="L12664" s="166"/>
    </row>
    <row r="12665">
      <c r="A12665" s="163" t="s">
        <v>222</v>
      </c>
      <c r="B12665" s="163"/>
      <c r="C12665" s="163"/>
      <c r="J12665" s="165"/>
      <c r="K12665" s="166"/>
      <c r="L12665" s="166"/>
    </row>
    <row r="12666">
      <c r="A12666" s="163" t="s">
        <v>222</v>
      </c>
      <c r="B12666" s="163"/>
      <c r="C12666" s="163"/>
      <c r="J12666" s="165"/>
      <c r="K12666" s="166"/>
      <c r="L12666" s="166"/>
    </row>
    <row r="12667">
      <c r="A12667" s="163" t="s">
        <v>222</v>
      </c>
      <c r="B12667" s="163"/>
      <c r="C12667" s="163"/>
      <c r="J12667" s="165"/>
      <c r="K12667" s="166"/>
      <c r="L12667" s="166"/>
    </row>
    <row r="12668">
      <c r="A12668" s="163" t="s">
        <v>222</v>
      </c>
      <c r="B12668" s="163"/>
      <c r="C12668" s="163"/>
      <c r="J12668" s="165"/>
      <c r="K12668" s="166"/>
      <c r="L12668" s="166"/>
    </row>
    <row r="12669">
      <c r="A12669" s="163" t="s">
        <v>222</v>
      </c>
      <c r="B12669" s="163"/>
      <c r="C12669" s="163"/>
      <c r="J12669" s="165"/>
      <c r="K12669" s="166"/>
      <c r="L12669" s="166"/>
    </row>
    <row r="12670">
      <c r="A12670" s="163" t="s">
        <v>222</v>
      </c>
      <c r="B12670" s="163"/>
      <c r="C12670" s="163"/>
      <c r="J12670" s="165"/>
      <c r="K12670" s="166"/>
      <c r="L12670" s="166"/>
    </row>
    <row r="12671">
      <c r="A12671" s="163" t="s">
        <v>222</v>
      </c>
      <c r="B12671" s="163"/>
      <c r="C12671" s="163"/>
      <c r="J12671" s="165"/>
      <c r="K12671" s="166"/>
      <c r="L12671" s="166"/>
    </row>
    <row r="12672">
      <c r="A12672" s="163" t="s">
        <v>222</v>
      </c>
      <c r="B12672" s="163"/>
      <c r="C12672" s="163"/>
      <c r="J12672" s="165"/>
      <c r="K12672" s="166"/>
      <c r="L12672" s="166"/>
    </row>
    <row r="12673">
      <c r="A12673" s="163" t="s">
        <v>222</v>
      </c>
      <c r="B12673" s="163"/>
      <c r="C12673" s="163"/>
      <c r="J12673" s="165"/>
      <c r="K12673" s="166"/>
      <c r="L12673" s="166"/>
    </row>
    <row r="12674">
      <c r="A12674" s="163" t="s">
        <v>222</v>
      </c>
      <c r="B12674" s="163"/>
      <c r="C12674" s="163"/>
      <c r="J12674" s="165"/>
      <c r="K12674" s="166"/>
      <c r="L12674" s="166"/>
    </row>
    <row r="12675">
      <c r="A12675" s="163" t="s">
        <v>222</v>
      </c>
      <c r="B12675" s="163"/>
      <c r="C12675" s="163"/>
      <c r="J12675" s="165"/>
      <c r="K12675" s="166"/>
      <c r="L12675" s="166"/>
    </row>
    <row r="12676">
      <c r="A12676" s="163" t="s">
        <v>222</v>
      </c>
      <c r="B12676" s="163"/>
      <c r="C12676" s="163"/>
      <c r="J12676" s="165"/>
      <c r="K12676" s="166"/>
      <c r="L12676" s="166"/>
    </row>
    <row r="12677">
      <c r="A12677" s="163" t="s">
        <v>222</v>
      </c>
      <c r="B12677" s="163"/>
      <c r="C12677" s="163"/>
      <c r="J12677" s="165"/>
      <c r="K12677" s="166"/>
      <c r="L12677" s="166"/>
    </row>
    <row r="12678">
      <c r="A12678" s="163" t="s">
        <v>222</v>
      </c>
      <c r="B12678" s="163"/>
      <c r="C12678" s="163"/>
      <c r="J12678" s="165"/>
      <c r="K12678" s="166"/>
      <c r="L12678" s="166"/>
    </row>
    <row r="12679">
      <c r="A12679" s="163" t="s">
        <v>222</v>
      </c>
      <c r="B12679" s="163"/>
      <c r="C12679" s="163"/>
      <c r="J12679" s="165"/>
      <c r="K12679" s="166"/>
      <c r="L12679" s="166"/>
    </row>
    <row r="12680">
      <c r="A12680" s="163" t="s">
        <v>222</v>
      </c>
      <c r="B12680" s="163"/>
      <c r="C12680" s="163"/>
      <c r="J12680" s="165"/>
      <c r="K12680" s="166"/>
      <c r="L12680" s="166"/>
    </row>
    <row r="12681">
      <c r="A12681" s="163" t="s">
        <v>222</v>
      </c>
      <c r="B12681" s="163"/>
      <c r="C12681" s="163"/>
      <c r="J12681" s="165"/>
      <c r="K12681" s="166"/>
      <c r="L12681" s="166"/>
    </row>
    <row r="12682">
      <c r="A12682" s="163" t="s">
        <v>222</v>
      </c>
      <c r="B12682" s="163"/>
      <c r="C12682" s="163"/>
      <c r="J12682" s="165"/>
      <c r="K12682" s="166"/>
      <c r="L12682" s="166"/>
    </row>
    <row r="12683">
      <c r="A12683" s="163" t="s">
        <v>222</v>
      </c>
      <c r="B12683" s="163"/>
      <c r="C12683" s="163"/>
      <c r="J12683" s="165"/>
      <c r="K12683" s="166"/>
      <c r="L12683" s="166"/>
    </row>
    <row r="12684">
      <c r="A12684" s="163" t="s">
        <v>222</v>
      </c>
      <c r="B12684" s="163"/>
      <c r="C12684" s="163"/>
      <c r="J12684" s="165"/>
      <c r="K12684" s="166"/>
      <c r="L12684" s="166"/>
    </row>
    <row r="12685">
      <c r="A12685" s="163" t="s">
        <v>222</v>
      </c>
      <c r="B12685" s="163"/>
      <c r="C12685" s="163"/>
      <c r="J12685" s="165"/>
      <c r="K12685" s="166"/>
      <c r="L12685" s="166"/>
    </row>
    <row r="12686">
      <c r="A12686" s="163" t="s">
        <v>222</v>
      </c>
      <c r="B12686" s="163"/>
      <c r="C12686" s="163"/>
      <c r="J12686" s="165"/>
      <c r="K12686" s="166"/>
      <c r="L12686" s="166"/>
    </row>
    <row r="12687">
      <c r="A12687" s="163" t="s">
        <v>222</v>
      </c>
      <c r="B12687" s="163"/>
      <c r="C12687" s="163"/>
      <c r="J12687" s="165"/>
      <c r="K12687" s="166"/>
      <c r="L12687" s="166"/>
    </row>
    <row r="12688">
      <c r="A12688" s="163" t="s">
        <v>222</v>
      </c>
      <c r="B12688" s="163"/>
      <c r="C12688" s="163"/>
      <c r="J12688" s="165"/>
      <c r="K12688" s="166"/>
      <c r="L12688" s="166"/>
    </row>
    <row r="12689">
      <c r="A12689" s="163" t="s">
        <v>222</v>
      </c>
      <c r="B12689" s="163"/>
      <c r="C12689" s="163"/>
      <c r="J12689" s="165"/>
      <c r="K12689" s="166"/>
      <c r="L12689" s="166"/>
    </row>
    <row r="12690">
      <c r="A12690" s="163" t="s">
        <v>222</v>
      </c>
      <c r="B12690" s="163"/>
      <c r="C12690" s="163"/>
      <c r="J12690" s="165"/>
      <c r="K12690" s="166"/>
      <c r="L12690" s="166"/>
    </row>
    <row r="12691">
      <c r="A12691" s="163" t="s">
        <v>222</v>
      </c>
      <c r="B12691" s="163"/>
      <c r="C12691" s="163"/>
      <c r="J12691" s="165"/>
      <c r="K12691" s="166"/>
      <c r="L12691" s="166"/>
    </row>
    <row r="12692">
      <c r="A12692" s="163" t="s">
        <v>222</v>
      </c>
      <c r="B12692" s="163"/>
      <c r="C12692" s="163"/>
      <c r="J12692" s="165"/>
      <c r="K12692" s="166"/>
      <c r="L12692" s="166"/>
    </row>
    <row r="12693">
      <c r="A12693" s="163" t="s">
        <v>222</v>
      </c>
      <c r="B12693" s="163"/>
      <c r="C12693" s="163"/>
      <c r="J12693" s="165"/>
      <c r="K12693" s="166"/>
      <c r="L12693" s="166"/>
    </row>
    <row r="12694">
      <c r="A12694" s="163" t="s">
        <v>222</v>
      </c>
      <c r="B12694" s="163"/>
      <c r="C12694" s="163"/>
      <c r="J12694" s="165"/>
      <c r="K12694" s="166"/>
      <c r="L12694" s="166"/>
    </row>
    <row r="12695">
      <c r="A12695" s="163" t="s">
        <v>222</v>
      </c>
      <c r="B12695" s="163"/>
      <c r="C12695" s="163"/>
      <c r="J12695" s="165"/>
      <c r="K12695" s="166"/>
      <c r="L12695" s="166"/>
    </row>
    <row r="12696">
      <c r="A12696" s="163" t="s">
        <v>222</v>
      </c>
      <c r="B12696" s="163"/>
      <c r="C12696" s="163"/>
      <c r="J12696" s="165"/>
      <c r="K12696" s="166"/>
      <c r="L12696" s="166"/>
    </row>
    <row r="12697">
      <c r="A12697" s="163" t="s">
        <v>222</v>
      </c>
      <c r="B12697" s="163"/>
      <c r="C12697" s="163"/>
      <c r="J12697" s="165"/>
      <c r="K12697" s="166"/>
      <c r="L12697" s="166"/>
    </row>
    <row r="12698">
      <c r="A12698" s="163" t="s">
        <v>222</v>
      </c>
      <c r="B12698" s="163"/>
      <c r="C12698" s="163"/>
      <c r="J12698" s="165"/>
      <c r="K12698" s="166"/>
      <c r="L12698" s="166"/>
    </row>
    <row r="12699">
      <c r="A12699" s="163" t="s">
        <v>222</v>
      </c>
      <c r="B12699" s="163"/>
      <c r="C12699" s="163"/>
      <c r="J12699" s="165"/>
      <c r="K12699" s="166"/>
      <c r="L12699" s="166"/>
    </row>
    <row r="12700">
      <c r="A12700" s="163" t="s">
        <v>222</v>
      </c>
      <c r="B12700" s="163"/>
      <c r="C12700" s="163"/>
      <c r="J12700" s="165"/>
      <c r="K12700" s="166"/>
      <c r="L12700" s="166"/>
    </row>
    <row r="12701">
      <c r="A12701" s="163" t="s">
        <v>222</v>
      </c>
      <c r="B12701" s="163"/>
      <c r="C12701" s="163"/>
      <c r="J12701" s="165"/>
      <c r="K12701" s="166"/>
      <c r="L12701" s="166"/>
    </row>
    <row r="12702">
      <c r="A12702" s="163" t="s">
        <v>222</v>
      </c>
      <c r="B12702" s="163"/>
      <c r="C12702" s="163"/>
      <c r="J12702" s="165"/>
      <c r="K12702" s="166"/>
      <c r="L12702" s="166"/>
    </row>
    <row r="12703">
      <c r="A12703" s="163" t="s">
        <v>222</v>
      </c>
      <c r="B12703" s="163"/>
      <c r="C12703" s="163"/>
      <c r="J12703" s="165"/>
      <c r="K12703" s="166"/>
      <c r="L12703" s="166"/>
    </row>
    <row r="12704">
      <c r="A12704" s="163" t="s">
        <v>222</v>
      </c>
      <c r="B12704" s="163"/>
      <c r="C12704" s="163"/>
      <c r="J12704" s="165"/>
      <c r="K12704" s="166"/>
      <c r="L12704" s="166"/>
    </row>
    <row r="12705">
      <c r="A12705" s="163" t="s">
        <v>222</v>
      </c>
      <c r="B12705" s="163"/>
      <c r="C12705" s="163"/>
      <c r="J12705" s="165"/>
      <c r="K12705" s="166"/>
      <c r="L12705" s="166"/>
    </row>
    <row r="12706">
      <c r="A12706" s="163" t="s">
        <v>222</v>
      </c>
      <c r="B12706" s="163"/>
      <c r="C12706" s="163"/>
      <c r="J12706" s="165"/>
      <c r="K12706" s="166"/>
      <c r="L12706" s="166"/>
    </row>
    <row r="12707">
      <c r="A12707" s="163" t="s">
        <v>222</v>
      </c>
      <c r="B12707" s="163"/>
      <c r="C12707" s="163"/>
      <c r="J12707" s="165"/>
      <c r="K12707" s="166"/>
      <c r="L12707" s="166"/>
    </row>
    <row r="12708">
      <c r="A12708" s="163" t="s">
        <v>222</v>
      </c>
      <c r="B12708" s="163"/>
      <c r="C12708" s="163"/>
      <c r="J12708" s="165"/>
      <c r="K12708" s="166"/>
      <c r="L12708" s="166"/>
    </row>
    <row r="12709">
      <c r="A12709" s="163" t="s">
        <v>222</v>
      </c>
      <c r="B12709" s="163"/>
      <c r="C12709" s="163"/>
      <c r="J12709" s="165"/>
      <c r="K12709" s="166"/>
      <c r="L12709" s="166"/>
    </row>
    <row r="12710">
      <c r="A12710" s="163" t="s">
        <v>222</v>
      </c>
      <c r="B12710" s="163"/>
      <c r="C12710" s="163"/>
      <c r="J12710" s="165"/>
      <c r="K12710" s="166"/>
      <c r="L12710" s="166"/>
    </row>
    <row r="12711">
      <c r="A12711" s="163" t="s">
        <v>222</v>
      </c>
      <c r="B12711" s="163"/>
      <c r="C12711" s="163"/>
      <c r="J12711" s="165"/>
      <c r="K12711" s="166"/>
      <c r="L12711" s="166"/>
    </row>
    <row r="12712">
      <c r="A12712" s="163" t="s">
        <v>222</v>
      </c>
      <c r="B12712" s="163"/>
      <c r="C12712" s="163"/>
      <c r="J12712" s="165"/>
      <c r="K12712" s="166"/>
      <c r="L12712" s="166"/>
    </row>
    <row r="12713">
      <c r="A12713" s="163" t="s">
        <v>222</v>
      </c>
      <c r="B12713" s="163"/>
      <c r="C12713" s="163"/>
      <c r="J12713" s="165"/>
      <c r="K12713" s="166"/>
      <c r="L12713" s="166"/>
    </row>
    <row r="12714">
      <c r="A12714" s="163" t="s">
        <v>222</v>
      </c>
      <c r="B12714" s="163"/>
      <c r="C12714" s="163"/>
      <c r="J12714" s="165"/>
      <c r="K12714" s="166"/>
      <c r="L12714" s="166"/>
    </row>
    <row r="12715">
      <c r="A12715" s="163" t="s">
        <v>222</v>
      </c>
      <c r="B12715" s="163"/>
      <c r="C12715" s="163"/>
      <c r="J12715" s="165"/>
      <c r="K12715" s="166"/>
      <c r="L12715" s="166"/>
    </row>
    <row r="12716">
      <c r="A12716" s="163" t="s">
        <v>222</v>
      </c>
      <c r="B12716" s="163"/>
      <c r="C12716" s="163"/>
      <c r="J12716" s="165"/>
      <c r="K12716" s="166"/>
      <c r="L12716" s="166"/>
    </row>
    <row r="12717">
      <c r="A12717" s="163" t="s">
        <v>222</v>
      </c>
      <c r="B12717" s="163"/>
      <c r="C12717" s="163"/>
      <c r="J12717" s="165"/>
      <c r="K12717" s="166"/>
      <c r="L12717" s="166"/>
    </row>
    <row r="12718">
      <c r="A12718" s="163" t="s">
        <v>222</v>
      </c>
      <c r="B12718" s="163"/>
      <c r="C12718" s="163"/>
      <c r="J12718" s="165"/>
      <c r="K12718" s="166"/>
      <c r="L12718" s="166"/>
    </row>
    <row r="12719">
      <c r="A12719" s="163" t="s">
        <v>222</v>
      </c>
      <c r="B12719" s="163"/>
      <c r="C12719" s="163"/>
      <c r="J12719" s="165"/>
      <c r="K12719" s="166"/>
      <c r="L12719" s="166"/>
    </row>
    <row r="12720">
      <c r="A12720" s="163" t="s">
        <v>222</v>
      </c>
      <c r="B12720" s="163"/>
      <c r="C12720" s="163"/>
      <c r="J12720" s="165"/>
      <c r="K12720" s="166"/>
      <c r="L12720" s="166"/>
    </row>
    <row r="12721">
      <c r="A12721" s="163" t="s">
        <v>222</v>
      </c>
      <c r="B12721" s="163"/>
      <c r="C12721" s="163"/>
      <c r="J12721" s="165"/>
      <c r="K12721" s="166"/>
      <c r="L12721" s="166"/>
    </row>
    <row r="12722">
      <c r="A12722" s="163" t="s">
        <v>222</v>
      </c>
      <c r="B12722" s="163"/>
      <c r="C12722" s="163"/>
      <c r="J12722" s="165"/>
      <c r="K12722" s="166"/>
      <c r="L12722" s="166"/>
    </row>
    <row r="12723">
      <c r="A12723" s="163" t="s">
        <v>222</v>
      </c>
      <c r="B12723" s="163"/>
      <c r="C12723" s="163"/>
      <c r="J12723" s="165"/>
      <c r="K12723" s="166"/>
      <c r="L12723" s="166"/>
    </row>
    <row r="12724">
      <c r="A12724" s="163" t="s">
        <v>222</v>
      </c>
      <c r="B12724" s="163"/>
      <c r="C12724" s="163"/>
      <c r="J12724" s="165"/>
      <c r="K12724" s="166"/>
      <c r="L12724" s="166"/>
    </row>
    <row r="12725">
      <c r="A12725" s="163" t="s">
        <v>222</v>
      </c>
      <c r="B12725" s="163"/>
      <c r="C12725" s="163"/>
      <c r="J12725" s="165"/>
      <c r="K12725" s="166"/>
      <c r="L12725" s="166"/>
    </row>
    <row r="12726">
      <c r="A12726" s="163" t="s">
        <v>222</v>
      </c>
      <c r="B12726" s="163"/>
      <c r="C12726" s="163"/>
      <c r="J12726" s="165"/>
      <c r="K12726" s="166"/>
      <c r="L12726" s="166"/>
    </row>
    <row r="12727">
      <c r="A12727" s="163" t="s">
        <v>222</v>
      </c>
      <c r="B12727" s="163"/>
      <c r="C12727" s="163"/>
      <c r="J12727" s="165"/>
      <c r="K12727" s="166"/>
      <c r="L12727" s="166"/>
    </row>
    <row r="12728">
      <c r="A12728" s="163" t="s">
        <v>222</v>
      </c>
      <c r="B12728" s="163"/>
      <c r="C12728" s="163"/>
      <c r="J12728" s="165"/>
      <c r="K12728" s="166"/>
      <c r="L12728" s="166"/>
    </row>
    <row r="12729">
      <c r="A12729" s="163" t="s">
        <v>222</v>
      </c>
      <c r="B12729" s="163"/>
      <c r="C12729" s="163"/>
      <c r="J12729" s="165"/>
      <c r="K12729" s="166"/>
      <c r="L12729" s="166"/>
    </row>
    <row r="12730">
      <c r="A12730" s="163" t="s">
        <v>222</v>
      </c>
      <c r="B12730" s="163"/>
      <c r="C12730" s="163"/>
      <c r="J12730" s="165"/>
      <c r="K12730" s="166"/>
      <c r="L12730" s="166"/>
    </row>
    <row r="12731">
      <c r="A12731" s="163" t="s">
        <v>222</v>
      </c>
      <c r="B12731" s="163"/>
      <c r="C12731" s="163"/>
      <c r="J12731" s="165"/>
      <c r="K12731" s="166"/>
      <c r="L12731" s="166"/>
    </row>
    <row r="12732">
      <c r="A12732" s="163" t="s">
        <v>222</v>
      </c>
      <c r="B12732" s="163"/>
      <c r="C12732" s="163"/>
      <c r="J12732" s="165"/>
      <c r="K12732" s="166"/>
      <c r="L12732" s="166"/>
    </row>
    <row r="12733">
      <c r="A12733" s="163" t="s">
        <v>222</v>
      </c>
      <c r="B12733" s="163"/>
      <c r="C12733" s="163"/>
      <c r="J12733" s="165"/>
      <c r="K12733" s="166"/>
      <c r="L12733" s="166"/>
    </row>
    <row r="12734">
      <c r="A12734" s="163" t="s">
        <v>222</v>
      </c>
      <c r="B12734" s="163"/>
      <c r="C12734" s="163"/>
      <c r="J12734" s="165"/>
      <c r="K12734" s="166"/>
      <c r="L12734" s="166"/>
    </row>
    <row r="12735">
      <c r="A12735" s="163" t="s">
        <v>222</v>
      </c>
      <c r="B12735" s="163"/>
      <c r="C12735" s="163"/>
      <c r="J12735" s="165"/>
      <c r="K12735" s="166"/>
      <c r="L12735" s="166"/>
    </row>
    <row r="12736">
      <c r="A12736" s="163" t="s">
        <v>222</v>
      </c>
      <c r="B12736" s="163"/>
      <c r="C12736" s="163"/>
      <c r="J12736" s="165"/>
      <c r="K12736" s="166"/>
      <c r="L12736" s="166"/>
    </row>
    <row r="12737">
      <c r="A12737" s="163" t="s">
        <v>222</v>
      </c>
      <c r="B12737" s="163"/>
      <c r="C12737" s="163"/>
      <c r="J12737" s="165"/>
      <c r="K12737" s="166"/>
      <c r="L12737" s="166"/>
    </row>
    <row r="12738">
      <c r="A12738" s="163" t="s">
        <v>222</v>
      </c>
      <c r="B12738" s="163"/>
      <c r="C12738" s="163"/>
      <c r="J12738" s="165"/>
      <c r="K12738" s="166"/>
      <c r="L12738" s="166"/>
    </row>
    <row r="12739">
      <c r="A12739" s="163" t="s">
        <v>222</v>
      </c>
      <c r="B12739" s="163"/>
      <c r="C12739" s="163"/>
      <c r="J12739" s="165"/>
      <c r="K12739" s="166"/>
      <c r="L12739" s="166"/>
    </row>
    <row r="12740">
      <c r="A12740" s="163" t="s">
        <v>222</v>
      </c>
      <c r="B12740" s="163"/>
      <c r="C12740" s="163"/>
      <c r="J12740" s="165"/>
      <c r="K12740" s="166"/>
      <c r="L12740" s="166"/>
    </row>
    <row r="12741">
      <c r="A12741" s="163" t="s">
        <v>222</v>
      </c>
      <c r="B12741" s="163"/>
      <c r="C12741" s="163"/>
      <c r="J12741" s="165"/>
      <c r="K12741" s="166"/>
      <c r="L12741" s="166"/>
    </row>
    <row r="12742">
      <c r="A12742" s="163" t="s">
        <v>222</v>
      </c>
      <c r="B12742" s="163"/>
      <c r="C12742" s="163"/>
      <c r="J12742" s="165"/>
      <c r="K12742" s="166"/>
      <c r="L12742" s="166"/>
    </row>
    <row r="12743">
      <c r="A12743" s="163" t="s">
        <v>222</v>
      </c>
      <c r="B12743" s="163"/>
      <c r="C12743" s="163"/>
      <c r="J12743" s="165"/>
      <c r="K12743" s="166"/>
      <c r="L12743" s="166"/>
    </row>
    <row r="12744">
      <c r="A12744" s="163" t="s">
        <v>222</v>
      </c>
      <c r="B12744" s="163"/>
      <c r="C12744" s="163"/>
      <c r="J12744" s="165"/>
      <c r="K12744" s="166"/>
      <c r="L12744" s="166"/>
    </row>
    <row r="12745">
      <c r="A12745" s="163" t="s">
        <v>222</v>
      </c>
      <c r="B12745" s="163"/>
      <c r="C12745" s="163"/>
      <c r="J12745" s="165"/>
      <c r="K12745" s="166"/>
      <c r="L12745" s="166"/>
    </row>
    <row r="12746">
      <c r="A12746" s="163" t="s">
        <v>222</v>
      </c>
      <c r="B12746" s="163"/>
      <c r="C12746" s="163"/>
      <c r="J12746" s="165"/>
      <c r="K12746" s="166"/>
      <c r="L12746" s="166"/>
    </row>
    <row r="12747">
      <c r="A12747" s="163" t="s">
        <v>222</v>
      </c>
      <c r="B12747" s="163"/>
      <c r="C12747" s="163"/>
      <c r="J12747" s="165"/>
      <c r="K12747" s="166"/>
      <c r="L12747" s="166"/>
    </row>
    <row r="12748">
      <c r="A12748" s="163" t="s">
        <v>222</v>
      </c>
      <c r="B12748" s="163"/>
      <c r="C12748" s="163"/>
      <c r="J12748" s="165"/>
      <c r="K12748" s="166"/>
      <c r="L12748" s="166"/>
    </row>
    <row r="12749">
      <c r="A12749" s="163" t="s">
        <v>222</v>
      </c>
      <c r="B12749" s="163"/>
      <c r="C12749" s="163"/>
      <c r="J12749" s="165"/>
      <c r="K12749" s="166"/>
      <c r="L12749" s="166"/>
    </row>
    <row r="12750">
      <c r="A12750" s="163" t="s">
        <v>222</v>
      </c>
      <c r="B12750" s="163"/>
      <c r="C12750" s="163"/>
      <c r="J12750" s="165"/>
      <c r="K12750" s="166"/>
      <c r="L12750" s="166"/>
    </row>
    <row r="12751">
      <c r="A12751" s="163" t="s">
        <v>222</v>
      </c>
      <c r="B12751" s="163"/>
      <c r="C12751" s="163"/>
      <c r="J12751" s="165"/>
      <c r="K12751" s="166"/>
      <c r="L12751" s="166"/>
    </row>
    <row r="12752">
      <c r="A12752" s="163" t="s">
        <v>222</v>
      </c>
      <c r="B12752" s="163"/>
      <c r="C12752" s="163"/>
      <c r="J12752" s="165"/>
      <c r="K12752" s="166"/>
      <c r="L12752" s="166"/>
    </row>
    <row r="12753">
      <c r="A12753" s="163" t="s">
        <v>222</v>
      </c>
      <c r="B12753" s="163"/>
      <c r="C12753" s="163"/>
      <c r="J12753" s="165"/>
      <c r="K12753" s="166"/>
      <c r="L12753" s="166"/>
    </row>
    <row r="12754">
      <c r="A12754" s="163" t="s">
        <v>222</v>
      </c>
      <c r="B12754" s="163"/>
      <c r="C12754" s="163"/>
      <c r="J12754" s="165"/>
      <c r="K12754" s="166"/>
      <c r="L12754" s="166"/>
    </row>
    <row r="12755">
      <c r="A12755" s="163" t="s">
        <v>222</v>
      </c>
      <c r="B12755" s="163"/>
      <c r="C12755" s="163"/>
      <c r="J12755" s="165"/>
      <c r="K12755" s="166"/>
      <c r="L12755" s="166"/>
    </row>
    <row r="12756">
      <c r="A12756" s="163" t="s">
        <v>222</v>
      </c>
      <c r="B12756" s="163"/>
      <c r="C12756" s="163"/>
      <c r="J12756" s="165"/>
      <c r="K12756" s="166"/>
      <c r="L12756" s="166"/>
    </row>
    <row r="12757">
      <c r="A12757" s="163" t="s">
        <v>222</v>
      </c>
      <c r="B12757" s="163"/>
      <c r="C12757" s="163"/>
      <c r="J12757" s="165"/>
      <c r="K12757" s="166"/>
      <c r="L12757" s="166"/>
    </row>
    <row r="12758">
      <c r="A12758" s="163" t="s">
        <v>222</v>
      </c>
      <c r="B12758" s="163"/>
      <c r="C12758" s="163"/>
      <c r="J12758" s="165"/>
      <c r="K12758" s="166"/>
      <c r="L12758" s="166"/>
    </row>
    <row r="12759">
      <c r="A12759" s="163" t="s">
        <v>222</v>
      </c>
      <c r="B12759" s="163"/>
      <c r="C12759" s="163"/>
      <c r="J12759" s="165"/>
      <c r="K12759" s="166"/>
      <c r="L12759" s="166"/>
    </row>
    <row r="12760">
      <c r="A12760" s="163" t="s">
        <v>222</v>
      </c>
      <c r="B12760" s="163"/>
      <c r="C12760" s="163"/>
      <c r="J12760" s="165"/>
      <c r="K12760" s="166"/>
      <c r="L12760" s="166"/>
    </row>
    <row r="12761">
      <c r="A12761" s="163" t="s">
        <v>222</v>
      </c>
      <c r="B12761" s="163"/>
      <c r="C12761" s="163"/>
      <c r="J12761" s="165"/>
      <c r="K12761" s="166"/>
      <c r="L12761" s="166"/>
    </row>
    <row r="12762">
      <c r="A12762" s="163" t="s">
        <v>222</v>
      </c>
      <c r="B12762" s="163"/>
      <c r="C12762" s="163"/>
      <c r="J12762" s="165"/>
      <c r="K12762" s="166"/>
      <c r="L12762" s="166"/>
    </row>
    <row r="12763">
      <c r="A12763" s="163" t="s">
        <v>222</v>
      </c>
      <c r="B12763" s="163"/>
      <c r="C12763" s="163"/>
      <c r="J12763" s="165"/>
      <c r="K12763" s="166"/>
      <c r="L12763" s="166"/>
    </row>
    <row r="12764">
      <c r="A12764" s="163" t="s">
        <v>222</v>
      </c>
      <c r="B12764" s="163"/>
      <c r="C12764" s="163"/>
      <c r="J12764" s="165"/>
      <c r="K12764" s="166"/>
      <c r="L12764" s="166"/>
    </row>
    <row r="12765">
      <c r="A12765" s="163" t="s">
        <v>222</v>
      </c>
      <c r="B12765" s="163"/>
      <c r="C12765" s="163"/>
      <c r="J12765" s="165"/>
      <c r="K12765" s="166"/>
      <c r="L12765" s="166"/>
    </row>
    <row r="12766">
      <c r="A12766" s="163" t="s">
        <v>222</v>
      </c>
      <c r="B12766" s="163"/>
      <c r="C12766" s="163"/>
      <c r="J12766" s="165"/>
      <c r="K12766" s="166"/>
      <c r="L12766" s="166"/>
    </row>
    <row r="12767">
      <c r="A12767" s="163" t="s">
        <v>222</v>
      </c>
      <c r="B12767" s="163"/>
      <c r="C12767" s="163"/>
      <c r="J12767" s="165"/>
      <c r="K12767" s="166"/>
      <c r="L12767" s="166"/>
    </row>
    <row r="12768">
      <c r="A12768" s="163" t="s">
        <v>222</v>
      </c>
      <c r="B12768" s="163"/>
      <c r="C12768" s="163"/>
      <c r="J12768" s="165"/>
      <c r="K12768" s="166"/>
      <c r="L12768" s="166"/>
    </row>
    <row r="12769">
      <c r="A12769" s="163" t="s">
        <v>222</v>
      </c>
      <c r="B12769" s="163"/>
      <c r="C12769" s="163"/>
      <c r="J12769" s="165"/>
      <c r="K12769" s="166"/>
      <c r="L12769" s="166"/>
    </row>
    <row r="12770">
      <c r="A12770" s="163" t="s">
        <v>222</v>
      </c>
      <c r="B12770" s="163"/>
      <c r="C12770" s="163"/>
      <c r="J12770" s="165"/>
      <c r="K12770" s="166"/>
      <c r="L12770" s="166"/>
    </row>
    <row r="12771">
      <c r="A12771" s="163" t="s">
        <v>222</v>
      </c>
      <c r="B12771" s="163"/>
      <c r="C12771" s="163"/>
      <c r="J12771" s="165"/>
      <c r="K12771" s="166"/>
      <c r="L12771" s="166"/>
    </row>
    <row r="12772">
      <c r="A12772" s="163" t="s">
        <v>222</v>
      </c>
      <c r="B12772" s="163"/>
      <c r="C12772" s="163"/>
      <c r="J12772" s="165"/>
      <c r="K12772" s="166"/>
      <c r="L12772" s="166"/>
    </row>
    <row r="12773">
      <c r="A12773" s="163" t="s">
        <v>222</v>
      </c>
      <c r="B12773" s="163"/>
      <c r="C12773" s="163"/>
      <c r="J12773" s="165"/>
      <c r="K12773" s="166"/>
      <c r="L12773" s="166"/>
    </row>
    <row r="12774">
      <c r="A12774" s="163" t="s">
        <v>222</v>
      </c>
      <c r="B12774" s="163"/>
      <c r="C12774" s="163"/>
      <c r="J12774" s="165"/>
      <c r="K12774" s="166"/>
      <c r="L12774" s="166"/>
    </row>
    <row r="12775">
      <c r="A12775" s="163" t="s">
        <v>222</v>
      </c>
      <c r="B12775" s="163"/>
      <c r="C12775" s="163"/>
      <c r="J12775" s="165"/>
      <c r="K12775" s="166"/>
      <c r="L12775" s="166"/>
    </row>
    <row r="12776">
      <c r="A12776" s="163" t="s">
        <v>222</v>
      </c>
      <c r="B12776" s="163"/>
      <c r="C12776" s="163"/>
      <c r="J12776" s="165"/>
      <c r="K12776" s="166"/>
      <c r="L12776" s="166"/>
    </row>
    <row r="12777">
      <c r="A12777" s="163" t="s">
        <v>222</v>
      </c>
      <c r="B12777" s="163"/>
      <c r="C12777" s="163"/>
      <c r="J12777" s="165"/>
      <c r="K12777" s="166"/>
      <c r="L12777" s="166"/>
    </row>
    <row r="12778">
      <c r="A12778" s="163" t="s">
        <v>222</v>
      </c>
      <c r="B12778" s="163"/>
      <c r="C12778" s="163"/>
      <c r="J12778" s="165"/>
      <c r="K12778" s="166"/>
      <c r="L12778" s="166"/>
    </row>
    <row r="12779">
      <c r="A12779" s="163" t="s">
        <v>222</v>
      </c>
      <c r="B12779" s="163"/>
      <c r="C12779" s="163"/>
      <c r="J12779" s="165"/>
      <c r="K12779" s="166"/>
      <c r="L12779" s="166"/>
    </row>
    <row r="12780">
      <c r="A12780" s="163" t="s">
        <v>222</v>
      </c>
      <c r="B12780" s="163"/>
      <c r="C12780" s="163"/>
      <c r="J12780" s="165"/>
      <c r="K12780" s="166"/>
      <c r="L12780" s="166"/>
    </row>
    <row r="12781">
      <c r="A12781" s="163" t="s">
        <v>222</v>
      </c>
      <c r="B12781" s="163"/>
      <c r="C12781" s="163"/>
      <c r="J12781" s="165"/>
      <c r="K12781" s="166"/>
      <c r="L12781" s="166"/>
    </row>
    <row r="12782">
      <c r="A12782" s="163" t="s">
        <v>222</v>
      </c>
      <c r="B12782" s="163"/>
      <c r="C12782" s="163"/>
      <c r="J12782" s="165"/>
      <c r="K12782" s="166"/>
      <c r="L12782" s="166"/>
    </row>
    <row r="12783">
      <c r="A12783" s="163" t="s">
        <v>222</v>
      </c>
      <c r="B12783" s="163"/>
      <c r="C12783" s="163"/>
      <c r="J12783" s="165"/>
      <c r="K12783" s="166"/>
      <c r="L12783" s="166"/>
    </row>
    <row r="12784">
      <c r="A12784" s="163" t="s">
        <v>222</v>
      </c>
      <c r="B12784" s="163"/>
      <c r="C12784" s="163"/>
      <c r="J12784" s="165"/>
      <c r="K12784" s="166"/>
      <c r="L12784" s="166"/>
    </row>
    <row r="12785">
      <c r="A12785" s="163" t="s">
        <v>222</v>
      </c>
      <c r="B12785" s="163"/>
      <c r="C12785" s="163"/>
      <c r="J12785" s="165"/>
      <c r="K12785" s="166"/>
      <c r="L12785" s="166"/>
    </row>
    <row r="12786">
      <c r="A12786" s="163" t="s">
        <v>222</v>
      </c>
      <c r="B12786" s="163"/>
      <c r="C12786" s="163"/>
      <c r="J12786" s="165"/>
      <c r="K12786" s="166"/>
      <c r="L12786" s="166"/>
    </row>
    <row r="12787">
      <c r="A12787" s="163" t="s">
        <v>222</v>
      </c>
      <c r="B12787" s="163"/>
      <c r="C12787" s="163"/>
      <c r="J12787" s="165"/>
      <c r="K12787" s="166"/>
      <c r="L12787" s="166"/>
    </row>
    <row r="12788">
      <c r="A12788" s="163" t="s">
        <v>222</v>
      </c>
      <c r="B12788" s="163"/>
      <c r="C12788" s="163"/>
      <c r="J12788" s="165"/>
      <c r="K12788" s="166"/>
      <c r="L12788" s="166"/>
    </row>
    <row r="12789">
      <c r="A12789" s="163" t="s">
        <v>222</v>
      </c>
      <c r="B12789" s="163"/>
      <c r="C12789" s="163"/>
      <c r="J12789" s="165"/>
      <c r="K12789" s="166"/>
      <c r="L12789" s="166"/>
    </row>
    <row r="12790">
      <c r="A12790" s="163" t="s">
        <v>222</v>
      </c>
      <c r="B12790" s="163"/>
      <c r="C12790" s="163"/>
      <c r="J12790" s="165"/>
      <c r="K12790" s="166"/>
      <c r="L12790" s="166"/>
    </row>
    <row r="12791">
      <c r="A12791" s="163" t="s">
        <v>222</v>
      </c>
      <c r="B12791" s="163"/>
      <c r="C12791" s="163"/>
      <c r="J12791" s="165"/>
      <c r="K12791" s="166"/>
      <c r="L12791" s="166"/>
    </row>
    <row r="12792">
      <c r="A12792" s="163" t="s">
        <v>222</v>
      </c>
      <c r="B12792" s="163"/>
      <c r="C12792" s="163"/>
      <c r="J12792" s="165"/>
      <c r="K12792" s="166"/>
      <c r="L12792" s="166"/>
    </row>
    <row r="12793">
      <c r="A12793" s="163" t="s">
        <v>222</v>
      </c>
      <c r="B12793" s="163"/>
      <c r="C12793" s="163"/>
      <c r="J12793" s="165"/>
      <c r="K12793" s="166"/>
      <c r="L12793" s="166"/>
    </row>
    <row r="12794">
      <c r="A12794" s="163" t="s">
        <v>222</v>
      </c>
      <c r="B12794" s="163"/>
      <c r="C12794" s="163"/>
      <c r="J12794" s="165"/>
      <c r="K12794" s="166"/>
      <c r="L12794" s="166"/>
    </row>
    <row r="12795">
      <c r="A12795" s="163" t="s">
        <v>222</v>
      </c>
      <c r="B12795" s="163"/>
      <c r="C12795" s="163"/>
      <c r="J12795" s="165"/>
      <c r="K12795" s="166"/>
      <c r="L12795" s="166"/>
    </row>
    <row r="12796">
      <c r="A12796" s="163" t="s">
        <v>222</v>
      </c>
      <c r="B12796" s="163"/>
      <c r="C12796" s="163"/>
      <c r="J12796" s="165"/>
      <c r="K12796" s="166"/>
      <c r="L12796" s="166"/>
    </row>
    <row r="12797">
      <c r="A12797" s="163" t="s">
        <v>222</v>
      </c>
      <c r="B12797" s="163"/>
      <c r="C12797" s="163"/>
      <c r="J12797" s="165"/>
      <c r="K12797" s="166"/>
      <c r="L12797" s="166"/>
    </row>
    <row r="12798">
      <c r="A12798" s="163" t="s">
        <v>222</v>
      </c>
      <c r="B12798" s="163"/>
      <c r="C12798" s="163"/>
      <c r="J12798" s="165"/>
      <c r="K12798" s="166"/>
      <c r="L12798" s="166"/>
    </row>
    <row r="12799">
      <c r="A12799" s="163" t="s">
        <v>222</v>
      </c>
      <c r="B12799" s="163"/>
      <c r="C12799" s="163"/>
      <c r="J12799" s="165"/>
      <c r="K12799" s="166"/>
      <c r="L12799" s="166"/>
    </row>
    <row r="12800">
      <c r="A12800" s="163" t="s">
        <v>222</v>
      </c>
      <c r="B12800" s="163"/>
      <c r="C12800" s="163"/>
      <c r="J12800" s="165"/>
      <c r="K12800" s="166"/>
      <c r="L12800" s="166"/>
    </row>
    <row r="12801">
      <c r="A12801" s="163" t="s">
        <v>222</v>
      </c>
      <c r="B12801" s="163"/>
      <c r="C12801" s="163"/>
      <c r="J12801" s="165"/>
      <c r="K12801" s="166"/>
      <c r="L12801" s="166"/>
    </row>
    <row r="12802">
      <c r="A12802" s="163" t="s">
        <v>222</v>
      </c>
      <c r="B12802" s="163"/>
      <c r="C12802" s="163"/>
      <c r="J12802" s="165"/>
      <c r="K12802" s="166"/>
      <c r="L12802" s="166"/>
    </row>
    <row r="12803">
      <c r="A12803" s="163" t="s">
        <v>222</v>
      </c>
      <c r="B12803" s="163"/>
      <c r="C12803" s="163"/>
      <c r="J12803" s="165"/>
      <c r="K12803" s="166"/>
      <c r="L12803" s="166"/>
    </row>
    <row r="12804">
      <c r="A12804" s="163" t="s">
        <v>222</v>
      </c>
      <c r="B12804" s="163"/>
      <c r="C12804" s="163"/>
      <c r="J12804" s="165"/>
      <c r="K12804" s="166"/>
      <c r="L12804" s="166"/>
    </row>
    <row r="12805">
      <c r="A12805" s="163" t="s">
        <v>222</v>
      </c>
      <c r="B12805" s="163"/>
      <c r="C12805" s="163"/>
      <c r="J12805" s="165"/>
      <c r="K12805" s="166"/>
      <c r="L12805" s="166"/>
    </row>
    <row r="12806">
      <c r="A12806" s="163" t="s">
        <v>222</v>
      </c>
      <c r="B12806" s="163"/>
      <c r="C12806" s="163"/>
      <c r="J12806" s="165"/>
      <c r="K12806" s="166"/>
      <c r="L12806" s="166"/>
    </row>
    <row r="12807">
      <c r="A12807" s="163" t="s">
        <v>222</v>
      </c>
      <c r="B12807" s="163"/>
      <c r="C12807" s="163"/>
      <c r="J12807" s="165"/>
      <c r="K12807" s="166"/>
      <c r="L12807" s="166"/>
    </row>
    <row r="12808">
      <c r="A12808" s="163" t="s">
        <v>222</v>
      </c>
      <c r="B12808" s="163"/>
      <c r="C12808" s="163"/>
      <c r="J12808" s="165"/>
      <c r="K12808" s="166"/>
      <c r="L12808" s="166"/>
    </row>
    <row r="12809">
      <c r="A12809" s="163" t="s">
        <v>222</v>
      </c>
      <c r="B12809" s="163"/>
      <c r="C12809" s="163"/>
      <c r="J12809" s="165"/>
      <c r="K12809" s="166"/>
      <c r="L12809" s="166"/>
    </row>
    <row r="12810">
      <c r="A12810" s="163" t="s">
        <v>222</v>
      </c>
      <c r="B12810" s="163"/>
      <c r="C12810" s="163"/>
      <c r="J12810" s="165"/>
      <c r="K12810" s="166"/>
      <c r="L12810" s="166"/>
    </row>
    <row r="12811">
      <c r="A12811" s="163" t="s">
        <v>222</v>
      </c>
      <c r="B12811" s="163"/>
      <c r="C12811" s="163"/>
      <c r="J12811" s="165"/>
      <c r="K12811" s="166"/>
      <c r="L12811" s="166"/>
    </row>
    <row r="12812">
      <c r="A12812" s="163" t="s">
        <v>222</v>
      </c>
      <c r="B12812" s="163"/>
      <c r="C12812" s="163"/>
      <c r="J12812" s="165"/>
      <c r="K12812" s="166"/>
      <c r="L12812" s="166"/>
    </row>
    <row r="12813">
      <c r="A12813" s="163" t="s">
        <v>222</v>
      </c>
      <c r="B12813" s="163"/>
      <c r="C12813" s="163"/>
      <c r="J12813" s="165"/>
      <c r="K12813" s="166"/>
      <c r="L12813" s="166"/>
    </row>
    <row r="12814">
      <c r="A12814" s="163" t="s">
        <v>222</v>
      </c>
      <c r="B12814" s="163"/>
      <c r="C12814" s="163"/>
      <c r="J12814" s="165"/>
      <c r="K12814" s="166"/>
      <c r="L12814" s="166"/>
    </row>
    <row r="12815">
      <c r="A12815" s="163" t="s">
        <v>222</v>
      </c>
      <c r="B12815" s="163"/>
      <c r="C12815" s="163"/>
      <c r="J12815" s="165"/>
      <c r="K12815" s="166"/>
      <c r="L12815" s="166"/>
    </row>
    <row r="12816">
      <c r="A12816" s="163" t="s">
        <v>222</v>
      </c>
      <c r="B12816" s="163"/>
      <c r="C12816" s="163"/>
      <c r="J12816" s="165"/>
      <c r="K12816" s="166"/>
      <c r="L12816" s="166"/>
    </row>
    <row r="12817">
      <c r="A12817" s="163" t="s">
        <v>222</v>
      </c>
      <c r="B12817" s="163"/>
      <c r="C12817" s="163"/>
      <c r="J12817" s="165"/>
      <c r="K12817" s="166"/>
      <c r="L12817" s="166"/>
    </row>
    <row r="12818">
      <c r="A12818" s="163" t="s">
        <v>222</v>
      </c>
      <c r="B12818" s="163"/>
      <c r="C12818" s="163"/>
      <c r="J12818" s="165"/>
      <c r="K12818" s="166"/>
      <c r="L12818" s="166"/>
    </row>
    <row r="12819">
      <c r="A12819" s="163" t="s">
        <v>222</v>
      </c>
      <c r="B12819" s="163"/>
      <c r="C12819" s="163"/>
      <c r="J12819" s="165"/>
      <c r="K12819" s="166"/>
      <c r="L12819" s="166"/>
    </row>
    <row r="12820">
      <c r="A12820" s="163" t="s">
        <v>222</v>
      </c>
      <c r="B12820" s="163"/>
      <c r="C12820" s="163"/>
      <c r="J12820" s="165"/>
      <c r="K12820" s="166"/>
      <c r="L12820" s="166"/>
    </row>
    <row r="12821">
      <c r="A12821" s="163" t="s">
        <v>222</v>
      </c>
      <c r="B12821" s="163"/>
      <c r="C12821" s="163"/>
      <c r="J12821" s="165"/>
      <c r="K12821" s="166"/>
      <c r="L12821" s="166"/>
    </row>
    <row r="12822">
      <c r="A12822" s="163" t="s">
        <v>222</v>
      </c>
      <c r="B12822" s="163"/>
      <c r="C12822" s="163"/>
      <c r="J12822" s="165"/>
      <c r="K12822" s="166"/>
      <c r="L12822" s="166"/>
    </row>
    <row r="12823">
      <c r="A12823" s="163" t="s">
        <v>222</v>
      </c>
      <c r="B12823" s="163"/>
      <c r="C12823" s="163"/>
      <c r="J12823" s="165"/>
      <c r="K12823" s="166"/>
      <c r="L12823" s="166"/>
    </row>
    <row r="12824">
      <c r="A12824" s="163" t="s">
        <v>222</v>
      </c>
      <c r="B12824" s="163"/>
      <c r="C12824" s="163"/>
      <c r="J12824" s="165"/>
      <c r="K12824" s="166"/>
      <c r="L12824" s="166"/>
    </row>
    <row r="12825">
      <c r="A12825" s="163" t="s">
        <v>222</v>
      </c>
      <c r="B12825" s="163"/>
      <c r="C12825" s="163"/>
      <c r="J12825" s="165"/>
      <c r="K12825" s="166"/>
      <c r="L12825" s="166"/>
    </row>
    <row r="12826">
      <c r="A12826" s="163" t="s">
        <v>222</v>
      </c>
      <c r="B12826" s="163"/>
      <c r="C12826" s="163"/>
      <c r="J12826" s="165"/>
      <c r="K12826" s="166"/>
      <c r="L12826" s="166"/>
    </row>
    <row r="12827">
      <c r="A12827" s="163" t="s">
        <v>222</v>
      </c>
      <c r="B12827" s="163"/>
      <c r="C12827" s="163"/>
      <c r="J12827" s="165"/>
      <c r="K12827" s="166"/>
      <c r="L12827" s="166"/>
    </row>
    <row r="12828">
      <c r="A12828" s="163" t="s">
        <v>222</v>
      </c>
      <c r="B12828" s="163"/>
      <c r="C12828" s="163"/>
      <c r="J12828" s="165"/>
      <c r="K12828" s="166"/>
      <c r="L12828" s="166"/>
    </row>
    <row r="12829">
      <c r="A12829" s="163" t="s">
        <v>222</v>
      </c>
      <c r="B12829" s="163"/>
      <c r="C12829" s="163"/>
      <c r="J12829" s="165"/>
      <c r="K12829" s="166"/>
      <c r="L12829" s="166"/>
    </row>
    <row r="12830">
      <c r="A12830" s="163" t="s">
        <v>222</v>
      </c>
      <c r="B12830" s="163"/>
      <c r="C12830" s="163"/>
      <c r="J12830" s="165"/>
      <c r="K12830" s="166"/>
      <c r="L12830" s="166"/>
    </row>
    <row r="12831">
      <c r="A12831" s="163" t="s">
        <v>222</v>
      </c>
      <c r="B12831" s="163"/>
      <c r="C12831" s="163"/>
      <c r="J12831" s="165"/>
      <c r="K12831" s="166"/>
      <c r="L12831" s="166"/>
    </row>
    <row r="12832">
      <c r="A12832" s="163" t="s">
        <v>222</v>
      </c>
      <c r="B12832" s="163"/>
      <c r="C12832" s="163"/>
      <c r="J12832" s="165"/>
      <c r="K12832" s="166"/>
      <c r="L12832" s="166"/>
    </row>
    <row r="12833">
      <c r="A12833" s="163" t="s">
        <v>222</v>
      </c>
      <c r="B12833" s="163"/>
      <c r="C12833" s="163"/>
      <c r="J12833" s="165"/>
      <c r="K12833" s="166"/>
      <c r="L12833" s="166"/>
    </row>
    <row r="12834">
      <c r="A12834" s="163" t="s">
        <v>222</v>
      </c>
      <c r="B12834" s="163"/>
      <c r="C12834" s="163"/>
      <c r="J12834" s="165"/>
      <c r="K12834" s="166"/>
      <c r="L12834" s="166"/>
    </row>
    <row r="12835">
      <c r="A12835" s="163" t="s">
        <v>222</v>
      </c>
      <c r="B12835" s="163"/>
      <c r="C12835" s="163"/>
      <c r="J12835" s="165"/>
      <c r="K12835" s="166"/>
      <c r="L12835" s="166"/>
    </row>
    <row r="12836">
      <c r="A12836" s="163" t="s">
        <v>222</v>
      </c>
      <c r="B12836" s="163"/>
      <c r="C12836" s="163"/>
      <c r="J12836" s="165"/>
      <c r="K12836" s="166"/>
      <c r="L12836" s="166"/>
    </row>
    <row r="12837">
      <c r="A12837" s="163" t="s">
        <v>222</v>
      </c>
      <c r="B12837" s="163"/>
      <c r="C12837" s="163"/>
      <c r="J12837" s="165"/>
      <c r="K12837" s="166"/>
      <c r="L12837" s="166"/>
    </row>
    <row r="12838">
      <c r="A12838" s="163" t="s">
        <v>222</v>
      </c>
      <c r="B12838" s="163"/>
      <c r="C12838" s="163"/>
      <c r="J12838" s="165"/>
      <c r="K12838" s="166"/>
      <c r="L12838" s="166"/>
    </row>
    <row r="12839">
      <c r="A12839" s="163" t="s">
        <v>222</v>
      </c>
      <c r="B12839" s="163"/>
      <c r="C12839" s="163"/>
      <c r="J12839" s="165"/>
      <c r="K12839" s="166"/>
      <c r="L12839" s="166"/>
    </row>
    <row r="12840">
      <c r="A12840" s="163" t="s">
        <v>222</v>
      </c>
      <c r="B12840" s="163"/>
      <c r="C12840" s="163"/>
      <c r="J12840" s="165"/>
      <c r="K12840" s="166"/>
      <c r="L12840" s="166"/>
    </row>
    <row r="12841">
      <c r="A12841" s="163" t="s">
        <v>222</v>
      </c>
      <c r="B12841" s="163"/>
      <c r="C12841" s="163"/>
      <c r="J12841" s="165"/>
      <c r="K12841" s="166"/>
      <c r="L12841" s="166"/>
    </row>
    <row r="12842">
      <c r="A12842" s="163" t="s">
        <v>222</v>
      </c>
      <c r="B12842" s="163"/>
      <c r="C12842" s="163"/>
      <c r="J12842" s="165"/>
      <c r="K12842" s="166"/>
      <c r="L12842" s="166"/>
    </row>
    <row r="12843">
      <c r="A12843" s="163" t="s">
        <v>222</v>
      </c>
      <c r="B12843" s="163"/>
      <c r="C12843" s="163"/>
      <c r="J12843" s="165"/>
      <c r="K12843" s="166"/>
      <c r="L12843" s="166"/>
    </row>
    <row r="12844">
      <c r="A12844" s="163" t="s">
        <v>222</v>
      </c>
      <c r="B12844" s="163"/>
      <c r="C12844" s="163"/>
      <c r="J12844" s="165"/>
      <c r="K12844" s="166"/>
      <c r="L12844" s="166"/>
    </row>
    <row r="12845">
      <c r="A12845" s="163" t="s">
        <v>222</v>
      </c>
      <c r="B12845" s="163"/>
      <c r="C12845" s="163"/>
      <c r="J12845" s="165"/>
      <c r="K12845" s="166"/>
      <c r="L12845" s="166"/>
    </row>
    <row r="12846">
      <c r="A12846" s="163" t="s">
        <v>222</v>
      </c>
      <c r="B12846" s="163"/>
      <c r="C12846" s="163"/>
      <c r="J12846" s="165"/>
      <c r="K12846" s="166"/>
      <c r="L12846" s="166"/>
    </row>
    <row r="12847">
      <c r="A12847" s="163" t="s">
        <v>222</v>
      </c>
      <c r="B12847" s="163"/>
      <c r="C12847" s="163"/>
      <c r="J12847" s="165"/>
      <c r="K12847" s="166"/>
      <c r="L12847" s="166"/>
    </row>
    <row r="12848">
      <c r="A12848" s="163" t="s">
        <v>222</v>
      </c>
      <c r="B12848" s="163"/>
      <c r="C12848" s="163"/>
      <c r="J12848" s="165"/>
      <c r="K12848" s="166"/>
      <c r="L12848" s="166"/>
    </row>
    <row r="12849">
      <c r="A12849" s="163" t="s">
        <v>222</v>
      </c>
      <c r="B12849" s="163"/>
      <c r="C12849" s="163"/>
      <c r="J12849" s="165"/>
      <c r="K12849" s="166"/>
      <c r="L12849" s="166"/>
    </row>
    <row r="12850">
      <c r="A12850" s="163" t="s">
        <v>222</v>
      </c>
      <c r="B12850" s="163"/>
      <c r="C12850" s="163"/>
      <c r="J12850" s="165"/>
      <c r="K12850" s="166"/>
      <c r="L12850" s="166"/>
    </row>
    <row r="12851">
      <c r="A12851" s="163" t="s">
        <v>222</v>
      </c>
      <c r="B12851" s="163"/>
      <c r="C12851" s="163"/>
      <c r="J12851" s="165"/>
      <c r="K12851" s="166"/>
      <c r="L12851" s="166"/>
    </row>
    <row r="12852">
      <c r="A12852" s="163" t="s">
        <v>222</v>
      </c>
      <c r="B12852" s="163"/>
      <c r="C12852" s="163"/>
      <c r="J12852" s="165"/>
      <c r="K12852" s="166"/>
      <c r="L12852" s="166"/>
    </row>
    <row r="12853">
      <c r="A12853" s="163" t="s">
        <v>222</v>
      </c>
      <c r="B12853" s="163"/>
      <c r="C12853" s="163"/>
      <c r="J12853" s="165"/>
      <c r="K12853" s="166"/>
      <c r="L12853" s="166"/>
    </row>
    <row r="12854">
      <c r="A12854" s="163" t="s">
        <v>222</v>
      </c>
      <c r="B12854" s="163"/>
      <c r="C12854" s="163"/>
      <c r="J12854" s="165"/>
      <c r="K12854" s="166"/>
      <c r="L12854" s="166"/>
    </row>
    <row r="12855">
      <c r="A12855" s="163" t="s">
        <v>222</v>
      </c>
      <c r="B12855" s="163"/>
      <c r="C12855" s="163"/>
      <c r="J12855" s="165"/>
      <c r="K12855" s="166"/>
      <c r="L12855" s="166"/>
    </row>
    <row r="12856">
      <c r="A12856" s="163" t="s">
        <v>222</v>
      </c>
      <c r="B12856" s="163"/>
      <c r="C12856" s="163"/>
      <c r="J12856" s="165"/>
      <c r="K12856" s="166"/>
      <c r="L12856" s="166"/>
    </row>
    <row r="12857">
      <c r="A12857" s="163" t="s">
        <v>222</v>
      </c>
      <c r="B12857" s="163"/>
      <c r="C12857" s="163"/>
      <c r="J12857" s="165"/>
      <c r="K12857" s="166"/>
      <c r="L12857" s="166"/>
    </row>
    <row r="12858">
      <c r="A12858" s="163" t="s">
        <v>222</v>
      </c>
      <c r="B12858" s="163"/>
      <c r="C12858" s="163"/>
      <c r="J12858" s="165"/>
      <c r="K12858" s="166"/>
      <c r="L12858" s="166"/>
    </row>
    <row r="12859">
      <c r="A12859" s="163" t="s">
        <v>222</v>
      </c>
      <c r="B12859" s="163"/>
      <c r="C12859" s="163"/>
      <c r="J12859" s="165"/>
      <c r="K12859" s="166"/>
      <c r="L12859" s="166"/>
    </row>
    <row r="12860">
      <c r="A12860" s="163" t="s">
        <v>222</v>
      </c>
      <c r="B12860" s="163"/>
      <c r="C12860" s="163"/>
      <c r="J12860" s="165"/>
      <c r="K12860" s="166"/>
      <c r="L12860" s="166"/>
    </row>
    <row r="12861">
      <c r="A12861" s="163" t="s">
        <v>222</v>
      </c>
      <c r="B12861" s="163"/>
      <c r="C12861" s="163"/>
      <c r="J12861" s="165"/>
      <c r="K12861" s="166"/>
      <c r="L12861" s="166"/>
    </row>
    <row r="12862">
      <c r="A12862" s="163" t="s">
        <v>222</v>
      </c>
      <c r="B12862" s="163"/>
      <c r="C12862" s="163"/>
      <c r="J12862" s="165"/>
      <c r="K12862" s="166"/>
      <c r="L12862" s="166"/>
    </row>
    <row r="12863">
      <c r="A12863" s="163" t="s">
        <v>222</v>
      </c>
      <c r="B12863" s="163"/>
      <c r="C12863" s="163"/>
      <c r="J12863" s="165"/>
      <c r="K12863" s="166"/>
      <c r="L12863" s="166"/>
    </row>
    <row r="12864">
      <c r="A12864" s="163" t="s">
        <v>222</v>
      </c>
      <c r="B12864" s="163"/>
      <c r="C12864" s="163"/>
      <c r="J12864" s="165"/>
      <c r="K12864" s="166"/>
      <c r="L12864" s="166"/>
    </row>
    <row r="12865">
      <c r="A12865" s="163" t="s">
        <v>222</v>
      </c>
      <c r="B12865" s="163"/>
      <c r="C12865" s="163"/>
      <c r="J12865" s="165"/>
      <c r="K12865" s="166"/>
      <c r="L12865" s="166"/>
    </row>
    <row r="12866">
      <c r="A12866" s="163" t="s">
        <v>222</v>
      </c>
      <c r="B12866" s="163"/>
      <c r="C12866" s="163"/>
      <c r="J12866" s="165"/>
      <c r="K12866" s="166"/>
      <c r="L12866" s="166"/>
    </row>
    <row r="12867">
      <c r="A12867" s="163" t="s">
        <v>222</v>
      </c>
      <c r="B12867" s="163"/>
      <c r="C12867" s="163"/>
      <c r="J12867" s="165"/>
      <c r="K12867" s="166"/>
      <c r="L12867" s="166"/>
    </row>
    <row r="12868">
      <c r="A12868" s="163" t="s">
        <v>222</v>
      </c>
      <c r="B12868" s="163"/>
      <c r="C12868" s="163"/>
      <c r="J12868" s="165"/>
      <c r="K12868" s="166"/>
      <c r="L12868" s="166"/>
    </row>
    <row r="12869">
      <c r="A12869" s="163" t="s">
        <v>222</v>
      </c>
      <c r="B12869" s="163"/>
      <c r="C12869" s="163"/>
      <c r="J12869" s="165"/>
      <c r="K12869" s="166"/>
      <c r="L12869" s="166"/>
    </row>
    <row r="12870">
      <c r="A12870" s="163" t="s">
        <v>222</v>
      </c>
      <c r="B12870" s="163"/>
      <c r="C12870" s="163"/>
      <c r="J12870" s="165"/>
      <c r="K12870" s="166"/>
      <c r="L12870" s="166"/>
    </row>
    <row r="12871">
      <c r="A12871" s="163" t="s">
        <v>222</v>
      </c>
      <c r="B12871" s="163"/>
      <c r="C12871" s="163"/>
      <c r="J12871" s="165"/>
      <c r="K12871" s="166"/>
      <c r="L12871" s="166"/>
    </row>
    <row r="12872">
      <c r="A12872" s="163" t="s">
        <v>222</v>
      </c>
      <c r="B12872" s="163"/>
      <c r="C12872" s="163"/>
      <c r="J12872" s="165"/>
      <c r="K12872" s="166"/>
      <c r="L12872" s="166"/>
    </row>
    <row r="12873">
      <c r="A12873" s="163" t="s">
        <v>222</v>
      </c>
      <c r="B12873" s="163"/>
      <c r="C12873" s="163"/>
      <c r="J12873" s="165"/>
      <c r="K12873" s="166"/>
      <c r="L12873" s="166"/>
    </row>
    <row r="12874">
      <c r="A12874" s="163" t="s">
        <v>222</v>
      </c>
      <c r="B12874" s="163"/>
      <c r="C12874" s="163"/>
      <c r="J12874" s="165"/>
      <c r="K12874" s="166"/>
      <c r="L12874" s="166"/>
    </row>
    <row r="12875">
      <c r="A12875" s="163" t="s">
        <v>222</v>
      </c>
      <c r="B12875" s="163"/>
      <c r="C12875" s="163"/>
      <c r="J12875" s="165"/>
      <c r="K12875" s="166"/>
      <c r="L12875" s="166"/>
    </row>
    <row r="12876">
      <c r="A12876" s="163" t="s">
        <v>222</v>
      </c>
      <c r="B12876" s="163"/>
      <c r="C12876" s="163"/>
      <c r="J12876" s="165"/>
      <c r="K12876" s="166"/>
      <c r="L12876" s="166"/>
    </row>
    <row r="12877">
      <c r="A12877" s="163" t="s">
        <v>222</v>
      </c>
      <c r="B12877" s="163"/>
      <c r="C12877" s="163"/>
      <c r="J12877" s="165"/>
      <c r="K12877" s="166"/>
      <c r="L12877" s="166"/>
    </row>
    <row r="12878">
      <c r="A12878" s="163" t="s">
        <v>222</v>
      </c>
      <c r="B12878" s="163"/>
      <c r="C12878" s="163"/>
      <c r="J12878" s="165"/>
      <c r="K12878" s="166"/>
      <c r="L12878" s="166"/>
    </row>
    <row r="12879">
      <c r="A12879" s="163" t="s">
        <v>222</v>
      </c>
      <c r="B12879" s="163"/>
      <c r="C12879" s="163"/>
      <c r="J12879" s="165"/>
      <c r="K12879" s="166"/>
      <c r="L12879" s="166"/>
    </row>
    <row r="12880">
      <c r="A12880" s="163" t="s">
        <v>222</v>
      </c>
      <c r="B12880" s="163"/>
      <c r="C12880" s="163"/>
      <c r="J12880" s="165"/>
      <c r="K12880" s="166"/>
      <c r="L12880" s="166"/>
    </row>
    <row r="12881">
      <c r="A12881" s="163" t="s">
        <v>222</v>
      </c>
      <c r="B12881" s="163"/>
      <c r="C12881" s="163"/>
      <c r="J12881" s="165"/>
      <c r="K12881" s="166"/>
      <c r="L12881" s="166"/>
    </row>
    <row r="12882">
      <c r="A12882" s="163" t="s">
        <v>222</v>
      </c>
      <c r="B12882" s="163"/>
      <c r="C12882" s="163"/>
      <c r="J12882" s="165"/>
      <c r="K12882" s="166"/>
      <c r="L12882" s="166"/>
    </row>
    <row r="12883">
      <c r="A12883" s="163" t="s">
        <v>222</v>
      </c>
      <c r="B12883" s="163"/>
      <c r="C12883" s="163"/>
      <c r="J12883" s="165"/>
      <c r="K12883" s="166"/>
      <c r="L12883" s="166"/>
    </row>
    <row r="12884">
      <c r="A12884" s="163" t="s">
        <v>222</v>
      </c>
      <c r="B12884" s="163"/>
      <c r="C12884" s="163"/>
      <c r="J12884" s="165"/>
      <c r="K12884" s="166"/>
      <c r="L12884" s="166"/>
    </row>
    <row r="12885">
      <c r="A12885" s="163" t="s">
        <v>222</v>
      </c>
      <c r="B12885" s="163"/>
      <c r="C12885" s="163"/>
      <c r="J12885" s="165"/>
      <c r="K12885" s="166"/>
      <c r="L12885" s="166"/>
    </row>
    <row r="12886">
      <c r="A12886" s="163" t="s">
        <v>222</v>
      </c>
      <c r="B12886" s="163"/>
      <c r="C12886" s="163"/>
      <c r="J12886" s="165"/>
      <c r="K12886" s="166"/>
      <c r="L12886" s="166"/>
    </row>
    <row r="12887">
      <c r="A12887" s="163" t="s">
        <v>222</v>
      </c>
      <c r="B12887" s="163"/>
      <c r="C12887" s="163"/>
      <c r="J12887" s="165"/>
      <c r="K12887" s="166"/>
      <c r="L12887" s="166"/>
    </row>
    <row r="12888">
      <c r="A12888" s="163" t="s">
        <v>222</v>
      </c>
      <c r="B12888" s="163"/>
      <c r="C12888" s="163"/>
      <c r="J12888" s="165"/>
      <c r="K12888" s="166"/>
      <c r="L12888" s="166"/>
    </row>
    <row r="12889">
      <c r="A12889" s="163" t="s">
        <v>222</v>
      </c>
      <c r="B12889" s="163"/>
      <c r="C12889" s="163"/>
      <c r="J12889" s="165"/>
      <c r="K12889" s="166"/>
      <c r="L12889" s="166"/>
    </row>
    <row r="12890">
      <c r="A12890" s="163" t="s">
        <v>222</v>
      </c>
      <c r="B12890" s="163"/>
      <c r="C12890" s="163"/>
      <c r="J12890" s="165"/>
      <c r="K12890" s="166"/>
      <c r="L12890" s="166"/>
    </row>
    <row r="12891">
      <c r="A12891" s="163" t="s">
        <v>222</v>
      </c>
      <c r="B12891" s="163"/>
      <c r="C12891" s="163"/>
      <c r="J12891" s="165"/>
      <c r="K12891" s="166"/>
      <c r="L12891" s="166"/>
    </row>
    <row r="12892">
      <c r="A12892" s="163" t="s">
        <v>222</v>
      </c>
      <c r="B12892" s="163"/>
      <c r="C12892" s="163"/>
      <c r="J12892" s="165"/>
      <c r="K12892" s="166"/>
      <c r="L12892" s="166"/>
    </row>
    <row r="12893">
      <c r="A12893" s="163" t="s">
        <v>222</v>
      </c>
      <c r="B12893" s="163"/>
      <c r="C12893" s="163"/>
      <c r="J12893" s="165"/>
      <c r="K12893" s="166"/>
      <c r="L12893" s="166"/>
    </row>
    <row r="12894">
      <c r="A12894" s="163" t="s">
        <v>222</v>
      </c>
      <c r="B12894" s="163"/>
      <c r="C12894" s="163"/>
      <c r="J12894" s="165"/>
      <c r="K12894" s="166"/>
      <c r="L12894" s="166"/>
    </row>
    <row r="12895">
      <c r="A12895" s="163" t="s">
        <v>222</v>
      </c>
      <c r="B12895" s="163"/>
      <c r="C12895" s="163"/>
      <c r="J12895" s="165"/>
      <c r="K12895" s="166"/>
      <c r="L12895" s="166"/>
    </row>
    <row r="12896">
      <c r="A12896" s="163" t="s">
        <v>222</v>
      </c>
      <c r="B12896" s="163"/>
      <c r="C12896" s="163"/>
      <c r="J12896" s="165"/>
      <c r="K12896" s="166"/>
      <c r="L12896" s="166"/>
    </row>
    <row r="12897">
      <c r="A12897" s="163" t="s">
        <v>222</v>
      </c>
      <c r="B12897" s="163"/>
      <c r="C12897" s="163"/>
      <c r="J12897" s="165"/>
      <c r="K12897" s="166"/>
      <c r="L12897" s="166"/>
    </row>
    <row r="12898">
      <c r="A12898" s="163" t="s">
        <v>222</v>
      </c>
      <c r="B12898" s="163"/>
      <c r="C12898" s="163"/>
      <c r="J12898" s="165"/>
      <c r="K12898" s="166"/>
      <c r="L12898" s="166"/>
    </row>
    <row r="12899">
      <c r="A12899" s="163" t="s">
        <v>222</v>
      </c>
      <c r="B12899" s="163"/>
      <c r="C12899" s="163"/>
      <c r="J12899" s="165"/>
      <c r="K12899" s="166"/>
      <c r="L12899" s="166"/>
    </row>
    <row r="12900">
      <c r="A12900" s="163" t="s">
        <v>222</v>
      </c>
      <c r="B12900" s="163"/>
      <c r="C12900" s="163"/>
      <c r="J12900" s="165"/>
      <c r="K12900" s="166"/>
      <c r="L12900" s="166"/>
    </row>
    <row r="12901">
      <c r="A12901" s="163" t="s">
        <v>222</v>
      </c>
      <c r="B12901" s="163"/>
      <c r="C12901" s="163"/>
      <c r="J12901" s="165"/>
      <c r="K12901" s="166"/>
      <c r="L12901" s="166"/>
    </row>
    <row r="12902">
      <c r="A12902" s="163" t="s">
        <v>222</v>
      </c>
      <c r="B12902" s="163"/>
      <c r="C12902" s="163"/>
      <c r="J12902" s="165"/>
      <c r="K12902" s="166"/>
      <c r="L12902" s="166"/>
    </row>
    <row r="12903">
      <c r="A12903" s="163" t="s">
        <v>222</v>
      </c>
      <c r="B12903" s="163"/>
      <c r="C12903" s="163"/>
      <c r="J12903" s="165"/>
      <c r="K12903" s="166"/>
      <c r="L12903" s="166"/>
    </row>
    <row r="12904">
      <c r="A12904" s="163" t="s">
        <v>222</v>
      </c>
      <c r="B12904" s="163"/>
      <c r="C12904" s="163"/>
      <c r="J12904" s="165"/>
      <c r="K12904" s="166"/>
      <c r="L12904" s="166"/>
    </row>
    <row r="12905">
      <c r="A12905" s="163" t="s">
        <v>222</v>
      </c>
      <c r="B12905" s="163"/>
      <c r="C12905" s="163"/>
      <c r="J12905" s="165"/>
      <c r="K12905" s="166"/>
      <c r="L12905" s="166"/>
    </row>
    <row r="12906">
      <c r="A12906" s="163" t="s">
        <v>222</v>
      </c>
      <c r="B12906" s="163"/>
      <c r="C12906" s="163"/>
      <c r="J12906" s="165"/>
      <c r="K12906" s="166"/>
      <c r="L12906" s="166"/>
    </row>
    <row r="12907">
      <c r="A12907" s="163" t="s">
        <v>222</v>
      </c>
      <c r="B12907" s="163"/>
      <c r="C12907" s="163"/>
      <c r="J12907" s="165"/>
      <c r="K12907" s="166"/>
      <c r="L12907" s="166"/>
    </row>
    <row r="12908">
      <c r="A12908" s="163" t="s">
        <v>222</v>
      </c>
      <c r="B12908" s="163"/>
      <c r="C12908" s="163"/>
      <c r="J12908" s="165"/>
      <c r="K12908" s="166"/>
      <c r="L12908" s="166"/>
    </row>
    <row r="12909">
      <c r="A12909" s="163" t="s">
        <v>222</v>
      </c>
      <c r="B12909" s="163"/>
      <c r="C12909" s="163"/>
      <c r="J12909" s="165"/>
      <c r="K12909" s="166"/>
      <c r="L12909" s="166"/>
    </row>
    <row r="12910">
      <c r="A12910" s="163" t="s">
        <v>222</v>
      </c>
      <c r="B12910" s="163"/>
      <c r="C12910" s="163"/>
      <c r="J12910" s="165"/>
      <c r="K12910" s="166"/>
      <c r="L12910" s="166"/>
    </row>
    <row r="12911">
      <c r="A12911" s="163" t="s">
        <v>222</v>
      </c>
      <c r="B12911" s="163"/>
      <c r="C12911" s="163"/>
      <c r="J12911" s="165"/>
      <c r="K12911" s="166"/>
      <c r="L12911" s="166"/>
    </row>
    <row r="12912">
      <c r="A12912" s="163" t="s">
        <v>222</v>
      </c>
      <c r="B12912" s="163"/>
      <c r="C12912" s="163"/>
      <c r="J12912" s="165"/>
      <c r="K12912" s="166"/>
      <c r="L12912" s="166"/>
    </row>
    <row r="12913">
      <c r="A12913" s="163" t="s">
        <v>222</v>
      </c>
      <c r="B12913" s="163"/>
      <c r="C12913" s="163"/>
      <c r="J12913" s="165"/>
      <c r="K12913" s="166"/>
      <c r="L12913" s="166"/>
    </row>
    <row r="12914">
      <c r="A12914" s="163" t="s">
        <v>222</v>
      </c>
      <c r="B12914" s="163"/>
      <c r="C12914" s="163"/>
      <c r="J12914" s="165"/>
      <c r="K12914" s="166"/>
      <c r="L12914" s="166"/>
    </row>
    <row r="12915">
      <c r="A12915" s="163" t="s">
        <v>222</v>
      </c>
      <c r="B12915" s="163"/>
      <c r="C12915" s="163"/>
      <c r="J12915" s="165"/>
      <c r="K12915" s="166"/>
      <c r="L12915" s="166"/>
    </row>
    <row r="12916">
      <c r="A12916" s="163" t="s">
        <v>222</v>
      </c>
      <c r="B12916" s="163"/>
      <c r="C12916" s="163"/>
      <c r="J12916" s="165"/>
      <c r="K12916" s="166"/>
      <c r="L12916" s="166"/>
    </row>
    <row r="12917">
      <c r="A12917" s="163" t="s">
        <v>222</v>
      </c>
      <c r="B12917" s="163"/>
      <c r="C12917" s="163"/>
      <c r="J12917" s="165"/>
      <c r="K12917" s="166"/>
      <c r="L12917" s="166"/>
    </row>
    <row r="12918">
      <c r="A12918" s="163" t="s">
        <v>222</v>
      </c>
      <c r="B12918" s="163"/>
      <c r="C12918" s="163"/>
      <c r="J12918" s="165"/>
      <c r="K12918" s="166"/>
      <c r="L12918" s="166"/>
    </row>
    <row r="12919">
      <c r="A12919" s="163" t="s">
        <v>222</v>
      </c>
      <c r="B12919" s="163"/>
      <c r="C12919" s="163"/>
      <c r="J12919" s="165"/>
      <c r="K12919" s="166"/>
      <c r="L12919" s="166"/>
    </row>
    <row r="12920">
      <c r="A12920" s="163" t="s">
        <v>222</v>
      </c>
      <c r="B12920" s="163"/>
      <c r="C12920" s="163"/>
      <c r="J12920" s="165"/>
      <c r="K12920" s="166"/>
      <c r="L12920" s="166"/>
    </row>
    <row r="12921">
      <c r="A12921" s="163" t="s">
        <v>222</v>
      </c>
      <c r="B12921" s="163"/>
      <c r="C12921" s="163"/>
      <c r="J12921" s="165"/>
      <c r="K12921" s="166"/>
      <c r="L12921" s="166"/>
    </row>
    <row r="12922">
      <c r="A12922" s="163" t="s">
        <v>222</v>
      </c>
      <c r="B12922" s="163"/>
      <c r="C12922" s="163"/>
      <c r="J12922" s="165"/>
      <c r="K12922" s="166"/>
      <c r="L12922" s="166"/>
    </row>
    <row r="12923">
      <c r="A12923" s="163" t="s">
        <v>222</v>
      </c>
      <c r="B12923" s="163"/>
      <c r="C12923" s="163"/>
      <c r="J12923" s="165"/>
      <c r="K12923" s="166"/>
      <c r="L12923" s="166"/>
    </row>
    <row r="12924">
      <c r="A12924" s="163" t="s">
        <v>222</v>
      </c>
      <c r="B12924" s="163"/>
      <c r="C12924" s="163"/>
      <c r="J12924" s="165"/>
      <c r="K12924" s="166"/>
      <c r="L12924" s="166"/>
    </row>
    <row r="12925">
      <c r="A12925" s="163" t="s">
        <v>222</v>
      </c>
      <c r="B12925" s="163"/>
      <c r="C12925" s="163"/>
      <c r="J12925" s="165"/>
      <c r="K12925" s="166"/>
      <c r="L12925" s="166"/>
    </row>
    <row r="12926">
      <c r="A12926" s="163" t="s">
        <v>222</v>
      </c>
      <c r="B12926" s="163"/>
      <c r="C12926" s="163"/>
      <c r="J12926" s="165"/>
      <c r="K12926" s="166"/>
      <c r="L12926" s="166"/>
    </row>
    <row r="12927">
      <c r="A12927" s="163" t="s">
        <v>222</v>
      </c>
      <c r="B12927" s="163"/>
      <c r="C12927" s="163"/>
      <c r="J12927" s="165"/>
      <c r="K12927" s="166"/>
      <c r="L12927" s="166"/>
    </row>
    <row r="12928">
      <c r="A12928" s="163" t="s">
        <v>222</v>
      </c>
      <c r="B12928" s="163"/>
      <c r="C12928" s="163"/>
      <c r="J12928" s="165"/>
      <c r="K12928" s="166"/>
      <c r="L12928" s="166"/>
    </row>
    <row r="12929">
      <c r="A12929" s="163" t="s">
        <v>222</v>
      </c>
      <c r="B12929" s="163"/>
      <c r="C12929" s="163"/>
      <c r="J12929" s="165"/>
      <c r="K12929" s="166"/>
      <c r="L12929" s="166"/>
    </row>
    <row r="12930">
      <c r="A12930" s="163" t="s">
        <v>222</v>
      </c>
      <c r="B12930" s="163"/>
      <c r="C12930" s="163"/>
      <c r="J12930" s="165"/>
      <c r="K12930" s="166"/>
      <c r="L12930" s="166"/>
    </row>
    <row r="12931">
      <c r="A12931" s="163" t="s">
        <v>222</v>
      </c>
      <c r="B12931" s="163"/>
      <c r="C12931" s="163"/>
      <c r="J12931" s="165"/>
      <c r="K12931" s="166"/>
      <c r="L12931" s="166"/>
    </row>
    <row r="12932">
      <c r="A12932" s="163" t="s">
        <v>222</v>
      </c>
      <c r="B12932" s="163"/>
      <c r="C12932" s="163"/>
      <c r="J12932" s="165"/>
      <c r="K12932" s="166"/>
      <c r="L12932" s="166"/>
    </row>
    <row r="12933">
      <c r="A12933" s="163" t="s">
        <v>222</v>
      </c>
      <c r="B12933" s="163"/>
      <c r="C12933" s="163"/>
      <c r="J12933" s="165"/>
      <c r="K12933" s="166"/>
      <c r="L12933" s="166"/>
    </row>
    <row r="12934">
      <c r="A12934" s="163" t="s">
        <v>222</v>
      </c>
      <c r="B12934" s="163"/>
      <c r="C12934" s="163"/>
      <c r="J12934" s="165"/>
      <c r="K12934" s="166"/>
      <c r="L12934" s="166"/>
    </row>
    <row r="12935">
      <c r="A12935" s="163" t="s">
        <v>222</v>
      </c>
      <c r="B12935" s="163"/>
      <c r="C12935" s="163"/>
      <c r="J12935" s="165"/>
      <c r="K12935" s="166"/>
      <c r="L12935" s="166"/>
    </row>
    <row r="12936">
      <c r="A12936" s="163" t="s">
        <v>222</v>
      </c>
      <c r="B12936" s="163"/>
      <c r="C12936" s="163"/>
      <c r="J12936" s="165"/>
      <c r="K12936" s="166"/>
      <c r="L12936" s="166"/>
    </row>
    <row r="12937">
      <c r="A12937" s="163" t="s">
        <v>222</v>
      </c>
      <c r="B12937" s="163"/>
      <c r="C12937" s="163"/>
      <c r="J12937" s="165"/>
      <c r="K12937" s="166"/>
      <c r="L12937" s="166"/>
    </row>
    <row r="12938">
      <c r="A12938" s="163" t="s">
        <v>222</v>
      </c>
      <c r="B12938" s="163"/>
      <c r="C12938" s="163"/>
      <c r="J12938" s="165"/>
      <c r="K12938" s="166"/>
      <c r="L12938" s="166"/>
    </row>
    <row r="12939">
      <c r="A12939" s="163" t="s">
        <v>222</v>
      </c>
      <c r="B12939" s="163"/>
      <c r="C12939" s="163"/>
      <c r="J12939" s="165"/>
      <c r="K12939" s="166"/>
      <c r="L12939" s="166"/>
    </row>
    <row r="12940">
      <c r="A12940" s="163" t="s">
        <v>222</v>
      </c>
      <c r="B12940" s="163"/>
      <c r="C12940" s="163"/>
      <c r="J12940" s="165"/>
      <c r="K12940" s="166"/>
      <c r="L12940" s="166"/>
    </row>
    <row r="12941">
      <c r="A12941" s="163" t="s">
        <v>222</v>
      </c>
      <c r="B12941" s="163"/>
      <c r="C12941" s="163"/>
      <c r="J12941" s="165"/>
      <c r="K12941" s="166"/>
      <c r="L12941" s="166"/>
    </row>
    <row r="12942">
      <c r="A12942" s="163" t="s">
        <v>222</v>
      </c>
      <c r="B12942" s="163"/>
      <c r="C12942" s="163"/>
      <c r="J12942" s="165"/>
      <c r="K12942" s="166"/>
      <c r="L12942" s="166"/>
    </row>
    <row r="12943">
      <c r="A12943" s="163" t="s">
        <v>222</v>
      </c>
      <c r="B12943" s="163"/>
      <c r="C12943" s="163"/>
      <c r="J12943" s="165"/>
      <c r="K12943" s="166"/>
      <c r="L12943" s="166"/>
    </row>
    <row r="12944">
      <c r="A12944" s="163" t="s">
        <v>222</v>
      </c>
      <c r="B12944" s="163"/>
      <c r="C12944" s="163"/>
      <c r="J12944" s="165"/>
      <c r="K12944" s="166"/>
      <c r="L12944" s="166"/>
    </row>
    <row r="12945">
      <c r="A12945" s="163" t="s">
        <v>222</v>
      </c>
      <c r="B12945" s="163"/>
      <c r="C12945" s="163"/>
      <c r="J12945" s="165"/>
      <c r="K12945" s="166"/>
      <c r="L12945" s="166"/>
    </row>
    <row r="12946">
      <c r="A12946" s="163" t="s">
        <v>222</v>
      </c>
      <c r="B12946" s="163"/>
      <c r="C12946" s="163"/>
      <c r="J12946" s="165"/>
      <c r="K12946" s="166"/>
      <c r="L12946" s="166"/>
    </row>
    <row r="12947">
      <c r="A12947" s="163" t="s">
        <v>222</v>
      </c>
      <c r="B12947" s="163"/>
      <c r="C12947" s="163"/>
      <c r="J12947" s="165"/>
      <c r="K12947" s="166"/>
      <c r="L12947" s="166"/>
    </row>
    <row r="12948">
      <c r="A12948" s="163" t="s">
        <v>222</v>
      </c>
      <c r="B12948" s="163"/>
      <c r="C12948" s="163"/>
      <c r="J12948" s="165"/>
      <c r="K12948" s="166"/>
      <c r="L12948" s="166"/>
    </row>
    <row r="12949">
      <c r="A12949" s="163" t="s">
        <v>222</v>
      </c>
      <c r="B12949" s="163"/>
      <c r="C12949" s="163"/>
      <c r="J12949" s="165"/>
      <c r="K12949" s="166"/>
      <c r="L12949" s="166"/>
    </row>
    <row r="12950">
      <c r="A12950" s="163" t="s">
        <v>222</v>
      </c>
      <c r="B12950" s="163"/>
      <c r="C12950" s="163"/>
      <c r="J12950" s="165"/>
      <c r="K12950" s="166"/>
      <c r="L12950" s="166"/>
    </row>
    <row r="12951">
      <c r="A12951" s="163" t="s">
        <v>222</v>
      </c>
      <c r="B12951" s="163"/>
      <c r="C12951" s="163"/>
      <c r="J12951" s="165"/>
      <c r="K12951" s="166"/>
      <c r="L12951" s="166"/>
    </row>
    <row r="12952">
      <c r="A12952" s="163" t="s">
        <v>222</v>
      </c>
      <c r="B12952" s="163"/>
      <c r="C12952" s="163"/>
      <c r="J12952" s="165"/>
      <c r="K12952" s="166"/>
      <c r="L12952" s="166"/>
    </row>
    <row r="12953">
      <c r="A12953" s="163" t="s">
        <v>222</v>
      </c>
      <c r="B12953" s="163"/>
      <c r="C12953" s="163"/>
      <c r="J12953" s="165"/>
      <c r="K12953" s="166"/>
      <c r="L12953" s="166"/>
    </row>
    <row r="12954">
      <c r="A12954" s="163" t="s">
        <v>222</v>
      </c>
      <c r="B12954" s="163"/>
      <c r="C12954" s="163"/>
      <c r="J12954" s="165"/>
      <c r="K12954" s="166"/>
      <c r="L12954" s="166"/>
    </row>
    <row r="12955">
      <c r="A12955" s="163" t="s">
        <v>222</v>
      </c>
      <c r="B12955" s="163"/>
      <c r="C12955" s="163"/>
      <c r="J12955" s="165"/>
      <c r="K12955" s="166"/>
      <c r="L12955" s="166"/>
    </row>
    <row r="12956">
      <c r="A12956" s="163" t="s">
        <v>222</v>
      </c>
      <c r="B12956" s="163"/>
      <c r="C12956" s="163"/>
      <c r="J12956" s="165"/>
      <c r="K12956" s="166"/>
      <c r="L12956" s="166"/>
    </row>
    <row r="12957">
      <c r="A12957" s="163" t="s">
        <v>222</v>
      </c>
      <c r="B12957" s="163"/>
      <c r="C12957" s="163"/>
      <c r="J12957" s="165"/>
      <c r="K12957" s="166"/>
      <c r="L12957" s="166"/>
    </row>
    <row r="12958">
      <c r="A12958" s="163" t="s">
        <v>222</v>
      </c>
      <c r="B12958" s="163"/>
      <c r="C12958" s="163"/>
      <c r="J12958" s="165"/>
      <c r="K12958" s="166"/>
      <c r="L12958" s="166"/>
    </row>
    <row r="12959">
      <c r="A12959" s="163" t="s">
        <v>222</v>
      </c>
      <c r="B12959" s="163"/>
      <c r="C12959" s="163"/>
      <c r="J12959" s="165"/>
      <c r="K12959" s="166"/>
      <c r="L12959" s="166"/>
    </row>
    <row r="12960">
      <c r="A12960" s="163" t="s">
        <v>222</v>
      </c>
      <c r="B12960" s="163"/>
      <c r="C12960" s="163"/>
      <c r="J12960" s="165"/>
      <c r="K12960" s="166"/>
      <c r="L12960" s="166"/>
    </row>
    <row r="12961">
      <c r="A12961" s="163" t="s">
        <v>222</v>
      </c>
      <c r="B12961" s="163"/>
      <c r="C12961" s="163"/>
      <c r="J12961" s="165"/>
      <c r="K12961" s="166"/>
      <c r="L12961" s="166"/>
    </row>
    <row r="12962">
      <c r="A12962" s="163" t="s">
        <v>222</v>
      </c>
      <c r="B12962" s="163"/>
      <c r="C12962" s="163"/>
      <c r="J12962" s="165"/>
      <c r="K12962" s="166"/>
      <c r="L12962" s="166"/>
    </row>
    <row r="12963">
      <c r="A12963" s="163" t="s">
        <v>222</v>
      </c>
      <c r="B12963" s="163"/>
      <c r="C12963" s="163"/>
      <c r="J12963" s="165"/>
      <c r="K12963" s="166"/>
      <c r="L12963" s="166"/>
    </row>
    <row r="12964">
      <c r="A12964" s="163" t="s">
        <v>222</v>
      </c>
      <c r="B12964" s="163"/>
      <c r="C12964" s="163"/>
      <c r="J12964" s="165"/>
      <c r="K12964" s="166"/>
      <c r="L12964" s="166"/>
    </row>
    <row r="12965">
      <c r="A12965" s="163" t="s">
        <v>222</v>
      </c>
      <c r="B12965" s="163"/>
      <c r="C12965" s="163"/>
      <c r="J12965" s="165"/>
      <c r="K12965" s="166"/>
      <c r="L12965" s="166"/>
    </row>
    <row r="12966">
      <c r="A12966" s="163" t="s">
        <v>222</v>
      </c>
      <c r="B12966" s="163"/>
      <c r="C12966" s="163"/>
      <c r="J12966" s="165"/>
      <c r="K12966" s="166"/>
      <c r="L12966" s="166"/>
    </row>
    <row r="12967">
      <c r="A12967" s="163" t="s">
        <v>222</v>
      </c>
      <c r="B12967" s="163"/>
      <c r="C12967" s="163"/>
      <c r="J12967" s="165"/>
      <c r="K12967" s="166"/>
      <c r="L12967" s="166"/>
    </row>
    <row r="12968">
      <c r="A12968" s="163" t="s">
        <v>222</v>
      </c>
      <c r="B12968" s="163"/>
      <c r="C12968" s="163"/>
      <c r="J12968" s="165"/>
      <c r="K12968" s="166"/>
      <c r="L12968" s="166"/>
    </row>
    <row r="12969">
      <c r="A12969" s="163" t="s">
        <v>222</v>
      </c>
      <c r="B12969" s="163"/>
      <c r="C12969" s="163"/>
      <c r="J12969" s="165"/>
      <c r="K12969" s="166"/>
      <c r="L12969" s="166"/>
    </row>
    <row r="12970">
      <c r="A12970" s="163" t="s">
        <v>222</v>
      </c>
      <c r="B12970" s="163"/>
      <c r="C12970" s="163"/>
      <c r="J12970" s="165"/>
      <c r="K12970" s="166"/>
      <c r="L12970" s="166"/>
    </row>
    <row r="12971">
      <c r="A12971" s="163" t="s">
        <v>222</v>
      </c>
      <c r="B12971" s="163"/>
      <c r="C12971" s="163"/>
      <c r="J12971" s="165"/>
      <c r="K12971" s="166"/>
      <c r="L12971" s="166"/>
    </row>
    <row r="12972">
      <c r="A12972" s="163" t="s">
        <v>222</v>
      </c>
      <c r="B12972" s="163"/>
      <c r="C12972" s="163"/>
      <c r="J12972" s="165"/>
      <c r="K12972" s="166"/>
      <c r="L12972" s="166"/>
    </row>
    <row r="12973">
      <c r="A12973" s="163" t="s">
        <v>222</v>
      </c>
      <c r="B12973" s="163"/>
      <c r="C12973" s="163"/>
      <c r="J12973" s="165"/>
      <c r="K12973" s="166"/>
      <c r="L12973" s="166"/>
    </row>
    <row r="12974">
      <c r="A12974" s="163" t="s">
        <v>222</v>
      </c>
      <c r="B12974" s="163"/>
      <c r="C12974" s="163"/>
      <c r="J12974" s="165"/>
      <c r="K12974" s="166"/>
      <c r="L12974" s="166"/>
    </row>
    <row r="12975">
      <c r="A12975" s="163" t="s">
        <v>222</v>
      </c>
      <c r="B12975" s="163"/>
      <c r="C12975" s="163"/>
      <c r="J12975" s="165"/>
      <c r="K12975" s="166"/>
      <c r="L12975" s="166"/>
    </row>
    <row r="12976">
      <c r="A12976" s="163" t="s">
        <v>222</v>
      </c>
      <c r="B12976" s="163"/>
      <c r="C12976" s="163"/>
      <c r="J12976" s="165"/>
      <c r="K12976" s="166"/>
      <c r="L12976" s="166"/>
    </row>
    <row r="12977">
      <c r="A12977" s="163" t="s">
        <v>222</v>
      </c>
      <c r="B12977" s="163"/>
      <c r="C12977" s="163"/>
      <c r="J12977" s="165"/>
      <c r="K12977" s="166"/>
      <c r="L12977" s="166"/>
    </row>
    <row r="12978">
      <c r="A12978" s="163" t="s">
        <v>222</v>
      </c>
      <c r="B12978" s="163"/>
      <c r="C12978" s="163"/>
      <c r="J12978" s="165"/>
      <c r="K12978" s="166"/>
      <c r="L12978" s="166"/>
    </row>
    <row r="12979">
      <c r="A12979" s="163" t="s">
        <v>222</v>
      </c>
      <c r="B12979" s="163"/>
      <c r="C12979" s="163"/>
      <c r="J12979" s="165"/>
      <c r="K12979" s="166"/>
      <c r="L12979" s="166"/>
    </row>
    <row r="12980">
      <c r="A12980" s="163" t="s">
        <v>222</v>
      </c>
      <c r="B12980" s="163"/>
      <c r="C12980" s="163"/>
      <c r="J12980" s="165"/>
      <c r="K12980" s="166"/>
      <c r="L12980" s="166"/>
    </row>
    <row r="12981">
      <c r="A12981" s="163" t="s">
        <v>222</v>
      </c>
      <c r="B12981" s="163"/>
      <c r="C12981" s="163"/>
      <c r="J12981" s="165"/>
      <c r="K12981" s="166"/>
      <c r="L12981" s="166"/>
    </row>
    <row r="12982">
      <c r="A12982" s="163" t="s">
        <v>222</v>
      </c>
      <c r="B12982" s="163"/>
      <c r="C12982" s="163"/>
      <c r="J12982" s="165"/>
      <c r="K12982" s="166"/>
      <c r="L12982" s="166"/>
    </row>
    <row r="12983">
      <c r="A12983" s="163" t="s">
        <v>222</v>
      </c>
      <c r="B12983" s="163"/>
      <c r="C12983" s="163"/>
      <c r="J12983" s="165"/>
      <c r="K12983" s="166"/>
      <c r="L12983" s="166"/>
    </row>
    <row r="12984">
      <c r="A12984" s="163" t="s">
        <v>222</v>
      </c>
      <c r="B12984" s="163"/>
      <c r="C12984" s="163"/>
      <c r="J12984" s="165"/>
      <c r="K12984" s="166"/>
      <c r="L12984" s="166"/>
    </row>
    <row r="12985">
      <c r="A12985" s="163" t="s">
        <v>222</v>
      </c>
      <c r="B12985" s="163"/>
      <c r="C12985" s="163"/>
      <c r="J12985" s="165"/>
      <c r="K12985" s="166"/>
      <c r="L12985" s="166"/>
    </row>
    <row r="12986">
      <c r="A12986" s="163" t="s">
        <v>222</v>
      </c>
      <c r="B12986" s="163"/>
      <c r="C12986" s="163"/>
      <c r="J12986" s="165"/>
      <c r="K12986" s="166"/>
      <c r="L12986" s="166"/>
    </row>
    <row r="12987">
      <c r="A12987" s="163" t="s">
        <v>222</v>
      </c>
      <c r="B12987" s="163"/>
      <c r="C12987" s="163"/>
      <c r="J12987" s="165"/>
      <c r="K12987" s="166"/>
      <c r="L12987" s="166"/>
    </row>
    <row r="12988">
      <c r="A12988" s="163" t="s">
        <v>222</v>
      </c>
      <c r="B12988" s="163"/>
      <c r="C12988" s="163"/>
      <c r="J12988" s="165"/>
      <c r="K12988" s="166"/>
      <c r="L12988" s="166"/>
    </row>
    <row r="12989">
      <c r="A12989" s="163" t="s">
        <v>222</v>
      </c>
      <c r="B12989" s="163"/>
      <c r="C12989" s="163"/>
      <c r="J12989" s="165"/>
      <c r="K12989" s="166"/>
      <c r="L12989" s="166"/>
    </row>
    <row r="12990">
      <c r="A12990" s="163" t="s">
        <v>222</v>
      </c>
      <c r="B12990" s="163"/>
      <c r="C12990" s="163"/>
      <c r="J12990" s="165"/>
      <c r="K12990" s="166"/>
      <c r="L12990" s="166"/>
    </row>
    <row r="12991">
      <c r="A12991" s="163" t="s">
        <v>222</v>
      </c>
      <c r="B12991" s="163"/>
      <c r="C12991" s="163"/>
      <c r="J12991" s="165"/>
      <c r="K12991" s="166"/>
      <c r="L12991" s="166"/>
    </row>
    <row r="12992">
      <c r="A12992" s="163" t="s">
        <v>222</v>
      </c>
      <c r="B12992" s="163"/>
      <c r="C12992" s="163"/>
      <c r="J12992" s="165"/>
      <c r="K12992" s="166"/>
      <c r="L12992" s="166"/>
    </row>
    <row r="12993">
      <c r="A12993" s="163" t="s">
        <v>222</v>
      </c>
      <c r="B12993" s="163"/>
      <c r="C12993" s="163"/>
      <c r="J12993" s="165"/>
      <c r="K12993" s="166"/>
      <c r="L12993" s="166"/>
    </row>
    <row r="12994">
      <c r="A12994" s="163" t="s">
        <v>222</v>
      </c>
      <c r="B12994" s="163"/>
      <c r="C12994" s="163"/>
      <c r="J12994" s="165"/>
      <c r="K12994" s="166"/>
      <c r="L12994" s="166"/>
    </row>
    <row r="12995">
      <c r="A12995" s="163" t="s">
        <v>222</v>
      </c>
      <c r="B12995" s="163"/>
      <c r="C12995" s="163"/>
      <c r="J12995" s="165"/>
      <c r="K12995" s="166"/>
      <c r="L12995" s="166"/>
    </row>
    <row r="12996">
      <c r="A12996" s="163" t="s">
        <v>222</v>
      </c>
      <c r="B12996" s="163"/>
      <c r="C12996" s="163"/>
      <c r="J12996" s="165"/>
      <c r="K12996" s="166"/>
      <c r="L12996" s="166"/>
    </row>
    <row r="12997">
      <c r="A12997" s="163" t="s">
        <v>222</v>
      </c>
      <c r="B12997" s="163"/>
      <c r="C12997" s="163"/>
      <c r="J12997" s="165"/>
      <c r="K12997" s="166"/>
      <c r="L12997" s="166"/>
    </row>
    <row r="12998">
      <c r="A12998" s="163" t="s">
        <v>222</v>
      </c>
      <c r="B12998" s="163"/>
      <c r="C12998" s="163"/>
      <c r="J12998" s="165"/>
      <c r="K12998" s="166"/>
      <c r="L12998" s="166"/>
    </row>
    <row r="12999">
      <c r="A12999" s="163" t="s">
        <v>222</v>
      </c>
      <c r="B12999" s="163"/>
      <c r="C12999" s="163"/>
      <c r="J12999" s="165"/>
      <c r="K12999" s="166"/>
      <c r="L12999" s="166"/>
    </row>
    <row r="13000">
      <c r="A13000" s="163" t="s">
        <v>222</v>
      </c>
      <c r="B13000" s="163"/>
      <c r="C13000" s="163"/>
      <c r="J13000" s="165"/>
      <c r="K13000" s="166"/>
      <c r="L13000" s="166"/>
    </row>
    <row r="13001">
      <c r="A13001" s="163" t="s">
        <v>222</v>
      </c>
      <c r="B13001" s="163"/>
      <c r="C13001" s="163"/>
      <c r="J13001" s="165"/>
      <c r="K13001" s="166"/>
      <c r="L13001" s="166"/>
    </row>
    <row r="13002">
      <c r="A13002" s="163" t="s">
        <v>222</v>
      </c>
      <c r="B13002" s="163"/>
      <c r="C13002" s="163"/>
      <c r="J13002" s="165"/>
      <c r="K13002" s="166"/>
      <c r="L13002" s="166"/>
    </row>
    <row r="13003">
      <c r="A13003" s="163" t="s">
        <v>222</v>
      </c>
      <c r="B13003" s="163"/>
      <c r="C13003" s="163"/>
      <c r="J13003" s="165"/>
      <c r="K13003" s="166"/>
      <c r="L13003" s="166"/>
    </row>
    <row r="13004">
      <c r="A13004" s="163" t="s">
        <v>222</v>
      </c>
      <c r="B13004" s="163"/>
      <c r="C13004" s="163"/>
      <c r="J13004" s="165"/>
      <c r="K13004" s="166"/>
      <c r="L13004" s="166"/>
    </row>
    <row r="13005">
      <c r="A13005" s="163" t="s">
        <v>222</v>
      </c>
      <c r="B13005" s="163"/>
      <c r="C13005" s="163"/>
      <c r="J13005" s="165"/>
      <c r="K13005" s="166"/>
      <c r="L13005" s="166"/>
    </row>
    <row r="13006">
      <c r="A13006" s="163" t="s">
        <v>222</v>
      </c>
      <c r="B13006" s="163"/>
      <c r="C13006" s="163"/>
      <c r="J13006" s="165"/>
      <c r="K13006" s="166"/>
      <c r="L13006" s="166"/>
    </row>
    <row r="13007">
      <c r="A13007" s="163" t="s">
        <v>222</v>
      </c>
      <c r="B13007" s="163"/>
      <c r="C13007" s="163"/>
      <c r="J13007" s="165"/>
      <c r="K13007" s="166"/>
      <c r="L13007" s="166"/>
    </row>
    <row r="13008">
      <c r="A13008" s="163" t="s">
        <v>222</v>
      </c>
      <c r="B13008" s="163"/>
      <c r="C13008" s="163"/>
      <c r="J13008" s="165"/>
      <c r="K13008" s="166"/>
      <c r="L13008" s="166"/>
    </row>
    <row r="13009">
      <c r="A13009" s="163" t="s">
        <v>222</v>
      </c>
      <c r="B13009" s="163"/>
      <c r="C13009" s="163"/>
      <c r="J13009" s="165"/>
      <c r="K13009" s="166"/>
      <c r="L13009" s="166"/>
    </row>
    <row r="13010">
      <c r="A13010" s="163" t="s">
        <v>222</v>
      </c>
      <c r="B13010" s="163"/>
      <c r="C13010" s="163"/>
      <c r="J13010" s="165"/>
      <c r="K13010" s="166"/>
      <c r="L13010" s="166"/>
    </row>
    <row r="13011">
      <c r="A13011" s="163" t="s">
        <v>222</v>
      </c>
      <c r="B13011" s="163"/>
      <c r="C13011" s="163"/>
      <c r="J13011" s="165"/>
      <c r="K13011" s="166"/>
      <c r="L13011" s="166"/>
    </row>
    <row r="13012">
      <c r="A13012" s="163" t="s">
        <v>222</v>
      </c>
      <c r="B13012" s="163"/>
      <c r="C13012" s="163"/>
      <c r="J13012" s="165"/>
      <c r="K13012" s="166"/>
      <c r="L13012" s="166"/>
    </row>
    <row r="13013">
      <c r="A13013" s="163" t="s">
        <v>222</v>
      </c>
      <c r="B13013" s="163"/>
      <c r="C13013" s="163"/>
      <c r="J13013" s="165"/>
      <c r="K13013" s="166"/>
      <c r="L13013" s="166"/>
    </row>
    <row r="13014">
      <c r="A13014" s="163" t="s">
        <v>222</v>
      </c>
      <c r="B13014" s="163"/>
      <c r="C13014" s="163"/>
      <c r="J13014" s="165"/>
      <c r="K13014" s="166"/>
      <c r="L13014" s="166"/>
    </row>
    <row r="13015">
      <c r="A13015" s="163" t="s">
        <v>222</v>
      </c>
      <c r="B13015" s="163"/>
      <c r="C13015" s="163"/>
      <c r="J13015" s="165"/>
      <c r="K13015" s="166"/>
      <c r="L13015" s="166"/>
    </row>
    <row r="13016">
      <c r="A13016" s="163" t="s">
        <v>222</v>
      </c>
      <c r="B13016" s="163"/>
      <c r="C13016" s="163"/>
      <c r="J13016" s="165"/>
      <c r="K13016" s="166"/>
      <c r="L13016" s="166"/>
    </row>
    <row r="13017">
      <c r="A13017" s="163" t="s">
        <v>222</v>
      </c>
      <c r="B13017" s="163"/>
      <c r="C13017" s="163"/>
      <c r="J13017" s="165"/>
      <c r="K13017" s="166"/>
      <c r="L13017" s="166"/>
    </row>
    <row r="13018">
      <c r="A13018" s="163" t="s">
        <v>222</v>
      </c>
      <c r="B13018" s="163"/>
      <c r="C13018" s="163"/>
      <c r="J13018" s="165"/>
      <c r="K13018" s="166"/>
      <c r="L13018" s="166"/>
    </row>
    <row r="13019">
      <c r="A13019" s="163" t="s">
        <v>222</v>
      </c>
      <c r="B13019" s="163"/>
      <c r="C13019" s="163"/>
      <c r="J13019" s="165"/>
      <c r="K13019" s="166"/>
      <c r="L13019" s="166"/>
    </row>
    <row r="13020">
      <c r="A13020" s="163" t="s">
        <v>222</v>
      </c>
      <c r="B13020" s="163"/>
      <c r="C13020" s="163"/>
      <c r="J13020" s="165"/>
      <c r="K13020" s="166"/>
      <c r="L13020" s="166"/>
    </row>
    <row r="13021">
      <c r="A13021" s="163" t="s">
        <v>222</v>
      </c>
      <c r="B13021" s="163"/>
      <c r="C13021" s="163"/>
      <c r="J13021" s="165"/>
      <c r="K13021" s="166"/>
      <c r="L13021" s="166"/>
    </row>
    <row r="13022">
      <c r="A13022" s="163" t="s">
        <v>222</v>
      </c>
      <c r="B13022" s="163"/>
      <c r="C13022" s="163"/>
      <c r="J13022" s="165"/>
      <c r="K13022" s="166"/>
      <c r="L13022" s="166"/>
    </row>
    <row r="13023">
      <c r="A13023" s="163" t="s">
        <v>222</v>
      </c>
      <c r="B13023" s="163"/>
      <c r="C13023" s="163"/>
      <c r="J13023" s="165"/>
      <c r="K13023" s="166"/>
      <c r="L13023" s="166"/>
    </row>
    <row r="13024">
      <c r="A13024" s="163" t="s">
        <v>222</v>
      </c>
      <c r="B13024" s="163"/>
      <c r="C13024" s="163"/>
      <c r="J13024" s="165"/>
      <c r="K13024" s="166"/>
      <c r="L13024" s="166"/>
    </row>
    <row r="13025">
      <c r="A13025" s="163" t="s">
        <v>222</v>
      </c>
      <c r="B13025" s="163"/>
      <c r="C13025" s="163"/>
      <c r="J13025" s="165"/>
      <c r="K13025" s="166"/>
      <c r="L13025" s="166"/>
    </row>
    <row r="13026">
      <c r="A13026" s="163" t="s">
        <v>222</v>
      </c>
      <c r="B13026" s="163"/>
      <c r="C13026" s="163"/>
      <c r="J13026" s="165"/>
      <c r="K13026" s="166"/>
      <c r="L13026" s="166"/>
    </row>
    <row r="13027">
      <c r="A13027" s="163" t="s">
        <v>222</v>
      </c>
      <c r="B13027" s="163"/>
      <c r="C13027" s="163"/>
      <c r="J13027" s="165"/>
      <c r="K13027" s="166"/>
      <c r="L13027" s="166"/>
    </row>
    <row r="13028">
      <c r="A13028" s="163" t="s">
        <v>222</v>
      </c>
      <c r="B13028" s="163"/>
      <c r="C13028" s="163"/>
      <c r="J13028" s="165"/>
      <c r="K13028" s="166"/>
      <c r="L13028" s="166"/>
    </row>
    <row r="13029">
      <c r="A13029" s="163" t="s">
        <v>222</v>
      </c>
      <c r="B13029" s="163"/>
      <c r="C13029" s="163"/>
      <c r="J13029" s="165"/>
      <c r="K13029" s="166"/>
      <c r="L13029" s="166"/>
    </row>
    <row r="13030">
      <c r="A13030" s="163" t="s">
        <v>222</v>
      </c>
      <c r="B13030" s="163"/>
      <c r="C13030" s="163"/>
      <c r="J13030" s="165"/>
      <c r="K13030" s="166"/>
      <c r="L13030" s="166"/>
    </row>
    <row r="13031">
      <c r="A13031" s="163" t="s">
        <v>222</v>
      </c>
      <c r="B13031" s="163"/>
      <c r="C13031" s="163"/>
      <c r="J13031" s="165"/>
      <c r="K13031" s="166"/>
      <c r="L13031" s="166"/>
    </row>
    <row r="13032">
      <c r="A13032" s="163" t="s">
        <v>222</v>
      </c>
      <c r="B13032" s="163"/>
      <c r="C13032" s="163"/>
      <c r="J13032" s="165"/>
      <c r="K13032" s="166"/>
      <c r="L13032" s="166"/>
    </row>
    <row r="13033">
      <c r="A13033" s="163" t="s">
        <v>222</v>
      </c>
      <c r="B13033" s="163"/>
      <c r="C13033" s="163"/>
      <c r="J13033" s="165"/>
      <c r="K13033" s="166"/>
      <c r="L13033" s="166"/>
    </row>
    <row r="13034">
      <c r="A13034" s="163" t="s">
        <v>222</v>
      </c>
      <c r="B13034" s="163"/>
      <c r="C13034" s="163"/>
      <c r="J13034" s="165"/>
      <c r="K13034" s="166"/>
      <c r="L13034" s="166"/>
    </row>
    <row r="13035">
      <c r="A13035" s="163" t="s">
        <v>222</v>
      </c>
      <c r="B13035" s="163"/>
      <c r="C13035" s="163"/>
      <c r="J13035" s="165"/>
      <c r="K13035" s="166"/>
      <c r="L13035" s="166"/>
    </row>
    <row r="13036">
      <c r="A13036" s="163" t="s">
        <v>222</v>
      </c>
      <c r="B13036" s="163"/>
      <c r="C13036" s="163"/>
      <c r="J13036" s="165"/>
      <c r="K13036" s="166"/>
      <c r="L13036" s="166"/>
    </row>
    <row r="13037">
      <c r="A13037" s="163" t="s">
        <v>222</v>
      </c>
      <c r="B13037" s="163"/>
      <c r="C13037" s="163"/>
      <c r="J13037" s="165"/>
      <c r="K13037" s="166"/>
      <c r="L13037" s="166"/>
    </row>
    <row r="13038">
      <c r="A13038" s="163" t="s">
        <v>222</v>
      </c>
      <c r="B13038" s="163"/>
      <c r="C13038" s="163"/>
      <c r="J13038" s="165"/>
      <c r="K13038" s="166"/>
      <c r="L13038" s="166"/>
    </row>
    <row r="13039">
      <c r="A13039" s="163" t="s">
        <v>222</v>
      </c>
      <c r="B13039" s="163"/>
      <c r="C13039" s="163"/>
      <c r="J13039" s="165"/>
      <c r="K13039" s="166"/>
      <c r="L13039" s="166"/>
    </row>
    <row r="13040">
      <c r="A13040" s="163" t="s">
        <v>222</v>
      </c>
      <c r="B13040" s="163"/>
      <c r="C13040" s="163"/>
      <c r="J13040" s="165"/>
      <c r="K13040" s="166"/>
      <c r="L13040" s="166"/>
    </row>
    <row r="13041">
      <c r="A13041" s="163" t="s">
        <v>222</v>
      </c>
      <c r="B13041" s="163"/>
      <c r="C13041" s="163"/>
      <c r="J13041" s="165"/>
      <c r="K13041" s="166"/>
      <c r="L13041" s="166"/>
    </row>
    <row r="13042">
      <c r="A13042" s="163" t="s">
        <v>222</v>
      </c>
      <c r="B13042" s="163"/>
      <c r="C13042" s="163"/>
      <c r="J13042" s="165"/>
      <c r="K13042" s="166"/>
      <c r="L13042" s="166"/>
    </row>
    <row r="13043">
      <c r="A13043" s="163" t="s">
        <v>222</v>
      </c>
      <c r="B13043" s="163"/>
      <c r="C13043" s="163"/>
      <c r="J13043" s="165"/>
      <c r="K13043" s="166"/>
      <c r="L13043" s="166"/>
    </row>
    <row r="13044">
      <c r="A13044" s="163" t="s">
        <v>222</v>
      </c>
      <c r="B13044" s="163"/>
      <c r="C13044" s="163"/>
      <c r="J13044" s="165"/>
      <c r="K13044" s="166"/>
      <c r="L13044" s="166"/>
    </row>
    <row r="13045">
      <c r="A13045" s="163" t="s">
        <v>222</v>
      </c>
      <c r="B13045" s="163"/>
      <c r="C13045" s="163"/>
      <c r="J13045" s="165"/>
      <c r="K13045" s="166"/>
      <c r="L13045" s="166"/>
    </row>
    <row r="13046">
      <c r="A13046" s="163" t="s">
        <v>222</v>
      </c>
      <c r="B13046" s="163"/>
      <c r="C13046" s="163"/>
      <c r="J13046" s="165"/>
      <c r="K13046" s="166"/>
      <c r="L13046" s="166"/>
    </row>
    <row r="13047">
      <c r="A13047" s="163" t="s">
        <v>222</v>
      </c>
      <c r="B13047" s="163"/>
      <c r="C13047" s="163"/>
      <c r="J13047" s="165"/>
      <c r="K13047" s="166"/>
      <c r="L13047" s="166"/>
    </row>
    <row r="13048">
      <c r="A13048" s="163" t="s">
        <v>222</v>
      </c>
      <c r="B13048" s="163"/>
      <c r="C13048" s="163"/>
      <c r="J13048" s="165"/>
      <c r="K13048" s="166"/>
      <c r="L13048" s="166"/>
    </row>
    <row r="13049">
      <c r="A13049" s="163" t="s">
        <v>222</v>
      </c>
      <c r="B13049" s="163"/>
      <c r="C13049" s="163"/>
      <c r="J13049" s="165"/>
      <c r="K13049" s="166"/>
      <c r="L13049" s="166"/>
    </row>
    <row r="13050">
      <c r="A13050" s="163" t="s">
        <v>222</v>
      </c>
      <c r="B13050" s="163"/>
      <c r="C13050" s="163"/>
      <c r="J13050" s="165"/>
      <c r="K13050" s="166"/>
      <c r="L13050" s="166"/>
    </row>
    <row r="13051">
      <c r="A13051" s="163" t="s">
        <v>222</v>
      </c>
      <c r="B13051" s="163"/>
      <c r="C13051" s="163"/>
      <c r="J13051" s="165"/>
      <c r="K13051" s="166"/>
      <c r="L13051" s="166"/>
    </row>
    <row r="13052">
      <c r="A13052" s="163" t="s">
        <v>222</v>
      </c>
      <c r="B13052" s="163"/>
      <c r="C13052" s="163"/>
      <c r="J13052" s="165"/>
      <c r="K13052" s="166"/>
      <c r="L13052" s="166"/>
    </row>
    <row r="13053">
      <c r="A13053" s="163" t="s">
        <v>222</v>
      </c>
      <c r="B13053" s="163"/>
      <c r="C13053" s="163"/>
      <c r="J13053" s="165"/>
      <c r="K13053" s="166"/>
      <c r="L13053" s="166"/>
    </row>
    <row r="13054">
      <c r="A13054" s="163" t="s">
        <v>222</v>
      </c>
      <c r="B13054" s="163"/>
      <c r="C13054" s="163"/>
      <c r="J13054" s="165"/>
      <c r="K13054" s="166"/>
      <c r="L13054" s="166"/>
    </row>
    <row r="13055">
      <c r="A13055" s="163" t="s">
        <v>222</v>
      </c>
      <c r="B13055" s="163"/>
      <c r="C13055" s="163"/>
      <c r="J13055" s="165"/>
      <c r="K13055" s="166"/>
      <c r="L13055" s="166"/>
    </row>
    <row r="13056">
      <c r="A13056" s="163" t="s">
        <v>222</v>
      </c>
      <c r="B13056" s="163"/>
      <c r="C13056" s="163"/>
      <c r="J13056" s="165"/>
      <c r="K13056" s="166"/>
      <c r="L13056" s="166"/>
    </row>
    <row r="13057">
      <c r="A13057" s="163" t="s">
        <v>222</v>
      </c>
      <c r="B13057" s="163"/>
      <c r="C13057" s="163"/>
      <c r="J13057" s="165"/>
      <c r="K13057" s="166"/>
      <c r="L13057" s="166"/>
    </row>
    <row r="13058">
      <c r="A13058" s="163" t="s">
        <v>222</v>
      </c>
      <c r="B13058" s="163"/>
      <c r="C13058" s="163"/>
      <c r="J13058" s="165"/>
      <c r="K13058" s="166"/>
      <c r="L13058" s="166"/>
    </row>
    <row r="13059">
      <c r="A13059" s="163" t="s">
        <v>222</v>
      </c>
      <c r="B13059" s="163"/>
      <c r="C13059" s="163"/>
      <c r="J13059" s="165"/>
      <c r="K13059" s="166"/>
      <c r="L13059" s="166"/>
    </row>
    <row r="13060">
      <c r="A13060" s="163" t="s">
        <v>222</v>
      </c>
      <c r="B13060" s="163"/>
      <c r="C13060" s="163"/>
      <c r="J13060" s="165"/>
      <c r="K13060" s="166"/>
      <c r="L13060" s="166"/>
    </row>
    <row r="13061">
      <c r="A13061" s="163" t="s">
        <v>222</v>
      </c>
      <c r="B13061" s="163"/>
      <c r="C13061" s="163"/>
      <c r="J13061" s="165"/>
      <c r="K13061" s="166"/>
      <c r="L13061" s="166"/>
    </row>
    <row r="13062">
      <c r="A13062" s="163" t="s">
        <v>222</v>
      </c>
      <c r="B13062" s="163"/>
      <c r="C13062" s="163"/>
      <c r="J13062" s="165"/>
      <c r="K13062" s="166"/>
      <c r="L13062" s="166"/>
    </row>
    <row r="13063">
      <c r="A13063" s="163" t="s">
        <v>222</v>
      </c>
      <c r="B13063" s="163"/>
      <c r="C13063" s="163"/>
      <c r="J13063" s="165"/>
      <c r="K13063" s="166"/>
      <c r="L13063" s="166"/>
    </row>
    <row r="13064">
      <c r="A13064" s="163" t="s">
        <v>222</v>
      </c>
      <c r="B13064" s="163"/>
      <c r="C13064" s="163"/>
      <c r="J13064" s="165"/>
      <c r="K13064" s="166"/>
      <c r="L13064" s="166"/>
    </row>
    <row r="13065">
      <c r="A13065" s="163" t="s">
        <v>222</v>
      </c>
      <c r="B13065" s="163"/>
      <c r="C13065" s="163"/>
      <c r="J13065" s="165"/>
      <c r="K13065" s="166"/>
      <c r="L13065" s="166"/>
    </row>
    <row r="13066">
      <c r="A13066" s="163" t="s">
        <v>222</v>
      </c>
      <c r="B13066" s="163"/>
      <c r="C13066" s="163"/>
      <c r="J13066" s="165"/>
      <c r="K13066" s="166"/>
      <c r="L13066" s="166"/>
    </row>
    <row r="13067">
      <c r="A13067" s="163" t="s">
        <v>222</v>
      </c>
      <c r="B13067" s="163"/>
      <c r="C13067" s="163"/>
      <c r="J13067" s="165"/>
      <c r="K13067" s="166"/>
      <c r="L13067" s="166"/>
    </row>
    <row r="13068">
      <c r="A13068" s="163" t="s">
        <v>222</v>
      </c>
      <c r="B13068" s="163"/>
      <c r="C13068" s="163"/>
      <c r="J13068" s="165"/>
      <c r="K13068" s="166"/>
      <c r="L13068" s="166"/>
    </row>
    <row r="13069">
      <c r="A13069" s="163" t="s">
        <v>222</v>
      </c>
      <c r="B13069" s="163"/>
      <c r="C13069" s="163"/>
      <c r="J13069" s="165"/>
      <c r="K13069" s="166"/>
      <c r="L13069" s="166"/>
    </row>
    <row r="13070">
      <c r="A13070" s="163" t="s">
        <v>222</v>
      </c>
      <c r="B13070" s="163"/>
      <c r="C13070" s="163"/>
      <c r="J13070" s="165"/>
      <c r="K13070" s="166"/>
      <c r="L13070" s="166"/>
    </row>
    <row r="13071">
      <c r="A13071" s="163" t="s">
        <v>222</v>
      </c>
      <c r="B13071" s="163"/>
      <c r="C13071" s="163"/>
      <c r="J13071" s="165"/>
      <c r="K13071" s="166"/>
      <c r="L13071" s="166"/>
    </row>
    <row r="13072">
      <c r="A13072" s="163" t="s">
        <v>222</v>
      </c>
      <c r="B13072" s="163"/>
      <c r="C13072" s="163"/>
      <c r="J13072" s="165"/>
      <c r="K13072" s="166"/>
      <c r="L13072" s="166"/>
    </row>
    <row r="13073">
      <c r="A13073" s="163" t="s">
        <v>222</v>
      </c>
      <c r="B13073" s="163"/>
      <c r="C13073" s="163"/>
      <c r="J13073" s="165"/>
      <c r="K13073" s="166"/>
      <c r="L13073" s="166"/>
    </row>
    <row r="13074">
      <c r="A13074" s="163" t="s">
        <v>222</v>
      </c>
      <c r="B13074" s="163"/>
      <c r="C13074" s="163"/>
      <c r="J13074" s="165"/>
      <c r="K13074" s="166"/>
      <c r="L13074" s="166"/>
    </row>
    <row r="13075">
      <c r="A13075" s="163" t="s">
        <v>222</v>
      </c>
      <c r="B13075" s="163"/>
      <c r="C13075" s="163"/>
      <c r="J13075" s="165"/>
      <c r="K13075" s="166"/>
      <c r="L13075" s="166"/>
    </row>
    <row r="13076">
      <c r="A13076" s="163" t="s">
        <v>222</v>
      </c>
      <c r="B13076" s="163"/>
      <c r="C13076" s="163"/>
      <c r="J13076" s="165"/>
      <c r="K13076" s="166"/>
      <c r="L13076" s="166"/>
    </row>
    <row r="13077">
      <c r="A13077" s="163" t="s">
        <v>222</v>
      </c>
      <c r="B13077" s="163"/>
      <c r="C13077" s="163"/>
      <c r="J13077" s="165"/>
      <c r="K13077" s="166"/>
      <c r="L13077" s="166"/>
    </row>
    <row r="13078">
      <c r="A13078" s="163" t="s">
        <v>222</v>
      </c>
      <c r="B13078" s="163"/>
      <c r="C13078" s="163"/>
      <c r="J13078" s="165"/>
      <c r="K13078" s="166"/>
      <c r="L13078" s="166"/>
    </row>
    <row r="13079">
      <c r="A13079" s="163" t="s">
        <v>222</v>
      </c>
      <c r="B13079" s="163"/>
      <c r="C13079" s="163"/>
      <c r="J13079" s="165"/>
      <c r="K13079" s="166"/>
      <c r="L13079" s="166"/>
    </row>
    <row r="13080">
      <c r="A13080" s="163" t="s">
        <v>222</v>
      </c>
      <c r="B13080" s="163"/>
      <c r="C13080" s="163"/>
      <c r="J13080" s="165"/>
      <c r="K13080" s="166"/>
      <c r="L13080" s="166"/>
    </row>
    <row r="13081">
      <c r="A13081" s="163" t="s">
        <v>222</v>
      </c>
      <c r="B13081" s="163"/>
      <c r="C13081" s="163"/>
      <c r="J13081" s="165"/>
      <c r="K13081" s="166"/>
      <c r="L13081" s="166"/>
    </row>
    <row r="13082">
      <c r="A13082" s="163" t="s">
        <v>222</v>
      </c>
      <c r="B13082" s="163"/>
      <c r="C13082" s="163"/>
      <c r="J13082" s="165"/>
      <c r="K13082" s="166"/>
      <c r="L13082" s="166"/>
    </row>
    <row r="13083">
      <c r="A13083" s="163" t="s">
        <v>222</v>
      </c>
      <c r="B13083" s="163"/>
      <c r="C13083" s="163"/>
      <c r="J13083" s="165"/>
      <c r="K13083" s="166"/>
      <c r="L13083" s="166"/>
    </row>
    <row r="13084">
      <c r="A13084" s="163" t="s">
        <v>222</v>
      </c>
      <c r="B13084" s="163"/>
      <c r="C13084" s="163"/>
      <c r="J13084" s="165"/>
      <c r="K13084" s="166"/>
      <c r="L13084" s="166"/>
    </row>
    <row r="13085">
      <c r="A13085" s="163" t="s">
        <v>222</v>
      </c>
      <c r="B13085" s="163"/>
      <c r="C13085" s="163"/>
      <c r="J13085" s="165"/>
      <c r="K13085" s="166"/>
      <c r="L13085" s="166"/>
    </row>
    <row r="13086">
      <c r="A13086" s="163" t="s">
        <v>222</v>
      </c>
      <c r="B13086" s="163"/>
      <c r="C13086" s="163"/>
      <c r="J13086" s="165"/>
      <c r="K13086" s="166"/>
      <c r="L13086" s="166"/>
    </row>
    <row r="13087">
      <c r="A13087" s="163" t="s">
        <v>222</v>
      </c>
      <c r="B13087" s="163"/>
      <c r="C13087" s="163"/>
      <c r="J13087" s="165"/>
      <c r="K13087" s="166"/>
      <c r="L13087" s="166"/>
    </row>
    <row r="13088">
      <c r="A13088" s="163" t="s">
        <v>222</v>
      </c>
      <c r="B13088" s="163"/>
      <c r="C13088" s="163"/>
      <c r="J13088" s="165"/>
      <c r="K13088" s="166"/>
      <c r="L13088" s="166"/>
    </row>
    <row r="13089">
      <c r="A13089" s="163" t="s">
        <v>222</v>
      </c>
      <c r="B13089" s="163"/>
      <c r="C13089" s="163"/>
      <c r="J13089" s="165"/>
      <c r="K13089" s="166"/>
      <c r="L13089" s="166"/>
    </row>
    <row r="13090">
      <c r="A13090" s="163" t="s">
        <v>222</v>
      </c>
      <c r="B13090" s="163"/>
      <c r="C13090" s="163"/>
      <c r="J13090" s="165"/>
      <c r="K13090" s="166"/>
      <c r="L13090" s="166"/>
    </row>
    <row r="13091">
      <c r="A13091" s="163" t="s">
        <v>222</v>
      </c>
      <c r="B13091" s="163"/>
      <c r="C13091" s="163"/>
      <c r="J13091" s="165"/>
      <c r="K13091" s="166"/>
      <c r="L13091" s="166"/>
    </row>
    <row r="13092">
      <c r="A13092" s="163" t="s">
        <v>222</v>
      </c>
      <c r="B13092" s="163"/>
      <c r="C13092" s="163"/>
      <c r="J13092" s="165"/>
      <c r="K13092" s="166"/>
      <c r="L13092" s="166"/>
    </row>
    <row r="13093">
      <c r="A13093" s="163" t="s">
        <v>222</v>
      </c>
      <c r="B13093" s="163"/>
      <c r="C13093" s="163"/>
      <c r="J13093" s="165"/>
      <c r="K13093" s="166"/>
      <c r="L13093" s="166"/>
    </row>
    <row r="13094">
      <c r="A13094" s="163" t="s">
        <v>222</v>
      </c>
      <c r="B13094" s="163"/>
      <c r="C13094" s="163"/>
      <c r="J13094" s="165"/>
      <c r="K13094" s="166"/>
      <c r="L13094" s="166"/>
    </row>
    <row r="13095">
      <c r="A13095" s="163" t="s">
        <v>222</v>
      </c>
      <c r="B13095" s="163"/>
      <c r="C13095" s="163"/>
      <c r="J13095" s="165"/>
      <c r="K13095" s="166"/>
      <c r="L13095" s="166"/>
    </row>
    <row r="13096">
      <c r="A13096" s="163" t="s">
        <v>222</v>
      </c>
      <c r="B13096" s="163"/>
      <c r="C13096" s="163"/>
      <c r="J13096" s="165"/>
      <c r="K13096" s="166"/>
      <c r="L13096" s="166"/>
    </row>
    <row r="13097">
      <c r="A13097" s="163" t="s">
        <v>222</v>
      </c>
      <c r="B13097" s="163"/>
      <c r="C13097" s="163"/>
      <c r="J13097" s="165"/>
      <c r="K13097" s="166"/>
      <c r="L13097" s="166"/>
    </row>
    <row r="13098">
      <c r="A13098" s="163" t="s">
        <v>222</v>
      </c>
      <c r="B13098" s="163"/>
      <c r="C13098" s="163"/>
      <c r="J13098" s="165"/>
      <c r="K13098" s="166"/>
      <c r="L13098" s="166"/>
    </row>
    <row r="13099">
      <c r="A13099" s="163" t="s">
        <v>222</v>
      </c>
      <c r="B13099" s="163"/>
      <c r="C13099" s="163"/>
      <c r="J13099" s="165"/>
      <c r="K13099" s="166"/>
      <c r="L13099" s="166"/>
    </row>
    <row r="13100">
      <c r="A13100" s="163" t="s">
        <v>222</v>
      </c>
      <c r="B13100" s="163"/>
      <c r="C13100" s="163"/>
      <c r="J13100" s="165"/>
      <c r="K13100" s="166"/>
      <c r="L13100" s="166"/>
    </row>
    <row r="13101">
      <c r="A13101" s="163" t="s">
        <v>222</v>
      </c>
      <c r="B13101" s="163"/>
      <c r="C13101" s="163"/>
      <c r="J13101" s="165"/>
      <c r="K13101" s="166"/>
      <c r="L13101" s="166"/>
    </row>
    <row r="13102">
      <c r="A13102" s="163" t="s">
        <v>222</v>
      </c>
      <c r="B13102" s="163"/>
      <c r="C13102" s="163"/>
      <c r="J13102" s="165"/>
      <c r="K13102" s="166"/>
      <c r="L13102" s="166"/>
    </row>
    <row r="13103">
      <c r="A13103" s="163" t="s">
        <v>222</v>
      </c>
      <c r="B13103" s="163"/>
      <c r="C13103" s="163"/>
      <c r="J13103" s="165"/>
      <c r="K13103" s="166"/>
      <c r="L13103" s="166"/>
    </row>
    <row r="13104">
      <c r="A13104" s="163" t="s">
        <v>222</v>
      </c>
      <c r="B13104" s="163"/>
      <c r="C13104" s="163"/>
      <c r="J13104" s="165"/>
      <c r="K13104" s="166"/>
      <c r="L13104" s="166"/>
    </row>
    <row r="13105">
      <c r="A13105" s="163" t="s">
        <v>222</v>
      </c>
      <c r="B13105" s="163"/>
      <c r="C13105" s="163"/>
      <c r="J13105" s="165"/>
      <c r="K13105" s="166"/>
      <c r="L13105" s="166"/>
    </row>
    <row r="13106">
      <c r="A13106" s="163" t="s">
        <v>222</v>
      </c>
      <c r="B13106" s="163"/>
      <c r="C13106" s="163"/>
      <c r="J13106" s="165"/>
      <c r="K13106" s="166"/>
      <c r="L13106" s="166"/>
    </row>
    <row r="13107">
      <c r="A13107" s="163" t="s">
        <v>222</v>
      </c>
      <c r="B13107" s="163"/>
      <c r="C13107" s="163"/>
      <c r="J13107" s="165"/>
      <c r="K13107" s="166"/>
      <c r="L13107" s="166"/>
    </row>
    <row r="13108">
      <c r="A13108" s="163" t="s">
        <v>222</v>
      </c>
      <c r="B13108" s="163"/>
      <c r="C13108" s="163"/>
      <c r="J13108" s="165"/>
      <c r="K13108" s="166"/>
      <c r="L13108" s="166"/>
    </row>
    <row r="13109">
      <c r="A13109" s="163" t="s">
        <v>222</v>
      </c>
      <c r="B13109" s="163"/>
      <c r="C13109" s="163"/>
      <c r="J13109" s="165"/>
      <c r="K13109" s="166"/>
      <c r="L13109" s="166"/>
    </row>
    <row r="13110">
      <c r="A13110" s="163" t="s">
        <v>222</v>
      </c>
      <c r="B13110" s="163"/>
      <c r="C13110" s="163"/>
      <c r="J13110" s="165"/>
      <c r="K13110" s="166"/>
      <c r="L13110" s="166"/>
    </row>
    <row r="13111">
      <c r="A13111" s="163" t="s">
        <v>222</v>
      </c>
      <c r="B13111" s="163"/>
      <c r="C13111" s="163"/>
      <c r="J13111" s="165"/>
      <c r="K13111" s="166"/>
      <c r="L13111" s="166"/>
    </row>
    <row r="13112">
      <c r="A13112" s="163" t="s">
        <v>222</v>
      </c>
      <c r="B13112" s="163"/>
      <c r="C13112" s="163"/>
      <c r="J13112" s="165"/>
      <c r="K13112" s="166"/>
      <c r="L13112" s="166"/>
    </row>
    <row r="13113">
      <c r="A13113" s="163" t="s">
        <v>222</v>
      </c>
      <c r="B13113" s="163"/>
      <c r="C13113" s="163"/>
      <c r="J13113" s="165"/>
      <c r="K13113" s="166"/>
      <c r="L13113" s="166"/>
    </row>
    <row r="13114">
      <c r="A13114" s="163" t="s">
        <v>222</v>
      </c>
      <c r="B13114" s="163"/>
      <c r="C13114" s="163"/>
      <c r="J13114" s="165"/>
      <c r="K13114" s="166"/>
      <c r="L13114" s="166"/>
    </row>
    <row r="13115">
      <c r="A13115" s="163" t="s">
        <v>222</v>
      </c>
      <c r="B13115" s="163"/>
      <c r="C13115" s="163"/>
      <c r="J13115" s="165"/>
      <c r="K13115" s="166"/>
      <c r="L13115" s="166"/>
    </row>
    <row r="13116">
      <c r="A13116" s="163" t="s">
        <v>222</v>
      </c>
      <c r="B13116" s="163"/>
      <c r="C13116" s="163"/>
      <c r="J13116" s="165"/>
      <c r="K13116" s="166"/>
      <c r="L13116" s="166"/>
    </row>
    <row r="13117">
      <c r="A13117" s="163" t="s">
        <v>222</v>
      </c>
      <c r="B13117" s="163"/>
      <c r="C13117" s="163"/>
      <c r="J13117" s="165"/>
      <c r="K13117" s="166"/>
      <c r="L13117" s="166"/>
    </row>
    <row r="13118">
      <c r="A13118" s="163" t="s">
        <v>222</v>
      </c>
      <c r="B13118" s="163"/>
      <c r="C13118" s="163"/>
      <c r="J13118" s="165"/>
      <c r="K13118" s="166"/>
      <c r="L13118" s="166"/>
    </row>
    <row r="13119">
      <c r="A13119" s="163" t="s">
        <v>222</v>
      </c>
      <c r="B13119" s="163"/>
      <c r="C13119" s="163"/>
      <c r="J13119" s="165"/>
      <c r="K13119" s="166"/>
      <c r="L13119" s="166"/>
    </row>
    <row r="13120">
      <c r="A13120" s="163" t="s">
        <v>222</v>
      </c>
      <c r="B13120" s="163"/>
      <c r="C13120" s="163"/>
      <c r="J13120" s="165"/>
      <c r="K13120" s="166"/>
      <c r="L13120" s="166"/>
    </row>
    <row r="13121">
      <c r="A13121" s="163" t="s">
        <v>222</v>
      </c>
      <c r="B13121" s="163"/>
      <c r="C13121" s="163"/>
      <c r="J13121" s="165"/>
      <c r="K13121" s="166"/>
      <c r="L13121" s="166"/>
    </row>
    <row r="13122">
      <c r="A13122" s="163" t="s">
        <v>222</v>
      </c>
      <c r="B13122" s="163"/>
      <c r="C13122" s="163"/>
      <c r="J13122" s="165"/>
      <c r="K13122" s="166"/>
      <c r="L13122" s="166"/>
    </row>
    <row r="13123">
      <c r="A13123" s="163" t="s">
        <v>222</v>
      </c>
      <c r="B13123" s="163"/>
      <c r="C13123" s="163"/>
      <c r="J13123" s="165"/>
      <c r="K13123" s="166"/>
      <c r="L13123" s="166"/>
    </row>
    <row r="13124">
      <c r="A13124" s="163" t="s">
        <v>222</v>
      </c>
      <c r="B13124" s="163"/>
      <c r="C13124" s="163"/>
      <c r="J13124" s="165"/>
      <c r="K13124" s="166"/>
      <c r="L13124" s="166"/>
    </row>
    <row r="13125">
      <c r="A13125" s="163" t="s">
        <v>222</v>
      </c>
      <c r="B13125" s="163"/>
      <c r="C13125" s="163"/>
      <c r="J13125" s="165"/>
      <c r="K13125" s="166"/>
      <c r="L13125" s="166"/>
    </row>
    <row r="13126">
      <c r="A13126" s="163" t="s">
        <v>222</v>
      </c>
      <c r="B13126" s="163"/>
      <c r="C13126" s="163"/>
      <c r="J13126" s="165"/>
      <c r="K13126" s="166"/>
      <c r="L13126" s="166"/>
    </row>
    <row r="13127">
      <c r="A13127" s="163" t="s">
        <v>222</v>
      </c>
      <c r="B13127" s="163"/>
      <c r="C13127" s="163"/>
      <c r="J13127" s="165"/>
      <c r="K13127" s="166"/>
      <c r="L13127" s="166"/>
    </row>
    <row r="13128">
      <c r="A13128" s="163" t="s">
        <v>222</v>
      </c>
      <c r="B13128" s="163"/>
      <c r="C13128" s="163"/>
      <c r="J13128" s="165"/>
      <c r="K13128" s="166"/>
      <c r="L13128" s="166"/>
    </row>
    <row r="13129">
      <c r="A13129" s="163" t="s">
        <v>222</v>
      </c>
      <c r="B13129" s="163"/>
      <c r="C13129" s="163"/>
      <c r="J13129" s="165"/>
      <c r="K13129" s="166"/>
      <c r="L13129" s="166"/>
    </row>
    <row r="13130">
      <c r="A13130" s="163" t="s">
        <v>222</v>
      </c>
      <c r="B13130" s="163"/>
      <c r="C13130" s="163"/>
      <c r="J13130" s="165"/>
      <c r="K13130" s="166"/>
      <c r="L13130" s="166"/>
    </row>
    <row r="13131">
      <c r="A13131" s="163" t="s">
        <v>222</v>
      </c>
      <c r="B13131" s="163"/>
      <c r="C13131" s="163"/>
      <c r="J13131" s="165"/>
      <c r="K13131" s="166"/>
      <c r="L13131" s="166"/>
    </row>
    <row r="13132">
      <c r="A13132" s="163" t="s">
        <v>222</v>
      </c>
      <c r="B13132" s="163"/>
      <c r="C13132" s="163"/>
      <c r="J13132" s="165"/>
      <c r="K13132" s="166"/>
      <c r="L13132" s="166"/>
    </row>
    <row r="13133">
      <c r="A13133" s="163" t="s">
        <v>222</v>
      </c>
      <c r="B13133" s="163"/>
      <c r="C13133" s="163"/>
      <c r="J13133" s="165"/>
      <c r="K13133" s="166"/>
      <c r="L13133" s="166"/>
    </row>
    <row r="13134">
      <c r="A13134" s="163" t="s">
        <v>222</v>
      </c>
      <c r="B13134" s="163"/>
      <c r="C13134" s="163"/>
      <c r="J13134" s="165"/>
      <c r="K13134" s="166"/>
      <c r="L13134" s="166"/>
    </row>
    <row r="13135">
      <c r="A13135" s="163" t="s">
        <v>222</v>
      </c>
      <c r="B13135" s="163"/>
      <c r="C13135" s="163"/>
      <c r="J13135" s="165"/>
      <c r="K13135" s="166"/>
      <c r="L13135" s="166"/>
    </row>
    <row r="13136">
      <c r="A13136" s="163" t="s">
        <v>222</v>
      </c>
      <c r="B13136" s="163"/>
      <c r="C13136" s="163"/>
      <c r="J13136" s="165"/>
      <c r="K13136" s="166"/>
      <c r="L13136" s="166"/>
    </row>
    <row r="13137">
      <c r="A13137" s="163" t="s">
        <v>222</v>
      </c>
      <c r="B13137" s="163"/>
      <c r="C13137" s="163"/>
      <c r="J13137" s="165"/>
      <c r="K13137" s="166"/>
      <c r="L13137" s="166"/>
    </row>
    <row r="13138">
      <c r="A13138" s="163" t="s">
        <v>222</v>
      </c>
      <c r="B13138" s="163"/>
      <c r="C13138" s="163"/>
      <c r="J13138" s="165"/>
      <c r="K13138" s="166"/>
      <c r="L13138" s="166"/>
    </row>
    <row r="13139">
      <c r="A13139" s="163" t="s">
        <v>222</v>
      </c>
      <c r="B13139" s="163"/>
      <c r="C13139" s="163"/>
      <c r="J13139" s="165"/>
      <c r="K13139" s="166"/>
      <c r="L13139" s="166"/>
    </row>
    <row r="13140">
      <c r="A13140" s="163" t="s">
        <v>222</v>
      </c>
      <c r="B13140" s="163"/>
      <c r="C13140" s="163"/>
      <c r="J13140" s="165"/>
      <c r="K13140" s="166"/>
      <c r="L13140" s="166"/>
    </row>
    <row r="13141">
      <c r="A13141" s="163" t="s">
        <v>222</v>
      </c>
      <c r="B13141" s="163"/>
      <c r="C13141" s="163"/>
      <c r="J13141" s="165"/>
      <c r="K13141" s="166"/>
      <c r="L13141" s="166"/>
    </row>
    <row r="13142">
      <c r="A13142" s="163" t="s">
        <v>222</v>
      </c>
      <c r="B13142" s="163"/>
      <c r="C13142" s="163"/>
      <c r="J13142" s="165"/>
      <c r="K13142" s="166"/>
      <c r="L13142" s="166"/>
    </row>
    <row r="13143">
      <c r="A13143" s="163" t="s">
        <v>222</v>
      </c>
      <c r="B13143" s="163"/>
      <c r="C13143" s="163"/>
      <c r="J13143" s="165"/>
      <c r="K13143" s="166"/>
      <c r="L13143" s="166"/>
    </row>
    <row r="13144">
      <c r="A13144" s="163" t="s">
        <v>222</v>
      </c>
      <c r="B13144" s="163"/>
      <c r="C13144" s="163"/>
      <c r="J13144" s="165"/>
      <c r="K13144" s="166"/>
      <c r="L13144" s="166"/>
    </row>
    <row r="13145">
      <c r="A13145" s="163" t="s">
        <v>222</v>
      </c>
      <c r="B13145" s="163"/>
      <c r="C13145" s="163"/>
      <c r="J13145" s="165"/>
      <c r="K13145" s="166"/>
      <c r="L13145" s="166"/>
    </row>
    <row r="13146">
      <c r="A13146" s="163" t="s">
        <v>222</v>
      </c>
      <c r="B13146" s="163"/>
      <c r="C13146" s="163"/>
      <c r="J13146" s="165"/>
      <c r="K13146" s="166"/>
      <c r="L13146" s="166"/>
    </row>
    <row r="13147">
      <c r="A13147" s="163" t="s">
        <v>222</v>
      </c>
      <c r="B13147" s="163"/>
      <c r="C13147" s="163"/>
      <c r="J13147" s="165"/>
      <c r="K13147" s="166"/>
      <c r="L13147" s="166"/>
    </row>
    <row r="13148">
      <c r="A13148" s="163" t="s">
        <v>222</v>
      </c>
      <c r="B13148" s="163"/>
      <c r="C13148" s="163"/>
      <c r="J13148" s="165"/>
      <c r="K13148" s="166"/>
      <c r="L13148" s="166"/>
    </row>
    <row r="13149">
      <c r="A13149" s="163" t="s">
        <v>222</v>
      </c>
      <c r="B13149" s="163"/>
      <c r="C13149" s="163"/>
      <c r="J13149" s="165"/>
      <c r="K13149" s="166"/>
      <c r="L13149" s="166"/>
    </row>
    <row r="13150">
      <c r="A13150" s="163" t="s">
        <v>222</v>
      </c>
      <c r="B13150" s="163"/>
      <c r="C13150" s="163"/>
      <c r="J13150" s="165"/>
      <c r="K13150" s="166"/>
      <c r="L13150" s="166"/>
    </row>
    <row r="13151">
      <c r="A13151" s="163" t="s">
        <v>222</v>
      </c>
      <c r="B13151" s="163"/>
      <c r="C13151" s="163"/>
      <c r="J13151" s="165"/>
      <c r="K13151" s="166"/>
      <c r="L13151" s="166"/>
    </row>
    <row r="13152">
      <c r="A13152" s="163" t="s">
        <v>222</v>
      </c>
      <c r="B13152" s="163"/>
      <c r="C13152" s="163"/>
      <c r="J13152" s="165"/>
      <c r="K13152" s="166"/>
      <c r="L13152" s="166"/>
    </row>
    <row r="13153">
      <c r="A13153" s="163" t="s">
        <v>222</v>
      </c>
      <c r="B13153" s="163"/>
      <c r="C13153" s="163"/>
      <c r="J13153" s="165"/>
      <c r="K13153" s="166"/>
      <c r="L13153" s="166"/>
    </row>
    <row r="13154">
      <c r="A13154" s="163" t="s">
        <v>222</v>
      </c>
      <c r="B13154" s="163"/>
      <c r="C13154" s="163"/>
      <c r="J13154" s="165"/>
      <c r="K13154" s="166"/>
      <c r="L13154" s="166"/>
    </row>
    <row r="13155">
      <c r="A13155" s="163" t="s">
        <v>222</v>
      </c>
      <c r="B13155" s="163"/>
      <c r="C13155" s="163"/>
      <c r="J13155" s="165"/>
      <c r="K13155" s="166"/>
      <c r="L13155" s="166"/>
    </row>
    <row r="13156">
      <c r="A13156" s="163" t="s">
        <v>222</v>
      </c>
      <c r="B13156" s="163"/>
      <c r="C13156" s="163"/>
      <c r="J13156" s="165"/>
      <c r="K13156" s="166"/>
      <c r="L13156" s="166"/>
    </row>
    <row r="13157">
      <c r="A13157" s="163" t="s">
        <v>222</v>
      </c>
      <c r="B13157" s="163"/>
      <c r="C13157" s="163"/>
      <c r="J13157" s="165"/>
      <c r="K13157" s="166"/>
      <c r="L13157" s="166"/>
    </row>
    <row r="13158">
      <c r="A13158" s="163" t="s">
        <v>222</v>
      </c>
      <c r="B13158" s="163"/>
      <c r="C13158" s="163"/>
      <c r="J13158" s="165"/>
      <c r="K13158" s="166"/>
      <c r="L13158" s="166"/>
    </row>
    <row r="13159">
      <c r="A13159" s="163" t="s">
        <v>222</v>
      </c>
      <c r="B13159" s="163"/>
      <c r="C13159" s="163"/>
      <c r="J13159" s="165"/>
      <c r="K13159" s="166"/>
      <c r="L13159" s="166"/>
    </row>
    <row r="13160">
      <c r="A13160" s="163" t="s">
        <v>222</v>
      </c>
      <c r="B13160" s="163"/>
      <c r="C13160" s="163"/>
      <c r="J13160" s="165"/>
      <c r="K13160" s="166"/>
      <c r="L13160" s="166"/>
    </row>
    <row r="13161">
      <c r="A13161" s="163" t="s">
        <v>222</v>
      </c>
      <c r="B13161" s="163"/>
      <c r="C13161" s="163"/>
      <c r="J13161" s="165"/>
      <c r="K13161" s="166"/>
      <c r="L13161" s="166"/>
    </row>
    <row r="13162">
      <c r="A13162" s="163" t="s">
        <v>222</v>
      </c>
      <c r="B13162" s="163"/>
      <c r="C13162" s="163"/>
      <c r="J13162" s="165"/>
      <c r="K13162" s="166"/>
      <c r="L13162" s="166"/>
    </row>
    <row r="13163">
      <c r="A13163" s="163" t="s">
        <v>222</v>
      </c>
      <c r="B13163" s="163"/>
      <c r="C13163" s="163"/>
      <c r="J13163" s="165"/>
      <c r="K13163" s="166"/>
      <c r="L13163" s="166"/>
    </row>
    <row r="13164">
      <c r="A13164" s="163" t="s">
        <v>222</v>
      </c>
      <c r="B13164" s="163"/>
      <c r="C13164" s="163"/>
      <c r="J13164" s="165"/>
      <c r="K13164" s="166"/>
      <c r="L13164" s="166"/>
    </row>
    <row r="13165">
      <c r="A13165" s="163" t="s">
        <v>222</v>
      </c>
      <c r="B13165" s="163"/>
      <c r="C13165" s="163"/>
      <c r="J13165" s="165"/>
      <c r="K13165" s="166"/>
      <c r="L13165" s="166"/>
    </row>
    <row r="13166">
      <c r="A13166" s="163" t="s">
        <v>222</v>
      </c>
      <c r="B13166" s="163"/>
      <c r="C13166" s="163"/>
      <c r="J13166" s="165"/>
      <c r="K13166" s="166"/>
      <c r="L13166" s="166"/>
    </row>
    <row r="13167">
      <c r="A13167" s="163" t="s">
        <v>222</v>
      </c>
      <c r="B13167" s="163"/>
      <c r="C13167" s="163"/>
      <c r="J13167" s="165"/>
      <c r="K13167" s="166"/>
      <c r="L13167" s="166"/>
    </row>
    <row r="13168">
      <c r="A13168" s="163" t="s">
        <v>222</v>
      </c>
      <c r="B13168" s="163"/>
      <c r="C13168" s="163"/>
      <c r="J13168" s="165"/>
      <c r="K13168" s="166"/>
      <c r="L13168" s="166"/>
    </row>
    <row r="13169">
      <c r="A13169" s="163" t="s">
        <v>222</v>
      </c>
      <c r="B13169" s="163"/>
      <c r="C13169" s="163"/>
      <c r="J13169" s="165"/>
      <c r="K13169" s="166"/>
      <c r="L13169" s="166"/>
    </row>
    <row r="13170">
      <c r="A13170" s="163" t="s">
        <v>222</v>
      </c>
      <c r="B13170" s="163"/>
      <c r="C13170" s="163"/>
      <c r="J13170" s="165"/>
      <c r="K13170" s="166"/>
      <c r="L13170" s="166"/>
    </row>
    <row r="13171">
      <c r="A13171" s="163" t="s">
        <v>222</v>
      </c>
      <c r="B13171" s="163"/>
      <c r="C13171" s="163"/>
      <c r="J13171" s="165"/>
      <c r="K13171" s="166"/>
      <c r="L13171" s="166"/>
    </row>
    <row r="13172">
      <c r="A13172" s="163" t="s">
        <v>222</v>
      </c>
      <c r="B13172" s="163"/>
      <c r="C13172" s="163"/>
      <c r="J13172" s="165"/>
      <c r="K13172" s="166"/>
      <c r="L13172" s="166"/>
    </row>
    <row r="13173">
      <c r="A13173" s="163" t="s">
        <v>222</v>
      </c>
      <c r="B13173" s="163"/>
      <c r="C13173" s="163"/>
      <c r="J13173" s="165"/>
      <c r="K13173" s="166"/>
      <c r="L13173" s="166"/>
    </row>
    <row r="13174">
      <c r="A13174" s="163" t="s">
        <v>222</v>
      </c>
      <c r="B13174" s="163"/>
      <c r="C13174" s="163"/>
      <c r="J13174" s="165"/>
      <c r="K13174" s="166"/>
      <c r="L13174" s="166"/>
    </row>
    <row r="13175">
      <c r="A13175" s="163" t="s">
        <v>222</v>
      </c>
      <c r="B13175" s="163"/>
      <c r="C13175" s="163"/>
      <c r="J13175" s="165"/>
      <c r="K13175" s="166"/>
      <c r="L13175" s="166"/>
    </row>
    <row r="13176">
      <c r="A13176" s="163" t="s">
        <v>222</v>
      </c>
      <c r="B13176" s="163"/>
      <c r="C13176" s="163"/>
      <c r="J13176" s="165"/>
      <c r="K13176" s="166"/>
      <c r="L13176" s="166"/>
    </row>
    <row r="13177">
      <c r="A13177" s="163" t="s">
        <v>222</v>
      </c>
      <c r="B13177" s="163"/>
      <c r="C13177" s="163"/>
      <c r="J13177" s="165"/>
      <c r="K13177" s="166"/>
      <c r="L13177" s="166"/>
    </row>
    <row r="13178">
      <c r="A13178" s="163" t="s">
        <v>222</v>
      </c>
      <c r="B13178" s="163"/>
      <c r="C13178" s="163"/>
      <c r="J13178" s="165"/>
      <c r="K13178" s="166"/>
      <c r="L13178" s="166"/>
    </row>
    <row r="13179">
      <c r="A13179" s="163" t="s">
        <v>222</v>
      </c>
      <c r="B13179" s="163"/>
      <c r="C13179" s="163"/>
      <c r="J13179" s="165"/>
      <c r="K13179" s="166"/>
      <c r="L13179" s="166"/>
    </row>
    <row r="13180">
      <c r="A13180" s="163" t="s">
        <v>222</v>
      </c>
      <c r="B13180" s="163"/>
      <c r="C13180" s="163"/>
      <c r="J13180" s="165"/>
      <c r="K13180" s="166"/>
      <c r="L13180" s="166"/>
    </row>
    <row r="13181">
      <c r="A13181" s="163" t="s">
        <v>222</v>
      </c>
      <c r="B13181" s="163"/>
      <c r="C13181" s="163"/>
      <c r="J13181" s="165"/>
      <c r="K13181" s="166"/>
      <c r="L13181" s="166"/>
    </row>
    <row r="13182">
      <c r="A13182" s="163" t="s">
        <v>222</v>
      </c>
      <c r="B13182" s="163"/>
      <c r="C13182" s="163"/>
      <c r="J13182" s="165"/>
      <c r="K13182" s="166"/>
      <c r="L13182" s="166"/>
    </row>
    <row r="13183">
      <c r="A13183" s="163" t="s">
        <v>222</v>
      </c>
      <c r="B13183" s="163"/>
      <c r="C13183" s="163"/>
      <c r="J13183" s="165"/>
      <c r="K13183" s="166"/>
      <c r="L13183" s="166"/>
    </row>
    <row r="13184">
      <c r="A13184" s="163" t="s">
        <v>222</v>
      </c>
      <c r="B13184" s="163"/>
      <c r="C13184" s="163"/>
      <c r="J13184" s="165"/>
      <c r="K13184" s="166"/>
      <c r="L13184" s="166"/>
    </row>
    <row r="13185">
      <c r="A13185" s="163" t="s">
        <v>222</v>
      </c>
      <c r="B13185" s="163"/>
      <c r="C13185" s="163"/>
      <c r="J13185" s="165"/>
      <c r="K13185" s="166"/>
      <c r="L13185" s="166"/>
    </row>
    <row r="13186">
      <c r="A13186" s="163" t="s">
        <v>222</v>
      </c>
      <c r="B13186" s="163"/>
      <c r="C13186" s="163"/>
      <c r="J13186" s="165"/>
      <c r="K13186" s="166"/>
      <c r="L13186" s="166"/>
    </row>
    <row r="13187">
      <c r="A13187" s="163" t="s">
        <v>222</v>
      </c>
      <c r="B13187" s="163"/>
      <c r="C13187" s="163"/>
      <c r="J13187" s="165"/>
      <c r="K13187" s="166"/>
      <c r="L13187" s="166"/>
    </row>
    <row r="13188">
      <c r="A13188" s="163" t="s">
        <v>222</v>
      </c>
      <c r="B13188" s="163"/>
      <c r="C13188" s="163"/>
      <c r="J13188" s="165"/>
      <c r="K13188" s="166"/>
      <c r="L13188" s="166"/>
    </row>
    <row r="13189">
      <c r="A13189" s="163" t="s">
        <v>222</v>
      </c>
      <c r="B13189" s="163"/>
      <c r="C13189" s="163"/>
      <c r="J13189" s="165"/>
      <c r="K13189" s="166"/>
      <c r="L13189" s="166"/>
    </row>
    <row r="13190">
      <c r="A13190" s="163" t="s">
        <v>222</v>
      </c>
      <c r="B13190" s="163"/>
      <c r="C13190" s="163"/>
      <c r="J13190" s="165"/>
      <c r="K13190" s="166"/>
      <c r="L13190" s="166"/>
    </row>
    <row r="13191">
      <c r="A13191" s="163" t="s">
        <v>222</v>
      </c>
      <c r="B13191" s="163"/>
      <c r="C13191" s="163"/>
      <c r="J13191" s="165"/>
      <c r="K13191" s="166"/>
      <c r="L13191" s="166"/>
    </row>
    <row r="13192">
      <c r="A13192" s="163" t="s">
        <v>222</v>
      </c>
      <c r="B13192" s="163"/>
      <c r="C13192" s="163"/>
      <c r="J13192" s="165"/>
      <c r="K13192" s="166"/>
      <c r="L13192" s="166"/>
    </row>
    <row r="13193">
      <c r="A13193" s="163" t="s">
        <v>222</v>
      </c>
      <c r="B13193" s="163"/>
      <c r="C13193" s="163"/>
      <c r="J13193" s="165"/>
      <c r="K13193" s="166"/>
      <c r="L13193" s="166"/>
    </row>
    <row r="13194">
      <c r="A13194" s="163" t="s">
        <v>222</v>
      </c>
      <c r="B13194" s="163"/>
      <c r="C13194" s="163"/>
      <c r="J13194" s="165"/>
      <c r="K13194" s="166"/>
      <c r="L13194" s="166"/>
    </row>
    <row r="13195">
      <c r="A13195" s="163" t="s">
        <v>222</v>
      </c>
      <c r="B13195" s="163"/>
      <c r="C13195" s="163"/>
      <c r="J13195" s="165"/>
      <c r="K13195" s="166"/>
      <c r="L13195" s="166"/>
    </row>
    <row r="13196">
      <c r="A13196" s="163" t="s">
        <v>222</v>
      </c>
      <c r="B13196" s="163"/>
      <c r="C13196" s="163"/>
      <c r="J13196" s="165"/>
      <c r="K13196" s="166"/>
      <c r="L13196" s="166"/>
    </row>
    <row r="13197">
      <c r="A13197" s="163" t="s">
        <v>222</v>
      </c>
      <c r="B13197" s="163"/>
      <c r="C13197" s="163"/>
      <c r="J13197" s="165"/>
      <c r="K13197" s="166"/>
      <c r="L13197" s="166"/>
    </row>
    <row r="13198">
      <c r="A13198" s="163" t="s">
        <v>222</v>
      </c>
      <c r="B13198" s="163"/>
      <c r="C13198" s="163"/>
      <c r="J13198" s="165"/>
      <c r="K13198" s="166"/>
      <c r="L13198" s="166"/>
    </row>
    <row r="13199">
      <c r="A13199" s="163" t="s">
        <v>222</v>
      </c>
      <c r="B13199" s="163"/>
      <c r="C13199" s="163"/>
      <c r="J13199" s="165"/>
      <c r="K13199" s="166"/>
      <c r="L13199" s="166"/>
    </row>
    <row r="13200">
      <c r="A13200" s="163" t="s">
        <v>222</v>
      </c>
      <c r="B13200" s="163"/>
      <c r="C13200" s="163"/>
      <c r="J13200" s="165"/>
      <c r="K13200" s="166"/>
      <c r="L13200" s="166"/>
    </row>
    <row r="13201">
      <c r="A13201" s="163" t="s">
        <v>222</v>
      </c>
      <c r="B13201" s="163"/>
      <c r="C13201" s="163"/>
      <c r="J13201" s="165"/>
      <c r="K13201" s="166"/>
      <c r="L13201" s="166"/>
    </row>
    <row r="13202">
      <c r="A13202" s="163" t="s">
        <v>222</v>
      </c>
      <c r="B13202" s="163"/>
      <c r="C13202" s="163"/>
      <c r="J13202" s="165"/>
      <c r="K13202" s="166"/>
      <c r="L13202" s="166"/>
    </row>
    <row r="13203">
      <c r="A13203" s="163" t="s">
        <v>222</v>
      </c>
      <c r="B13203" s="163"/>
      <c r="C13203" s="163"/>
      <c r="J13203" s="165"/>
      <c r="K13203" s="166"/>
      <c r="L13203" s="166"/>
    </row>
    <row r="13204">
      <c r="A13204" s="163" t="s">
        <v>222</v>
      </c>
      <c r="B13204" s="163"/>
      <c r="C13204" s="163"/>
      <c r="J13204" s="165"/>
      <c r="K13204" s="166"/>
      <c r="L13204" s="166"/>
    </row>
    <row r="13205">
      <c r="A13205" s="163" t="s">
        <v>222</v>
      </c>
      <c r="B13205" s="163"/>
      <c r="C13205" s="163"/>
      <c r="J13205" s="165"/>
      <c r="K13205" s="166"/>
      <c r="L13205" s="166"/>
    </row>
    <row r="13206">
      <c r="A13206" s="163" t="s">
        <v>222</v>
      </c>
      <c r="B13206" s="163"/>
      <c r="C13206" s="163"/>
      <c r="J13206" s="165"/>
      <c r="K13206" s="166"/>
      <c r="L13206" s="166"/>
    </row>
    <row r="13207">
      <c r="A13207" s="163" t="s">
        <v>222</v>
      </c>
      <c r="B13207" s="163"/>
      <c r="C13207" s="163"/>
      <c r="J13207" s="165"/>
      <c r="K13207" s="166"/>
      <c r="L13207" s="166"/>
    </row>
    <row r="13208">
      <c r="A13208" s="163" t="s">
        <v>222</v>
      </c>
      <c r="B13208" s="163"/>
      <c r="C13208" s="163"/>
      <c r="J13208" s="165"/>
      <c r="K13208" s="166"/>
      <c r="L13208" s="166"/>
    </row>
    <row r="13209">
      <c r="A13209" s="163" t="s">
        <v>222</v>
      </c>
      <c r="B13209" s="163"/>
      <c r="C13209" s="163"/>
      <c r="J13209" s="165"/>
      <c r="K13209" s="166"/>
      <c r="L13209" s="166"/>
    </row>
    <row r="13210">
      <c r="A13210" s="163" t="s">
        <v>222</v>
      </c>
      <c r="B13210" s="163"/>
      <c r="C13210" s="163"/>
      <c r="J13210" s="165"/>
      <c r="K13210" s="166"/>
      <c r="L13210" s="166"/>
    </row>
    <row r="13211">
      <c r="A13211" s="163" t="s">
        <v>222</v>
      </c>
      <c r="B13211" s="163"/>
      <c r="C13211" s="163"/>
      <c r="J13211" s="165"/>
      <c r="K13211" s="166"/>
      <c r="L13211" s="166"/>
    </row>
    <row r="13212">
      <c r="A13212" s="163" t="s">
        <v>222</v>
      </c>
      <c r="B13212" s="163"/>
      <c r="C13212" s="163"/>
      <c r="J13212" s="165"/>
      <c r="K13212" s="166"/>
      <c r="L13212" s="166"/>
    </row>
    <row r="13213">
      <c r="A13213" s="163" t="s">
        <v>222</v>
      </c>
      <c r="B13213" s="163"/>
      <c r="C13213" s="163"/>
      <c r="J13213" s="165"/>
      <c r="K13213" s="166"/>
      <c r="L13213" s="166"/>
    </row>
    <row r="13214">
      <c r="A13214" s="163" t="s">
        <v>222</v>
      </c>
      <c r="B13214" s="163"/>
      <c r="C13214" s="163"/>
      <c r="J13214" s="165"/>
      <c r="K13214" s="166"/>
      <c r="L13214" s="166"/>
    </row>
    <row r="13215">
      <c r="A13215" s="163" t="s">
        <v>222</v>
      </c>
      <c r="B13215" s="163"/>
      <c r="C13215" s="163"/>
      <c r="J13215" s="165"/>
      <c r="K13215" s="166"/>
      <c r="L13215" s="166"/>
    </row>
    <row r="13216">
      <c r="A13216" s="163" t="s">
        <v>222</v>
      </c>
      <c r="B13216" s="163"/>
      <c r="C13216" s="163"/>
      <c r="J13216" s="165"/>
      <c r="K13216" s="166"/>
      <c r="L13216" s="166"/>
    </row>
    <row r="13217">
      <c r="A13217" s="163" t="s">
        <v>222</v>
      </c>
      <c r="B13217" s="163"/>
      <c r="C13217" s="163"/>
      <c r="J13217" s="165"/>
      <c r="K13217" s="166"/>
      <c r="L13217" s="166"/>
    </row>
    <row r="13218">
      <c r="A13218" s="163" t="s">
        <v>222</v>
      </c>
      <c r="B13218" s="163"/>
      <c r="C13218" s="163"/>
      <c r="J13218" s="165"/>
      <c r="K13218" s="166"/>
      <c r="L13218" s="166"/>
    </row>
    <row r="13219">
      <c r="A13219" s="163" t="s">
        <v>222</v>
      </c>
      <c r="B13219" s="163"/>
      <c r="C13219" s="163"/>
      <c r="J13219" s="165"/>
      <c r="K13219" s="166"/>
      <c r="L13219" s="166"/>
    </row>
    <row r="13220">
      <c r="A13220" s="163" t="s">
        <v>222</v>
      </c>
      <c r="B13220" s="163"/>
      <c r="C13220" s="163"/>
      <c r="J13220" s="165"/>
      <c r="K13220" s="166"/>
      <c r="L13220" s="166"/>
    </row>
    <row r="13221">
      <c r="A13221" s="163" t="s">
        <v>222</v>
      </c>
      <c r="B13221" s="163"/>
      <c r="C13221" s="163"/>
      <c r="J13221" s="165"/>
      <c r="K13221" s="166"/>
      <c r="L13221" s="166"/>
    </row>
    <row r="13222">
      <c r="A13222" s="163" t="s">
        <v>222</v>
      </c>
      <c r="B13222" s="163"/>
      <c r="C13222" s="163"/>
      <c r="J13222" s="165"/>
      <c r="K13222" s="166"/>
      <c r="L13222" s="166"/>
    </row>
    <row r="13223">
      <c r="A13223" s="163" t="s">
        <v>222</v>
      </c>
      <c r="B13223" s="163"/>
      <c r="C13223" s="163"/>
      <c r="J13223" s="165"/>
      <c r="K13223" s="166"/>
      <c r="L13223" s="166"/>
    </row>
    <row r="13224">
      <c r="A13224" s="163" t="s">
        <v>222</v>
      </c>
      <c r="B13224" s="163"/>
      <c r="C13224" s="163"/>
      <c r="J13224" s="165"/>
      <c r="K13224" s="166"/>
      <c r="L13224" s="166"/>
    </row>
    <row r="13225">
      <c r="A13225" s="163" t="s">
        <v>222</v>
      </c>
      <c r="B13225" s="163"/>
      <c r="C13225" s="163"/>
      <c r="J13225" s="165"/>
      <c r="K13225" s="166"/>
      <c r="L13225" s="166"/>
    </row>
    <row r="13226">
      <c r="A13226" s="163" t="s">
        <v>222</v>
      </c>
      <c r="B13226" s="163"/>
      <c r="C13226" s="163"/>
      <c r="J13226" s="165"/>
      <c r="K13226" s="166"/>
      <c r="L13226" s="166"/>
    </row>
    <row r="13227">
      <c r="A13227" s="163" t="s">
        <v>222</v>
      </c>
      <c r="B13227" s="163"/>
      <c r="C13227" s="163"/>
      <c r="J13227" s="165"/>
      <c r="K13227" s="166"/>
      <c r="L13227" s="166"/>
    </row>
    <row r="13228">
      <c r="A13228" s="163" t="s">
        <v>222</v>
      </c>
      <c r="B13228" s="163"/>
      <c r="C13228" s="163"/>
      <c r="J13228" s="165"/>
      <c r="K13228" s="166"/>
      <c r="L13228" s="166"/>
    </row>
    <row r="13229">
      <c r="A13229" s="163" t="s">
        <v>222</v>
      </c>
      <c r="B13229" s="163"/>
      <c r="C13229" s="163"/>
      <c r="J13229" s="165"/>
      <c r="K13229" s="166"/>
      <c r="L13229" s="166"/>
    </row>
    <row r="13230">
      <c r="A13230" s="163" t="s">
        <v>222</v>
      </c>
      <c r="B13230" s="163"/>
      <c r="C13230" s="163"/>
      <c r="J13230" s="165"/>
      <c r="K13230" s="166"/>
      <c r="L13230" s="166"/>
    </row>
    <row r="13231">
      <c r="A13231" s="163" t="s">
        <v>222</v>
      </c>
      <c r="B13231" s="163"/>
      <c r="C13231" s="163"/>
      <c r="J13231" s="165"/>
      <c r="K13231" s="166"/>
      <c r="L13231" s="166"/>
    </row>
    <row r="13232">
      <c r="A13232" s="163" t="s">
        <v>222</v>
      </c>
      <c r="B13232" s="163"/>
      <c r="C13232" s="163"/>
      <c r="J13232" s="165"/>
      <c r="K13232" s="166"/>
      <c r="L13232" s="166"/>
    </row>
    <row r="13233">
      <c r="A13233" s="163" t="s">
        <v>222</v>
      </c>
      <c r="B13233" s="163"/>
      <c r="C13233" s="163"/>
      <c r="J13233" s="165"/>
      <c r="K13233" s="166"/>
      <c r="L13233" s="166"/>
    </row>
    <row r="13234">
      <c r="A13234" s="163" t="s">
        <v>222</v>
      </c>
      <c r="B13234" s="163"/>
      <c r="C13234" s="163"/>
      <c r="J13234" s="165"/>
      <c r="K13234" s="166"/>
      <c r="L13234" s="166"/>
    </row>
    <row r="13235">
      <c r="A13235" s="163" t="s">
        <v>222</v>
      </c>
      <c r="B13235" s="163"/>
      <c r="C13235" s="163"/>
      <c r="J13235" s="165"/>
      <c r="K13235" s="166"/>
      <c r="L13235" s="166"/>
    </row>
    <row r="13236">
      <c r="A13236" s="163" t="s">
        <v>222</v>
      </c>
      <c r="B13236" s="163"/>
      <c r="C13236" s="163"/>
      <c r="J13236" s="165"/>
      <c r="K13236" s="166"/>
      <c r="L13236" s="166"/>
    </row>
    <row r="13237">
      <c r="A13237" s="163" t="s">
        <v>222</v>
      </c>
      <c r="B13237" s="163"/>
      <c r="C13237" s="163"/>
      <c r="J13237" s="165"/>
      <c r="K13237" s="166"/>
      <c r="L13237" s="166"/>
    </row>
    <row r="13238">
      <c r="A13238" s="163" t="s">
        <v>222</v>
      </c>
      <c r="B13238" s="163"/>
      <c r="C13238" s="163"/>
      <c r="J13238" s="165"/>
      <c r="K13238" s="166"/>
      <c r="L13238" s="166"/>
    </row>
    <row r="13239">
      <c r="A13239" s="163" t="s">
        <v>222</v>
      </c>
      <c r="B13239" s="163"/>
      <c r="C13239" s="163"/>
      <c r="J13239" s="165"/>
      <c r="K13239" s="166"/>
      <c r="L13239" s="166"/>
    </row>
    <row r="13240">
      <c r="A13240" s="163" t="s">
        <v>222</v>
      </c>
      <c r="B13240" s="163"/>
      <c r="C13240" s="163"/>
      <c r="J13240" s="165"/>
      <c r="K13240" s="166"/>
      <c r="L13240" s="166"/>
    </row>
    <row r="13241">
      <c r="A13241" s="163" t="s">
        <v>222</v>
      </c>
      <c r="B13241" s="163"/>
      <c r="C13241" s="163"/>
      <c r="J13241" s="165"/>
      <c r="K13241" s="166"/>
      <c r="L13241" s="166"/>
    </row>
    <row r="13242">
      <c r="A13242" s="163" t="s">
        <v>222</v>
      </c>
      <c r="B13242" s="163"/>
      <c r="C13242" s="163"/>
      <c r="J13242" s="165"/>
      <c r="K13242" s="166"/>
      <c r="L13242" s="166"/>
    </row>
    <row r="13243">
      <c r="A13243" s="163" t="s">
        <v>222</v>
      </c>
      <c r="B13243" s="163"/>
      <c r="C13243" s="163"/>
      <c r="J13243" s="165"/>
      <c r="K13243" s="166"/>
      <c r="L13243" s="166"/>
    </row>
    <row r="13244">
      <c r="A13244" s="163" t="s">
        <v>222</v>
      </c>
      <c r="B13244" s="163"/>
      <c r="C13244" s="163"/>
      <c r="J13244" s="165"/>
      <c r="K13244" s="166"/>
      <c r="L13244" s="166"/>
    </row>
    <row r="13245">
      <c r="A13245" s="163" t="s">
        <v>222</v>
      </c>
      <c r="B13245" s="163"/>
      <c r="C13245" s="163"/>
      <c r="J13245" s="165"/>
      <c r="K13245" s="166"/>
      <c r="L13245" s="166"/>
    </row>
    <row r="13246">
      <c r="A13246" s="163" t="s">
        <v>222</v>
      </c>
      <c r="B13246" s="163"/>
      <c r="C13246" s="163"/>
      <c r="J13246" s="165"/>
      <c r="K13246" s="166"/>
      <c r="L13246" s="166"/>
    </row>
    <row r="13247">
      <c r="A13247" s="163" t="s">
        <v>222</v>
      </c>
      <c r="B13247" s="163"/>
      <c r="C13247" s="163"/>
      <c r="J13247" s="165"/>
      <c r="K13247" s="166"/>
      <c r="L13247" s="166"/>
    </row>
    <row r="13248">
      <c r="A13248" s="163" t="s">
        <v>222</v>
      </c>
      <c r="B13248" s="163"/>
      <c r="C13248" s="163"/>
      <c r="J13248" s="165"/>
      <c r="K13248" s="166"/>
      <c r="L13248" s="166"/>
    </row>
    <row r="13249">
      <c r="A13249" s="163" t="s">
        <v>222</v>
      </c>
      <c r="B13249" s="163"/>
      <c r="C13249" s="163"/>
      <c r="J13249" s="165"/>
      <c r="K13249" s="166"/>
      <c r="L13249" s="166"/>
    </row>
    <row r="13250">
      <c r="A13250" s="163" t="s">
        <v>222</v>
      </c>
      <c r="B13250" s="163"/>
      <c r="C13250" s="163"/>
      <c r="J13250" s="165"/>
      <c r="K13250" s="166"/>
      <c r="L13250" s="166"/>
    </row>
    <row r="13251">
      <c r="A13251" s="163" t="s">
        <v>222</v>
      </c>
      <c r="B13251" s="163"/>
      <c r="C13251" s="163"/>
      <c r="J13251" s="165"/>
      <c r="K13251" s="166"/>
      <c r="L13251" s="166"/>
    </row>
    <row r="13252">
      <c r="A13252" s="163" t="s">
        <v>222</v>
      </c>
      <c r="B13252" s="163"/>
      <c r="C13252" s="163"/>
      <c r="J13252" s="165"/>
      <c r="K13252" s="166"/>
      <c r="L13252" s="166"/>
    </row>
    <row r="13253">
      <c r="A13253" s="163" t="s">
        <v>222</v>
      </c>
      <c r="B13253" s="163"/>
      <c r="C13253" s="163"/>
      <c r="J13253" s="165"/>
      <c r="K13253" s="166"/>
      <c r="L13253" s="166"/>
    </row>
    <row r="13254">
      <c r="A13254" s="163" t="s">
        <v>222</v>
      </c>
      <c r="B13254" s="163"/>
      <c r="C13254" s="163"/>
      <c r="J13254" s="165"/>
      <c r="K13254" s="166"/>
      <c r="L13254" s="166"/>
    </row>
    <row r="13255">
      <c r="A13255" s="163" t="s">
        <v>222</v>
      </c>
      <c r="B13255" s="163"/>
      <c r="C13255" s="163"/>
      <c r="J13255" s="165"/>
      <c r="K13255" s="166"/>
      <c r="L13255" s="166"/>
    </row>
    <row r="13256">
      <c r="A13256" s="163" t="s">
        <v>222</v>
      </c>
      <c r="B13256" s="163"/>
      <c r="C13256" s="163"/>
      <c r="J13256" s="165"/>
      <c r="K13256" s="166"/>
      <c r="L13256" s="166"/>
    </row>
    <row r="13257">
      <c r="A13257" s="163" t="s">
        <v>222</v>
      </c>
      <c r="B13257" s="163"/>
      <c r="C13257" s="163"/>
      <c r="J13257" s="165"/>
      <c r="K13257" s="166"/>
      <c r="L13257" s="166"/>
    </row>
    <row r="13258">
      <c r="A13258" s="163" t="s">
        <v>222</v>
      </c>
      <c r="B13258" s="163"/>
      <c r="C13258" s="163"/>
      <c r="J13258" s="165"/>
      <c r="K13258" s="166"/>
      <c r="L13258" s="166"/>
    </row>
    <row r="13259">
      <c r="A13259" s="163" t="s">
        <v>222</v>
      </c>
      <c r="B13259" s="163"/>
      <c r="C13259" s="163"/>
      <c r="J13259" s="165"/>
      <c r="K13259" s="166"/>
      <c r="L13259" s="166"/>
    </row>
    <row r="13260">
      <c r="A13260" s="163" t="s">
        <v>222</v>
      </c>
      <c r="B13260" s="163"/>
      <c r="C13260" s="163"/>
      <c r="J13260" s="165"/>
      <c r="K13260" s="166"/>
      <c r="L13260" s="166"/>
    </row>
    <row r="13261">
      <c r="A13261" s="163" t="s">
        <v>222</v>
      </c>
      <c r="B13261" s="163"/>
      <c r="C13261" s="163"/>
      <c r="J13261" s="165"/>
      <c r="K13261" s="166"/>
      <c r="L13261" s="166"/>
    </row>
    <row r="13262">
      <c r="A13262" s="163" t="s">
        <v>222</v>
      </c>
      <c r="B13262" s="163"/>
      <c r="C13262" s="163"/>
      <c r="J13262" s="165"/>
      <c r="K13262" s="166"/>
      <c r="L13262" s="166"/>
    </row>
    <row r="13263">
      <c r="A13263" s="163" t="s">
        <v>222</v>
      </c>
      <c r="B13263" s="163"/>
      <c r="C13263" s="163"/>
      <c r="J13263" s="165"/>
      <c r="K13263" s="166"/>
      <c r="L13263" s="166"/>
    </row>
    <row r="13264">
      <c r="A13264" s="163" t="s">
        <v>222</v>
      </c>
      <c r="B13264" s="163"/>
      <c r="C13264" s="163"/>
      <c r="J13264" s="165"/>
      <c r="K13264" s="166"/>
      <c r="L13264" s="166"/>
    </row>
    <row r="13265">
      <c r="A13265" s="163" t="s">
        <v>222</v>
      </c>
      <c r="B13265" s="163"/>
      <c r="C13265" s="163"/>
      <c r="J13265" s="165"/>
      <c r="K13265" s="166"/>
      <c r="L13265" s="166"/>
    </row>
    <row r="13266">
      <c r="A13266" s="163" t="s">
        <v>222</v>
      </c>
      <c r="B13266" s="163"/>
      <c r="C13266" s="163"/>
      <c r="J13266" s="165"/>
      <c r="K13266" s="166"/>
      <c r="L13266" s="166"/>
    </row>
    <row r="13267">
      <c r="A13267" s="163" t="s">
        <v>222</v>
      </c>
      <c r="B13267" s="163"/>
      <c r="C13267" s="163"/>
      <c r="J13267" s="165"/>
      <c r="K13267" s="166"/>
      <c r="L13267" s="166"/>
    </row>
    <row r="13268">
      <c r="A13268" s="163" t="s">
        <v>222</v>
      </c>
      <c r="B13268" s="163"/>
      <c r="C13268" s="163"/>
      <c r="J13268" s="165"/>
      <c r="K13268" s="166"/>
      <c r="L13268" s="166"/>
    </row>
    <row r="13269">
      <c r="A13269" s="163" t="s">
        <v>222</v>
      </c>
      <c r="B13269" s="163"/>
      <c r="C13269" s="163"/>
      <c r="J13269" s="165"/>
      <c r="K13269" s="166"/>
      <c r="L13269" s="166"/>
    </row>
    <row r="13270">
      <c r="A13270" s="163" t="s">
        <v>222</v>
      </c>
      <c r="B13270" s="163"/>
      <c r="C13270" s="163"/>
      <c r="J13270" s="165"/>
      <c r="K13270" s="166"/>
      <c r="L13270" s="166"/>
    </row>
    <row r="13271">
      <c r="A13271" s="163" t="s">
        <v>222</v>
      </c>
      <c r="B13271" s="163"/>
      <c r="C13271" s="163"/>
      <c r="J13271" s="165"/>
      <c r="K13271" s="166"/>
      <c r="L13271" s="166"/>
    </row>
    <row r="13272">
      <c r="A13272" s="163" t="s">
        <v>222</v>
      </c>
      <c r="B13272" s="163"/>
      <c r="C13272" s="163"/>
      <c r="J13272" s="165"/>
      <c r="K13272" s="166"/>
      <c r="L13272" s="166"/>
    </row>
    <row r="13273">
      <c r="A13273" s="163" t="s">
        <v>222</v>
      </c>
      <c r="B13273" s="163"/>
      <c r="C13273" s="163"/>
      <c r="J13273" s="165"/>
      <c r="K13273" s="166"/>
      <c r="L13273" s="166"/>
    </row>
    <row r="13274">
      <c r="A13274" s="163" t="s">
        <v>222</v>
      </c>
      <c r="B13274" s="163"/>
      <c r="C13274" s="163"/>
      <c r="J13274" s="165"/>
      <c r="K13274" s="166"/>
      <c r="L13274" s="166"/>
    </row>
    <row r="13275">
      <c r="A13275" s="163" t="s">
        <v>222</v>
      </c>
      <c r="B13275" s="163"/>
      <c r="C13275" s="163"/>
      <c r="J13275" s="165"/>
      <c r="K13275" s="166"/>
      <c r="L13275" s="166"/>
    </row>
    <row r="13276">
      <c r="A13276" s="163" t="s">
        <v>222</v>
      </c>
      <c r="B13276" s="163"/>
      <c r="C13276" s="163"/>
      <c r="J13276" s="165"/>
      <c r="K13276" s="166"/>
      <c r="L13276" s="166"/>
    </row>
    <row r="13277">
      <c r="A13277" s="163" t="s">
        <v>222</v>
      </c>
      <c r="B13277" s="163"/>
      <c r="C13277" s="163"/>
      <c r="J13277" s="165"/>
      <c r="K13277" s="166"/>
      <c r="L13277" s="166"/>
    </row>
    <row r="13278">
      <c r="A13278" s="163" t="s">
        <v>222</v>
      </c>
      <c r="B13278" s="163"/>
      <c r="C13278" s="163"/>
      <c r="J13278" s="165"/>
      <c r="K13278" s="166"/>
      <c r="L13278" s="166"/>
    </row>
    <row r="13279">
      <c r="A13279" s="163" t="s">
        <v>222</v>
      </c>
      <c r="B13279" s="163"/>
      <c r="C13279" s="163"/>
      <c r="J13279" s="165"/>
      <c r="K13279" s="166"/>
      <c r="L13279" s="166"/>
    </row>
    <row r="13280">
      <c r="A13280" s="163" t="s">
        <v>222</v>
      </c>
      <c r="B13280" s="163"/>
      <c r="C13280" s="163"/>
      <c r="J13280" s="165"/>
      <c r="K13280" s="166"/>
      <c r="L13280" s="166"/>
    </row>
    <row r="13281">
      <c r="A13281" s="163" t="s">
        <v>222</v>
      </c>
      <c r="B13281" s="163"/>
      <c r="C13281" s="163"/>
      <c r="J13281" s="165"/>
      <c r="K13281" s="166"/>
      <c r="L13281" s="166"/>
    </row>
    <row r="13282">
      <c r="A13282" s="163" t="s">
        <v>222</v>
      </c>
      <c r="B13282" s="163"/>
      <c r="C13282" s="163"/>
      <c r="J13282" s="165"/>
      <c r="K13282" s="166"/>
      <c r="L13282" s="166"/>
    </row>
    <row r="13283">
      <c r="A13283" s="163" t="s">
        <v>222</v>
      </c>
      <c r="B13283" s="163"/>
      <c r="C13283" s="163"/>
      <c r="J13283" s="165"/>
      <c r="K13283" s="166"/>
      <c r="L13283" s="166"/>
    </row>
    <row r="13284">
      <c r="A13284" s="163" t="s">
        <v>222</v>
      </c>
      <c r="B13284" s="163"/>
      <c r="C13284" s="163"/>
      <c r="J13284" s="165"/>
      <c r="K13284" s="166"/>
      <c r="L13284" s="166"/>
    </row>
    <row r="13285">
      <c r="A13285" s="163" t="s">
        <v>222</v>
      </c>
      <c r="B13285" s="163"/>
      <c r="C13285" s="163"/>
      <c r="J13285" s="165"/>
      <c r="K13285" s="166"/>
      <c r="L13285" s="166"/>
    </row>
    <row r="13286">
      <c r="A13286" s="163" t="s">
        <v>222</v>
      </c>
      <c r="B13286" s="163"/>
      <c r="C13286" s="163"/>
      <c r="J13286" s="165"/>
      <c r="K13286" s="166"/>
      <c r="L13286" s="166"/>
    </row>
    <row r="13287">
      <c r="A13287" s="163" t="s">
        <v>222</v>
      </c>
      <c r="B13287" s="163"/>
      <c r="C13287" s="163"/>
      <c r="J13287" s="165"/>
      <c r="K13287" s="166"/>
      <c r="L13287" s="166"/>
    </row>
    <row r="13288">
      <c r="A13288" s="163" t="s">
        <v>222</v>
      </c>
      <c r="B13288" s="163"/>
      <c r="C13288" s="163"/>
      <c r="J13288" s="165"/>
      <c r="K13288" s="166"/>
      <c r="L13288" s="166"/>
    </row>
    <row r="13289">
      <c r="A13289" s="163" t="s">
        <v>222</v>
      </c>
      <c r="B13289" s="163"/>
      <c r="C13289" s="163"/>
      <c r="J13289" s="165"/>
      <c r="K13289" s="166"/>
      <c r="L13289" s="166"/>
    </row>
    <row r="13290">
      <c r="A13290" s="163" t="s">
        <v>222</v>
      </c>
      <c r="B13290" s="163"/>
      <c r="C13290" s="163"/>
      <c r="J13290" s="165"/>
      <c r="K13290" s="166"/>
      <c r="L13290" s="166"/>
    </row>
    <row r="13291">
      <c r="A13291" s="163" t="s">
        <v>222</v>
      </c>
      <c r="B13291" s="163"/>
      <c r="C13291" s="163"/>
      <c r="J13291" s="165"/>
      <c r="K13291" s="166"/>
      <c r="L13291" s="166"/>
    </row>
    <row r="13292">
      <c r="A13292" s="163" t="s">
        <v>222</v>
      </c>
      <c r="B13292" s="163"/>
      <c r="C13292" s="163"/>
      <c r="J13292" s="165"/>
      <c r="K13292" s="166"/>
      <c r="L13292" s="166"/>
    </row>
    <row r="13293">
      <c r="A13293" s="163" t="s">
        <v>222</v>
      </c>
      <c r="B13293" s="163"/>
      <c r="C13293" s="163"/>
      <c r="J13293" s="165"/>
      <c r="K13293" s="166"/>
      <c r="L13293" s="166"/>
    </row>
    <row r="13294">
      <c r="A13294" s="163" t="s">
        <v>222</v>
      </c>
      <c r="B13294" s="163"/>
      <c r="C13294" s="163"/>
      <c r="J13294" s="165"/>
      <c r="K13294" s="166"/>
      <c r="L13294" s="166"/>
    </row>
    <row r="13295">
      <c r="A13295" s="163" t="s">
        <v>222</v>
      </c>
      <c r="B13295" s="163"/>
      <c r="C13295" s="163"/>
      <c r="J13295" s="165"/>
      <c r="K13295" s="166"/>
      <c r="L13295" s="166"/>
    </row>
    <row r="13296">
      <c r="A13296" s="163" t="s">
        <v>222</v>
      </c>
      <c r="B13296" s="163"/>
      <c r="C13296" s="163"/>
      <c r="J13296" s="165"/>
      <c r="K13296" s="166"/>
      <c r="L13296" s="166"/>
    </row>
    <row r="13297">
      <c r="A13297" s="163" t="s">
        <v>222</v>
      </c>
      <c r="B13297" s="163"/>
      <c r="C13297" s="163"/>
      <c r="J13297" s="165"/>
      <c r="K13297" s="166"/>
      <c r="L13297" s="166"/>
    </row>
    <row r="13298">
      <c r="A13298" s="163" t="s">
        <v>222</v>
      </c>
      <c r="B13298" s="163"/>
      <c r="C13298" s="163"/>
      <c r="J13298" s="165"/>
      <c r="K13298" s="166"/>
      <c r="L13298" s="166"/>
    </row>
    <row r="13299">
      <c r="A13299" s="163" t="s">
        <v>222</v>
      </c>
      <c r="B13299" s="163"/>
      <c r="C13299" s="163"/>
      <c r="J13299" s="165"/>
      <c r="K13299" s="166"/>
      <c r="L13299" s="166"/>
    </row>
    <row r="13300">
      <c r="A13300" s="163" t="s">
        <v>222</v>
      </c>
      <c r="B13300" s="163"/>
      <c r="C13300" s="163"/>
      <c r="J13300" s="165"/>
      <c r="K13300" s="166"/>
      <c r="L13300" s="166"/>
    </row>
    <row r="13301">
      <c r="A13301" s="163" t="s">
        <v>222</v>
      </c>
      <c r="B13301" s="163"/>
      <c r="C13301" s="163"/>
      <c r="J13301" s="165"/>
      <c r="K13301" s="166"/>
      <c r="L13301" s="166"/>
    </row>
    <row r="13302">
      <c r="A13302" s="163" t="s">
        <v>222</v>
      </c>
      <c r="B13302" s="163"/>
      <c r="C13302" s="163"/>
      <c r="J13302" s="165"/>
      <c r="K13302" s="166"/>
      <c r="L13302" s="166"/>
    </row>
    <row r="13303">
      <c r="A13303" s="163" t="s">
        <v>222</v>
      </c>
      <c r="B13303" s="163"/>
      <c r="C13303" s="163"/>
      <c r="J13303" s="165"/>
      <c r="K13303" s="166"/>
      <c r="L13303" s="166"/>
    </row>
    <row r="13304">
      <c r="A13304" s="163" t="s">
        <v>222</v>
      </c>
      <c r="B13304" s="163"/>
      <c r="C13304" s="163"/>
      <c r="J13304" s="165"/>
      <c r="K13304" s="166"/>
      <c r="L13304" s="166"/>
    </row>
    <row r="13305">
      <c r="A13305" s="163" t="s">
        <v>222</v>
      </c>
      <c r="B13305" s="163"/>
      <c r="C13305" s="163"/>
      <c r="J13305" s="165"/>
      <c r="K13305" s="166"/>
      <c r="L13305" s="166"/>
    </row>
    <row r="13306">
      <c r="A13306" s="163" t="s">
        <v>222</v>
      </c>
      <c r="B13306" s="163"/>
      <c r="C13306" s="163"/>
      <c r="J13306" s="165"/>
      <c r="K13306" s="166"/>
      <c r="L13306" s="166"/>
    </row>
    <row r="13307">
      <c r="A13307" s="163" t="s">
        <v>222</v>
      </c>
      <c r="B13307" s="163"/>
      <c r="C13307" s="163"/>
      <c r="J13307" s="165"/>
      <c r="K13307" s="166"/>
      <c r="L13307" s="166"/>
    </row>
    <row r="13308">
      <c r="A13308" s="163" t="s">
        <v>222</v>
      </c>
      <c r="B13308" s="163"/>
      <c r="C13308" s="163"/>
      <c r="J13308" s="165"/>
      <c r="K13308" s="166"/>
      <c r="L13308" s="166"/>
    </row>
    <row r="13309">
      <c r="A13309" s="163" t="s">
        <v>222</v>
      </c>
      <c r="B13309" s="163"/>
      <c r="C13309" s="163"/>
      <c r="J13309" s="165"/>
      <c r="K13309" s="166"/>
      <c r="L13309" s="166"/>
    </row>
    <row r="13310">
      <c r="A13310" s="163" t="s">
        <v>222</v>
      </c>
      <c r="B13310" s="163"/>
      <c r="C13310" s="163"/>
      <c r="J13310" s="165"/>
      <c r="K13310" s="166"/>
      <c r="L13310" s="166"/>
    </row>
    <row r="13311">
      <c r="A13311" s="163" t="s">
        <v>222</v>
      </c>
      <c r="B13311" s="163"/>
      <c r="C13311" s="163"/>
      <c r="J13311" s="165"/>
      <c r="K13311" s="166"/>
      <c r="L13311" s="166"/>
    </row>
    <row r="13312">
      <c r="A13312" s="163" t="s">
        <v>222</v>
      </c>
      <c r="B13312" s="163"/>
      <c r="C13312" s="163"/>
      <c r="J13312" s="165"/>
      <c r="K13312" s="166"/>
      <c r="L13312" s="166"/>
    </row>
    <row r="13313">
      <c r="A13313" s="163" t="s">
        <v>222</v>
      </c>
      <c r="B13313" s="163"/>
      <c r="C13313" s="163"/>
      <c r="J13313" s="165"/>
      <c r="K13313" s="166"/>
      <c r="L13313" s="166"/>
    </row>
    <row r="13314">
      <c r="A13314" s="163" t="s">
        <v>222</v>
      </c>
      <c r="B13314" s="163"/>
      <c r="C13314" s="163"/>
      <c r="J13314" s="165"/>
      <c r="K13314" s="166"/>
      <c r="L13314" s="166"/>
    </row>
    <row r="13315">
      <c r="A13315" s="163" t="s">
        <v>222</v>
      </c>
      <c r="B13315" s="163"/>
      <c r="C13315" s="163"/>
      <c r="J13315" s="165"/>
      <c r="K13315" s="166"/>
      <c r="L13315" s="166"/>
    </row>
    <row r="13316">
      <c r="A13316" s="163" t="s">
        <v>222</v>
      </c>
      <c r="B13316" s="163"/>
      <c r="C13316" s="163"/>
      <c r="J13316" s="165"/>
      <c r="K13316" s="166"/>
      <c r="L13316" s="166"/>
    </row>
    <row r="13317">
      <c r="A13317" s="163" t="s">
        <v>222</v>
      </c>
      <c r="B13317" s="163"/>
      <c r="C13317" s="163"/>
      <c r="J13317" s="165"/>
      <c r="K13317" s="166"/>
      <c r="L13317" s="166"/>
    </row>
    <row r="13318">
      <c r="A13318" s="163" t="s">
        <v>222</v>
      </c>
      <c r="B13318" s="163"/>
      <c r="C13318" s="163"/>
      <c r="J13318" s="165"/>
      <c r="K13318" s="166"/>
      <c r="L13318" s="166"/>
    </row>
    <row r="13319">
      <c r="A13319" s="163" t="s">
        <v>222</v>
      </c>
      <c r="B13319" s="163"/>
      <c r="C13319" s="163"/>
      <c r="J13319" s="165"/>
      <c r="K13319" s="166"/>
      <c r="L13319" s="166"/>
    </row>
    <row r="13320">
      <c r="A13320" s="163" t="s">
        <v>222</v>
      </c>
      <c r="B13320" s="163"/>
      <c r="C13320" s="163"/>
      <c r="J13320" s="165"/>
      <c r="K13320" s="166"/>
      <c r="L13320" s="166"/>
    </row>
    <row r="13321">
      <c r="A13321" s="163" t="s">
        <v>222</v>
      </c>
      <c r="B13321" s="163"/>
      <c r="C13321" s="163"/>
      <c r="J13321" s="165"/>
      <c r="K13321" s="166"/>
      <c r="L13321" s="166"/>
    </row>
    <row r="13322">
      <c r="A13322" s="163" t="s">
        <v>222</v>
      </c>
      <c r="B13322" s="163"/>
      <c r="C13322" s="163"/>
      <c r="J13322" s="165"/>
      <c r="K13322" s="166"/>
      <c r="L13322" s="166"/>
    </row>
    <row r="13323">
      <c r="A13323" s="163" t="s">
        <v>222</v>
      </c>
      <c r="B13323" s="163"/>
      <c r="C13323" s="163"/>
      <c r="J13323" s="165"/>
      <c r="K13323" s="166"/>
      <c r="L13323" s="166"/>
    </row>
    <row r="13324">
      <c r="A13324" s="163" t="s">
        <v>222</v>
      </c>
      <c r="B13324" s="163"/>
      <c r="C13324" s="163"/>
      <c r="J13324" s="165"/>
      <c r="K13324" s="166"/>
      <c r="L13324" s="166"/>
    </row>
    <row r="13325">
      <c r="A13325" s="163" t="s">
        <v>222</v>
      </c>
      <c r="B13325" s="163"/>
      <c r="C13325" s="163"/>
      <c r="J13325" s="165"/>
      <c r="K13325" s="166"/>
      <c r="L13325" s="166"/>
    </row>
    <row r="13326">
      <c r="A13326" s="163" t="s">
        <v>222</v>
      </c>
      <c r="B13326" s="163"/>
      <c r="C13326" s="163"/>
      <c r="J13326" s="165"/>
      <c r="K13326" s="166"/>
      <c r="L13326" s="166"/>
    </row>
    <row r="13327">
      <c r="A13327" s="163" t="s">
        <v>222</v>
      </c>
      <c r="B13327" s="163"/>
      <c r="C13327" s="163"/>
      <c r="J13327" s="165"/>
      <c r="K13327" s="166"/>
      <c r="L13327" s="166"/>
    </row>
    <row r="13328">
      <c r="A13328" s="163" t="s">
        <v>222</v>
      </c>
      <c r="B13328" s="163"/>
      <c r="C13328" s="163"/>
      <c r="J13328" s="165"/>
      <c r="K13328" s="166"/>
      <c r="L13328" s="166"/>
    </row>
    <row r="13329">
      <c r="A13329" s="163" t="s">
        <v>222</v>
      </c>
      <c r="B13329" s="163"/>
      <c r="C13329" s="163"/>
      <c r="J13329" s="165"/>
      <c r="K13329" s="166"/>
      <c r="L13329" s="166"/>
    </row>
    <row r="13330">
      <c r="A13330" s="163" t="s">
        <v>222</v>
      </c>
      <c r="B13330" s="163"/>
      <c r="C13330" s="163"/>
      <c r="J13330" s="165"/>
      <c r="K13330" s="166"/>
      <c r="L13330" s="166"/>
    </row>
    <row r="13331">
      <c r="A13331" s="163" t="s">
        <v>222</v>
      </c>
      <c r="B13331" s="163"/>
      <c r="C13331" s="163"/>
      <c r="J13331" s="165"/>
      <c r="K13331" s="166"/>
      <c r="L13331" s="166"/>
    </row>
    <row r="13332">
      <c r="A13332" s="163" t="s">
        <v>222</v>
      </c>
      <c r="B13332" s="163"/>
      <c r="C13332" s="163"/>
      <c r="J13332" s="165"/>
      <c r="K13332" s="166"/>
      <c r="L13332" s="166"/>
    </row>
    <row r="13333">
      <c r="A13333" s="163" t="s">
        <v>222</v>
      </c>
      <c r="B13333" s="163"/>
      <c r="C13333" s="163"/>
      <c r="J13333" s="165"/>
      <c r="K13333" s="166"/>
      <c r="L13333" s="166"/>
    </row>
    <row r="13334">
      <c r="A13334" s="163" t="s">
        <v>222</v>
      </c>
      <c r="B13334" s="163"/>
      <c r="C13334" s="163"/>
      <c r="J13334" s="165"/>
      <c r="K13334" s="166"/>
      <c r="L13334" s="166"/>
    </row>
    <row r="13335">
      <c r="A13335" s="163" t="s">
        <v>222</v>
      </c>
      <c r="B13335" s="163"/>
      <c r="C13335" s="163"/>
      <c r="J13335" s="165"/>
      <c r="K13335" s="166"/>
      <c r="L13335" s="166"/>
    </row>
    <row r="13336">
      <c r="A13336" s="163" t="s">
        <v>222</v>
      </c>
      <c r="B13336" s="163"/>
      <c r="C13336" s="163"/>
      <c r="J13336" s="165"/>
      <c r="K13336" s="166"/>
      <c r="L13336" s="166"/>
    </row>
    <row r="13337">
      <c r="A13337" s="163" t="s">
        <v>222</v>
      </c>
      <c r="B13337" s="163"/>
      <c r="C13337" s="163"/>
      <c r="J13337" s="165"/>
      <c r="K13337" s="166"/>
      <c r="L13337" s="166"/>
    </row>
    <row r="13338">
      <c r="A13338" s="163" t="s">
        <v>222</v>
      </c>
      <c r="B13338" s="163"/>
      <c r="C13338" s="163"/>
      <c r="J13338" s="165"/>
      <c r="K13338" s="166"/>
      <c r="L13338" s="166"/>
    </row>
    <row r="13339">
      <c r="A13339" s="163" t="s">
        <v>222</v>
      </c>
      <c r="B13339" s="163"/>
      <c r="C13339" s="163"/>
      <c r="J13339" s="165"/>
      <c r="K13339" s="166"/>
      <c r="L13339" s="166"/>
    </row>
    <row r="13340">
      <c r="A13340" s="163" t="s">
        <v>222</v>
      </c>
      <c r="B13340" s="163"/>
      <c r="C13340" s="163"/>
      <c r="J13340" s="165"/>
      <c r="K13340" s="166"/>
      <c r="L13340" s="166"/>
    </row>
    <row r="13341">
      <c r="A13341" s="163" t="s">
        <v>222</v>
      </c>
      <c r="B13341" s="163"/>
      <c r="C13341" s="163"/>
      <c r="J13341" s="165"/>
      <c r="K13341" s="166"/>
      <c r="L13341" s="166"/>
    </row>
    <row r="13342">
      <c r="A13342" s="163" t="s">
        <v>222</v>
      </c>
      <c r="B13342" s="163"/>
      <c r="C13342" s="163"/>
      <c r="J13342" s="165"/>
      <c r="K13342" s="166"/>
      <c r="L13342" s="166"/>
    </row>
    <row r="13343">
      <c r="A13343" s="163" t="s">
        <v>222</v>
      </c>
      <c r="B13343" s="163"/>
      <c r="C13343" s="163"/>
      <c r="J13343" s="165"/>
      <c r="K13343" s="166"/>
      <c r="L13343" s="166"/>
    </row>
    <row r="13344">
      <c r="A13344" s="163" t="s">
        <v>222</v>
      </c>
      <c r="B13344" s="163"/>
      <c r="C13344" s="163"/>
      <c r="J13344" s="165"/>
      <c r="K13344" s="166"/>
      <c r="L13344" s="166"/>
    </row>
    <row r="13345">
      <c r="A13345" s="163" t="s">
        <v>222</v>
      </c>
      <c r="B13345" s="163"/>
      <c r="C13345" s="163"/>
      <c r="J13345" s="165"/>
      <c r="K13345" s="166"/>
      <c r="L13345" s="166"/>
    </row>
    <row r="13346">
      <c r="A13346" s="163" t="s">
        <v>222</v>
      </c>
      <c r="B13346" s="163"/>
      <c r="C13346" s="163"/>
      <c r="J13346" s="165"/>
      <c r="K13346" s="166"/>
      <c r="L13346" s="166"/>
    </row>
    <row r="13347">
      <c r="A13347" s="163" t="s">
        <v>222</v>
      </c>
      <c r="B13347" s="163"/>
      <c r="C13347" s="163"/>
      <c r="J13347" s="165"/>
      <c r="K13347" s="166"/>
      <c r="L13347" s="166"/>
    </row>
    <row r="13348">
      <c r="A13348" s="163" t="s">
        <v>222</v>
      </c>
      <c r="B13348" s="163"/>
      <c r="C13348" s="163"/>
      <c r="J13348" s="165"/>
      <c r="K13348" s="166"/>
      <c r="L13348" s="166"/>
    </row>
    <row r="13349">
      <c r="A13349" s="163" t="s">
        <v>222</v>
      </c>
      <c r="B13349" s="163"/>
      <c r="C13349" s="163"/>
      <c r="J13349" s="165"/>
      <c r="K13349" s="166"/>
      <c r="L13349" s="166"/>
    </row>
    <row r="13350">
      <c r="A13350" s="163" t="s">
        <v>222</v>
      </c>
      <c r="B13350" s="163"/>
      <c r="C13350" s="163"/>
      <c r="J13350" s="165"/>
      <c r="K13350" s="166"/>
      <c r="L13350" s="166"/>
    </row>
    <row r="13351">
      <c r="A13351" s="163" t="s">
        <v>222</v>
      </c>
      <c r="B13351" s="163"/>
      <c r="C13351" s="163"/>
      <c r="J13351" s="165"/>
      <c r="K13351" s="166"/>
      <c r="L13351" s="166"/>
    </row>
    <row r="13352">
      <c r="A13352" s="163" t="s">
        <v>222</v>
      </c>
      <c r="B13352" s="163"/>
      <c r="C13352" s="163"/>
      <c r="J13352" s="165"/>
      <c r="K13352" s="166"/>
      <c r="L13352" s="166"/>
    </row>
    <row r="13353">
      <c r="A13353" s="163" t="s">
        <v>222</v>
      </c>
      <c r="B13353" s="163"/>
      <c r="C13353" s="163"/>
      <c r="J13353" s="165"/>
      <c r="K13353" s="166"/>
      <c r="L13353" s="166"/>
    </row>
    <row r="13354">
      <c r="A13354" s="163" t="s">
        <v>222</v>
      </c>
      <c r="B13354" s="163"/>
      <c r="C13354" s="163"/>
      <c r="J13354" s="165"/>
      <c r="K13354" s="166"/>
      <c r="L13354" s="166"/>
    </row>
    <row r="13355">
      <c r="A13355" s="163" t="s">
        <v>222</v>
      </c>
      <c r="B13355" s="163"/>
      <c r="C13355" s="163"/>
      <c r="J13355" s="165"/>
      <c r="K13355" s="166"/>
      <c r="L13355" s="166"/>
    </row>
    <row r="13356">
      <c r="A13356" s="163" t="s">
        <v>222</v>
      </c>
      <c r="B13356" s="163"/>
      <c r="C13356" s="163"/>
      <c r="J13356" s="165"/>
      <c r="K13356" s="166"/>
      <c r="L13356" s="166"/>
    </row>
    <row r="13357">
      <c r="A13357" s="163" t="s">
        <v>222</v>
      </c>
      <c r="B13357" s="163"/>
      <c r="C13357" s="163"/>
      <c r="J13357" s="165"/>
      <c r="K13357" s="166"/>
      <c r="L13357" s="166"/>
    </row>
    <row r="13358">
      <c r="A13358" s="163" t="s">
        <v>222</v>
      </c>
      <c r="B13358" s="163"/>
      <c r="C13358" s="163"/>
      <c r="J13358" s="165"/>
      <c r="K13358" s="166"/>
      <c r="L13358" s="166"/>
    </row>
    <row r="13359">
      <c r="A13359" s="163" t="s">
        <v>222</v>
      </c>
      <c r="B13359" s="163"/>
      <c r="C13359" s="163"/>
      <c r="J13359" s="165"/>
      <c r="K13359" s="166"/>
      <c r="L13359" s="166"/>
    </row>
    <row r="13360">
      <c r="A13360" s="163" t="s">
        <v>222</v>
      </c>
      <c r="B13360" s="163"/>
      <c r="C13360" s="163"/>
      <c r="J13360" s="165"/>
      <c r="K13360" s="166"/>
      <c r="L13360" s="166"/>
    </row>
    <row r="13361">
      <c r="A13361" s="163" t="s">
        <v>222</v>
      </c>
      <c r="B13361" s="163"/>
      <c r="C13361" s="163"/>
      <c r="J13361" s="165"/>
      <c r="K13361" s="166"/>
      <c r="L13361" s="166"/>
    </row>
    <row r="13362">
      <c r="A13362" s="163" t="s">
        <v>222</v>
      </c>
      <c r="B13362" s="163"/>
      <c r="C13362" s="163"/>
      <c r="J13362" s="165"/>
      <c r="K13362" s="166"/>
      <c r="L13362" s="166"/>
    </row>
    <row r="13363">
      <c r="A13363" s="163" t="s">
        <v>222</v>
      </c>
      <c r="B13363" s="163"/>
      <c r="C13363" s="163"/>
      <c r="J13363" s="165"/>
      <c r="K13363" s="166"/>
      <c r="L13363" s="166"/>
    </row>
    <row r="13364">
      <c r="A13364" s="163" t="s">
        <v>222</v>
      </c>
      <c r="B13364" s="163"/>
      <c r="C13364" s="163"/>
      <c r="J13364" s="165"/>
      <c r="K13364" s="166"/>
      <c r="L13364" s="166"/>
    </row>
    <row r="13365">
      <c r="A13365" s="163" t="s">
        <v>222</v>
      </c>
      <c r="B13365" s="163"/>
      <c r="C13365" s="163"/>
      <c r="J13365" s="165"/>
      <c r="K13365" s="166"/>
      <c r="L13365" s="166"/>
    </row>
    <row r="13366">
      <c r="A13366" s="163" t="s">
        <v>222</v>
      </c>
      <c r="B13366" s="163"/>
      <c r="C13366" s="163"/>
      <c r="J13366" s="165"/>
      <c r="K13366" s="166"/>
      <c r="L13366" s="166"/>
    </row>
    <row r="13367">
      <c r="A13367" s="163" t="s">
        <v>222</v>
      </c>
      <c r="B13367" s="163"/>
      <c r="C13367" s="163"/>
      <c r="J13367" s="165"/>
      <c r="K13367" s="166"/>
      <c r="L13367" s="166"/>
    </row>
    <row r="13368">
      <c r="A13368" s="163" t="s">
        <v>222</v>
      </c>
      <c r="B13368" s="163"/>
      <c r="C13368" s="163"/>
      <c r="J13368" s="165"/>
      <c r="K13368" s="166"/>
      <c r="L13368" s="166"/>
    </row>
    <row r="13369">
      <c r="A13369" s="163" t="s">
        <v>222</v>
      </c>
      <c r="B13369" s="163"/>
      <c r="C13369" s="163"/>
      <c r="J13369" s="165"/>
      <c r="K13369" s="166"/>
      <c r="L13369" s="166"/>
    </row>
    <row r="13370">
      <c r="A13370" s="163" t="s">
        <v>222</v>
      </c>
      <c r="B13370" s="163"/>
      <c r="C13370" s="163"/>
      <c r="J13370" s="165"/>
      <c r="K13370" s="166"/>
      <c r="L13370" s="166"/>
    </row>
    <row r="13371">
      <c r="A13371" s="163" t="s">
        <v>222</v>
      </c>
      <c r="B13371" s="163"/>
      <c r="C13371" s="163"/>
      <c r="J13371" s="165"/>
      <c r="K13371" s="166"/>
      <c r="L13371" s="166"/>
    </row>
    <row r="13372">
      <c r="A13372" s="163" t="s">
        <v>222</v>
      </c>
      <c r="B13372" s="163"/>
      <c r="C13372" s="163"/>
      <c r="J13372" s="165"/>
      <c r="K13372" s="166"/>
      <c r="L13372" s="166"/>
    </row>
    <row r="13373">
      <c r="A13373" s="163" t="s">
        <v>222</v>
      </c>
      <c r="B13373" s="163"/>
      <c r="C13373" s="163"/>
      <c r="J13373" s="165"/>
      <c r="K13373" s="166"/>
      <c r="L13373" s="166"/>
    </row>
    <row r="13374">
      <c r="A13374" s="163" t="s">
        <v>222</v>
      </c>
      <c r="B13374" s="163"/>
      <c r="C13374" s="163"/>
      <c r="J13374" s="165"/>
      <c r="K13374" s="166"/>
      <c r="L13374" s="166"/>
    </row>
    <row r="13375">
      <c r="A13375" s="163" t="s">
        <v>222</v>
      </c>
      <c r="B13375" s="163"/>
      <c r="C13375" s="163"/>
      <c r="J13375" s="165"/>
      <c r="K13375" s="166"/>
      <c r="L13375" s="166"/>
    </row>
    <row r="13376">
      <c r="A13376" s="163" t="s">
        <v>222</v>
      </c>
      <c r="B13376" s="163"/>
      <c r="C13376" s="163"/>
      <c r="J13376" s="165"/>
      <c r="K13376" s="166"/>
      <c r="L13376" s="166"/>
    </row>
    <row r="13377">
      <c r="A13377" s="163" t="s">
        <v>222</v>
      </c>
      <c r="B13377" s="163"/>
      <c r="C13377" s="163"/>
      <c r="J13377" s="165"/>
      <c r="K13377" s="166"/>
      <c r="L13377" s="166"/>
    </row>
    <row r="13378">
      <c r="A13378" s="163" t="s">
        <v>222</v>
      </c>
      <c r="B13378" s="163"/>
      <c r="C13378" s="163"/>
      <c r="J13378" s="165"/>
      <c r="K13378" s="166"/>
      <c r="L13378" s="166"/>
    </row>
    <row r="13379">
      <c r="A13379" s="163" t="s">
        <v>222</v>
      </c>
      <c r="B13379" s="163"/>
      <c r="C13379" s="163"/>
      <c r="J13379" s="165"/>
      <c r="K13379" s="166"/>
      <c r="L13379" s="166"/>
    </row>
    <row r="13380">
      <c r="A13380" s="163" t="s">
        <v>222</v>
      </c>
      <c r="B13380" s="163"/>
      <c r="C13380" s="163"/>
      <c r="J13380" s="165"/>
      <c r="K13380" s="166"/>
      <c r="L13380" s="166"/>
    </row>
    <row r="13381">
      <c r="A13381" s="163" t="s">
        <v>222</v>
      </c>
      <c r="B13381" s="163"/>
      <c r="C13381" s="163"/>
      <c r="J13381" s="165"/>
      <c r="K13381" s="166"/>
      <c r="L13381" s="166"/>
    </row>
    <row r="13382">
      <c r="A13382" s="163" t="s">
        <v>222</v>
      </c>
      <c r="B13382" s="163"/>
      <c r="C13382" s="163"/>
      <c r="J13382" s="165"/>
      <c r="K13382" s="166"/>
      <c r="L13382" s="166"/>
    </row>
    <row r="13383">
      <c r="A13383" s="163" t="s">
        <v>222</v>
      </c>
      <c r="B13383" s="163"/>
      <c r="C13383" s="163"/>
      <c r="J13383" s="165"/>
      <c r="K13383" s="166"/>
      <c r="L13383" s="166"/>
    </row>
    <row r="13384">
      <c r="A13384" s="163" t="s">
        <v>222</v>
      </c>
      <c r="B13384" s="163"/>
      <c r="C13384" s="163"/>
      <c r="J13384" s="165"/>
      <c r="K13384" s="166"/>
      <c r="L13384" s="166"/>
    </row>
    <row r="13385">
      <c r="A13385" s="163" t="s">
        <v>222</v>
      </c>
      <c r="B13385" s="163"/>
      <c r="C13385" s="163"/>
      <c r="J13385" s="165"/>
      <c r="K13385" s="166"/>
      <c r="L13385" s="166"/>
    </row>
    <row r="13386">
      <c r="A13386" s="163" t="s">
        <v>222</v>
      </c>
      <c r="B13386" s="163"/>
      <c r="C13386" s="163"/>
      <c r="J13386" s="165"/>
      <c r="K13386" s="166"/>
      <c r="L13386" s="166"/>
    </row>
    <row r="13387">
      <c r="A13387" s="163" t="s">
        <v>222</v>
      </c>
      <c r="B13387" s="163"/>
      <c r="C13387" s="163"/>
      <c r="J13387" s="165"/>
      <c r="K13387" s="166"/>
      <c r="L13387" s="166"/>
    </row>
    <row r="13388">
      <c r="A13388" s="163" t="s">
        <v>222</v>
      </c>
      <c r="B13388" s="163"/>
      <c r="C13388" s="163"/>
      <c r="J13388" s="165"/>
      <c r="K13388" s="166"/>
      <c r="L13388" s="166"/>
    </row>
    <row r="13389">
      <c r="A13389" s="163" t="s">
        <v>222</v>
      </c>
      <c r="B13389" s="163"/>
      <c r="C13389" s="163"/>
      <c r="J13389" s="165"/>
      <c r="K13389" s="166"/>
      <c r="L13389" s="166"/>
    </row>
    <row r="13390">
      <c r="A13390" s="163" t="s">
        <v>222</v>
      </c>
      <c r="B13390" s="163"/>
      <c r="C13390" s="163"/>
      <c r="J13390" s="165"/>
      <c r="K13390" s="166"/>
      <c r="L13390" s="166"/>
    </row>
    <row r="13391">
      <c r="A13391" s="163" t="s">
        <v>222</v>
      </c>
      <c r="B13391" s="163"/>
      <c r="C13391" s="163"/>
      <c r="J13391" s="165"/>
      <c r="K13391" s="166"/>
      <c r="L13391" s="166"/>
    </row>
    <row r="13392">
      <c r="A13392" s="163" t="s">
        <v>222</v>
      </c>
      <c r="B13392" s="163"/>
      <c r="C13392" s="163"/>
      <c r="J13392" s="165"/>
      <c r="K13392" s="166"/>
      <c r="L13392" s="166"/>
    </row>
    <row r="13393">
      <c r="A13393" s="163" t="s">
        <v>222</v>
      </c>
      <c r="B13393" s="163"/>
      <c r="C13393" s="163"/>
      <c r="J13393" s="165"/>
      <c r="K13393" s="166"/>
      <c r="L13393" s="166"/>
    </row>
    <row r="13394">
      <c r="A13394" s="163" t="s">
        <v>222</v>
      </c>
      <c r="B13394" s="163"/>
      <c r="C13394" s="163"/>
      <c r="J13394" s="165"/>
      <c r="K13394" s="166"/>
      <c r="L13394" s="166"/>
    </row>
    <row r="13395">
      <c r="A13395" s="163" t="s">
        <v>222</v>
      </c>
      <c r="B13395" s="163"/>
      <c r="C13395" s="163"/>
      <c r="J13395" s="165"/>
      <c r="K13395" s="166"/>
      <c r="L13395" s="166"/>
    </row>
    <row r="13396">
      <c r="A13396" s="163" t="s">
        <v>222</v>
      </c>
      <c r="B13396" s="163"/>
      <c r="C13396" s="163"/>
      <c r="J13396" s="165"/>
      <c r="K13396" s="166"/>
      <c r="L13396" s="166"/>
    </row>
    <row r="13397">
      <c r="A13397" s="163" t="s">
        <v>222</v>
      </c>
      <c r="B13397" s="163"/>
      <c r="C13397" s="163"/>
      <c r="J13397" s="165"/>
      <c r="K13397" s="166"/>
      <c r="L13397" s="166"/>
    </row>
    <row r="13398">
      <c r="A13398" s="163" t="s">
        <v>222</v>
      </c>
      <c r="B13398" s="163"/>
      <c r="C13398" s="163"/>
      <c r="J13398" s="165"/>
      <c r="K13398" s="166"/>
      <c r="L13398" s="166"/>
    </row>
    <row r="13399">
      <c r="A13399" s="163" t="s">
        <v>222</v>
      </c>
      <c r="B13399" s="163"/>
      <c r="C13399" s="163"/>
      <c r="J13399" s="165"/>
      <c r="K13399" s="166"/>
      <c r="L13399" s="166"/>
    </row>
    <row r="13400">
      <c r="A13400" s="163" t="s">
        <v>222</v>
      </c>
      <c r="B13400" s="163"/>
      <c r="C13400" s="163"/>
      <c r="J13400" s="165"/>
      <c r="K13400" s="166"/>
      <c r="L13400" s="166"/>
    </row>
    <row r="13401">
      <c r="A13401" s="163" t="s">
        <v>222</v>
      </c>
      <c r="B13401" s="163"/>
      <c r="C13401" s="163"/>
      <c r="J13401" s="165"/>
      <c r="K13401" s="166"/>
      <c r="L13401" s="166"/>
    </row>
    <row r="13402">
      <c r="A13402" s="163" t="s">
        <v>222</v>
      </c>
      <c r="B13402" s="163"/>
      <c r="C13402" s="163"/>
      <c r="J13402" s="165"/>
      <c r="K13402" s="166"/>
      <c r="L13402" s="166"/>
    </row>
    <row r="13403">
      <c r="A13403" s="163" t="s">
        <v>222</v>
      </c>
      <c r="B13403" s="163"/>
      <c r="C13403" s="163"/>
      <c r="J13403" s="165"/>
      <c r="K13403" s="166"/>
      <c r="L13403" s="166"/>
    </row>
    <row r="13404">
      <c r="A13404" s="163" t="s">
        <v>222</v>
      </c>
      <c r="B13404" s="163"/>
      <c r="C13404" s="163"/>
      <c r="J13404" s="165"/>
      <c r="K13404" s="166"/>
      <c r="L13404" s="166"/>
    </row>
    <row r="13405">
      <c r="A13405" s="163" t="s">
        <v>222</v>
      </c>
      <c r="B13405" s="163"/>
      <c r="C13405" s="163"/>
      <c r="J13405" s="165"/>
      <c r="K13405" s="166"/>
      <c r="L13405" s="166"/>
    </row>
    <row r="13406">
      <c r="A13406" s="163" t="s">
        <v>222</v>
      </c>
      <c r="B13406" s="163"/>
      <c r="C13406" s="163"/>
      <c r="J13406" s="165"/>
      <c r="K13406" s="166"/>
      <c r="L13406" s="166"/>
    </row>
    <row r="13407">
      <c r="A13407" s="163" t="s">
        <v>222</v>
      </c>
      <c r="B13407" s="163"/>
      <c r="C13407" s="163"/>
      <c r="J13407" s="165"/>
      <c r="K13407" s="166"/>
      <c r="L13407" s="166"/>
    </row>
    <row r="13408">
      <c r="A13408" s="163" t="s">
        <v>222</v>
      </c>
      <c r="B13408" s="163"/>
      <c r="C13408" s="163"/>
      <c r="J13408" s="165"/>
      <c r="K13408" s="166"/>
      <c r="L13408" s="166"/>
    </row>
    <row r="13409">
      <c r="A13409" s="163" t="s">
        <v>222</v>
      </c>
      <c r="B13409" s="163"/>
      <c r="C13409" s="163"/>
      <c r="J13409" s="165"/>
      <c r="K13409" s="166"/>
      <c r="L13409" s="166"/>
    </row>
    <row r="13410">
      <c r="A13410" s="163" t="s">
        <v>222</v>
      </c>
      <c r="B13410" s="163"/>
      <c r="C13410" s="163"/>
      <c r="J13410" s="165"/>
      <c r="K13410" s="166"/>
      <c r="L13410" s="166"/>
    </row>
    <row r="13411">
      <c r="A13411" s="163" t="s">
        <v>222</v>
      </c>
      <c r="B13411" s="163"/>
      <c r="C13411" s="163"/>
      <c r="J13411" s="165"/>
      <c r="K13411" s="166"/>
      <c r="L13411" s="166"/>
    </row>
    <row r="13412">
      <c r="A13412" s="163" t="s">
        <v>222</v>
      </c>
      <c r="B13412" s="163"/>
      <c r="C13412" s="163"/>
      <c r="J13412" s="165"/>
      <c r="K13412" s="166"/>
      <c r="L13412" s="166"/>
    </row>
    <row r="13413">
      <c r="A13413" s="163" t="s">
        <v>222</v>
      </c>
      <c r="B13413" s="163"/>
      <c r="C13413" s="163"/>
      <c r="J13413" s="165"/>
      <c r="K13413" s="166"/>
      <c r="L13413" s="166"/>
    </row>
    <row r="13414">
      <c r="A13414" s="163" t="s">
        <v>222</v>
      </c>
      <c r="B13414" s="163"/>
      <c r="C13414" s="163"/>
      <c r="J13414" s="165"/>
      <c r="K13414" s="166"/>
      <c r="L13414" s="166"/>
    </row>
    <row r="13415">
      <c r="A13415" s="163" t="s">
        <v>222</v>
      </c>
      <c r="B13415" s="163"/>
      <c r="C13415" s="163"/>
      <c r="J13415" s="165"/>
      <c r="K13415" s="166"/>
      <c r="L13415" s="166"/>
    </row>
    <row r="13416">
      <c r="A13416" s="163" t="s">
        <v>222</v>
      </c>
      <c r="B13416" s="163"/>
      <c r="C13416" s="163"/>
      <c r="J13416" s="165"/>
      <c r="K13416" s="166"/>
      <c r="L13416" s="166"/>
    </row>
    <row r="13417">
      <c r="A13417" s="163" t="s">
        <v>222</v>
      </c>
      <c r="B13417" s="163"/>
      <c r="C13417" s="163"/>
      <c r="J13417" s="165"/>
      <c r="K13417" s="166"/>
      <c r="L13417" s="166"/>
    </row>
    <row r="13418">
      <c r="A13418" s="163" t="s">
        <v>222</v>
      </c>
      <c r="B13418" s="163"/>
      <c r="C13418" s="163"/>
      <c r="J13418" s="165"/>
      <c r="K13418" s="166"/>
      <c r="L13418" s="166"/>
    </row>
    <row r="13419">
      <c r="A13419" s="163" t="s">
        <v>222</v>
      </c>
      <c r="B13419" s="163"/>
      <c r="C13419" s="163"/>
      <c r="J13419" s="165"/>
      <c r="K13419" s="166"/>
      <c r="L13419" s="166"/>
    </row>
    <row r="13420">
      <c r="A13420" s="163" t="s">
        <v>222</v>
      </c>
      <c r="B13420" s="163"/>
      <c r="C13420" s="163"/>
      <c r="J13420" s="165"/>
      <c r="K13420" s="166"/>
      <c r="L13420" s="166"/>
    </row>
    <row r="13421">
      <c r="A13421" s="163" t="s">
        <v>222</v>
      </c>
      <c r="B13421" s="163"/>
      <c r="C13421" s="163"/>
      <c r="J13421" s="165"/>
      <c r="K13421" s="166"/>
      <c r="L13421" s="166"/>
    </row>
    <row r="13422">
      <c r="A13422" s="163" t="s">
        <v>222</v>
      </c>
      <c r="B13422" s="163"/>
      <c r="C13422" s="163"/>
      <c r="J13422" s="165"/>
      <c r="K13422" s="166"/>
      <c r="L13422" s="166"/>
    </row>
    <row r="13423">
      <c r="A13423" s="163" t="s">
        <v>222</v>
      </c>
      <c r="B13423" s="163"/>
      <c r="C13423" s="163"/>
      <c r="J13423" s="165"/>
      <c r="K13423" s="166"/>
      <c r="L13423" s="166"/>
    </row>
    <row r="13424">
      <c r="A13424" s="163" t="s">
        <v>222</v>
      </c>
      <c r="B13424" s="163"/>
      <c r="C13424" s="163"/>
      <c r="J13424" s="165"/>
      <c r="K13424" s="166"/>
      <c r="L13424" s="166"/>
    </row>
    <row r="13425">
      <c r="A13425" s="163" t="s">
        <v>222</v>
      </c>
      <c r="B13425" s="163"/>
      <c r="C13425" s="163"/>
      <c r="J13425" s="165"/>
      <c r="K13425" s="166"/>
      <c r="L13425" s="166"/>
    </row>
    <row r="13426">
      <c r="A13426" s="163" t="s">
        <v>222</v>
      </c>
      <c r="B13426" s="163"/>
      <c r="C13426" s="163"/>
      <c r="J13426" s="165"/>
      <c r="K13426" s="166"/>
      <c r="L13426" s="166"/>
    </row>
    <row r="13427">
      <c r="A13427" s="163" t="s">
        <v>222</v>
      </c>
      <c r="B13427" s="163"/>
      <c r="C13427" s="163"/>
      <c r="J13427" s="165"/>
      <c r="K13427" s="166"/>
      <c r="L13427" s="166"/>
    </row>
    <row r="13428">
      <c r="A13428" s="163" t="s">
        <v>222</v>
      </c>
      <c r="B13428" s="163"/>
      <c r="C13428" s="163"/>
      <c r="J13428" s="165"/>
      <c r="K13428" s="166"/>
      <c r="L13428" s="166"/>
    </row>
    <row r="13429">
      <c r="A13429" s="163" t="s">
        <v>222</v>
      </c>
      <c r="B13429" s="163"/>
      <c r="C13429" s="163"/>
      <c r="J13429" s="165"/>
      <c r="K13429" s="166"/>
      <c r="L13429" s="166"/>
    </row>
    <row r="13430">
      <c r="A13430" s="163" t="s">
        <v>222</v>
      </c>
      <c r="B13430" s="163"/>
      <c r="C13430" s="163"/>
      <c r="J13430" s="165"/>
      <c r="K13430" s="166"/>
      <c r="L13430" s="166"/>
    </row>
    <row r="13431">
      <c r="A13431" s="163" t="s">
        <v>222</v>
      </c>
      <c r="B13431" s="163"/>
      <c r="C13431" s="163"/>
      <c r="J13431" s="165"/>
      <c r="K13431" s="166"/>
      <c r="L13431" s="166"/>
    </row>
    <row r="13432">
      <c r="A13432" s="163" t="s">
        <v>222</v>
      </c>
      <c r="B13432" s="163"/>
      <c r="C13432" s="163"/>
      <c r="J13432" s="165"/>
      <c r="K13432" s="166"/>
      <c r="L13432" s="166"/>
    </row>
    <row r="13433">
      <c r="A13433" s="163" t="s">
        <v>222</v>
      </c>
      <c r="B13433" s="163"/>
      <c r="C13433" s="163"/>
      <c r="J13433" s="165"/>
      <c r="K13433" s="166"/>
      <c r="L13433" s="166"/>
    </row>
    <row r="13434">
      <c r="A13434" s="163" t="s">
        <v>222</v>
      </c>
      <c r="B13434" s="163"/>
      <c r="C13434" s="163"/>
      <c r="J13434" s="165"/>
      <c r="K13434" s="166"/>
      <c r="L13434" s="166"/>
    </row>
    <row r="13435">
      <c r="A13435" s="163" t="s">
        <v>222</v>
      </c>
      <c r="B13435" s="163"/>
      <c r="C13435" s="163"/>
      <c r="J13435" s="165"/>
      <c r="K13435" s="166"/>
      <c r="L13435" s="166"/>
    </row>
    <row r="13436">
      <c r="A13436" s="163" t="s">
        <v>222</v>
      </c>
      <c r="B13436" s="163"/>
      <c r="C13436" s="163"/>
      <c r="J13436" s="165"/>
      <c r="K13436" s="166"/>
      <c r="L13436" s="166"/>
    </row>
    <row r="13437">
      <c r="A13437" s="163" t="s">
        <v>222</v>
      </c>
      <c r="B13437" s="163"/>
      <c r="C13437" s="163"/>
      <c r="J13437" s="165"/>
      <c r="K13437" s="166"/>
      <c r="L13437" s="166"/>
    </row>
    <row r="13438">
      <c r="A13438" s="163" t="s">
        <v>222</v>
      </c>
      <c r="B13438" s="163"/>
      <c r="C13438" s="163"/>
      <c r="J13438" s="165"/>
      <c r="K13438" s="166"/>
      <c r="L13438" s="166"/>
    </row>
    <row r="13439">
      <c r="A13439" s="163" t="s">
        <v>222</v>
      </c>
      <c r="B13439" s="163"/>
      <c r="C13439" s="163"/>
      <c r="J13439" s="165"/>
      <c r="K13439" s="166"/>
      <c r="L13439" s="166"/>
    </row>
    <row r="13440">
      <c r="A13440" s="163" t="s">
        <v>222</v>
      </c>
      <c r="B13440" s="163"/>
      <c r="C13440" s="163"/>
      <c r="J13440" s="165"/>
      <c r="K13440" s="166"/>
      <c r="L13440" s="166"/>
    </row>
    <row r="13441">
      <c r="A13441" s="163" t="s">
        <v>222</v>
      </c>
      <c r="B13441" s="163"/>
      <c r="C13441" s="163"/>
      <c r="J13441" s="165"/>
      <c r="K13441" s="166"/>
      <c r="L13441" s="166"/>
    </row>
    <row r="13442">
      <c r="A13442" s="163" t="s">
        <v>222</v>
      </c>
      <c r="B13442" s="163"/>
      <c r="C13442" s="163"/>
      <c r="J13442" s="165"/>
      <c r="K13442" s="166"/>
      <c r="L13442" s="166"/>
    </row>
    <row r="13443">
      <c r="A13443" s="163" t="s">
        <v>222</v>
      </c>
      <c r="B13443" s="163"/>
      <c r="C13443" s="163"/>
      <c r="J13443" s="165"/>
      <c r="K13443" s="166"/>
      <c r="L13443" s="166"/>
    </row>
    <row r="13444">
      <c r="A13444" s="163" t="s">
        <v>222</v>
      </c>
      <c r="B13444" s="163"/>
      <c r="C13444" s="163"/>
      <c r="J13444" s="165"/>
      <c r="K13444" s="166"/>
      <c r="L13444" s="166"/>
    </row>
    <row r="13445">
      <c r="A13445" s="163" t="s">
        <v>222</v>
      </c>
      <c r="B13445" s="163"/>
      <c r="C13445" s="163"/>
      <c r="J13445" s="165"/>
      <c r="K13445" s="166"/>
      <c r="L13445" s="166"/>
    </row>
    <row r="13446">
      <c r="A13446" s="163" t="s">
        <v>222</v>
      </c>
      <c r="B13446" s="163"/>
      <c r="C13446" s="163"/>
      <c r="J13446" s="165"/>
      <c r="K13446" s="166"/>
      <c r="L13446" s="166"/>
    </row>
    <row r="13447">
      <c r="A13447" s="163" t="s">
        <v>222</v>
      </c>
      <c r="B13447" s="163"/>
      <c r="C13447" s="163"/>
      <c r="J13447" s="165"/>
      <c r="K13447" s="166"/>
      <c r="L13447" s="166"/>
    </row>
    <row r="13448">
      <c r="A13448" s="163" t="s">
        <v>222</v>
      </c>
      <c r="B13448" s="163"/>
      <c r="C13448" s="163"/>
      <c r="J13448" s="165"/>
      <c r="K13448" s="166"/>
      <c r="L13448" s="166"/>
    </row>
    <row r="13449">
      <c r="A13449" s="163" t="s">
        <v>222</v>
      </c>
      <c r="B13449" s="163"/>
      <c r="C13449" s="163"/>
      <c r="J13449" s="165"/>
      <c r="K13449" s="166"/>
      <c r="L13449" s="166"/>
    </row>
    <row r="13450">
      <c r="A13450" s="163" t="s">
        <v>222</v>
      </c>
      <c r="B13450" s="163"/>
      <c r="C13450" s="163"/>
      <c r="J13450" s="165"/>
      <c r="K13450" s="166"/>
      <c r="L13450" s="166"/>
    </row>
    <row r="13451">
      <c r="A13451" s="163" t="s">
        <v>222</v>
      </c>
      <c r="B13451" s="163"/>
      <c r="C13451" s="163"/>
      <c r="J13451" s="165"/>
      <c r="K13451" s="166"/>
      <c r="L13451" s="166"/>
    </row>
    <row r="13452">
      <c r="A13452" s="163" t="s">
        <v>222</v>
      </c>
      <c r="B13452" s="163"/>
      <c r="C13452" s="163"/>
      <c r="J13452" s="165"/>
      <c r="K13452" s="166"/>
      <c r="L13452" s="166"/>
    </row>
    <row r="13453">
      <c r="A13453" s="163" t="s">
        <v>222</v>
      </c>
      <c r="B13453" s="163"/>
      <c r="C13453" s="163"/>
      <c r="J13453" s="165"/>
      <c r="K13453" s="166"/>
      <c r="L13453" s="166"/>
    </row>
    <row r="13454">
      <c r="A13454" s="163" t="s">
        <v>222</v>
      </c>
      <c r="B13454" s="163"/>
      <c r="C13454" s="163"/>
      <c r="J13454" s="165"/>
      <c r="K13454" s="166"/>
      <c r="L13454" s="166"/>
    </row>
    <row r="13455">
      <c r="A13455" s="163" t="s">
        <v>222</v>
      </c>
      <c r="B13455" s="163"/>
      <c r="C13455" s="163"/>
      <c r="J13455" s="165"/>
      <c r="K13455" s="166"/>
      <c r="L13455" s="166"/>
    </row>
    <row r="13456">
      <c r="A13456" s="163" t="s">
        <v>222</v>
      </c>
      <c r="B13456" s="163"/>
      <c r="C13456" s="163"/>
      <c r="J13456" s="165"/>
      <c r="K13456" s="166"/>
      <c r="L13456" s="166"/>
    </row>
    <row r="13457">
      <c r="A13457" s="163" t="s">
        <v>222</v>
      </c>
      <c r="B13457" s="163"/>
      <c r="C13457" s="163"/>
      <c r="J13457" s="165"/>
      <c r="K13457" s="166"/>
      <c r="L13457" s="166"/>
    </row>
    <row r="13458">
      <c r="A13458" s="163" t="s">
        <v>222</v>
      </c>
      <c r="B13458" s="163"/>
      <c r="C13458" s="163"/>
      <c r="J13458" s="165"/>
      <c r="K13458" s="166"/>
      <c r="L13458" s="166"/>
    </row>
    <row r="13459">
      <c r="A13459" s="163" t="s">
        <v>222</v>
      </c>
      <c r="B13459" s="163"/>
      <c r="C13459" s="163"/>
      <c r="J13459" s="165"/>
      <c r="K13459" s="166"/>
      <c r="L13459" s="166"/>
    </row>
    <row r="13460">
      <c r="A13460" s="163" t="s">
        <v>222</v>
      </c>
      <c r="B13460" s="163"/>
      <c r="C13460" s="163"/>
      <c r="J13460" s="165"/>
      <c r="K13460" s="166"/>
      <c r="L13460" s="166"/>
    </row>
    <row r="13461">
      <c r="A13461" s="163" t="s">
        <v>222</v>
      </c>
      <c r="B13461" s="163"/>
      <c r="C13461" s="163"/>
      <c r="J13461" s="165"/>
      <c r="K13461" s="166"/>
      <c r="L13461" s="166"/>
    </row>
    <row r="13462">
      <c r="A13462" s="163" t="s">
        <v>222</v>
      </c>
      <c r="B13462" s="163"/>
      <c r="C13462" s="163"/>
      <c r="J13462" s="165"/>
      <c r="K13462" s="166"/>
      <c r="L13462" s="166"/>
    </row>
    <row r="13463">
      <c r="A13463" s="163" t="s">
        <v>222</v>
      </c>
      <c r="B13463" s="163"/>
      <c r="C13463" s="163"/>
      <c r="J13463" s="165"/>
      <c r="K13463" s="166"/>
      <c r="L13463" s="166"/>
    </row>
    <row r="13464">
      <c r="A13464" s="163" t="s">
        <v>222</v>
      </c>
      <c r="B13464" s="163"/>
      <c r="C13464" s="163"/>
      <c r="J13464" s="165"/>
      <c r="K13464" s="166"/>
      <c r="L13464" s="166"/>
    </row>
    <row r="13465">
      <c r="A13465" s="163" t="s">
        <v>222</v>
      </c>
      <c r="B13465" s="163"/>
      <c r="C13465" s="163"/>
      <c r="J13465" s="165"/>
      <c r="K13465" s="166"/>
      <c r="L13465" s="166"/>
    </row>
    <row r="13466">
      <c r="A13466" s="163" t="s">
        <v>222</v>
      </c>
      <c r="B13466" s="163"/>
      <c r="C13466" s="163"/>
      <c r="J13466" s="165"/>
      <c r="K13466" s="166"/>
      <c r="L13466" s="166"/>
    </row>
    <row r="13467">
      <c r="A13467" s="163" t="s">
        <v>222</v>
      </c>
      <c r="B13467" s="163"/>
      <c r="C13467" s="163"/>
      <c r="J13467" s="165"/>
      <c r="K13467" s="166"/>
      <c r="L13467" s="166"/>
    </row>
    <row r="13468">
      <c r="A13468" s="163" t="s">
        <v>222</v>
      </c>
      <c r="B13468" s="163"/>
      <c r="C13468" s="163"/>
      <c r="J13468" s="165"/>
      <c r="K13468" s="166"/>
      <c r="L13468" s="166"/>
    </row>
    <row r="13469">
      <c r="A13469" s="163" t="s">
        <v>222</v>
      </c>
      <c r="B13469" s="163"/>
      <c r="C13469" s="163"/>
      <c r="J13469" s="165"/>
      <c r="K13469" s="166"/>
      <c r="L13469" s="166"/>
    </row>
    <row r="13470">
      <c r="A13470" s="163" t="s">
        <v>222</v>
      </c>
      <c r="B13470" s="163"/>
      <c r="C13470" s="163"/>
      <c r="J13470" s="165"/>
      <c r="K13470" s="166"/>
      <c r="L13470" s="166"/>
    </row>
    <row r="13471">
      <c r="A13471" s="163" t="s">
        <v>222</v>
      </c>
      <c r="B13471" s="163"/>
      <c r="C13471" s="163"/>
      <c r="J13471" s="165"/>
      <c r="K13471" s="166"/>
      <c r="L13471" s="166"/>
    </row>
    <row r="13472">
      <c r="A13472" s="163" t="s">
        <v>222</v>
      </c>
      <c r="B13472" s="163"/>
      <c r="C13472" s="163"/>
      <c r="J13472" s="165"/>
      <c r="K13472" s="166"/>
      <c r="L13472" s="166"/>
    </row>
    <row r="13473">
      <c r="A13473" s="163" t="s">
        <v>222</v>
      </c>
      <c r="B13473" s="163"/>
      <c r="C13473" s="163"/>
      <c r="J13473" s="165"/>
      <c r="K13473" s="166"/>
      <c r="L13473" s="166"/>
    </row>
    <row r="13474">
      <c r="A13474" s="163" t="s">
        <v>222</v>
      </c>
      <c r="B13474" s="163"/>
      <c r="C13474" s="163"/>
      <c r="J13474" s="165"/>
      <c r="K13474" s="166"/>
      <c r="L13474" s="166"/>
    </row>
    <row r="13475">
      <c r="A13475" s="163" t="s">
        <v>222</v>
      </c>
      <c r="B13475" s="163"/>
      <c r="C13475" s="163"/>
      <c r="J13475" s="165"/>
      <c r="K13475" s="166"/>
      <c r="L13475" s="166"/>
    </row>
    <row r="13476">
      <c r="A13476" s="163" t="s">
        <v>222</v>
      </c>
      <c r="B13476" s="163"/>
      <c r="C13476" s="163"/>
      <c r="J13476" s="165"/>
      <c r="K13476" s="166"/>
      <c r="L13476" s="166"/>
    </row>
    <row r="13477">
      <c r="A13477" s="163" t="s">
        <v>222</v>
      </c>
      <c r="B13477" s="163"/>
      <c r="C13477" s="163"/>
      <c r="J13477" s="165"/>
      <c r="K13477" s="166"/>
      <c r="L13477" s="166"/>
    </row>
    <row r="13478">
      <c r="A13478" s="163" t="s">
        <v>222</v>
      </c>
      <c r="B13478" s="163"/>
      <c r="C13478" s="163"/>
      <c r="J13478" s="165"/>
      <c r="K13478" s="166"/>
      <c r="L13478" s="166"/>
    </row>
    <row r="13479">
      <c r="A13479" s="163" t="s">
        <v>222</v>
      </c>
      <c r="B13479" s="163"/>
      <c r="C13479" s="163"/>
      <c r="J13479" s="165"/>
      <c r="K13479" s="166"/>
      <c r="L13479" s="166"/>
    </row>
    <row r="13480">
      <c r="A13480" s="163" t="s">
        <v>222</v>
      </c>
      <c r="B13480" s="163"/>
      <c r="C13480" s="163"/>
      <c r="J13480" s="165"/>
      <c r="K13480" s="166"/>
      <c r="L13480" s="166"/>
    </row>
    <row r="13481">
      <c r="A13481" s="163" t="s">
        <v>222</v>
      </c>
      <c r="B13481" s="163"/>
      <c r="C13481" s="163"/>
      <c r="J13481" s="165"/>
      <c r="K13481" s="166"/>
      <c r="L13481" s="166"/>
    </row>
    <row r="13482">
      <c r="A13482" s="163" t="s">
        <v>222</v>
      </c>
      <c r="B13482" s="163"/>
      <c r="C13482" s="163"/>
      <c r="J13482" s="165"/>
      <c r="K13482" s="166"/>
      <c r="L13482" s="166"/>
    </row>
    <row r="13483">
      <c r="A13483" s="163" t="s">
        <v>222</v>
      </c>
      <c r="B13483" s="163"/>
      <c r="C13483" s="163"/>
      <c r="J13483" s="165"/>
      <c r="K13483" s="166"/>
      <c r="L13483" s="166"/>
    </row>
    <row r="13484">
      <c r="A13484" s="163" t="s">
        <v>222</v>
      </c>
      <c r="B13484" s="163"/>
      <c r="C13484" s="163"/>
      <c r="J13484" s="165"/>
      <c r="K13484" s="166"/>
      <c r="L13484" s="166"/>
    </row>
    <row r="13485">
      <c r="A13485" s="163" t="s">
        <v>222</v>
      </c>
      <c r="B13485" s="163"/>
      <c r="C13485" s="163"/>
      <c r="J13485" s="165"/>
      <c r="K13485" s="166"/>
      <c r="L13485" s="166"/>
    </row>
    <row r="13486">
      <c r="A13486" s="163" t="s">
        <v>222</v>
      </c>
      <c r="B13486" s="163"/>
      <c r="C13486" s="163"/>
      <c r="J13486" s="165"/>
      <c r="K13486" s="166"/>
      <c r="L13486" s="166"/>
    </row>
    <row r="13487">
      <c r="A13487" s="163" t="s">
        <v>222</v>
      </c>
      <c r="B13487" s="163"/>
      <c r="C13487" s="163"/>
      <c r="J13487" s="165"/>
      <c r="K13487" s="166"/>
      <c r="L13487" s="166"/>
    </row>
    <row r="13488">
      <c r="A13488" s="163" t="s">
        <v>222</v>
      </c>
      <c r="B13488" s="163"/>
      <c r="C13488" s="163"/>
      <c r="J13488" s="165"/>
      <c r="K13488" s="166"/>
      <c r="L13488" s="166"/>
    </row>
    <row r="13489">
      <c r="A13489" s="163" t="s">
        <v>222</v>
      </c>
      <c r="B13489" s="163"/>
      <c r="C13489" s="163"/>
      <c r="J13489" s="165"/>
      <c r="K13489" s="166"/>
      <c r="L13489" s="166"/>
    </row>
    <row r="13490">
      <c r="A13490" s="163" t="s">
        <v>222</v>
      </c>
      <c r="B13490" s="163"/>
      <c r="C13490" s="163"/>
      <c r="J13490" s="165"/>
      <c r="K13490" s="166"/>
      <c r="L13490" s="166"/>
    </row>
    <row r="13491">
      <c r="A13491" s="163" t="s">
        <v>222</v>
      </c>
      <c r="B13491" s="163"/>
      <c r="C13491" s="163"/>
      <c r="J13491" s="165"/>
      <c r="K13491" s="166"/>
      <c r="L13491" s="166"/>
    </row>
    <row r="13492">
      <c r="A13492" s="163" t="s">
        <v>222</v>
      </c>
      <c r="B13492" s="163"/>
      <c r="C13492" s="163"/>
      <c r="J13492" s="165"/>
      <c r="K13492" s="166"/>
      <c r="L13492" s="166"/>
    </row>
    <row r="13493">
      <c r="A13493" s="163" t="s">
        <v>222</v>
      </c>
      <c r="B13493" s="163"/>
      <c r="C13493" s="163"/>
      <c r="J13493" s="165"/>
      <c r="K13493" s="166"/>
      <c r="L13493" s="166"/>
    </row>
    <row r="13494">
      <c r="A13494" s="163" t="s">
        <v>222</v>
      </c>
      <c r="B13494" s="163"/>
      <c r="C13494" s="163"/>
      <c r="J13494" s="165"/>
      <c r="K13494" s="166"/>
      <c r="L13494" s="166"/>
    </row>
    <row r="13495">
      <c r="A13495" s="163" t="s">
        <v>222</v>
      </c>
      <c r="B13495" s="163"/>
      <c r="C13495" s="163"/>
      <c r="J13495" s="165"/>
      <c r="K13495" s="166"/>
      <c r="L13495" s="166"/>
    </row>
    <row r="13496">
      <c r="A13496" s="163" t="s">
        <v>222</v>
      </c>
      <c r="B13496" s="163"/>
      <c r="C13496" s="163"/>
      <c r="J13496" s="165"/>
      <c r="K13496" s="166"/>
      <c r="L13496" s="166"/>
    </row>
    <row r="13497">
      <c r="A13497" s="163" t="s">
        <v>222</v>
      </c>
      <c r="B13497" s="163"/>
      <c r="C13497" s="163"/>
      <c r="J13497" s="165"/>
      <c r="K13497" s="166"/>
      <c r="L13497" s="166"/>
    </row>
    <row r="13498">
      <c r="A13498" s="163" t="s">
        <v>222</v>
      </c>
      <c r="B13498" s="163"/>
      <c r="C13498" s="163"/>
      <c r="J13498" s="165"/>
      <c r="K13498" s="166"/>
      <c r="L13498" s="166"/>
    </row>
    <row r="13499">
      <c r="A13499" s="163" t="s">
        <v>222</v>
      </c>
      <c r="B13499" s="163"/>
      <c r="C13499" s="163"/>
      <c r="J13499" s="165"/>
      <c r="K13499" s="166"/>
      <c r="L13499" s="166"/>
    </row>
    <row r="13500">
      <c r="A13500" s="163" t="s">
        <v>222</v>
      </c>
      <c r="B13500" s="163"/>
      <c r="C13500" s="163"/>
      <c r="J13500" s="165"/>
      <c r="K13500" s="166"/>
      <c r="L13500" s="166"/>
    </row>
    <row r="13501">
      <c r="A13501" s="163" t="s">
        <v>222</v>
      </c>
      <c r="B13501" s="163"/>
      <c r="C13501" s="163"/>
      <c r="J13501" s="165"/>
      <c r="K13501" s="166"/>
      <c r="L13501" s="166"/>
    </row>
    <row r="13502">
      <c r="A13502" s="163" t="s">
        <v>222</v>
      </c>
      <c r="B13502" s="163"/>
      <c r="C13502" s="163"/>
      <c r="J13502" s="165"/>
      <c r="K13502" s="166"/>
      <c r="L13502" s="166"/>
    </row>
    <row r="13503">
      <c r="A13503" s="163" t="s">
        <v>222</v>
      </c>
      <c r="B13503" s="163"/>
      <c r="C13503" s="163"/>
      <c r="J13503" s="165"/>
      <c r="K13503" s="166"/>
      <c r="L13503" s="166"/>
    </row>
    <row r="13504">
      <c r="A13504" s="163" t="s">
        <v>222</v>
      </c>
      <c r="B13504" s="163"/>
      <c r="C13504" s="163"/>
      <c r="J13504" s="165"/>
      <c r="K13504" s="166"/>
      <c r="L13504" s="166"/>
    </row>
    <row r="13505">
      <c r="A13505" s="163" t="s">
        <v>222</v>
      </c>
      <c r="B13505" s="163"/>
      <c r="C13505" s="163"/>
      <c r="J13505" s="165"/>
      <c r="K13505" s="166"/>
      <c r="L13505" s="166"/>
    </row>
    <row r="13506">
      <c r="A13506" s="163" t="s">
        <v>222</v>
      </c>
      <c r="B13506" s="163"/>
      <c r="C13506" s="163"/>
      <c r="J13506" s="165"/>
      <c r="K13506" s="166"/>
      <c r="L13506" s="166"/>
    </row>
    <row r="13507">
      <c r="A13507" s="163" t="s">
        <v>222</v>
      </c>
      <c r="B13507" s="163"/>
      <c r="C13507" s="163"/>
      <c r="J13507" s="165"/>
      <c r="K13507" s="166"/>
      <c r="L13507" s="166"/>
    </row>
    <row r="13508">
      <c r="A13508" s="163" t="s">
        <v>222</v>
      </c>
      <c r="B13508" s="163"/>
      <c r="C13508" s="163"/>
      <c r="J13508" s="165"/>
      <c r="K13508" s="166"/>
      <c r="L13508" s="166"/>
    </row>
    <row r="13509">
      <c r="A13509" s="163" t="s">
        <v>222</v>
      </c>
      <c r="B13509" s="163"/>
      <c r="C13509" s="163"/>
      <c r="J13509" s="165"/>
      <c r="K13509" s="166"/>
      <c r="L13509" s="166"/>
    </row>
    <row r="13510">
      <c r="A13510" s="163" t="s">
        <v>222</v>
      </c>
      <c r="B13510" s="163"/>
      <c r="C13510" s="163"/>
      <c r="J13510" s="165"/>
      <c r="K13510" s="166"/>
      <c r="L13510" s="166"/>
    </row>
    <row r="13511">
      <c r="A13511" s="163" t="s">
        <v>222</v>
      </c>
      <c r="B13511" s="163"/>
      <c r="C13511" s="163"/>
      <c r="J13511" s="165"/>
      <c r="K13511" s="166"/>
      <c r="L13511" s="166"/>
    </row>
    <row r="13512">
      <c r="A13512" s="163" t="s">
        <v>222</v>
      </c>
      <c r="B13512" s="163"/>
      <c r="C13512" s="163"/>
      <c r="J13512" s="165"/>
      <c r="K13512" s="166"/>
      <c r="L13512" s="166"/>
    </row>
    <row r="13513">
      <c r="A13513" s="163" t="s">
        <v>222</v>
      </c>
      <c r="B13513" s="163"/>
      <c r="C13513" s="163"/>
      <c r="J13513" s="165"/>
      <c r="K13513" s="166"/>
      <c r="L13513" s="166"/>
    </row>
    <row r="13514">
      <c r="A13514" s="163" t="s">
        <v>222</v>
      </c>
      <c r="B13514" s="163"/>
      <c r="C13514" s="163"/>
      <c r="J13514" s="165"/>
      <c r="K13514" s="166"/>
      <c r="L13514" s="166"/>
    </row>
    <row r="13515">
      <c r="A13515" s="163" t="s">
        <v>222</v>
      </c>
      <c r="B13515" s="163"/>
      <c r="C13515" s="163"/>
      <c r="J13515" s="165"/>
      <c r="K13515" s="166"/>
      <c r="L13515" s="166"/>
    </row>
    <row r="13516">
      <c r="A13516" s="163" t="s">
        <v>222</v>
      </c>
      <c r="B13516" s="163"/>
      <c r="C13516" s="163"/>
      <c r="J13516" s="165"/>
      <c r="K13516" s="166"/>
      <c r="L13516" s="166"/>
    </row>
    <row r="13517">
      <c r="A13517" s="163" t="s">
        <v>222</v>
      </c>
      <c r="B13517" s="163"/>
      <c r="C13517" s="163"/>
      <c r="J13517" s="165"/>
      <c r="K13517" s="166"/>
      <c r="L13517" s="166"/>
    </row>
    <row r="13518">
      <c r="A13518" s="163" t="s">
        <v>222</v>
      </c>
      <c r="B13518" s="163"/>
      <c r="C13518" s="163"/>
      <c r="J13518" s="165"/>
      <c r="K13518" s="166"/>
      <c r="L13518" s="166"/>
    </row>
    <row r="13519">
      <c r="A13519" s="163" t="s">
        <v>222</v>
      </c>
      <c r="B13519" s="163"/>
      <c r="C13519" s="163"/>
      <c r="J13519" s="165"/>
      <c r="K13519" s="166"/>
      <c r="L13519" s="166"/>
    </row>
    <row r="13520">
      <c r="A13520" s="163" t="s">
        <v>222</v>
      </c>
      <c r="B13520" s="163"/>
      <c r="C13520" s="163"/>
      <c r="J13520" s="165"/>
      <c r="K13520" s="166"/>
      <c r="L13520" s="166"/>
    </row>
    <row r="13521">
      <c r="A13521" s="163" t="s">
        <v>222</v>
      </c>
      <c r="B13521" s="163"/>
      <c r="C13521" s="163"/>
      <c r="J13521" s="165"/>
      <c r="K13521" s="166"/>
      <c r="L13521" s="166"/>
    </row>
    <row r="13522">
      <c r="A13522" s="163" t="s">
        <v>222</v>
      </c>
      <c r="B13522" s="163"/>
      <c r="C13522" s="163"/>
      <c r="J13522" s="165"/>
      <c r="K13522" s="166"/>
      <c r="L13522" s="166"/>
    </row>
    <row r="13523">
      <c r="A13523" s="163" t="s">
        <v>222</v>
      </c>
      <c r="B13523" s="163"/>
      <c r="C13523" s="163"/>
      <c r="J13523" s="165"/>
      <c r="K13523" s="166"/>
      <c r="L13523" s="166"/>
    </row>
    <row r="13524">
      <c r="A13524" s="163" t="s">
        <v>222</v>
      </c>
      <c r="B13524" s="163"/>
      <c r="C13524" s="163"/>
      <c r="J13524" s="165"/>
      <c r="K13524" s="166"/>
      <c r="L13524" s="166"/>
    </row>
    <row r="13525">
      <c r="A13525" s="163" t="s">
        <v>222</v>
      </c>
      <c r="B13525" s="163"/>
      <c r="C13525" s="163"/>
      <c r="J13525" s="165"/>
      <c r="K13525" s="166"/>
      <c r="L13525" s="166"/>
    </row>
    <row r="13526">
      <c r="A13526" s="163" t="s">
        <v>222</v>
      </c>
      <c r="B13526" s="163"/>
      <c r="C13526" s="163"/>
      <c r="J13526" s="165"/>
      <c r="K13526" s="166"/>
      <c r="L13526" s="166"/>
    </row>
    <row r="13527">
      <c r="A13527" s="163" t="s">
        <v>222</v>
      </c>
      <c r="B13527" s="163"/>
      <c r="C13527" s="163"/>
      <c r="J13527" s="165"/>
      <c r="K13527" s="166"/>
      <c r="L13527" s="166"/>
    </row>
    <row r="13528">
      <c r="A13528" s="163" t="s">
        <v>222</v>
      </c>
      <c r="B13528" s="163"/>
      <c r="C13528" s="163"/>
      <c r="J13528" s="165"/>
      <c r="K13528" s="166"/>
      <c r="L13528" s="166"/>
    </row>
    <row r="13529">
      <c r="A13529" s="163" t="s">
        <v>222</v>
      </c>
      <c r="B13529" s="163"/>
      <c r="C13529" s="163"/>
      <c r="J13529" s="165"/>
      <c r="K13529" s="166"/>
      <c r="L13529" s="166"/>
    </row>
    <row r="13530">
      <c r="A13530" s="163" t="s">
        <v>222</v>
      </c>
      <c r="B13530" s="163"/>
      <c r="C13530" s="163"/>
      <c r="J13530" s="165"/>
      <c r="K13530" s="166"/>
      <c r="L13530" s="166"/>
    </row>
    <row r="13531">
      <c r="A13531" s="163" t="s">
        <v>222</v>
      </c>
      <c r="B13531" s="163"/>
      <c r="C13531" s="163"/>
      <c r="J13531" s="165"/>
      <c r="K13531" s="166"/>
      <c r="L13531" s="166"/>
    </row>
    <row r="13532">
      <c r="A13532" s="163" t="s">
        <v>222</v>
      </c>
      <c r="B13532" s="163"/>
      <c r="C13532" s="163"/>
      <c r="J13532" s="165"/>
      <c r="K13532" s="166"/>
      <c r="L13532" s="166"/>
    </row>
    <row r="13533">
      <c r="A13533" s="163" t="s">
        <v>222</v>
      </c>
      <c r="B13533" s="163"/>
      <c r="C13533" s="163"/>
      <c r="J13533" s="165"/>
      <c r="K13533" s="166"/>
      <c r="L13533" s="166"/>
    </row>
    <row r="13534">
      <c r="A13534" s="163" t="s">
        <v>222</v>
      </c>
      <c r="B13534" s="163"/>
      <c r="C13534" s="163"/>
      <c r="J13534" s="165"/>
      <c r="K13534" s="166"/>
      <c r="L13534" s="166"/>
    </row>
    <row r="13535">
      <c r="A13535" s="163" t="s">
        <v>222</v>
      </c>
      <c r="B13535" s="163"/>
      <c r="C13535" s="163"/>
      <c r="J13535" s="165"/>
      <c r="K13535" s="166"/>
      <c r="L13535" s="166"/>
    </row>
    <row r="13536">
      <c r="A13536" s="163" t="s">
        <v>222</v>
      </c>
      <c r="B13536" s="163"/>
      <c r="C13536" s="163"/>
      <c r="J13536" s="165"/>
      <c r="K13536" s="166"/>
      <c r="L13536" s="166"/>
    </row>
    <row r="13537">
      <c r="A13537" s="163" t="s">
        <v>222</v>
      </c>
      <c r="B13537" s="163"/>
      <c r="C13537" s="163"/>
      <c r="J13537" s="165"/>
      <c r="K13537" s="166"/>
      <c r="L13537" s="166"/>
    </row>
    <row r="13538">
      <c r="A13538" s="163" t="s">
        <v>222</v>
      </c>
      <c r="B13538" s="163"/>
      <c r="C13538" s="163"/>
      <c r="J13538" s="165"/>
      <c r="K13538" s="166"/>
      <c r="L13538" s="166"/>
    </row>
    <row r="13539">
      <c r="A13539" s="163" t="s">
        <v>222</v>
      </c>
      <c r="B13539" s="163"/>
      <c r="C13539" s="163"/>
      <c r="J13539" s="165"/>
      <c r="K13539" s="166"/>
      <c r="L13539" s="166"/>
    </row>
    <row r="13540">
      <c r="A13540" s="163" t="s">
        <v>222</v>
      </c>
      <c r="B13540" s="163"/>
      <c r="C13540" s="163"/>
      <c r="J13540" s="165"/>
      <c r="K13540" s="166"/>
      <c r="L13540" s="166"/>
    </row>
    <row r="13541">
      <c r="A13541" s="163" t="s">
        <v>222</v>
      </c>
      <c r="B13541" s="163"/>
      <c r="C13541" s="163"/>
      <c r="J13541" s="165"/>
      <c r="K13541" s="166"/>
      <c r="L13541" s="166"/>
    </row>
    <row r="13542">
      <c r="A13542" s="163" t="s">
        <v>222</v>
      </c>
      <c r="B13542" s="163"/>
      <c r="C13542" s="163"/>
      <c r="J13542" s="165"/>
      <c r="K13542" s="166"/>
      <c r="L13542" s="166"/>
    </row>
    <row r="13543">
      <c r="A13543" s="163" t="s">
        <v>222</v>
      </c>
      <c r="B13543" s="163"/>
      <c r="C13543" s="163"/>
      <c r="J13543" s="165"/>
      <c r="K13543" s="166"/>
      <c r="L13543" s="166"/>
    </row>
    <row r="13544">
      <c r="A13544" s="163" t="s">
        <v>222</v>
      </c>
      <c r="B13544" s="163"/>
      <c r="C13544" s="163"/>
      <c r="J13544" s="165"/>
      <c r="K13544" s="166"/>
      <c r="L13544" s="166"/>
    </row>
    <row r="13545">
      <c r="A13545" s="163" t="s">
        <v>222</v>
      </c>
      <c r="B13545" s="163"/>
      <c r="C13545" s="163"/>
      <c r="J13545" s="165"/>
      <c r="K13545" s="166"/>
      <c r="L13545" s="166"/>
    </row>
    <row r="13546">
      <c r="A13546" s="163" t="s">
        <v>222</v>
      </c>
      <c r="B13546" s="163"/>
      <c r="C13546" s="163"/>
      <c r="J13546" s="165"/>
      <c r="K13546" s="166"/>
      <c r="L13546" s="166"/>
    </row>
    <row r="13547">
      <c r="A13547" s="163" t="s">
        <v>222</v>
      </c>
      <c r="B13547" s="163"/>
      <c r="C13547" s="163"/>
      <c r="J13547" s="165"/>
      <c r="K13547" s="166"/>
      <c r="L13547" s="166"/>
    </row>
    <row r="13548">
      <c r="A13548" s="163" t="s">
        <v>222</v>
      </c>
      <c r="B13548" s="163"/>
      <c r="C13548" s="163"/>
      <c r="J13548" s="165"/>
      <c r="K13548" s="166"/>
      <c r="L13548" s="166"/>
    </row>
    <row r="13549">
      <c r="A13549" s="163" t="s">
        <v>222</v>
      </c>
      <c r="B13549" s="163"/>
      <c r="C13549" s="163"/>
      <c r="J13549" s="165"/>
      <c r="K13549" s="166"/>
      <c r="L13549" s="166"/>
    </row>
    <row r="13550">
      <c r="A13550" s="163" t="s">
        <v>222</v>
      </c>
      <c r="B13550" s="163"/>
      <c r="C13550" s="163"/>
      <c r="J13550" s="165"/>
      <c r="K13550" s="166"/>
      <c r="L13550" s="166"/>
    </row>
    <row r="13551">
      <c r="A13551" s="163" t="s">
        <v>222</v>
      </c>
      <c r="B13551" s="163"/>
      <c r="C13551" s="163"/>
      <c r="J13551" s="165"/>
      <c r="K13551" s="166"/>
      <c r="L13551" s="166"/>
    </row>
    <row r="13552">
      <c r="A13552" s="163" t="s">
        <v>222</v>
      </c>
      <c r="B13552" s="163"/>
      <c r="C13552" s="163"/>
      <c r="J13552" s="165"/>
      <c r="K13552" s="166"/>
      <c r="L13552" s="166"/>
    </row>
    <row r="13553">
      <c r="A13553" s="163" t="s">
        <v>222</v>
      </c>
      <c r="B13553" s="163"/>
      <c r="C13553" s="163"/>
      <c r="J13553" s="165"/>
      <c r="K13553" s="166"/>
      <c r="L13553" s="166"/>
    </row>
    <row r="13554">
      <c r="A13554" s="163" t="s">
        <v>222</v>
      </c>
      <c r="B13554" s="163"/>
      <c r="C13554" s="163"/>
      <c r="J13554" s="165"/>
      <c r="K13554" s="166"/>
      <c r="L13554" s="166"/>
    </row>
    <row r="13555">
      <c r="A13555" s="163" t="s">
        <v>222</v>
      </c>
      <c r="B13555" s="163"/>
      <c r="C13555" s="163"/>
      <c r="J13555" s="165"/>
      <c r="K13555" s="166"/>
      <c r="L13555" s="166"/>
    </row>
    <row r="13556">
      <c r="A13556" s="163" t="s">
        <v>222</v>
      </c>
      <c r="B13556" s="163"/>
      <c r="C13556" s="163"/>
      <c r="J13556" s="165"/>
      <c r="K13556" s="166"/>
      <c r="L13556" s="166"/>
    </row>
    <row r="13557">
      <c r="A13557" s="163" t="s">
        <v>222</v>
      </c>
      <c r="B13557" s="163"/>
      <c r="C13557" s="163"/>
      <c r="J13557" s="165"/>
      <c r="K13557" s="166"/>
      <c r="L13557" s="166"/>
    </row>
    <row r="13558">
      <c r="A13558" s="163" t="s">
        <v>222</v>
      </c>
      <c r="B13558" s="163"/>
      <c r="C13558" s="163"/>
      <c r="J13558" s="165"/>
      <c r="K13558" s="166"/>
      <c r="L13558" s="166"/>
    </row>
    <row r="13559">
      <c r="A13559" s="163" t="s">
        <v>222</v>
      </c>
      <c r="B13559" s="163"/>
      <c r="C13559" s="163"/>
      <c r="J13559" s="165"/>
      <c r="K13559" s="166"/>
      <c r="L13559" s="166"/>
    </row>
    <row r="13560">
      <c r="A13560" s="163" t="s">
        <v>222</v>
      </c>
      <c r="B13560" s="163"/>
      <c r="C13560" s="163"/>
      <c r="J13560" s="165"/>
      <c r="K13560" s="166"/>
      <c r="L13560" s="166"/>
    </row>
    <row r="13561">
      <c r="A13561" s="163" t="s">
        <v>222</v>
      </c>
      <c r="B13561" s="163"/>
      <c r="C13561" s="163"/>
      <c r="J13561" s="165"/>
      <c r="K13561" s="166"/>
      <c r="L13561" s="166"/>
    </row>
    <row r="13562">
      <c r="A13562" s="163" t="s">
        <v>222</v>
      </c>
      <c r="B13562" s="163"/>
      <c r="C13562" s="163"/>
      <c r="J13562" s="165"/>
      <c r="K13562" s="166"/>
      <c r="L13562" s="166"/>
    </row>
    <row r="13563">
      <c r="A13563" s="163" t="s">
        <v>222</v>
      </c>
      <c r="B13563" s="163"/>
      <c r="C13563" s="163"/>
      <c r="J13563" s="165"/>
      <c r="K13563" s="166"/>
      <c r="L13563" s="166"/>
    </row>
    <row r="13564">
      <c r="A13564" s="163" t="s">
        <v>222</v>
      </c>
      <c r="B13564" s="163"/>
      <c r="C13564" s="163"/>
      <c r="J13564" s="165"/>
      <c r="K13564" s="166"/>
      <c r="L13564" s="166"/>
    </row>
    <row r="13565">
      <c r="A13565" s="163" t="s">
        <v>222</v>
      </c>
      <c r="B13565" s="163"/>
      <c r="C13565" s="163"/>
      <c r="J13565" s="165"/>
      <c r="K13565" s="166"/>
      <c r="L13565" s="166"/>
    </row>
    <row r="13566">
      <c r="A13566" s="163" t="s">
        <v>222</v>
      </c>
      <c r="B13566" s="163"/>
      <c r="C13566" s="163"/>
      <c r="J13566" s="165"/>
      <c r="K13566" s="166"/>
      <c r="L13566" s="166"/>
    </row>
    <row r="13567">
      <c r="A13567" s="163" t="s">
        <v>222</v>
      </c>
      <c r="B13567" s="163"/>
      <c r="C13567" s="163"/>
      <c r="J13567" s="165"/>
      <c r="K13567" s="166"/>
      <c r="L13567" s="166"/>
    </row>
    <row r="13568">
      <c r="A13568" s="163" t="s">
        <v>222</v>
      </c>
      <c r="B13568" s="163"/>
      <c r="C13568" s="163"/>
      <c r="J13568" s="165"/>
      <c r="K13568" s="166"/>
      <c r="L13568" s="166"/>
    </row>
    <row r="13569">
      <c r="A13569" s="163" t="s">
        <v>222</v>
      </c>
      <c r="B13569" s="163"/>
      <c r="C13569" s="163"/>
      <c r="J13569" s="165"/>
      <c r="K13569" s="166"/>
      <c r="L13569" s="166"/>
    </row>
    <row r="13570">
      <c r="A13570" s="163" t="s">
        <v>222</v>
      </c>
      <c r="B13570" s="163"/>
      <c r="C13570" s="163"/>
      <c r="J13570" s="165"/>
      <c r="K13570" s="166"/>
      <c r="L13570" s="166"/>
    </row>
    <row r="13571">
      <c r="A13571" s="163" t="s">
        <v>222</v>
      </c>
      <c r="B13571" s="163"/>
      <c r="C13571" s="163"/>
      <c r="J13571" s="165"/>
      <c r="K13571" s="166"/>
      <c r="L13571" s="166"/>
    </row>
    <row r="13572">
      <c r="A13572" s="163" t="s">
        <v>222</v>
      </c>
      <c r="B13572" s="163"/>
      <c r="C13572" s="163"/>
      <c r="J13572" s="165"/>
      <c r="K13572" s="166"/>
      <c r="L13572" s="166"/>
    </row>
    <row r="13573">
      <c r="A13573" s="163" t="s">
        <v>222</v>
      </c>
      <c r="B13573" s="163"/>
      <c r="C13573" s="163"/>
      <c r="J13573" s="165"/>
      <c r="K13573" s="166"/>
      <c r="L13573" s="166"/>
    </row>
    <row r="13574">
      <c r="A13574" s="163" t="s">
        <v>222</v>
      </c>
      <c r="B13574" s="163"/>
      <c r="C13574" s="163"/>
      <c r="J13574" s="165"/>
      <c r="K13574" s="166"/>
      <c r="L13574" s="166"/>
    </row>
    <row r="13575">
      <c r="A13575" s="163" t="s">
        <v>222</v>
      </c>
      <c r="B13575" s="163"/>
      <c r="C13575" s="163"/>
      <c r="J13575" s="165"/>
      <c r="K13575" s="166"/>
      <c r="L13575" s="166"/>
    </row>
    <row r="13576">
      <c r="A13576" s="163" t="s">
        <v>222</v>
      </c>
      <c r="B13576" s="163"/>
      <c r="C13576" s="163"/>
      <c r="J13576" s="165"/>
      <c r="K13576" s="166"/>
      <c r="L13576" s="166"/>
    </row>
    <row r="13577">
      <c r="A13577" s="163" t="s">
        <v>222</v>
      </c>
      <c r="B13577" s="163"/>
      <c r="C13577" s="163"/>
      <c r="J13577" s="165"/>
      <c r="K13577" s="166"/>
      <c r="L13577" s="166"/>
    </row>
    <row r="13578">
      <c r="A13578" s="163" t="s">
        <v>222</v>
      </c>
      <c r="B13578" s="163"/>
      <c r="C13578" s="163"/>
      <c r="J13578" s="165"/>
      <c r="K13578" s="166"/>
      <c r="L13578" s="166"/>
    </row>
    <row r="13579">
      <c r="A13579" s="163" t="s">
        <v>222</v>
      </c>
      <c r="B13579" s="163"/>
      <c r="C13579" s="163"/>
      <c r="J13579" s="165"/>
      <c r="K13579" s="166"/>
      <c r="L13579" s="166"/>
    </row>
    <row r="13580">
      <c r="A13580" s="163" t="s">
        <v>222</v>
      </c>
      <c r="B13580" s="163"/>
      <c r="C13580" s="163"/>
      <c r="J13580" s="165"/>
      <c r="K13580" s="166"/>
      <c r="L13580" s="166"/>
    </row>
    <row r="13581">
      <c r="A13581" s="163" t="s">
        <v>222</v>
      </c>
      <c r="B13581" s="163"/>
      <c r="C13581" s="163"/>
      <c r="J13581" s="165"/>
      <c r="K13581" s="166"/>
      <c r="L13581" s="166"/>
    </row>
    <row r="13582">
      <c r="A13582" s="163" t="s">
        <v>222</v>
      </c>
      <c r="B13582" s="163"/>
      <c r="C13582" s="163"/>
      <c r="J13582" s="165"/>
      <c r="K13582" s="166"/>
      <c r="L13582" s="166"/>
    </row>
    <row r="13583">
      <c r="A13583" s="163" t="s">
        <v>222</v>
      </c>
      <c r="B13583" s="163"/>
      <c r="C13583" s="163"/>
      <c r="J13583" s="165"/>
      <c r="K13583" s="166"/>
      <c r="L13583" s="166"/>
    </row>
    <row r="13584">
      <c r="A13584" s="163" t="s">
        <v>222</v>
      </c>
      <c r="B13584" s="163"/>
      <c r="C13584" s="163"/>
      <c r="J13584" s="165"/>
      <c r="K13584" s="166"/>
      <c r="L13584" s="166"/>
    </row>
    <row r="13585">
      <c r="A13585" s="163" t="s">
        <v>222</v>
      </c>
      <c r="B13585" s="163"/>
      <c r="C13585" s="163"/>
      <c r="J13585" s="165"/>
      <c r="K13585" s="166"/>
      <c r="L13585" s="166"/>
    </row>
    <row r="13586">
      <c r="A13586" s="163" t="s">
        <v>222</v>
      </c>
      <c r="B13586" s="163"/>
      <c r="C13586" s="163"/>
      <c r="J13586" s="165"/>
      <c r="K13586" s="166"/>
      <c r="L13586" s="166"/>
    </row>
    <row r="13587">
      <c r="A13587" s="163" t="s">
        <v>222</v>
      </c>
      <c r="B13587" s="163"/>
      <c r="C13587" s="163"/>
      <c r="J13587" s="165"/>
      <c r="K13587" s="166"/>
      <c r="L13587" s="166"/>
    </row>
    <row r="13588">
      <c r="A13588" s="163" t="s">
        <v>222</v>
      </c>
      <c r="B13588" s="163"/>
      <c r="C13588" s="163"/>
      <c r="J13588" s="165"/>
      <c r="K13588" s="166"/>
      <c r="L13588" s="166"/>
    </row>
    <row r="13589">
      <c r="A13589" s="163" t="s">
        <v>222</v>
      </c>
      <c r="B13589" s="163"/>
      <c r="C13589" s="163"/>
      <c r="J13589" s="165"/>
      <c r="K13589" s="166"/>
      <c r="L13589" s="166"/>
    </row>
    <row r="13590">
      <c r="A13590" s="163" t="s">
        <v>222</v>
      </c>
      <c r="B13590" s="163"/>
      <c r="C13590" s="163"/>
      <c r="J13590" s="165"/>
      <c r="K13590" s="166"/>
      <c r="L13590" s="166"/>
    </row>
    <row r="13591">
      <c r="A13591" s="163" t="s">
        <v>222</v>
      </c>
      <c r="B13591" s="163"/>
      <c r="C13591" s="163"/>
      <c r="J13591" s="165"/>
      <c r="K13591" s="166"/>
      <c r="L13591" s="166"/>
    </row>
    <row r="13592">
      <c r="A13592" s="163" t="s">
        <v>222</v>
      </c>
      <c r="B13592" s="163"/>
      <c r="C13592" s="163"/>
      <c r="J13592" s="165"/>
      <c r="K13592" s="166"/>
      <c r="L13592" s="166"/>
    </row>
    <row r="13593">
      <c r="A13593" s="163" t="s">
        <v>222</v>
      </c>
      <c r="B13593" s="163"/>
      <c r="C13593" s="163"/>
      <c r="J13593" s="165"/>
      <c r="K13593" s="166"/>
      <c r="L13593" s="166"/>
    </row>
    <row r="13594">
      <c r="A13594" s="163" t="s">
        <v>222</v>
      </c>
      <c r="B13594" s="163"/>
      <c r="C13594" s="163"/>
      <c r="J13594" s="165"/>
      <c r="K13594" s="166"/>
      <c r="L13594" s="166"/>
    </row>
    <row r="13595">
      <c r="A13595" s="163" t="s">
        <v>222</v>
      </c>
      <c r="B13595" s="163"/>
      <c r="C13595" s="163"/>
      <c r="J13595" s="165"/>
      <c r="K13595" s="166"/>
      <c r="L13595" s="166"/>
    </row>
    <row r="13596">
      <c r="A13596" s="163" t="s">
        <v>222</v>
      </c>
      <c r="B13596" s="163"/>
      <c r="C13596" s="163"/>
      <c r="J13596" s="165"/>
      <c r="K13596" s="166"/>
      <c r="L13596" s="166"/>
    </row>
    <row r="13597">
      <c r="A13597" s="163" t="s">
        <v>222</v>
      </c>
      <c r="B13597" s="163"/>
      <c r="C13597" s="163"/>
      <c r="J13597" s="165"/>
      <c r="K13597" s="166"/>
      <c r="L13597" s="166"/>
    </row>
    <row r="13598">
      <c r="A13598" s="163" t="s">
        <v>222</v>
      </c>
      <c r="B13598" s="163"/>
      <c r="C13598" s="163"/>
      <c r="J13598" s="165"/>
      <c r="K13598" s="166"/>
      <c r="L13598" s="166"/>
    </row>
    <row r="13599">
      <c r="A13599" s="163" t="s">
        <v>222</v>
      </c>
      <c r="B13599" s="163"/>
      <c r="C13599" s="163"/>
      <c r="J13599" s="165"/>
      <c r="K13599" s="166"/>
      <c r="L13599" s="166"/>
    </row>
    <row r="13600">
      <c r="A13600" s="163" t="s">
        <v>222</v>
      </c>
      <c r="B13600" s="163"/>
      <c r="C13600" s="163"/>
      <c r="J13600" s="165"/>
      <c r="K13600" s="166"/>
      <c r="L13600" s="166"/>
    </row>
    <row r="13601">
      <c r="A13601" s="163" t="s">
        <v>222</v>
      </c>
      <c r="B13601" s="163"/>
      <c r="C13601" s="163"/>
      <c r="J13601" s="165"/>
      <c r="K13601" s="166"/>
      <c r="L13601" s="166"/>
    </row>
    <row r="13602">
      <c r="A13602" s="163" t="s">
        <v>222</v>
      </c>
      <c r="B13602" s="163"/>
      <c r="C13602" s="163"/>
      <c r="J13602" s="165"/>
      <c r="K13602" s="166"/>
      <c r="L13602" s="166"/>
    </row>
    <row r="13603">
      <c r="A13603" s="163" t="s">
        <v>222</v>
      </c>
      <c r="B13603" s="163"/>
      <c r="C13603" s="163"/>
      <c r="J13603" s="165"/>
      <c r="K13603" s="166"/>
      <c r="L13603" s="166"/>
    </row>
    <row r="13604">
      <c r="A13604" s="163" t="s">
        <v>222</v>
      </c>
      <c r="B13604" s="163"/>
      <c r="C13604" s="163"/>
      <c r="J13604" s="165"/>
      <c r="K13604" s="166"/>
      <c r="L13604" s="166"/>
    </row>
    <row r="13605">
      <c r="A13605" s="163" t="s">
        <v>222</v>
      </c>
      <c r="B13605" s="163"/>
      <c r="C13605" s="163"/>
      <c r="J13605" s="165"/>
      <c r="K13605" s="166"/>
      <c r="L13605" s="166"/>
    </row>
    <row r="13606">
      <c r="A13606" s="163" t="s">
        <v>222</v>
      </c>
      <c r="B13606" s="163"/>
      <c r="C13606" s="163"/>
      <c r="J13606" s="165"/>
      <c r="K13606" s="166"/>
      <c r="L13606" s="166"/>
    </row>
    <row r="13607">
      <c r="A13607" s="163" t="s">
        <v>222</v>
      </c>
      <c r="B13607" s="163"/>
      <c r="C13607" s="163"/>
      <c r="J13607" s="165"/>
      <c r="K13607" s="166"/>
      <c r="L13607" s="166"/>
    </row>
    <row r="13608">
      <c r="A13608" s="163" t="s">
        <v>222</v>
      </c>
      <c r="B13608" s="163"/>
      <c r="C13608" s="163"/>
      <c r="J13608" s="165"/>
      <c r="K13608" s="166"/>
      <c r="L13608" s="166"/>
    </row>
    <row r="13609">
      <c r="A13609" s="163" t="s">
        <v>222</v>
      </c>
      <c r="B13609" s="163"/>
      <c r="C13609" s="163"/>
      <c r="J13609" s="165"/>
      <c r="K13609" s="166"/>
      <c r="L13609" s="166"/>
    </row>
    <row r="13610">
      <c r="A13610" s="163" t="s">
        <v>222</v>
      </c>
      <c r="B13610" s="163"/>
      <c r="C13610" s="163"/>
      <c r="J13610" s="165"/>
      <c r="K13610" s="166"/>
      <c r="L13610" s="166"/>
    </row>
    <row r="13611">
      <c r="A13611" s="163" t="s">
        <v>222</v>
      </c>
      <c r="B13611" s="163"/>
      <c r="C13611" s="163"/>
      <c r="J13611" s="165"/>
      <c r="K13611" s="166"/>
      <c r="L13611" s="166"/>
    </row>
    <row r="13612">
      <c r="A13612" s="163" t="s">
        <v>222</v>
      </c>
      <c r="B13612" s="163"/>
      <c r="C13612" s="163"/>
      <c r="J13612" s="165"/>
      <c r="K13612" s="166"/>
      <c r="L13612" s="166"/>
    </row>
    <row r="13613">
      <c r="A13613" s="163" t="s">
        <v>222</v>
      </c>
      <c r="B13613" s="163"/>
      <c r="C13613" s="163"/>
      <c r="J13613" s="165"/>
      <c r="K13613" s="166"/>
      <c r="L13613" s="166"/>
    </row>
    <row r="13614">
      <c r="A13614" s="163" t="s">
        <v>222</v>
      </c>
      <c r="B13614" s="163"/>
      <c r="C13614" s="163"/>
      <c r="J13614" s="165"/>
      <c r="K13614" s="166"/>
      <c r="L13614" s="166"/>
    </row>
    <row r="13615">
      <c r="A13615" s="163" t="s">
        <v>222</v>
      </c>
      <c r="B13615" s="163"/>
      <c r="C13615" s="163"/>
      <c r="J13615" s="165"/>
      <c r="K13615" s="166"/>
      <c r="L13615" s="166"/>
    </row>
    <row r="13616">
      <c r="A13616" s="163" t="s">
        <v>222</v>
      </c>
      <c r="B13616" s="163"/>
      <c r="C13616" s="163"/>
      <c r="J13616" s="165"/>
      <c r="K13616" s="166"/>
      <c r="L13616" s="166"/>
    </row>
    <row r="13617">
      <c r="A13617" s="163" t="s">
        <v>222</v>
      </c>
      <c r="B13617" s="163"/>
      <c r="C13617" s="163"/>
      <c r="J13617" s="165"/>
      <c r="K13617" s="166"/>
      <c r="L13617" s="166"/>
    </row>
    <row r="13618">
      <c r="A13618" s="163" t="s">
        <v>222</v>
      </c>
      <c r="B13618" s="163"/>
      <c r="C13618" s="163"/>
      <c r="J13618" s="165"/>
      <c r="K13618" s="166"/>
      <c r="L13618" s="166"/>
    </row>
    <row r="13619">
      <c r="A13619" s="163" t="s">
        <v>222</v>
      </c>
      <c r="B13619" s="163"/>
      <c r="C13619" s="163"/>
      <c r="J13619" s="165"/>
      <c r="K13619" s="166"/>
      <c r="L13619" s="166"/>
    </row>
    <row r="13620">
      <c r="A13620" s="163" t="s">
        <v>222</v>
      </c>
      <c r="B13620" s="163"/>
      <c r="C13620" s="163"/>
      <c r="J13620" s="165"/>
      <c r="K13620" s="166"/>
      <c r="L13620" s="166"/>
    </row>
    <row r="13621">
      <c r="A13621" s="163" t="s">
        <v>222</v>
      </c>
      <c r="B13621" s="163"/>
      <c r="C13621" s="163"/>
      <c r="J13621" s="165"/>
      <c r="K13621" s="166"/>
      <c r="L13621" s="166"/>
    </row>
    <row r="13622">
      <c r="A13622" s="163" t="s">
        <v>222</v>
      </c>
      <c r="B13622" s="163"/>
      <c r="C13622" s="163"/>
      <c r="J13622" s="165"/>
      <c r="K13622" s="166"/>
      <c r="L13622" s="166"/>
    </row>
    <row r="13623">
      <c r="A13623" s="163" t="s">
        <v>222</v>
      </c>
      <c r="B13623" s="163"/>
      <c r="C13623" s="163"/>
      <c r="J13623" s="165"/>
      <c r="K13623" s="166"/>
      <c r="L13623" s="166"/>
    </row>
    <row r="13624">
      <c r="A13624" s="163" t="s">
        <v>222</v>
      </c>
      <c r="B13624" s="163"/>
      <c r="C13624" s="163"/>
      <c r="J13624" s="165"/>
      <c r="K13624" s="166"/>
      <c r="L13624" s="166"/>
    </row>
    <row r="13625">
      <c r="A13625" s="163" t="s">
        <v>222</v>
      </c>
      <c r="B13625" s="163"/>
      <c r="C13625" s="163"/>
      <c r="J13625" s="165"/>
      <c r="K13625" s="166"/>
      <c r="L13625" s="166"/>
    </row>
    <row r="13626">
      <c r="A13626" s="163" t="s">
        <v>222</v>
      </c>
      <c r="B13626" s="163"/>
      <c r="C13626" s="163"/>
      <c r="J13626" s="165"/>
      <c r="K13626" s="166"/>
      <c r="L13626" s="166"/>
    </row>
    <row r="13627">
      <c r="A13627" s="163" t="s">
        <v>222</v>
      </c>
      <c r="B13627" s="163"/>
      <c r="C13627" s="163"/>
      <c r="J13627" s="165"/>
      <c r="K13627" s="166"/>
      <c r="L13627" s="166"/>
    </row>
    <row r="13628">
      <c r="A13628" s="163" t="s">
        <v>222</v>
      </c>
      <c r="B13628" s="163"/>
      <c r="C13628" s="163"/>
      <c r="J13628" s="165"/>
      <c r="K13628" s="166"/>
      <c r="L13628" s="166"/>
    </row>
    <row r="13629">
      <c r="A13629" s="163" t="s">
        <v>222</v>
      </c>
      <c r="B13629" s="163"/>
      <c r="C13629" s="163"/>
      <c r="J13629" s="165"/>
      <c r="K13629" s="166"/>
      <c r="L13629" s="166"/>
    </row>
    <row r="13630">
      <c r="A13630" s="163" t="s">
        <v>222</v>
      </c>
      <c r="B13630" s="163"/>
      <c r="C13630" s="163"/>
      <c r="J13630" s="165"/>
      <c r="K13630" s="166"/>
      <c r="L13630" s="166"/>
    </row>
    <row r="13631">
      <c r="A13631" s="163" t="s">
        <v>222</v>
      </c>
      <c r="B13631" s="163"/>
      <c r="C13631" s="163"/>
      <c r="J13631" s="165"/>
      <c r="K13631" s="166"/>
      <c r="L13631" s="166"/>
    </row>
    <row r="13632">
      <c r="A13632" s="163" t="s">
        <v>222</v>
      </c>
      <c r="B13632" s="163"/>
      <c r="C13632" s="163"/>
      <c r="J13632" s="165"/>
      <c r="K13632" s="166"/>
      <c r="L13632" s="166"/>
    </row>
    <row r="13633">
      <c r="A13633" s="163" t="s">
        <v>222</v>
      </c>
      <c r="B13633" s="163"/>
      <c r="C13633" s="163"/>
      <c r="J13633" s="165"/>
      <c r="K13633" s="166"/>
      <c r="L13633" s="166"/>
    </row>
    <row r="13634">
      <c r="A13634" s="163" t="s">
        <v>222</v>
      </c>
      <c r="B13634" s="163"/>
      <c r="C13634" s="163"/>
      <c r="J13634" s="165"/>
      <c r="K13634" s="166"/>
      <c r="L13634" s="166"/>
    </row>
    <row r="13635">
      <c r="A13635" s="163" t="s">
        <v>222</v>
      </c>
      <c r="B13635" s="163"/>
      <c r="C13635" s="163"/>
      <c r="J13635" s="165"/>
      <c r="K13635" s="166"/>
      <c r="L13635" s="166"/>
    </row>
    <row r="13636">
      <c r="A13636" s="163" t="s">
        <v>222</v>
      </c>
      <c r="B13636" s="163"/>
      <c r="C13636" s="163"/>
      <c r="J13636" s="165"/>
      <c r="K13636" s="166"/>
      <c r="L13636" s="166"/>
    </row>
    <row r="13637">
      <c r="A13637" s="163" t="s">
        <v>222</v>
      </c>
      <c r="B13637" s="163"/>
      <c r="C13637" s="163"/>
      <c r="J13637" s="165"/>
      <c r="K13637" s="166"/>
      <c r="L13637" s="166"/>
    </row>
    <row r="13638">
      <c r="A13638" s="163" t="s">
        <v>222</v>
      </c>
      <c r="B13638" s="163"/>
      <c r="C13638" s="163"/>
      <c r="J13638" s="165"/>
      <c r="K13638" s="166"/>
      <c r="L13638" s="166"/>
    </row>
    <row r="13639">
      <c r="A13639" s="163" t="s">
        <v>222</v>
      </c>
      <c r="B13639" s="163"/>
      <c r="C13639" s="163"/>
      <c r="J13639" s="165"/>
      <c r="K13639" s="166"/>
      <c r="L13639" s="166"/>
    </row>
    <row r="13640">
      <c r="A13640" s="163" t="s">
        <v>222</v>
      </c>
      <c r="B13640" s="163"/>
      <c r="C13640" s="163"/>
      <c r="J13640" s="165"/>
      <c r="K13640" s="166"/>
      <c r="L13640" s="166"/>
    </row>
    <row r="13641">
      <c r="A13641" s="163" t="s">
        <v>222</v>
      </c>
      <c r="B13641" s="163"/>
      <c r="C13641" s="163"/>
      <c r="J13641" s="165"/>
      <c r="K13641" s="166"/>
      <c r="L13641" s="166"/>
    </row>
    <row r="13642">
      <c r="A13642" s="163" t="s">
        <v>222</v>
      </c>
      <c r="B13642" s="163"/>
      <c r="C13642" s="163"/>
      <c r="J13642" s="165"/>
      <c r="K13642" s="166"/>
      <c r="L13642" s="166"/>
    </row>
    <row r="13643">
      <c r="A13643" s="163" t="s">
        <v>222</v>
      </c>
      <c r="B13643" s="163"/>
      <c r="C13643" s="163"/>
      <c r="J13643" s="165"/>
      <c r="K13643" s="166"/>
      <c r="L13643" s="166"/>
    </row>
    <row r="13644">
      <c r="A13644" s="163" t="s">
        <v>222</v>
      </c>
      <c r="B13644" s="163"/>
      <c r="C13644" s="163"/>
      <c r="J13644" s="165"/>
      <c r="K13644" s="166"/>
      <c r="L13644" s="166"/>
    </row>
    <row r="13645">
      <c r="A13645" s="163" t="s">
        <v>222</v>
      </c>
      <c r="B13645" s="163"/>
      <c r="C13645" s="163"/>
      <c r="J13645" s="165"/>
      <c r="K13645" s="166"/>
      <c r="L13645" s="166"/>
    </row>
    <row r="13646">
      <c r="A13646" s="163" t="s">
        <v>222</v>
      </c>
      <c r="B13646" s="163"/>
      <c r="C13646" s="163"/>
      <c r="J13646" s="165"/>
      <c r="K13646" s="166"/>
      <c r="L13646" s="166"/>
    </row>
    <row r="13647">
      <c r="A13647" s="163" t="s">
        <v>222</v>
      </c>
      <c r="B13647" s="163"/>
      <c r="C13647" s="163"/>
      <c r="J13647" s="165"/>
      <c r="K13647" s="166"/>
      <c r="L13647" s="166"/>
    </row>
    <row r="13648">
      <c r="A13648" s="163" t="s">
        <v>222</v>
      </c>
      <c r="B13648" s="163"/>
      <c r="C13648" s="163"/>
      <c r="J13648" s="165"/>
      <c r="K13648" s="166"/>
      <c r="L13648" s="166"/>
    </row>
    <row r="13649">
      <c r="A13649" s="163" t="s">
        <v>222</v>
      </c>
      <c r="B13649" s="163"/>
      <c r="C13649" s="163"/>
      <c r="J13649" s="165"/>
      <c r="K13649" s="166"/>
      <c r="L13649" s="166"/>
    </row>
    <row r="13650">
      <c r="A13650" s="163" t="s">
        <v>222</v>
      </c>
      <c r="B13650" s="163"/>
      <c r="C13650" s="163"/>
      <c r="J13650" s="165"/>
      <c r="K13650" s="166"/>
      <c r="L13650" s="166"/>
    </row>
    <row r="13651">
      <c r="A13651" s="163" t="s">
        <v>222</v>
      </c>
      <c r="B13651" s="163"/>
      <c r="C13651" s="163"/>
      <c r="J13651" s="165"/>
      <c r="K13651" s="166"/>
      <c r="L13651" s="166"/>
    </row>
    <row r="13652">
      <c r="A13652" s="163" t="s">
        <v>222</v>
      </c>
      <c r="B13652" s="163"/>
      <c r="C13652" s="163"/>
      <c r="J13652" s="165"/>
      <c r="K13652" s="166"/>
      <c r="L13652" s="166"/>
    </row>
    <row r="13653">
      <c r="A13653" s="163" t="s">
        <v>222</v>
      </c>
      <c r="B13653" s="163"/>
      <c r="C13653" s="163"/>
      <c r="J13653" s="165"/>
      <c r="K13653" s="166"/>
      <c r="L13653" s="166"/>
    </row>
    <row r="13654">
      <c r="A13654" s="163" t="s">
        <v>222</v>
      </c>
      <c r="B13654" s="163"/>
      <c r="C13654" s="163"/>
      <c r="J13654" s="165"/>
      <c r="K13654" s="166"/>
      <c r="L13654" s="166"/>
    </row>
    <row r="13655">
      <c r="A13655" s="163" t="s">
        <v>222</v>
      </c>
      <c r="B13655" s="163"/>
      <c r="C13655" s="163"/>
      <c r="J13655" s="165"/>
      <c r="K13655" s="166"/>
      <c r="L13655" s="166"/>
    </row>
    <row r="13656">
      <c r="A13656" s="163" t="s">
        <v>222</v>
      </c>
      <c r="B13656" s="163"/>
      <c r="C13656" s="163"/>
      <c r="J13656" s="165"/>
      <c r="K13656" s="166"/>
      <c r="L13656" s="166"/>
    </row>
    <row r="13657">
      <c r="A13657" s="163" t="s">
        <v>222</v>
      </c>
      <c r="B13657" s="163"/>
      <c r="C13657" s="163"/>
      <c r="J13657" s="165"/>
      <c r="K13657" s="166"/>
      <c r="L13657" s="166"/>
    </row>
    <row r="13658">
      <c r="A13658" s="163" t="s">
        <v>222</v>
      </c>
      <c r="B13658" s="163"/>
      <c r="C13658" s="163"/>
      <c r="J13658" s="165"/>
      <c r="K13658" s="166"/>
      <c r="L13658" s="166"/>
    </row>
    <row r="13659">
      <c r="A13659" s="163" t="s">
        <v>222</v>
      </c>
      <c r="B13659" s="163"/>
      <c r="C13659" s="163"/>
      <c r="J13659" s="165"/>
      <c r="K13659" s="166"/>
      <c r="L13659" s="166"/>
    </row>
    <row r="13660">
      <c r="A13660" s="163" t="s">
        <v>222</v>
      </c>
      <c r="B13660" s="163"/>
      <c r="C13660" s="163"/>
      <c r="J13660" s="165"/>
      <c r="K13660" s="166"/>
      <c r="L13660" s="166"/>
    </row>
    <row r="13661">
      <c r="A13661" s="163" t="s">
        <v>222</v>
      </c>
      <c r="B13661" s="163"/>
      <c r="C13661" s="163"/>
      <c r="J13661" s="165"/>
      <c r="K13661" s="166"/>
      <c r="L13661" s="166"/>
    </row>
    <row r="13662">
      <c r="A13662" s="163" t="s">
        <v>222</v>
      </c>
      <c r="B13662" s="163"/>
      <c r="C13662" s="163"/>
      <c r="J13662" s="165"/>
      <c r="K13662" s="166"/>
      <c r="L13662" s="166"/>
    </row>
    <row r="13663">
      <c r="A13663" s="163" t="s">
        <v>222</v>
      </c>
      <c r="B13663" s="163"/>
      <c r="C13663" s="163"/>
      <c r="J13663" s="165"/>
      <c r="K13663" s="166"/>
      <c r="L13663" s="166"/>
    </row>
    <row r="13664">
      <c r="A13664" s="163" t="s">
        <v>222</v>
      </c>
      <c r="B13664" s="163"/>
      <c r="C13664" s="163"/>
      <c r="J13664" s="165"/>
      <c r="K13664" s="166"/>
      <c r="L13664" s="166"/>
    </row>
    <row r="13665">
      <c r="A13665" s="163" t="s">
        <v>222</v>
      </c>
      <c r="B13665" s="163"/>
      <c r="C13665" s="163"/>
      <c r="J13665" s="165"/>
      <c r="K13665" s="166"/>
      <c r="L13665" s="166"/>
    </row>
    <row r="13666">
      <c r="A13666" s="163" t="s">
        <v>222</v>
      </c>
      <c r="B13666" s="163"/>
      <c r="C13666" s="163"/>
      <c r="J13666" s="165"/>
      <c r="K13666" s="166"/>
      <c r="L13666" s="166"/>
    </row>
    <row r="13667">
      <c r="A13667" s="163" t="s">
        <v>222</v>
      </c>
      <c r="B13667" s="163"/>
      <c r="C13667" s="163"/>
      <c r="J13667" s="165"/>
      <c r="K13667" s="166"/>
      <c r="L13667" s="166"/>
    </row>
    <row r="13668">
      <c r="A13668" s="163" t="s">
        <v>222</v>
      </c>
      <c r="B13668" s="163"/>
      <c r="C13668" s="163"/>
      <c r="J13668" s="165"/>
      <c r="K13668" s="166"/>
      <c r="L13668" s="166"/>
    </row>
    <row r="13669">
      <c r="A13669" s="163" t="s">
        <v>222</v>
      </c>
      <c r="B13669" s="163"/>
      <c r="C13669" s="163"/>
      <c r="J13669" s="165"/>
      <c r="K13669" s="166"/>
      <c r="L13669" s="166"/>
    </row>
    <row r="13670">
      <c r="A13670" s="163" t="s">
        <v>222</v>
      </c>
      <c r="B13670" s="163"/>
      <c r="C13670" s="163"/>
      <c r="J13670" s="165"/>
      <c r="K13670" s="166"/>
      <c r="L13670" s="166"/>
    </row>
    <row r="13671">
      <c r="A13671" s="163" t="s">
        <v>222</v>
      </c>
      <c r="B13671" s="163"/>
      <c r="C13671" s="163"/>
      <c r="J13671" s="165"/>
      <c r="K13671" s="166"/>
      <c r="L13671" s="166"/>
    </row>
    <row r="13672">
      <c r="A13672" s="163" t="s">
        <v>222</v>
      </c>
      <c r="B13672" s="163"/>
      <c r="C13672" s="163"/>
      <c r="J13672" s="165"/>
      <c r="K13672" s="166"/>
      <c r="L13672" s="166"/>
    </row>
    <row r="13673">
      <c r="A13673" s="163" t="s">
        <v>222</v>
      </c>
      <c r="B13673" s="163"/>
      <c r="C13673" s="163"/>
      <c r="J13673" s="165"/>
      <c r="K13673" s="166"/>
      <c r="L13673" s="166"/>
    </row>
    <row r="13674">
      <c r="A13674" s="163" t="s">
        <v>222</v>
      </c>
      <c r="B13674" s="163"/>
      <c r="C13674" s="163"/>
      <c r="J13674" s="165"/>
      <c r="K13674" s="166"/>
      <c r="L13674" s="166"/>
    </row>
    <row r="13675">
      <c r="A13675" s="163" t="s">
        <v>222</v>
      </c>
      <c r="B13675" s="163"/>
      <c r="C13675" s="163"/>
      <c r="J13675" s="165"/>
      <c r="K13675" s="166"/>
      <c r="L13675" s="166"/>
    </row>
    <row r="13676">
      <c r="A13676" s="163" t="s">
        <v>222</v>
      </c>
      <c r="B13676" s="163"/>
      <c r="C13676" s="163"/>
      <c r="J13676" s="165"/>
      <c r="K13676" s="166"/>
      <c r="L13676" s="166"/>
    </row>
    <row r="13677">
      <c r="A13677" s="163" t="s">
        <v>222</v>
      </c>
      <c r="B13677" s="163"/>
      <c r="C13677" s="163"/>
      <c r="J13677" s="165"/>
      <c r="K13677" s="166"/>
      <c r="L13677" s="166"/>
    </row>
    <row r="13678">
      <c r="A13678" s="163" t="s">
        <v>222</v>
      </c>
      <c r="B13678" s="163"/>
      <c r="C13678" s="163"/>
      <c r="J13678" s="165"/>
      <c r="K13678" s="166"/>
      <c r="L13678" s="166"/>
    </row>
    <row r="13679">
      <c r="A13679" s="163" t="s">
        <v>222</v>
      </c>
      <c r="B13679" s="163"/>
      <c r="C13679" s="163"/>
      <c r="J13679" s="165"/>
      <c r="K13679" s="166"/>
      <c r="L13679" s="166"/>
    </row>
    <row r="13680">
      <c r="A13680" s="163" t="s">
        <v>222</v>
      </c>
      <c r="B13680" s="163"/>
      <c r="C13680" s="163"/>
      <c r="J13680" s="165"/>
      <c r="K13680" s="166"/>
      <c r="L13680" s="166"/>
    </row>
    <row r="13681">
      <c r="A13681" s="163" t="s">
        <v>222</v>
      </c>
      <c r="B13681" s="163"/>
      <c r="C13681" s="163"/>
      <c r="J13681" s="165"/>
      <c r="K13681" s="166"/>
      <c r="L13681" s="166"/>
    </row>
    <row r="13682">
      <c r="A13682" s="163" t="s">
        <v>222</v>
      </c>
      <c r="B13682" s="163"/>
      <c r="C13682" s="163"/>
      <c r="J13682" s="165"/>
      <c r="K13682" s="166"/>
      <c r="L13682" s="166"/>
    </row>
    <row r="13683">
      <c r="A13683" s="163" t="s">
        <v>222</v>
      </c>
      <c r="B13683" s="163"/>
      <c r="C13683" s="163"/>
      <c r="J13683" s="165"/>
      <c r="K13683" s="166"/>
      <c r="L13683" s="166"/>
    </row>
    <row r="13684">
      <c r="A13684" s="163" t="s">
        <v>222</v>
      </c>
      <c r="B13684" s="163"/>
      <c r="C13684" s="163"/>
      <c r="J13684" s="165"/>
      <c r="K13684" s="166"/>
      <c r="L13684" s="166"/>
    </row>
    <row r="13685">
      <c r="A13685" s="163" t="s">
        <v>222</v>
      </c>
      <c r="B13685" s="163"/>
      <c r="C13685" s="163"/>
      <c r="J13685" s="165"/>
      <c r="K13685" s="166"/>
      <c r="L13685" s="166"/>
    </row>
    <row r="13686">
      <c r="A13686" s="163" t="s">
        <v>222</v>
      </c>
      <c r="B13686" s="163"/>
      <c r="C13686" s="163"/>
      <c r="J13686" s="165"/>
      <c r="K13686" s="166"/>
      <c r="L13686" s="166"/>
    </row>
    <row r="13687">
      <c r="A13687" s="163" t="s">
        <v>222</v>
      </c>
      <c r="B13687" s="163"/>
      <c r="C13687" s="163"/>
      <c r="J13687" s="165"/>
      <c r="K13687" s="166"/>
      <c r="L13687" s="166"/>
    </row>
    <row r="13688">
      <c r="A13688" s="163" t="s">
        <v>222</v>
      </c>
      <c r="B13688" s="163"/>
      <c r="C13688" s="163"/>
      <c r="J13688" s="165"/>
      <c r="K13688" s="166"/>
      <c r="L13688" s="166"/>
    </row>
    <row r="13689">
      <c r="A13689" s="163" t="s">
        <v>222</v>
      </c>
      <c r="B13689" s="163"/>
      <c r="C13689" s="163"/>
      <c r="J13689" s="165"/>
      <c r="K13689" s="166"/>
      <c r="L13689" s="166"/>
    </row>
    <row r="13690">
      <c r="A13690" s="163" t="s">
        <v>222</v>
      </c>
      <c r="B13690" s="163"/>
      <c r="C13690" s="163"/>
      <c r="J13690" s="165"/>
      <c r="K13690" s="166"/>
      <c r="L13690" s="166"/>
    </row>
    <row r="13691">
      <c r="A13691" s="163" t="s">
        <v>222</v>
      </c>
      <c r="B13691" s="163"/>
      <c r="C13691" s="163"/>
      <c r="J13691" s="165"/>
      <c r="K13691" s="166"/>
      <c r="L13691" s="166"/>
    </row>
    <row r="13692">
      <c r="A13692" s="163" t="s">
        <v>222</v>
      </c>
      <c r="B13692" s="163"/>
      <c r="C13692" s="163"/>
      <c r="J13692" s="165"/>
      <c r="K13692" s="166"/>
      <c r="L13692" s="166"/>
    </row>
    <row r="13693">
      <c r="A13693" s="163" t="s">
        <v>222</v>
      </c>
      <c r="B13693" s="163"/>
      <c r="C13693" s="163"/>
      <c r="J13693" s="165"/>
      <c r="K13693" s="166"/>
      <c r="L13693" s="166"/>
    </row>
    <row r="13694">
      <c r="A13694" s="163" t="s">
        <v>222</v>
      </c>
      <c r="B13694" s="163"/>
      <c r="C13694" s="163"/>
      <c r="J13694" s="165"/>
      <c r="K13694" s="166"/>
      <c r="L13694" s="166"/>
    </row>
    <row r="13695">
      <c r="A13695" s="163" t="s">
        <v>222</v>
      </c>
      <c r="B13695" s="163"/>
      <c r="C13695" s="163"/>
      <c r="J13695" s="165"/>
      <c r="K13695" s="166"/>
      <c r="L13695" s="166"/>
    </row>
    <row r="13696">
      <c r="A13696" s="163" t="s">
        <v>222</v>
      </c>
      <c r="B13696" s="163"/>
      <c r="C13696" s="163"/>
      <c r="J13696" s="165"/>
      <c r="K13696" s="166"/>
      <c r="L13696" s="166"/>
    </row>
    <row r="13697">
      <c r="A13697" s="163" t="s">
        <v>222</v>
      </c>
      <c r="B13697" s="163"/>
      <c r="C13697" s="163"/>
      <c r="J13697" s="165"/>
      <c r="K13697" s="166"/>
      <c r="L13697" s="166"/>
    </row>
    <row r="13698">
      <c r="A13698" s="163" t="s">
        <v>222</v>
      </c>
      <c r="B13698" s="163"/>
      <c r="C13698" s="163"/>
      <c r="J13698" s="165"/>
      <c r="K13698" s="166"/>
      <c r="L13698" s="166"/>
    </row>
    <row r="13699">
      <c r="A13699" s="163" t="s">
        <v>222</v>
      </c>
      <c r="B13699" s="163"/>
      <c r="C13699" s="163"/>
      <c r="J13699" s="165"/>
      <c r="K13699" s="166"/>
      <c r="L13699" s="166"/>
    </row>
    <row r="13700">
      <c r="A13700" s="163" t="s">
        <v>222</v>
      </c>
      <c r="B13700" s="163"/>
      <c r="C13700" s="163"/>
      <c r="J13700" s="165"/>
      <c r="K13700" s="166"/>
      <c r="L13700" s="166"/>
    </row>
    <row r="13701">
      <c r="A13701" s="163" t="s">
        <v>222</v>
      </c>
      <c r="B13701" s="163"/>
      <c r="C13701" s="163"/>
      <c r="J13701" s="165"/>
      <c r="K13701" s="166"/>
      <c r="L13701" s="166"/>
    </row>
    <row r="13702">
      <c r="A13702" s="163" t="s">
        <v>222</v>
      </c>
      <c r="B13702" s="163"/>
      <c r="C13702" s="163"/>
      <c r="J13702" s="165"/>
      <c r="K13702" s="166"/>
      <c r="L13702" s="166"/>
    </row>
    <row r="13703">
      <c r="A13703" s="163" t="s">
        <v>222</v>
      </c>
      <c r="B13703" s="163"/>
      <c r="C13703" s="163"/>
      <c r="J13703" s="165"/>
      <c r="K13703" s="166"/>
      <c r="L13703" s="166"/>
    </row>
    <row r="13704">
      <c r="A13704" s="163" t="s">
        <v>222</v>
      </c>
      <c r="B13704" s="163"/>
      <c r="C13704" s="163"/>
      <c r="J13704" s="165"/>
      <c r="K13704" s="166"/>
      <c r="L13704" s="166"/>
    </row>
    <row r="13705">
      <c r="A13705" s="163" t="s">
        <v>222</v>
      </c>
      <c r="B13705" s="163"/>
      <c r="C13705" s="163"/>
      <c r="J13705" s="165"/>
      <c r="K13705" s="166"/>
      <c r="L13705" s="166"/>
    </row>
    <row r="13706">
      <c r="A13706" s="163" t="s">
        <v>222</v>
      </c>
      <c r="B13706" s="163"/>
      <c r="C13706" s="163"/>
      <c r="J13706" s="165"/>
      <c r="K13706" s="166"/>
      <c r="L13706" s="166"/>
    </row>
    <row r="13707">
      <c r="A13707" s="163" t="s">
        <v>222</v>
      </c>
      <c r="B13707" s="163"/>
      <c r="C13707" s="163"/>
      <c r="J13707" s="165"/>
      <c r="K13707" s="166"/>
      <c r="L13707" s="166"/>
    </row>
    <row r="13708">
      <c r="A13708" s="163" t="s">
        <v>222</v>
      </c>
      <c r="B13708" s="163"/>
      <c r="C13708" s="163"/>
      <c r="J13708" s="165"/>
      <c r="K13708" s="166"/>
      <c r="L13708" s="166"/>
    </row>
    <row r="13709">
      <c r="A13709" s="163" t="s">
        <v>222</v>
      </c>
      <c r="B13709" s="163"/>
      <c r="C13709" s="163"/>
      <c r="J13709" s="165"/>
      <c r="K13709" s="166"/>
      <c r="L13709" s="166"/>
    </row>
    <row r="13710">
      <c r="A13710" s="163" t="s">
        <v>222</v>
      </c>
      <c r="B13710" s="163"/>
      <c r="C13710" s="163"/>
      <c r="J13710" s="165"/>
      <c r="K13710" s="166"/>
      <c r="L13710" s="166"/>
    </row>
    <row r="13711">
      <c r="A13711" s="163" t="s">
        <v>222</v>
      </c>
      <c r="B13711" s="163"/>
      <c r="C13711" s="163"/>
      <c r="J13711" s="165"/>
      <c r="K13711" s="166"/>
      <c r="L13711" s="166"/>
    </row>
    <row r="13712">
      <c r="A13712" s="163" t="s">
        <v>222</v>
      </c>
      <c r="B13712" s="163"/>
      <c r="C13712" s="163"/>
      <c r="J13712" s="165"/>
      <c r="K13712" s="166"/>
      <c r="L13712" s="166"/>
    </row>
    <row r="13713">
      <c r="A13713" s="163" t="s">
        <v>222</v>
      </c>
      <c r="B13713" s="163"/>
      <c r="C13713" s="163"/>
      <c r="J13713" s="165"/>
      <c r="K13713" s="166"/>
      <c r="L13713" s="166"/>
    </row>
    <row r="13714">
      <c r="A13714" s="163" t="s">
        <v>222</v>
      </c>
      <c r="B13714" s="163"/>
      <c r="C13714" s="163"/>
      <c r="J13714" s="165"/>
      <c r="K13714" s="166"/>
      <c r="L13714" s="166"/>
    </row>
    <row r="13715">
      <c r="A13715" s="163" t="s">
        <v>222</v>
      </c>
      <c r="B13715" s="163"/>
      <c r="C13715" s="163"/>
      <c r="J13715" s="165"/>
      <c r="K13715" s="166"/>
      <c r="L13715" s="166"/>
    </row>
    <row r="13716">
      <c r="A13716" s="163" t="s">
        <v>222</v>
      </c>
      <c r="B13716" s="163"/>
      <c r="C13716" s="163"/>
      <c r="J13716" s="165"/>
      <c r="K13716" s="166"/>
      <c r="L13716" s="166"/>
    </row>
    <row r="13717">
      <c r="A13717" s="163" t="s">
        <v>222</v>
      </c>
      <c r="B13717" s="163"/>
      <c r="C13717" s="163"/>
      <c r="J13717" s="165"/>
      <c r="K13717" s="166"/>
      <c r="L13717" s="166"/>
    </row>
    <row r="13718">
      <c r="A13718" s="163" t="s">
        <v>222</v>
      </c>
      <c r="B13718" s="163"/>
      <c r="C13718" s="163"/>
      <c r="J13718" s="165"/>
      <c r="K13718" s="166"/>
      <c r="L13718" s="166"/>
    </row>
    <row r="13719">
      <c r="A13719" s="163" t="s">
        <v>222</v>
      </c>
      <c r="B13719" s="163"/>
      <c r="C13719" s="163"/>
      <c r="J13719" s="165"/>
      <c r="K13719" s="166"/>
      <c r="L13719" s="166"/>
    </row>
    <row r="13720">
      <c r="A13720" s="163" t="s">
        <v>222</v>
      </c>
      <c r="B13720" s="163"/>
      <c r="C13720" s="163"/>
      <c r="J13720" s="165"/>
      <c r="K13720" s="166"/>
      <c r="L13720" s="166"/>
    </row>
    <row r="13721">
      <c r="A13721" s="163" t="s">
        <v>222</v>
      </c>
      <c r="B13721" s="163"/>
      <c r="C13721" s="163"/>
      <c r="J13721" s="165"/>
      <c r="K13721" s="166"/>
      <c r="L13721" s="166"/>
    </row>
    <row r="13722">
      <c r="A13722" s="163" t="s">
        <v>222</v>
      </c>
      <c r="B13722" s="163"/>
      <c r="C13722" s="163"/>
      <c r="J13722" s="165"/>
      <c r="K13722" s="166"/>
      <c r="L13722" s="166"/>
    </row>
    <row r="13723">
      <c r="A13723" s="163" t="s">
        <v>222</v>
      </c>
      <c r="B13723" s="163"/>
      <c r="C13723" s="163"/>
      <c r="J13723" s="165"/>
      <c r="K13723" s="166"/>
      <c r="L13723" s="166"/>
    </row>
    <row r="13724">
      <c r="A13724" s="163" t="s">
        <v>222</v>
      </c>
      <c r="B13724" s="163"/>
      <c r="C13724" s="163"/>
      <c r="J13724" s="165"/>
      <c r="K13724" s="166"/>
      <c r="L13724" s="166"/>
    </row>
    <row r="13725">
      <c r="A13725" s="163" t="s">
        <v>222</v>
      </c>
      <c r="B13725" s="163"/>
      <c r="C13725" s="163"/>
      <c r="J13725" s="165"/>
      <c r="K13725" s="166"/>
      <c r="L13725" s="166"/>
    </row>
    <row r="13726">
      <c r="A13726" s="163" t="s">
        <v>222</v>
      </c>
      <c r="B13726" s="163"/>
      <c r="C13726" s="163"/>
      <c r="J13726" s="165"/>
      <c r="K13726" s="166"/>
      <c r="L13726" s="166"/>
    </row>
    <row r="13727">
      <c r="A13727" s="163" t="s">
        <v>222</v>
      </c>
      <c r="B13727" s="163"/>
      <c r="C13727" s="163"/>
      <c r="J13727" s="165"/>
      <c r="K13727" s="166"/>
      <c r="L13727" s="166"/>
    </row>
    <row r="13728">
      <c r="A13728" s="163" t="s">
        <v>222</v>
      </c>
      <c r="B13728" s="163"/>
      <c r="C13728" s="163"/>
      <c r="J13728" s="165"/>
      <c r="K13728" s="166"/>
      <c r="L13728" s="166"/>
    </row>
    <row r="13729">
      <c r="A13729" s="163" t="s">
        <v>222</v>
      </c>
      <c r="B13729" s="163"/>
      <c r="C13729" s="163"/>
      <c r="J13729" s="165"/>
      <c r="K13729" s="166"/>
      <c r="L13729" s="166"/>
    </row>
    <row r="13730">
      <c r="A13730" s="163" t="s">
        <v>222</v>
      </c>
      <c r="B13730" s="163"/>
      <c r="C13730" s="163"/>
      <c r="J13730" s="165"/>
      <c r="K13730" s="166"/>
      <c r="L13730" s="166"/>
    </row>
    <row r="13731">
      <c r="A13731" s="163" t="s">
        <v>222</v>
      </c>
      <c r="B13731" s="163"/>
      <c r="C13731" s="163"/>
      <c r="J13731" s="165"/>
      <c r="K13731" s="166"/>
      <c r="L13731" s="166"/>
    </row>
    <row r="13732">
      <c r="A13732" s="163" t="s">
        <v>222</v>
      </c>
      <c r="B13732" s="163"/>
      <c r="C13732" s="163"/>
      <c r="J13732" s="165"/>
      <c r="K13732" s="166"/>
      <c r="L13732" s="166"/>
    </row>
    <row r="13733">
      <c r="A13733" s="163" t="s">
        <v>222</v>
      </c>
      <c r="B13733" s="163"/>
      <c r="C13733" s="163"/>
      <c r="J13733" s="165"/>
      <c r="K13733" s="166"/>
      <c r="L13733" s="166"/>
    </row>
    <row r="13734">
      <c r="A13734" s="163" t="s">
        <v>222</v>
      </c>
      <c r="B13734" s="163"/>
      <c r="C13734" s="163"/>
      <c r="J13734" s="165"/>
      <c r="K13734" s="166"/>
      <c r="L13734" s="166"/>
    </row>
    <row r="13735">
      <c r="A13735" s="163" t="s">
        <v>222</v>
      </c>
      <c r="B13735" s="163"/>
      <c r="C13735" s="163"/>
      <c r="J13735" s="165"/>
      <c r="K13735" s="166"/>
      <c r="L13735" s="166"/>
    </row>
    <row r="13736">
      <c r="A13736" s="163" t="s">
        <v>222</v>
      </c>
      <c r="B13736" s="163"/>
      <c r="C13736" s="163"/>
      <c r="J13736" s="165"/>
      <c r="K13736" s="166"/>
      <c r="L13736" s="166"/>
    </row>
    <row r="13737">
      <c r="A13737" s="163" t="s">
        <v>222</v>
      </c>
      <c r="B13737" s="163"/>
      <c r="C13737" s="163"/>
      <c r="J13737" s="165"/>
      <c r="K13737" s="166"/>
      <c r="L13737" s="166"/>
    </row>
    <row r="13738">
      <c r="A13738" s="163" t="s">
        <v>222</v>
      </c>
      <c r="B13738" s="163"/>
      <c r="C13738" s="163"/>
      <c r="J13738" s="165"/>
      <c r="K13738" s="166"/>
      <c r="L13738" s="166"/>
    </row>
    <row r="13739">
      <c r="A13739" s="163" t="s">
        <v>222</v>
      </c>
      <c r="B13739" s="163"/>
      <c r="C13739" s="163"/>
      <c r="J13739" s="165"/>
      <c r="K13739" s="166"/>
      <c r="L13739" s="166"/>
    </row>
    <row r="13740">
      <c r="A13740" s="163" t="s">
        <v>222</v>
      </c>
      <c r="B13740" s="163"/>
      <c r="C13740" s="163"/>
      <c r="J13740" s="165"/>
      <c r="K13740" s="166"/>
      <c r="L13740" s="166"/>
    </row>
    <row r="13741">
      <c r="A13741" s="163" t="s">
        <v>222</v>
      </c>
      <c r="B13741" s="163"/>
      <c r="C13741" s="163"/>
      <c r="J13741" s="165"/>
      <c r="K13741" s="166"/>
      <c r="L13741" s="166"/>
    </row>
    <row r="13742">
      <c r="A13742" s="163" t="s">
        <v>222</v>
      </c>
      <c r="B13742" s="163"/>
      <c r="C13742" s="163"/>
      <c r="J13742" s="165"/>
      <c r="K13742" s="166"/>
      <c r="L13742" s="166"/>
    </row>
    <row r="13743">
      <c r="A13743" s="163" t="s">
        <v>222</v>
      </c>
      <c r="B13743" s="163"/>
      <c r="C13743" s="163"/>
      <c r="J13743" s="165"/>
      <c r="K13743" s="166"/>
      <c r="L13743" s="166"/>
    </row>
    <row r="13744">
      <c r="A13744" s="163" t="s">
        <v>222</v>
      </c>
      <c r="B13744" s="163"/>
      <c r="C13744" s="163"/>
      <c r="J13744" s="165"/>
      <c r="K13744" s="166"/>
      <c r="L13744" s="166"/>
    </row>
    <row r="13745">
      <c r="A13745" s="163" t="s">
        <v>222</v>
      </c>
      <c r="B13745" s="163"/>
      <c r="C13745" s="163"/>
      <c r="J13745" s="165"/>
      <c r="K13745" s="166"/>
      <c r="L13745" s="166"/>
    </row>
    <row r="13746">
      <c r="A13746" s="163" t="s">
        <v>222</v>
      </c>
      <c r="B13746" s="163"/>
      <c r="C13746" s="163"/>
      <c r="J13746" s="165"/>
      <c r="K13746" s="166"/>
      <c r="L13746" s="166"/>
    </row>
    <row r="13747">
      <c r="A13747" s="163" t="s">
        <v>222</v>
      </c>
      <c r="B13747" s="163"/>
      <c r="C13747" s="163"/>
      <c r="J13747" s="165"/>
      <c r="K13747" s="166"/>
      <c r="L13747" s="166"/>
    </row>
    <row r="13748">
      <c r="A13748" s="163" t="s">
        <v>222</v>
      </c>
      <c r="B13748" s="163"/>
      <c r="C13748" s="163"/>
      <c r="J13748" s="165"/>
      <c r="K13748" s="166"/>
      <c r="L13748" s="166"/>
    </row>
    <row r="13749">
      <c r="A13749" s="163" t="s">
        <v>222</v>
      </c>
      <c r="B13749" s="163"/>
      <c r="C13749" s="163"/>
      <c r="J13749" s="165"/>
      <c r="K13749" s="166"/>
      <c r="L13749" s="166"/>
    </row>
    <row r="13750">
      <c r="A13750" s="163" t="s">
        <v>222</v>
      </c>
      <c r="B13750" s="163"/>
      <c r="C13750" s="163"/>
      <c r="J13750" s="165"/>
      <c r="K13750" s="166"/>
      <c r="L13750" s="166"/>
    </row>
    <row r="13751">
      <c r="A13751" s="163" t="s">
        <v>222</v>
      </c>
      <c r="B13751" s="163"/>
      <c r="C13751" s="163"/>
      <c r="J13751" s="165"/>
      <c r="K13751" s="166"/>
      <c r="L13751" s="166"/>
    </row>
    <row r="13752">
      <c r="A13752" s="163" t="s">
        <v>222</v>
      </c>
      <c r="B13752" s="163"/>
      <c r="C13752" s="163"/>
      <c r="J13752" s="165"/>
      <c r="K13752" s="166"/>
      <c r="L13752" s="166"/>
    </row>
    <row r="13753">
      <c r="A13753" s="163" t="s">
        <v>222</v>
      </c>
      <c r="B13753" s="163"/>
      <c r="C13753" s="163"/>
      <c r="J13753" s="165"/>
      <c r="K13753" s="166"/>
      <c r="L13753" s="166"/>
    </row>
    <row r="13754">
      <c r="A13754" s="163" t="s">
        <v>222</v>
      </c>
      <c r="B13754" s="163"/>
      <c r="C13754" s="163"/>
      <c r="J13754" s="165"/>
      <c r="K13754" s="166"/>
      <c r="L13754" s="166"/>
    </row>
    <row r="13755">
      <c r="A13755" s="163" t="s">
        <v>222</v>
      </c>
      <c r="B13755" s="163"/>
      <c r="C13755" s="163"/>
      <c r="J13755" s="165"/>
      <c r="K13755" s="166"/>
      <c r="L13755" s="166"/>
    </row>
    <row r="13756">
      <c r="A13756" s="163" t="s">
        <v>222</v>
      </c>
      <c r="B13756" s="163"/>
      <c r="C13756" s="163"/>
      <c r="J13756" s="165"/>
      <c r="K13756" s="166"/>
      <c r="L13756" s="166"/>
    </row>
    <row r="13757">
      <c r="A13757" s="163" t="s">
        <v>222</v>
      </c>
      <c r="B13757" s="163"/>
      <c r="C13757" s="163"/>
      <c r="J13757" s="165"/>
      <c r="K13757" s="166"/>
      <c r="L13757" s="166"/>
    </row>
    <row r="13758">
      <c r="A13758" s="163" t="s">
        <v>222</v>
      </c>
      <c r="B13758" s="163"/>
      <c r="C13758" s="163"/>
      <c r="J13758" s="165"/>
      <c r="K13758" s="166"/>
      <c r="L13758" s="166"/>
    </row>
    <row r="13759">
      <c r="A13759" s="163" t="s">
        <v>222</v>
      </c>
      <c r="B13759" s="163"/>
      <c r="C13759" s="163"/>
      <c r="J13759" s="165"/>
      <c r="K13759" s="166"/>
      <c r="L13759" s="166"/>
    </row>
    <row r="13760">
      <c r="A13760" s="163" t="s">
        <v>222</v>
      </c>
      <c r="B13760" s="163"/>
      <c r="C13760" s="163"/>
      <c r="J13760" s="165"/>
      <c r="K13760" s="166"/>
      <c r="L13760" s="166"/>
    </row>
    <row r="13761">
      <c r="A13761" s="163" t="s">
        <v>222</v>
      </c>
      <c r="B13761" s="163"/>
      <c r="C13761" s="163"/>
      <c r="J13761" s="165"/>
      <c r="K13761" s="166"/>
      <c r="L13761" s="166"/>
    </row>
    <row r="13762">
      <c r="A13762" s="163" t="s">
        <v>222</v>
      </c>
      <c r="B13762" s="163"/>
      <c r="C13762" s="163"/>
      <c r="J13762" s="165"/>
      <c r="K13762" s="166"/>
      <c r="L13762" s="166"/>
    </row>
    <row r="13763">
      <c r="A13763" s="163" t="s">
        <v>222</v>
      </c>
      <c r="B13763" s="163"/>
      <c r="C13763" s="163"/>
      <c r="J13763" s="165"/>
      <c r="K13763" s="166"/>
      <c r="L13763" s="166"/>
    </row>
    <row r="13764">
      <c r="A13764" s="163" t="s">
        <v>222</v>
      </c>
      <c r="B13764" s="163"/>
      <c r="C13764" s="163"/>
      <c r="J13764" s="165"/>
      <c r="K13764" s="166"/>
      <c r="L13764" s="166"/>
    </row>
    <row r="13765">
      <c r="A13765" s="163" t="s">
        <v>222</v>
      </c>
      <c r="B13765" s="163"/>
      <c r="C13765" s="163"/>
      <c r="J13765" s="165"/>
      <c r="K13765" s="166"/>
      <c r="L13765" s="166"/>
    </row>
    <row r="13766">
      <c r="A13766" s="163" t="s">
        <v>222</v>
      </c>
      <c r="B13766" s="163"/>
      <c r="C13766" s="163"/>
      <c r="J13766" s="165"/>
      <c r="K13766" s="166"/>
      <c r="L13766" s="166"/>
    </row>
    <row r="13767">
      <c r="A13767" s="163" t="s">
        <v>222</v>
      </c>
      <c r="B13767" s="163"/>
      <c r="C13767" s="163"/>
      <c r="J13767" s="165"/>
      <c r="K13767" s="166"/>
      <c r="L13767" s="166"/>
    </row>
    <row r="13768">
      <c r="A13768" s="163" t="s">
        <v>222</v>
      </c>
      <c r="B13768" s="163"/>
      <c r="C13768" s="163"/>
      <c r="J13768" s="165"/>
      <c r="K13768" s="166"/>
      <c r="L13768" s="166"/>
    </row>
    <row r="13769">
      <c r="A13769" s="163" t="s">
        <v>222</v>
      </c>
      <c r="B13769" s="163"/>
      <c r="C13769" s="163"/>
      <c r="J13769" s="165"/>
      <c r="K13769" s="166"/>
      <c r="L13769" s="166"/>
    </row>
    <row r="13770">
      <c r="A13770" s="163" t="s">
        <v>222</v>
      </c>
      <c r="B13770" s="163"/>
      <c r="C13770" s="163"/>
      <c r="J13770" s="165"/>
      <c r="K13770" s="166"/>
      <c r="L13770" s="166"/>
    </row>
    <row r="13771">
      <c r="A13771" s="163" t="s">
        <v>222</v>
      </c>
      <c r="B13771" s="163"/>
      <c r="C13771" s="163"/>
      <c r="J13771" s="165"/>
      <c r="K13771" s="166"/>
      <c r="L13771" s="166"/>
    </row>
    <row r="13772">
      <c r="A13772" s="163" t="s">
        <v>222</v>
      </c>
      <c r="B13772" s="163"/>
      <c r="C13772" s="163"/>
      <c r="J13772" s="165"/>
      <c r="K13772" s="166"/>
      <c r="L13772" s="166"/>
    </row>
    <row r="13773">
      <c r="A13773" s="163" t="s">
        <v>222</v>
      </c>
      <c r="B13773" s="163"/>
      <c r="C13773" s="163"/>
      <c r="J13773" s="165"/>
      <c r="K13773" s="166"/>
      <c r="L13773" s="166"/>
    </row>
    <row r="13774">
      <c r="A13774" s="163" t="s">
        <v>222</v>
      </c>
      <c r="B13774" s="163"/>
      <c r="C13774" s="163"/>
      <c r="J13774" s="165"/>
      <c r="K13774" s="166"/>
      <c r="L13774" s="166"/>
    </row>
    <row r="13775">
      <c r="A13775" s="163" t="s">
        <v>222</v>
      </c>
      <c r="B13775" s="163"/>
      <c r="C13775" s="163"/>
      <c r="J13775" s="165"/>
      <c r="K13775" s="166"/>
      <c r="L13775" s="166"/>
    </row>
    <row r="13776">
      <c r="A13776" s="163" t="s">
        <v>222</v>
      </c>
      <c r="B13776" s="163"/>
      <c r="C13776" s="163"/>
      <c r="J13776" s="165"/>
      <c r="K13776" s="166"/>
      <c r="L13776" s="166"/>
    </row>
    <row r="13777">
      <c r="A13777" s="163" t="s">
        <v>222</v>
      </c>
      <c r="B13777" s="163"/>
      <c r="C13777" s="163"/>
      <c r="J13777" s="165"/>
      <c r="K13777" s="166"/>
      <c r="L13777" s="166"/>
    </row>
    <row r="13778">
      <c r="A13778" s="163" t="s">
        <v>222</v>
      </c>
      <c r="B13778" s="163"/>
      <c r="C13778" s="163"/>
      <c r="J13778" s="165"/>
      <c r="K13778" s="166"/>
      <c r="L13778" s="166"/>
    </row>
    <row r="13779">
      <c r="A13779" s="163" t="s">
        <v>222</v>
      </c>
      <c r="B13779" s="163"/>
      <c r="C13779" s="163"/>
      <c r="J13779" s="165"/>
      <c r="K13779" s="166"/>
      <c r="L13779" s="166"/>
    </row>
    <row r="13780">
      <c r="A13780" s="163" t="s">
        <v>222</v>
      </c>
      <c r="B13780" s="163"/>
      <c r="C13780" s="163"/>
      <c r="J13780" s="165"/>
      <c r="K13780" s="166"/>
      <c r="L13780" s="166"/>
    </row>
    <row r="13781">
      <c r="A13781" s="163" t="s">
        <v>222</v>
      </c>
      <c r="B13781" s="163"/>
      <c r="C13781" s="163"/>
      <c r="J13781" s="165"/>
      <c r="K13781" s="166"/>
      <c r="L13781" s="166"/>
    </row>
    <row r="13782">
      <c r="A13782" s="163" t="s">
        <v>222</v>
      </c>
      <c r="B13782" s="163"/>
      <c r="C13782" s="163"/>
      <c r="J13782" s="165"/>
      <c r="K13782" s="166"/>
      <c r="L13782" s="166"/>
    </row>
    <row r="13783">
      <c r="A13783" s="163" t="s">
        <v>222</v>
      </c>
      <c r="B13783" s="163"/>
      <c r="C13783" s="163"/>
      <c r="J13783" s="165"/>
      <c r="K13783" s="166"/>
      <c r="L13783" s="166"/>
    </row>
    <row r="13784">
      <c r="A13784" s="163" t="s">
        <v>222</v>
      </c>
      <c r="B13784" s="163"/>
      <c r="C13784" s="163"/>
      <c r="J13784" s="165"/>
      <c r="K13784" s="166"/>
      <c r="L13784" s="166"/>
    </row>
    <row r="13785">
      <c r="A13785" s="163" t="s">
        <v>222</v>
      </c>
      <c r="B13785" s="163"/>
      <c r="C13785" s="163"/>
      <c r="J13785" s="165"/>
      <c r="K13785" s="166"/>
      <c r="L13785" s="166"/>
    </row>
    <row r="13786">
      <c r="A13786" s="163" t="s">
        <v>222</v>
      </c>
      <c r="B13786" s="163"/>
      <c r="C13786" s="163"/>
      <c r="J13786" s="165"/>
      <c r="K13786" s="166"/>
      <c r="L13786" s="166"/>
    </row>
    <row r="13787">
      <c r="A13787" s="163" t="s">
        <v>222</v>
      </c>
      <c r="B13787" s="163"/>
      <c r="C13787" s="163"/>
      <c r="J13787" s="165"/>
      <c r="K13787" s="166"/>
      <c r="L13787" s="166"/>
    </row>
    <row r="13788">
      <c r="A13788" s="163" t="s">
        <v>222</v>
      </c>
      <c r="B13788" s="163"/>
      <c r="C13788" s="163"/>
      <c r="J13788" s="165"/>
      <c r="K13788" s="166"/>
      <c r="L13788" s="166"/>
    </row>
    <row r="13789">
      <c r="A13789" s="163" t="s">
        <v>222</v>
      </c>
      <c r="B13789" s="163"/>
      <c r="C13789" s="163"/>
      <c r="J13789" s="165"/>
      <c r="K13789" s="166"/>
      <c r="L13789" s="166"/>
    </row>
    <row r="13790">
      <c r="A13790" s="163" t="s">
        <v>222</v>
      </c>
      <c r="B13790" s="163"/>
      <c r="C13790" s="163"/>
      <c r="J13790" s="165"/>
      <c r="K13790" s="166"/>
      <c r="L13790" s="166"/>
    </row>
    <row r="13791">
      <c r="A13791" s="163" t="s">
        <v>222</v>
      </c>
      <c r="B13791" s="163"/>
      <c r="C13791" s="163"/>
      <c r="J13791" s="165"/>
      <c r="K13791" s="166"/>
      <c r="L13791" s="166"/>
    </row>
    <row r="13792">
      <c r="A13792" s="163" t="s">
        <v>222</v>
      </c>
      <c r="B13792" s="163"/>
      <c r="C13792" s="163"/>
      <c r="J13792" s="165"/>
      <c r="K13792" s="166"/>
      <c r="L13792" s="166"/>
    </row>
    <row r="13793">
      <c r="A13793" s="163" t="s">
        <v>222</v>
      </c>
      <c r="B13793" s="163"/>
      <c r="C13793" s="163"/>
      <c r="J13793" s="165"/>
      <c r="K13793" s="166"/>
      <c r="L13793" s="166"/>
    </row>
    <row r="13794">
      <c r="A13794" s="163" t="s">
        <v>222</v>
      </c>
      <c r="B13794" s="163"/>
      <c r="C13794" s="163"/>
      <c r="J13794" s="165"/>
      <c r="K13794" s="166"/>
      <c r="L13794" s="166"/>
    </row>
    <row r="13795">
      <c r="A13795" s="163" t="s">
        <v>222</v>
      </c>
      <c r="B13795" s="163"/>
      <c r="C13795" s="163"/>
      <c r="J13795" s="165"/>
      <c r="K13795" s="166"/>
      <c r="L13795" s="166"/>
    </row>
    <row r="13796">
      <c r="A13796" s="163" t="s">
        <v>222</v>
      </c>
      <c r="B13796" s="163"/>
      <c r="C13796" s="163"/>
      <c r="J13796" s="165"/>
      <c r="K13796" s="166"/>
      <c r="L13796" s="166"/>
    </row>
    <row r="13797">
      <c r="A13797" s="163" t="s">
        <v>222</v>
      </c>
      <c r="B13797" s="163"/>
      <c r="C13797" s="163"/>
      <c r="J13797" s="165"/>
      <c r="K13797" s="166"/>
      <c r="L13797" s="166"/>
    </row>
    <row r="13798">
      <c r="A13798" s="163" t="s">
        <v>222</v>
      </c>
      <c r="B13798" s="163"/>
      <c r="C13798" s="163"/>
      <c r="J13798" s="165"/>
      <c r="K13798" s="166"/>
      <c r="L13798" s="166"/>
    </row>
    <row r="13799">
      <c r="A13799" s="163" t="s">
        <v>222</v>
      </c>
      <c r="B13799" s="163"/>
      <c r="C13799" s="163"/>
      <c r="J13799" s="165"/>
      <c r="K13799" s="166"/>
      <c r="L13799" s="166"/>
    </row>
    <row r="13800">
      <c r="A13800" s="163" t="s">
        <v>222</v>
      </c>
      <c r="B13800" s="163"/>
      <c r="C13800" s="163"/>
      <c r="J13800" s="165"/>
      <c r="K13800" s="166"/>
      <c r="L13800" s="166"/>
    </row>
    <row r="13801">
      <c r="A13801" s="163" t="s">
        <v>222</v>
      </c>
      <c r="B13801" s="163"/>
      <c r="C13801" s="163"/>
      <c r="J13801" s="165"/>
      <c r="K13801" s="166"/>
      <c r="L13801" s="166"/>
    </row>
    <row r="13802">
      <c r="A13802" s="163" t="s">
        <v>222</v>
      </c>
      <c r="B13802" s="163"/>
      <c r="C13802" s="163"/>
      <c r="J13802" s="165"/>
      <c r="K13802" s="166"/>
      <c r="L13802" s="166"/>
    </row>
    <row r="13803">
      <c r="A13803" s="163" t="s">
        <v>222</v>
      </c>
      <c r="B13803" s="163"/>
      <c r="C13803" s="163"/>
      <c r="J13803" s="165"/>
      <c r="K13803" s="166"/>
      <c r="L13803" s="166"/>
    </row>
    <row r="13804">
      <c r="A13804" s="163" t="s">
        <v>222</v>
      </c>
      <c r="B13804" s="163"/>
      <c r="C13804" s="163"/>
      <c r="J13804" s="165"/>
      <c r="K13804" s="166"/>
      <c r="L13804" s="166"/>
    </row>
    <row r="13805">
      <c r="A13805" s="163" t="s">
        <v>222</v>
      </c>
      <c r="B13805" s="163"/>
      <c r="C13805" s="163"/>
      <c r="J13805" s="165"/>
      <c r="K13805" s="166"/>
      <c r="L13805" s="166"/>
    </row>
    <row r="13806">
      <c r="A13806" s="163" t="s">
        <v>222</v>
      </c>
      <c r="B13806" s="163"/>
      <c r="C13806" s="163"/>
      <c r="J13806" s="165"/>
      <c r="K13806" s="166"/>
      <c r="L13806" s="166"/>
    </row>
    <row r="13807">
      <c r="A13807" s="163" t="s">
        <v>222</v>
      </c>
      <c r="B13807" s="163"/>
      <c r="C13807" s="163"/>
      <c r="J13807" s="165"/>
      <c r="K13807" s="166"/>
      <c r="L13807" s="166"/>
    </row>
    <row r="13808">
      <c r="A13808" s="163" t="s">
        <v>222</v>
      </c>
      <c r="B13808" s="163"/>
      <c r="C13808" s="163"/>
      <c r="J13808" s="165"/>
      <c r="K13808" s="166"/>
      <c r="L13808" s="166"/>
    </row>
    <row r="13809">
      <c r="A13809" s="163" t="s">
        <v>222</v>
      </c>
      <c r="B13809" s="163"/>
      <c r="C13809" s="163"/>
      <c r="J13809" s="165"/>
      <c r="K13809" s="166"/>
      <c r="L13809" s="166"/>
    </row>
    <row r="13810">
      <c r="A13810" s="163" t="s">
        <v>222</v>
      </c>
      <c r="B13810" s="163"/>
      <c r="C13810" s="163"/>
      <c r="J13810" s="165"/>
      <c r="K13810" s="166"/>
      <c r="L13810" s="166"/>
    </row>
    <row r="13811">
      <c r="A13811" s="163" t="s">
        <v>222</v>
      </c>
      <c r="B13811" s="163"/>
      <c r="C13811" s="163"/>
      <c r="J13811" s="165"/>
      <c r="K13811" s="166"/>
      <c r="L13811" s="166"/>
    </row>
    <row r="13812">
      <c r="A13812" s="163" t="s">
        <v>222</v>
      </c>
      <c r="B13812" s="163"/>
      <c r="C13812" s="163"/>
      <c r="J13812" s="165"/>
      <c r="K13812" s="166"/>
      <c r="L13812" s="166"/>
    </row>
    <row r="13813">
      <c r="A13813" s="163" t="s">
        <v>222</v>
      </c>
      <c r="B13813" s="163"/>
      <c r="C13813" s="163"/>
      <c r="J13813" s="165"/>
      <c r="K13813" s="166"/>
      <c r="L13813" s="166"/>
    </row>
    <row r="13814">
      <c r="A13814" s="163" t="s">
        <v>222</v>
      </c>
      <c r="B13814" s="163"/>
      <c r="C13814" s="163"/>
      <c r="J13814" s="165"/>
      <c r="K13814" s="166"/>
      <c r="L13814" s="166"/>
    </row>
    <row r="13815">
      <c r="A13815" s="163" t="s">
        <v>222</v>
      </c>
      <c r="B13815" s="163"/>
      <c r="C13815" s="163"/>
      <c r="J13815" s="165"/>
      <c r="K13815" s="166"/>
      <c r="L13815" s="166"/>
    </row>
    <row r="13816">
      <c r="A13816" s="163" t="s">
        <v>222</v>
      </c>
      <c r="B13816" s="163"/>
      <c r="C13816" s="163"/>
      <c r="J13816" s="165"/>
      <c r="K13816" s="166"/>
      <c r="L13816" s="166"/>
    </row>
    <row r="13817">
      <c r="A13817" s="163" t="s">
        <v>222</v>
      </c>
      <c r="B13817" s="163"/>
      <c r="C13817" s="163"/>
      <c r="J13817" s="165"/>
      <c r="K13817" s="166"/>
      <c r="L13817" s="166"/>
    </row>
    <row r="13818">
      <c r="A13818" s="163" t="s">
        <v>222</v>
      </c>
      <c r="B13818" s="163"/>
      <c r="C13818" s="163"/>
      <c r="J13818" s="165"/>
      <c r="K13818" s="166"/>
      <c r="L13818" s="166"/>
    </row>
    <row r="13819">
      <c r="A13819" s="163" t="s">
        <v>222</v>
      </c>
      <c r="B13819" s="163"/>
      <c r="C13819" s="163"/>
      <c r="J13819" s="165"/>
      <c r="K13819" s="166"/>
      <c r="L13819" s="166"/>
    </row>
    <row r="13820">
      <c r="A13820" s="163" t="s">
        <v>222</v>
      </c>
      <c r="B13820" s="163"/>
      <c r="C13820" s="163"/>
      <c r="J13820" s="165"/>
      <c r="K13820" s="166"/>
      <c r="L13820" s="166"/>
    </row>
    <row r="13821">
      <c r="A13821" s="163" t="s">
        <v>222</v>
      </c>
      <c r="B13821" s="163"/>
      <c r="C13821" s="163"/>
      <c r="J13821" s="165"/>
      <c r="K13821" s="166"/>
      <c r="L13821" s="166"/>
    </row>
    <row r="13822">
      <c r="A13822" s="163" t="s">
        <v>222</v>
      </c>
      <c r="B13822" s="163"/>
      <c r="C13822" s="163"/>
      <c r="J13822" s="165"/>
      <c r="K13822" s="166"/>
      <c r="L13822" s="166"/>
    </row>
    <row r="13823">
      <c r="A13823" s="163" t="s">
        <v>222</v>
      </c>
      <c r="B13823" s="163"/>
      <c r="C13823" s="163"/>
      <c r="J13823" s="165"/>
      <c r="K13823" s="166"/>
      <c r="L13823" s="166"/>
    </row>
    <row r="13824">
      <c r="A13824" s="163" t="s">
        <v>222</v>
      </c>
      <c r="B13824" s="163"/>
      <c r="C13824" s="163"/>
      <c r="J13824" s="165"/>
      <c r="K13824" s="166"/>
      <c r="L13824" s="166"/>
    </row>
    <row r="13825">
      <c r="A13825" s="163" t="s">
        <v>222</v>
      </c>
      <c r="B13825" s="163"/>
      <c r="C13825" s="163"/>
      <c r="J13825" s="165"/>
      <c r="K13825" s="166"/>
      <c r="L13825" s="166"/>
    </row>
    <row r="13826">
      <c r="A13826" s="163" t="s">
        <v>222</v>
      </c>
      <c r="B13826" s="163"/>
      <c r="C13826" s="163"/>
      <c r="J13826" s="165"/>
      <c r="K13826" s="166"/>
      <c r="L13826" s="166"/>
    </row>
    <row r="13827">
      <c r="A13827" s="163" t="s">
        <v>222</v>
      </c>
      <c r="B13827" s="163"/>
      <c r="C13827" s="163"/>
      <c r="J13827" s="165"/>
      <c r="K13827" s="166"/>
      <c r="L13827" s="166"/>
    </row>
    <row r="13828">
      <c r="A13828" s="163" t="s">
        <v>222</v>
      </c>
      <c r="B13828" s="163"/>
      <c r="C13828" s="163"/>
      <c r="J13828" s="165"/>
      <c r="K13828" s="166"/>
      <c r="L13828" s="166"/>
    </row>
    <row r="13829">
      <c r="A13829" s="163" t="s">
        <v>222</v>
      </c>
      <c r="B13829" s="163"/>
      <c r="C13829" s="163"/>
      <c r="J13829" s="165"/>
      <c r="K13829" s="166"/>
      <c r="L13829" s="166"/>
    </row>
    <row r="13830">
      <c r="A13830" s="163" t="s">
        <v>222</v>
      </c>
      <c r="B13830" s="163"/>
      <c r="C13830" s="163"/>
      <c r="J13830" s="165"/>
      <c r="K13830" s="166"/>
      <c r="L13830" s="166"/>
    </row>
    <row r="13831">
      <c r="A13831" s="163" t="s">
        <v>222</v>
      </c>
      <c r="B13831" s="163"/>
      <c r="C13831" s="163"/>
      <c r="J13831" s="165"/>
      <c r="K13831" s="166"/>
      <c r="L13831" s="166"/>
    </row>
    <row r="13832">
      <c r="A13832" s="163" t="s">
        <v>222</v>
      </c>
      <c r="B13832" s="163"/>
      <c r="C13832" s="163"/>
      <c r="J13832" s="165"/>
      <c r="K13832" s="166"/>
      <c r="L13832" s="166"/>
    </row>
    <row r="13833">
      <c r="A13833" s="163" t="s">
        <v>222</v>
      </c>
      <c r="B13833" s="163"/>
      <c r="C13833" s="163"/>
      <c r="J13833" s="165"/>
      <c r="K13833" s="166"/>
      <c r="L13833" s="166"/>
    </row>
    <row r="13834">
      <c r="A13834" s="163" t="s">
        <v>222</v>
      </c>
      <c r="B13834" s="163"/>
      <c r="C13834" s="163"/>
      <c r="J13834" s="165"/>
      <c r="K13834" s="166"/>
      <c r="L13834" s="166"/>
    </row>
    <row r="13835">
      <c r="A13835" s="163" t="s">
        <v>222</v>
      </c>
      <c r="B13835" s="163"/>
      <c r="C13835" s="163"/>
      <c r="J13835" s="165"/>
      <c r="K13835" s="166"/>
      <c r="L13835" s="166"/>
    </row>
    <row r="13836">
      <c r="A13836" s="163" t="s">
        <v>222</v>
      </c>
      <c r="B13836" s="163"/>
      <c r="C13836" s="163"/>
      <c r="J13836" s="165"/>
      <c r="K13836" s="166"/>
      <c r="L13836" s="166"/>
    </row>
    <row r="13837">
      <c r="A13837" s="163" t="s">
        <v>222</v>
      </c>
      <c r="B13837" s="163"/>
      <c r="C13837" s="163"/>
      <c r="J13837" s="165"/>
      <c r="K13837" s="166"/>
      <c r="L13837" s="166"/>
    </row>
    <row r="13838">
      <c r="A13838" s="163" t="s">
        <v>222</v>
      </c>
      <c r="B13838" s="163"/>
      <c r="C13838" s="163"/>
      <c r="J13838" s="165"/>
      <c r="K13838" s="166"/>
      <c r="L13838" s="166"/>
    </row>
    <row r="13839">
      <c r="A13839" s="163" t="s">
        <v>222</v>
      </c>
      <c r="B13839" s="163"/>
      <c r="C13839" s="163"/>
      <c r="J13839" s="165"/>
      <c r="K13839" s="166"/>
      <c r="L13839" s="166"/>
    </row>
    <row r="13840">
      <c r="A13840" s="163" t="s">
        <v>222</v>
      </c>
      <c r="B13840" s="163"/>
      <c r="C13840" s="163"/>
      <c r="J13840" s="165"/>
      <c r="K13840" s="166"/>
      <c r="L13840" s="166"/>
    </row>
    <row r="13841">
      <c r="A13841" s="163" t="s">
        <v>222</v>
      </c>
      <c r="B13841" s="163"/>
      <c r="C13841" s="163"/>
      <c r="J13841" s="165"/>
      <c r="K13841" s="166"/>
      <c r="L13841" s="166"/>
    </row>
    <row r="13842">
      <c r="A13842" s="163" t="s">
        <v>222</v>
      </c>
      <c r="B13842" s="163"/>
      <c r="C13842" s="163"/>
      <c r="J13842" s="165"/>
      <c r="K13842" s="166"/>
      <c r="L13842" s="166"/>
    </row>
    <row r="13843">
      <c r="A13843" s="163" t="s">
        <v>222</v>
      </c>
      <c r="B13843" s="163"/>
      <c r="C13843" s="163"/>
      <c r="J13843" s="165"/>
      <c r="K13843" s="166"/>
      <c r="L13843" s="166"/>
    </row>
    <row r="13844">
      <c r="A13844" s="163" t="s">
        <v>222</v>
      </c>
      <c r="B13844" s="163"/>
      <c r="C13844" s="163"/>
      <c r="J13844" s="165"/>
      <c r="K13844" s="166"/>
      <c r="L13844" s="166"/>
    </row>
    <row r="13845">
      <c r="A13845" s="163" t="s">
        <v>222</v>
      </c>
      <c r="B13845" s="163"/>
      <c r="C13845" s="163"/>
      <c r="J13845" s="165"/>
      <c r="K13845" s="166"/>
      <c r="L13845" s="166"/>
    </row>
    <row r="13846">
      <c r="A13846" s="163" t="s">
        <v>222</v>
      </c>
      <c r="B13846" s="163"/>
      <c r="C13846" s="163"/>
      <c r="J13846" s="165"/>
      <c r="K13846" s="166"/>
      <c r="L13846" s="166"/>
    </row>
    <row r="13847">
      <c r="A13847" s="163" t="s">
        <v>222</v>
      </c>
      <c r="B13847" s="163"/>
      <c r="C13847" s="163"/>
      <c r="J13847" s="165"/>
      <c r="K13847" s="166"/>
      <c r="L13847" s="166"/>
    </row>
    <row r="13848">
      <c r="A13848" s="163" t="s">
        <v>222</v>
      </c>
      <c r="B13848" s="163"/>
      <c r="C13848" s="163"/>
      <c r="J13848" s="165"/>
      <c r="K13848" s="166"/>
      <c r="L13848" s="166"/>
    </row>
    <row r="13849">
      <c r="A13849" s="163" t="s">
        <v>222</v>
      </c>
      <c r="B13849" s="163"/>
      <c r="C13849" s="163"/>
      <c r="J13849" s="165"/>
      <c r="K13849" s="166"/>
      <c r="L13849" s="166"/>
    </row>
    <row r="13850">
      <c r="A13850" s="163" t="s">
        <v>222</v>
      </c>
      <c r="B13850" s="163"/>
      <c r="C13850" s="163"/>
      <c r="J13850" s="165"/>
      <c r="K13850" s="166"/>
      <c r="L13850" s="166"/>
    </row>
    <row r="13851">
      <c r="A13851" s="163" t="s">
        <v>222</v>
      </c>
      <c r="B13851" s="163"/>
      <c r="C13851" s="163"/>
      <c r="J13851" s="165"/>
      <c r="K13851" s="166"/>
      <c r="L13851" s="166"/>
    </row>
    <row r="13852">
      <c r="A13852" s="163" t="s">
        <v>222</v>
      </c>
      <c r="B13852" s="163"/>
      <c r="C13852" s="163"/>
      <c r="J13852" s="165"/>
      <c r="K13852" s="166"/>
      <c r="L13852" s="166"/>
    </row>
    <row r="13853">
      <c r="A13853" s="163" t="s">
        <v>222</v>
      </c>
      <c r="B13853" s="163"/>
      <c r="C13853" s="163"/>
      <c r="J13853" s="165"/>
      <c r="K13853" s="166"/>
      <c r="L13853" s="166"/>
    </row>
    <row r="13854">
      <c r="A13854" s="163" t="s">
        <v>222</v>
      </c>
      <c r="B13854" s="163"/>
      <c r="C13854" s="163"/>
      <c r="J13854" s="165"/>
      <c r="K13854" s="166"/>
      <c r="L13854" s="166"/>
    </row>
    <row r="13855">
      <c r="A13855" s="163" t="s">
        <v>222</v>
      </c>
      <c r="B13855" s="163"/>
      <c r="C13855" s="163"/>
      <c r="J13855" s="165"/>
      <c r="K13855" s="166"/>
      <c r="L13855" s="166"/>
    </row>
    <row r="13856">
      <c r="A13856" s="163" t="s">
        <v>222</v>
      </c>
      <c r="B13856" s="163"/>
      <c r="C13856" s="163"/>
      <c r="J13856" s="165"/>
      <c r="K13856" s="166"/>
      <c r="L13856" s="166"/>
    </row>
    <row r="13857">
      <c r="A13857" s="163" t="s">
        <v>222</v>
      </c>
      <c r="B13857" s="163"/>
      <c r="C13857" s="163"/>
      <c r="J13857" s="165"/>
      <c r="K13857" s="166"/>
      <c r="L13857" s="166"/>
    </row>
    <row r="13858">
      <c r="A13858" s="163" t="s">
        <v>222</v>
      </c>
      <c r="B13858" s="163"/>
      <c r="C13858" s="163"/>
      <c r="J13858" s="165"/>
      <c r="K13858" s="166"/>
      <c r="L13858" s="166"/>
    </row>
    <row r="13859">
      <c r="A13859" s="163" t="s">
        <v>222</v>
      </c>
      <c r="B13859" s="163"/>
      <c r="C13859" s="163"/>
      <c r="J13859" s="165"/>
      <c r="K13859" s="166"/>
      <c r="L13859" s="166"/>
    </row>
    <row r="13860">
      <c r="A13860" s="163" t="s">
        <v>222</v>
      </c>
      <c r="B13860" s="163"/>
      <c r="C13860" s="163"/>
      <c r="J13860" s="165"/>
      <c r="K13860" s="166"/>
      <c r="L13860" s="166"/>
    </row>
    <row r="13861">
      <c r="A13861" s="163" t="s">
        <v>222</v>
      </c>
      <c r="B13861" s="163"/>
      <c r="C13861" s="163"/>
      <c r="J13861" s="165"/>
      <c r="K13861" s="166"/>
      <c r="L13861" s="166"/>
    </row>
    <row r="13862">
      <c r="A13862" s="163" t="s">
        <v>222</v>
      </c>
      <c r="B13862" s="163"/>
      <c r="C13862" s="163"/>
      <c r="J13862" s="165"/>
      <c r="K13862" s="166"/>
      <c r="L13862" s="166"/>
    </row>
    <row r="13863">
      <c r="A13863" s="163" t="s">
        <v>222</v>
      </c>
      <c r="B13863" s="163"/>
      <c r="C13863" s="163"/>
      <c r="J13863" s="165"/>
      <c r="K13863" s="166"/>
      <c r="L13863" s="166"/>
    </row>
    <row r="13864">
      <c r="A13864" s="163" t="s">
        <v>222</v>
      </c>
      <c r="B13864" s="163"/>
      <c r="C13864" s="163"/>
      <c r="J13864" s="165"/>
      <c r="K13864" s="166"/>
      <c r="L13864" s="166"/>
    </row>
    <row r="13865">
      <c r="A13865" s="163" t="s">
        <v>222</v>
      </c>
      <c r="B13865" s="163"/>
      <c r="C13865" s="163"/>
      <c r="J13865" s="165"/>
      <c r="K13865" s="166"/>
      <c r="L13865" s="166"/>
    </row>
    <row r="13866">
      <c r="A13866" s="163" t="s">
        <v>222</v>
      </c>
      <c r="B13866" s="163"/>
      <c r="C13866" s="163"/>
      <c r="J13866" s="165"/>
      <c r="K13866" s="166"/>
      <c r="L13866" s="166"/>
    </row>
    <row r="13867">
      <c r="A13867" s="163" t="s">
        <v>222</v>
      </c>
      <c r="B13867" s="163"/>
      <c r="C13867" s="163"/>
      <c r="J13867" s="165"/>
      <c r="K13867" s="166"/>
      <c r="L13867" s="166"/>
    </row>
    <row r="13868">
      <c r="A13868" s="163" t="s">
        <v>222</v>
      </c>
      <c r="B13868" s="163"/>
      <c r="C13868" s="163"/>
      <c r="J13868" s="165"/>
      <c r="K13868" s="166"/>
      <c r="L13868" s="166"/>
    </row>
    <row r="13869">
      <c r="A13869" s="163" t="s">
        <v>222</v>
      </c>
      <c r="B13869" s="163"/>
      <c r="C13869" s="163"/>
      <c r="J13869" s="165"/>
      <c r="K13869" s="166"/>
      <c r="L13869" s="166"/>
    </row>
    <row r="13870">
      <c r="A13870" s="163" t="s">
        <v>222</v>
      </c>
      <c r="B13870" s="163"/>
      <c r="C13870" s="163"/>
      <c r="J13870" s="165"/>
      <c r="K13870" s="166"/>
      <c r="L13870" s="166"/>
    </row>
    <row r="13871">
      <c r="A13871" s="163" t="s">
        <v>222</v>
      </c>
      <c r="B13871" s="163"/>
      <c r="C13871" s="163"/>
      <c r="J13871" s="165"/>
      <c r="K13871" s="166"/>
      <c r="L13871" s="166"/>
    </row>
    <row r="13872">
      <c r="A13872" s="163" t="s">
        <v>222</v>
      </c>
      <c r="B13872" s="163"/>
      <c r="C13872" s="163"/>
      <c r="J13872" s="165"/>
      <c r="K13872" s="166"/>
      <c r="L13872" s="166"/>
    </row>
    <row r="13873">
      <c r="A13873" s="163" t="s">
        <v>222</v>
      </c>
      <c r="B13873" s="163"/>
      <c r="C13873" s="163"/>
      <c r="J13873" s="165"/>
      <c r="K13873" s="166"/>
      <c r="L13873" s="166"/>
    </row>
    <row r="13874">
      <c r="A13874" s="163" t="s">
        <v>222</v>
      </c>
      <c r="B13874" s="163"/>
      <c r="C13874" s="163"/>
      <c r="J13874" s="165"/>
      <c r="K13874" s="166"/>
      <c r="L13874" s="166"/>
    </row>
    <row r="13875">
      <c r="A13875" s="163" t="s">
        <v>222</v>
      </c>
      <c r="B13875" s="163"/>
      <c r="C13875" s="163"/>
      <c r="J13875" s="165"/>
      <c r="K13875" s="166"/>
      <c r="L13875" s="166"/>
    </row>
    <row r="13876">
      <c r="A13876" s="163" t="s">
        <v>222</v>
      </c>
      <c r="B13876" s="163"/>
      <c r="C13876" s="163"/>
      <c r="J13876" s="165"/>
      <c r="K13876" s="166"/>
      <c r="L13876" s="166"/>
    </row>
    <row r="13877">
      <c r="A13877" s="163" t="s">
        <v>222</v>
      </c>
      <c r="B13877" s="163"/>
      <c r="C13877" s="163"/>
      <c r="J13877" s="165"/>
      <c r="K13877" s="166"/>
      <c r="L13877" s="166"/>
    </row>
    <row r="13878">
      <c r="A13878" s="163" t="s">
        <v>222</v>
      </c>
      <c r="B13878" s="163"/>
      <c r="C13878" s="163"/>
      <c r="J13878" s="165"/>
      <c r="K13878" s="166"/>
      <c r="L13878" s="166"/>
    </row>
    <row r="13879">
      <c r="A13879" s="163" t="s">
        <v>222</v>
      </c>
      <c r="B13879" s="163"/>
      <c r="C13879" s="163"/>
      <c r="J13879" s="165"/>
      <c r="K13879" s="166"/>
      <c r="L13879" s="166"/>
    </row>
    <row r="13880">
      <c r="A13880" s="163" t="s">
        <v>222</v>
      </c>
      <c r="B13880" s="163"/>
      <c r="C13880" s="163"/>
      <c r="J13880" s="165"/>
      <c r="K13880" s="166"/>
      <c r="L13880" s="166"/>
    </row>
    <row r="13881">
      <c r="A13881" s="163" t="s">
        <v>222</v>
      </c>
      <c r="B13881" s="163"/>
      <c r="C13881" s="163"/>
      <c r="J13881" s="165"/>
      <c r="K13881" s="166"/>
      <c r="L13881" s="166"/>
    </row>
    <row r="13882">
      <c r="A13882" s="163" t="s">
        <v>222</v>
      </c>
      <c r="B13882" s="163"/>
      <c r="C13882" s="163"/>
      <c r="J13882" s="165"/>
      <c r="K13882" s="166"/>
      <c r="L13882" s="166"/>
    </row>
    <row r="13883">
      <c r="A13883" s="163" t="s">
        <v>222</v>
      </c>
      <c r="B13883" s="163"/>
      <c r="C13883" s="163"/>
      <c r="J13883" s="165"/>
      <c r="K13883" s="166"/>
      <c r="L13883" s="166"/>
    </row>
    <row r="13884">
      <c r="A13884" s="163" t="s">
        <v>222</v>
      </c>
      <c r="B13884" s="163"/>
      <c r="C13884" s="163"/>
      <c r="J13884" s="165"/>
      <c r="K13884" s="166"/>
      <c r="L13884" s="166"/>
    </row>
    <row r="13885">
      <c r="A13885" s="163" t="s">
        <v>222</v>
      </c>
      <c r="B13885" s="163"/>
      <c r="C13885" s="163"/>
      <c r="J13885" s="165"/>
      <c r="K13885" s="166"/>
      <c r="L13885" s="166"/>
    </row>
    <row r="13886">
      <c r="A13886" s="163" t="s">
        <v>222</v>
      </c>
      <c r="B13886" s="163"/>
      <c r="C13886" s="163"/>
      <c r="J13886" s="165"/>
      <c r="K13886" s="166"/>
      <c r="L13886" s="166"/>
    </row>
    <row r="13887">
      <c r="A13887" s="163" t="s">
        <v>222</v>
      </c>
      <c r="B13887" s="163"/>
      <c r="C13887" s="163"/>
      <c r="J13887" s="165"/>
      <c r="K13887" s="166"/>
      <c r="L13887" s="166"/>
    </row>
    <row r="13888">
      <c r="A13888" s="163" t="s">
        <v>222</v>
      </c>
      <c r="B13888" s="163"/>
      <c r="C13888" s="163"/>
      <c r="J13888" s="165"/>
      <c r="K13888" s="166"/>
      <c r="L13888" s="166"/>
    </row>
    <row r="13889">
      <c r="A13889" s="163" t="s">
        <v>222</v>
      </c>
      <c r="B13889" s="163"/>
      <c r="C13889" s="163"/>
      <c r="J13889" s="165"/>
      <c r="K13889" s="166"/>
      <c r="L13889" s="166"/>
    </row>
    <row r="13890">
      <c r="A13890" s="163" t="s">
        <v>222</v>
      </c>
      <c r="B13890" s="163"/>
      <c r="C13890" s="163"/>
      <c r="J13890" s="165"/>
      <c r="K13890" s="166"/>
      <c r="L13890" s="166"/>
    </row>
    <row r="13891">
      <c r="A13891" s="163" t="s">
        <v>222</v>
      </c>
      <c r="B13891" s="163"/>
      <c r="C13891" s="163"/>
      <c r="J13891" s="165"/>
      <c r="K13891" s="166"/>
      <c r="L13891" s="166"/>
    </row>
    <row r="13892">
      <c r="A13892" s="163" t="s">
        <v>222</v>
      </c>
      <c r="B13892" s="163"/>
      <c r="C13892" s="163"/>
      <c r="J13892" s="165"/>
      <c r="K13892" s="166"/>
      <c r="L13892" s="166"/>
    </row>
    <row r="13893">
      <c r="A13893" s="163" t="s">
        <v>222</v>
      </c>
      <c r="B13893" s="163"/>
      <c r="C13893" s="163"/>
      <c r="J13893" s="165"/>
      <c r="K13893" s="166"/>
      <c r="L13893" s="166"/>
    </row>
    <row r="13894">
      <c r="A13894" s="163" t="s">
        <v>222</v>
      </c>
      <c r="B13894" s="163"/>
      <c r="C13894" s="163"/>
      <c r="J13894" s="165"/>
      <c r="K13894" s="166"/>
      <c r="L13894" s="166"/>
    </row>
    <row r="13895">
      <c r="A13895" s="163" t="s">
        <v>222</v>
      </c>
      <c r="B13895" s="163"/>
      <c r="C13895" s="163"/>
      <c r="J13895" s="165"/>
      <c r="K13895" s="166"/>
      <c r="L13895" s="166"/>
    </row>
    <row r="13896">
      <c r="A13896" s="163" t="s">
        <v>222</v>
      </c>
      <c r="B13896" s="163"/>
      <c r="C13896" s="163"/>
      <c r="J13896" s="165"/>
      <c r="K13896" s="166"/>
      <c r="L13896" s="166"/>
    </row>
    <row r="13897">
      <c r="A13897" s="163" t="s">
        <v>222</v>
      </c>
      <c r="B13897" s="163"/>
      <c r="C13897" s="163"/>
      <c r="J13897" s="165"/>
      <c r="K13897" s="166"/>
      <c r="L13897" s="166"/>
    </row>
    <row r="13898">
      <c r="A13898" s="163" t="s">
        <v>222</v>
      </c>
      <c r="B13898" s="163"/>
      <c r="C13898" s="163"/>
      <c r="J13898" s="165"/>
      <c r="K13898" s="166"/>
      <c r="L13898" s="166"/>
    </row>
    <row r="13899">
      <c r="A13899" s="163" t="s">
        <v>222</v>
      </c>
      <c r="B13899" s="163"/>
      <c r="C13899" s="163"/>
      <c r="J13899" s="165"/>
      <c r="K13899" s="166"/>
      <c r="L13899" s="166"/>
    </row>
    <row r="13900">
      <c r="A13900" s="163" t="s">
        <v>222</v>
      </c>
      <c r="B13900" s="163"/>
      <c r="C13900" s="163"/>
      <c r="J13900" s="165"/>
      <c r="K13900" s="166"/>
      <c r="L13900" s="166"/>
    </row>
    <row r="13901">
      <c r="A13901" s="163" t="s">
        <v>222</v>
      </c>
      <c r="B13901" s="163"/>
      <c r="C13901" s="163"/>
      <c r="J13901" s="165"/>
      <c r="K13901" s="166"/>
      <c r="L13901" s="166"/>
    </row>
    <row r="13902">
      <c r="A13902" s="163" t="s">
        <v>222</v>
      </c>
      <c r="B13902" s="163"/>
      <c r="C13902" s="163"/>
      <c r="J13902" s="165"/>
      <c r="K13902" s="166"/>
      <c r="L13902" s="166"/>
    </row>
    <row r="13903">
      <c r="A13903" s="163" t="s">
        <v>222</v>
      </c>
      <c r="B13903" s="163"/>
      <c r="C13903" s="163"/>
      <c r="J13903" s="165"/>
      <c r="K13903" s="166"/>
      <c r="L13903" s="166"/>
    </row>
    <row r="13904">
      <c r="A13904" s="163" t="s">
        <v>222</v>
      </c>
      <c r="B13904" s="163"/>
      <c r="C13904" s="163"/>
      <c r="J13904" s="165"/>
      <c r="K13904" s="166"/>
      <c r="L13904" s="166"/>
    </row>
    <row r="13905">
      <c r="A13905" s="163" t="s">
        <v>222</v>
      </c>
      <c r="B13905" s="163"/>
      <c r="C13905" s="163"/>
      <c r="J13905" s="165"/>
      <c r="K13905" s="166"/>
      <c r="L13905" s="166"/>
    </row>
    <row r="13906">
      <c r="A13906" s="163" t="s">
        <v>222</v>
      </c>
      <c r="B13906" s="163"/>
      <c r="C13906" s="163"/>
      <c r="J13906" s="165"/>
      <c r="K13906" s="166"/>
      <c r="L13906" s="166"/>
    </row>
    <row r="13907">
      <c r="A13907" s="163" t="s">
        <v>222</v>
      </c>
      <c r="B13907" s="163"/>
      <c r="C13907" s="163"/>
      <c r="J13907" s="165"/>
      <c r="K13907" s="166"/>
      <c r="L13907" s="166"/>
    </row>
    <row r="13908">
      <c r="A13908" s="163" t="s">
        <v>222</v>
      </c>
      <c r="B13908" s="163"/>
      <c r="C13908" s="163"/>
      <c r="J13908" s="165"/>
      <c r="K13908" s="166"/>
      <c r="L13908" s="166"/>
    </row>
    <row r="13909">
      <c r="A13909" s="163" t="s">
        <v>222</v>
      </c>
      <c r="B13909" s="163"/>
      <c r="C13909" s="163"/>
      <c r="J13909" s="165"/>
      <c r="K13909" s="166"/>
      <c r="L13909" s="166"/>
    </row>
    <row r="13910">
      <c r="A13910" s="163" t="s">
        <v>222</v>
      </c>
      <c r="B13910" s="163"/>
      <c r="C13910" s="163"/>
      <c r="J13910" s="165"/>
      <c r="K13910" s="166"/>
      <c r="L13910" s="166"/>
    </row>
    <row r="13911">
      <c r="A13911" s="163" t="s">
        <v>222</v>
      </c>
      <c r="B13911" s="163"/>
      <c r="C13911" s="163"/>
      <c r="J13911" s="165"/>
      <c r="K13911" s="166"/>
      <c r="L13911" s="166"/>
    </row>
    <row r="13912">
      <c r="A13912" s="163" t="s">
        <v>222</v>
      </c>
      <c r="B13912" s="163"/>
      <c r="C13912" s="163"/>
      <c r="J13912" s="165"/>
      <c r="K13912" s="166"/>
      <c r="L13912" s="166"/>
    </row>
    <row r="13913">
      <c r="A13913" s="163" t="s">
        <v>222</v>
      </c>
      <c r="B13913" s="163"/>
      <c r="C13913" s="163"/>
      <c r="J13913" s="165"/>
      <c r="K13913" s="166"/>
      <c r="L13913" s="166"/>
    </row>
    <row r="13914">
      <c r="A13914" s="163" t="s">
        <v>222</v>
      </c>
      <c r="B13914" s="163"/>
      <c r="C13914" s="163"/>
      <c r="J13914" s="165"/>
      <c r="K13914" s="166"/>
      <c r="L13914" s="166"/>
    </row>
    <row r="13915">
      <c r="A13915" s="163" t="s">
        <v>222</v>
      </c>
      <c r="B13915" s="163"/>
      <c r="C13915" s="163"/>
      <c r="J13915" s="165"/>
      <c r="K13915" s="166"/>
      <c r="L13915" s="166"/>
    </row>
    <row r="13916">
      <c r="A13916" s="163" t="s">
        <v>222</v>
      </c>
      <c r="B13916" s="163"/>
      <c r="C13916" s="163"/>
      <c r="J13916" s="165"/>
      <c r="K13916" s="166"/>
      <c r="L13916" s="166"/>
    </row>
    <row r="13917">
      <c r="A13917" s="163" t="s">
        <v>222</v>
      </c>
      <c r="B13917" s="163"/>
      <c r="C13917" s="163"/>
      <c r="J13917" s="165"/>
      <c r="K13917" s="166"/>
      <c r="L13917" s="166"/>
    </row>
    <row r="13918">
      <c r="A13918" s="163" t="s">
        <v>222</v>
      </c>
      <c r="B13918" s="163"/>
      <c r="C13918" s="163"/>
      <c r="J13918" s="165"/>
      <c r="K13918" s="166"/>
      <c r="L13918" s="166"/>
    </row>
    <row r="13919">
      <c r="A13919" s="163" t="s">
        <v>222</v>
      </c>
      <c r="B13919" s="163"/>
      <c r="C13919" s="163"/>
      <c r="J13919" s="165"/>
      <c r="K13919" s="166"/>
      <c r="L13919" s="166"/>
    </row>
    <row r="13920">
      <c r="A13920" s="163" t="s">
        <v>222</v>
      </c>
      <c r="B13920" s="163"/>
      <c r="C13920" s="163"/>
      <c r="J13920" s="165"/>
      <c r="K13920" s="166"/>
      <c r="L13920" s="166"/>
    </row>
    <row r="13921">
      <c r="A13921" s="163" t="s">
        <v>222</v>
      </c>
      <c r="B13921" s="163"/>
      <c r="C13921" s="163"/>
      <c r="J13921" s="165"/>
      <c r="K13921" s="166"/>
      <c r="L13921" s="166"/>
    </row>
    <row r="13922">
      <c r="A13922" s="163" t="s">
        <v>222</v>
      </c>
      <c r="B13922" s="163"/>
      <c r="C13922" s="163"/>
      <c r="J13922" s="165"/>
      <c r="K13922" s="166"/>
      <c r="L13922" s="166"/>
    </row>
    <row r="13923">
      <c r="A13923" s="163" t="s">
        <v>222</v>
      </c>
      <c r="B13923" s="163"/>
      <c r="C13923" s="163"/>
      <c r="J13923" s="165"/>
      <c r="K13923" s="166"/>
      <c r="L13923" s="166"/>
    </row>
    <row r="13924">
      <c r="A13924" s="163" t="s">
        <v>222</v>
      </c>
      <c r="B13924" s="163"/>
      <c r="C13924" s="163"/>
      <c r="J13924" s="165"/>
      <c r="K13924" s="166"/>
      <c r="L13924" s="166"/>
    </row>
    <row r="13925">
      <c r="A13925" s="163" t="s">
        <v>222</v>
      </c>
      <c r="B13925" s="163"/>
      <c r="C13925" s="163"/>
      <c r="J13925" s="165"/>
      <c r="K13925" s="166"/>
      <c r="L13925" s="166"/>
    </row>
    <row r="13926">
      <c r="A13926" s="163" t="s">
        <v>222</v>
      </c>
      <c r="B13926" s="163"/>
      <c r="C13926" s="163"/>
      <c r="J13926" s="165"/>
      <c r="K13926" s="166"/>
      <c r="L13926" s="166"/>
    </row>
    <row r="13927">
      <c r="A13927" s="163" t="s">
        <v>222</v>
      </c>
      <c r="B13927" s="163"/>
      <c r="C13927" s="163"/>
      <c r="J13927" s="165"/>
      <c r="K13927" s="166"/>
      <c r="L13927" s="166"/>
    </row>
    <row r="13928">
      <c r="A13928" s="163" t="s">
        <v>222</v>
      </c>
      <c r="B13928" s="163"/>
      <c r="C13928" s="163"/>
      <c r="J13928" s="165"/>
      <c r="K13928" s="166"/>
      <c r="L13928" s="166"/>
    </row>
    <row r="13929">
      <c r="A13929" s="163" t="s">
        <v>222</v>
      </c>
      <c r="B13929" s="163"/>
      <c r="C13929" s="163"/>
      <c r="J13929" s="165"/>
      <c r="K13929" s="166"/>
      <c r="L13929" s="166"/>
    </row>
    <row r="13930">
      <c r="A13930" s="163" t="s">
        <v>222</v>
      </c>
      <c r="B13930" s="163"/>
      <c r="C13930" s="163"/>
      <c r="J13930" s="165"/>
      <c r="K13930" s="166"/>
      <c r="L13930" s="166"/>
    </row>
    <row r="13931">
      <c r="A13931" s="163" t="s">
        <v>222</v>
      </c>
      <c r="B13931" s="163"/>
      <c r="C13931" s="163"/>
      <c r="J13931" s="165"/>
      <c r="K13931" s="166"/>
      <c r="L13931" s="166"/>
    </row>
    <row r="13932">
      <c r="A13932" s="163" t="s">
        <v>222</v>
      </c>
      <c r="B13932" s="163"/>
      <c r="C13932" s="163"/>
      <c r="J13932" s="165"/>
      <c r="K13932" s="166"/>
      <c r="L13932" s="166"/>
    </row>
    <row r="13933">
      <c r="A13933" s="163" t="s">
        <v>222</v>
      </c>
      <c r="B13933" s="163"/>
      <c r="C13933" s="163"/>
      <c r="J13933" s="165"/>
      <c r="K13933" s="166"/>
      <c r="L13933" s="166"/>
    </row>
    <row r="13934">
      <c r="A13934" s="163" t="s">
        <v>222</v>
      </c>
      <c r="B13934" s="163"/>
      <c r="C13934" s="163"/>
      <c r="J13934" s="165"/>
      <c r="K13934" s="166"/>
      <c r="L13934" s="166"/>
    </row>
    <row r="13935">
      <c r="A13935" s="163" t="s">
        <v>222</v>
      </c>
      <c r="B13935" s="163"/>
      <c r="C13935" s="163"/>
      <c r="J13935" s="165"/>
      <c r="K13935" s="166"/>
      <c r="L13935" s="166"/>
    </row>
    <row r="13936">
      <c r="A13936" s="163" t="s">
        <v>222</v>
      </c>
      <c r="B13936" s="163"/>
      <c r="C13936" s="163"/>
      <c r="J13936" s="165"/>
      <c r="K13936" s="166"/>
      <c r="L13936" s="166"/>
    </row>
    <row r="13937">
      <c r="A13937" s="163" t="s">
        <v>222</v>
      </c>
      <c r="B13937" s="163"/>
      <c r="C13937" s="163"/>
      <c r="J13937" s="165"/>
      <c r="K13937" s="166"/>
      <c r="L13937" s="166"/>
    </row>
    <row r="13938">
      <c r="A13938" s="163" t="s">
        <v>222</v>
      </c>
      <c r="B13938" s="163"/>
      <c r="C13938" s="163"/>
      <c r="J13938" s="165"/>
      <c r="K13938" s="166"/>
      <c r="L13938" s="166"/>
    </row>
    <row r="13939">
      <c r="A13939" s="163" t="s">
        <v>222</v>
      </c>
      <c r="B13939" s="163"/>
      <c r="C13939" s="163"/>
      <c r="J13939" s="165"/>
      <c r="K13939" s="166"/>
      <c r="L13939" s="166"/>
    </row>
    <row r="13940">
      <c r="A13940" s="163" t="s">
        <v>222</v>
      </c>
      <c r="B13940" s="163"/>
      <c r="C13940" s="163"/>
      <c r="J13940" s="165"/>
      <c r="K13940" s="166"/>
      <c r="L13940" s="166"/>
    </row>
    <row r="13941">
      <c r="A13941" s="163" t="s">
        <v>222</v>
      </c>
      <c r="B13941" s="163"/>
      <c r="C13941" s="163"/>
      <c r="J13941" s="165"/>
      <c r="K13941" s="166"/>
      <c r="L13941" s="166"/>
    </row>
    <row r="13942">
      <c r="A13942" s="163" t="s">
        <v>222</v>
      </c>
      <c r="B13942" s="163"/>
      <c r="C13942" s="163"/>
      <c r="J13942" s="165"/>
      <c r="K13942" s="166"/>
      <c r="L13942" s="166"/>
    </row>
    <row r="13943">
      <c r="A13943" s="163" t="s">
        <v>222</v>
      </c>
      <c r="B13943" s="163"/>
      <c r="C13943" s="163"/>
      <c r="J13943" s="165"/>
      <c r="K13943" s="166"/>
      <c r="L13943" s="166"/>
    </row>
    <row r="13944">
      <c r="A13944" s="163" t="s">
        <v>222</v>
      </c>
      <c r="B13944" s="163"/>
      <c r="C13944" s="163"/>
      <c r="J13944" s="165"/>
      <c r="K13944" s="166"/>
      <c r="L13944" s="166"/>
    </row>
    <row r="13945">
      <c r="A13945" s="163" t="s">
        <v>222</v>
      </c>
      <c r="B13945" s="163"/>
      <c r="C13945" s="163"/>
      <c r="J13945" s="165"/>
      <c r="K13945" s="166"/>
      <c r="L13945" s="166"/>
    </row>
    <row r="13946">
      <c r="A13946" s="163" t="s">
        <v>222</v>
      </c>
      <c r="B13946" s="163"/>
      <c r="C13946" s="163"/>
      <c r="J13946" s="165"/>
      <c r="K13946" s="166"/>
      <c r="L13946" s="166"/>
    </row>
    <row r="13947">
      <c r="A13947" s="163" t="s">
        <v>222</v>
      </c>
      <c r="B13947" s="163"/>
      <c r="C13947" s="163"/>
      <c r="J13947" s="165"/>
      <c r="K13947" s="166"/>
      <c r="L13947" s="166"/>
    </row>
    <row r="13948">
      <c r="A13948" s="163" t="s">
        <v>222</v>
      </c>
      <c r="B13948" s="163"/>
      <c r="C13948" s="163"/>
      <c r="J13948" s="165"/>
      <c r="K13948" s="166"/>
      <c r="L13948" s="166"/>
    </row>
    <row r="13949">
      <c r="A13949" s="163" t="s">
        <v>222</v>
      </c>
      <c r="B13949" s="163"/>
      <c r="C13949" s="163"/>
      <c r="J13949" s="165"/>
      <c r="K13949" s="166"/>
      <c r="L13949" s="166"/>
    </row>
    <row r="13950">
      <c r="A13950" s="163" t="s">
        <v>222</v>
      </c>
      <c r="B13950" s="163"/>
      <c r="C13950" s="163"/>
      <c r="J13950" s="165"/>
      <c r="K13950" s="166"/>
      <c r="L13950" s="166"/>
    </row>
    <row r="13951">
      <c r="A13951" s="163" t="s">
        <v>222</v>
      </c>
      <c r="B13951" s="163"/>
      <c r="C13951" s="163"/>
      <c r="J13951" s="165"/>
      <c r="K13951" s="166"/>
      <c r="L13951" s="166"/>
    </row>
    <row r="13952">
      <c r="A13952" s="163" t="s">
        <v>222</v>
      </c>
      <c r="B13952" s="163"/>
      <c r="C13952" s="163"/>
      <c r="J13952" s="165"/>
      <c r="K13952" s="166"/>
      <c r="L13952" s="166"/>
    </row>
    <row r="13953">
      <c r="A13953" s="163" t="s">
        <v>222</v>
      </c>
      <c r="B13953" s="163"/>
      <c r="C13953" s="163"/>
      <c r="J13953" s="165"/>
      <c r="K13953" s="166"/>
      <c r="L13953" s="166"/>
    </row>
    <row r="13954">
      <c r="A13954" s="163" t="s">
        <v>222</v>
      </c>
      <c r="B13954" s="163"/>
      <c r="C13954" s="163"/>
      <c r="J13954" s="165"/>
      <c r="K13954" s="166"/>
      <c r="L13954" s="166"/>
    </row>
    <row r="13955">
      <c r="A13955" s="163" t="s">
        <v>222</v>
      </c>
      <c r="B13955" s="163"/>
      <c r="C13955" s="163"/>
      <c r="J13955" s="165"/>
      <c r="K13955" s="166"/>
      <c r="L13955" s="166"/>
    </row>
    <row r="13956">
      <c r="A13956" s="163" t="s">
        <v>222</v>
      </c>
      <c r="B13956" s="163"/>
      <c r="C13956" s="163"/>
      <c r="J13956" s="165"/>
      <c r="K13956" s="166"/>
      <c r="L13956" s="166"/>
    </row>
    <row r="13957">
      <c r="A13957" s="163" t="s">
        <v>222</v>
      </c>
      <c r="B13957" s="163"/>
      <c r="C13957" s="163"/>
      <c r="J13957" s="165"/>
      <c r="K13957" s="166"/>
      <c r="L13957" s="166"/>
    </row>
    <row r="13958">
      <c r="A13958" s="163" t="s">
        <v>222</v>
      </c>
      <c r="B13958" s="163"/>
      <c r="C13958" s="163"/>
      <c r="J13958" s="165"/>
      <c r="K13958" s="166"/>
      <c r="L13958" s="166"/>
    </row>
    <row r="13959">
      <c r="A13959" s="163" t="s">
        <v>222</v>
      </c>
      <c r="B13959" s="163"/>
      <c r="C13959" s="163"/>
      <c r="J13959" s="165"/>
      <c r="K13959" s="166"/>
      <c r="L13959" s="166"/>
    </row>
    <row r="13960">
      <c r="A13960" s="163" t="s">
        <v>222</v>
      </c>
      <c r="B13960" s="163"/>
      <c r="C13960" s="163"/>
      <c r="J13960" s="165"/>
      <c r="K13960" s="166"/>
      <c r="L13960" s="166"/>
    </row>
    <row r="13961">
      <c r="A13961" s="163" t="s">
        <v>222</v>
      </c>
      <c r="B13961" s="163"/>
      <c r="C13961" s="163"/>
      <c r="J13961" s="165"/>
      <c r="K13961" s="166"/>
      <c r="L13961" s="166"/>
    </row>
    <row r="13962">
      <c r="A13962" s="163" t="s">
        <v>222</v>
      </c>
      <c r="B13962" s="163"/>
      <c r="C13962" s="163"/>
      <c r="J13962" s="165"/>
      <c r="K13962" s="166"/>
      <c r="L13962" s="166"/>
    </row>
    <row r="13963">
      <c r="A13963" s="163" t="s">
        <v>222</v>
      </c>
      <c r="B13963" s="163"/>
      <c r="C13963" s="163"/>
      <c r="J13963" s="165"/>
      <c r="K13963" s="166"/>
      <c r="L13963" s="166"/>
    </row>
    <row r="13964">
      <c r="A13964" s="163" t="s">
        <v>222</v>
      </c>
      <c r="B13964" s="163"/>
      <c r="C13964" s="163"/>
      <c r="J13964" s="165"/>
      <c r="K13964" s="166"/>
      <c r="L13964" s="166"/>
    </row>
    <row r="13965">
      <c r="A13965" s="163" t="s">
        <v>222</v>
      </c>
      <c r="B13965" s="163"/>
      <c r="C13965" s="163"/>
      <c r="J13965" s="165"/>
      <c r="K13965" s="166"/>
      <c r="L13965" s="166"/>
    </row>
    <row r="13966">
      <c r="A13966" s="163" t="s">
        <v>222</v>
      </c>
      <c r="B13966" s="163"/>
      <c r="C13966" s="163"/>
      <c r="J13966" s="165"/>
      <c r="K13966" s="166"/>
      <c r="L13966" s="166"/>
    </row>
    <row r="13967">
      <c r="A13967" s="163" t="s">
        <v>222</v>
      </c>
      <c r="B13967" s="163"/>
      <c r="C13967" s="163"/>
      <c r="J13967" s="165"/>
      <c r="K13967" s="166"/>
      <c r="L13967" s="166"/>
    </row>
    <row r="13968">
      <c r="A13968" s="163" t="s">
        <v>222</v>
      </c>
      <c r="B13968" s="163"/>
      <c r="C13968" s="163"/>
      <c r="J13968" s="165"/>
      <c r="K13968" s="166"/>
      <c r="L13968" s="166"/>
    </row>
    <row r="13969">
      <c r="A13969" s="163" t="s">
        <v>222</v>
      </c>
      <c r="B13969" s="163"/>
      <c r="C13969" s="163"/>
      <c r="J13969" s="165"/>
      <c r="K13969" s="166"/>
      <c r="L13969" s="166"/>
    </row>
    <row r="13970">
      <c r="A13970" s="163" t="s">
        <v>222</v>
      </c>
      <c r="B13970" s="163"/>
      <c r="C13970" s="163"/>
      <c r="J13970" s="165"/>
      <c r="K13970" s="166"/>
      <c r="L13970" s="166"/>
    </row>
    <row r="13971">
      <c r="A13971" s="163" t="s">
        <v>222</v>
      </c>
      <c r="B13971" s="163"/>
      <c r="C13971" s="163"/>
      <c r="J13971" s="165"/>
      <c r="K13971" s="166"/>
      <c r="L13971" s="166"/>
    </row>
    <row r="13972">
      <c r="A13972" s="163" t="s">
        <v>222</v>
      </c>
      <c r="B13972" s="163"/>
      <c r="C13972" s="163"/>
      <c r="J13972" s="165"/>
      <c r="K13972" s="166"/>
      <c r="L13972" s="166"/>
    </row>
    <row r="13973">
      <c r="A13973" s="163" t="s">
        <v>222</v>
      </c>
      <c r="B13973" s="163"/>
      <c r="C13973" s="163"/>
      <c r="J13973" s="165"/>
      <c r="K13973" s="166"/>
      <c r="L13973" s="166"/>
    </row>
    <row r="13974">
      <c r="A13974" s="163" t="s">
        <v>222</v>
      </c>
      <c r="B13974" s="163"/>
      <c r="C13974" s="163"/>
      <c r="J13974" s="165"/>
      <c r="K13974" s="166"/>
      <c r="L13974" s="166"/>
    </row>
    <row r="13975">
      <c r="A13975" s="163" t="s">
        <v>222</v>
      </c>
      <c r="B13975" s="163"/>
      <c r="C13975" s="163"/>
      <c r="J13975" s="165"/>
      <c r="K13975" s="166"/>
      <c r="L13975" s="166"/>
    </row>
    <row r="13976">
      <c r="A13976" s="163" t="s">
        <v>222</v>
      </c>
      <c r="B13976" s="163"/>
      <c r="C13976" s="163"/>
      <c r="J13976" s="165"/>
      <c r="K13976" s="166"/>
      <c r="L13976" s="166"/>
    </row>
    <row r="13977">
      <c r="A13977" s="163" t="s">
        <v>222</v>
      </c>
      <c r="B13977" s="163"/>
      <c r="C13977" s="163"/>
      <c r="J13977" s="165"/>
      <c r="K13977" s="166"/>
      <c r="L13977" s="166"/>
    </row>
    <row r="13978">
      <c r="A13978" s="163" t="s">
        <v>222</v>
      </c>
      <c r="B13978" s="163"/>
      <c r="C13978" s="163"/>
      <c r="J13978" s="165"/>
      <c r="K13978" s="166"/>
      <c r="L13978" s="166"/>
    </row>
    <row r="13979">
      <c r="A13979" s="163" t="s">
        <v>222</v>
      </c>
      <c r="B13979" s="163"/>
      <c r="C13979" s="163"/>
      <c r="J13979" s="165"/>
      <c r="K13979" s="166"/>
      <c r="L13979" s="166"/>
    </row>
    <row r="13980">
      <c r="A13980" s="163" t="s">
        <v>222</v>
      </c>
      <c r="B13980" s="163"/>
      <c r="C13980" s="163"/>
      <c r="J13980" s="165"/>
      <c r="K13980" s="166"/>
      <c r="L13980" s="166"/>
    </row>
    <row r="13981">
      <c r="A13981" s="163" t="s">
        <v>222</v>
      </c>
      <c r="B13981" s="163"/>
      <c r="C13981" s="163"/>
      <c r="J13981" s="165"/>
      <c r="K13981" s="166"/>
      <c r="L13981" s="166"/>
    </row>
    <row r="13982">
      <c r="A13982" s="163" t="s">
        <v>222</v>
      </c>
      <c r="B13982" s="163"/>
      <c r="C13982" s="163"/>
      <c r="J13982" s="165"/>
      <c r="K13982" s="166"/>
      <c r="L13982" s="166"/>
    </row>
    <row r="13983">
      <c r="A13983" s="163" t="s">
        <v>222</v>
      </c>
      <c r="B13983" s="163"/>
      <c r="C13983" s="163"/>
      <c r="J13983" s="165"/>
      <c r="K13983" s="166"/>
      <c r="L13983" s="166"/>
    </row>
    <row r="13984">
      <c r="A13984" s="163" t="s">
        <v>222</v>
      </c>
      <c r="B13984" s="163"/>
      <c r="C13984" s="163"/>
      <c r="J13984" s="165"/>
      <c r="K13984" s="166"/>
      <c r="L13984" s="166"/>
    </row>
    <row r="13985">
      <c r="A13985" s="163" t="s">
        <v>222</v>
      </c>
      <c r="B13985" s="163"/>
      <c r="C13985" s="163"/>
      <c r="J13985" s="165"/>
      <c r="K13985" s="166"/>
      <c r="L13985" s="166"/>
    </row>
    <row r="13986">
      <c r="A13986" s="163" t="s">
        <v>222</v>
      </c>
      <c r="B13986" s="163"/>
      <c r="C13986" s="163"/>
      <c r="J13986" s="165"/>
      <c r="K13986" s="166"/>
      <c r="L13986" s="166"/>
    </row>
    <row r="13987">
      <c r="A13987" s="163" t="s">
        <v>222</v>
      </c>
      <c r="B13987" s="163"/>
      <c r="C13987" s="163"/>
      <c r="J13987" s="165"/>
      <c r="K13987" s="166"/>
      <c r="L13987" s="166"/>
    </row>
    <row r="13988">
      <c r="A13988" s="163" t="s">
        <v>222</v>
      </c>
      <c r="B13988" s="163"/>
      <c r="C13988" s="163"/>
      <c r="J13988" s="165"/>
      <c r="K13988" s="166"/>
      <c r="L13988" s="166"/>
    </row>
    <row r="13989">
      <c r="A13989" s="163" t="s">
        <v>222</v>
      </c>
      <c r="B13989" s="163"/>
      <c r="C13989" s="163"/>
      <c r="J13989" s="165"/>
      <c r="K13989" s="166"/>
      <c r="L13989" s="166"/>
    </row>
    <row r="13990">
      <c r="A13990" s="163" t="s">
        <v>222</v>
      </c>
      <c r="B13990" s="163"/>
      <c r="C13990" s="163"/>
      <c r="J13990" s="165"/>
      <c r="K13990" s="166"/>
      <c r="L13990" s="166"/>
    </row>
    <row r="13991">
      <c r="A13991" s="163" t="s">
        <v>222</v>
      </c>
      <c r="B13991" s="163"/>
      <c r="C13991" s="163"/>
      <c r="J13991" s="165"/>
      <c r="K13991" s="166"/>
      <c r="L13991" s="166"/>
    </row>
    <row r="13992">
      <c r="A13992" s="163" t="s">
        <v>222</v>
      </c>
      <c r="B13992" s="163"/>
      <c r="C13992" s="163"/>
      <c r="J13992" s="165"/>
      <c r="K13992" s="166"/>
      <c r="L13992" s="166"/>
    </row>
    <row r="13993">
      <c r="A13993" s="163" t="s">
        <v>222</v>
      </c>
      <c r="B13993" s="163"/>
      <c r="C13993" s="163"/>
      <c r="J13993" s="165"/>
      <c r="K13993" s="166"/>
      <c r="L13993" s="166"/>
    </row>
    <row r="13994">
      <c r="A13994" s="163" t="s">
        <v>222</v>
      </c>
      <c r="B13994" s="163"/>
      <c r="C13994" s="163"/>
      <c r="J13994" s="165"/>
      <c r="K13994" s="166"/>
      <c r="L13994" s="166"/>
    </row>
    <row r="13995">
      <c r="A13995" s="163" t="s">
        <v>222</v>
      </c>
      <c r="B13995" s="163"/>
      <c r="C13995" s="163"/>
      <c r="J13995" s="165"/>
      <c r="K13995" s="166"/>
      <c r="L13995" s="166"/>
    </row>
    <row r="13996">
      <c r="A13996" s="163" t="s">
        <v>222</v>
      </c>
      <c r="B13996" s="163"/>
      <c r="C13996" s="163"/>
      <c r="J13996" s="165"/>
      <c r="K13996" s="166"/>
      <c r="L13996" s="166"/>
    </row>
    <row r="13997">
      <c r="A13997" s="163" t="s">
        <v>222</v>
      </c>
      <c r="B13997" s="163"/>
      <c r="C13997" s="163"/>
      <c r="J13997" s="165"/>
      <c r="K13997" s="166"/>
      <c r="L13997" s="166"/>
    </row>
    <row r="13998">
      <c r="A13998" s="163" t="s">
        <v>222</v>
      </c>
      <c r="B13998" s="163"/>
      <c r="C13998" s="163"/>
      <c r="J13998" s="165"/>
      <c r="K13998" s="166"/>
      <c r="L13998" s="166"/>
    </row>
    <row r="13999">
      <c r="A13999" s="163" t="s">
        <v>222</v>
      </c>
      <c r="B13999" s="163"/>
      <c r="C13999" s="163"/>
      <c r="J13999" s="165"/>
      <c r="K13999" s="166"/>
      <c r="L13999" s="166"/>
    </row>
    <row r="14000">
      <c r="A14000" s="163" t="s">
        <v>222</v>
      </c>
      <c r="B14000" s="163"/>
      <c r="C14000" s="163"/>
      <c r="J14000" s="165"/>
      <c r="K14000" s="166"/>
      <c r="L14000" s="166"/>
    </row>
    <row r="14001">
      <c r="A14001" s="163" t="s">
        <v>222</v>
      </c>
      <c r="B14001" s="163"/>
      <c r="C14001" s="163"/>
      <c r="J14001" s="165"/>
      <c r="K14001" s="166"/>
      <c r="L14001" s="166"/>
    </row>
    <row r="14002">
      <c r="A14002" s="163" t="s">
        <v>222</v>
      </c>
      <c r="B14002" s="163"/>
      <c r="C14002" s="163"/>
      <c r="J14002" s="165"/>
      <c r="K14002" s="166"/>
      <c r="L14002" s="166"/>
    </row>
    <row r="14003">
      <c r="A14003" s="163" t="s">
        <v>222</v>
      </c>
      <c r="B14003" s="163"/>
      <c r="C14003" s="163"/>
      <c r="J14003" s="165"/>
      <c r="K14003" s="166"/>
      <c r="L14003" s="166"/>
    </row>
    <row r="14004">
      <c r="A14004" s="163" t="s">
        <v>222</v>
      </c>
      <c r="B14004" s="163"/>
      <c r="C14004" s="163"/>
      <c r="J14004" s="165"/>
      <c r="K14004" s="166"/>
      <c r="L14004" s="166"/>
    </row>
    <row r="14005">
      <c r="A14005" s="163" t="s">
        <v>222</v>
      </c>
      <c r="B14005" s="163"/>
      <c r="C14005" s="163"/>
      <c r="J14005" s="165"/>
      <c r="K14005" s="166"/>
      <c r="L14005" s="166"/>
    </row>
    <row r="14006">
      <c r="A14006" s="163" t="s">
        <v>222</v>
      </c>
      <c r="B14006" s="163"/>
      <c r="C14006" s="163"/>
      <c r="J14006" s="165"/>
      <c r="K14006" s="166"/>
      <c r="L14006" s="166"/>
    </row>
    <row r="14007">
      <c r="A14007" s="163" t="s">
        <v>222</v>
      </c>
      <c r="B14007" s="163"/>
      <c r="C14007" s="163"/>
      <c r="J14007" s="165"/>
      <c r="K14007" s="166"/>
      <c r="L14007" s="166"/>
    </row>
    <row r="14008">
      <c r="A14008" s="163" t="s">
        <v>222</v>
      </c>
      <c r="B14008" s="163"/>
      <c r="C14008" s="163"/>
      <c r="J14008" s="165"/>
      <c r="K14008" s="166"/>
      <c r="L14008" s="166"/>
    </row>
    <row r="14009">
      <c r="A14009" s="163" t="s">
        <v>222</v>
      </c>
      <c r="B14009" s="163"/>
      <c r="C14009" s="163"/>
      <c r="J14009" s="165"/>
      <c r="K14009" s="166"/>
      <c r="L14009" s="166"/>
    </row>
    <row r="14010">
      <c r="A14010" s="163" t="s">
        <v>222</v>
      </c>
      <c r="B14010" s="163"/>
      <c r="C14010" s="163"/>
      <c r="J14010" s="165"/>
      <c r="K14010" s="166"/>
      <c r="L14010" s="166"/>
    </row>
    <row r="14011">
      <c r="A14011" s="163" t="s">
        <v>222</v>
      </c>
      <c r="B14011" s="163"/>
      <c r="C14011" s="163"/>
      <c r="J14011" s="165"/>
      <c r="K14011" s="166"/>
      <c r="L14011" s="166"/>
    </row>
    <row r="14012">
      <c r="A14012" s="163" t="s">
        <v>222</v>
      </c>
      <c r="B14012" s="163"/>
      <c r="C14012" s="163"/>
      <c r="J14012" s="165"/>
      <c r="K14012" s="166"/>
      <c r="L14012" s="166"/>
    </row>
    <row r="14013">
      <c r="A14013" s="163" t="s">
        <v>222</v>
      </c>
      <c r="B14013" s="163"/>
      <c r="C14013" s="163"/>
      <c r="J14013" s="165"/>
      <c r="K14013" s="166"/>
      <c r="L14013" s="166"/>
    </row>
    <row r="14014">
      <c r="A14014" s="163" t="s">
        <v>222</v>
      </c>
      <c r="B14014" s="163"/>
      <c r="C14014" s="163"/>
      <c r="J14014" s="165"/>
      <c r="K14014" s="166"/>
      <c r="L14014" s="166"/>
    </row>
    <row r="14015">
      <c r="A14015" s="163" t="s">
        <v>222</v>
      </c>
      <c r="B14015" s="163"/>
      <c r="C14015" s="163"/>
      <c r="J14015" s="165"/>
      <c r="K14015" s="166"/>
      <c r="L14015" s="166"/>
    </row>
    <row r="14016">
      <c r="A14016" s="163" t="s">
        <v>222</v>
      </c>
      <c r="B14016" s="163"/>
      <c r="C14016" s="163"/>
      <c r="J14016" s="165"/>
      <c r="K14016" s="166"/>
      <c r="L14016" s="166"/>
    </row>
    <row r="14017">
      <c r="A14017" s="163" t="s">
        <v>222</v>
      </c>
      <c r="B14017" s="163"/>
      <c r="C14017" s="163"/>
      <c r="J14017" s="165"/>
      <c r="K14017" s="166"/>
      <c r="L14017" s="166"/>
    </row>
    <row r="14018">
      <c r="A14018" s="163" t="s">
        <v>222</v>
      </c>
      <c r="B14018" s="163"/>
      <c r="C14018" s="163"/>
      <c r="J14018" s="165"/>
      <c r="K14018" s="166"/>
      <c r="L14018" s="166"/>
    </row>
    <row r="14019">
      <c r="A14019" s="163" t="s">
        <v>222</v>
      </c>
      <c r="B14019" s="163"/>
      <c r="C14019" s="163"/>
      <c r="J14019" s="165"/>
      <c r="K14019" s="166"/>
      <c r="L14019" s="166"/>
    </row>
    <row r="14020">
      <c r="A14020" s="163" t="s">
        <v>222</v>
      </c>
      <c r="B14020" s="163"/>
      <c r="C14020" s="163"/>
      <c r="J14020" s="165"/>
      <c r="K14020" s="166"/>
      <c r="L14020" s="166"/>
    </row>
    <row r="14021">
      <c r="A14021" s="163" t="s">
        <v>222</v>
      </c>
      <c r="B14021" s="163"/>
      <c r="C14021" s="163"/>
      <c r="J14021" s="165"/>
      <c r="K14021" s="166"/>
      <c r="L14021" s="166"/>
    </row>
    <row r="14022">
      <c r="A14022" s="163" t="s">
        <v>222</v>
      </c>
      <c r="B14022" s="163"/>
      <c r="C14022" s="163"/>
      <c r="J14022" s="165"/>
      <c r="K14022" s="166"/>
      <c r="L14022" s="166"/>
    </row>
    <row r="14023">
      <c r="A14023" s="163" t="s">
        <v>222</v>
      </c>
      <c r="B14023" s="163"/>
      <c r="C14023" s="163"/>
      <c r="J14023" s="165"/>
      <c r="K14023" s="166"/>
      <c r="L14023" s="166"/>
    </row>
    <row r="14024">
      <c r="A14024" s="163" t="s">
        <v>222</v>
      </c>
      <c r="B14024" s="163"/>
      <c r="C14024" s="163"/>
      <c r="J14024" s="165"/>
      <c r="K14024" s="166"/>
      <c r="L14024" s="166"/>
    </row>
    <row r="14025">
      <c r="A14025" s="163" t="s">
        <v>222</v>
      </c>
      <c r="B14025" s="163"/>
      <c r="C14025" s="163"/>
      <c r="J14025" s="165"/>
      <c r="K14025" s="166"/>
      <c r="L14025" s="166"/>
    </row>
    <row r="14026">
      <c r="A14026" s="163" t="s">
        <v>222</v>
      </c>
      <c r="B14026" s="163"/>
      <c r="C14026" s="163"/>
      <c r="J14026" s="165"/>
      <c r="K14026" s="166"/>
      <c r="L14026" s="166"/>
    </row>
    <row r="14027">
      <c r="A14027" s="163" t="s">
        <v>222</v>
      </c>
      <c r="B14027" s="163"/>
      <c r="C14027" s="163"/>
      <c r="J14027" s="165"/>
      <c r="K14027" s="166"/>
      <c r="L14027" s="166"/>
    </row>
    <row r="14028">
      <c r="A14028" s="163" t="s">
        <v>222</v>
      </c>
      <c r="B14028" s="163"/>
      <c r="C14028" s="163"/>
      <c r="J14028" s="165"/>
      <c r="K14028" s="166"/>
      <c r="L14028" s="166"/>
    </row>
    <row r="14029">
      <c r="A14029" s="163" t="s">
        <v>222</v>
      </c>
      <c r="B14029" s="163"/>
      <c r="C14029" s="163"/>
      <c r="J14029" s="165"/>
      <c r="K14029" s="166"/>
      <c r="L14029" s="166"/>
    </row>
    <row r="14030">
      <c r="A14030" s="163" t="s">
        <v>222</v>
      </c>
      <c r="B14030" s="163"/>
      <c r="C14030" s="163"/>
      <c r="J14030" s="165"/>
      <c r="K14030" s="166"/>
      <c r="L14030" s="166"/>
    </row>
    <row r="14031">
      <c r="A14031" s="163" t="s">
        <v>222</v>
      </c>
      <c r="B14031" s="163"/>
      <c r="C14031" s="163"/>
      <c r="J14031" s="165"/>
      <c r="K14031" s="166"/>
      <c r="L14031" s="166"/>
    </row>
    <row r="14032">
      <c r="A14032" s="163" t="s">
        <v>222</v>
      </c>
      <c r="B14032" s="163"/>
      <c r="C14032" s="163"/>
      <c r="J14032" s="165"/>
      <c r="K14032" s="166"/>
      <c r="L14032" s="166"/>
    </row>
    <row r="14033">
      <c r="A14033" s="163" t="s">
        <v>222</v>
      </c>
      <c r="B14033" s="163"/>
      <c r="C14033" s="163"/>
      <c r="J14033" s="165"/>
      <c r="K14033" s="166"/>
      <c r="L14033" s="166"/>
    </row>
    <row r="14034">
      <c r="A14034" s="163" t="s">
        <v>222</v>
      </c>
      <c r="B14034" s="163"/>
      <c r="C14034" s="163"/>
      <c r="J14034" s="165"/>
      <c r="K14034" s="166"/>
      <c r="L14034" s="166"/>
    </row>
    <row r="14035">
      <c r="A14035" s="163" t="s">
        <v>222</v>
      </c>
      <c r="B14035" s="163"/>
      <c r="C14035" s="163"/>
      <c r="J14035" s="165"/>
      <c r="K14035" s="166"/>
      <c r="L14035" s="166"/>
    </row>
    <row r="14036">
      <c r="A14036" s="163" t="s">
        <v>222</v>
      </c>
      <c r="B14036" s="163"/>
      <c r="C14036" s="163"/>
      <c r="J14036" s="165"/>
      <c r="K14036" s="166"/>
      <c r="L14036" s="166"/>
    </row>
    <row r="14037">
      <c r="A14037" s="163" t="s">
        <v>222</v>
      </c>
      <c r="B14037" s="163"/>
      <c r="C14037" s="163"/>
      <c r="J14037" s="165"/>
      <c r="K14037" s="166"/>
      <c r="L14037" s="166"/>
    </row>
    <row r="14038">
      <c r="A14038" s="163" t="s">
        <v>222</v>
      </c>
      <c r="B14038" s="163"/>
      <c r="C14038" s="163"/>
      <c r="J14038" s="165"/>
      <c r="K14038" s="166"/>
      <c r="L14038" s="166"/>
    </row>
    <row r="14039">
      <c r="A14039" s="163" t="s">
        <v>222</v>
      </c>
      <c r="B14039" s="163"/>
      <c r="C14039" s="163"/>
      <c r="J14039" s="165"/>
      <c r="K14039" s="166"/>
      <c r="L14039" s="166"/>
    </row>
    <row r="14040">
      <c r="A14040" s="163" t="s">
        <v>222</v>
      </c>
      <c r="B14040" s="163"/>
      <c r="C14040" s="163"/>
      <c r="J14040" s="165"/>
      <c r="K14040" s="166"/>
      <c r="L14040" s="166"/>
    </row>
    <row r="14041">
      <c r="A14041" s="163" t="s">
        <v>222</v>
      </c>
      <c r="B14041" s="163"/>
      <c r="C14041" s="163"/>
      <c r="J14041" s="165"/>
      <c r="K14041" s="166"/>
      <c r="L14041" s="166"/>
    </row>
    <row r="14042">
      <c r="A14042" s="163" t="s">
        <v>222</v>
      </c>
      <c r="B14042" s="163"/>
      <c r="C14042" s="163"/>
      <c r="J14042" s="165"/>
      <c r="K14042" s="166"/>
      <c r="L14042" s="166"/>
    </row>
    <row r="14043">
      <c r="A14043" s="163" t="s">
        <v>222</v>
      </c>
      <c r="B14043" s="163"/>
      <c r="C14043" s="163"/>
      <c r="J14043" s="165"/>
      <c r="K14043" s="166"/>
      <c r="L14043" s="166"/>
    </row>
    <row r="14044">
      <c r="A14044" s="163" t="s">
        <v>222</v>
      </c>
      <c r="B14044" s="163"/>
      <c r="C14044" s="163"/>
      <c r="J14044" s="165"/>
      <c r="K14044" s="166"/>
      <c r="L14044" s="166"/>
    </row>
    <row r="14045">
      <c r="A14045" s="163" t="s">
        <v>222</v>
      </c>
      <c r="B14045" s="163"/>
      <c r="C14045" s="163"/>
      <c r="J14045" s="165"/>
      <c r="K14045" s="166"/>
      <c r="L14045" s="166"/>
    </row>
    <row r="14046">
      <c r="A14046" s="163" t="s">
        <v>222</v>
      </c>
      <c r="B14046" s="163"/>
      <c r="C14046" s="163"/>
      <c r="J14046" s="165"/>
      <c r="K14046" s="166"/>
      <c r="L14046" s="166"/>
    </row>
    <row r="14047">
      <c r="A14047" s="163" t="s">
        <v>222</v>
      </c>
      <c r="B14047" s="163"/>
      <c r="C14047" s="163"/>
      <c r="J14047" s="165"/>
      <c r="K14047" s="166"/>
      <c r="L14047" s="166"/>
    </row>
    <row r="14048">
      <c r="A14048" s="163" t="s">
        <v>222</v>
      </c>
      <c r="B14048" s="163"/>
      <c r="C14048" s="163"/>
      <c r="J14048" s="165"/>
      <c r="K14048" s="166"/>
      <c r="L14048" s="166"/>
    </row>
    <row r="14049">
      <c r="A14049" s="163" t="s">
        <v>222</v>
      </c>
      <c r="B14049" s="163"/>
      <c r="C14049" s="163"/>
      <c r="J14049" s="165"/>
      <c r="K14049" s="166"/>
      <c r="L14049" s="166"/>
    </row>
    <row r="14050">
      <c r="A14050" s="163" t="s">
        <v>222</v>
      </c>
      <c r="B14050" s="163"/>
      <c r="C14050" s="163"/>
      <c r="J14050" s="165"/>
      <c r="K14050" s="166"/>
      <c r="L14050" s="166"/>
    </row>
    <row r="14051">
      <c r="A14051" s="163" t="s">
        <v>222</v>
      </c>
      <c r="B14051" s="163"/>
      <c r="C14051" s="163"/>
      <c r="J14051" s="165"/>
      <c r="K14051" s="166"/>
      <c r="L14051" s="166"/>
    </row>
    <row r="14052">
      <c r="A14052" s="163" t="s">
        <v>222</v>
      </c>
      <c r="B14052" s="163"/>
      <c r="C14052" s="163"/>
      <c r="J14052" s="165"/>
      <c r="K14052" s="166"/>
      <c r="L14052" s="166"/>
    </row>
    <row r="14053">
      <c r="A14053" s="163" t="s">
        <v>222</v>
      </c>
      <c r="B14053" s="163"/>
      <c r="C14053" s="163"/>
      <c r="J14053" s="165"/>
      <c r="K14053" s="166"/>
      <c r="L14053" s="166"/>
    </row>
    <row r="14054">
      <c r="A14054" s="163" t="s">
        <v>222</v>
      </c>
      <c r="B14054" s="163"/>
      <c r="C14054" s="163"/>
      <c r="J14054" s="165"/>
      <c r="K14054" s="166"/>
      <c r="L14054" s="166"/>
    </row>
    <row r="14055">
      <c r="A14055" s="163" t="s">
        <v>222</v>
      </c>
      <c r="B14055" s="163"/>
      <c r="C14055" s="163"/>
      <c r="J14055" s="165"/>
      <c r="K14055" s="166"/>
      <c r="L14055" s="166"/>
    </row>
    <row r="14056">
      <c r="A14056" s="163" t="s">
        <v>222</v>
      </c>
      <c r="B14056" s="163"/>
      <c r="C14056" s="163"/>
      <c r="J14056" s="165"/>
      <c r="K14056" s="166"/>
      <c r="L14056" s="166"/>
    </row>
    <row r="14057">
      <c r="A14057" s="163" t="s">
        <v>222</v>
      </c>
      <c r="B14057" s="163"/>
      <c r="C14057" s="163"/>
      <c r="J14057" s="165"/>
      <c r="K14057" s="166"/>
      <c r="L14057" s="166"/>
    </row>
    <row r="14058">
      <c r="A14058" s="163" t="s">
        <v>222</v>
      </c>
      <c r="B14058" s="163"/>
      <c r="C14058" s="163"/>
      <c r="J14058" s="165"/>
      <c r="K14058" s="166"/>
      <c r="L14058" s="166"/>
    </row>
    <row r="14059">
      <c r="A14059" s="163" t="s">
        <v>222</v>
      </c>
      <c r="B14059" s="163"/>
      <c r="C14059" s="163"/>
      <c r="J14059" s="165"/>
      <c r="K14059" s="166"/>
      <c r="L14059" s="166"/>
    </row>
    <row r="14060">
      <c r="A14060" s="163" t="s">
        <v>222</v>
      </c>
      <c r="B14060" s="163"/>
      <c r="C14060" s="163"/>
      <c r="J14060" s="165"/>
      <c r="K14060" s="166"/>
      <c r="L14060" s="166"/>
    </row>
    <row r="14061">
      <c r="A14061" s="163" t="s">
        <v>222</v>
      </c>
      <c r="B14061" s="163"/>
      <c r="C14061" s="163"/>
      <c r="J14061" s="165"/>
      <c r="K14061" s="166"/>
      <c r="L14061" s="166"/>
    </row>
    <row r="14062">
      <c r="A14062" s="163" t="s">
        <v>222</v>
      </c>
      <c r="B14062" s="163"/>
      <c r="C14062" s="163"/>
      <c r="J14062" s="165"/>
      <c r="K14062" s="166"/>
      <c r="L14062" s="166"/>
    </row>
    <row r="14063">
      <c r="A14063" s="163" t="s">
        <v>222</v>
      </c>
      <c r="B14063" s="163"/>
      <c r="C14063" s="163"/>
      <c r="J14063" s="165"/>
      <c r="K14063" s="166"/>
      <c r="L14063" s="166"/>
    </row>
    <row r="14064">
      <c r="A14064" s="163" t="s">
        <v>222</v>
      </c>
      <c r="B14064" s="163"/>
      <c r="C14064" s="163"/>
      <c r="J14064" s="165"/>
      <c r="K14064" s="166"/>
      <c r="L14064" s="166"/>
    </row>
    <row r="14065">
      <c r="A14065" s="163" t="s">
        <v>222</v>
      </c>
      <c r="B14065" s="163"/>
      <c r="C14065" s="163"/>
      <c r="J14065" s="165"/>
      <c r="K14065" s="166"/>
      <c r="L14065" s="166"/>
    </row>
    <row r="14066">
      <c r="A14066" s="163" t="s">
        <v>222</v>
      </c>
      <c r="B14066" s="163"/>
      <c r="C14066" s="163"/>
      <c r="J14066" s="165"/>
      <c r="K14066" s="166"/>
      <c r="L14066" s="166"/>
    </row>
    <row r="14067">
      <c r="A14067" s="163" t="s">
        <v>222</v>
      </c>
      <c r="B14067" s="163"/>
      <c r="C14067" s="163"/>
      <c r="J14067" s="165"/>
      <c r="K14067" s="166"/>
      <c r="L14067" s="166"/>
    </row>
    <row r="14068">
      <c r="A14068" s="163" t="s">
        <v>222</v>
      </c>
      <c r="B14068" s="163"/>
      <c r="C14068" s="163"/>
      <c r="J14068" s="165"/>
      <c r="K14068" s="166"/>
      <c r="L14068" s="166"/>
    </row>
    <row r="14069">
      <c r="A14069" s="163" t="s">
        <v>222</v>
      </c>
      <c r="B14069" s="163"/>
      <c r="C14069" s="163"/>
      <c r="J14069" s="165"/>
      <c r="K14069" s="166"/>
      <c r="L14069" s="166"/>
    </row>
    <row r="14070">
      <c r="A14070" s="163" t="s">
        <v>222</v>
      </c>
      <c r="B14070" s="163"/>
      <c r="C14070" s="163"/>
      <c r="J14070" s="165"/>
      <c r="K14070" s="166"/>
      <c r="L14070" s="166"/>
    </row>
    <row r="14071">
      <c r="A14071" s="163" t="s">
        <v>222</v>
      </c>
      <c r="B14071" s="163"/>
      <c r="C14071" s="163"/>
      <c r="J14071" s="165"/>
      <c r="K14071" s="166"/>
      <c r="L14071" s="166"/>
    </row>
    <row r="14072">
      <c r="A14072" s="163" t="s">
        <v>222</v>
      </c>
      <c r="B14072" s="163"/>
      <c r="C14072" s="163"/>
      <c r="J14072" s="165"/>
      <c r="K14072" s="166"/>
      <c r="L14072" s="166"/>
    </row>
    <row r="14073">
      <c r="A14073" s="163" t="s">
        <v>222</v>
      </c>
      <c r="B14073" s="163"/>
      <c r="C14073" s="163"/>
      <c r="J14073" s="165"/>
      <c r="K14073" s="166"/>
      <c r="L14073" s="166"/>
    </row>
    <row r="14074">
      <c r="A14074" s="163" t="s">
        <v>222</v>
      </c>
      <c r="B14074" s="163"/>
      <c r="C14074" s="163"/>
      <c r="J14074" s="165"/>
      <c r="K14074" s="166"/>
      <c r="L14074" s="166"/>
    </row>
    <row r="14075">
      <c r="A14075" s="163" t="s">
        <v>222</v>
      </c>
      <c r="B14075" s="163"/>
      <c r="C14075" s="163"/>
      <c r="J14075" s="165"/>
      <c r="K14075" s="166"/>
      <c r="L14075" s="166"/>
    </row>
    <row r="14076">
      <c r="A14076" s="163" t="s">
        <v>222</v>
      </c>
      <c r="B14076" s="163"/>
      <c r="C14076" s="163"/>
      <c r="J14076" s="165"/>
      <c r="K14076" s="166"/>
      <c r="L14076" s="166"/>
    </row>
    <row r="14077">
      <c r="A14077" s="163" t="s">
        <v>222</v>
      </c>
      <c r="B14077" s="163"/>
      <c r="C14077" s="163"/>
      <c r="J14077" s="165"/>
      <c r="K14077" s="166"/>
      <c r="L14077" s="166"/>
    </row>
    <row r="14078">
      <c r="A14078" s="163" t="s">
        <v>222</v>
      </c>
      <c r="B14078" s="163"/>
      <c r="C14078" s="163"/>
      <c r="J14078" s="165"/>
      <c r="K14078" s="166"/>
      <c r="L14078" s="166"/>
    </row>
    <row r="14079">
      <c r="A14079" s="163" t="s">
        <v>222</v>
      </c>
      <c r="B14079" s="163"/>
      <c r="C14079" s="163"/>
      <c r="J14079" s="165"/>
      <c r="K14079" s="166"/>
      <c r="L14079" s="166"/>
    </row>
    <row r="14080">
      <c r="A14080" s="163" t="s">
        <v>222</v>
      </c>
      <c r="B14080" s="163"/>
      <c r="C14080" s="163"/>
      <c r="J14080" s="165"/>
      <c r="K14080" s="166"/>
      <c r="L14080" s="166"/>
    </row>
    <row r="14081">
      <c r="A14081" s="163" t="s">
        <v>222</v>
      </c>
      <c r="B14081" s="163"/>
      <c r="C14081" s="163"/>
      <c r="J14081" s="165"/>
      <c r="K14081" s="166"/>
      <c r="L14081" s="166"/>
    </row>
    <row r="14082">
      <c r="A14082" s="163" t="s">
        <v>222</v>
      </c>
      <c r="B14082" s="163"/>
      <c r="C14082" s="163"/>
      <c r="J14082" s="165"/>
      <c r="K14082" s="166"/>
      <c r="L14082" s="166"/>
    </row>
    <row r="14083">
      <c r="A14083" s="163" t="s">
        <v>222</v>
      </c>
      <c r="B14083" s="163"/>
      <c r="C14083" s="163"/>
      <c r="J14083" s="165"/>
      <c r="K14083" s="166"/>
      <c r="L14083" s="166"/>
    </row>
    <row r="14084">
      <c r="A14084" s="163" t="s">
        <v>222</v>
      </c>
      <c r="B14084" s="163"/>
      <c r="C14084" s="163"/>
      <c r="J14084" s="165"/>
      <c r="K14084" s="166"/>
      <c r="L14084" s="166"/>
    </row>
    <row r="14085">
      <c r="A14085" s="163" t="s">
        <v>222</v>
      </c>
      <c r="B14085" s="163"/>
      <c r="C14085" s="163"/>
      <c r="J14085" s="165"/>
      <c r="K14085" s="166"/>
      <c r="L14085" s="166"/>
    </row>
    <row r="14086">
      <c r="A14086" s="163" t="s">
        <v>222</v>
      </c>
      <c r="B14086" s="163"/>
      <c r="C14086" s="163"/>
      <c r="J14086" s="165"/>
      <c r="K14086" s="166"/>
      <c r="L14086" s="166"/>
    </row>
    <row r="14087">
      <c r="A14087" s="163" t="s">
        <v>222</v>
      </c>
      <c r="B14087" s="163"/>
      <c r="C14087" s="163"/>
      <c r="J14087" s="165"/>
      <c r="K14087" s="166"/>
      <c r="L14087" s="166"/>
    </row>
    <row r="14088">
      <c r="A14088" s="163" t="s">
        <v>222</v>
      </c>
      <c r="B14088" s="163"/>
      <c r="C14088" s="163"/>
      <c r="J14088" s="165"/>
      <c r="K14088" s="166"/>
      <c r="L14088" s="166"/>
    </row>
    <row r="14089">
      <c r="A14089" s="163" t="s">
        <v>222</v>
      </c>
      <c r="B14089" s="163"/>
      <c r="C14089" s="163"/>
      <c r="J14089" s="165"/>
      <c r="K14089" s="166"/>
      <c r="L14089" s="166"/>
    </row>
    <row r="14090">
      <c r="A14090" s="163" t="s">
        <v>222</v>
      </c>
      <c r="B14090" s="163"/>
      <c r="C14090" s="163"/>
      <c r="J14090" s="165"/>
      <c r="K14090" s="166"/>
      <c r="L14090" s="166"/>
    </row>
    <row r="14091">
      <c r="A14091" s="163" t="s">
        <v>222</v>
      </c>
      <c r="B14091" s="163"/>
      <c r="C14091" s="163"/>
      <c r="J14091" s="165"/>
      <c r="K14091" s="166"/>
      <c r="L14091" s="166"/>
    </row>
    <row r="14092">
      <c r="A14092" s="163" t="s">
        <v>222</v>
      </c>
      <c r="B14092" s="163"/>
      <c r="C14092" s="163"/>
      <c r="J14092" s="165"/>
      <c r="K14092" s="166"/>
      <c r="L14092" s="166"/>
    </row>
    <row r="14093">
      <c r="A14093" s="163" t="s">
        <v>222</v>
      </c>
      <c r="B14093" s="163"/>
      <c r="C14093" s="163"/>
      <c r="J14093" s="165"/>
      <c r="K14093" s="166"/>
      <c r="L14093" s="166"/>
    </row>
    <row r="14094">
      <c r="A14094" s="163" t="s">
        <v>222</v>
      </c>
      <c r="B14094" s="163"/>
      <c r="C14094" s="163"/>
      <c r="J14094" s="165"/>
      <c r="K14094" s="166"/>
      <c r="L14094" s="166"/>
    </row>
    <row r="14095">
      <c r="A14095" s="163" t="s">
        <v>222</v>
      </c>
      <c r="B14095" s="163"/>
      <c r="C14095" s="163"/>
      <c r="J14095" s="165"/>
      <c r="K14095" s="166"/>
      <c r="L14095" s="166"/>
    </row>
    <row r="14096">
      <c r="A14096" s="163" t="s">
        <v>222</v>
      </c>
      <c r="B14096" s="163"/>
      <c r="C14096" s="163"/>
      <c r="J14096" s="165"/>
      <c r="K14096" s="166"/>
      <c r="L14096" s="166"/>
    </row>
    <row r="14097">
      <c r="A14097" s="163" t="s">
        <v>222</v>
      </c>
      <c r="B14097" s="163"/>
      <c r="C14097" s="163"/>
      <c r="J14097" s="165"/>
      <c r="K14097" s="166"/>
      <c r="L14097" s="166"/>
    </row>
    <row r="14098">
      <c r="A14098" s="163" t="s">
        <v>222</v>
      </c>
      <c r="B14098" s="163"/>
      <c r="C14098" s="163"/>
      <c r="J14098" s="165"/>
      <c r="K14098" s="166"/>
      <c r="L14098" s="166"/>
    </row>
    <row r="14099">
      <c r="A14099" s="163" t="s">
        <v>222</v>
      </c>
      <c r="B14099" s="163"/>
      <c r="C14099" s="163"/>
      <c r="J14099" s="165"/>
      <c r="K14099" s="166"/>
      <c r="L14099" s="166"/>
    </row>
    <row r="14100">
      <c r="A14100" s="163" t="s">
        <v>222</v>
      </c>
      <c r="B14100" s="163"/>
      <c r="C14100" s="163"/>
      <c r="J14100" s="165"/>
      <c r="K14100" s="166"/>
      <c r="L14100" s="166"/>
    </row>
    <row r="14101">
      <c r="A14101" s="163" t="s">
        <v>222</v>
      </c>
      <c r="B14101" s="163"/>
      <c r="C14101" s="163"/>
      <c r="J14101" s="165"/>
      <c r="K14101" s="166"/>
      <c r="L14101" s="166"/>
    </row>
    <row r="14102">
      <c r="A14102" s="163" t="s">
        <v>222</v>
      </c>
      <c r="B14102" s="163"/>
      <c r="C14102" s="163"/>
      <c r="J14102" s="165"/>
      <c r="K14102" s="166"/>
      <c r="L14102" s="166"/>
    </row>
    <row r="14103">
      <c r="A14103" s="163" t="s">
        <v>222</v>
      </c>
      <c r="B14103" s="163"/>
      <c r="C14103" s="163"/>
      <c r="J14103" s="165"/>
      <c r="K14103" s="166"/>
      <c r="L14103" s="166"/>
    </row>
    <row r="14104">
      <c r="A14104" s="163" t="s">
        <v>222</v>
      </c>
      <c r="B14104" s="163"/>
      <c r="C14104" s="163"/>
      <c r="J14104" s="165"/>
      <c r="K14104" s="166"/>
      <c r="L14104" s="166"/>
    </row>
    <row r="14105">
      <c r="A14105" s="163" t="s">
        <v>222</v>
      </c>
      <c r="B14105" s="163"/>
      <c r="C14105" s="163"/>
      <c r="J14105" s="165"/>
      <c r="K14105" s="166"/>
      <c r="L14105" s="166"/>
    </row>
    <row r="14106">
      <c r="A14106" s="163" t="s">
        <v>222</v>
      </c>
      <c r="B14106" s="163"/>
      <c r="C14106" s="163"/>
      <c r="J14106" s="165"/>
      <c r="K14106" s="166"/>
      <c r="L14106" s="166"/>
    </row>
    <row r="14107">
      <c r="A14107" s="163" t="s">
        <v>222</v>
      </c>
      <c r="B14107" s="163"/>
      <c r="C14107" s="163"/>
      <c r="J14107" s="165"/>
      <c r="K14107" s="166"/>
      <c r="L14107" s="166"/>
    </row>
    <row r="14108">
      <c r="A14108" s="163" t="s">
        <v>222</v>
      </c>
      <c r="B14108" s="163"/>
      <c r="C14108" s="163"/>
      <c r="J14108" s="165"/>
      <c r="K14108" s="166"/>
      <c r="L14108" s="166"/>
    </row>
    <row r="14109">
      <c r="A14109" s="163" t="s">
        <v>222</v>
      </c>
      <c r="B14109" s="163"/>
      <c r="C14109" s="163"/>
      <c r="J14109" s="165"/>
      <c r="K14109" s="166"/>
      <c r="L14109" s="166"/>
    </row>
    <row r="14110">
      <c r="A14110" s="163" t="s">
        <v>222</v>
      </c>
      <c r="B14110" s="163"/>
      <c r="C14110" s="163"/>
      <c r="J14110" s="165"/>
      <c r="K14110" s="166"/>
      <c r="L14110" s="166"/>
    </row>
    <row r="14111">
      <c r="A14111" s="163" t="s">
        <v>222</v>
      </c>
      <c r="B14111" s="163"/>
      <c r="C14111" s="163"/>
      <c r="J14111" s="165"/>
      <c r="K14111" s="166"/>
      <c r="L14111" s="166"/>
    </row>
    <row r="14112">
      <c r="A14112" s="163" t="s">
        <v>222</v>
      </c>
      <c r="B14112" s="163"/>
      <c r="C14112" s="163"/>
      <c r="J14112" s="165"/>
      <c r="K14112" s="166"/>
      <c r="L14112" s="166"/>
    </row>
    <row r="14113">
      <c r="A14113" s="163" t="s">
        <v>222</v>
      </c>
      <c r="B14113" s="163"/>
      <c r="C14113" s="163"/>
      <c r="J14113" s="165"/>
      <c r="K14113" s="166"/>
      <c r="L14113" s="166"/>
    </row>
    <row r="14114">
      <c r="A14114" s="163" t="s">
        <v>222</v>
      </c>
      <c r="B14114" s="163"/>
      <c r="C14114" s="163"/>
      <c r="J14114" s="165"/>
      <c r="K14114" s="166"/>
      <c r="L14114" s="166"/>
    </row>
    <row r="14115">
      <c r="A14115" s="163" t="s">
        <v>222</v>
      </c>
      <c r="B14115" s="163"/>
      <c r="C14115" s="163"/>
      <c r="J14115" s="165"/>
      <c r="K14115" s="166"/>
      <c r="L14115" s="166"/>
    </row>
    <row r="14116">
      <c r="A14116" s="163" t="s">
        <v>222</v>
      </c>
      <c r="B14116" s="163"/>
      <c r="C14116" s="163"/>
      <c r="J14116" s="165"/>
      <c r="K14116" s="166"/>
      <c r="L14116" s="166"/>
    </row>
    <row r="14117">
      <c r="A14117" s="163" t="s">
        <v>222</v>
      </c>
      <c r="B14117" s="163"/>
      <c r="C14117" s="163"/>
      <c r="J14117" s="165"/>
      <c r="K14117" s="166"/>
      <c r="L14117" s="166"/>
    </row>
    <row r="14118">
      <c r="A14118" s="163" t="s">
        <v>222</v>
      </c>
      <c r="B14118" s="163"/>
      <c r="C14118" s="163"/>
      <c r="J14118" s="165"/>
      <c r="K14118" s="166"/>
      <c r="L14118" s="166"/>
    </row>
    <row r="14119">
      <c r="A14119" s="163" t="s">
        <v>222</v>
      </c>
      <c r="B14119" s="163"/>
      <c r="C14119" s="163"/>
      <c r="J14119" s="165"/>
      <c r="K14119" s="166"/>
      <c r="L14119" s="166"/>
    </row>
    <row r="14120">
      <c r="A14120" s="163" t="s">
        <v>222</v>
      </c>
      <c r="B14120" s="163"/>
      <c r="C14120" s="163"/>
      <c r="J14120" s="165"/>
      <c r="K14120" s="166"/>
      <c r="L14120" s="166"/>
    </row>
    <row r="14121">
      <c r="A14121" s="163" t="s">
        <v>222</v>
      </c>
      <c r="B14121" s="163"/>
      <c r="C14121" s="163"/>
      <c r="J14121" s="165"/>
      <c r="K14121" s="166"/>
      <c r="L14121" s="166"/>
    </row>
    <row r="14122">
      <c r="A14122" s="163" t="s">
        <v>222</v>
      </c>
      <c r="B14122" s="163"/>
      <c r="C14122" s="163"/>
      <c r="J14122" s="165"/>
      <c r="K14122" s="166"/>
      <c r="L14122" s="166"/>
    </row>
    <row r="14123">
      <c r="A14123" s="163" t="s">
        <v>222</v>
      </c>
      <c r="B14123" s="163"/>
      <c r="C14123" s="163"/>
      <c r="J14123" s="165"/>
      <c r="K14123" s="166"/>
      <c r="L14123" s="166"/>
    </row>
    <row r="14124">
      <c r="A14124" s="163" t="s">
        <v>222</v>
      </c>
      <c r="B14124" s="163"/>
      <c r="C14124" s="163"/>
      <c r="J14124" s="165"/>
      <c r="K14124" s="166"/>
      <c r="L14124" s="166"/>
    </row>
    <row r="14125">
      <c r="A14125" s="163" t="s">
        <v>222</v>
      </c>
      <c r="B14125" s="163"/>
      <c r="C14125" s="163"/>
      <c r="J14125" s="165"/>
      <c r="K14125" s="166"/>
      <c r="L14125" s="166"/>
    </row>
    <row r="14126">
      <c r="A14126" s="163" t="s">
        <v>222</v>
      </c>
      <c r="B14126" s="163"/>
      <c r="C14126" s="163"/>
      <c r="J14126" s="165"/>
      <c r="K14126" s="166"/>
      <c r="L14126" s="166"/>
    </row>
    <row r="14127">
      <c r="A14127" s="163" t="s">
        <v>222</v>
      </c>
      <c r="B14127" s="163"/>
      <c r="C14127" s="163"/>
      <c r="J14127" s="165"/>
      <c r="K14127" s="166"/>
      <c r="L14127" s="166"/>
    </row>
    <row r="14128">
      <c r="A14128" s="163" t="s">
        <v>222</v>
      </c>
      <c r="B14128" s="163"/>
      <c r="C14128" s="163"/>
      <c r="J14128" s="165"/>
      <c r="K14128" s="166"/>
      <c r="L14128" s="166"/>
    </row>
    <row r="14129">
      <c r="A14129" s="163" t="s">
        <v>222</v>
      </c>
      <c r="B14129" s="163"/>
      <c r="C14129" s="163"/>
      <c r="J14129" s="165"/>
      <c r="K14129" s="166"/>
      <c r="L14129" s="166"/>
    </row>
    <row r="14130">
      <c r="A14130" s="163" t="s">
        <v>222</v>
      </c>
      <c r="B14130" s="163"/>
      <c r="C14130" s="163"/>
      <c r="J14130" s="165"/>
      <c r="K14130" s="166"/>
      <c r="L14130" s="166"/>
    </row>
    <row r="14131">
      <c r="A14131" s="163" t="s">
        <v>222</v>
      </c>
      <c r="B14131" s="163"/>
      <c r="C14131" s="163"/>
      <c r="J14131" s="165"/>
      <c r="K14131" s="166"/>
      <c r="L14131" s="166"/>
    </row>
    <row r="14132">
      <c r="A14132" s="163" t="s">
        <v>222</v>
      </c>
      <c r="B14132" s="163"/>
      <c r="C14132" s="163"/>
      <c r="J14132" s="165"/>
      <c r="K14132" s="166"/>
      <c r="L14132" s="166"/>
    </row>
    <row r="14133">
      <c r="A14133" s="163" t="s">
        <v>222</v>
      </c>
      <c r="B14133" s="163"/>
      <c r="C14133" s="163"/>
      <c r="J14133" s="165"/>
      <c r="K14133" s="166"/>
      <c r="L14133" s="166"/>
    </row>
    <row r="14134">
      <c r="A14134" s="163" t="s">
        <v>222</v>
      </c>
      <c r="B14134" s="163"/>
      <c r="C14134" s="163"/>
      <c r="J14134" s="165"/>
      <c r="K14134" s="166"/>
      <c r="L14134" s="166"/>
    </row>
    <row r="14135">
      <c r="A14135" s="163" t="s">
        <v>222</v>
      </c>
      <c r="B14135" s="163"/>
      <c r="C14135" s="163"/>
      <c r="J14135" s="165"/>
      <c r="K14135" s="166"/>
      <c r="L14135" s="166"/>
    </row>
    <row r="14136">
      <c r="A14136" s="163" t="s">
        <v>222</v>
      </c>
      <c r="B14136" s="163"/>
      <c r="C14136" s="163"/>
      <c r="J14136" s="165"/>
      <c r="K14136" s="166"/>
      <c r="L14136" s="166"/>
    </row>
    <row r="14137">
      <c r="A14137" s="163" t="s">
        <v>222</v>
      </c>
      <c r="B14137" s="163"/>
      <c r="C14137" s="163"/>
      <c r="J14137" s="165"/>
      <c r="K14137" s="166"/>
      <c r="L14137" s="166"/>
    </row>
    <row r="14138">
      <c r="A14138" s="163" t="s">
        <v>222</v>
      </c>
      <c r="B14138" s="163"/>
      <c r="C14138" s="163"/>
      <c r="J14138" s="165"/>
      <c r="K14138" s="166"/>
      <c r="L14138" s="166"/>
    </row>
    <row r="14139">
      <c r="A14139" s="163" t="s">
        <v>222</v>
      </c>
      <c r="B14139" s="163"/>
      <c r="C14139" s="163"/>
      <c r="J14139" s="165"/>
      <c r="K14139" s="166"/>
      <c r="L14139" s="166"/>
    </row>
    <row r="14140">
      <c r="A14140" s="163" t="s">
        <v>222</v>
      </c>
      <c r="B14140" s="163"/>
      <c r="C14140" s="163"/>
      <c r="J14140" s="165"/>
      <c r="K14140" s="166"/>
      <c r="L14140" s="166"/>
    </row>
    <row r="14141">
      <c r="A14141" s="163" t="s">
        <v>222</v>
      </c>
      <c r="B14141" s="163"/>
      <c r="C14141" s="163"/>
      <c r="J14141" s="165"/>
      <c r="K14141" s="166"/>
      <c r="L14141" s="166"/>
    </row>
    <row r="14142">
      <c r="A14142" s="163" t="s">
        <v>222</v>
      </c>
      <c r="B14142" s="163"/>
      <c r="C14142" s="163"/>
      <c r="J14142" s="165"/>
      <c r="K14142" s="166"/>
      <c r="L14142" s="166"/>
    </row>
    <row r="14143">
      <c r="A14143" s="163" t="s">
        <v>222</v>
      </c>
      <c r="B14143" s="163"/>
      <c r="C14143" s="163"/>
      <c r="J14143" s="165"/>
      <c r="K14143" s="166"/>
      <c r="L14143" s="166"/>
    </row>
    <row r="14144">
      <c r="A14144" s="163" t="s">
        <v>222</v>
      </c>
      <c r="B14144" s="163"/>
      <c r="C14144" s="163"/>
      <c r="J14144" s="165"/>
      <c r="K14144" s="166"/>
      <c r="L14144" s="166"/>
    </row>
    <row r="14145">
      <c r="A14145" s="163" t="s">
        <v>222</v>
      </c>
      <c r="B14145" s="163"/>
      <c r="C14145" s="163"/>
      <c r="J14145" s="165"/>
      <c r="K14145" s="166"/>
      <c r="L14145" s="166"/>
    </row>
    <row r="14146">
      <c r="A14146" s="163" t="s">
        <v>222</v>
      </c>
      <c r="B14146" s="163"/>
      <c r="C14146" s="163"/>
      <c r="J14146" s="165"/>
      <c r="K14146" s="166"/>
      <c r="L14146" s="166"/>
    </row>
    <row r="14147">
      <c r="A14147" s="163" t="s">
        <v>222</v>
      </c>
      <c r="B14147" s="163"/>
      <c r="C14147" s="163"/>
      <c r="J14147" s="165"/>
      <c r="K14147" s="166"/>
      <c r="L14147" s="166"/>
    </row>
    <row r="14148">
      <c r="A14148" s="163" t="s">
        <v>222</v>
      </c>
      <c r="B14148" s="163"/>
      <c r="C14148" s="163"/>
      <c r="J14148" s="165"/>
      <c r="K14148" s="166"/>
      <c r="L14148" s="166"/>
    </row>
    <row r="14149">
      <c r="A14149" s="163" t="s">
        <v>222</v>
      </c>
      <c r="B14149" s="163"/>
      <c r="C14149" s="163"/>
      <c r="J14149" s="165"/>
      <c r="K14149" s="166"/>
      <c r="L14149" s="166"/>
    </row>
    <row r="14150">
      <c r="A14150" s="163" t="s">
        <v>222</v>
      </c>
      <c r="B14150" s="163"/>
      <c r="C14150" s="163"/>
      <c r="J14150" s="165"/>
      <c r="K14150" s="166"/>
      <c r="L14150" s="166"/>
    </row>
    <row r="14151">
      <c r="A14151" s="163" t="s">
        <v>222</v>
      </c>
      <c r="B14151" s="163"/>
      <c r="C14151" s="163"/>
      <c r="J14151" s="165"/>
      <c r="K14151" s="166"/>
      <c r="L14151" s="166"/>
    </row>
    <row r="14152">
      <c r="A14152" s="163" t="s">
        <v>222</v>
      </c>
      <c r="B14152" s="163"/>
      <c r="C14152" s="163"/>
      <c r="J14152" s="165"/>
      <c r="K14152" s="166"/>
      <c r="L14152" s="166"/>
    </row>
    <row r="14153">
      <c r="A14153" s="163" t="s">
        <v>222</v>
      </c>
      <c r="B14153" s="163"/>
      <c r="C14153" s="163"/>
      <c r="J14153" s="165"/>
      <c r="K14153" s="166"/>
      <c r="L14153" s="166"/>
    </row>
    <row r="14154">
      <c r="A14154" s="163" t="s">
        <v>222</v>
      </c>
      <c r="B14154" s="163"/>
      <c r="C14154" s="163"/>
      <c r="J14154" s="165"/>
      <c r="K14154" s="166"/>
      <c r="L14154" s="166"/>
    </row>
    <row r="14155">
      <c r="A14155" s="163" t="s">
        <v>222</v>
      </c>
      <c r="B14155" s="163"/>
      <c r="C14155" s="163"/>
      <c r="J14155" s="165"/>
      <c r="K14155" s="166"/>
      <c r="L14155" s="166"/>
    </row>
    <row r="14156">
      <c r="A14156" s="163" t="s">
        <v>222</v>
      </c>
      <c r="B14156" s="163"/>
      <c r="C14156" s="163"/>
      <c r="J14156" s="165"/>
      <c r="K14156" s="166"/>
      <c r="L14156" s="166"/>
    </row>
    <row r="14157">
      <c r="A14157" s="163" t="s">
        <v>222</v>
      </c>
      <c r="B14157" s="163"/>
      <c r="C14157" s="163"/>
      <c r="J14157" s="165"/>
      <c r="K14157" s="166"/>
      <c r="L14157" s="166"/>
    </row>
    <row r="14158">
      <c r="A14158" s="163" t="s">
        <v>222</v>
      </c>
      <c r="B14158" s="163"/>
      <c r="C14158" s="163"/>
      <c r="J14158" s="165"/>
      <c r="K14158" s="166"/>
      <c r="L14158" s="166"/>
    </row>
    <row r="14159">
      <c r="A14159" s="163" t="s">
        <v>222</v>
      </c>
      <c r="B14159" s="163"/>
      <c r="C14159" s="163"/>
      <c r="J14159" s="165"/>
      <c r="K14159" s="166"/>
      <c r="L14159" s="166"/>
    </row>
    <row r="14160">
      <c r="A14160" s="163" t="s">
        <v>222</v>
      </c>
      <c r="B14160" s="163"/>
      <c r="C14160" s="163"/>
      <c r="J14160" s="165"/>
      <c r="K14160" s="166"/>
      <c r="L14160" s="166"/>
    </row>
    <row r="14161">
      <c r="A14161" s="163" t="s">
        <v>222</v>
      </c>
      <c r="B14161" s="163"/>
      <c r="C14161" s="163"/>
      <c r="J14161" s="165"/>
      <c r="K14161" s="166"/>
      <c r="L14161" s="166"/>
    </row>
    <row r="14162">
      <c r="A14162" s="163" t="s">
        <v>222</v>
      </c>
      <c r="B14162" s="163"/>
      <c r="C14162" s="163"/>
      <c r="J14162" s="165"/>
      <c r="K14162" s="166"/>
      <c r="L14162" s="166"/>
    </row>
    <row r="14163">
      <c r="A14163" s="163" t="s">
        <v>222</v>
      </c>
      <c r="B14163" s="163"/>
      <c r="C14163" s="163"/>
      <c r="J14163" s="165"/>
      <c r="K14163" s="166"/>
      <c r="L14163" s="166"/>
    </row>
    <row r="14164">
      <c r="A14164" s="163" t="s">
        <v>222</v>
      </c>
      <c r="B14164" s="163"/>
      <c r="C14164" s="163"/>
      <c r="J14164" s="165"/>
      <c r="K14164" s="166"/>
      <c r="L14164" s="166"/>
    </row>
    <row r="14165">
      <c r="A14165" s="163" t="s">
        <v>222</v>
      </c>
      <c r="B14165" s="163"/>
      <c r="C14165" s="163"/>
      <c r="J14165" s="165"/>
      <c r="K14165" s="166"/>
      <c r="L14165" s="166"/>
    </row>
    <row r="14166">
      <c r="A14166" s="163" t="s">
        <v>222</v>
      </c>
      <c r="B14166" s="163"/>
      <c r="C14166" s="163"/>
      <c r="J14166" s="165"/>
      <c r="K14166" s="166"/>
      <c r="L14166" s="166"/>
    </row>
    <row r="14167">
      <c r="A14167" s="163" t="s">
        <v>222</v>
      </c>
      <c r="B14167" s="163"/>
      <c r="C14167" s="163"/>
      <c r="J14167" s="165"/>
      <c r="K14167" s="166"/>
      <c r="L14167" s="166"/>
    </row>
    <row r="14168">
      <c r="A14168" s="163" t="s">
        <v>222</v>
      </c>
      <c r="B14168" s="163"/>
      <c r="C14168" s="163"/>
      <c r="J14168" s="165"/>
      <c r="K14168" s="166"/>
      <c r="L14168" s="166"/>
    </row>
    <row r="14169">
      <c r="A14169" s="163" t="s">
        <v>222</v>
      </c>
      <c r="B14169" s="163"/>
      <c r="C14169" s="163"/>
      <c r="J14169" s="165"/>
      <c r="K14169" s="166"/>
      <c r="L14169" s="166"/>
    </row>
    <row r="14170">
      <c r="A14170" s="163" t="s">
        <v>222</v>
      </c>
      <c r="B14170" s="163"/>
      <c r="C14170" s="163"/>
      <c r="J14170" s="165"/>
      <c r="K14170" s="166"/>
      <c r="L14170" s="166"/>
    </row>
    <row r="14171">
      <c r="A14171" s="163" t="s">
        <v>222</v>
      </c>
      <c r="B14171" s="163"/>
      <c r="C14171" s="163"/>
      <c r="J14171" s="165"/>
      <c r="K14171" s="166"/>
      <c r="L14171" s="166"/>
    </row>
    <row r="14172">
      <c r="A14172" s="163" t="s">
        <v>222</v>
      </c>
      <c r="B14172" s="163"/>
      <c r="C14172" s="163"/>
      <c r="J14172" s="165"/>
      <c r="K14172" s="166"/>
      <c r="L14172" s="166"/>
    </row>
    <row r="14173">
      <c r="A14173" s="163" t="s">
        <v>222</v>
      </c>
      <c r="B14173" s="163"/>
      <c r="C14173" s="163"/>
      <c r="J14173" s="165"/>
      <c r="K14173" s="166"/>
      <c r="L14173" s="166"/>
    </row>
    <row r="14174">
      <c r="A14174" s="163" t="s">
        <v>222</v>
      </c>
      <c r="B14174" s="163"/>
      <c r="C14174" s="163"/>
      <c r="J14174" s="165"/>
      <c r="K14174" s="166"/>
      <c r="L14174" s="166"/>
    </row>
    <row r="14175">
      <c r="A14175" s="163" t="s">
        <v>222</v>
      </c>
      <c r="B14175" s="163"/>
      <c r="C14175" s="163"/>
      <c r="J14175" s="165"/>
      <c r="K14175" s="166"/>
      <c r="L14175" s="166"/>
    </row>
    <row r="14176">
      <c r="A14176" s="163" t="s">
        <v>222</v>
      </c>
      <c r="B14176" s="163"/>
      <c r="C14176" s="163"/>
      <c r="J14176" s="165"/>
      <c r="K14176" s="166"/>
      <c r="L14176" s="166"/>
    </row>
    <row r="14177">
      <c r="A14177" s="163" t="s">
        <v>222</v>
      </c>
      <c r="B14177" s="163"/>
      <c r="C14177" s="163"/>
      <c r="J14177" s="165"/>
      <c r="K14177" s="166"/>
      <c r="L14177" s="166"/>
    </row>
    <row r="14178">
      <c r="A14178" s="163" t="s">
        <v>222</v>
      </c>
      <c r="B14178" s="163"/>
      <c r="C14178" s="163"/>
      <c r="J14178" s="165"/>
      <c r="K14178" s="166"/>
      <c r="L14178" s="166"/>
    </row>
    <row r="14179">
      <c r="A14179" s="163" t="s">
        <v>222</v>
      </c>
      <c r="B14179" s="163"/>
      <c r="C14179" s="163"/>
      <c r="J14179" s="165"/>
      <c r="K14179" s="166"/>
      <c r="L14179" s="166"/>
    </row>
    <row r="14180">
      <c r="A14180" s="163" t="s">
        <v>222</v>
      </c>
      <c r="B14180" s="163"/>
      <c r="C14180" s="163"/>
      <c r="J14180" s="165"/>
      <c r="K14180" s="166"/>
      <c r="L14180" s="166"/>
    </row>
    <row r="14181">
      <c r="A14181" s="163" t="s">
        <v>222</v>
      </c>
      <c r="B14181" s="163"/>
      <c r="C14181" s="163"/>
      <c r="J14181" s="165"/>
      <c r="K14181" s="166"/>
      <c r="L14181" s="166"/>
    </row>
    <row r="14182">
      <c r="A14182" s="163" t="s">
        <v>222</v>
      </c>
      <c r="B14182" s="163"/>
      <c r="C14182" s="163"/>
      <c r="J14182" s="165"/>
      <c r="K14182" s="166"/>
      <c r="L14182" s="166"/>
    </row>
    <row r="14183">
      <c r="A14183" s="163" t="s">
        <v>222</v>
      </c>
      <c r="B14183" s="163"/>
      <c r="C14183" s="163"/>
      <c r="J14183" s="165"/>
      <c r="K14183" s="166"/>
      <c r="L14183" s="166"/>
    </row>
    <row r="14184">
      <c r="A14184" s="163" t="s">
        <v>222</v>
      </c>
      <c r="B14184" s="163"/>
      <c r="C14184" s="163"/>
      <c r="J14184" s="165"/>
      <c r="K14184" s="166"/>
      <c r="L14184" s="166"/>
    </row>
    <row r="14185">
      <c r="A14185" s="163" t="s">
        <v>222</v>
      </c>
      <c r="B14185" s="163"/>
      <c r="C14185" s="163"/>
      <c r="J14185" s="165"/>
      <c r="K14185" s="166"/>
      <c r="L14185" s="166"/>
    </row>
    <row r="14186">
      <c r="A14186" s="163" t="s">
        <v>222</v>
      </c>
      <c r="B14186" s="163"/>
      <c r="C14186" s="163"/>
      <c r="J14186" s="165"/>
      <c r="K14186" s="166"/>
      <c r="L14186" s="166"/>
    </row>
    <row r="14187">
      <c r="A14187" s="163" t="s">
        <v>222</v>
      </c>
      <c r="B14187" s="163"/>
      <c r="C14187" s="163"/>
      <c r="J14187" s="165"/>
      <c r="K14187" s="166"/>
      <c r="L14187" s="166"/>
    </row>
    <row r="14188">
      <c r="A14188" s="163" t="s">
        <v>222</v>
      </c>
      <c r="B14188" s="163"/>
      <c r="C14188" s="163"/>
      <c r="J14188" s="165"/>
      <c r="K14188" s="166"/>
      <c r="L14188" s="166"/>
    </row>
    <row r="14189">
      <c r="A14189" s="163" t="s">
        <v>222</v>
      </c>
      <c r="B14189" s="163"/>
      <c r="C14189" s="163"/>
      <c r="J14189" s="165"/>
      <c r="K14189" s="166"/>
      <c r="L14189" s="166"/>
    </row>
    <row r="14190">
      <c r="A14190" s="163" t="s">
        <v>222</v>
      </c>
      <c r="B14190" s="163"/>
      <c r="C14190" s="163"/>
      <c r="J14190" s="165"/>
      <c r="K14190" s="166"/>
      <c r="L14190" s="166"/>
    </row>
    <row r="14191">
      <c r="A14191" s="163" t="s">
        <v>222</v>
      </c>
      <c r="B14191" s="163"/>
      <c r="C14191" s="163"/>
      <c r="J14191" s="165"/>
      <c r="K14191" s="166"/>
      <c r="L14191" s="166"/>
    </row>
    <row r="14192">
      <c r="A14192" s="163" t="s">
        <v>222</v>
      </c>
      <c r="B14192" s="163"/>
      <c r="C14192" s="163"/>
      <c r="J14192" s="165"/>
      <c r="K14192" s="166"/>
      <c r="L14192" s="166"/>
    </row>
    <row r="14193">
      <c r="A14193" s="163" t="s">
        <v>222</v>
      </c>
      <c r="B14193" s="163"/>
      <c r="C14193" s="163"/>
      <c r="J14193" s="165"/>
      <c r="K14193" s="166"/>
      <c r="L14193" s="166"/>
    </row>
    <row r="14194">
      <c r="A14194" s="163" t="s">
        <v>222</v>
      </c>
      <c r="B14194" s="163"/>
      <c r="C14194" s="163"/>
      <c r="J14194" s="165"/>
      <c r="K14194" s="166"/>
      <c r="L14194" s="166"/>
    </row>
    <row r="14195">
      <c r="A14195" s="163" t="s">
        <v>222</v>
      </c>
      <c r="B14195" s="163"/>
      <c r="C14195" s="163"/>
      <c r="J14195" s="165"/>
      <c r="K14195" s="166"/>
      <c r="L14195" s="166"/>
    </row>
    <row r="14196">
      <c r="A14196" s="163" t="s">
        <v>222</v>
      </c>
      <c r="B14196" s="163"/>
      <c r="C14196" s="163"/>
      <c r="J14196" s="165"/>
      <c r="K14196" s="166"/>
      <c r="L14196" s="166"/>
    </row>
    <row r="14197">
      <c r="A14197" s="163" t="s">
        <v>222</v>
      </c>
      <c r="B14197" s="163"/>
      <c r="C14197" s="163"/>
      <c r="J14197" s="165"/>
      <c r="K14197" s="166"/>
      <c r="L14197" s="166"/>
    </row>
    <row r="14198">
      <c r="A14198" s="163" t="s">
        <v>222</v>
      </c>
      <c r="B14198" s="163"/>
      <c r="C14198" s="163"/>
      <c r="J14198" s="165"/>
      <c r="K14198" s="166"/>
      <c r="L14198" s="166"/>
    </row>
    <row r="14199">
      <c r="A14199" s="163" t="s">
        <v>222</v>
      </c>
      <c r="B14199" s="163"/>
      <c r="C14199" s="163"/>
      <c r="J14199" s="165"/>
      <c r="K14199" s="166"/>
      <c r="L14199" s="166"/>
    </row>
    <row r="14200">
      <c r="A14200" s="163" t="s">
        <v>222</v>
      </c>
      <c r="B14200" s="163"/>
      <c r="C14200" s="163"/>
      <c r="J14200" s="165"/>
      <c r="K14200" s="166"/>
      <c r="L14200" s="166"/>
    </row>
    <row r="14201">
      <c r="A14201" s="163" t="s">
        <v>222</v>
      </c>
      <c r="B14201" s="163"/>
      <c r="C14201" s="163"/>
      <c r="J14201" s="165"/>
      <c r="K14201" s="166"/>
      <c r="L14201" s="166"/>
    </row>
    <row r="14202">
      <c r="A14202" s="163" t="s">
        <v>222</v>
      </c>
      <c r="B14202" s="163"/>
      <c r="C14202" s="163"/>
      <c r="J14202" s="165"/>
      <c r="K14202" s="166"/>
      <c r="L14202" s="166"/>
    </row>
    <row r="14203">
      <c r="A14203" s="163" t="s">
        <v>222</v>
      </c>
      <c r="B14203" s="163"/>
      <c r="C14203" s="163"/>
      <c r="J14203" s="165"/>
      <c r="K14203" s="166"/>
      <c r="L14203" s="166"/>
    </row>
    <row r="14204">
      <c r="A14204" s="163" t="s">
        <v>222</v>
      </c>
      <c r="B14204" s="163"/>
      <c r="C14204" s="163"/>
      <c r="J14204" s="165"/>
      <c r="K14204" s="166"/>
      <c r="L14204" s="166"/>
    </row>
    <row r="14205">
      <c r="A14205" s="163" t="s">
        <v>222</v>
      </c>
      <c r="B14205" s="163"/>
      <c r="C14205" s="163"/>
      <c r="J14205" s="165"/>
      <c r="K14205" s="166"/>
      <c r="L14205" s="166"/>
    </row>
    <row r="14206">
      <c r="A14206" s="163" t="s">
        <v>222</v>
      </c>
      <c r="B14206" s="163"/>
      <c r="C14206" s="163"/>
      <c r="J14206" s="165"/>
      <c r="K14206" s="166"/>
      <c r="L14206" s="166"/>
    </row>
    <row r="14207">
      <c r="A14207" s="163" t="s">
        <v>222</v>
      </c>
      <c r="B14207" s="163"/>
      <c r="C14207" s="163"/>
      <c r="J14207" s="165"/>
      <c r="K14207" s="166"/>
      <c r="L14207" s="166"/>
    </row>
    <row r="14208">
      <c r="A14208" s="163" t="s">
        <v>222</v>
      </c>
      <c r="B14208" s="163"/>
      <c r="C14208" s="163"/>
      <c r="J14208" s="165"/>
      <c r="K14208" s="166"/>
      <c r="L14208" s="166"/>
    </row>
    <row r="14209">
      <c r="A14209" s="163" t="s">
        <v>222</v>
      </c>
      <c r="B14209" s="163"/>
      <c r="C14209" s="163"/>
      <c r="J14209" s="165"/>
      <c r="K14209" s="166"/>
      <c r="L14209" s="166"/>
    </row>
    <row r="14210">
      <c r="A14210" s="163" t="s">
        <v>222</v>
      </c>
      <c r="B14210" s="163"/>
      <c r="C14210" s="163"/>
      <c r="J14210" s="165"/>
      <c r="K14210" s="166"/>
      <c r="L14210" s="166"/>
    </row>
    <row r="14211">
      <c r="A14211" s="163" t="s">
        <v>222</v>
      </c>
      <c r="B14211" s="163"/>
      <c r="C14211" s="163"/>
      <c r="J14211" s="165"/>
      <c r="K14211" s="166"/>
      <c r="L14211" s="166"/>
    </row>
    <row r="14212">
      <c r="A14212" s="163" t="s">
        <v>222</v>
      </c>
      <c r="B14212" s="163"/>
      <c r="C14212" s="163"/>
      <c r="J14212" s="165"/>
      <c r="K14212" s="166"/>
      <c r="L14212" s="166"/>
    </row>
    <row r="14213">
      <c r="A14213" s="163" t="s">
        <v>222</v>
      </c>
      <c r="B14213" s="163"/>
      <c r="C14213" s="163"/>
      <c r="J14213" s="165"/>
      <c r="K14213" s="166"/>
      <c r="L14213" s="166"/>
    </row>
    <row r="14214">
      <c r="A14214" s="163" t="s">
        <v>222</v>
      </c>
      <c r="B14214" s="163"/>
      <c r="C14214" s="163"/>
      <c r="J14214" s="165"/>
      <c r="K14214" s="166"/>
      <c r="L14214" s="166"/>
    </row>
    <row r="14215">
      <c r="A14215" s="163" t="s">
        <v>222</v>
      </c>
      <c r="B14215" s="163"/>
      <c r="C14215" s="163"/>
      <c r="J14215" s="165"/>
      <c r="K14215" s="166"/>
      <c r="L14215" s="166"/>
    </row>
    <row r="14216">
      <c r="A14216" s="163" t="s">
        <v>222</v>
      </c>
      <c r="B14216" s="163"/>
      <c r="C14216" s="163"/>
      <c r="J14216" s="165"/>
      <c r="K14216" s="166"/>
      <c r="L14216" s="166"/>
    </row>
    <row r="14217">
      <c r="A14217" s="163" t="s">
        <v>222</v>
      </c>
      <c r="B14217" s="163"/>
      <c r="C14217" s="163"/>
      <c r="J14217" s="165"/>
      <c r="K14217" s="166"/>
      <c r="L14217" s="166"/>
    </row>
    <row r="14218">
      <c r="A14218" s="163" t="s">
        <v>222</v>
      </c>
      <c r="B14218" s="163"/>
      <c r="C14218" s="163"/>
      <c r="J14218" s="165"/>
      <c r="K14218" s="166"/>
      <c r="L14218" s="166"/>
    </row>
    <row r="14219">
      <c r="A14219" s="163" t="s">
        <v>222</v>
      </c>
      <c r="B14219" s="163"/>
      <c r="C14219" s="163"/>
      <c r="J14219" s="165"/>
      <c r="K14219" s="166"/>
      <c r="L14219" s="166"/>
    </row>
    <row r="14220">
      <c r="A14220" s="163" t="s">
        <v>222</v>
      </c>
      <c r="B14220" s="163"/>
      <c r="C14220" s="163"/>
      <c r="J14220" s="165"/>
      <c r="K14220" s="166"/>
      <c r="L14220" s="166"/>
    </row>
    <row r="14221">
      <c r="A14221" s="163" t="s">
        <v>222</v>
      </c>
      <c r="B14221" s="163"/>
      <c r="C14221" s="163"/>
      <c r="J14221" s="165"/>
      <c r="K14221" s="166"/>
      <c r="L14221" s="166"/>
    </row>
    <row r="14222">
      <c r="A14222" s="163" t="s">
        <v>222</v>
      </c>
      <c r="B14222" s="163"/>
      <c r="C14222" s="163"/>
      <c r="J14222" s="165"/>
      <c r="K14222" s="166"/>
      <c r="L14222" s="166"/>
    </row>
    <row r="14223">
      <c r="A14223" s="163" t="s">
        <v>222</v>
      </c>
      <c r="B14223" s="163"/>
      <c r="C14223" s="163"/>
      <c r="J14223" s="165"/>
      <c r="K14223" s="166"/>
      <c r="L14223" s="166"/>
    </row>
    <row r="14224">
      <c r="A14224" s="163" t="s">
        <v>222</v>
      </c>
      <c r="B14224" s="163"/>
      <c r="C14224" s="163"/>
      <c r="J14224" s="165"/>
      <c r="K14224" s="166"/>
      <c r="L14224" s="166"/>
    </row>
    <row r="14225">
      <c r="A14225" s="163" t="s">
        <v>222</v>
      </c>
      <c r="B14225" s="163"/>
      <c r="C14225" s="163"/>
      <c r="J14225" s="165"/>
      <c r="K14225" s="166"/>
      <c r="L14225" s="166"/>
    </row>
    <row r="14226">
      <c r="A14226" s="163" t="s">
        <v>222</v>
      </c>
      <c r="B14226" s="163"/>
      <c r="C14226" s="163"/>
      <c r="J14226" s="165"/>
      <c r="K14226" s="166"/>
      <c r="L14226" s="166"/>
    </row>
    <row r="14227">
      <c r="A14227" s="163" t="s">
        <v>222</v>
      </c>
      <c r="B14227" s="163"/>
      <c r="C14227" s="163"/>
      <c r="J14227" s="165"/>
      <c r="K14227" s="166"/>
      <c r="L14227" s="166"/>
    </row>
    <row r="14228">
      <c r="A14228" s="163" t="s">
        <v>222</v>
      </c>
      <c r="B14228" s="163"/>
      <c r="C14228" s="163"/>
      <c r="J14228" s="165"/>
      <c r="K14228" s="166"/>
      <c r="L14228" s="166"/>
    </row>
    <row r="14229">
      <c r="A14229" s="163" t="s">
        <v>222</v>
      </c>
      <c r="B14229" s="163"/>
      <c r="C14229" s="163"/>
      <c r="J14229" s="165"/>
      <c r="K14229" s="166"/>
      <c r="L14229" s="166"/>
    </row>
    <row r="14230">
      <c r="A14230" s="163" t="s">
        <v>222</v>
      </c>
      <c r="B14230" s="163"/>
      <c r="C14230" s="163"/>
      <c r="J14230" s="165"/>
      <c r="K14230" s="166"/>
      <c r="L14230" s="166"/>
    </row>
    <row r="14231">
      <c r="A14231" s="163" t="s">
        <v>222</v>
      </c>
      <c r="B14231" s="163"/>
      <c r="C14231" s="163"/>
      <c r="J14231" s="165"/>
      <c r="K14231" s="166"/>
      <c r="L14231" s="166"/>
    </row>
    <row r="14232">
      <c r="A14232" s="163" t="s">
        <v>222</v>
      </c>
      <c r="B14232" s="163"/>
      <c r="C14232" s="163"/>
      <c r="J14232" s="165"/>
      <c r="K14232" s="166"/>
      <c r="L14232" s="166"/>
    </row>
    <row r="14233">
      <c r="A14233" s="163" t="s">
        <v>222</v>
      </c>
      <c r="B14233" s="163"/>
      <c r="C14233" s="163"/>
      <c r="J14233" s="165"/>
      <c r="K14233" s="166"/>
      <c r="L14233" s="166"/>
    </row>
    <row r="14234">
      <c r="A14234" s="163" t="s">
        <v>222</v>
      </c>
      <c r="B14234" s="163"/>
      <c r="C14234" s="163"/>
      <c r="J14234" s="165"/>
      <c r="K14234" s="166"/>
      <c r="L14234" s="166"/>
    </row>
    <row r="14235">
      <c r="A14235" s="163" t="s">
        <v>222</v>
      </c>
      <c r="B14235" s="163"/>
      <c r="C14235" s="163"/>
      <c r="J14235" s="165"/>
      <c r="K14235" s="166"/>
      <c r="L14235" s="166"/>
    </row>
    <row r="14236">
      <c r="A14236" s="163" t="s">
        <v>222</v>
      </c>
      <c r="B14236" s="163"/>
      <c r="C14236" s="163"/>
      <c r="J14236" s="165"/>
      <c r="K14236" s="166"/>
      <c r="L14236" s="166"/>
    </row>
    <row r="14237">
      <c r="A14237" s="163" t="s">
        <v>222</v>
      </c>
      <c r="B14237" s="163"/>
      <c r="C14237" s="163"/>
      <c r="J14237" s="165"/>
      <c r="K14237" s="166"/>
      <c r="L14237" s="166"/>
    </row>
    <row r="14238">
      <c r="A14238" s="163" t="s">
        <v>222</v>
      </c>
      <c r="B14238" s="163"/>
      <c r="C14238" s="163"/>
      <c r="J14238" s="165"/>
      <c r="K14238" s="166"/>
      <c r="L14238" s="166"/>
    </row>
    <row r="14239">
      <c r="A14239" s="163" t="s">
        <v>222</v>
      </c>
      <c r="B14239" s="163"/>
      <c r="C14239" s="163"/>
      <c r="J14239" s="165"/>
      <c r="K14239" s="166"/>
      <c r="L14239" s="166"/>
    </row>
    <row r="14240">
      <c r="A14240" s="163" t="s">
        <v>222</v>
      </c>
      <c r="B14240" s="163"/>
      <c r="C14240" s="163"/>
      <c r="J14240" s="165"/>
      <c r="K14240" s="166"/>
      <c r="L14240" s="166"/>
    </row>
    <row r="14241">
      <c r="A14241" s="163" t="s">
        <v>222</v>
      </c>
      <c r="B14241" s="163"/>
      <c r="C14241" s="163"/>
      <c r="J14241" s="165"/>
      <c r="K14241" s="166"/>
      <c r="L14241" s="166"/>
    </row>
    <row r="14242">
      <c r="A14242" s="163" t="s">
        <v>222</v>
      </c>
      <c r="B14242" s="163"/>
      <c r="C14242" s="163"/>
      <c r="J14242" s="165"/>
      <c r="K14242" s="166"/>
      <c r="L14242" s="166"/>
    </row>
    <row r="14243">
      <c r="A14243" s="163" t="s">
        <v>222</v>
      </c>
      <c r="B14243" s="163"/>
      <c r="C14243" s="163"/>
      <c r="J14243" s="165"/>
      <c r="K14243" s="166"/>
      <c r="L14243" s="166"/>
    </row>
    <row r="14244">
      <c r="A14244" s="163" t="s">
        <v>222</v>
      </c>
      <c r="B14244" s="163"/>
      <c r="C14244" s="163"/>
      <c r="J14244" s="165"/>
      <c r="K14244" s="166"/>
      <c r="L14244" s="166"/>
    </row>
    <row r="14245">
      <c r="A14245" s="163" t="s">
        <v>222</v>
      </c>
      <c r="B14245" s="163"/>
      <c r="C14245" s="163"/>
      <c r="J14245" s="165"/>
      <c r="K14245" s="166"/>
      <c r="L14245" s="166"/>
    </row>
    <row r="14246">
      <c r="A14246" s="163" t="s">
        <v>222</v>
      </c>
      <c r="B14246" s="163"/>
      <c r="C14246" s="163"/>
      <c r="J14246" s="165"/>
      <c r="K14246" s="166"/>
      <c r="L14246" s="166"/>
    </row>
    <row r="14247">
      <c r="A14247" s="163" t="s">
        <v>222</v>
      </c>
      <c r="B14247" s="163"/>
      <c r="C14247" s="163"/>
      <c r="J14247" s="165"/>
      <c r="K14247" s="166"/>
      <c r="L14247" s="166"/>
    </row>
    <row r="14248">
      <c r="A14248" s="163" t="s">
        <v>222</v>
      </c>
      <c r="B14248" s="163"/>
      <c r="C14248" s="163"/>
      <c r="J14248" s="165"/>
      <c r="K14248" s="166"/>
      <c r="L14248" s="166"/>
    </row>
    <row r="14249">
      <c r="A14249" s="163" t="s">
        <v>222</v>
      </c>
      <c r="B14249" s="163"/>
      <c r="C14249" s="163"/>
      <c r="J14249" s="165"/>
      <c r="K14249" s="166"/>
      <c r="L14249" s="166"/>
    </row>
    <row r="14250">
      <c r="A14250" s="163" t="s">
        <v>222</v>
      </c>
      <c r="B14250" s="163"/>
      <c r="C14250" s="163"/>
      <c r="J14250" s="165"/>
      <c r="K14250" s="166"/>
      <c r="L14250" s="166"/>
    </row>
    <row r="14251">
      <c r="A14251" s="163" t="s">
        <v>222</v>
      </c>
      <c r="B14251" s="163"/>
      <c r="C14251" s="163"/>
      <c r="J14251" s="165"/>
      <c r="K14251" s="166"/>
      <c r="L14251" s="166"/>
    </row>
    <row r="14252">
      <c r="A14252" s="163" t="s">
        <v>222</v>
      </c>
      <c r="B14252" s="163"/>
      <c r="C14252" s="163"/>
      <c r="J14252" s="165"/>
      <c r="K14252" s="166"/>
      <c r="L14252" s="166"/>
    </row>
    <row r="14253">
      <c r="A14253" s="163" t="s">
        <v>222</v>
      </c>
      <c r="B14253" s="163"/>
      <c r="C14253" s="163"/>
      <c r="J14253" s="165"/>
      <c r="K14253" s="166"/>
      <c r="L14253" s="166"/>
    </row>
    <row r="14254">
      <c r="A14254" s="163" t="s">
        <v>222</v>
      </c>
      <c r="B14254" s="163"/>
      <c r="C14254" s="163"/>
      <c r="J14254" s="165"/>
      <c r="K14254" s="166"/>
      <c r="L14254" s="166"/>
    </row>
    <row r="14255">
      <c r="A14255" s="163" t="s">
        <v>222</v>
      </c>
      <c r="B14255" s="163"/>
      <c r="C14255" s="163"/>
      <c r="J14255" s="165"/>
      <c r="K14255" s="166"/>
      <c r="L14255" s="166"/>
    </row>
    <row r="14256">
      <c r="A14256" s="163" t="s">
        <v>222</v>
      </c>
      <c r="B14256" s="163"/>
      <c r="C14256" s="163"/>
      <c r="J14256" s="165"/>
      <c r="K14256" s="166"/>
      <c r="L14256" s="166"/>
    </row>
    <row r="14257">
      <c r="A14257" s="163" t="s">
        <v>222</v>
      </c>
      <c r="B14257" s="163"/>
      <c r="C14257" s="163"/>
      <c r="J14257" s="165"/>
      <c r="K14257" s="166"/>
      <c r="L14257" s="166"/>
    </row>
    <row r="14258">
      <c r="A14258" s="163" t="s">
        <v>222</v>
      </c>
      <c r="B14258" s="163"/>
      <c r="C14258" s="163"/>
      <c r="J14258" s="165"/>
      <c r="K14258" s="166"/>
      <c r="L14258" s="166"/>
    </row>
    <row r="14259">
      <c r="A14259" s="163" t="s">
        <v>222</v>
      </c>
      <c r="B14259" s="163"/>
      <c r="C14259" s="163"/>
      <c r="J14259" s="165"/>
      <c r="K14259" s="166"/>
      <c r="L14259" s="166"/>
    </row>
    <row r="14260">
      <c r="A14260" s="163" t="s">
        <v>222</v>
      </c>
      <c r="B14260" s="163"/>
      <c r="C14260" s="163"/>
      <c r="J14260" s="165"/>
      <c r="K14260" s="166"/>
      <c r="L14260" s="166"/>
    </row>
    <row r="14261">
      <c r="A14261" s="163" t="s">
        <v>222</v>
      </c>
      <c r="B14261" s="163"/>
      <c r="C14261" s="163"/>
      <c r="J14261" s="165"/>
      <c r="K14261" s="166"/>
      <c r="L14261" s="166"/>
    </row>
    <row r="14262">
      <c r="A14262" s="163" t="s">
        <v>222</v>
      </c>
      <c r="B14262" s="163"/>
      <c r="C14262" s="163"/>
      <c r="J14262" s="165"/>
      <c r="K14262" s="166"/>
      <c r="L14262" s="166"/>
    </row>
    <row r="14263">
      <c r="A14263" s="163" t="s">
        <v>222</v>
      </c>
      <c r="B14263" s="163"/>
      <c r="C14263" s="163"/>
      <c r="J14263" s="165"/>
      <c r="K14263" s="166"/>
      <c r="L14263" s="166"/>
    </row>
    <row r="14264">
      <c r="A14264" s="163" t="s">
        <v>222</v>
      </c>
      <c r="B14264" s="163"/>
      <c r="C14264" s="163"/>
      <c r="J14264" s="165"/>
      <c r="K14264" s="166"/>
      <c r="L14264" s="166"/>
    </row>
    <row r="14265">
      <c r="A14265" s="163" t="s">
        <v>222</v>
      </c>
      <c r="B14265" s="163"/>
      <c r="C14265" s="163"/>
      <c r="J14265" s="165"/>
      <c r="K14265" s="166"/>
      <c r="L14265" s="166"/>
    </row>
    <row r="14266">
      <c r="A14266" s="163" t="s">
        <v>222</v>
      </c>
      <c r="B14266" s="163"/>
      <c r="C14266" s="163"/>
      <c r="J14266" s="165"/>
      <c r="K14266" s="166"/>
      <c r="L14266" s="166"/>
    </row>
    <row r="14267">
      <c r="A14267" s="163" t="s">
        <v>222</v>
      </c>
      <c r="B14267" s="163"/>
      <c r="C14267" s="163"/>
      <c r="J14267" s="165"/>
      <c r="K14267" s="166"/>
      <c r="L14267" s="166"/>
    </row>
    <row r="14268">
      <c r="A14268" s="163" t="s">
        <v>222</v>
      </c>
      <c r="B14268" s="163"/>
      <c r="C14268" s="163"/>
      <c r="J14268" s="165"/>
      <c r="K14268" s="166"/>
      <c r="L14268" s="166"/>
    </row>
    <row r="14269">
      <c r="A14269" s="163" t="s">
        <v>222</v>
      </c>
      <c r="B14269" s="163"/>
      <c r="C14269" s="163"/>
      <c r="J14269" s="165"/>
      <c r="K14269" s="166"/>
      <c r="L14269" s="166"/>
    </row>
    <row r="14270">
      <c r="A14270" s="163" t="s">
        <v>222</v>
      </c>
      <c r="B14270" s="163"/>
      <c r="C14270" s="163"/>
      <c r="J14270" s="165"/>
      <c r="K14270" s="166"/>
      <c r="L14270" s="166"/>
    </row>
    <row r="14271">
      <c r="A14271" s="163" t="s">
        <v>222</v>
      </c>
      <c r="B14271" s="163"/>
      <c r="C14271" s="163"/>
      <c r="J14271" s="165"/>
      <c r="K14271" s="166"/>
      <c r="L14271" s="166"/>
    </row>
    <row r="14272">
      <c r="A14272" s="163" t="s">
        <v>222</v>
      </c>
      <c r="B14272" s="163"/>
      <c r="C14272" s="163"/>
      <c r="J14272" s="165"/>
      <c r="K14272" s="166"/>
      <c r="L14272" s="166"/>
    </row>
    <row r="14273">
      <c r="A14273" s="163" t="s">
        <v>222</v>
      </c>
      <c r="B14273" s="163"/>
      <c r="C14273" s="163"/>
      <c r="J14273" s="165"/>
      <c r="K14273" s="166"/>
      <c r="L14273" s="166"/>
    </row>
    <row r="14274">
      <c r="A14274" s="163" t="s">
        <v>222</v>
      </c>
      <c r="B14274" s="163"/>
      <c r="C14274" s="163"/>
      <c r="J14274" s="165"/>
      <c r="K14274" s="166"/>
      <c r="L14274" s="166"/>
    </row>
    <row r="14275">
      <c r="A14275" s="163" t="s">
        <v>222</v>
      </c>
      <c r="B14275" s="163"/>
      <c r="C14275" s="163"/>
      <c r="J14275" s="165"/>
      <c r="K14275" s="166"/>
      <c r="L14275" s="166"/>
    </row>
    <row r="14276">
      <c r="A14276" s="163" t="s">
        <v>222</v>
      </c>
      <c r="B14276" s="163"/>
      <c r="C14276" s="163"/>
      <c r="J14276" s="165"/>
      <c r="K14276" s="166"/>
      <c r="L14276" s="166"/>
    </row>
    <row r="14277">
      <c r="A14277" s="163" t="s">
        <v>222</v>
      </c>
      <c r="B14277" s="163"/>
      <c r="C14277" s="163"/>
      <c r="J14277" s="165"/>
      <c r="K14277" s="166"/>
      <c r="L14277" s="166"/>
    </row>
    <row r="14278">
      <c r="A14278" s="163" t="s">
        <v>222</v>
      </c>
      <c r="B14278" s="163"/>
      <c r="C14278" s="163"/>
      <c r="J14278" s="165"/>
      <c r="K14278" s="166"/>
      <c r="L14278" s="166"/>
    </row>
    <row r="14279">
      <c r="A14279" s="163" t="s">
        <v>222</v>
      </c>
      <c r="B14279" s="163"/>
      <c r="C14279" s="163"/>
      <c r="J14279" s="165"/>
      <c r="K14279" s="166"/>
      <c r="L14279" s="166"/>
    </row>
    <row r="14280">
      <c r="A14280" s="163" t="s">
        <v>222</v>
      </c>
      <c r="B14280" s="163"/>
      <c r="C14280" s="163"/>
      <c r="J14280" s="165"/>
      <c r="K14280" s="166"/>
      <c r="L14280" s="166"/>
    </row>
    <row r="14281">
      <c r="A14281" s="163" t="s">
        <v>222</v>
      </c>
      <c r="B14281" s="163"/>
      <c r="C14281" s="163"/>
      <c r="J14281" s="165"/>
      <c r="K14281" s="166"/>
      <c r="L14281" s="166"/>
    </row>
    <row r="14282">
      <c r="A14282" s="163" t="s">
        <v>222</v>
      </c>
      <c r="B14282" s="163"/>
      <c r="C14282" s="163"/>
      <c r="J14282" s="165"/>
      <c r="K14282" s="166"/>
      <c r="L14282" s="166"/>
    </row>
    <row r="14283">
      <c r="A14283" s="163" t="s">
        <v>222</v>
      </c>
      <c r="B14283" s="163"/>
      <c r="C14283" s="163"/>
      <c r="J14283" s="165"/>
      <c r="K14283" s="166"/>
      <c r="L14283" s="166"/>
    </row>
    <row r="14284">
      <c r="A14284" s="163" t="s">
        <v>222</v>
      </c>
      <c r="B14284" s="163"/>
      <c r="C14284" s="163"/>
      <c r="J14284" s="165"/>
      <c r="K14284" s="166"/>
      <c r="L14284" s="166"/>
    </row>
    <row r="14285">
      <c r="A14285" s="163" t="s">
        <v>222</v>
      </c>
      <c r="B14285" s="163"/>
      <c r="C14285" s="163"/>
      <c r="J14285" s="165"/>
      <c r="K14285" s="166"/>
      <c r="L14285" s="166"/>
    </row>
    <row r="14286">
      <c r="A14286" s="163" t="s">
        <v>222</v>
      </c>
      <c r="B14286" s="163"/>
      <c r="C14286" s="163"/>
      <c r="J14286" s="165"/>
      <c r="K14286" s="166"/>
      <c r="L14286" s="166"/>
    </row>
    <row r="14287">
      <c r="A14287" s="163" t="s">
        <v>222</v>
      </c>
      <c r="B14287" s="163"/>
      <c r="C14287" s="163"/>
      <c r="J14287" s="165"/>
      <c r="K14287" s="166"/>
      <c r="L14287" s="166"/>
    </row>
    <row r="14288">
      <c r="A14288" s="163" t="s">
        <v>222</v>
      </c>
      <c r="B14288" s="163"/>
      <c r="C14288" s="163"/>
      <c r="J14288" s="165"/>
      <c r="K14288" s="166"/>
      <c r="L14288" s="166"/>
    </row>
    <row r="14289">
      <c r="A14289" s="163" t="s">
        <v>222</v>
      </c>
      <c r="B14289" s="163"/>
      <c r="C14289" s="163"/>
      <c r="J14289" s="165"/>
      <c r="K14289" s="166"/>
      <c r="L14289" s="166"/>
    </row>
    <row r="14290">
      <c r="A14290" s="163" t="s">
        <v>222</v>
      </c>
      <c r="B14290" s="163"/>
      <c r="C14290" s="163"/>
      <c r="J14290" s="165"/>
      <c r="K14290" s="166"/>
      <c r="L14290" s="166"/>
    </row>
    <row r="14291">
      <c r="A14291" s="163" t="s">
        <v>222</v>
      </c>
      <c r="B14291" s="163"/>
      <c r="C14291" s="163"/>
      <c r="J14291" s="165"/>
      <c r="K14291" s="166"/>
      <c r="L14291" s="166"/>
    </row>
    <row r="14292">
      <c r="A14292" s="163" t="s">
        <v>222</v>
      </c>
      <c r="B14292" s="163"/>
      <c r="C14292" s="163"/>
      <c r="J14292" s="165"/>
      <c r="K14292" s="166"/>
      <c r="L14292" s="166"/>
    </row>
    <row r="14293">
      <c r="A14293" s="163" t="s">
        <v>222</v>
      </c>
      <c r="B14293" s="163"/>
      <c r="C14293" s="163"/>
      <c r="J14293" s="165"/>
      <c r="K14293" s="166"/>
      <c r="L14293" s="166"/>
    </row>
    <row r="14294">
      <c r="A14294" s="163" t="s">
        <v>222</v>
      </c>
      <c r="B14294" s="163"/>
      <c r="C14294" s="163"/>
      <c r="J14294" s="165"/>
      <c r="K14294" s="166"/>
      <c r="L14294" s="166"/>
    </row>
    <row r="14295">
      <c r="A14295" s="163" t="s">
        <v>222</v>
      </c>
      <c r="B14295" s="163"/>
      <c r="C14295" s="163"/>
      <c r="J14295" s="165"/>
      <c r="K14295" s="166"/>
      <c r="L14295" s="166"/>
    </row>
    <row r="14296">
      <c r="A14296" s="163" t="s">
        <v>222</v>
      </c>
      <c r="B14296" s="163"/>
      <c r="C14296" s="163"/>
      <c r="J14296" s="165"/>
      <c r="K14296" s="166"/>
      <c r="L14296" s="166"/>
    </row>
    <row r="14297">
      <c r="A14297" s="163" t="s">
        <v>222</v>
      </c>
      <c r="B14297" s="163"/>
      <c r="C14297" s="163"/>
      <c r="J14297" s="165"/>
      <c r="K14297" s="166"/>
      <c r="L14297" s="166"/>
    </row>
    <row r="14298">
      <c r="A14298" s="163" t="s">
        <v>222</v>
      </c>
      <c r="B14298" s="163"/>
      <c r="C14298" s="163"/>
      <c r="J14298" s="165"/>
      <c r="K14298" s="166"/>
      <c r="L14298" s="166"/>
    </row>
    <row r="14299">
      <c r="A14299" s="163" t="s">
        <v>222</v>
      </c>
      <c r="B14299" s="163"/>
      <c r="C14299" s="163"/>
      <c r="J14299" s="165"/>
      <c r="K14299" s="166"/>
      <c r="L14299" s="166"/>
    </row>
    <row r="14300">
      <c r="A14300" s="163" t="s">
        <v>222</v>
      </c>
      <c r="B14300" s="163"/>
      <c r="C14300" s="163"/>
      <c r="J14300" s="165"/>
      <c r="K14300" s="166"/>
      <c r="L14300" s="166"/>
    </row>
    <row r="14301">
      <c r="A14301" s="163" t="s">
        <v>222</v>
      </c>
      <c r="B14301" s="163"/>
      <c r="C14301" s="163"/>
      <c r="J14301" s="165"/>
      <c r="K14301" s="166"/>
      <c r="L14301" s="166"/>
    </row>
    <row r="14302">
      <c r="A14302" s="163" t="s">
        <v>222</v>
      </c>
      <c r="B14302" s="163"/>
      <c r="C14302" s="163"/>
      <c r="J14302" s="165"/>
      <c r="K14302" s="166"/>
      <c r="L14302" s="166"/>
    </row>
    <row r="14303">
      <c r="A14303" s="163" t="s">
        <v>222</v>
      </c>
      <c r="B14303" s="163"/>
      <c r="C14303" s="163"/>
      <c r="J14303" s="165"/>
      <c r="K14303" s="166"/>
      <c r="L14303" s="166"/>
    </row>
    <row r="14304">
      <c r="A14304" s="163" t="s">
        <v>222</v>
      </c>
      <c r="B14304" s="163"/>
      <c r="C14304" s="163"/>
      <c r="J14304" s="165"/>
      <c r="K14304" s="166"/>
      <c r="L14304" s="166"/>
    </row>
    <row r="14305">
      <c r="A14305" s="163" t="s">
        <v>222</v>
      </c>
      <c r="B14305" s="163"/>
      <c r="C14305" s="163"/>
      <c r="J14305" s="165"/>
      <c r="K14305" s="166"/>
      <c r="L14305" s="166"/>
    </row>
    <row r="14306">
      <c r="A14306" s="163" t="s">
        <v>222</v>
      </c>
      <c r="B14306" s="163"/>
      <c r="C14306" s="163"/>
      <c r="J14306" s="165"/>
      <c r="K14306" s="166"/>
      <c r="L14306" s="166"/>
    </row>
    <row r="14307">
      <c r="A14307" s="163" t="s">
        <v>222</v>
      </c>
      <c r="B14307" s="163"/>
      <c r="C14307" s="163"/>
      <c r="J14307" s="165"/>
      <c r="K14307" s="166"/>
      <c r="L14307" s="166"/>
    </row>
    <row r="14308">
      <c r="A14308" s="163" t="s">
        <v>222</v>
      </c>
      <c r="B14308" s="163"/>
      <c r="C14308" s="163"/>
      <c r="J14308" s="165"/>
      <c r="K14308" s="166"/>
      <c r="L14308" s="166"/>
    </row>
    <row r="14309">
      <c r="A14309" s="163" t="s">
        <v>222</v>
      </c>
      <c r="B14309" s="163"/>
      <c r="C14309" s="163"/>
      <c r="J14309" s="165"/>
      <c r="K14309" s="166"/>
      <c r="L14309" s="166"/>
    </row>
    <row r="14310">
      <c r="A14310" s="163" t="s">
        <v>222</v>
      </c>
      <c r="B14310" s="163"/>
      <c r="C14310" s="163"/>
      <c r="J14310" s="165"/>
      <c r="K14310" s="166"/>
      <c r="L14310" s="166"/>
    </row>
    <row r="14311">
      <c r="A14311" s="163" t="s">
        <v>222</v>
      </c>
      <c r="B14311" s="163"/>
      <c r="C14311" s="163"/>
      <c r="J14311" s="165"/>
      <c r="K14311" s="166"/>
      <c r="L14311" s="166"/>
    </row>
    <row r="14312">
      <c r="A14312" s="163" t="s">
        <v>222</v>
      </c>
      <c r="B14312" s="163"/>
      <c r="C14312" s="163"/>
      <c r="J14312" s="165"/>
      <c r="K14312" s="166"/>
      <c r="L14312" s="166"/>
    </row>
    <row r="14313">
      <c r="A14313" s="163" t="s">
        <v>222</v>
      </c>
      <c r="B14313" s="163"/>
      <c r="C14313" s="163"/>
      <c r="J14313" s="165"/>
      <c r="K14313" s="166"/>
      <c r="L14313" s="166"/>
    </row>
    <row r="14314">
      <c r="A14314" s="163" t="s">
        <v>222</v>
      </c>
      <c r="B14314" s="163"/>
      <c r="C14314" s="163"/>
      <c r="J14314" s="165"/>
      <c r="K14314" s="166"/>
      <c r="L14314" s="166"/>
    </row>
    <row r="14315">
      <c r="A14315" s="163" t="s">
        <v>222</v>
      </c>
      <c r="B14315" s="163"/>
      <c r="C14315" s="163"/>
      <c r="J14315" s="165"/>
      <c r="K14315" s="166"/>
      <c r="L14315" s="166"/>
    </row>
    <row r="14316">
      <c r="A14316" s="163" t="s">
        <v>222</v>
      </c>
      <c r="B14316" s="163"/>
      <c r="C14316" s="163"/>
      <c r="J14316" s="165"/>
      <c r="K14316" s="166"/>
      <c r="L14316" s="166"/>
    </row>
    <row r="14317">
      <c r="A14317" s="163" t="s">
        <v>222</v>
      </c>
      <c r="B14317" s="163"/>
      <c r="C14317" s="163"/>
      <c r="J14317" s="165"/>
      <c r="K14317" s="166"/>
      <c r="L14317" s="166"/>
    </row>
    <row r="14318">
      <c r="A14318" s="163" t="s">
        <v>222</v>
      </c>
      <c r="B14318" s="163"/>
      <c r="C14318" s="163"/>
      <c r="J14318" s="165"/>
      <c r="K14318" s="166"/>
      <c r="L14318" s="166"/>
    </row>
    <row r="14319">
      <c r="A14319" s="163" t="s">
        <v>222</v>
      </c>
      <c r="B14319" s="163"/>
      <c r="C14319" s="163"/>
      <c r="J14319" s="165"/>
      <c r="K14319" s="166"/>
      <c r="L14319" s="166"/>
    </row>
    <row r="14320">
      <c r="A14320" s="163" t="s">
        <v>222</v>
      </c>
      <c r="B14320" s="163"/>
      <c r="C14320" s="163"/>
      <c r="J14320" s="165"/>
      <c r="K14320" s="166"/>
      <c r="L14320" s="166"/>
    </row>
    <row r="14321">
      <c r="A14321" s="163" t="s">
        <v>222</v>
      </c>
      <c r="B14321" s="163"/>
      <c r="C14321" s="163"/>
      <c r="J14321" s="165"/>
      <c r="K14321" s="166"/>
      <c r="L14321" s="166"/>
    </row>
    <row r="14322">
      <c r="A14322" s="163" t="s">
        <v>222</v>
      </c>
      <c r="B14322" s="163"/>
      <c r="C14322" s="163"/>
      <c r="J14322" s="165"/>
      <c r="K14322" s="166"/>
      <c r="L14322" s="166"/>
    </row>
    <row r="14323">
      <c r="A14323" s="163" t="s">
        <v>222</v>
      </c>
      <c r="B14323" s="163"/>
      <c r="C14323" s="163"/>
      <c r="J14323" s="165"/>
      <c r="K14323" s="166"/>
      <c r="L14323" s="166"/>
    </row>
    <row r="14324">
      <c r="A14324" s="163" t="s">
        <v>222</v>
      </c>
      <c r="B14324" s="163"/>
      <c r="C14324" s="163"/>
      <c r="J14324" s="165"/>
      <c r="K14324" s="166"/>
      <c r="L14324" s="166"/>
    </row>
    <row r="14325">
      <c r="A14325" s="163" t="s">
        <v>222</v>
      </c>
      <c r="B14325" s="163"/>
      <c r="C14325" s="163"/>
      <c r="J14325" s="165"/>
      <c r="K14325" s="166"/>
      <c r="L14325" s="166"/>
    </row>
    <row r="14326">
      <c r="A14326" s="163" t="s">
        <v>222</v>
      </c>
      <c r="B14326" s="163"/>
      <c r="C14326" s="163"/>
      <c r="J14326" s="165"/>
      <c r="K14326" s="166"/>
      <c r="L14326" s="166"/>
    </row>
    <row r="14327">
      <c r="A14327" s="163" t="s">
        <v>222</v>
      </c>
      <c r="B14327" s="163"/>
      <c r="C14327" s="163"/>
      <c r="J14327" s="165"/>
      <c r="K14327" s="166"/>
      <c r="L14327" s="166"/>
    </row>
    <row r="14328">
      <c r="A14328" s="163" t="s">
        <v>222</v>
      </c>
      <c r="B14328" s="163"/>
      <c r="C14328" s="163"/>
      <c r="J14328" s="165"/>
      <c r="K14328" s="166"/>
      <c r="L14328" s="166"/>
    </row>
    <row r="14329">
      <c r="A14329" s="163" t="s">
        <v>222</v>
      </c>
      <c r="B14329" s="163"/>
      <c r="C14329" s="163"/>
      <c r="J14329" s="165"/>
      <c r="K14329" s="166"/>
      <c r="L14329" s="166"/>
    </row>
    <row r="14330">
      <c r="A14330" s="163" t="s">
        <v>222</v>
      </c>
      <c r="B14330" s="163"/>
      <c r="C14330" s="163"/>
      <c r="J14330" s="165"/>
      <c r="K14330" s="166"/>
      <c r="L14330" s="166"/>
    </row>
    <row r="14331">
      <c r="A14331" s="163" t="s">
        <v>222</v>
      </c>
      <c r="B14331" s="163"/>
      <c r="C14331" s="163"/>
      <c r="J14331" s="165"/>
      <c r="K14331" s="166"/>
      <c r="L14331" s="166"/>
    </row>
    <row r="14332">
      <c r="A14332" s="163" t="s">
        <v>222</v>
      </c>
      <c r="B14332" s="163"/>
      <c r="C14332" s="163"/>
      <c r="J14332" s="165"/>
      <c r="K14332" s="166"/>
      <c r="L14332" s="166"/>
    </row>
    <row r="14333">
      <c r="A14333" s="163" t="s">
        <v>222</v>
      </c>
      <c r="B14333" s="163"/>
      <c r="C14333" s="163"/>
      <c r="J14333" s="165"/>
      <c r="K14333" s="166"/>
      <c r="L14333" s="166"/>
    </row>
    <row r="14334">
      <c r="A14334" s="163" t="s">
        <v>222</v>
      </c>
      <c r="B14334" s="163"/>
      <c r="C14334" s="163"/>
      <c r="J14334" s="165"/>
      <c r="K14334" s="166"/>
      <c r="L14334" s="166"/>
    </row>
    <row r="14335">
      <c r="A14335" s="163" t="s">
        <v>222</v>
      </c>
      <c r="B14335" s="163"/>
      <c r="C14335" s="163"/>
      <c r="J14335" s="165"/>
      <c r="K14335" s="166"/>
      <c r="L14335" s="166"/>
    </row>
    <row r="14336">
      <c r="A14336" s="163" t="s">
        <v>222</v>
      </c>
      <c r="B14336" s="163"/>
      <c r="C14336" s="163"/>
      <c r="J14336" s="165"/>
      <c r="K14336" s="166"/>
      <c r="L14336" s="166"/>
    </row>
    <row r="14337">
      <c r="A14337" s="163" t="s">
        <v>222</v>
      </c>
      <c r="B14337" s="163"/>
      <c r="C14337" s="163"/>
      <c r="J14337" s="165"/>
      <c r="K14337" s="166"/>
      <c r="L14337" s="166"/>
    </row>
    <row r="14338">
      <c r="A14338" s="163" t="s">
        <v>222</v>
      </c>
      <c r="B14338" s="163"/>
      <c r="C14338" s="163"/>
      <c r="J14338" s="165"/>
      <c r="K14338" s="166"/>
      <c r="L14338" s="166"/>
    </row>
    <row r="14339">
      <c r="A14339" s="163" t="s">
        <v>222</v>
      </c>
      <c r="B14339" s="163"/>
      <c r="C14339" s="163"/>
      <c r="J14339" s="165"/>
      <c r="K14339" s="166"/>
      <c r="L14339" s="166"/>
    </row>
    <row r="14340">
      <c r="A14340" s="163" t="s">
        <v>222</v>
      </c>
      <c r="B14340" s="163"/>
      <c r="C14340" s="163"/>
      <c r="J14340" s="165"/>
      <c r="K14340" s="166"/>
      <c r="L14340" s="166"/>
    </row>
    <row r="14341">
      <c r="A14341" s="163" t="s">
        <v>222</v>
      </c>
      <c r="B14341" s="163"/>
      <c r="C14341" s="163"/>
      <c r="J14341" s="165"/>
      <c r="K14341" s="166"/>
      <c r="L14341" s="166"/>
    </row>
    <row r="14342">
      <c r="A14342" s="163" t="s">
        <v>222</v>
      </c>
      <c r="B14342" s="163"/>
      <c r="C14342" s="163"/>
      <c r="J14342" s="165"/>
      <c r="K14342" s="166"/>
      <c r="L14342" s="166"/>
    </row>
    <row r="14343">
      <c r="A14343" s="163" t="s">
        <v>222</v>
      </c>
      <c r="B14343" s="163"/>
      <c r="C14343" s="163"/>
      <c r="J14343" s="165"/>
      <c r="K14343" s="166"/>
      <c r="L14343" s="166"/>
    </row>
    <row r="14344">
      <c r="A14344" s="163" t="s">
        <v>222</v>
      </c>
      <c r="B14344" s="163"/>
      <c r="C14344" s="163"/>
      <c r="J14344" s="165"/>
      <c r="K14344" s="166"/>
      <c r="L14344" s="166"/>
    </row>
    <row r="14345">
      <c r="A14345" s="163" t="s">
        <v>222</v>
      </c>
      <c r="B14345" s="163"/>
      <c r="C14345" s="163"/>
      <c r="J14345" s="165"/>
      <c r="K14345" s="166"/>
      <c r="L14345" s="166"/>
    </row>
    <row r="14346">
      <c r="A14346" s="163" t="s">
        <v>222</v>
      </c>
      <c r="B14346" s="163"/>
      <c r="C14346" s="163"/>
      <c r="J14346" s="165"/>
      <c r="K14346" s="166"/>
      <c r="L14346" s="166"/>
    </row>
    <row r="14347">
      <c r="A14347" s="163" t="s">
        <v>222</v>
      </c>
      <c r="B14347" s="163"/>
      <c r="C14347" s="163"/>
      <c r="J14347" s="165"/>
      <c r="K14347" s="166"/>
      <c r="L14347" s="166"/>
    </row>
    <row r="14348">
      <c r="A14348" s="163" t="s">
        <v>222</v>
      </c>
      <c r="B14348" s="163"/>
      <c r="C14348" s="163"/>
      <c r="J14348" s="165"/>
      <c r="K14348" s="166"/>
      <c r="L14348" s="166"/>
    </row>
    <row r="14349">
      <c r="A14349" s="163" t="s">
        <v>222</v>
      </c>
      <c r="B14349" s="163"/>
      <c r="C14349" s="163"/>
      <c r="J14349" s="165"/>
      <c r="K14349" s="166"/>
      <c r="L14349" s="166"/>
    </row>
    <row r="14350">
      <c r="A14350" s="163" t="s">
        <v>222</v>
      </c>
      <c r="B14350" s="163"/>
      <c r="C14350" s="163"/>
      <c r="J14350" s="165"/>
      <c r="K14350" s="166"/>
      <c r="L14350" s="166"/>
    </row>
    <row r="14351">
      <c r="A14351" s="163" t="s">
        <v>222</v>
      </c>
      <c r="B14351" s="163"/>
      <c r="C14351" s="163"/>
      <c r="J14351" s="165"/>
      <c r="K14351" s="166"/>
      <c r="L14351" s="166"/>
    </row>
    <row r="14352">
      <c r="A14352" s="163" t="s">
        <v>222</v>
      </c>
      <c r="B14352" s="163"/>
      <c r="C14352" s="163"/>
      <c r="J14352" s="165"/>
      <c r="K14352" s="166"/>
      <c r="L14352" s="166"/>
    </row>
    <row r="14353">
      <c r="A14353" s="163" t="s">
        <v>222</v>
      </c>
      <c r="B14353" s="163"/>
      <c r="C14353" s="163"/>
      <c r="J14353" s="165"/>
      <c r="K14353" s="166"/>
      <c r="L14353" s="166"/>
    </row>
    <row r="14354">
      <c r="A14354" s="163" t="s">
        <v>222</v>
      </c>
      <c r="B14354" s="163"/>
      <c r="C14354" s="163"/>
      <c r="J14354" s="165"/>
      <c r="K14354" s="166"/>
      <c r="L14354" s="166"/>
    </row>
    <row r="14355">
      <c r="A14355" s="163" t="s">
        <v>222</v>
      </c>
      <c r="B14355" s="163"/>
      <c r="C14355" s="163"/>
      <c r="J14355" s="165"/>
      <c r="K14355" s="166"/>
      <c r="L14355" s="166"/>
    </row>
    <row r="14356">
      <c r="A14356" s="163" t="s">
        <v>222</v>
      </c>
      <c r="B14356" s="163"/>
      <c r="C14356" s="163"/>
      <c r="J14356" s="165"/>
      <c r="K14356" s="166"/>
      <c r="L14356" s="166"/>
    </row>
    <row r="14357">
      <c r="A14357" s="163" t="s">
        <v>222</v>
      </c>
      <c r="B14357" s="163"/>
      <c r="C14357" s="163"/>
      <c r="J14357" s="165"/>
      <c r="K14357" s="166"/>
      <c r="L14357" s="166"/>
    </row>
    <row r="14358">
      <c r="A14358" s="163" t="s">
        <v>222</v>
      </c>
      <c r="B14358" s="163"/>
      <c r="C14358" s="163"/>
      <c r="J14358" s="165"/>
      <c r="K14358" s="166"/>
      <c r="L14358" s="166"/>
    </row>
    <row r="14359">
      <c r="A14359" s="163" t="s">
        <v>222</v>
      </c>
      <c r="B14359" s="163"/>
      <c r="C14359" s="163"/>
      <c r="J14359" s="165"/>
      <c r="K14359" s="166"/>
      <c r="L14359" s="166"/>
    </row>
    <row r="14360">
      <c r="A14360" s="163" t="s">
        <v>222</v>
      </c>
      <c r="B14360" s="163"/>
      <c r="C14360" s="163"/>
      <c r="J14360" s="165"/>
      <c r="K14360" s="166"/>
      <c r="L14360" s="166"/>
    </row>
    <row r="14361">
      <c r="A14361" s="163" t="s">
        <v>222</v>
      </c>
      <c r="B14361" s="163"/>
      <c r="C14361" s="163"/>
      <c r="J14361" s="165"/>
      <c r="K14361" s="166"/>
      <c r="L14361" s="166"/>
    </row>
    <row r="14362">
      <c r="A14362" s="163" t="s">
        <v>222</v>
      </c>
      <c r="B14362" s="163"/>
      <c r="C14362" s="163"/>
      <c r="J14362" s="165"/>
      <c r="K14362" s="166"/>
      <c r="L14362" s="166"/>
    </row>
    <row r="14363">
      <c r="A14363" s="163" t="s">
        <v>222</v>
      </c>
      <c r="B14363" s="163"/>
      <c r="C14363" s="163"/>
      <c r="J14363" s="165"/>
      <c r="K14363" s="166"/>
      <c r="L14363" s="166"/>
    </row>
    <row r="14364">
      <c r="A14364" s="163" t="s">
        <v>222</v>
      </c>
      <c r="B14364" s="163"/>
      <c r="C14364" s="163"/>
      <c r="J14364" s="165"/>
      <c r="K14364" s="166"/>
      <c r="L14364" s="166"/>
    </row>
    <row r="14365">
      <c r="A14365" s="163" t="s">
        <v>222</v>
      </c>
      <c r="B14365" s="163"/>
      <c r="C14365" s="163"/>
      <c r="J14365" s="165"/>
      <c r="K14365" s="166"/>
      <c r="L14365" s="166"/>
    </row>
    <row r="14366">
      <c r="A14366" s="163" t="s">
        <v>222</v>
      </c>
      <c r="B14366" s="163"/>
      <c r="C14366" s="163"/>
      <c r="J14366" s="165"/>
      <c r="K14366" s="166"/>
      <c r="L14366" s="166"/>
    </row>
    <row r="14367">
      <c r="A14367" s="163" t="s">
        <v>222</v>
      </c>
      <c r="B14367" s="163"/>
      <c r="C14367" s="163"/>
      <c r="J14367" s="165"/>
      <c r="K14367" s="166"/>
      <c r="L14367" s="166"/>
    </row>
    <row r="14368">
      <c r="A14368" s="163" t="s">
        <v>222</v>
      </c>
      <c r="B14368" s="163"/>
      <c r="C14368" s="163"/>
      <c r="J14368" s="165"/>
      <c r="K14368" s="166"/>
      <c r="L14368" s="166"/>
    </row>
    <row r="14369">
      <c r="A14369" s="163" t="s">
        <v>222</v>
      </c>
      <c r="B14369" s="163"/>
      <c r="C14369" s="163"/>
      <c r="J14369" s="165"/>
      <c r="K14369" s="166"/>
      <c r="L14369" s="166"/>
    </row>
    <row r="14370">
      <c r="A14370" s="163" t="s">
        <v>222</v>
      </c>
      <c r="B14370" s="163"/>
      <c r="C14370" s="163"/>
      <c r="J14370" s="165"/>
      <c r="K14370" s="166"/>
      <c r="L14370" s="166"/>
    </row>
    <row r="14371">
      <c r="A14371" s="163" t="s">
        <v>222</v>
      </c>
      <c r="B14371" s="163"/>
      <c r="C14371" s="163"/>
      <c r="J14371" s="165"/>
      <c r="K14371" s="166"/>
      <c r="L14371" s="166"/>
    </row>
    <row r="14372">
      <c r="A14372" s="163" t="s">
        <v>222</v>
      </c>
      <c r="B14372" s="163"/>
      <c r="C14372" s="163"/>
      <c r="J14372" s="165"/>
      <c r="K14372" s="166"/>
      <c r="L14372" s="166"/>
    </row>
    <row r="14373">
      <c r="A14373" s="163" t="s">
        <v>222</v>
      </c>
      <c r="B14373" s="163"/>
      <c r="C14373" s="163"/>
      <c r="J14373" s="165"/>
      <c r="K14373" s="166"/>
      <c r="L14373" s="166"/>
    </row>
    <row r="14374">
      <c r="A14374" s="163" t="s">
        <v>222</v>
      </c>
      <c r="B14374" s="163"/>
      <c r="C14374" s="163"/>
      <c r="J14374" s="165"/>
      <c r="K14374" s="166"/>
      <c r="L14374" s="166"/>
    </row>
    <row r="14375">
      <c r="A14375" s="163" t="s">
        <v>222</v>
      </c>
      <c r="B14375" s="163"/>
      <c r="C14375" s="163"/>
      <c r="J14375" s="165"/>
      <c r="K14375" s="166"/>
      <c r="L14375" s="166"/>
    </row>
    <row r="14376">
      <c r="A14376" s="163" t="s">
        <v>222</v>
      </c>
      <c r="B14376" s="163"/>
      <c r="C14376" s="163"/>
      <c r="J14376" s="165"/>
      <c r="K14376" s="166"/>
      <c r="L14376" s="166"/>
    </row>
    <row r="14377">
      <c r="A14377" s="163" t="s">
        <v>222</v>
      </c>
      <c r="B14377" s="163"/>
      <c r="C14377" s="163"/>
      <c r="J14377" s="165"/>
      <c r="K14377" s="166"/>
      <c r="L14377" s="166"/>
    </row>
    <row r="14378">
      <c r="A14378" s="163" t="s">
        <v>222</v>
      </c>
      <c r="B14378" s="163"/>
      <c r="C14378" s="163"/>
      <c r="J14378" s="165"/>
      <c r="K14378" s="166"/>
      <c r="L14378" s="166"/>
    </row>
    <row r="14379">
      <c r="A14379" s="163" t="s">
        <v>222</v>
      </c>
      <c r="B14379" s="163"/>
      <c r="C14379" s="163"/>
      <c r="J14379" s="165"/>
      <c r="K14379" s="166"/>
      <c r="L14379" s="166"/>
    </row>
    <row r="14380">
      <c r="A14380" s="163" t="s">
        <v>222</v>
      </c>
      <c r="B14380" s="163"/>
      <c r="C14380" s="163"/>
      <c r="J14380" s="165"/>
      <c r="K14380" s="166"/>
      <c r="L14380" s="166"/>
    </row>
    <row r="14381">
      <c r="A14381" s="163" t="s">
        <v>222</v>
      </c>
      <c r="B14381" s="163"/>
      <c r="C14381" s="163"/>
      <c r="J14381" s="165"/>
      <c r="K14381" s="166"/>
      <c r="L14381" s="166"/>
    </row>
    <row r="14382">
      <c r="A14382" s="163" t="s">
        <v>222</v>
      </c>
      <c r="B14382" s="163"/>
      <c r="C14382" s="163"/>
      <c r="J14382" s="165"/>
      <c r="K14382" s="166"/>
      <c r="L14382" s="166"/>
    </row>
    <row r="14383">
      <c r="A14383" s="163" t="s">
        <v>222</v>
      </c>
      <c r="B14383" s="163"/>
      <c r="C14383" s="163"/>
      <c r="J14383" s="165"/>
      <c r="K14383" s="166"/>
      <c r="L14383" s="166"/>
    </row>
    <row r="14384">
      <c r="A14384" s="163" t="s">
        <v>222</v>
      </c>
      <c r="B14384" s="163"/>
      <c r="C14384" s="163"/>
      <c r="J14384" s="165"/>
      <c r="K14384" s="166"/>
      <c r="L14384" s="166"/>
    </row>
    <row r="14385">
      <c r="A14385" s="163" t="s">
        <v>222</v>
      </c>
      <c r="B14385" s="163"/>
      <c r="C14385" s="163"/>
      <c r="J14385" s="165"/>
      <c r="K14385" s="166"/>
      <c r="L14385" s="166"/>
    </row>
    <row r="14386">
      <c r="A14386" s="163" t="s">
        <v>222</v>
      </c>
      <c r="B14386" s="163"/>
      <c r="C14386" s="163"/>
      <c r="J14386" s="165"/>
      <c r="K14386" s="166"/>
      <c r="L14386" s="166"/>
    </row>
    <row r="14387">
      <c r="A14387" s="163" t="s">
        <v>222</v>
      </c>
      <c r="B14387" s="163"/>
      <c r="C14387" s="163"/>
      <c r="J14387" s="165"/>
      <c r="K14387" s="166"/>
      <c r="L14387" s="166"/>
    </row>
    <row r="14388">
      <c r="A14388" s="163" t="s">
        <v>222</v>
      </c>
      <c r="B14388" s="163"/>
      <c r="C14388" s="163"/>
      <c r="J14388" s="165"/>
      <c r="K14388" s="166"/>
      <c r="L14388" s="166"/>
    </row>
    <row r="14389">
      <c r="A14389" s="163" t="s">
        <v>222</v>
      </c>
      <c r="B14389" s="163"/>
      <c r="C14389" s="163"/>
      <c r="J14389" s="165"/>
      <c r="K14389" s="166"/>
      <c r="L14389" s="166"/>
    </row>
    <row r="14390">
      <c r="A14390" s="163" t="s">
        <v>222</v>
      </c>
      <c r="B14390" s="163"/>
      <c r="C14390" s="163"/>
      <c r="J14390" s="165"/>
      <c r="K14390" s="166"/>
      <c r="L14390" s="166"/>
    </row>
    <row r="14391">
      <c r="A14391" s="163" t="s">
        <v>222</v>
      </c>
      <c r="B14391" s="163"/>
      <c r="C14391" s="163"/>
      <c r="J14391" s="165"/>
      <c r="K14391" s="166"/>
      <c r="L14391" s="166"/>
    </row>
    <row r="14392">
      <c r="A14392" s="163" t="s">
        <v>222</v>
      </c>
      <c r="B14392" s="163"/>
      <c r="C14392" s="163"/>
      <c r="J14392" s="165"/>
      <c r="K14392" s="166"/>
      <c r="L14392" s="166"/>
    </row>
    <row r="14393">
      <c r="A14393" s="163" t="s">
        <v>222</v>
      </c>
      <c r="B14393" s="163"/>
      <c r="C14393" s="163"/>
      <c r="J14393" s="165"/>
      <c r="K14393" s="166"/>
      <c r="L14393" s="166"/>
    </row>
    <row r="14394">
      <c r="A14394" s="163" t="s">
        <v>222</v>
      </c>
      <c r="B14394" s="163"/>
      <c r="C14394" s="163"/>
      <c r="J14394" s="165"/>
      <c r="K14394" s="166"/>
      <c r="L14394" s="166"/>
    </row>
    <row r="14395">
      <c r="A14395" s="163" t="s">
        <v>222</v>
      </c>
      <c r="B14395" s="163"/>
      <c r="C14395" s="163"/>
      <c r="J14395" s="165"/>
      <c r="K14395" s="166"/>
      <c r="L14395" s="166"/>
    </row>
    <row r="14396">
      <c r="A14396" s="163" t="s">
        <v>222</v>
      </c>
      <c r="B14396" s="163"/>
      <c r="C14396" s="163"/>
      <c r="J14396" s="165"/>
      <c r="K14396" s="166"/>
      <c r="L14396" s="166"/>
    </row>
    <row r="14397">
      <c r="A14397" s="163" t="s">
        <v>222</v>
      </c>
      <c r="B14397" s="163"/>
      <c r="C14397" s="163"/>
      <c r="J14397" s="165"/>
      <c r="K14397" s="166"/>
      <c r="L14397" s="166"/>
    </row>
    <row r="14398">
      <c r="A14398" s="163" t="s">
        <v>222</v>
      </c>
      <c r="B14398" s="163"/>
      <c r="C14398" s="163"/>
      <c r="J14398" s="165"/>
      <c r="K14398" s="166"/>
      <c r="L14398" s="166"/>
    </row>
    <row r="14399">
      <c r="A14399" s="163" t="s">
        <v>222</v>
      </c>
      <c r="B14399" s="163"/>
      <c r="C14399" s="163"/>
      <c r="J14399" s="165"/>
      <c r="K14399" s="166"/>
      <c r="L14399" s="166"/>
    </row>
    <row r="14400">
      <c r="A14400" s="163" t="s">
        <v>222</v>
      </c>
      <c r="B14400" s="163"/>
      <c r="C14400" s="163"/>
      <c r="J14400" s="165"/>
      <c r="K14400" s="166"/>
      <c r="L14400" s="166"/>
    </row>
    <row r="14401">
      <c r="A14401" s="163" t="s">
        <v>222</v>
      </c>
      <c r="B14401" s="163"/>
      <c r="C14401" s="163"/>
      <c r="J14401" s="165"/>
      <c r="K14401" s="166"/>
      <c r="L14401" s="166"/>
    </row>
    <row r="14402">
      <c r="A14402" s="163" t="s">
        <v>222</v>
      </c>
      <c r="B14402" s="163"/>
      <c r="C14402" s="163"/>
      <c r="J14402" s="165"/>
      <c r="K14402" s="166"/>
      <c r="L14402" s="166"/>
    </row>
    <row r="14403">
      <c r="A14403" s="163" t="s">
        <v>222</v>
      </c>
      <c r="B14403" s="163"/>
      <c r="C14403" s="163"/>
      <c r="J14403" s="165"/>
      <c r="K14403" s="166"/>
      <c r="L14403" s="166"/>
    </row>
    <row r="14404">
      <c r="A14404" s="163" t="s">
        <v>222</v>
      </c>
      <c r="B14404" s="163"/>
      <c r="C14404" s="163"/>
      <c r="J14404" s="165"/>
      <c r="K14404" s="166"/>
      <c r="L14404" s="166"/>
    </row>
    <row r="14405">
      <c r="A14405" s="163" t="s">
        <v>222</v>
      </c>
      <c r="B14405" s="163"/>
      <c r="C14405" s="163"/>
      <c r="J14405" s="165"/>
      <c r="K14405" s="166"/>
      <c r="L14405" s="166"/>
    </row>
    <row r="14406">
      <c r="A14406" s="163" t="s">
        <v>222</v>
      </c>
      <c r="B14406" s="163"/>
      <c r="C14406" s="163"/>
      <c r="J14406" s="165"/>
      <c r="K14406" s="166"/>
      <c r="L14406" s="166"/>
    </row>
    <row r="14407">
      <c r="A14407" s="163" t="s">
        <v>222</v>
      </c>
      <c r="B14407" s="163"/>
      <c r="C14407" s="163"/>
      <c r="J14407" s="165"/>
      <c r="K14407" s="166"/>
      <c r="L14407" s="166"/>
    </row>
    <row r="14408">
      <c r="A14408" s="163" t="s">
        <v>222</v>
      </c>
      <c r="B14408" s="163"/>
      <c r="C14408" s="163"/>
      <c r="J14408" s="165"/>
      <c r="K14408" s="166"/>
      <c r="L14408" s="166"/>
    </row>
    <row r="14409">
      <c r="A14409" s="163" t="s">
        <v>222</v>
      </c>
      <c r="B14409" s="163"/>
      <c r="C14409" s="163"/>
      <c r="J14409" s="165"/>
      <c r="K14409" s="166"/>
      <c r="L14409" s="166"/>
    </row>
    <row r="14410">
      <c r="A14410" s="163" t="s">
        <v>222</v>
      </c>
      <c r="B14410" s="163"/>
      <c r="C14410" s="163"/>
      <c r="J14410" s="165"/>
      <c r="K14410" s="166"/>
      <c r="L14410" s="166"/>
    </row>
    <row r="14411">
      <c r="A14411" s="163" t="s">
        <v>222</v>
      </c>
      <c r="B14411" s="163"/>
      <c r="C14411" s="163"/>
      <c r="J14411" s="165"/>
      <c r="K14411" s="166"/>
      <c r="L14411" s="166"/>
    </row>
    <row r="14412">
      <c r="A14412" s="163" t="s">
        <v>222</v>
      </c>
      <c r="B14412" s="163"/>
      <c r="C14412" s="163"/>
      <c r="J14412" s="165"/>
      <c r="K14412" s="166"/>
      <c r="L14412" s="166"/>
    </row>
    <row r="14413">
      <c r="A14413" s="163" t="s">
        <v>222</v>
      </c>
      <c r="B14413" s="163"/>
      <c r="C14413" s="163"/>
      <c r="J14413" s="165"/>
      <c r="K14413" s="166"/>
      <c r="L14413" s="166"/>
    </row>
    <row r="14414">
      <c r="A14414" s="163" t="s">
        <v>222</v>
      </c>
      <c r="B14414" s="163"/>
      <c r="C14414" s="163"/>
      <c r="J14414" s="165"/>
      <c r="K14414" s="166"/>
      <c r="L14414" s="166"/>
    </row>
    <row r="14415">
      <c r="A14415" s="163" t="s">
        <v>222</v>
      </c>
      <c r="B14415" s="163"/>
      <c r="C14415" s="163"/>
      <c r="J14415" s="165"/>
      <c r="K14415" s="166"/>
      <c r="L14415" s="166"/>
    </row>
    <row r="14416">
      <c r="A14416" s="163" t="s">
        <v>222</v>
      </c>
      <c r="B14416" s="163"/>
      <c r="C14416" s="163"/>
      <c r="J14416" s="165"/>
      <c r="K14416" s="166"/>
      <c r="L14416" s="166"/>
    </row>
    <row r="14417">
      <c r="A14417" s="163" t="s">
        <v>222</v>
      </c>
      <c r="B14417" s="163"/>
      <c r="C14417" s="163"/>
      <c r="J14417" s="165"/>
      <c r="K14417" s="166"/>
      <c r="L14417" s="166"/>
    </row>
    <row r="14418">
      <c r="A14418" s="163" t="s">
        <v>222</v>
      </c>
      <c r="B14418" s="163"/>
      <c r="C14418" s="163"/>
      <c r="J14418" s="165"/>
      <c r="K14418" s="166"/>
      <c r="L14418" s="166"/>
    </row>
    <row r="14419">
      <c r="A14419" s="163" t="s">
        <v>222</v>
      </c>
      <c r="B14419" s="163"/>
      <c r="C14419" s="163"/>
      <c r="J14419" s="165"/>
      <c r="K14419" s="166"/>
      <c r="L14419" s="166"/>
    </row>
    <row r="14420">
      <c r="A14420" s="163" t="s">
        <v>222</v>
      </c>
      <c r="B14420" s="163"/>
      <c r="C14420" s="163"/>
      <c r="J14420" s="165"/>
      <c r="K14420" s="166"/>
      <c r="L14420" s="166"/>
    </row>
    <row r="14421">
      <c r="A14421" s="163" t="s">
        <v>222</v>
      </c>
      <c r="B14421" s="163"/>
      <c r="C14421" s="163"/>
      <c r="J14421" s="165"/>
      <c r="K14421" s="166"/>
      <c r="L14421" s="166"/>
    </row>
    <row r="14422">
      <c r="A14422" s="163" t="s">
        <v>222</v>
      </c>
      <c r="B14422" s="163"/>
      <c r="C14422" s="163"/>
      <c r="J14422" s="165"/>
      <c r="K14422" s="166"/>
      <c r="L14422" s="166"/>
    </row>
    <row r="14423">
      <c r="A14423" s="163" t="s">
        <v>222</v>
      </c>
      <c r="B14423" s="163"/>
      <c r="C14423" s="163"/>
      <c r="J14423" s="165"/>
      <c r="K14423" s="166"/>
      <c r="L14423" s="166"/>
    </row>
    <row r="14424">
      <c r="A14424" s="163" t="s">
        <v>222</v>
      </c>
      <c r="B14424" s="163"/>
      <c r="C14424" s="163"/>
      <c r="J14424" s="165"/>
      <c r="K14424" s="166"/>
      <c r="L14424" s="166"/>
    </row>
    <row r="14425">
      <c r="A14425" s="163" t="s">
        <v>222</v>
      </c>
      <c r="B14425" s="163"/>
      <c r="C14425" s="163"/>
      <c r="J14425" s="165"/>
      <c r="K14425" s="166"/>
      <c r="L14425" s="166"/>
    </row>
    <row r="14426">
      <c r="A14426" s="163" t="s">
        <v>222</v>
      </c>
      <c r="B14426" s="163"/>
      <c r="C14426" s="163"/>
      <c r="J14426" s="165"/>
      <c r="K14426" s="166"/>
      <c r="L14426" s="166"/>
    </row>
    <row r="14427">
      <c r="A14427" s="163" t="s">
        <v>222</v>
      </c>
      <c r="B14427" s="163"/>
      <c r="C14427" s="163"/>
      <c r="J14427" s="165"/>
      <c r="K14427" s="166"/>
      <c r="L14427" s="166"/>
    </row>
    <row r="14428">
      <c r="A14428" s="163" t="s">
        <v>222</v>
      </c>
      <c r="B14428" s="163"/>
      <c r="C14428" s="163"/>
      <c r="J14428" s="165"/>
      <c r="K14428" s="166"/>
      <c r="L14428" s="166"/>
    </row>
    <row r="14429">
      <c r="A14429" s="163" t="s">
        <v>222</v>
      </c>
      <c r="B14429" s="163"/>
      <c r="C14429" s="163"/>
      <c r="J14429" s="165"/>
      <c r="K14429" s="166"/>
      <c r="L14429" s="166"/>
    </row>
    <row r="14430">
      <c r="A14430" s="163" t="s">
        <v>222</v>
      </c>
      <c r="B14430" s="163"/>
      <c r="C14430" s="163"/>
      <c r="J14430" s="165"/>
      <c r="K14430" s="166"/>
      <c r="L14430" s="166"/>
    </row>
    <row r="14431">
      <c r="A14431" s="163" t="s">
        <v>222</v>
      </c>
      <c r="B14431" s="163"/>
      <c r="C14431" s="163"/>
      <c r="J14431" s="165"/>
      <c r="K14431" s="166"/>
      <c r="L14431" s="166"/>
    </row>
    <row r="14432">
      <c r="A14432" s="163" t="s">
        <v>222</v>
      </c>
      <c r="B14432" s="163"/>
      <c r="C14432" s="163"/>
      <c r="J14432" s="165"/>
      <c r="K14432" s="166"/>
      <c r="L14432" s="166"/>
    </row>
    <row r="14433">
      <c r="A14433" s="163" t="s">
        <v>222</v>
      </c>
      <c r="B14433" s="163"/>
      <c r="C14433" s="163"/>
      <c r="J14433" s="165"/>
      <c r="K14433" s="166"/>
      <c r="L14433" s="166"/>
    </row>
    <row r="14434">
      <c r="A14434" s="163" t="s">
        <v>222</v>
      </c>
      <c r="B14434" s="163"/>
      <c r="C14434" s="163"/>
      <c r="J14434" s="165"/>
      <c r="K14434" s="166"/>
      <c r="L14434" s="166"/>
    </row>
    <row r="14435">
      <c r="A14435" s="163" t="s">
        <v>222</v>
      </c>
      <c r="B14435" s="163"/>
      <c r="C14435" s="163"/>
      <c r="J14435" s="165"/>
      <c r="K14435" s="166"/>
      <c r="L14435" s="166"/>
    </row>
    <row r="14436">
      <c r="A14436" s="163" t="s">
        <v>222</v>
      </c>
      <c r="B14436" s="163"/>
      <c r="C14436" s="163"/>
      <c r="J14436" s="165"/>
      <c r="K14436" s="166"/>
      <c r="L14436" s="166"/>
    </row>
    <row r="14437">
      <c r="A14437" s="163" t="s">
        <v>222</v>
      </c>
      <c r="B14437" s="163"/>
      <c r="C14437" s="163"/>
      <c r="J14437" s="165"/>
      <c r="K14437" s="166"/>
      <c r="L14437" s="166"/>
    </row>
    <row r="14438">
      <c r="A14438" s="163" t="s">
        <v>222</v>
      </c>
      <c r="B14438" s="163"/>
      <c r="C14438" s="163"/>
      <c r="J14438" s="165"/>
      <c r="K14438" s="166"/>
      <c r="L14438" s="166"/>
    </row>
    <row r="14439">
      <c r="A14439" s="163" t="s">
        <v>222</v>
      </c>
      <c r="B14439" s="163"/>
      <c r="C14439" s="163"/>
      <c r="J14439" s="165"/>
      <c r="K14439" s="166"/>
      <c r="L14439" s="166"/>
    </row>
    <row r="14440">
      <c r="A14440" s="163" t="s">
        <v>222</v>
      </c>
      <c r="B14440" s="163"/>
      <c r="C14440" s="163"/>
      <c r="J14440" s="165"/>
      <c r="K14440" s="166"/>
      <c r="L14440" s="166"/>
    </row>
    <row r="14441">
      <c r="A14441" s="163" t="s">
        <v>222</v>
      </c>
      <c r="B14441" s="163"/>
      <c r="C14441" s="163"/>
      <c r="J14441" s="165"/>
      <c r="K14441" s="166"/>
      <c r="L14441" s="166"/>
    </row>
    <row r="14442">
      <c r="A14442" s="163" t="s">
        <v>222</v>
      </c>
      <c r="B14442" s="163"/>
      <c r="C14442" s="163"/>
      <c r="J14442" s="165"/>
      <c r="K14442" s="166"/>
      <c r="L14442" s="166"/>
    </row>
    <row r="14443">
      <c r="A14443" s="163" t="s">
        <v>222</v>
      </c>
      <c r="B14443" s="163"/>
      <c r="C14443" s="163"/>
      <c r="J14443" s="165"/>
      <c r="K14443" s="166"/>
      <c r="L14443" s="166"/>
    </row>
    <row r="14444">
      <c r="A14444" s="163" t="s">
        <v>222</v>
      </c>
      <c r="B14444" s="163"/>
      <c r="C14444" s="163"/>
      <c r="J14444" s="165"/>
      <c r="K14444" s="166"/>
      <c r="L14444" s="166"/>
    </row>
    <row r="14445">
      <c r="A14445" s="163" t="s">
        <v>222</v>
      </c>
      <c r="B14445" s="163"/>
      <c r="C14445" s="163"/>
      <c r="J14445" s="165"/>
      <c r="K14445" s="166"/>
      <c r="L14445" s="166"/>
    </row>
    <row r="14446">
      <c r="A14446" s="163" t="s">
        <v>222</v>
      </c>
      <c r="B14446" s="163"/>
      <c r="C14446" s="163"/>
      <c r="J14446" s="165"/>
      <c r="K14446" s="166"/>
      <c r="L14446" s="166"/>
    </row>
    <row r="14447">
      <c r="A14447" s="163" t="s">
        <v>222</v>
      </c>
      <c r="B14447" s="163"/>
      <c r="C14447" s="163"/>
      <c r="J14447" s="165"/>
      <c r="K14447" s="166"/>
      <c r="L14447" s="166"/>
    </row>
    <row r="14448">
      <c r="A14448" s="163" t="s">
        <v>222</v>
      </c>
      <c r="B14448" s="163"/>
      <c r="C14448" s="163"/>
      <c r="J14448" s="165"/>
      <c r="K14448" s="166"/>
      <c r="L14448" s="166"/>
    </row>
    <row r="14449">
      <c r="A14449" s="163" t="s">
        <v>222</v>
      </c>
      <c r="B14449" s="163"/>
      <c r="C14449" s="163"/>
      <c r="J14449" s="165"/>
      <c r="K14449" s="166"/>
      <c r="L14449" s="166"/>
    </row>
    <row r="14450">
      <c r="A14450" s="163" t="s">
        <v>222</v>
      </c>
      <c r="B14450" s="163"/>
      <c r="C14450" s="163"/>
      <c r="J14450" s="165"/>
      <c r="K14450" s="166"/>
      <c r="L14450" s="166"/>
    </row>
    <row r="14451">
      <c r="A14451" s="163" t="s">
        <v>222</v>
      </c>
      <c r="B14451" s="163"/>
      <c r="C14451" s="163"/>
      <c r="J14451" s="165"/>
      <c r="K14451" s="166"/>
      <c r="L14451" s="166"/>
    </row>
    <row r="14452">
      <c r="A14452" s="163" t="s">
        <v>222</v>
      </c>
      <c r="B14452" s="163"/>
      <c r="C14452" s="163"/>
      <c r="J14452" s="165"/>
      <c r="K14452" s="166"/>
      <c r="L14452" s="166"/>
    </row>
    <row r="14453">
      <c r="A14453" s="163" t="s">
        <v>222</v>
      </c>
      <c r="B14453" s="163"/>
      <c r="C14453" s="163"/>
      <c r="J14453" s="165"/>
      <c r="K14453" s="166"/>
      <c r="L14453" s="166"/>
    </row>
    <row r="14454">
      <c r="A14454" s="163" t="s">
        <v>222</v>
      </c>
      <c r="B14454" s="163"/>
      <c r="C14454" s="163"/>
      <c r="J14454" s="165"/>
      <c r="K14454" s="166"/>
      <c r="L14454" s="166"/>
    </row>
    <row r="14455">
      <c r="A14455" s="163" t="s">
        <v>222</v>
      </c>
      <c r="B14455" s="163"/>
      <c r="C14455" s="163"/>
      <c r="J14455" s="165"/>
      <c r="K14455" s="166"/>
      <c r="L14455" s="166"/>
    </row>
    <row r="14456">
      <c r="A14456" s="163" t="s">
        <v>222</v>
      </c>
      <c r="B14456" s="163"/>
      <c r="C14456" s="163"/>
      <c r="J14456" s="165"/>
      <c r="K14456" s="166"/>
      <c r="L14456" s="166"/>
    </row>
    <row r="14457">
      <c r="A14457" s="163" t="s">
        <v>222</v>
      </c>
      <c r="B14457" s="163"/>
      <c r="C14457" s="163"/>
      <c r="J14457" s="165"/>
      <c r="K14457" s="166"/>
      <c r="L14457" s="166"/>
    </row>
    <row r="14458">
      <c r="A14458" s="163" t="s">
        <v>222</v>
      </c>
      <c r="B14458" s="163"/>
      <c r="C14458" s="163"/>
      <c r="J14458" s="165"/>
      <c r="K14458" s="166"/>
      <c r="L14458" s="166"/>
    </row>
    <row r="14459">
      <c r="A14459" s="163" t="s">
        <v>222</v>
      </c>
      <c r="B14459" s="163"/>
      <c r="C14459" s="163"/>
      <c r="J14459" s="165"/>
      <c r="K14459" s="166"/>
      <c r="L14459" s="166"/>
    </row>
    <row r="14460">
      <c r="A14460" s="163" t="s">
        <v>222</v>
      </c>
      <c r="B14460" s="163"/>
      <c r="C14460" s="163"/>
      <c r="J14460" s="165"/>
      <c r="K14460" s="166"/>
      <c r="L14460" s="166"/>
    </row>
    <row r="14461">
      <c r="A14461" s="163" t="s">
        <v>222</v>
      </c>
      <c r="B14461" s="163"/>
      <c r="C14461" s="163"/>
      <c r="J14461" s="165"/>
      <c r="K14461" s="166"/>
      <c r="L14461" s="166"/>
    </row>
    <row r="14462">
      <c r="A14462" s="163" t="s">
        <v>222</v>
      </c>
      <c r="B14462" s="163"/>
      <c r="C14462" s="163"/>
      <c r="J14462" s="165"/>
      <c r="K14462" s="166"/>
      <c r="L14462" s="166"/>
    </row>
    <row r="14463">
      <c r="A14463" s="163" t="s">
        <v>222</v>
      </c>
      <c r="B14463" s="163"/>
      <c r="C14463" s="163"/>
      <c r="J14463" s="165"/>
      <c r="K14463" s="166"/>
      <c r="L14463" s="166"/>
    </row>
    <row r="14464">
      <c r="A14464" s="163" t="s">
        <v>222</v>
      </c>
      <c r="B14464" s="163"/>
      <c r="C14464" s="163"/>
      <c r="J14464" s="165"/>
      <c r="K14464" s="166"/>
      <c r="L14464" s="166"/>
    </row>
    <row r="14465">
      <c r="A14465" s="163" t="s">
        <v>222</v>
      </c>
      <c r="B14465" s="163"/>
      <c r="C14465" s="163"/>
      <c r="J14465" s="165"/>
      <c r="K14465" s="166"/>
      <c r="L14465" s="166"/>
    </row>
    <row r="14466">
      <c r="A14466" s="163" t="s">
        <v>222</v>
      </c>
      <c r="B14466" s="163"/>
      <c r="C14466" s="163"/>
      <c r="J14466" s="165"/>
      <c r="K14466" s="166"/>
      <c r="L14466" s="166"/>
    </row>
    <row r="14467">
      <c r="A14467" s="163" t="s">
        <v>222</v>
      </c>
      <c r="B14467" s="163"/>
      <c r="C14467" s="163"/>
      <c r="J14467" s="165"/>
      <c r="K14467" s="166"/>
      <c r="L14467" s="166"/>
    </row>
    <row r="14468">
      <c r="A14468" s="163" t="s">
        <v>222</v>
      </c>
      <c r="B14468" s="163"/>
      <c r="C14468" s="163"/>
      <c r="J14468" s="165"/>
      <c r="K14468" s="166"/>
      <c r="L14468" s="166"/>
    </row>
    <row r="14469">
      <c r="A14469" s="163" t="s">
        <v>222</v>
      </c>
      <c r="B14469" s="163"/>
      <c r="C14469" s="163"/>
      <c r="J14469" s="165"/>
      <c r="K14469" s="166"/>
      <c r="L14469" s="166"/>
    </row>
    <row r="14470">
      <c r="A14470" s="163" t="s">
        <v>222</v>
      </c>
      <c r="B14470" s="163"/>
      <c r="C14470" s="163"/>
      <c r="J14470" s="165"/>
      <c r="K14470" s="166"/>
      <c r="L14470" s="166"/>
    </row>
    <row r="14471">
      <c r="A14471" s="163" t="s">
        <v>222</v>
      </c>
      <c r="B14471" s="163"/>
      <c r="C14471" s="163"/>
      <c r="J14471" s="165"/>
      <c r="K14471" s="166"/>
      <c r="L14471" s="166"/>
    </row>
    <row r="14472">
      <c r="A14472" s="163" t="s">
        <v>222</v>
      </c>
      <c r="B14472" s="163"/>
      <c r="C14472" s="163"/>
      <c r="J14472" s="165"/>
      <c r="K14472" s="166"/>
      <c r="L14472" s="166"/>
    </row>
    <row r="14473">
      <c r="A14473" s="163" t="s">
        <v>222</v>
      </c>
      <c r="B14473" s="163"/>
      <c r="C14473" s="163"/>
      <c r="J14473" s="165"/>
      <c r="K14473" s="166"/>
      <c r="L14473" s="166"/>
    </row>
    <row r="14474">
      <c r="A14474" s="163" t="s">
        <v>222</v>
      </c>
      <c r="B14474" s="163"/>
      <c r="C14474" s="163"/>
      <c r="J14474" s="165"/>
      <c r="K14474" s="166"/>
      <c r="L14474" s="166"/>
    </row>
    <row r="14475">
      <c r="A14475" s="163" t="s">
        <v>222</v>
      </c>
      <c r="B14475" s="163"/>
      <c r="C14475" s="163"/>
      <c r="J14475" s="165"/>
      <c r="K14475" s="166"/>
      <c r="L14475" s="166"/>
    </row>
    <row r="14476">
      <c r="A14476" s="163" t="s">
        <v>222</v>
      </c>
      <c r="B14476" s="163"/>
      <c r="C14476" s="163"/>
      <c r="J14476" s="165"/>
      <c r="K14476" s="166"/>
      <c r="L14476" s="166"/>
    </row>
    <row r="14477">
      <c r="A14477" s="163" t="s">
        <v>222</v>
      </c>
      <c r="B14477" s="163"/>
      <c r="C14477" s="163"/>
      <c r="J14477" s="165"/>
      <c r="K14477" s="166"/>
      <c r="L14477" s="166"/>
    </row>
    <row r="14478">
      <c r="A14478" s="163" t="s">
        <v>222</v>
      </c>
      <c r="B14478" s="163"/>
      <c r="C14478" s="163"/>
      <c r="J14478" s="165"/>
      <c r="K14478" s="166"/>
      <c r="L14478" s="166"/>
    </row>
    <row r="14479">
      <c r="A14479" s="163" t="s">
        <v>222</v>
      </c>
      <c r="B14479" s="163"/>
      <c r="C14479" s="163"/>
      <c r="J14479" s="165"/>
      <c r="K14479" s="166"/>
      <c r="L14479" s="166"/>
    </row>
    <row r="14480">
      <c r="A14480" s="163" t="s">
        <v>222</v>
      </c>
      <c r="B14480" s="163"/>
      <c r="C14480" s="163"/>
      <c r="J14480" s="165"/>
      <c r="K14480" s="166"/>
      <c r="L14480" s="166"/>
    </row>
    <row r="14481">
      <c r="A14481" s="163" t="s">
        <v>222</v>
      </c>
      <c r="B14481" s="163"/>
      <c r="C14481" s="163"/>
      <c r="J14481" s="165"/>
      <c r="K14481" s="166"/>
      <c r="L14481" s="166"/>
    </row>
    <row r="14482">
      <c r="A14482" s="163" t="s">
        <v>222</v>
      </c>
      <c r="B14482" s="163"/>
      <c r="C14482" s="163"/>
      <c r="J14482" s="165"/>
      <c r="K14482" s="166"/>
      <c r="L14482" s="166"/>
    </row>
    <row r="14483">
      <c r="A14483" s="163" t="s">
        <v>222</v>
      </c>
      <c r="B14483" s="163"/>
      <c r="C14483" s="163"/>
      <c r="J14483" s="165"/>
      <c r="K14483" s="166"/>
      <c r="L14483" s="166"/>
    </row>
    <row r="14484">
      <c r="A14484" s="163" t="s">
        <v>222</v>
      </c>
      <c r="B14484" s="163"/>
      <c r="C14484" s="163"/>
      <c r="J14484" s="165"/>
      <c r="K14484" s="166"/>
      <c r="L14484" s="166"/>
    </row>
    <row r="14485">
      <c r="A14485" s="163" t="s">
        <v>222</v>
      </c>
      <c r="B14485" s="163"/>
      <c r="C14485" s="163"/>
      <c r="J14485" s="165"/>
      <c r="K14485" s="166"/>
      <c r="L14485" s="166"/>
    </row>
    <row r="14486">
      <c r="A14486" s="163" t="s">
        <v>222</v>
      </c>
      <c r="B14486" s="163"/>
      <c r="C14486" s="163"/>
      <c r="J14486" s="165"/>
      <c r="K14486" s="166"/>
      <c r="L14486" s="166"/>
    </row>
    <row r="14487">
      <c r="A14487" s="163" t="s">
        <v>222</v>
      </c>
      <c r="B14487" s="163"/>
      <c r="C14487" s="163"/>
      <c r="J14487" s="165"/>
      <c r="K14487" s="166"/>
      <c r="L14487" s="166"/>
    </row>
    <row r="14488">
      <c r="A14488" s="163" t="s">
        <v>222</v>
      </c>
      <c r="B14488" s="163"/>
      <c r="C14488" s="163"/>
      <c r="J14488" s="165"/>
      <c r="K14488" s="166"/>
      <c r="L14488" s="166"/>
    </row>
    <row r="14489">
      <c r="A14489" s="163" t="s">
        <v>222</v>
      </c>
      <c r="B14489" s="163"/>
      <c r="C14489" s="163"/>
      <c r="J14489" s="165"/>
      <c r="K14489" s="166"/>
      <c r="L14489" s="166"/>
    </row>
    <row r="14490">
      <c r="A14490" s="163" t="s">
        <v>222</v>
      </c>
      <c r="B14490" s="163"/>
      <c r="C14490" s="163"/>
      <c r="J14490" s="165"/>
      <c r="K14490" s="166"/>
      <c r="L14490" s="166"/>
    </row>
    <row r="14491">
      <c r="A14491" s="163" t="s">
        <v>222</v>
      </c>
      <c r="B14491" s="163"/>
      <c r="C14491" s="163"/>
      <c r="J14491" s="165"/>
      <c r="K14491" s="166"/>
      <c r="L14491" s="166"/>
    </row>
    <row r="14492">
      <c r="A14492" s="163" t="s">
        <v>222</v>
      </c>
      <c r="B14492" s="163"/>
      <c r="C14492" s="163"/>
      <c r="J14492" s="165"/>
      <c r="K14492" s="166"/>
      <c r="L14492" s="166"/>
    </row>
    <row r="14493">
      <c r="A14493" s="163" t="s">
        <v>222</v>
      </c>
      <c r="B14493" s="163"/>
      <c r="C14493" s="163"/>
      <c r="J14493" s="165"/>
      <c r="K14493" s="166"/>
      <c r="L14493" s="166"/>
    </row>
    <row r="14494">
      <c r="A14494" s="163" t="s">
        <v>222</v>
      </c>
      <c r="B14494" s="163"/>
      <c r="C14494" s="163"/>
      <c r="J14494" s="165"/>
      <c r="K14494" s="166"/>
      <c r="L14494" s="166"/>
    </row>
    <row r="14495">
      <c r="A14495" s="163" t="s">
        <v>222</v>
      </c>
      <c r="B14495" s="163"/>
      <c r="C14495" s="163"/>
      <c r="J14495" s="165"/>
      <c r="K14495" s="166"/>
      <c r="L14495" s="166"/>
    </row>
    <row r="14496">
      <c r="A14496" s="163" t="s">
        <v>222</v>
      </c>
      <c r="B14496" s="163"/>
      <c r="C14496" s="163"/>
      <c r="J14496" s="165"/>
      <c r="K14496" s="166"/>
      <c r="L14496" s="166"/>
    </row>
    <row r="14497">
      <c r="A14497" s="163" t="s">
        <v>222</v>
      </c>
      <c r="B14497" s="163"/>
      <c r="C14497" s="163"/>
      <c r="J14497" s="165"/>
      <c r="K14497" s="166"/>
      <c r="L14497" s="166"/>
    </row>
    <row r="14498">
      <c r="A14498" s="163" t="s">
        <v>222</v>
      </c>
      <c r="B14498" s="163"/>
      <c r="C14498" s="163"/>
      <c r="J14498" s="165"/>
      <c r="K14498" s="166"/>
      <c r="L14498" s="166"/>
    </row>
    <row r="14499">
      <c r="A14499" s="163" t="s">
        <v>222</v>
      </c>
      <c r="B14499" s="163"/>
      <c r="C14499" s="163"/>
      <c r="J14499" s="165"/>
      <c r="K14499" s="166"/>
      <c r="L14499" s="166"/>
    </row>
    <row r="14500">
      <c r="A14500" s="163" t="s">
        <v>222</v>
      </c>
      <c r="B14500" s="163"/>
      <c r="C14500" s="163"/>
      <c r="J14500" s="165"/>
      <c r="K14500" s="166"/>
      <c r="L14500" s="166"/>
    </row>
    <row r="14501">
      <c r="A14501" s="163" t="s">
        <v>222</v>
      </c>
      <c r="B14501" s="163"/>
      <c r="C14501" s="163"/>
      <c r="J14501" s="165"/>
      <c r="K14501" s="166"/>
      <c r="L14501" s="166"/>
    </row>
    <row r="14502">
      <c r="A14502" s="163" t="s">
        <v>222</v>
      </c>
      <c r="B14502" s="163"/>
      <c r="C14502" s="163"/>
      <c r="J14502" s="165"/>
      <c r="K14502" s="166"/>
      <c r="L14502" s="166"/>
    </row>
    <row r="14503">
      <c r="A14503" s="163" t="s">
        <v>222</v>
      </c>
      <c r="B14503" s="163"/>
      <c r="C14503" s="163"/>
      <c r="J14503" s="165"/>
      <c r="K14503" s="166"/>
      <c r="L14503" s="166"/>
    </row>
    <row r="14504">
      <c r="A14504" s="163" t="s">
        <v>222</v>
      </c>
      <c r="B14504" s="163"/>
      <c r="C14504" s="163"/>
      <c r="J14504" s="165"/>
      <c r="K14504" s="166"/>
      <c r="L14504" s="166"/>
    </row>
    <row r="14505">
      <c r="A14505" s="163" t="s">
        <v>222</v>
      </c>
      <c r="B14505" s="163"/>
      <c r="C14505" s="163"/>
      <c r="J14505" s="165"/>
      <c r="K14505" s="166"/>
      <c r="L14505" s="166"/>
    </row>
    <row r="14506">
      <c r="A14506" s="163" t="s">
        <v>222</v>
      </c>
      <c r="B14506" s="163"/>
      <c r="C14506" s="163"/>
      <c r="J14506" s="165"/>
      <c r="K14506" s="166"/>
      <c r="L14506" s="166"/>
    </row>
    <row r="14507">
      <c r="A14507" s="163" t="s">
        <v>222</v>
      </c>
      <c r="B14507" s="163"/>
      <c r="C14507" s="163"/>
      <c r="J14507" s="165"/>
      <c r="K14507" s="166"/>
      <c r="L14507" s="166"/>
    </row>
    <row r="14508">
      <c r="A14508" s="163" t="s">
        <v>222</v>
      </c>
      <c r="B14508" s="163"/>
      <c r="C14508" s="163"/>
      <c r="J14508" s="165"/>
      <c r="K14508" s="166"/>
      <c r="L14508" s="166"/>
    </row>
    <row r="14509">
      <c r="A14509" s="163" t="s">
        <v>222</v>
      </c>
      <c r="B14509" s="163"/>
      <c r="C14509" s="163"/>
      <c r="J14509" s="165"/>
      <c r="K14509" s="166"/>
      <c r="L14509" s="166"/>
    </row>
    <row r="14510">
      <c r="A14510" s="163" t="s">
        <v>222</v>
      </c>
      <c r="B14510" s="163"/>
      <c r="C14510" s="163"/>
      <c r="J14510" s="165"/>
      <c r="K14510" s="166"/>
      <c r="L14510" s="166"/>
    </row>
    <row r="14511">
      <c r="A14511" s="163" t="s">
        <v>222</v>
      </c>
      <c r="B14511" s="163"/>
      <c r="C14511" s="163"/>
      <c r="J14511" s="165"/>
      <c r="K14511" s="166"/>
      <c r="L14511" s="166"/>
    </row>
    <row r="14512">
      <c r="A14512" s="163" t="s">
        <v>222</v>
      </c>
      <c r="B14512" s="163"/>
      <c r="C14512" s="163"/>
      <c r="J14512" s="165"/>
      <c r="K14512" s="166"/>
      <c r="L14512" s="166"/>
    </row>
    <row r="14513">
      <c r="A14513" s="163" t="s">
        <v>222</v>
      </c>
      <c r="B14513" s="163"/>
      <c r="C14513" s="163"/>
      <c r="J14513" s="165"/>
      <c r="K14513" s="166"/>
      <c r="L14513" s="166"/>
    </row>
    <row r="14514">
      <c r="A14514" s="163" t="s">
        <v>222</v>
      </c>
      <c r="B14514" s="163"/>
      <c r="C14514" s="163"/>
      <c r="J14514" s="165"/>
      <c r="K14514" s="166"/>
      <c r="L14514" s="166"/>
    </row>
    <row r="14515">
      <c r="A14515" s="163" t="s">
        <v>222</v>
      </c>
      <c r="B14515" s="163"/>
      <c r="C14515" s="163"/>
      <c r="J14515" s="165"/>
      <c r="K14515" s="166"/>
      <c r="L14515" s="166"/>
    </row>
    <row r="14516">
      <c r="A14516" s="163" t="s">
        <v>222</v>
      </c>
      <c r="B14516" s="163"/>
      <c r="C14516" s="163"/>
      <c r="J14516" s="165"/>
      <c r="K14516" s="166"/>
      <c r="L14516" s="166"/>
    </row>
    <row r="14517">
      <c r="A14517" s="163" t="s">
        <v>222</v>
      </c>
      <c r="B14517" s="163"/>
      <c r="C14517" s="163"/>
      <c r="J14517" s="165"/>
      <c r="K14517" s="166"/>
      <c r="L14517" s="166"/>
    </row>
    <row r="14518">
      <c r="A14518" s="163" t="s">
        <v>222</v>
      </c>
      <c r="B14518" s="163"/>
      <c r="C14518" s="163"/>
      <c r="J14518" s="165"/>
      <c r="K14518" s="166"/>
      <c r="L14518" s="166"/>
    </row>
    <row r="14519">
      <c r="A14519" s="163" t="s">
        <v>222</v>
      </c>
      <c r="B14519" s="163"/>
      <c r="C14519" s="163"/>
      <c r="J14519" s="165"/>
      <c r="K14519" s="166"/>
      <c r="L14519" s="166"/>
    </row>
    <row r="14520">
      <c r="A14520" s="163" t="s">
        <v>222</v>
      </c>
      <c r="B14520" s="163"/>
      <c r="C14520" s="163"/>
      <c r="J14520" s="165"/>
      <c r="K14520" s="166"/>
      <c r="L14520" s="166"/>
    </row>
    <row r="14521">
      <c r="A14521" s="163" t="s">
        <v>222</v>
      </c>
      <c r="B14521" s="163"/>
      <c r="C14521" s="163"/>
      <c r="J14521" s="165"/>
      <c r="K14521" s="166"/>
      <c r="L14521" s="166"/>
    </row>
    <row r="14522">
      <c r="A14522" s="163" t="s">
        <v>222</v>
      </c>
      <c r="B14522" s="163"/>
      <c r="C14522" s="163"/>
      <c r="J14522" s="165"/>
      <c r="K14522" s="166"/>
      <c r="L14522" s="166"/>
    </row>
    <row r="14523">
      <c r="A14523" s="163" t="s">
        <v>222</v>
      </c>
      <c r="B14523" s="163"/>
      <c r="C14523" s="163"/>
      <c r="J14523" s="165"/>
      <c r="K14523" s="166"/>
      <c r="L14523" s="166"/>
    </row>
    <row r="14524">
      <c r="A14524" s="163" t="s">
        <v>222</v>
      </c>
      <c r="B14524" s="163"/>
      <c r="C14524" s="163"/>
      <c r="J14524" s="165"/>
      <c r="K14524" s="166"/>
      <c r="L14524" s="166"/>
    </row>
    <row r="14525">
      <c r="A14525" s="163" t="s">
        <v>222</v>
      </c>
      <c r="B14525" s="163"/>
      <c r="C14525" s="163"/>
      <c r="J14525" s="165"/>
      <c r="K14525" s="166"/>
      <c r="L14525" s="166"/>
    </row>
    <row r="14526">
      <c r="A14526" s="163" t="s">
        <v>222</v>
      </c>
      <c r="B14526" s="163"/>
      <c r="C14526" s="163"/>
      <c r="J14526" s="165"/>
      <c r="K14526" s="166"/>
      <c r="L14526" s="166"/>
    </row>
    <row r="14527">
      <c r="A14527" s="163" t="s">
        <v>222</v>
      </c>
      <c r="B14527" s="163"/>
      <c r="C14527" s="163"/>
      <c r="J14527" s="165"/>
      <c r="K14527" s="166"/>
      <c r="L14527" s="166"/>
    </row>
    <row r="14528">
      <c r="A14528" s="163" t="s">
        <v>222</v>
      </c>
      <c r="B14528" s="163"/>
      <c r="C14528" s="163"/>
      <c r="J14528" s="165"/>
      <c r="K14528" s="166"/>
      <c r="L14528" s="166"/>
    </row>
    <row r="14529">
      <c r="A14529" s="163" t="s">
        <v>222</v>
      </c>
      <c r="B14529" s="163"/>
      <c r="C14529" s="163"/>
      <c r="J14529" s="165"/>
      <c r="K14529" s="166"/>
      <c r="L14529" s="166"/>
    </row>
    <row r="14530">
      <c r="A14530" s="163" t="s">
        <v>222</v>
      </c>
      <c r="B14530" s="163"/>
      <c r="C14530" s="163"/>
      <c r="J14530" s="165"/>
      <c r="K14530" s="166"/>
      <c r="L14530" s="166"/>
    </row>
    <row r="14531">
      <c r="A14531" s="163" t="s">
        <v>222</v>
      </c>
      <c r="B14531" s="163"/>
      <c r="C14531" s="163"/>
      <c r="J14531" s="165"/>
      <c r="K14531" s="166"/>
      <c r="L14531" s="166"/>
    </row>
    <row r="14532">
      <c r="A14532" s="163" t="s">
        <v>222</v>
      </c>
      <c r="B14532" s="163"/>
      <c r="C14532" s="163"/>
      <c r="J14532" s="165"/>
      <c r="K14532" s="166"/>
      <c r="L14532" s="166"/>
    </row>
    <row r="14533">
      <c r="A14533" s="163" t="s">
        <v>222</v>
      </c>
      <c r="B14533" s="163"/>
      <c r="C14533" s="163"/>
      <c r="J14533" s="165"/>
      <c r="K14533" s="166"/>
      <c r="L14533" s="166"/>
    </row>
    <row r="14534">
      <c r="A14534" s="163" t="s">
        <v>222</v>
      </c>
      <c r="B14534" s="163"/>
      <c r="C14534" s="163"/>
      <c r="J14534" s="165"/>
      <c r="K14534" s="166"/>
      <c r="L14534" s="166"/>
    </row>
    <row r="14535">
      <c r="A14535" s="163" t="s">
        <v>222</v>
      </c>
      <c r="B14535" s="163"/>
      <c r="C14535" s="163"/>
      <c r="J14535" s="165"/>
      <c r="K14535" s="166"/>
      <c r="L14535" s="166"/>
    </row>
    <row r="14536">
      <c r="A14536" s="163" t="s">
        <v>222</v>
      </c>
      <c r="B14536" s="163"/>
      <c r="C14536" s="163"/>
      <c r="J14536" s="165"/>
      <c r="K14536" s="166"/>
      <c r="L14536" s="166"/>
    </row>
    <row r="14537">
      <c r="A14537" s="163" t="s">
        <v>222</v>
      </c>
      <c r="B14537" s="163"/>
      <c r="C14537" s="163"/>
      <c r="J14537" s="165"/>
      <c r="K14537" s="166"/>
      <c r="L14537" s="166"/>
    </row>
    <row r="14538">
      <c r="A14538" s="163" t="s">
        <v>222</v>
      </c>
      <c r="B14538" s="163"/>
      <c r="C14538" s="163"/>
      <c r="J14538" s="165"/>
      <c r="K14538" s="166"/>
      <c r="L14538" s="166"/>
    </row>
    <row r="14539">
      <c r="A14539" s="163" t="s">
        <v>222</v>
      </c>
      <c r="B14539" s="163"/>
      <c r="C14539" s="163"/>
      <c r="J14539" s="165"/>
      <c r="K14539" s="166"/>
      <c r="L14539" s="166"/>
    </row>
    <row r="14540">
      <c r="A14540" s="163" t="s">
        <v>222</v>
      </c>
      <c r="B14540" s="163"/>
      <c r="C14540" s="163"/>
      <c r="J14540" s="165"/>
      <c r="K14540" s="166"/>
      <c r="L14540" s="166"/>
    </row>
    <row r="14541">
      <c r="A14541" s="163" t="s">
        <v>222</v>
      </c>
      <c r="B14541" s="163"/>
      <c r="C14541" s="163"/>
      <c r="J14541" s="165"/>
      <c r="K14541" s="166"/>
      <c r="L14541" s="166"/>
    </row>
    <row r="14542">
      <c r="A14542" s="163" t="s">
        <v>222</v>
      </c>
      <c r="B14542" s="163"/>
      <c r="C14542" s="163"/>
      <c r="J14542" s="165"/>
      <c r="K14542" s="166"/>
      <c r="L14542" s="166"/>
    </row>
    <row r="14543">
      <c r="A14543" s="163" t="s">
        <v>222</v>
      </c>
      <c r="B14543" s="163"/>
      <c r="C14543" s="163"/>
      <c r="J14543" s="165"/>
      <c r="K14543" s="166"/>
      <c r="L14543" s="166"/>
    </row>
    <row r="14544">
      <c r="A14544" s="163" t="s">
        <v>222</v>
      </c>
      <c r="B14544" s="163"/>
      <c r="C14544" s="163"/>
      <c r="J14544" s="165"/>
      <c r="K14544" s="166"/>
      <c r="L14544" s="166"/>
    </row>
    <row r="14545">
      <c r="A14545" s="163" t="s">
        <v>222</v>
      </c>
      <c r="B14545" s="163"/>
      <c r="C14545" s="163"/>
      <c r="J14545" s="165"/>
      <c r="K14545" s="166"/>
      <c r="L14545" s="166"/>
    </row>
    <row r="14546">
      <c r="A14546" s="163" t="s">
        <v>222</v>
      </c>
      <c r="B14546" s="163"/>
      <c r="C14546" s="163"/>
      <c r="J14546" s="165"/>
      <c r="K14546" s="166"/>
      <c r="L14546" s="166"/>
    </row>
    <row r="14547">
      <c r="A14547" s="163" t="s">
        <v>222</v>
      </c>
      <c r="B14547" s="163"/>
      <c r="C14547" s="163"/>
      <c r="J14547" s="165"/>
      <c r="K14547" s="166"/>
      <c r="L14547" s="166"/>
    </row>
    <row r="14548">
      <c r="A14548" s="163" t="s">
        <v>222</v>
      </c>
      <c r="B14548" s="163"/>
      <c r="C14548" s="163"/>
      <c r="J14548" s="165"/>
      <c r="K14548" s="166"/>
      <c r="L14548" s="166"/>
    </row>
    <row r="14549">
      <c r="A14549" s="163" t="s">
        <v>222</v>
      </c>
      <c r="B14549" s="163"/>
      <c r="C14549" s="163"/>
      <c r="J14549" s="165"/>
      <c r="K14549" s="166"/>
      <c r="L14549" s="166"/>
    </row>
    <row r="14550">
      <c r="A14550" s="163" t="s">
        <v>222</v>
      </c>
      <c r="B14550" s="163"/>
      <c r="C14550" s="163"/>
      <c r="J14550" s="165"/>
      <c r="K14550" s="166"/>
      <c r="L14550" s="166"/>
    </row>
    <row r="14551">
      <c r="A14551" s="163" t="s">
        <v>222</v>
      </c>
      <c r="B14551" s="163"/>
      <c r="C14551" s="163"/>
      <c r="J14551" s="165"/>
      <c r="K14551" s="166"/>
      <c r="L14551" s="166"/>
    </row>
    <row r="14552">
      <c r="A14552" s="163" t="s">
        <v>222</v>
      </c>
      <c r="B14552" s="163"/>
      <c r="C14552" s="163"/>
      <c r="J14552" s="165"/>
      <c r="K14552" s="166"/>
      <c r="L14552" s="166"/>
    </row>
    <row r="14553">
      <c r="A14553" s="163" t="s">
        <v>222</v>
      </c>
      <c r="B14553" s="163"/>
      <c r="C14553" s="163"/>
      <c r="J14553" s="165"/>
      <c r="K14553" s="166"/>
      <c r="L14553" s="166"/>
    </row>
    <row r="14554">
      <c r="A14554" s="163" t="s">
        <v>222</v>
      </c>
      <c r="B14554" s="163"/>
      <c r="C14554" s="163"/>
      <c r="J14554" s="165"/>
      <c r="K14554" s="166"/>
      <c r="L14554" s="166"/>
    </row>
    <row r="14555">
      <c r="A14555" s="163" t="s">
        <v>222</v>
      </c>
      <c r="B14555" s="163"/>
      <c r="C14555" s="163"/>
      <c r="J14555" s="165"/>
      <c r="K14555" s="166"/>
      <c r="L14555" s="166"/>
    </row>
    <row r="14556">
      <c r="A14556" s="163" t="s">
        <v>222</v>
      </c>
      <c r="B14556" s="163"/>
      <c r="C14556" s="163"/>
      <c r="J14556" s="165"/>
      <c r="K14556" s="166"/>
      <c r="L14556" s="166"/>
    </row>
    <row r="14557">
      <c r="A14557" s="163" t="s">
        <v>222</v>
      </c>
      <c r="B14557" s="163"/>
      <c r="C14557" s="163"/>
      <c r="J14557" s="165"/>
      <c r="K14557" s="166"/>
      <c r="L14557" s="166"/>
    </row>
    <row r="14558">
      <c r="A14558" s="163" t="s">
        <v>222</v>
      </c>
      <c r="B14558" s="163"/>
      <c r="C14558" s="163"/>
      <c r="J14558" s="165"/>
      <c r="K14558" s="166"/>
      <c r="L14558" s="166"/>
    </row>
    <row r="14559">
      <c r="A14559" s="163" t="s">
        <v>222</v>
      </c>
      <c r="B14559" s="163"/>
      <c r="C14559" s="163"/>
      <c r="J14559" s="165"/>
      <c r="K14559" s="166"/>
      <c r="L14559" s="166"/>
    </row>
    <row r="14560">
      <c r="A14560" s="163" t="s">
        <v>222</v>
      </c>
      <c r="B14560" s="163"/>
      <c r="C14560" s="163"/>
      <c r="J14560" s="165"/>
      <c r="K14560" s="166"/>
      <c r="L14560" s="166"/>
    </row>
    <row r="14561">
      <c r="A14561" s="163" t="s">
        <v>222</v>
      </c>
      <c r="B14561" s="163"/>
      <c r="C14561" s="163"/>
      <c r="J14561" s="165"/>
      <c r="K14561" s="166"/>
      <c r="L14561" s="166"/>
    </row>
    <row r="14562">
      <c r="A14562" s="163" t="s">
        <v>222</v>
      </c>
      <c r="B14562" s="163"/>
      <c r="C14562" s="163"/>
      <c r="J14562" s="165"/>
      <c r="K14562" s="166"/>
      <c r="L14562" s="166"/>
    </row>
    <row r="14563">
      <c r="A14563" s="163" t="s">
        <v>222</v>
      </c>
      <c r="B14563" s="163"/>
      <c r="C14563" s="163"/>
      <c r="J14563" s="165"/>
      <c r="K14563" s="166"/>
      <c r="L14563" s="166"/>
    </row>
    <row r="14564">
      <c r="A14564" s="163" t="s">
        <v>222</v>
      </c>
      <c r="B14564" s="163"/>
      <c r="C14564" s="163"/>
      <c r="J14564" s="165"/>
      <c r="K14564" s="166"/>
      <c r="L14564" s="166"/>
    </row>
    <row r="14565">
      <c r="A14565" s="163" t="s">
        <v>222</v>
      </c>
      <c r="B14565" s="163"/>
      <c r="C14565" s="163"/>
      <c r="J14565" s="165"/>
      <c r="K14565" s="166"/>
      <c r="L14565" s="166"/>
    </row>
    <row r="14566">
      <c r="A14566" s="163" t="s">
        <v>222</v>
      </c>
      <c r="B14566" s="163"/>
      <c r="C14566" s="163"/>
      <c r="J14566" s="165"/>
      <c r="K14566" s="166"/>
      <c r="L14566" s="166"/>
    </row>
    <row r="14567">
      <c r="A14567" s="163" t="s">
        <v>222</v>
      </c>
      <c r="B14567" s="163"/>
      <c r="C14567" s="163"/>
      <c r="J14567" s="165"/>
      <c r="K14567" s="166"/>
      <c r="L14567" s="166"/>
    </row>
    <row r="14568">
      <c r="A14568" s="163" t="s">
        <v>222</v>
      </c>
      <c r="B14568" s="163"/>
      <c r="C14568" s="163"/>
      <c r="J14568" s="165"/>
      <c r="K14568" s="166"/>
      <c r="L14568" s="166"/>
    </row>
    <row r="14569">
      <c r="A14569" s="163" t="s">
        <v>222</v>
      </c>
      <c r="B14569" s="163"/>
      <c r="C14569" s="163"/>
      <c r="J14569" s="165"/>
      <c r="K14569" s="166"/>
      <c r="L14569" s="166"/>
    </row>
    <row r="14570">
      <c r="A14570" s="163" t="s">
        <v>222</v>
      </c>
      <c r="B14570" s="163"/>
      <c r="C14570" s="163"/>
      <c r="J14570" s="165"/>
      <c r="K14570" s="166"/>
      <c r="L14570" s="166"/>
    </row>
    <row r="14571">
      <c r="A14571" s="163" t="s">
        <v>222</v>
      </c>
      <c r="B14571" s="163"/>
      <c r="C14571" s="163"/>
      <c r="J14571" s="165"/>
      <c r="K14571" s="166"/>
      <c r="L14571" s="166"/>
    </row>
    <row r="14572">
      <c r="A14572" s="163" t="s">
        <v>222</v>
      </c>
      <c r="B14572" s="163"/>
      <c r="C14572" s="163"/>
      <c r="J14572" s="165"/>
      <c r="K14572" s="166"/>
      <c r="L14572" s="166"/>
    </row>
    <row r="14573">
      <c r="A14573" s="163" t="s">
        <v>222</v>
      </c>
      <c r="B14573" s="163"/>
      <c r="C14573" s="163"/>
      <c r="J14573" s="165"/>
      <c r="K14573" s="166"/>
      <c r="L14573" s="166"/>
    </row>
    <row r="14574">
      <c r="A14574" s="163" t="s">
        <v>222</v>
      </c>
      <c r="B14574" s="163"/>
      <c r="C14574" s="163"/>
      <c r="J14574" s="165"/>
      <c r="K14574" s="166"/>
      <c r="L14574" s="166"/>
    </row>
    <row r="14575">
      <c r="A14575" s="163" t="s">
        <v>222</v>
      </c>
      <c r="B14575" s="163"/>
      <c r="C14575" s="163"/>
      <c r="J14575" s="165"/>
      <c r="K14575" s="166"/>
      <c r="L14575" s="166"/>
    </row>
    <row r="14576">
      <c r="A14576" s="163" t="s">
        <v>222</v>
      </c>
      <c r="B14576" s="163"/>
      <c r="C14576" s="163"/>
      <c r="J14576" s="165"/>
      <c r="K14576" s="166"/>
      <c r="L14576" s="166"/>
    </row>
    <row r="14577">
      <c r="A14577" s="163" t="s">
        <v>222</v>
      </c>
      <c r="B14577" s="163"/>
      <c r="C14577" s="163"/>
      <c r="J14577" s="165"/>
      <c r="K14577" s="166"/>
      <c r="L14577" s="166"/>
    </row>
    <row r="14578">
      <c r="A14578" s="163" t="s">
        <v>222</v>
      </c>
      <c r="B14578" s="163"/>
      <c r="C14578" s="163"/>
      <c r="J14578" s="165"/>
      <c r="K14578" s="166"/>
      <c r="L14578" s="166"/>
    </row>
    <row r="14579">
      <c r="A14579" s="163" t="s">
        <v>222</v>
      </c>
      <c r="B14579" s="163"/>
      <c r="C14579" s="163"/>
      <c r="J14579" s="165"/>
      <c r="K14579" s="166"/>
      <c r="L14579" s="166"/>
    </row>
    <row r="14580">
      <c r="A14580" s="163" t="s">
        <v>222</v>
      </c>
      <c r="B14580" s="163"/>
      <c r="C14580" s="163"/>
      <c r="J14580" s="165"/>
      <c r="K14580" s="166"/>
      <c r="L14580" s="166"/>
    </row>
    <row r="14581">
      <c r="A14581" s="163" t="s">
        <v>222</v>
      </c>
      <c r="B14581" s="163"/>
      <c r="C14581" s="163"/>
      <c r="J14581" s="165"/>
      <c r="K14581" s="166"/>
      <c r="L14581" s="166"/>
    </row>
    <row r="14582">
      <c r="A14582" s="163" t="s">
        <v>222</v>
      </c>
      <c r="B14582" s="163"/>
      <c r="C14582" s="163"/>
      <c r="J14582" s="165"/>
      <c r="K14582" s="166"/>
      <c r="L14582" s="166"/>
    </row>
    <row r="14583">
      <c r="A14583" s="163" t="s">
        <v>222</v>
      </c>
      <c r="B14583" s="163"/>
      <c r="C14583" s="163"/>
      <c r="J14583" s="165"/>
      <c r="K14583" s="166"/>
      <c r="L14583" s="166"/>
    </row>
    <row r="14584">
      <c r="A14584" s="163" t="s">
        <v>222</v>
      </c>
      <c r="B14584" s="163"/>
      <c r="C14584" s="163"/>
      <c r="J14584" s="165"/>
      <c r="K14584" s="166"/>
      <c r="L14584" s="166"/>
    </row>
    <row r="14585">
      <c r="A14585" s="163" t="s">
        <v>222</v>
      </c>
      <c r="B14585" s="163"/>
      <c r="C14585" s="163"/>
      <c r="J14585" s="165"/>
      <c r="K14585" s="166"/>
      <c r="L14585" s="166"/>
    </row>
    <row r="14586">
      <c r="A14586" s="163" t="s">
        <v>222</v>
      </c>
      <c r="B14586" s="163"/>
      <c r="C14586" s="163"/>
      <c r="J14586" s="165"/>
      <c r="K14586" s="166"/>
      <c r="L14586" s="166"/>
    </row>
    <row r="14587">
      <c r="A14587" s="163" t="s">
        <v>222</v>
      </c>
      <c r="B14587" s="163"/>
      <c r="C14587" s="163"/>
      <c r="J14587" s="165"/>
      <c r="K14587" s="166"/>
      <c r="L14587" s="166"/>
    </row>
    <row r="14588">
      <c r="A14588" s="163" t="s">
        <v>222</v>
      </c>
      <c r="B14588" s="163"/>
      <c r="C14588" s="163"/>
      <c r="J14588" s="165"/>
      <c r="K14588" s="166"/>
      <c r="L14588" s="166"/>
    </row>
    <row r="14589">
      <c r="A14589" s="163" t="s">
        <v>222</v>
      </c>
      <c r="B14589" s="163"/>
      <c r="C14589" s="163"/>
      <c r="J14589" s="165"/>
      <c r="K14589" s="166"/>
      <c r="L14589" s="166"/>
    </row>
    <row r="14590">
      <c r="A14590" s="163" t="s">
        <v>222</v>
      </c>
      <c r="B14590" s="163"/>
      <c r="C14590" s="163"/>
      <c r="J14590" s="165"/>
      <c r="K14590" s="166"/>
      <c r="L14590" s="166"/>
    </row>
    <row r="14591">
      <c r="A14591" s="163" t="s">
        <v>222</v>
      </c>
      <c r="B14591" s="163"/>
      <c r="C14591" s="163"/>
      <c r="J14591" s="165"/>
      <c r="K14591" s="166"/>
      <c r="L14591" s="166"/>
    </row>
    <row r="14592">
      <c r="A14592" s="163" t="s">
        <v>222</v>
      </c>
      <c r="B14592" s="163"/>
      <c r="C14592" s="163"/>
      <c r="J14592" s="165"/>
      <c r="K14592" s="166"/>
      <c r="L14592" s="166"/>
    </row>
    <row r="14593">
      <c r="A14593" s="163" t="s">
        <v>222</v>
      </c>
      <c r="B14593" s="163"/>
      <c r="C14593" s="163"/>
      <c r="J14593" s="165"/>
      <c r="K14593" s="166"/>
      <c r="L14593" s="166"/>
    </row>
    <row r="14594">
      <c r="A14594" s="163" t="s">
        <v>222</v>
      </c>
      <c r="B14594" s="163"/>
      <c r="C14594" s="163"/>
      <c r="J14594" s="165"/>
      <c r="K14594" s="166"/>
      <c r="L14594" s="166"/>
    </row>
    <row r="14595">
      <c r="A14595" s="163" t="s">
        <v>222</v>
      </c>
      <c r="B14595" s="163"/>
      <c r="C14595" s="163"/>
      <c r="J14595" s="165"/>
      <c r="K14595" s="166"/>
      <c r="L14595" s="166"/>
    </row>
    <row r="14596">
      <c r="A14596" s="163" t="s">
        <v>222</v>
      </c>
      <c r="B14596" s="163"/>
      <c r="C14596" s="163"/>
      <c r="J14596" s="165"/>
      <c r="K14596" s="166"/>
      <c r="L14596" s="166"/>
    </row>
    <row r="14597">
      <c r="A14597" s="163" t="s">
        <v>222</v>
      </c>
      <c r="B14597" s="163"/>
      <c r="C14597" s="163"/>
      <c r="J14597" s="165"/>
      <c r="K14597" s="166"/>
      <c r="L14597" s="166"/>
    </row>
    <row r="14598">
      <c r="A14598" s="163" t="s">
        <v>222</v>
      </c>
      <c r="B14598" s="163"/>
      <c r="C14598" s="163"/>
      <c r="J14598" s="165"/>
      <c r="K14598" s="166"/>
      <c r="L14598" s="166"/>
    </row>
    <row r="14599">
      <c r="A14599" s="163" t="s">
        <v>222</v>
      </c>
      <c r="B14599" s="163"/>
      <c r="C14599" s="163"/>
      <c r="J14599" s="165"/>
      <c r="K14599" s="166"/>
      <c r="L14599" s="166"/>
    </row>
    <row r="14600">
      <c r="A14600" s="163" t="s">
        <v>222</v>
      </c>
      <c r="B14600" s="163"/>
      <c r="C14600" s="163"/>
      <c r="J14600" s="165"/>
      <c r="K14600" s="166"/>
      <c r="L14600" s="166"/>
    </row>
    <row r="14601">
      <c r="A14601" s="163" t="s">
        <v>222</v>
      </c>
      <c r="B14601" s="163"/>
      <c r="C14601" s="163"/>
      <c r="J14601" s="165"/>
      <c r="K14601" s="166"/>
      <c r="L14601" s="166"/>
    </row>
    <row r="14602">
      <c r="A14602" s="163" t="s">
        <v>222</v>
      </c>
      <c r="B14602" s="163"/>
      <c r="C14602" s="163"/>
      <c r="J14602" s="165"/>
      <c r="K14602" s="166"/>
      <c r="L14602" s="166"/>
    </row>
    <row r="14603">
      <c r="A14603" s="163" t="s">
        <v>222</v>
      </c>
      <c r="B14603" s="163"/>
      <c r="C14603" s="163"/>
      <c r="J14603" s="165"/>
      <c r="K14603" s="166"/>
      <c r="L14603" s="166"/>
    </row>
    <row r="14604">
      <c r="A14604" s="163" t="s">
        <v>222</v>
      </c>
      <c r="B14604" s="163"/>
      <c r="C14604" s="163"/>
      <c r="J14604" s="165"/>
      <c r="K14604" s="166"/>
      <c r="L14604" s="166"/>
    </row>
    <row r="14605">
      <c r="A14605" s="163" t="s">
        <v>222</v>
      </c>
      <c r="B14605" s="163"/>
      <c r="C14605" s="163"/>
      <c r="J14605" s="165"/>
      <c r="K14605" s="166"/>
      <c r="L14605" s="166"/>
    </row>
    <row r="14606">
      <c r="A14606" s="163" t="s">
        <v>222</v>
      </c>
      <c r="B14606" s="163"/>
      <c r="C14606" s="163"/>
      <c r="J14606" s="165"/>
      <c r="K14606" s="166"/>
      <c r="L14606" s="166"/>
    </row>
    <row r="14607">
      <c r="A14607" s="163" t="s">
        <v>222</v>
      </c>
      <c r="B14607" s="163"/>
      <c r="C14607" s="163"/>
      <c r="J14607" s="165"/>
      <c r="K14607" s="166"/>
      <c r="L14607" s="166"/>
    </row>
    <row r="14608">
      <c r="A14608" s="163" t="s">
        <v>222</v>
      </c>
      <c r="B14608" s="163"/>
      <c r="C14608" s="163"/>
      <c r="J14608" s="165"/>
      <c r="K14608" s="166"/>
      <c r="L14608" s="166"/>
    </row>
    <row r="14609">
      <c r="A14609" s="163" t="s">
        <v>222</v>
      </c>
      <c r="B14609" s="163"/>
      <c r="C14609" s="163"/>
      <c r="J14609" s="165"/>
      <c r="K14609" s="166"/>
      <c r="L14609" s="166"/>
    </row>
    <row r="14610">
      <c r="A14610" s="163" t="s">
        <v>222</v>
      </c>
      <c r="B14610" s="163"/>
      <c r="C14610" s="163"/>
      <c r="J14610" s="165"/>
      <c r="K14610" s="166"/>
      <c r="L14610" s="166"/>
    </row>
    <row r="14611">
      <c r="A14611" s="163" t="s">
        <v>222</v>
      </c>
      <c r="B14611" s="163"/>
      <c r="C14611" s="163"/>
      <c r="J14611" s="165"/>
      <c r="K14611" s="166"/>
      <c r="L14611" s="166"/>
    </row>
    <row r="14612">
      <c r="A14612" s="163" t="s">
        <v>222</v>
      </c>
      <c r="B14612" s="163"/>
      <c r="C14612" s="163"/>
      <c r="J14612" s="165"/>
      <c r="K14612" s="166"/>
      <c r="L14612" s="166"/>
    </row>
    <row r="14613">
      <c r="A14613" s="163" t="s">
        <v>222</v>
      </c>
      <c r="B14613" s="163"/>
      <c r="C14613" s="163"/>
      <c r="J14613" s="165"/>
      <c r="K14613" s="166"/>
      <c r="L14613" s="166"/>
    </row>
    <row r="14614">
      <c r="A14614" s="163" t="s">
        <v>222</v>
      </c>
      <c r="B14614" s="163"/>
      <c r="C14614" s="163"/>
      <c r="J14614" s="165"/>
      <c r="K14614" s="166"/>
      <c r="L14614" s="166"/>
    </row>
    <row r="14615">
      <c r="A14615" s="163" t="s">
        <v>222</v>
      </c>
      <c r="B14615" s="163"/>
      <c r="C14615" s="163"/>
      <c r="J14615" s="165"/>
      <c r="K14615" s="166"/>
      <c r="L14615" s="166"/>
    </row>
    <row r="14616">
      <c r="A14616" s="163" t="s">
        <v>222</v>
      </c>
      <c r="B14616" s="163"/>
      <c r="C14616" s="163"/>
      <c r="J14616" s="165"/>
      <c r="K14616" s="166"/>
      <c r="L14616" s="166"/>
    </row>
    <row r="14617">
      <c r="A14617" s="163" t="s">
        <v>222</v>
      </c>
      <c r="B14617" s="163"/>
      <c r="C14617" s="163"/>
      <c r="J14617" s="165"/>
      <c r="K14617" s="166"/>
      <c r="L14617" s="166"/>
    </row>
    <row r="14618">
      <c r="A14618" s="163" t="s">
        <v>222</v>
      </c>
      <c r="B14618" s="163"/>
      <c r="C14618" s="163"/>
      <c r="J14618" s="165"/>
      <c r="K14618" s="166"/>
      <c r="L14618" s="166"/>
    </row>
    <row r="14619">
      <c r="A14619" s="163" t="s">
        <v>222</v>
      </c>
      <c r="B14619" s="163"/>
      <c r="C14619" s="163"/>
      <c r="J14619" s="165"/>
      <c r="K14619" s="166"/>
      <c r="L14619" s="166"/>
    </row>
    <row r="14620">
      <c r="A14620" s="163" t="s">
        <v>222</v>
      </c>
      <c r="B14620" s="163"/>
      <c r="C14620" s="163"/>
      <c r="J14620" s="165"/>
      <c r="K14620" s="166"/>
      <c r="L14620" s="166"/>
    </row>
    <row r="14621">
      <c r="A14621" s="163" t="s">
        <v>222</v>
      </c>
      <c r="B14621" s="163"/>
      <c r="C14621" s="163"/>
      <c r="J14621" s="165"/>
      <c r="K14621" s="166"/>
      <c r="L14621" s="166"/>
    </row>
    <row r="14622">
      <c r="A14622" s="163" t="s">
        <v>222</v>
      </c>
      <c r="B14622" s="163"/>
      <c r="C14622" s="163"/>
      <c r="J14622" s="165"/>
      <c r="K14622" s="166"/>
      <c r="L14622" s="166"/>
    </row>
    <row r="14623">
      <c r="A14623" s="163" t="s">
        <v>222</v>
      </c>
      <c r="B14623" s="163"/>
      <c r="C14623" s="163"/>
      <c r="J14623" s="165"/>
      <c r="K14623" s="166"/>
      <c r="L14623" s="166"/>
    </row>
    <row r="14624">
      <c r="A14624" s="163" t="s">
        <v>222</v>
      </c>
      <c r="B14624" s="163"/>
      <c r="C14624" s="163"/>
      <c r="J14624" s="165"/>
      <c r="K14624" s="166"/>
      <c r="L14624" s="166"/>
    </row>
    <row r="14625">
      <c r="A14625" s="163" t="s">
        <v>222</v>
      </c>
      <c r="B14625" s="163"/>
      <c r="C14625" s="163"/>
      <c r="J14625" s="165"/>
      <c r="K14625" s="166"/>
      <c r="L14625" s="166"/>
    </row>
    <row r="14626">
      <c r="A14626" s="163" t="s">
        <v>222</v>
      </c>
      <c r="B14626" s="163"/>
      <c r="C14626" s="163"/>
      <c r="J14626" s="165"/>
      <c r="K14626" s="166"/>
      <c r="L14626" s="166"/>
    </row>
    <row r="14627">
      <c r="A14627" s="163" t="s">
        <v>222</v>
      </c>
      <c r="B14627" s="163"/>
      <c r="C14627" s="163"/>
      <c r="J14627" s="165"/>
      <c r="K14627" s="166"/>
      <c r="L14627" s="166"/>
    </row>
    <row r="14628">
      <c r="A14628" s="163" t="s">
        <v>222</v>
      </c>
      <c r="B14628" s="163"/>
      <c r="C14628" s="163"/>
      <c r="J14628" s="165"/>
      <c r="K14628" s="166"/>
      <c r="L14628" s="166"/>
    </row>
    <row r="14629">
      <c r="A14629" s="163" t="s">
        <v>222</v>
      </c>
      <c r="B14629" s="163"/>
      <c r="C14629" s="163"/>
      <c r="J14629" s="165"/>
      <c r="K14629" s="166"/>
      <c r="L14629" s="166"/>
    </row>
    <row r="14630">
      <c r="A14630" s="163" t="s">
        <v>222</v>
      </c>
      <c r="B14630" s="163"/>
      <c r="C14630" s="163"/>
      <c r="J14630" s="165"/>
      <c r="K14630" s="166"/>
      <c r="L14630" s="166"/>
    </row>
    <row r="14631">
      <c r="A14631" s="163" t="s">
        <v>222</v>
      </c>
      <c r="B14631" s="163"/>
      <c r="C14631" s="163"/>
      <c r="J14631" s="165"/>
      <c r="K14631" s="166"/>
      <c r="L14631" s="166"/>
    </row>
    <row r="14632">
      <c r="A14632" s="163" t="s">
        <v>222</v>
      </c>
      <c r="B14632" s="163"/>
      <c r="C14632" s="163"/>
      <c r="J14632" s="165"/>
      <c r="K14632" s="166"/>
      <c r="L14632" s="166"/>
    </row>
    <row r="14633">
      <c r="A14633" s="163" t="s">
        <v>222</v>
      </c>
      <c r="B14633" s="163"/>
      <c r="C14633" s="163"/>
      <c r="J14633" s="165"/>
      <c r="K14633" s="166"/>
      <c r="L14633" s="166"/>
    </row>
    <row r="14634">
      <c r="A14634" s="163" t="s">
        <v>222</v>
      </c>
      <c r="B14634" s="163"/>
      <c r="C14634" s="163"/>
      <c r="J14634" s="165"/>
      <c r="K14634" s="166"/>
      <c r="L14634" s="166"/>
    </row>
    <row r="14635">
      <c r="A14635" s="163" t="s">
        <v>222</v>
      </c>
      <c r="B14635" s="163"/>
      <c r="C14635" s="163"/>
      <c r="J14635" s="165"/>
      <c r="K14635" s="166"/>
      <c r="L14635" s="166"/>
    </row>
    <row r="14636">
      <c r="A14636" s="163" t="s">
        <v>222</v>
      </c>
      <c r="B14636" s="163"/>
      <c r="C14636" s="163"/>
      <c r="J14636" s="165"/>
      <c r="K14636" s="166"/>
      <c r="L14636" s="166"/>
    </row>
    <row r="14637">
      <c r="A14637" s="163" t="s">
        <v>222</v>
      </c>
      <c r="B14637" s="163"/>
      <c r="C14637" s="163"/>
      <c r="J14637" s="165"/>
      <c r="K14637" s="166"/>
      <c r="L14637" s="166"/>
    </row>
    <row r="14638">
      <c r="A14638" s="163" t="s">
        <v>222</v>
      </c>
      <c r="B14638" s="163"/>
      <c r="C14638" s="163"/>
      <c r="J14638" s="165"/>
      <c r="K14638" s="166"/>
      <c r="L14638" s="166"/>
    </row>
    <row r="14639">
      <c r="A14639" s="163" t="s">
        <v>222</v>
      </c>
      <c r="B14639" s="163"/>
      <c r="C14639" s="163"/>
      <c r="J14639" s="165"/>
      <c r="K14639" s="166"/>
      <c r="L14639" s="166"/>
    </row>
    <row r="14640">
      <c r="A14640" s="163" t="s">
        <v>222</v>
      </c>
      <c r="B14640" s="163"/>
      <c r="C14640" s="163"/>
      <c r="J14640" s="165"/>
      <c r="K14640" s="166"/>
      <c r="L14640" s="166"/>
    </row>
    <row r="14641">
      <c r="A14641" s="163" t="s">
        <v>222</v>
      </c>
      <c r="B14641" s="163"/>
      <c r="C14641" s="163"/>
      <c r="J14641" s="165"/>
      <c r="K14641" s="166"/>
      <c r="L14641" s="166"/>
    </row>
    <row r="14642">
      <c r="A14642" s="163" t="s">
        <v>222</v>
      </c>
      <c r="B14642" s="163"/>
      <c r="C14642" s="163"/>
      <c r="J14642" s="165"/>
      <c r="K14642" s="166"/>
      <c r="L14642" s="166"/>
    </row>
    <row r="14643">
      <c r="A14643" s="163" t="s">
        <v>222</v>
      </c>
      <c r="B14643" s="163"/>
      <c r="C14643" s="163"/>
      <c r="J14643" s="165"/>
      <c r="K14643" s="166"/>
      <c r="L14643" s="166"/>
    </row>
    <row r="14644">
      <c r="A14644" s="163" t="s">
        <v>222</v>
      </c>
      <c r="B14644" s="163"/>
      <c r="C14644" s="163"/>
      <c r="J14644" s="165"/>
      <c r="K14644" s="166"/>
      <c r="L14644" s="166"/>
    </row>
    <row r="14645">
      <c r="A14645" s="163" t="s">
        <v>222</v>
      </c>
      <c r="B14645" s="163"/>
      <c r="C14645" s="163"/>
      <c r="J14645" s="165"/>
      <c r="K14645" s="166"/>
      <c r="L14645" s="166"/>
    </row>
    <row r="14646">
      <c r="A14646" s="163" t="s">
        <v>222</v>
      </c>
      <c r="B14646" s="163"/>
      <c r="C14646" s="163"/>
      <c r="J14646" s="165"/>
      <c r="K14646" s="166"/>
      <c r="L14646" s="166"/>
    </row>
    <row r="14647">
      <c r="A14647" s="163" t="s">
        <v>222</v>
      </c>
      <c r="B14647" s="163"/>
      <c r="C14647" s="163"/>
      <c r="J14647" s="165"/>
      <c r="K14647" s="166"/>
      <c r="L14647" s="166"/>
    </row>
    <row r="14648">
      <c r="A14648" s="163" t="s">
        <v>222</v>
      </c>
      <c r="B14648" s="163"/>
      <c r="C14648" s="163"/>
      <c r="J14648" s="165"/>
      <c r="K14648" s="166"/>
      <c r="L14648" s="166"/>
    </row>
    <row r="14649">
      <c r="A14649" s="163" t="s">
        <v>222</v>
      </c>
      <c r="B14649" s="163"/>
      <c r="C14649" s="163"/>
      <c r="J14649" s="165"/>
      <c r="K14649" s="166"/>
      <c r="L14649" s="166"/>
    </row>
    <row r="14650">
      <c r="A14650" s="163" t="s">
        <v>222</v>
      </c>
      <c r="B14650" s="163"/>
      <c r="C14650" s="163"/>
      <c r="J14650" s="165"/>
      <c r="K14650" s="166"/>
      <c r="L14650" s="166"/>
    </row>
    <row r="14651">
      <c r="A14651" s="163" t="s">
        <v>222</v>
      </c>
      <c r="B14651" s="163"/>
      <c r="C14651" s="163"/>
      <c r="J14651" s="165"/>
      <c r="K14651" s="166"/>
      <c r="L14651" s="166"/>
    </row>
    <row r="14652">
      <c r="A14652" s="163" t="s">
        <v>222</v>
      </c>
      <c r="B14652" s="163"/>
      <c r="C14652" s="163"/>
      <c r="J14652" s="165"/>
      <c r="K14652" s="166"/>
      <c r="L14652" s="166"/>
    </row>
    <row r="14653">
      <c r="A14653" s="163" t="s">
        <v>222</v>
      </c>
      <c r="B14653" s="163"/>
      <c r="C14653" s="163"/>
      <c r="J14653" s="165"/>
      <c r="K14653" s="166"/>
      <c r="L14653" s="166"/>
    </row>
    <row r="14654">
      <c r="A14654" s="163" t="s">
        <v>222</v>
      </c>
      <c r="B14654" s="163"/>
      <c r="C14654" s="163"/>
      <c r="J14654" s="165"/>
      <c r="K14654" s="166"/>
      <c r="L14654" s="166"/>
    </row>
    <row r="14655">
      <c r="A14655" s="163" t="s">
        <v>222</v>
      </c>
      <c r="B14655" s="163"/>
      <c r="C14655" s="163"/>
      <c r="J14655" s="165"/>
      <c r="K14655" s="166"/>
      <c r="L14655" s="166"/>
    </row>
    <row r="14656">
      <c r="A14656" s="163" t="s">
        <v>222</v>
      </c>
      <c r="B14656" s="163"/>
      <c r="C14656" s="163"/>
      <c r="J14656" s="165"/>
      <c r="K14656" s="166"/>
      <c r="L14656" s="166"/>
    </row>
    <row r="14657">
      <c r="A14657" s="163" t="s">
        <v>222</v>
      </c>
      <c r="B14657" s="163"/>
      <c r="C14657" s="163"/>
      <c r="J14657" s="165"/>
      <c r="K14657" s="166"/>
      <c r="L14657" s="166"/>
    </row>
    <row r="14658">
      <c r="A14658" s="163" t="s">
        <v>222</v>
      </c>
      <c r="B14658" s="163"/>
      <c r="C14658" s="163"/>
      <c r="J14658" s="165"/>
      <c r="K14658" s="166"/>
      <c r="L14658" s="166"/>
    </row>
    <row r="14659">
      <c r="A14659" s="163" t="s">
        <v>222</v>
      </c>
      <c r="B14659" s="163"/>
      <c r="C14659" s="163"/>
      <c r="J14659" s="165"/>
      <c r="K14659" s="166"/>
      <c r="L14659" s="166"/>
    </row>
    <row r="14660">
      <c r="A14660" s="163" t="s">
        <v>222</v>
      </c>
      <c r="B14660" s="163"/>
      <c r="C14660" s="163"/>
      <c r="J14660" s="165"/>
      <c r="K14660" s="166"/>
      <c r="L14660" s="166"/>
    </row>
    <row r="14661">
      <c r="A14661" s="163" t="s">
        <v>222</v>
      </c>
      <c r="B14661" s="163"/>
      <c r="C14661" s="163"/>
      <c r="J14661" s="165"/>
      <c r="K14661" s="166"/>
      <c r="L14661" s="166"/>
    </row>
    <row r="14662">
      <c r="A14662" s="163" t="s">
        <v>222</v>
      </c>
      <c r="B14662" s="163"/>
      <c r="C14662" s="163"/>
      <c r="J14662" s="165"/>
      <c r="K14662" s="166"/>
      <c r="L14662" s="166"/>
    </row>
    <row r="14663">
      <c r="A14663" s="163" t="s">
        <v>222</v>
      </c>
      <c r="B14663" s="163"/>
      <c r="C14663" s="163"/>
      <c r="J14663" s="165"/>
      <c r="K14663" s="166"/>
      <c r="L14663" s="166"/>
    </row>
    <row r="14664">
      <c r="A14664" s="163" t="s">
        <v>222</v>
      </c>
      <c r="B14664" s="163"/>
      <c r="C14664" s="163"/>
      <c r="J14664" s="165"/>
      <c r="K14664" s="166"/>
      <c r="L14664" s="166"/>
    </row>
    <row r="14665">
      <c r="A14665" s="163" t="s">
        <v>222</v>
      </c>
      <c r="B14665" s="163"/>
      <c r="C14665" s="163"/>
      <c r="J14665" s="165"/>
      <c r="K14665" s="166"/>
      <c r="L14665" s="166"/>
    </row>
    <row r="14666">
      <c r="A14666" s="163" t="s">
        <v>222</v>
      </c>
      <c r="B14666" s="163"/>
      <c r="C14666" s="163"/>
      <c r="J14666" s="165"/>
      <c r="K14666" s="166"/>
      <c r="L14666" s="166"/>
    </row>
    <row r="14667">
      <c r="A14667" s="163" t="s">
        <v>222</v>
      </c>
      <c r="B14667" s="163"/>
      <c r="C14667" s="163"/>
      <c r="J14667" s="165"/>
      <c r="K14667" s="166"/>
      <c r="L14667" s="166"/>
    </row>
    <row r="14668">
      <c r="A14668" s="163" t="s">
        <v>222</v>
      </c>
      <c r="B14668" s="163"/>
      <c r="C14668" s="163"/>
      <c r="J14668" s="165"/>
      <c r="K14668" s="166"/>
      <c r="L14668" s="166"/>
    </row>
    <row r="14669">
      <c r="A14669" s="163" t="s">
        <v>222</v>
      </c>
      <c r="B14669" s="163"/>
      <c r="C14669" s="163"/>
      <c r="J14669" s="165"/>
      <c r="K14669" s="166"/>
      <c r="L14669" s="166"/>
    </row>
    <row r="14670">
      <c r="A14670" s="163" t="s">
        <v>222</v>
      </c>
      <c r="B14670" s="163"/>
      <c r="C14670" s="163"/>
      <c r="J14670" s="165"/>
      <c r="K14670" s="166"/>
      <c r="L14670" s="166"/>
    </row>
    <row r="14671">
      <c r="A14671" s="163" t="s">
        <v>222</v>
      </c>
      <c r="B14671" s="163"/>
      <c r="C14671" s="163"/>
      <c r="J14671" s="165"/>
      <c r="K14671" s="166"/>
      <c r="L14671" s="166"/>
    </row>
    <row r="14672">
      <c r="A14672" s="163" t="s">
        <v>222</v>
      </c>
      <c r="B14672" s="163"/>
      <c r="C14672" s="163"/>
      <c r="J14672" s="165"/>
      <c r="K14672" s="166"/>
      <c r="L14672" s="166"/>
    </row>
    <row r="14673">
      <c r="A14673" s="163" t="s">
        <v>222</v>
      </c>
      <c r="B14673" s="163"/>
      <c r="C14673" s="163"/>
      <c r="J14673" s="165"/>
      <c r="K14673" s="166"/>
      <c r="L14673" s="166"/>
    </row>
    <row r="14674">
      <c r="A14674" s="163" t="s">
        <v>222</v>
      </c>
      <c r="B14674" s="163"/>
      <c r="C14674" s="163"/>
      <c r="J14674" s="165"/>
      <c r="K14674" s="166"/>
      <c r="L14674" s="166"/>
    </row>
    <row r="14675">
      <c r="A14675" s="163" t="s">
        <v>222</v>
      </c>
      <c r="B14675" s="163"/>
      <c r="C14675" s="163"/>
      <c r="J14675" s="165"/>
      <c r="K14675" s="166"/>
      <c r="L14675" s="166"/>
    </row>
    <row r="14676">
      <c r="A14676" s="163" t="s">
        <v>222</v>
      </c>
      <c r="B14676" s="163"/>
      <c r="C14676" s="163"/>
      <c r="J14676" s="165"/>
      <c r="K14676" s="166"/>
      <c r="L14676" s="166"/>
    </row>
    <row r="14677">
      <c r="A14677" s="163" t="s">
        <v>222</v>
      </c>
      <c r="B14677" s="163"/>
      <c r="C14677" s="163"/>
      <c r="J14677" s="165"/>
      <c r="K14677" s="166"/>
      <c r="L14677" s="166"/>
    </row>
    <row r="14678">
      <c r="A14678" s="163" t="s">
        <v>222</v>
      </c>
      <c r="B14678" s="163"/>
      <c r="C14678" s="163"/>
      <c r="J14678" s="165"/>
      <c r="K14678" s="166"/>
      <c r="L14678" s="166"/>
    </row>
    <row r="14679">
      <c r="A14679" s="163" t="s">
        <v>222</v>
      </c>
      <c r="B14679" s="163"/>
      <c r="C14679" s="163"/>
      <c r="J14679" s="165"/>
      <c r="K14679" s="166"/>
      <c r="L14679" s="166"/>
    </row>
    <row r="14680">
      <c r="A14680" s="163" t="s">
        <v>222</v>
      </c>
      <c r="B14680" s="163"/>
      <c r="C14680" s="163"/>
      <c r="J14680" s="165"/>
      <c r="K14680" s="166"/>
      <c r="L14680" s="166"/>
    </row>
    <row r="14681">
      <c r="A14681" s="163" t="s">
        <v>222</v>
      </c>
      <c r="B14681" s="163"/>
      <c r="C14681" s="163"/>
      <c r="J14681" s="165"/>
      <c r="K14681" s="166"/>
      <c r="L14681" s="166"/>
    </row>
    <row r="14682">
      <c r="A14682" s="163" t="s">
        <v>222</v>
      </c>
      <c r="B14682" s="163"/>
      <c r="C14682" s="163"/>
      <c r="J14682" s="165"/>
      <c r="K14682" s="166"/>
      <c r="L14682" s="166"/>
    </row>
    <row r="14683">
      <c r="A14683" s="163" t="s">
        <v>222</v>
      </c>
      <c r="B14683" s="163"/>
      <c r="C14683" s="163"/>
      <c r="J14683" s="165"/>
      <c r="K14683" s="166"/>
      <c r="L14683" s="166"/>
    </row>
    <row r="14684">
      <c r="A14684" s="163" t="s">
        <v>222</v>
      </c>
      <c r="B14684" s="163"/>
      <c r="C14684" s="163"/>
      <c r="J14684" s="165"/>
      <c r="K14684" s="166"/>
      <c r="L14684" s="166"/>
    </row>
    <row r="14685">
      <c r="A14685" s="163" t="s">
        <v>222</v>
      </c>
      <c r="B14685" s="163"/>
      <c r="C14685" s="163"/>
      <c r="J14685" s="165"/>
      <c r="K14685" s="166"/>
      <c r="L14685" s="166"/>
    </row>
    <row r="14686">
      <c r="A14686" s="163" t="s">
        <v>222</v>
      </c>
      <c r="B14686" s="163"/>
      <c r="C14686" s="163"/>
      <c r="J14686" s="165"/>
      <c r="K14686" s="166"/>
      <c r="L14686" s="166"/>
    </row>
    <row r="14687">
      <c r="A14687" s="163" t="s">
        <v>222</v>
      </c>
      <c r="B14687" s="163"/>
      <c r="C14687" s="163"/>
      <c r="J14687" s="165"/>
      <c r="K14687" s="166"/>
      <c r="L14687" s="166"/>
    </row>
    <row r="14688">
      <c r="A14688" s="163" t="s">
        <v>222</v>
      </c>
      <c r="B14688" s="163"/>
      <c r="C14688" s="163"/>
      <c r="J14688" s="165"/>
      <c r="K14688" s="166"/>
      <c r="L14688" s="166"/>
    </row>
    <row r="14689">
      <c r="A14689" s="163" t="s">
        <v>222</v>
      </c>
      <c r="B14689" s="163"/>
      <c r="C14689" s="163"/>
      <c r="J14689" s="165"/>
      <c r="K14689" s="166"/>
      <c r="L14689" s="166"/>
    </row>
    <row r="14690">
      <c r="A14690" s="163" t="s">
        <v>222</v>
      </c>
      <c r="B14690" s="163"/>
      <c r="C14690" s="163"/>
      <c r="J14690" s="165"/>
      <c r="K14690" s="166"/>
      <c r="L14690" s="166"/>
    </row>
    <row r="14691">
      <c r="A14691" s="163" t="s">
        <v>222</v>
      </c>
      <c r="B14691" s="163"/>
      <c r="C14691" s="163"/>
      <c r="J14691" s="165"/>
      <c r="K14691" s="166"/>
      <c r="L14691" s="166"/>
    </row>
    <row r="14692">
      <c r="A14692" s="163" t="s">
        <v>222</v>
      </c>
      <c r="B14692" s="163"/>
      <c r="C14692" s="163"/>
      <c r="J14692" s="165"/>
      <c r="K14692" s="166"/>
      <c r="L14692" s="166"/>
    </row>
    <row r="14693">
      <c r="A14693" s="163" t="s">
        <v>222</v>
      </c>
      <c r="B14693" s="163"/>
      <c r="C14693" s="163"/>
      <c r="J14693" s="165"/>
      <c r="K14693" s="166"/>
      <c r="L14693" s="166"/>
    </row>
    <row r="14694">
      <c r="A14694" s="163" t="s">
        <v>222</v>
      </c>
      <c r="B14694" s="163"/>
      <c r="C14694" s="163"/>
      <c r="J14694" s="165"/>
      <c r="K14694" s="166"/>
      <c r="L14694" s="166"/>
    </row>
    <row r="14695">
      <c r="A14695" s="163" t="s">
        <v>222</v>
      </c>
      <c r="B14695" s="163"/>
      <c r="C14695" s="163"/>
      <c r="J14695" s="165"/>
      <c r="K14695" s="166"/>
      <c r="L14695" s="166"/>
    </row>
    <row r="14696">
      <c r="A14696" s="163" t="s">
        <v>222</v>
      </c>
      <c r="B14696" s="163"/>
      <c r="C14696" s="163"/>
      <c r="J14696" s="165"/>
      <c r="K14696" s="166"/>
      <c r="L14696" s="166"/>
    </row>
    <row r="14697">
      <c r="A14697" s="163" t="s">
        <v>222</v>
      </c>
      <c r="B14697" s="163"/>
      <c r="C14697" s="163"/>
      <c r="J14697" s="165"/>
      <c r="K14697" s="166"/>
      <c r="L14697" s="166"/>
    </row>
    <row r="14698">
      <c r="A14698" s="163" t="s">
        <v>222</v>
      </c>
      <c r="B14698" s="163"/>
      <c r="C14698" s="163"/>
      <c r="J14698" s="165"/>
      <c r="K14698" s="166"/>
      <c r="L14698" s="166"/>
    </row>
    <row r="14699">
      <c r="A14699" s="163" t="s">
        <v>222</v>
      </c>
      <c r="B14699" s="163"/>
      <c r="C14699" s="163"/>
      <c r="J14699" s="165"/>
      <c r="K14699" s="166"/>
      <c r="L14699" s="166"/>
    </row>
    <row r="14700">
      <c r="A14700" s="163" t="s">
        <v>222</v>
      </c>
      <c r="B14700" s="163"/>
      <c r="C14700" s="163"/>
      <c r="J14700" s="165"/>
      <c r="K14700" s="166"/>
      <c r="L14700" s="166"/>
    </row>
    <row r="14701">
      <c r="A14701" s="163" t="s">
        <v>222</v>
      </c>
      <c r="B14701" s="163"/>
      <c r="C14701" s="163"/>
      <c r="J14701" s="165"/>
      <c r="K14701" s="166"/>
      <c r="L14701" s="166"/>
    </row>
    <row r="14702">
      <c r="A14702" s="163" t="s">
        <v>222</v>
      </c>
      <c r="B14702" s="163"/>
      <c r="C14702" s="163"/>
      <c r="J14702" s="165"/>
      <c r="K14702" s="166"/>
      <c r="L14702" s="166"/>
    </row>
    <row r="14703">
      <c r="A14703" s="163" t="s">
        <v>222</v>
      </c>
      <c r="B14703" s="163"/>
      <c r="C14703" s="163"/>
      <c r="J14703" s="165"/>
      <c r="K14703" s="166"/>
      <c r="L14703" s="166"/>
    </row>
    <row r="14704">
      <c r="A14704" s="163" t="s">
        <v>222</v>
      </c>
      <c r="B14704" s="163"/>
      <c r="C14704" s="163"/>
      <c r="J14704" s="165"/>
      <c r="K14704" s="166"/>
      <c r="L14704" s="166"/>
    </row>
    <row r="14705">
      <c r="A14705" s="163" t="s">
        <v>222</v>
      </c>
      <c r="B14705" s="163"/>
      <c r="C14705" s="163"/>
      <c r="J14705" s="165"/>
      <c r="K14705" s="166"/>
      <c r="L14705" s="166"/>
    </row>
    <row r="14706">
      <c r="A14706" s="163" t="s">
        <v>222</v>
      </c>
      <c r="B14706" s="163"/>
      <c r="C14706" s="163"/>
      <c r="J14706" s="165"/>
      <c r="K14706" s="166"/>
      <c r="L14706" s="166"/>
    </row>
    <row r="14707">
      <c r="A14707" s="163" t="s">
        <v>222</v>
      </c>
      <c r="B14707" s="163"/>
      <c r="C14707" s="163"/>
      <c r="J14707" s="165"/>
      <c r="K14707" s="166"/>
      <c r="L14707" s="166"/>
    </row>
    <row r="14708">
      <c r="A14708" s="163" t="s">
        <v>222</v>
      </c>
      <c r="B14708" s="163"/>
      <c r="C14708" s="163"/>
      <c r="J14708" s="165"/>
      <c r="K14708" s="166"/>
      <c r="L14708" s="166"/>
    </row>
    <row r="14709">
      <c r="A14709" s="163" t="s">
        <v>222</v>
      </c>
      <c r="B14709" s="163"/>
      <c r="C14709" s="163"/>
      <c r="J14709" s="165"/>
      <c r="K14709" s="166"/>
      <c r="L14709" s="166"/>
    </row>
    <row r="14710">
      <c r="A14710" s="163" t="s">
        <v>222</v>
      </c>
      <c r="B14710" s="163"/>
      <c r="C14710" s="163"/>
      <c r="J14710" s="165"/>
      <c r="K14710" s="166"/>
      <c r="L14710" s="166"/>
    </row>
    <row r="14711">
      <c r="A14711" s="163" t="s">
        <v>222</v>
      </c>
      <c r="B14711" s="163"/>
      <c r="C14711" s="163"/>
      <c r="J14711" s="165"/>
      <c r="K14711" s="166"/>
      <c r="L14711" s="166"/>
    </row>
    <row r="14712">
      <c r="A14712" s="163" t="s">
        <v>222</v>
      </c>
      <c r="B14712" s="163"/>
      <c r="C14712" s="163"/>
      <c r="J14712" s="165"/>
      <c r="K14712" s="166"/>
      <c r="L14712" s="166"/>
    </row>
    <row r="14713">
      <c r="A14713" s="163" t="s">
        <v>222</v>
      </c>
      <c r="B14713" s="163"/>
      <c r="C14713" s="163"/>
      <c r="J14713" s="165"/>
      <c r="K14713" s="166"/>
      <c r="L14713" s="166"/>
    </row>
    <row r="14714">
      <c r="A14714" s="163" t="s">
        <v>222</v>
      </c>
      <c r="B14714" s="163"/>
      <c r="C14714" s="163"/>
      <c r="J14714" s="165"/>
      <c r="K14714" s="166"/>
      <c r="L14714" s="166"/>
    </row>
    <row r="14715">
      <c r="A14715" s="163" t="s">
        <v>222</v>
      </c>
      <c r="B14715" s="163"/>
      <c r="C14715" s="163"/>
      <c r="J14715" s="165"/>
      <c r="K14715" s="166"/>
      <c r="L14715" s="166"/>
    </row>
    <row r="14716">
      <c r="A14716" s="163" t="s">
        <v>222</v>
      </c>
      <c r="B14716" s="163"/>
      <c r="C14716" s="163"/>
      <c r="J14716" s="165"/>
      <c r="K14716" s="166"/>
      <c r="L14716" s="166"/>
    </row>
    <row r="14717">
      <c r="A14717" s="163" t="s">
        <v>222</v>
      </c>
      <c r="B14717" s="163"/>
      <c r="C14717" s="163"/>
      <c r="J14717" s="165"/>
      <c r="K14717" s="166"/>
      <c r="L14717" s="166"/>
    </row>
    <row r="14718">
      <c r="A14718" s="163" t="s">
        <v>222</v>
      </c>
      <c r="B14718" s="163"/>
      <c r="C14718" s="163"/>
      <c r="J14718" s="165"/>
      <c r="K14718" s="166"/>
      <c r="L14718" s="166"/>
    </row>
    <row r="14719">
      <c r="A14719" s="163" t="s">
        <v>222</v>
      </c>
      <c r="B14719" s="163"/>
      <c r="C14719" s="163"/>
      <c r="J14719" s="165"/>
      <c r="K14719" s="166"/>
      <c r="L14719" s="166"/>
    </row>
    <row r="14720">
      <c r="A14720" s="163" t="s">
        <v>222</v>
      </c>
      <c r="B14720" s="163"/>
      <c r="C14720" s="163"/>
      <c r="J14720" s="165"/>
      <c r="K14720" s="166"/>
      <c r="L14720" s="166"/>
    </row>
    <row r="14721">
      <c r="A14721" s="163" t="s">
        <v>222</v>
      </c>
      <c r="B14721" s="163"/>
      <c r="C14721" s="163"/>
      <c r="J14721" s="165"/>
      <c r="K14721" s="166"/>
      <c r="L14721" s="166"/>
    </row>
    <row r="14722">
      <c r="A14722" s="163" t="s">
        <v>222</v>
      </c>
      <c r="B14722" s="163"/>
      <c r="C14722" s="163"/>
      <c r="J14722" s="165"/>
      <c r="K14722" s="166"/>
      <c r="L14722" s="166"/>
    </row>
    <row r="14723">
      <c r="A14723" s="163" t="s">
        <v>222</v>
      </c>
      <c r="B14723" s="163"/>
      <c r="C14723" s="163"/>
      <c r="J14723" s="165"/>
      <c r="K14723" s="166"/>
      <c r="L14723" s="166"/>
    </row>
    <row r="14724">
      <c r="A14724" s="163" t="s">
        <v>222</v>
      </c>
      <c r="B14724" s="163"/>
      <c r="C14724" s="163"/>
      <c r="J14724" s="165"/>
      <c r="K14724" s="166"/>
      <c r="L14724" s="166"/>
    </row>
    <row r="14725">
      <c r="A14725" s="163" t="s">
        <v>222</v>
      </c>
      <c r="B14725" s="163"/>
      <c r="C14725" s="163"/>
      <c r="J14725" s="165"/>
      <c r="K14725" s="166"/>
      <c r="L14725" s="166"/>
    </row>
    <row r="14726">
      <c r="A14726" s="163" t="s">
        <v>222</v>
      </c>
      <c r="B14726" s="163"/>
      <c r="C14726" s="163"/>
      <c r="J14726" s="165"/>
      <c r="K14726" s="166"/>
      <c r="L14726" s="166"/>
    </row>
    <row r="14727">
      <c r="A14727" s="163" t="s">
        <v>222</v>
      </c>
      <c r="B14727" s="163"/>
      <c r="C14727" s="163"/>
      <c r="J14727" s="165"/>
      <c r="K14727" s="166"/>
      <c r="L14727" s="166"/>
    </row>
    <row r="14728">
      <c r="A14728" s="163" t="s">
        <v>222</v>
      </c>
      <c r="B14728" s="163"/>
      <c r="C14728" s="163"/>
      <c r="J14728" s="165"/>
      <c r="K14728" s="166"/>
      <c r="L14728" s="166"/>
    </row>
    <row r="14729">
      <c r="A14729" s="163" t="s">
        <v>222</v>
      </c>
      <c r="B14729" s="163"/>
      <c r="C14729" s="163"/>
      <c r="J14729" s="165"/>
      <c r="K14729" s="166"/>
      <c r="L14729" s="166"/>
    </row>
    <row r="14730">
      <c r="A14730" s="163" t="s">
        <v>222</v>
      </c>
      <c r="B14730" s="163"/>
      <c r="C14730" s="163"/>
      <c r="J14730" s="165"/>
      <c r="K14730" s="166"/>
      <c r="L14730" s="166"/>
    </row>
    <row r="14731">
      <c r="A14731" s="163" t="s">
        <v>222</v>
      </c>
      <c r="B14731" s="163"/>
      <c r="C14731" s="163"/>
      <c r="J14731" s="165"/>
      <c r="K14731" s="166"/>
      <c r="L14731" s="166"/>
    </row>
    <row r="14732">
      <c r="A14732" s="163" t="s">
        <v>222</v>
      </c>
      <c r="B14732" s="163"/>
      <c r="C14732" s="163"/>
      <c r="J14732" s="165"/>
      <c r="K14732" s="166"/>
      <c r="L14732" s="166"/>
    </row>
    <row r="14733">
      <c r="A14733" s="163" t="s">
        <v>222</v>
      </c>
      <c r="B14733" s="163"/>
      <c r="C14733" s="163"/>
      <c r="J14733" s="165"/>
      <c r="K14733" s="166"/>
      <c r="L14733" s="166"/>
    </row>
    <row r="14734">
      <c r="A14734" s="163" t="s">
        <v>222</v>
      </c>
      <c r="B14734" s="163"/>
      <c r="C14734" s="163"/>
      <c r="J14734" s="165"/>
      <c r="K14734" s="166"/>
      <c r="L14734" s="166"/>
    </row>
    <row r="14735">
      <c r="A14735" s="163" t="s">
        <v>222</v>
      </c>
      <c r="B14735" s="163"/>
      <c r="C14735" s="163"/>
      <c r="J14735" s="165"/>
      <c r="K14735" s="166"/>
      <c r="L14735" s="166"/>
    </row>
    <row r="14736">
      <c r="A14736" s="163" t="s">
        <v>222</v>
      </c>
      <c r="B14736" s="163"/>
      <c r="C14736" s="163"/>
      <c r="J14736" s="165"/>
      <c r="K14736" s="166"/>
      <c r="L14736" s="166"/>
    </row>
    <row r="14737">
      <c r="A14737" s="163" t="s">
        <v>222</v>
      </c>
      <c r="B14737" s="163"/>
      <c r="C14737" s="163"/>
      <c r="J14737" s="165"/>
      <c r="K14737" s="166"/>
      <c r="L14737" s="166"/>
    </row>
    <row r="14738">
      <c r="A14738" s="163" t="s">
        <v>222</v>
      </c>
      <c r="B14738" s="163"/>
      <c r="C14738" s="163"/>
      <c r="J14738" s="165"/>
      <c r="K14738" s="166"/>
      <c r="L14738" s="166"/>
    </row>
    <row r="14739">
      <c r="A14739" s="163" t="s">
        <v>222</v>
      </c>
      <c r="B14739" s="163"/>
      <c r="C14739" s="163"/>
      <c r="J14739" s="165"/>
      <c r="K14739" s="166"/>
      <c r="L14739" s="166"/>
    </row>
    <row r="14740">
      <c r="A14740" s="163" t="s">
        <v>222</v>
      </c>
      <c r="B14740" s="163"/>
      <c r="C14740" s="163"/>
      <c r="J14740" s="165"/>
      <c r="K14740" s="166"/>
      <c r="L14740" s="166"/>
    </row>
    <row r="14741">
      <c r="A14741" s="163" t="s">
        <v>222</v>
      </c>
      <c r="B14741" s="163"/>
      <c r="C14741" s="163"/>
      <c r="J14741" s="165"/>
      <c r="K14741" s="166"/>
      <c r="L14741" s="166"/>
    </row>
    <row r="14742">
      <c r="A14742" s="163" t="s">
        <v>222</v>
      </c>
      <c r="B14742" s="163"/>
      <c r="C14742" s="163"/>
      <c r="J14742" s="165"/>
      <c r="K14742" s="166"/>
      <c r="L14742" s="166"/>
    </row>
    <row r="14743">
      <c r="A14743" s="163" t="s">
        <v>222</v>
      </c>
      <c r="B14743" s="163"/>
      <c r="C14743" s="163"/>
      <c r="J14743" s="165"/>
      <c r="K14743" s="166"/>
      <c r="L14743" s="166"/>
    </row>
    <row r="14744">
      <c r="A14744" s="163" t="s">
        <v>222</v>
      </c>
      <c r="B14744" s="163"/>
      <c r="C14744" s="163"/>
      <c r="J14744" s="165"/>
      <c r="K14744" s="166"/>
      <c r="L14744" s="166"/>
    </row>
    <row r="14745">
      <c r="A14745" s="163" t="s">
        <v>222</v>
      </c>
      <c r="B14745" s="163"/>
      <c r="C14745" s="163"/>
      <c r="J14745" s="165"/>
      <c r="K14745" s="166"/>
      <c r="L14745" s="166"/>
    </row>
    <row r="14746">
      <c r="A14746" s="163" t="s">
        <v>222</v>
      </c>
      <c r="B14746" s="163"/>
      <c r="C14746" s="163"/>
      <c r="J14746" s="165"/>
      <c r="K14746" s="166"/>
      <c r="L14746" s="166"/>
    </row>
    <row r="14747">
      <c r="A14747" s="163" t="s">
        <v>222</v>
      </c>
      <c r="B14747" s="163"/>
      <c r="C14747" s="163"/>
      <c r="J14747" s="165"/>
      <c r="K14747" s="166"/>
      <c r="L14747" s="166"/>
    </row>
    <row r="14748">
      <c r="A14748" s="163" t="s">
        <v>222</v>
      </c>
      <c r="B14748" s="163"/>
      <c r="C14748" s="163"/>
      <c r="J14748" s="165"/>
      <c r="K14748" s="166"/>
      <c r="L14748" s="166"/>
    </row>
    <row r="14749">
      <c r="A14749" s="163" t="s">
        <v>222</v>
      </c>
      <c r="B14749" s="163"/>
      <c r="C14749" s="163"/>
      <c r="J14749" s="165"/>
      <c r="K14749" s="166"/>
      <c r="L14749" s="166"/>
    </row>
    <row r="14750">
      <c r="A14750" s="163" t="s">
        <v>222</v>
      </c>
      <c r="B14750" s="163"/>
      <c r="C14750" s="163"/>
      <c r="J14750" s="165"/>
      <c r="K14750" s="166"/>
      <c r="L14750" s="166"/>
    </row>
    <row r="14751">
      <c r="A14751" s="163" t="s">
        <v>222</v>
      </c>
      <c r="B14751" s="163"/>
      <c r="C14751" s="163"/>
      <c r="J14751" s="165"/>
      <c r="K14751" s="166"/>
      <c r="L14751" s="166"/>
    </row>
    <row r="14752">
      <c r="A14752" s="163" t="s">
        <v>222</v>
      </c>
      <c r="B14752" s="163"/>
      <c r="C14752" s="163"/>
      <c r="J14752" s="165"/>
      <c r="K14752" s="166"/>
      <c r="L14752" s="166"/>
    </row>
    <row r="14753">
      <c r="A14753" s="163" t="s">
        <v>222</v>
      </c>
      <c r="B14753" s="163"/>
      <c r="C14753" s="163"/>
      <c r="J14753" s="165"/>
      <c r="K14753" s="166"/>
      <c r="L14753" s="166"/>
    </row>
    <row r="14754">
      <c r="A14754" s="163" t="s">
        <v>222</v>
      </c>
      <c r="B14754" s="163"/>
      <c r="C14754" s="163"/>
      <c r="J14754" s="165"/>
      <c r="K14754" s="166"/>
      <c r="L14754" s="166"/>
    </row>
    <row r="14755">
      <c r="A14755" s="163" t="s">
        <v>222</v>
      </c>
      <c r="B14755" s="163"/>
      <c r="C14755" s="163"/>
      <c r="J14755" s="165"/>
      <c r="K14755" s="166"/>
      <c r="L14755" s="166"/>
    </row>
    <row r="14756">
      <c r="A14756" s="163" t="s">
        <v>222</v>
      </c>
      <c r="B14756" s="163"/>
      <c r="C14756" s="163"/>
      <c r="J14756" s="165"/>
      <c r="K14756" s="166"/>
      <c r="L14756" s="166"/>
    </row>
    <row r="14757">
      <c r="A14757" s="163" t="s">
        <v>222</v>
      </c>
      <c r="B14757" s="163"/>
      <c r="C14757" s="163"/>
      <c r="J14757" s="165"/>
      <c r="K14757" s="166"/>
      <c r="L14757" s="166"/>
    </row>
    <row r="14758">
      <c r="A14758" s="163" t="s">
        <v>222</v>
      </c>
      <c r="B14758" s="163"/>
      <c r="C14758" s="163"/>
      <c r="J14758" s="165"/>
      <c r="K14758" s="166"/>
      <c r="L14758" s="166"/>
    </row>
    <row r="14759">
      <c r="A14759" s="163" t="s">
        <v>222</v>
      </c>
      <c r="B14759" s="163"/>
      <c r="C14759" s="163"/>
      <c r="J14759" s="165"/>
      <c r="K14759" s="166"/>
      <c r="L14759" s="166"/>
    </row>
    <row r="14760">
      <c r="A14760" s="163" t="s">
        <v>222</v>
      </c>
      <c r="B14760" s="163"/>
      <c r="C14760" s="163"/>
      <c r="J14760" s="165"/>
      <c r="K14760" s="166"/>
      <c r="L14760" s="166"/>
    </row>
    <row r="14761">
      <c r="A14761" s="163" t="s">
        <v>222</v>
      </c>
      <c r="B14761" s="163"/>
      <c r="C14761" s="163"/>
      <c r="J14761" s="165"/>
      <c r="K14761" s="166"/>
      <c r="L14761" s="166"/>
    </row>
    <row r="14762">
      <c r="A14762" s="163" t="s">
        <v>222</v>
      </c>
      <c r="B14762" s="163"/>
      <c r="C14762" s="163"/>
      <c r="J14762" s="165"/>
      <c r="K14762" s="166"/>
      <c r="L14762" s="166"/>
    </row>
    <row r="14763">
      <c r="A14763" s="163" t="s">
        <v>222</v>
      </c>
      <c r="B14763" s="163"/>
      <c r="C14763" s="163"/>
      <c r="J14763" s="165"/>
      <c r="K14763" s="166"/>
      <c r="L14763" s="166"/>
    </row>
    <row r="14764">
      <c r="A14764" s="163" t="s">
        <v>222</v>
      </c>
      <c r="B14764" s="163"/>
      <c r="C14764" s="163"/>
      <c r="J14764" s="165"/>
      <c r="K14764" s="166"/>
      <c r="L14764" s="166"/>
    </row>
    <row r="14765">
      <c r="A14765" s="163" t="s">
        <v>222</v>
      </c>
      <c r="B14765" s="163"/>
      <c r="C14765" s="163"/>
      <c r="J14765" s="165"/>
      <c r="K14765" s="166"/>
      <c r="L14765" s="166"/>
    </row>
    <row r="14766">
      <c r="A14766" s="163" t="s">
        <v>222</v>
      </c>
      <c r="B14766" s="163"/>
      <c r="C14766" s="163"/>
      <c r="J14766" s="165"/>
      <c r="K14766" s="166"/>
      <c r="L14766" s="166"/>
    </row>
    <row r="14767">
      <c r="A14767" s="163" t="s">
        <v>222</v>
      </c>
      <c r="B14767" s="163"/>
      <c r="C14767" s="163"/>
      <c r="J14767" s="165"/>
      <c r="K14767" s="166"/>
      <c r="L14767" s="166"/>
    </row>
    <row r="14768">
      <c r="A14768" s="163" t="s">
        <v>222</v>
      </c>
      <c r="B14768" s="163"/>
      <c r="C14768" s="163"/>
      <c r="J14768" s="165"/>
      <c r="K14768" s="166"/>
      <c r="L14768" s="166"/>
    </row>
    <row r="14769">
      <c r="A14769" s="163" t="s">
        <v>222</v>
      </c>
      <c r="B14769" s="163"/>
      <c r="C14769" s="163"/>
      <c r="J14769" s="165"/>
      <c r="K14769" s="166"/>
      <c r="L14769" s="166"/>
    </row>
    <row r="14770">
      <c r="A14770" s="163" t="s">
        <v>222</v>
      </c>
      <c r="B14770" s="163"/>
      <c r="C14770" s="163"/>
      <c r="J14770" s="165"/>
      <c r="K14770" s="166"/>
      <c r="L14770" s="166"/>
    </row>
    <row r="14771">
      <c r="A14771" s="163" t="s">
        <v>222</v>
      </c>
      <c r="B14771" s="163"/>
      <c r="C14771" s="163"/>
      <c r="J14771" s="165"/>
      <c r="K14771" s="166"/>
      <c r="L14771" s="166"/>
    </row>
    <row r="14772">
      <c r="A14772" s="163" t="s">
        <v>222</v>
      </c>
      <c r="B14772" s="163"/>
      <c r="C14772" s="163"/>
      <c r="J14772" s="165"/>
      <c r="K14772" s="166"/>
      <c r="L14772" s="166"/>
    </row>
    <row r="14773">
      <c r="A14773" s="163" t="s">
        <v>222</v>
      </c>
      <c r="B14773" s="163"/>
      <c r="C14773" s="163"/>
      <c r="J14773" s="165"/>
      <c r="K14773" s="166"/>
      <c r="L14773" s="166"/>
    </row>
    <row r="14774">
      <c r="A14774" s="163" t="s">
        <v>222</v>
      </c>
      <c r="B14774" s="163"/>
      <c r="C14774" s="163"/>
      <c r="J14774" s="165"/>
      <c r="K14774" s="166"/>
      <c r="L14774" s="166"/>
    </row>
    <row r="14775">
      <c r="A14775" s="163" t="s">
        <v>222</v>
      </c>
      <c r="B14775" s="163"/>
      <c r="C14775" s="163"/>
      <c r="J14775" s="165"/>
      <c r="K14775" s="166"/>
      <c r="L14775" s="166"/>
    </row>
    <row r="14776">
      <c r="A14776" s="163" t="s">
        <v>222</v>
      </c>
      <c r="B14776" s="163"/>
      <c r="C14776" s="163"/>
      <c r="J14776" s="165"/>
      <c r="K14776" s="166"/>
      <c r="L14776" s="166"/>
    </row>
    <row r="14777">
      <c r="A14777" s="163" t="s">
        <v>222</v>
      </c>
      <c r="B14777" s="163"/>
      <c r="C14777" s="163"/>
      <c r="J14777" s="165"/>
      <c r="K14777" s="166"/>
      <c r="L14777" s="166"/>
    </row>
    <row r="14778">
      <c r="A14778" s="163" t="s">
        <v>222</v>
      </c>
      <c r="B14778" s="163"/>
      <c r="C14778" s="163"/>
      <c r="J14778" s="165"/>
      <c r="K14778" s="166"/>
      <c r="L14778" s="166"/>
    </row>
    <row r="14779">
      <c r="A14779" s="163" t="s">
        <v>222</v>
      </c>
      <c r="B14779" s="163"/>
      <c r="C14779" s="163"/>
      <c r="J14779" s="165"/>
      <c r="K14779" s="166"/>
      <c r="L14779" s="166"/>
    </row>
    <row r="14780">
      <c r="A14780" s="163" t="s">
        <v>222</v>
      </c>
      <c r="B14780" s="163"/>
      <c r="C14780" s="163"/>
      <c r="J14780" s="165"/>
      <c r="K14780" s="166"/>
      <c r="L14780" s="166"/>
    </row>
    <row r="14781">
      <c r="A14781" s="163" t="s">
        <v>222</v>
      </c>
      <c r="B14781" s="163"/>
      <c r="C14781" s="163"/>
      <c r="J14781" s="165"/>
      <c r="K14781" s="166"/>
      <c r="L14781" s="166"/>
    </row>
    <row r="14782">
      <c r="A14782" s="163" t="s">
        <v>222</v>
      </c>
      <c r="B14782" s="163"/>
      <c r="C14782" s="163"/>
      <c r="J14782" s="165"/>
      <c r="K14782" s="166"/>
      <c r="L14782" s="166"/>
    </row>
    <row r="14783">
      <c r="A14783" s="163" t="s">
        <v>222</v>
      </c>
      <c r="B14783" s="163"/>
      <c r="C14783" s="163"/>
      <c r="J14783" s="165"/>
      <c r="K14783" s="166"/>
      <c r="L14783" s="166"/>
    </row>
    <row r="14784">
      <c r="A14784" s="163" t="s">
        <v>222</v>
      </c>
      <c r="B14784" s="163"/>
      <c r="C14784" s="163"/>
      <c r="J14784" s="165"/>
      <c r="K14784" s="166"/>
      <c r="L14784" s="166"/>
    </row>
    <row r="14785">
      <c r="A14785" s="163" t="s">
        <v>222</v>
      </c>
      <c r="B14785" s="163"/>
      <c r="C14785" s="163"/>
      <c r="J14785" s="165"/>
      <c r="K14785" s="166"/>
      <c r="L14785" s="166"/>
    </row>
    <row r="14786">
      <c r="A14786" s="163" t="s">
        <v>222</v>
      </c>
      <c r="B14786" s="163"/>
      <c r="C14786" s="163"/>
      <c r="J14786" s="165"/>
      <c r="K14786" s="166"/>
      <c r="L14786" s="166"/>
    </row>
    <row r="14787">
      <c r="A14787" s="163" t="s">
        <v>222</v>
      </c>
      <c r="B14787" s="163"/>
      <c r="C14787" s="163"/>
      <c r="J14787" s="165"/>
      <c r="K14787" s="166"/>
      <c r="L14787" s="166"/>
    </row>
    <row r="14788">
      <c r="A14788" s="163" t="s">
        <v>222</v>
      </c>
      <c r="B14788" s="163"/>
      <c r="C14788" s="163"/>
      <c r="J14788" s="165"/>
      <c r="K14788" s="166"/>
      <c r="L14788" s="166"/>
    </row>
    <row r="14789">
      <c r="A14789" s="163" t="s">
        <v>222</v>
      </c>
      <c r="B14789" s="163"/>
      <c r="C14789" s="163"/>
      <c r="J14789" s="165"/>
      <c r="K14789" s="166"/>
      <c r="L14789" s="166"/>
    </row>
    <row r="14790">
      <c r="A14790" s="163" t="s">
        <v>222</v>
      </c>
      <c r="B14790" s="163"/>
      <c r="C14790" s="163"/>
      <c r="J14790" s="165"/>
      <c r="K14790" s="166"/>
      <c r="L14790" s="166"/>
    </row>
    <row r="14791">
      <c r="A14791" s="163" t="s">
        <v>222</v>
      </c>
      <c r="B14791" s="163"/>
      <c r="C14791" s="163"/>
      <c r="J14791" s="165"/>
      <c r="K14791" s="166"/>
      <c r="L14791" s="166"/>
    </row>
    <row r="14792">
      <c r="A14792" s="163" t="s">
        <v>222</v>
      </c>
      <c r="B14792" s="163"/>
      <c r="C14792" s="163"/>
      <c r="J14792" s="165"/>
      <c r="K14792" s="166"/>
      <c r="L14792" s="166"/>
    </row>
    <row r="14793">
      <c r="A14793" s="163" t="s">
        <v>222</v>
      </c>
      <c r="B14793" s="163"/>
      <c r="C14793" s="163"/>
      <c r="J14793" s="165"/>
      <c r="K14793" s="166"/>
      <c r="L14793" s="166"/>
    </row>
    <row r="14794">
      <c r="A14794" s="163" t="s">
        <v>222</v>
      </c>
      <c r="B14794" s="163"/>
      <c r="C14794" s="163"/>
      <c r="J14794" s="165"/>
      <c r="K14794" s="166"/>
      <c r="L14794" s="166"/>
    </row>
    <row r="14795">
      <c r="A14795" s="163" t="s">
        <v>222</v>
      </c>
      <c r="B14795" s="163"/>
      <c r="C14795" s="163"/>
      <c r="J14795" s="165"/>
      <c r="K14795" s="166"/>
      <c r="L14795" s="166"/>
    </row>
    <row r="14796">
      <c r="A14796" s="163" t="s">
        <v>222</v>
      </c>
      <c r="B14796" s="163"/>
      <c r="C14796" s="163"/>
      <c r="J14796" s="165"/>
      <c r="K14796" s="166"/>
      <c r="L14796" s="166"/>
    </row>
    <row r="14797">
      <c r="A14797" s="163" t="s">
        <v>222</v>
      </c>
      <c r="B14797" s="163"/>
      <c r="C14797" s="163"/>
      <c r="J14797" s="165"/>
      <c r="K14797" s="166"/>
      <c r="L14797" s="166"/>
    </row>
    <row r="14798">
      <c r="A14798" s="163" t="s">
        <v>222</v>
      </c>
      <c r="B14798" s="163"/>
      <c r="C14798" s="163"/>
      <c r="J14798" s="165"/>
      <c r="K14798" s="166"/>
      <c r="L14798" s="166"/>
    </row>
    <row r="14799">
      <c r="A14799" s="163" t="s">
        <v>222</v>
      </c>
      <c r="B14799" s="163"/>
      <c r="C14799" s="163"/>
      <c r="J14799" s="165"/>
      <c r="K14799" s="166"/>
      <c r="L14799" s="166"/>
    </row>
    <row r="14800">
      <c r="A14800" s="163" t="s">
        <v>222</v>
      </c>
      <c r="B14800" s="163"/>
      <c r="C14800" s="163"/>
      <c r="J14800" s="165"/>
      <c r="K14800" s="166"/>
      <c r="L14800" s="166"/>
    </row>
    <row r="14801">
      <c r="A14801" s="163" t="s">
        <v>222</v>
      </c>
      <c r="B14801" s="163"/>
      <c r="C14801" s="163"/>
      <c r="J14801" s="165"/>
      <c r="K14801" s="166"/>
      <c r="L14801" s="166"/>
    </row>
    <row r="14802">
      <c r="A14802" s="163" t="s">
        <v>222</v>
      </c>
      <c r="B14802" s="163"/>
      <c r="C14802" s="163"/>
      <c r="J14802" s="165"/>
      <c r="K14802" s="166"/>
      <c r="L14802" s="166"/>
    </row>
    <row r="14803">
      <c r="A14803" s="163" t="s">
        <v>222</v>
      </c>
      <c r="B14803" s="163"/>
      <c r="C14803" s="163"/>
      <c r="J14803" s="165"/>
      <c r="K14803" s="166"/>
      <c r="L14803" s="166"/>
    </row>
    <row r="14804">
      <c r="A14804" s="163" t="s">
        <v>222</v>
      </c>
      <c r="B14804" s="163"/>
      <c r="C14804" s="163"/>
      <c r="J14804" s="165"/>
      <c r="K14804" s="166"/>
      <c r="L14804" s="166"/>
    </row>
    <row r="14805">
      <c r="A14805" s="163" t="s">
        <v>222</v>
      </c>
      <c r="B14805" s="163"/>
      <c r="C14805" s="163"/>
      <c r="J14805" s="165"/>
      <c r="K14805" s="166"/>
      <c r="L14805" s="166"/>
    </row>
    <row r="14806">
      <c r="A14806" s="163" t="s">
        <v>222</v>
      </c>
      <c r="B14806" s="163"/>
      <c r="C14806" s="163"/>
      <c r="J14806" s="165"/>
      <c r="K14806" s="166"/>
      <c r="L14806" s="166"/>
    </row>
    <row r="14807">
      <c r="A14807" s="163" t="s">
        <v>222</v>
      </c>
      <c r="B14807" s="163"/>
      <c r="C14807" s="163"/>
      <c r="J14807" s="165"/>
      <c r="K14807" s="166"/>
      <c r="L14807" s="166"/>
    </row>
    <row r="14808">
      <c r="A14808" s="163" t="s">
        <v>222</v>
      </c>
      <c r="B14808" s="163"/>
      <c r="C14808" s="163"/>
      <c r="J14808" s="165"/>
      <c r="K14808" s="166"/>
      <c r="L14808" s="166"/>
    </row>
    <row r="14809">
      <c r="A14809" s="163" t="s">
        <v>222</v>
      </c>
      <c r="B14809" s="163"/>
      <c r="C14809" s="163"/>
      <c r="J14809" s="165"/>
      <c r="K14809" s="166"/>
      <c r="L14809" s="166"/>
    </row>
    <row r="14810">
      <c r="A14810" s="163" t="s">
        <v>222</v>
      </c>
      <c r="B14810" s="163"/>
      <c r="C14810" s="163"/>
      <c r="J14810" s="165"/>
      <c r="K14810" s="166"/>
      <c r="L14810" s="166"/>
    </row>
    <row r="14811">
      <c r="A14811" s="163" t="s">
        <v>222</v>
      </c>
      <c r="B14811" s="163"/>
      <c r="C14811" s="163"/>
      <c r="J14811" s="165"/>
      <c r="K14811" s="166"/>
      <c r="L14811" s="166"/>
    </row>
    <row r="14812">
      <c r="A14812" s="163" t="s">
        <v>222</v>
      </c>
      <c r="B14812" s="163"/>
      <c r="C14812" s="163"/>
      <c r="J14812" s="165"/>
      <c r="K14812" s="166"/>
      <c r="L14812" s="166"/>
    </row>
    <row r="14813">
      <c r="A14813" s="163" t="s">
        <v>222</v>
      </c>
      <c r="B14813" s="163"/>
      <c r="C14813" s="163"/>
      <c r="J14813" s="165"/>
      <c r="K14813" s="166"/>
      <c r="L14813" s="166"/>
    </row>
    <row r="14814">
      <c r="A14814" s="163" t="s">
        <v>222</v>
      </c>
      <c r="B14814" s="163"/>
      <c r="C14814" s="163"/>
      <c r="J14814" s="165"/>
      <c r="K14814" s="166"/>
      <c r="L14814" s="166"/>
    </row>
    <row r="14815">
      <c r="A14815" s="163" t="s">
        <v>222</v>
      </c>
      <c r="B14815" s="163"/>
      <c r="C14815" s="163"/>
      <c r="J14815" s="165"/>
      <c r="K14815" s="166"/>
      <c r="L14815" s="166"/>
    </row>
    <row r="14816">
      <c r="A14816" s="163" t="s">
        <v>222</v>
      </c>
      <c r="B14816" s="163"/>
      <c r="C14816" s="163"/>
      <c r="J14816" s="165"/>
      <c r="K14816" s="166"/>
      <c r="L14816" s="166"/>
    </row>
    <row r="14817">
      <c r="A14817" s="163" t="s">
        <v>222</v>
      </c>
      <c r="B14817" s="163"/>
      <c r="C14817" s="163"/>
      <c r="J14817" s="165"/>
      <c r="K14817" s="166"/>
      <c r="L14817" s="166"/>
    </row>
    <row r="14818">
      <c r="A14818" s="163" t="s">
        <v>222</v>
      </c>
      <c r="B14818" s="163"/>
      <c r="C14818" s="163"/>
      <c r="J14818" s="165"/>
      <c r="K14818" s="166"/>
      <c r="L14818" s="166"/>
    </row>
    <row r="14819">
      <c r="A14819" s="163" t="s">
        <v>222</v>
      </c>
      <c r="B14819" s="163"/>
      <c r="C14819" s="163"/>
      <c r="J14819" s="165"/>
      <c r="K14819" s="166"/>
      <c r="L14819" s="166"/>
    </row>
    <row r="14820">
      <c r="A14820" s="163" t="s">
        <v>222</v>
      </c>
      <c r="B14820" s="163"/>
      <c r="C14820" s="163"/>
      <c r="J14820" s="165"/>
      <c r="K14820" s="166"/>
      <c r="L14820" s="166"/>
    </row>
    <row r="14821">
      <c r="A14821" s="163" t="s">
        <v>222</v>
      </c>
      <c r="B14821" s="163"/>
      <c r="C14821" s="163"/>
      <c r="J14821" s="165"/>
      <c r="K14821" s="166"/>
      <c r="L14821" s="166"/>
    </row>
    <row r="14822">
      <c r="A14822" s="163" t="s">
        <v>222</v>
      </c>
      <c r="B14822" s="163"/>
      <c r="C14822" s="163"/>
      <c r="J14822" s="165"/>
      <c r="K14822" s="166"/>
      <c r="L14822" s="166"/>
    </row>
    <row r="14823">
      <c r="A14823" s="163" t="s">
        <v>222</v>
      </c>
      <c r="B14823" s="163"/>
      <c r="C14823" s="163"/>
      <c r="J14823" s="165"/>
      <c r="K14823" s="166"/>
      <c r="L14823" s="166"/>
    </row>
    <row r="14824">
      <c r="A14824" s="163" t="s">
        <v>222</v>
      </c>
      <c r="B14824" s="163"/>
      <c r="C14824" s="163"/>
      <c r="J14824" s="165"/>
      <c r="K14824" s="166"/>
      <c r="L14824" s="166"/>
    </row>
    <row r="14825">
      <c r="A14825" s="163" t="s">
        <v>222</v>
      </c>
      <c r="B14825" s="163"/>
      <c r="C14825" s="163"/>
      <c r="J14825" s="165"/>
      <c r="K14825" s="166"/>
      <c r="L14825" s="166"/>
    </row>
    <row r="14826">
      <c r="A14826" s="163" t="s">
        <v>222</v>
      </c>
      <c r="B14826" s="163"/>
      <c r="C14826" s="163"/>
      <c r="J14826" s="165"/>
      <c r="K14826" s="166"/>
      <c r="L14826" s="166"/>
    </row>
    <row r="14827">
      <c r="A14827" s="163" t="s">
        <v>222</v>
      </c>
      <c r="B14827" s="163"/>
      <c r="C14827" s="163"/>
      <c r="J14827" s="165"/>
      <c r="K14827" s="166"/>
      <c r="L14827" s="166"/>
    </row>
    <row r="14828">
      <c r="A14828" s="163" t="s">
        <v>222</v>
      </c>
      <c r="B14828" s="163"/>
      <c r="C14828" s="163"/>
      <c r="J14828" s="165"/>
      <c r="K14828" s="166"/>
      <c r="L14828" s="166"/>
    </row>
    <row r="14829">
      <c r="A14829" s="163" t="s">
        <v>222</v>
      </c>
      <c r="B14829" s="163"/>
      <c r="C14829" s="163"/>
      <c r="J14829" s="165"/>
      <c r="K14829" s="166"/>
      <c r="L14829" s="166"/>
    </row>
    <row r="14830">
      <c r="A14830" s="163" t="s">
        <v>222</v>
      </c>
      <c r="B14830" s="163"/>
      <c r="C14830" s="163"/>
      <c r="J14830" s="165"/>
      <c r="K14830" s="166"/>
      <c r="L14830" s="166"/>
    </row>
    <row r="14831">
      <c r="A14831" s="163" t="s">
        <v>222</v>
      </c>
      <c r="B14831" s="163"/>
      <c r="C14831" s="163"/>
      <c r="J14831" s="165"/>
      <c r="K14831" s="166"/>
      <c r="L14831" s="166"/>
    </row>
    <row r="14832">
      <c r="A14832" s="163" t="s">
        <v>222</v>
      </c>
      <c r="B14832" s="163"/>
      <c r="C14832" s="163"/>
      <c r="J14832" s="165"/>
      <c r="K14832" s="166"/>
      <c r="L14832" s="166"/>
    </row>
    <row r="14833">
      <c r="A14833" s="163" t="s">
        <v>222</v>
      </c>
      <c r="B14833" s="163"/>
      <c r="C14833" s="163"/>
      <c r="J14833" s="165"/>
      <c r="K14833" s="166"/>
      <c r="L14833" s="166"/>
    </row>
    <row r="14834">
      <c r="A14834" s="163" t="s">
        <v>222</v>
      </c>
      <c r="B14834" s="163"/>
      <c r="C14834" s="163"/>
      <c r="J14834" s="165"/>
      <c r="K14834" s="166"/>
      <c r="L14834" s="166"/>
    </row>
    <row r="14835">
      <c r="A14835" s="163" t="s">
        <v>222</v>
      </c>
      <c r="B14835" s="163"/>
      <c r="C14835" s="163"/>
      <c r="J14835" s="165"/>
      <c r="K14835" s="166"/>
      <c r="L14835" s="166"/>
    </row>
    <row r="14836">
      <c r="A14836" s="163" t="s">
        <v>222</v>
      </c>
      <c r="B14836" s="163"/>
      <c r="C14836" s="163"/>
      <c r="J14836" s="165"/>
      <c r="K14836" s="166"/>
      <c r="L14836" s="166"/>
    </row>
    <row r="14837">
      <c r="A14837" s="163" t="s">
        <v>222</v>
      </c>
      <c r="B14837" s="163"/>
      <c r="C14837" s="163"/>
      <c r="J14837" s="165"/>
      <c r="K14837" s="166"/>
      <c r="L14837" s="166"/>
    </row>
    <row r="14838">
      <c r="A14838" s="163" t="s">
        <v>222</v>
      </c>
      <c r="B14838" s="163"/>
      <c r="C14838" s="163"/>
      <c r="J14838" s="165"/>
      <c r="K14838" s="166"/>
      <c r="L14838" s="166"/>
    </row>
    <row r="14839">
      <c r="A14839" s="163" t="s">
        <v>222</v>
      </c>
      <c r="B14839" s="163"/>
      <c r="C14839" s="163"/>
      <c r="J14839" s="165"/>
      <c r="K14839" s="166"/>
      <c r="L14839" s="166"/>
    </row>
    <row r="14840">
      <c r="A14840" s="163" t="s">
        <v>222</v>
      </c>
      <c r="B14840" s="163"/>
      <c r="C14840" s="163"/>
      <c r="J14840" s="165"/>
      <c r="K14840" s="166"/>
      <c r="L14840" s="166"/>
    </row>
    <row r="14841">
      <c r="A14841" s="163" t="s">
        <v>222</v>
      </c>
      <c r="B14841" s="163"/>
      <c r="C14841" s="163"/>
      <c r="J14841" s="165"/>
      <c r="K14841" s="166"/>
      <c r="L14841" s="166"/>
    </row>
    <row r="14842">
      <c r="A14842" s="163" t="s">
        <v>222</v>
      </c>
      <c r="B14842" s="163"/>
      <c r="C14842" s="163"/>
      <c r="J14842" s="165"/>
      <c r="K14842" s="166"/>
      <c r="L14842" s="166"/>
    </row>
    <row r="14843">
      <c r="A14843" s="163" t="s">
        <v>222</v>
      </c>
      <c r="B14843" s="163"/>
      <c r="C14843" s="163"/>
      <c r="J14843" s="165"/>
      <c r="K14843" s="166"/>
      <c r="L14843" s="166"/>
    </row>
    <row r="14844">
      <c r="A14844" s="163" t="s">
        <v>222</v>
      </c>
      <c r="B14844" s="163"/>
      <c r="C14844" s="163"/>
      <c r="J14844" s="165"/>
      <c r="K14844" s="166"/>
      <c r="L14844" s="166"/>
    </row>
    <row r="14845">
      <c r="A14845" s="163" t="s">
        <v>222</v>
      </c>
      <c r="B14845" s="163"/>
      <c r="C14845" s="163"/>
      <c r="J14845" s="165"/>
      <c r="K14845" s="166"/>
      <c r="L14845" s="166"/>
    </row>
    <row r="14846">
      <c r="A14846" s="163" t="s">
        <v>222</v>
      </c>
      <c r="B14846" s="163"/>
      <c r="C14846" s="163"/>
      <c r="J14846" s="165"/>
      <c r="K14846" s="166"/>
      <c r="L14846" s="166"/>
    </row>
    <row r="14847">
      <c r="A14847" s="163" t="s">
        <v>222</v>
      </c>
      <c r="B14847" s="163"/>
      <c r="C14847" s="163"/>
      <c r="J14847" s="165"/>
      <c r="K14847" s="166"/>
      <c r="L14847" s="166"/>
    </row>
    <row r="14848">
      <c r="A14848" s="163" t="s">
        <v>222</v>
      </c>
      <c r="B14848" s="163"/>
      <c r="C14848" s="163"/>
      <c r="J14848" s="165"/>
      <c r="K14848" s="166"/>
      <c r="L14848" s="166"/>
    </row>
    <row r="14849">
      <c r="A14849" s="163" t="s">
        <v>222</v>
      </c>
      <c r="B14849" s="163"/>
      <c r="C14849" s="163"/>
      <c r="J14849" s="165"/>
      <c r="K14849" s="166"/>
      <c r="L14849" s="166"/>
    </row>
    <row r="14850">
      <c r="A14850" s="163" t="s">
        <v>222</v>
      </c>
      <c r="B14850" s="163"/>
      <c r="C14850" s="163"/>
      <c r="J14850" s="165"/>
      <c r="K14850" s="166"/>
      <c r="L14850" s="166"/>
    </row>
    <row r="14851">
      <c r="A14851" s="163" t="s">
        <v>222</v>
      </c>
      <c r="B14851" s="163"/>
      <c r="C14851" s="163"/>
      <c r="J14851" s="165"/>
      <c r="K14851" s="166"/>
      <c r="L14851" s="166"/>
    </row>
    <row r="14852">
      <c r="A14852" s="163" t="s">
        <v>222</v>
      </c>
      <c r="B14852" s="163"/>
      <c r="C14852" s="163"/>
      <c r="J14852" s="165"/>
      <c r="K14852" s="166"/>
      <c r="L14852" s="166"/>
    </row>
    <row r="14853">
      <c r="A14853" s="163" t="s">
        <v>222</v>
      </c>
      <c r="B14853" s="163"/>
      <c r="C14853" s="163"/>
      <c r="J14853" s="165"/>
      <c r="K14853" s="166"/>
      <c r="L14853" s="166"/>
    </row>
    <row r="14854">
      <c r="A14854" s="163" t="s">
        <v>222</v>
      </c>
      <c r="B14854" s="163"/>
      <c r="C14854" s="163"/>
      <c r="J14854" s="165"/>
      <c r="K14854" s="166"/>
      <c r="L14854" s="166"/>
    </row>
    <row r="14855">
      <c r="A14855" s="163" t="s">
        <v>222</v>
      </c>
      <c r="B14855" s="163"/>
      <c r="C14855" s="163"/>
      <c r="J14855" s="165"/>
      <c r="K14855" s="166"/>
      <c r="L14855" s="166"/>
    </row>
    <row r="14856">
      <c r="A14856" s="163" t="s">
        <v>222</v>
      </c>
      <c r="B14856" s="163"/>
      <c r="C14856" s="163"/>
      <c r="J14856" s="165"/>
      <c r="K14856" s="166"/>
      <c r="L14856" s="166"/>
    </row>
    <row r="14857">
      <c r="A14857" s="163" t="s">
        <v>222</v>
      </c>
      <c r="B14857" s="163"/>
      <c r="C14857" s="163"/>
      <c r="J14857" s="165"/>
      <c r="K14857" s="166"/>
      <c r="L14857" s="166"/>
    </row>
    <row r="14858">
      <c r="A14858" s="163" t="s">
        <v>222</v>
      </c>
      <c r="B14858" s="163"/>
      <c r="C14858" s="163"/>
      <c r="J14858" s="165"/>
      <c r="K14858" s="166"/>
      <c r="L14858" s="166"/>
    </row>
    <row r="14859">
      <c r="A14859" s="163" t="s">
        <v>222</v>
      </c>
      <c r="B14859" s="163"/>
      <c r="C14859" s="163"/>
      <c r="J14859" s="165"/>
      <c r="K14859" s="166"/>
      <c r="L14859" s="166"/>
    </row>
    <row r="14860">
      <c r="A14860" s="163" t="s">
        <v>222</v>
      </c>
      <c r="B14860" s="163"/>
      <c r="C14860" s="163"/>
      <c r="J14860" s="165"/>
      <c r="K14860" s="166"/>
      <c r="L14860" s="166"/>
    </row>
    <row r="14861">
      <c r="A14861" s="163" t="s">
        <v>222</v>
      </c>
      <c r="B14861" s="163"/>
      <c r="C14861" s="163"/>
      <c r="J14861" s="165"/>
      <c r="K14861" s="166"/>
      <c r="L14861" s="166"/>
    </row>
    <row r="14862">
      <c r="A14862" s="163" t="s">
        <v>222</v>
      </c>
      <c r="B14862" s="163"/>
      <c r="C14862" s="163"/>
      <c r="J14862" s="165"/>
      <c r="K14862" s="166"/>
      <c r="L14862" s="166"/>
    </row>
    <row r="14863">
      <c r="A14863" s="163" t="s">
        <v>222</v>
      </c>
      <c r="B14863" s="163"/>
      <c r="C14863" s="163"/>
      <c r="J14863" s="165"/>
      <c r="K14863" s="166"/>
      <c r="L14863" s="166"/>
    </row>
    <row r="14864">
      <c r="A14864" s="163" t="s">
        <v>222</v>
      </c>
      <c r="B14864" s="163"/>
      <c r="C14864" s="163"/>
      <c r="J14864" s="165"/>
      <c r="K14864" s="166"/>
      <c r="L14864" s="166"/>
    </row>
    <row r="14865">
      <c r="A14865" s="163" t="s">
        <v>222</v>
      </c>
      <c r="B14865" s="163"/>
      <c r="C14865" s="163"/>
      <c r="J14865" s="165"/>
      <c r="K14865" s="166"/>
      <c r="L14865" s="166"/>
    </row>
    <row r="14866">
      <c r="A14866" s="163" t="s">
        <v>222</v>
      </c>
      <c r="B14866" s="163"/>
      <c r="C14866" s="163"/>
      <c r="J14866" s="165"/>
      <c r="K14866" s="166"/>
      <c r="L14866" s="166"/>
    </row>
    <row r="14867">
      <c r="A14867" s="163" t="s">
        <v>222</v>
      </c>
      <c r="B14867" s="163"/>
      <c r="C14867" s="163"/>
      <c r="J14867" s="165"/>
      <c r="K14867" s="166"/>
      <c r="L14867" s="166"/>
    </row>
    <row r="14868">
      <c r="A14868" s="163" t="s">
        <v>222</v>
      </c>
      <c r="B14868" s="163"/>
      <c r="C14868" s="163"/>
      <c r="J14868" s="165"/>
      <c r="K14868" s="166"/>
      <c r="L14868" s="166"/>
    </row>
    <row r="14869">
      <c r="A14869" s="163" t="s">
        <v>222</v>
      </c>
      <c r="B14869" s="163"/>
      <c r="C14869" s="163"/>
      <c r="J14869" s="165"/>
      <c r="K14869" s="166"/>
      <c r="L14869" s="166"/>
    </row>
    <row r="14870">
      <c r="A14870" s="163" t="s">
        <v>222</v>
      </c>
      <c r="B14870" s="163"/>
      <c r="C14870" s="163"/>
      <c r="J14870" s="165"/>
      <c r="K14870" s="166"/>
      <c r="L14870" s="166"/>
    </row>
    <row r="14871">
      <c r="A14871" s="163" t="s">
        <v>222</v>
      </c>
      <c r="B14871" s="163"/>
      <c r="C14871" s="163"/>
      <c r="J14871" s="165"/>
      <c r="K14871" s="166"/>
      <c r="L14871" s="166"/>
    </row>
    <row r="14872">
      <c r="A14872" s="163" t="s">
        <v>222</v>
      </c>
      <c r="B14872" s="163"/>
      <c r="C14872" s="163"/>
      <c r="J14872" s="165"/>
      <c r="K14872" s="166"/>
      <c r="L14872" s="166"/>
    </row>
    <row r="14873">
      <c r="A14873" s="163" t="s">
        <v>222</v>
      </c>
      <c r="B14873" s="163"/>
      <c r="C14873" s="163"/>
      <c r="J14873" s="165"/>
      <c r="K14873" s="166"/>
      <c r="L14873" s="166"/>
    </row>
    <row r="14874">
      <c r="A14874" s="163" t="s">
        <v>222</v>
      </c>
      <c r="B14874" s="163"/>
      <c r="C14874" s="163"/>
      <c r="J14874" s="165"/>
      <c r="K14874" s="166"/>
      <c r="L14874" s="166"/>
    </row>
    <row r="14875">
      <c r="A14875" s="163" t="s">
        <v>222</v>
      </c>
      <c r="B14875" s="163"/>
      <c r="C14875" s="163"/>
      <c r="J14875" s="165"/>
      <c r="K14875" s="166"/>
      <c r="L14875" s="166"/>
    </row>
    <row r="14876">
      <c r="A14876" s="163" t="s">
        <v>222</v>
      </c>
      <c r="B14876" s="163"/>
      <c r="C14876" s="163"/>
      <c r="J14876" s="165"/>
      <c r="K14876" s="166"/>
      <c r="L14876" s="166"/>
    </row>
    <row r="14877">
      <c r="A14877" s="163" t="s">
        <v>222</v>
      </c>
      <c r="B14877" s="163"/>
      <c r="C14877" s="163"/>
      <c r="J14877" s="165"/>
      <c r="K14877" s="166"/>
      <c r="L14877" s="166"/>
    </row>
    <row r="14878">
      <c r="A14878" s="163" t="s">
        <v>222</v>
      </c>
      <c r="B14878" s="163"/>
      <c r="C14878" s="163"/>
      <c r="J14878" s="165"/>
      <c r="K14878" s="166"/>
      <c r="L14878" s="166"/>
    </row>
    <row r="14879">
      <c r="A14879" s="163" t="s">
        <v>222</v>
      </c>
      <c r="B14879" s="163"/>
      <c r="C14879" s="163"/>
      <c r="J14879" s="165"/>
      <c r="K14879" s="166"/>
      <c r="L14879" s="166"/>
    </row>
    <row r="14880">
      <c r="A14880" s="163" t="s">
        <v>222</v>
      </c>
      <c r="B14880" s="163"/>
      <c r="C14880" s="163"/>
      <c r="J14880" s="165"/>
      <c r="K14880" s="166"/>
      <c r="L14880" s="166"/>
    </row>
    <row r="14881">
      <c r="A14881" s="163" t="s">
        <v>222</v>
      </c>
      <c r="B14881" s="163"/>
      <c r="C14881" s="163"/>
      <c r="J14881" s="165"/>
      <c r="K14881" s="166"/>
      <c r="L14881" s="166"/>
    </row>
    <row r="14882">
      <c r="A14882" s="163" t="s">
        <v>222</v>
      </c>
      <c r="B14882" s="163"/>
      <c r="C14882" s="163"/>
      <c r="J14882" s="165"/>
      <c r="K14882" s="166"/>
      <c r="L14882" s="166"/>
    </row>
    <row r="14883">
      <c r="A14883" s="163" t="s">
        <v>222</v>
      </c>
      <c r="B14883" s="163"/>
      <c r="C14883" s="163"/>
      <c r="J14883" s="165"/>
      <c r="K14883" s="166"/>
      <c r="L14883" s="166"/>
    </row>
    <row r="14884">
      <c r="A14884" s="163" t="s">
        <v>222</v>
      </c>
      <c r="B14884" s="163"/>
      <c r="C14884" s="163"/>
      <c r="J14884" s="165"/>
      <c r="K14884" s="166"/>
      <c r="L14884" s="166"/>
    </row>
    <row r="14885">
      <c r="A14885" s="163" t="s">
        <v>222</v>
      </c>
      <c r="B14885" s="163"/>
      <c r="C14885" s="163"/>
      <c r="J14885" s="165"/>
      <c r="K14885" s="166"/>
      <c r="L14885" s="166"/>
    </row>
    <row r="14886">
      <c r="A14886" s="163" t="s">
        <v>222</v>
      </c>
      <c r="B14886" s="163"/>
      <c r="C14886" s="163"/>
      <c r="J14886" s="165"/>
      <c r="K14886" s="166"/>
      <c r="L14886" s="166"/>
    </row>
    <row r="14887">
      <c r="A14887" s="163" t="s">
        <v>222</v>
      </c>
      <c r="B14887" s="163"/>
      <c r="C14887" s="163"/>
      <c r="J14887" s="165"/>
      <c r="K14887" s="166"/>
      <c r="L14887" s="166"/>
    </row>
    <row r="14888">
      <c r="A14888" s="163" t="s">
        <v>222</v>
      </c>
      <c r="B14888" s="163"/>
      <c r="C14888" s="163"/>
      <c r="J14888" s="165"/>
      <c r="K14888" s="166"/>
      <c r="L14888" s="166"/>
    </row>
    <row r="14889">
      <c r="A14889" s="163" t="s">
        <v>222</v>
      </c>
      <c r="B14889" s="163"/>
      <c r="C14889" s="163"/>
      <c r="J14889" s="165"/>
      <c r="K14889" s="166"/>
      <c r="L14889" s="166"/>
    </row>
    <row r="14890">
      <c r="A14890" s="163" t="s">
        <v>222</v>
      </c>
      <c r="B14890" s="163"/>
      <c r="C14890" s="163"/>
      <c r="J14890" s="165"/>
      <c r="K14890" s="166"/>
      <c r="L14890" s="166"/>
    </row>
    <row r="14891">
      <c r="A14891" s="163" t="s">
        <v>222</v>
      </c>
      <c r="B14891" s="163"/>
      <c r="C14891" s="163"/>
      <c r="J14891" s="165"/>
      <c r="K14891" s="166"/>
      <c r="L14891" s="166"/>
    </row>
    <row r="14892">
      <c r="A14892" s="163" t="s">
        <v>222</v>
      </c>
      <c r="B14892" s="163"/>
      <c r="C14892" s="163"/>
      <c r="J14892" s="165"/>
      <c r="K14892" s="166"/>
      <c r="L14892" s="166"/>
    </row>
    <row r="14893">
      <c r="A14893" s="163" t="s">
        <v>222</v>
      </c>
      <c r="B14893" s="163"/>
      <c r="C14893" s="163"/>
      <c r="J14893" s="165"/>
      <c r="K14893" s="166"/>
      <c r="L14893" s="166"/>
    </row>
    <row r="14894">
      <c r="A14894" s="163" t="s">
        <v>222</v>
      </c>
      <c r="B14894" s="163"/>
      <c r="C14894" s="163"/>
      <c r="J14894" s="165"/>
      <c r="K14894" s="166"/>
      <c r="L14894" s="166"/>
    </row>
    <row r="14895">
      <c r="A14895" s="163" t="s">
        <v>222</v>
      </c>
      <c r="B14895" s="163"/>
      <c r="C14895" s="163"/>
      <c r="J14895" s="165"/>
      <c r="K14895" s="166"/>
      <c r="L14895" s="166"/>
    </row>
    <row r="14896">
      <c r="A14896" s="163" t="s">
        <v>222</v>
      </c>
      <c r="B14896" s="163"/>
      <c r="C14896" s="163"/>
      <c r="J14896" s="165"/>
      <c r="K14896" s="166"/>
      <c r="L14896" s="166"/>
    </row>
    <row r="14897">
      <c r="A14897" s="163" t="s">
        <v>222</v>
      </c>
      <c r="B14897" s="163"/>
      <c r="C14897" s="163"/>
      <c r="J14897" s="165"/>
      <c r="K14897" s="166"/>
      <c r="L14897" s="166"/>
    </row>
    <row r="14898">
      <c r="A14898" s="163" t="s">
        <v>222</v>
      </c>
      <c r="B14898" s="163"/>
      <c r="C14898" s="163"/>
      <c r="J14898" s="165"/>
      <c r="K14898" s="166"/>
      <c r="L14898" s="166"/>
    </row>
    <row r="14899">
      <c r="A14899" s="163" t="s">
        <v>222</v>
      </c>
      <c r="B14899" s="163"/>
      <c r="C14899" s="163"/>
      <c r="J14899" s="165"/>
      <c r="K14899" s="166"/>
      <c r="L14899" s="166"/>
    </row>
    <row r="14900">
      <c r="A14900" s="163" t="s">
        <v>222</v>
      </c>
      <c r="B14900" s="163"/>
      <c r="C14900" s="163"/>
      <c r="J14900" s="165"/>
      <c r="K14900" s="166"/>
      <c r="L14900" s="166"/>
    </row>
    <row r="14901">
      <c r="A14901" s="163" t="s">
        <v>222</v>
      </c>
      <c r="B14901" s="163"/>
      <c r="C14901" s="163"/>
      <c r="J14901" s="165"/>
      <c r="K14901" s="166"/>
      <c r="L14901" s="166"/>
    </row>
    <row r="14902">
      <c r="A14902" s="163" t="s">
        <v>222</v>
      </c>
      <c r="B14902" s="163"/>
      <c r="C14902" s="163"/>
      <c r="J14902" s="165"/>
      <c r="K14902" s="166"/>
      <c r="L14902" s="166"/>
    </row>
    <row r="14903">
      <c r="A14903" s="163" t="s">
        <v>222</v>
      </c>
      <c r="B14903" s="163"/>
      <c r="C14903" s="163"/>
      <c r="J14903" s="165"/>
      <c r="K14903" s="166"/>
      <c r="L14903" s="166"/>
    </row>
    <row r="14904">
      <c r="A14904" s="163" t="s">
        <v>222</v>
      </c>
      <c r="B14904" s="163"/>
      <c r="C14904" s="163"/>
      <c r="J14904" s="165"/>
      <c r="K14904" s="166"/>
      <c r="L14904" s="166"/>
    </row>
    <row r="14905">
      <c r="A14905" s="163" t="s">
        <v>222</v>
      </c>
      <c r="B14905" s="163"/>
      <c r="C14905" s="163"/>
      <c r="J14905" s="165"/>
      <c r="K14905" s="166"/>
      <c r="L14905" s="166"/>
    </row>
    <row r="14906">
      <c r="A14906" s="163" t="s">
        <v>222</v>
      </c>
      <c r="B14906" s="163"/>
      <c r="C14906" s="163"/>
      <c r="J14906" s="165"/>
      <c r="K14906" s="166"/>
      <c r="L14906" s="166"/>
    </row>
    <row r="14907">
      <c r="A14907" s="163" t="s">
        <v>222</v>
      </c>
      <c r="B14907" s="163"/>
      <c r="C14907" s="163"/>
      <c r="J14907" s="165"/>
      <c r="K14907" s="166"/>
      <c r="L14907" s="166"/>
    </row>
    <row r="14908">
      <c r="A14908" s="163" t="s">
        <v>222</v>
      </c>
      <c r="B14908" s="163"/>
      <c r="C14908" s="163"/>
      <c r="J14908" s="165"/>
      <c r="K14908" s="166"/>
      <c r="L14908" s="166"/>
    </row>
    <row r="14909">
      <c r="A14909" s="163" t="s">
        <v>222</v>
      </c>
      <c r="B14909" s="163"/>
      <c r="C14909" s="163"/>
      <c r="J14909" s="165"/>
      <c r="K14909" s="166"/>
      <c r="L14909" s="166"/>
    </row>
    <row r="14910">
      <c r="A14910" s="163" t="s">
        <v>222</v>
      </c>
      <c r="B14910" s="163"/>
      <c r="C14910" s="163"/>
      <c r="J14910" s="165"/>
      <c r="K14910" s="166"/>
      <c r="L14910" s="166"/>
    </row>
    <row r="14911">
      <c r="A14911" s="163" t="s">
        <v>222</v>
      </c>
      <c r="B14911" s="163"/>
      <c r="C14911" s="163"/>
      <c r="J14911" s="165"/>
      <c r="K14911" s="166"/>
      <c r="L14911" s="166"/>
    </row>
    <row r="14912">
      <c r="A14912" s="163" t="s">
        <v>222</v>
      </c>
      <c r="B14912" s="163"/>
      <c r="C14912" s="163"/>
      <c r="J14912" s="165"/>
      <c r="K14912" s="166"/>
      <c r="L14912" s="166"/>
    </row>
    <row r="14913">
      <c r="A14913" s="163" t="s">
        <v>222</v>
      </c>
      <c r="B14913" s="163"/>
      <c r="C14913" s="163"/>
      <c r="J14913" s="165"/>
      <c r="K14913" s="166"/>
      <c r="L14913" s="166"/>
    </row>
    <row r="14914">
      <c r="A14914" s="163" t="s">
        <v>222</v>
      </c>
      <c r="B14914" s="163"/>
      <c r="C14914" s="163"/>
      <c r="J14914" s="165"/>
      <c r="K14914" s="166"/>
      <c r="L14914" s="166"/>
    </row>
    <row r="14915">
      <c r="A14915" s="163" t="s">
        <v>222</v>
      </c>
      <c r="B14915" s="163"/>
      <c r="C14915" s="163"/>
      <c r="J14915" s="165"/>
      <c r="K14915" s="166"/>
      <c r="L14915" s="166"/>
    </row>
    <row r="14916">
      <c r="A14916" s="163" t="s">
        <v>222</v>
      </c>
      <c r="B14916" s="163"/>
      <c r="C14916" s="163"/>
      <c r="J14916" s="165"/>
      <c r="K14916" s="166"/>
      <c r="L14916" s="166"/>
    </row>
    <row r="14917">
      <c r="A14917" s="163" t="s">
        <v>222</v>
      </c>
      <c r="B14917" s="163"/>
      <c r="C14917" s="163"/>
      <c r="J14917" s="165"/>
      <c r="K14917" s="166"/>
      <c r="L14917" s="166"/>
    </row>
    <row r="14918">
      <c r="A14918" s="163" t="s">
        <v>222</v>
      </c>
      <c r="B14918" s="163"/>
      <c r="C14918" s="163"/>
      <c r="J14918" s="165"/>
      <c r="K14918" s="166"/>
      <c r="L14918" s="166"/>
    </row>
    <row r="14919">
      <c r="A14919" s="163" t="s">
        <v>222</v>
      </c>
      <c r="B14919" s="163"/>
      <c r="C14919" s="163"/>
      <c r="J14919" s="165"/>
      <c r="K14919" s="166"/>
      <c r="L14919" s="166"/>
    </row>
    <row r="14920">
      <c r="A14920" s="163" t="s">
        <v>222</v>
      </c>
      <c r="B14920" s="163"/>
      <c r="C14920" s="163"/>
      <c r="J14920" s="165"/>
      <c r="K14920" s="166"/>
      <c r="L14920" s="166"/>
    </row>
    <row r="14921">
      <c r="A14921" s="163" t="s">
        <v>222</v>
      </c>
      <c r="B14921" s="163"/>
      <c r="C14921" s="163"/>
      <c r="J14921" s="165"/>
      <c r="K14921" s="166"/>
      <c r="L14921" s="166"/>
    </row>
    <row r="14922">
      <c r="A14922" s="163" t="s">
        <v>222</v>
      </c>
      <c r="B14922" s="163"/>
      <c r="C14922" s="163"/>
      <c r="J14922" s="165"/>
      <c r="K14922" s="166"/>
      <c r="L14922" s="166"/>
    </row>
    <row r="14923">
      <c r="A14923" s="163" t="s">
        <v>222</v>
      </c>
      <c r="B14923" s="163"/>
      <c r="C14923" s="163"/>
      <c r="J14923" s="165"/>
      <c r="K14923" s="166"/>
      <c r="L14923" s="166"/>
    </row>
    <row r="14924">
      <c r="A14924" s="163" t="s">
        <v>222</v>
      </c>
      <c r="B14924" s="163"/>
      <c r="C14924" s="163"/>
      <c r="J14924" s="165"/>
      <c r="K14924" s="166"/>
      <c r="L14924" s="166"/>
    </row>
    <row r="14925">
      <c r="A14925" s="163" t="s">
        <v>222</v>
      </c>
      <c r="B14925" s="163"/>
      <c r="C14925" s="163"/>
      <c r="J14925" s="165"/>
      <c r="K14925" s="166"/>
      <c r="L14925" s="166"/>
    </row>
    <row r="14926">
      <c r="A14926" s="163" t="s">
        <v>222</v>
      </c>
      <c r="B14926" s="163"/>
      <c r="C14926" s="163"/>
      <c r="J14926" s="165"/>
      <c r="K14926" s="166"/>
      <c r="L14926" s="166"/>
    </row>
    <row r="14927">
      <c r="A14927" s="163" t="s">
        <v>222</v>
      </c>
      <c r="B14927" s="163"/>
      <c r="C14927" s="163"/>
      <c r="J14927" s="165"/>
      <c r="K14927" s="166"/>
      <c r="L14927" s="166"/>
    </row>
    <row r="14928">
      <c r="A14928" s="163" t="s">
        <v>222</v>
      </c>
      <c r="B14928" s="163"/>
      <c r="C14928" s="163"/>
      <c r="J14928" s="165"/>
      <c r="K14928" s="166"/>
      <c r="L14928" s="166"/>
    </row>
    <row r="14929">
      <c r="A14929" s="163" t="s">
        <v>222</v>
      </c>
      <c r="B14929" s="163"/>
      <c r="C14929" s="163"/>
      <c r="J14929" s="165"/>
      <c r="K14929" s="166"/>
      <c r="L14929" s="166"/>
    </row>
    <row r="14930">
      <c r="A14930" s="163" t="s">
        <v>222</v>
      </c>
      <c r="B14930" s="163"/>
      <c r="C14930" s="163"/>
      <c r="J14930" s="165"/>
      <c r="K14930" s="166"/>
      <c r="L14930" s="166"/>
    </row>
    <row r="14931">
      <c r="A14931" s="163" t="s">
        <v>222</v>
      </c>
      <c r="B14931" s="163"/>
      <c r="C14931" s="163"/>
      <c r="J14931" s="165"/>
      <c r="K14931" s="166"/>
      <c r="L14931" s="166"/>
    </row>
    <row r="14932">
      <c r="A14932" s="163" t="s">
        <v>222</v>
      </c>
      <c r="B14932" s="163"/>
      <c r="C14932" s="163"/>
      <c r="J14932" s="165"/>
      <c r="K14932" s="166"/>
      <c r="L14932" s="166"/>
    </row>
    <row r="14933">
      <c r="A14933" s="163" t="s">
        <v>222</v>
      </c>
      <c r="B14933" s="163"/>
      <c r="C14933" s="163"/>
      <c r="J14933" s="165"/>
      <c r="K14933" s="166"/>
      <c r="L14933" s="166"/>
    </row>
    <row r="14934">
      <c r="A14934" s="163" t="s">
        <v>222</v>
      </c>
      <c r="B14934" s="163"/>
      <c r="C14934" s="163"/>
      <c r="J14934" s="165"/>
      <c r="K14934" s="166"/>
      <c r="L14934" s="166"/>
    </row>
    <row r="14935">
      <c r="A14935" s="163" t="s">
        <v>222</v>
      </c>
      <c r="B14935" s="163"/>
      <c r="C14935" s="163"/>
      <c r="J14935" s="165"/>
      <c r="K14935" s="166"/>
      <c r="L14935" s="166"/>
    </row>
    <row r="14936">
      <c r="A14936" s="163" t="s">
        <v>222</v>
      </c>
      <c r="B14936" s="163"/>
      <c r="C14936" s="163"/>
      <c r="J14936" s="165"/>
      <c r="K14936" s="166"/>
      <c r="L14936" s="166"/>
    </row>
    <row r="14937">
      <c r="A14937" s="163" t="s">
        <v>222</v>
      </c>
      <c r="B14937" s="163"/>
      <c r="C14937" s="163"/>
      <c r="J14937" s="165"/>
      <c r="K14937" s="166"/>
      <c r="L14937" s="166"/>
    </row>
    <row r="14938">
      <c r="A14938" s="163" t="s">
        <v>222</v>
      </c>
      <c r="B14938" s="163"/>
      <c r="C14938" s="163"/>
      <c r="J14938" s="165"/>
      <c r="K14938" s="166"/>
      <c r="L14938" s="166"/>
    </row>
    <row r="14939">
      <c r="A14939" s="163" t="s">
        <v>222</v>
      </c>
      <c r="B14939" s="163"/>
      <c r="C14939" s="163"/>
      <c r="J14939" s="165"/>
      <c r="K14939" s="166"/>
      <c r="L14939" s="166"/>
    </row>
    <row r="14940">
      <c r="A14940" s="163" t="s">
        <v>222</v>
      </c>
      <c r="B14940" s="163"/>
      <c r="C14940" s="163"/>
      <c r="J14940" s="165"/>
      <c r="K14940" s="166"/>
      <c r="L14940" s="166"/>
    </row>
    <row r="14941">
      <c r="A14941" s="163" t="s">
        <v>222</v>
      </c>
      <c r="B14941" s="163"/>
      <c r="C14941" s="163"/>
      <c r="J14941" s="165"/>
      <c r="K14941" s="166"/>
      <c r="L14941" s="166"/>
    </row>
    <row r="14942">
      <c r="A14942" s="163" t="s">
        <v>222</v>
      </c>
      <c r="B14942" s="163"/>
      <c r="C14942" s="163"/>
      <c r="J14942" s="165"/>
      <c r="K14942" s="166"/>
      <c r="L14942" s="166"/>
    </row>
    <row r="14943">
      <c r="A14943" s="163" t="s">
        <v>222</v>
      </c>
      <c r="B14943" s="163"/>
      <c r="C14943" s="163"/>
      <c r="J14943" s="165"/>
      <c r="K14943" s="166"/>
      <c r="L14943" s="166"/>
    </row>
    <row r="14944">
      <c r="A14944" s="163" t="s">
        <v>222</v>
      </c>
      <c r="B14944" s="163"/>
      <c r="C14944" s="163"/>
      <c r="J14944" s="165"/>
      <c r="K14944" s="166"/>
      <c r="L14944" s="166"/>
    </row>
    <row r="14945">
      <c r="A14945" s="163" t="s">
        <v>222</v>
      </c>
      <c r="B14945" s="163"/>
      <c r="C14945" s="163"/>
      <c r="J14945" s="165"/>
      <c r="K14945" s="166"/>
      <c r="L14945" s="166"/>
    </row>
    <row r="14946">
      <c r="A14946" s="163" t="s">
        <v>222</v>
      </c>
      <c r="B14946" s="163"/>
      <c r="C14946" s="163"/>
      <c r="J14946" s="165"/>
      <c r="K14946" s="166"/>
      <c r="L14946" s="166"/>
    </row>
    <row r="14947">
      <c r="A14947" s="163" t="s">
        <v>222</v>
      </c>
      <c r="B14947" s="163"/>
      <c r="C14947" s="163"/>
      <c r="J14947" s="165"/>
      <c r="K14947" s="166"/>
      <c r="L14947" s="166"/>
    </row>
    <row r="14948">
      <c r="A14948" s="163" t="s">
        <v>222</v>
      </c>
      <c r="B14948" s="163"/>
      <c r="C14948" s="163"/>
      <c r="J14948" s="165"/>
      <c r="K14948" s="166"/>
      <c r="L14948" s="166"/>
    </row>
    <row r="14949">
      <c r="A14949" s="163" t="s">
        <v>222</v>
      </c>
      <c r="B14949" s="163"/>
      <c r="C14949" s="163"/>
      <c r="J14949" s="165"/>
      <c r="K14949" s="166"/>
      <c r="L14949" s="166"/>
    </row>
    <row r="14950">
      <c r="A14950" s="163" t="s">
        <v>222</v>
      </c>
      <c r="B14950" s="163"/>
      <c r="C14950" s="163"/>
      <c r="J14950" s="165"/>
      <c r="K14950" s="166"/>
      <c r="L14950" s="166"/>
    </row>
    <row r="14951">
      <c r="A14951" s="163" t="s">
        <v>222</v>
      </c>
      <c r="B14951" s="163"/>
      <c r="C14951" s="163"/>
      <c r="J14951" s="165"/>
      <c r="K14951" s="166"/>
      <c r="L14951" s="166"/>
    </row>
    <row r="14952">
      <c r="A14952" s="163" t="s">
        <v>222</v>
      </c>
      <c r="B14952" s="163"/>
      <c r="C14952" s="163"/>
      <c r="J14952" s="165"/>
      <c r="K14952" s="166"/>
      <c r="L14952" s="166"/>
    </row>
    <row r="14953">
      <c r="A14953" s="163" t="s">
        <v>222</v>
      </c>
      <c r="B14953" s="163"/>
      <c r="C14953" s="163"/>
      <c r="J14953" s="165"/>
      <c r="K14953" s="166"/>
      <c r="L14953" s="166"/>
    </row>
    <row r="14954">
      <c r="A14954" s="163" t="s">
        <v>222</v>
      </c>
      <c r="B14954" s="163"/>
      <c r="C14954" s="163"/>
      <c r="J14954" s="165"/>
      <c r="K14954" s="166"/>
      <c r="L14954" s="166"/>
    </row>
    <row r="14955">
      <c r="A14955" s="163" t="s">
        <v>222</v>
      </c>
      <c r="B14955" s="163"/>
      <c r="C14955" s="163"/>
      <c r="J14955" s="165"/>
      <c r="K14955" s="166"/>
      <c r="L14955" s="166"/>
    </row>
    <row r="14956">
      <c r="A14956" s="163" t="s">
        <v>222</v>
      </c>
      <c r="B14956" s="163"/>
      <c r="C14956" s="163"/>
      <c r="J14956" s="165"/>
      <c r="K14956" s="166"/>
      <c r="L14956" s="166"/>
    </row>
    <row r="14957">
      <c r="A14957" s="163" t="s">
        <v>222</v>
      </c>
      <c r="B14957" s="163"/>
      <c r="C14957" s="163"/>
      <c r="J14957" s="165"/>
      <c r="K14957" s="166"/>
      <c r="L14957" s="166"/>
    </row>
    <row r="14958">
      <c r="A14958" s="163" t="s">
        <v>222</v>
      </c>
      <c r="B14958" s="163"/>
      <c r="C14958" s="163"/>
      <c r="J14958" s="165"/>
      <c r="K14958" s="166"/>
      <c r="L14958" s="166"/>
    </row>
    <row r="14959">
      <c r="A14959" s="163" t="s">
        <v>222</v>
      </c>
      <c r="B14959" s="163"/>
      <c r="C14959" s="163"/>
      <c r="J14959" s="165"/>
      <c r="K14959" s="166"/>
      <c r="L14959" s="166"/>
    </row>
    <row r="14960">
      <c r="A14960" s="163" t="s">
        <v>222</v>
      </c>
      <c r="B14960" s="163"/>
      <c r="C14960" s="163"/>
      <c r="J14960" s="165"/>
      <c r="K14960" s="166"/>
      <c r="L14960" s="166"/>
    </row>
    <row r="14961">
      <c r="A14961" s="163" t="s">
        <v>222</v>
      </c>
      <c r="B14961" s="163"/>
      <c r="C14961" s="163"/>
      <c r="J14961" s="165"/>
      <c r="K14961" s="166"/>
      <c r="L14961" s="166"/>
    </row>
    <row r="14962">
      <c r="A14962" s="163" t="s">
        <v>222</v>
      </c>
      <c r="B14962" s="163"/>
      <c r="C14962" s="163"/>
      <c r="J14962" s="165"/>
      <c r="K14962" s="166"/>
      <c r="L14962" s="166"/>
    </row>
    <row r="14963">
      <c r="A14963" s="163" t="s">
        <v>222</v>
      </c>
      <c r="B14963" s="163"/>
      <c r="C14963" s="163"/>
      <c r="J14963" s="165"/>
      <c r="K14963" s="166"/>
      <c r="L14963" s="166"/>
    </row>
    <row r="14964">
      <c r="A14964" s="163" t="s">
        <v>222</v>
      </c>
      <c r="B14964" s="163"/>
      <c r="C14964" s="163"/>
      <c r="J14964" s="165"/>
      <c r="K14964" s="166"/>
      <c r="L14964" s="166"/>
    </row>
    <row r="14965">
      <c r="A14965" s="163" t="s">
        <v>222</v>
      </c>
      <c r="B14965" s="163"/>
      <c r="C14965" s="163"/>
      <c r="J14965" s="165"/>
      <c r="K14965" s="166"/>
      <c r="L14965" s="166"/>
    </row>
    <row r="14966">
      <c r="A14966" s="163" t="s">
        <v>222</v>
      </c>
      <c r="B14966" s="163"/>
      <c r="C14966" s="163"/>
      <c r="J14966" s="165"/>
      <c r="K14966" s="166"/>
      <c r="L14966" s="166"/>
    </row>
    <row r="14967">
      <c r="A14967" s="163" t="s">
        <v>222</v>
      </c>
      <c r="B14967" s="163"/>
      <c r="C14967" s="163"/>
      <c r="J14967" s="165"/>
      <c r="K14967" s="166"/>
      <c r="L14967" s="166"/>
    </row>
    <row r="14968">
      <c r="A14968" s="163" t="s">
        <v>222</v>
      </c>
      <c r="B14968" s="163"/>
      <c r="C14968" s="163"/>
      <c r="J14968" s="165"/>
      <c r="K14968" s="166"/>
      <c r="L14968" s="166"/>
    </row>
    <row r="14969">
      <c r="A14969" s="163" t="s">
        <v>222</v>
      </c>
      <c r="B14969" s="163"/>
      <c r="C14969" s="163"/>
      <c r="J14969" s="165"/>
      <c r="K14969" s="166"/>
      <c r="L14969" s="166"/>
    </row>
    <row r="14970">
      <c r="A14970" s="163" t="s">
        <v>222</v>
      </c>
      <c r="B14970" s="163"/>
      <c r="C14970" s="163"/>
      <c r="J14970" s="165"/>
      <c r="K14970" s="166"/>
      <c r="L14970" s="166"/>
    </row>
    <row r="14971">
      <c r="A14971" s="163" t="s">
        <v>222</v>
      </c>
      <c r="B14971" s="163"/>
      <c r="C14971" s="163"/>
      <c r="J14971" s="165"/>
      <c r="K14971" s="166"/>
      <c r="L14971" s="166"/>
    </row>
    <row r="14972">
      <c r="A14972" s="163" t="s">
        <v>222</v>
      </c>
      <c r="B14972" s="163"/>
      <c r="C14972" s="163"/>
      <c r="J14972" s="165"/>
      <c r="K14972" s="166"/>
      <c r="L14972" s="166"/>
    </row>
    <row r="14973">
      <c r="A14973" s="163" t="s">
        <v>222</v>
      </c>
      <c r="B14973" s="163"/>
      <c r="C14973" s="163"/>
      <c r="J14973" s="165"/>
      <c r="K14973" s="166"/>
      <c r="L14973" s="166"/>
    </row>
    <row r="14974">
      <c r="A14974" s="163" t="s">
        <v>222</v>
      </c>
      <c r="B14974" s="163"/>
      <c r="C14974" s="163"/>
      <c r="J14974" s="165"/>
      <c r="K14974" s="166"/>
      <c r="L14974" s="166"/>
    </row>
    <row r="14975">
      <c r="A14975" s="163" t="s">
        <v>222</v>
      </c>
      <c r="B14975" s="163"/>
      <c r="C14975" s="163"/>
      <c r="J14975" s="165"/>
      <c r="K14975" s="166"/>
      <c r="L14975" s="166"/>
    </row>
    <row r="14976">
      <c r="A14976" s="163" t="s">
        <v>222</v>
      </c>
      <c r="B14976" s="163"/>
      <c r="C14976" s="163"/>
      <c r="J14976" s="165"/>
      <c r="K14976" s="166"/>
      <c r="L14976" s="166"/>
    </row>
    <row r="14977">
      <c r="A14977" s="163" t="s">
        <v>222</v>
      </c>
      <c r="B14977" s="163"/>
      <c r="C14977" s="163"/>
      <c r="J14977" s="165"/>
      <c r="K14977" s="166"/>
      <c r="L14977" s="166"/>
    </row>
    <row r="14978">
      <c r="A14978" s="163" t="s">
        <v>222</v>
      </c>
      <c r="B14978" s="163"/>
      <c r="C14978" s="163"/>
      <c r="J14978" s="165"/>
      <c r="K14978" s="166"/>
      <c r="L14978" s="166"/>
    </row>
    <row r="14979">
      <c r="A14979" s="163" t="s">
        <v>222</v>
      </c>
      <c r="B14979" s="163"/>
      <c r="C14979" s="163"/>
      <c r="J14979" s="165"/>
      <c r="K14979" s="166"/>
      <c r="L14979" s="166"/>
    </row>
    <row r="14980">
      <c r="A14980" s="163" t="s">
        <v>222</v>
      </c>
      <c r="B14980" s="163"/>
      <c r="C14980" s="163"/>
      <c r="J14980" s="165"/>
      <c r="K14980" s="166"/>
      <c r="L14980" s="166"/>
    </row>
    <row r="14981">
      <c r="A14981" s="163" t="s">
        <v>222</v>
      </c>
      <c r="B14981" s="163"/>
      <c r="C14981" s="163"/>
      <c r="J14981" s="165"/>
      <c r="K14981" s="166"/>
      <c r="L14981" s="166"/>
    </row>
    <row r="14982">
      <c r="A14982" s="163" t="s">
        <v>222</v>
      </c>
      <c r="B14982" s="163"/>
      <c r="C14982" s="163"/>
      <c r="J14982" s="165"/>
      <c r="K14982" s="166"/>
      <c r="L14982" s="166"/>
    </row>
    <row r="14983">
      <c r="A14983" s="163" t="s">
        <v>222</v>
      </c>
      <c r="B14983" s="163"/>
      <c r="C14983" s="163"/>
      <c r="J14983" s="165"/>
      <c r="K14983" s="166"/>
      <c r="L14983" s="166"/>
    </row>
    <row r="14984">
      <c r="A14984" s="163" t="s">
        <v>222</v>
      </c>
      <c r="B14984" s="163"/>
      <c r="C14984" s="163"/>
      <c r="J14984" s="165"/>
      <c r="K14984" s="166"/>
      <c r="L14984" s="166"/>
    </row>
    <row r="14985">
      <c r="A14985" s="163" t="s">
        <v>222</v>
      </c>
      <c r="B14985" s="163"/>
      <c r="C14985" s="163"/>
      <c r="J14985" s="165"/>
      <c r="K14985" s="166"/>
      <c r="L14985" s="166"/>
    </row>
    <row r="14986">
      <c r="A14986" s="163" t="s">
        <v>222</v>
      </c>
      <c r="B14986" s="163"/>
      <c r="C14986" s="163"/>
      <c r="J14986" s="165"/>
      <c r="K14986" s="166"/>
      <c r="L14986" s="166"/>
    </row>
    <row r="14987">
      <c r="A14987" s="163" t="s">
        <v>222</v>
      </c>
      <c r="B14987" s="163"/>
      <c r="C14987" s="163"/>
      <c r="J14987" s="165"/>
      <c r="K14987" s="166"/>
      <c r="L14987" s="166"/>
    </row>
    <row r="14988">
      <c r="A14988" s="163" t="s">
        <v>222</v>
      </c>
      <c r="B14988" s="163"/>
      <c r="C14988" s="163"/>
      <c r="J14988" s="165"/>
      <c r="K14988" s="166"/>
      <c r="L14988" s="166"/>
    </row>
    <row r="14989">
      <c r="A14989" s="163" t="s">
        <v>222</v>
      </c>
      <c r="B14989" s="163"/>
      <c r="C14989" s="163"/>
      <c r="J14989" s="165"/>
      <c r="K14989" s="166"/>
      <c r="L14989" s="166"/>
    </row>
    <row r="14990">
      <c r="A14990" s="163" t="s">
        <v>222</v>
      </c>
      <c r="B14990" s="163"/>
      <c r="C14990" s="163"/>
      <c r="J14990" s="165"/>
      <c r="K14990" s="166"/>
      <c r="L14990" s="166"/>
    </row>
    <row r="14991">
      <c r="A14991" s="163" t="s">
        <v>222</v>
      </c>
      <c r="B14991" s="163"/>
      <c r="C14991" s="163"/>
      <c r="J14991" s="165"/>
      <c r="K14991" s="166"/>
      <c r="L14991" s="166"/>
    </row>
    <row r="14992">
      <c r="A14992" s="163" t="s">
        <v>222</v>
      </c>
      <c r="B14992" s="163"/>
      <c r="C14992" s="163"/>
      <c r="J14992" s="165"/>
      <c r="K14992" s="166"/>
      <c r="L14992" s="166"/>
    </row>
    <row r="14993">
      <c r="A14993" s="163" t="s">
        <v>222</v>
      </c>
      <c r="B14993" s="163"/>
      <c r="C14993" s="163"/>
      <c r="J14993" s="165"/>
      <c r="K14993" s="166"/>
      <c r="L14993" s="166"/>
    </row>
    <row r="14994">
      <c r="A14994" s="163" t="s">
        <v>222</v>
      </c>
      <c r="B14994" s="163"/>
      <c r="C14994" s="163"/>
      <c r="J14994" s="165"/>
      <c r="K14994" s="166"/>
      <c r="L14994" s="166"/>
    </row>
    <row r="14995">
      <c r="A14995" s="163" t="s">
        <v>222</v>
      </c>
      <c r="B14995" s="163"/>
      <c r="C14995" s="163"/>
      <c r="J14995" s="165"/>
      <c r="K14995" s="166"/>
      <c r="L14995" s="166"/>
    </row>
    <row r="14996">
      <c r="A14996" s="163" t="s">
        <v>222</v>
      </c>
      <c r="B14996" s="163"/>
      <c r="C14996" s="163"/>
      <c r="J14996" s="165"/>
      <c r="K14996" s="166"/>
      <c r="L14996" s="166"/>
    </row>
    <row r="14997">
      <c r="A14997" s="163" t="s">
        <v>222</v>
      </c>
      <c r="B14997" s="163"/>
      <c r="C14997" s="163"/>
      <c r="J14997" s="165"/>
      <c r="K14997" s="166"/>
      <c r="L14997" s="166"/>
    </row>
    <row r="14998">
      <c r="A14998" s="163" t="s">
        <v>222</v>
      </c>
      <c r="B14998" s="163"/>
      <c r="C14998" s="163"/>
      <c r="J14998" s="165"/>
      <c r="K14998" s="166"/>
      <c r="L14998" s="166"/>
    </row>
    <row r="14999">
      <c r="A14999" s="163" t="s">
        <v>222</v>
      </c>
      <c r="B14999" s="163"/>
      <c r="C14999" s="163"/>
      <c r="J14999" s="165"/>
      <c r="K14999" s="166"/>
      <c r="L14999" s="166"/>
    </row>
    <row r="15000">
      <c r="A15000" s="163" t="s">
        <v>222</v>
      </c>
      <c r="B15000" s="163"/>
      <c r="C15000" s="163"/>
      <c r="J15000" s="165"/>
      <c r="K15000" s="166"/>
      <c r="L15000" s="166"/>
    </row>
    <row r="15001">
      <c r="A15001" s="163" t="s">
        <v>222</v>
      </c>
      <c r="B15001" s="163"/>
      <c r="C15001" s="163"/>
      <c r="J15001" s="165"/>
      <c r="K15001" s="166"/>
      <c r="L15001" s="166"/>
    </row>
    <row r="15002">
      <c r="A15002" s="163" t="s">
        <v>222</v>
      </c>
      <c r="B15002" s="163"/>
      <c r="C15002" s="163"/>
      <c r="J15002" s="165"/>
      <c r="K15002" s="166"/>
      <c r="L15002" s="166"/>
    </row>
    <row r="15003">
      <c r="A15003" s="163" t="s">
        <v>222</v>
      </c>
      <c r="B15003" s="163"/>
      <c r="C15003" s="163"/>
      <c r="J15003" s="165"/>
      <c r="K15003" s="166"/>
      <c r="L15003" s="166"/>
    </row>
    <row r="15004">
      <c r="A15004" s="163" t="s">
        <v>222</v>
      </c>
      <c r="B15004" s="163"/>
      <c r="C15004" s="163"/>
      <c r="J15004" s="165"/>
      <c r="K15004" s="166"/>
      <c r="L15004" s="166"/>
    </row>
    <row r="15005">
      <c r="A15005" s="163" t="s">
        <v>222</v>
      </c>
      <c r="B15005" s="163"/>
      <c r="C15005" s="163"/>
      <c r="J15005" s="165"/>
      <c r="K15005" s="166"/>
      <c r="L15005" s="166"/>
    </row>
    <row r="15006">
      <c r="A15006" s="163" t="s">
        <v>222</v>
      </c>
      <c r="B15006" s="163"/>
      <c r="C15006" s="163"/>
      <c r="J15006" s="165"/>
      <c r="K15006" s="166"/>
      <c r="L15006" s="166"/>
    </row>
    <row r="15007">
      <c r="A15007" s="163" t="s">
        <v>222</v>
      </c>
      <c r="B15007" s="163"/>
      <c r="C15007" s="163"/>
      <c r="J15007" s="165"/>
      <c r="K15007" s="166"/>
      <c r="L15007" s="166"/>
    </row>
    <row r="15008">
      <c r="A15008" s="163" t="s">
        <v>222</v>
      </c>
      <c r="B15008" s="163"/>
      <c r="C15008" s="163"/>
      <c r="J15008" s="165"/>
      <c r="K15008" s="166"/>
      <c r="L15008" s="166"/>
    </row>
    <row r="15009">
      <c r="A15009" s="163" t="s">
        <v>222</v>
      </c>
      <c r="B15009" s="163"/>
      <c r="C15009" s="163"/>
      <c r="J15009" s="165"/>
      <c r="K15009" s="166"/>
      <c r="L15009" s="166"/>
    </row>
    <row r="15010">
      <c r="A15010" s="163" t="s">
        <v>222</v>
      </c>
      <c r="B15010" s="163"/>
      <c r="C15010" s="163"/>
      <c r="J15010" s="165"/>
      <c r="K15010" s="166"/>
      <c r="L15010" s="166"/>
    </row>
    <row r="15011">
      <c r="A15011" s="163" t="s">
        <v>222</v>
      </c>
      <c r="B15011" s="163"/>
      <c r="C15011" s="163"/>
      <c r="J15011" s="165"/>
      <c r="K15011" s="166"/>
      <c r="L15011" s="166"/>
    </row>
    <row r="15012">
      <c r="A15012" s="163" t="s">
        <v>222</v>
      </c>
      <c r="B15012" s="163"/>
      <c r="C15012" s="163"/>
      <c r="J15012" s="165"/>
      <c r="K15012" s="166"/>
      <c r="L15012" s="166"/>
    </row>
    <row r="15013">
      <c r="A15013" s="163" t="s">
        <v>222</v>
      </c>
      <c r="B15013" s="163"/>
      <c r="C15013" s="163"/>
      <c r="J15013" s="165"/>
      <c r="K15013" s="166"/>
      <c r="L15013" s="166"/>
    </row>
    <row r="15014">
      <c r="A15014" s="163" t="s">
        <v>222</v>
      </c>
      <c r="B15014" s="163"/>
      <c r="C15014" s="163"/>
      <c r="J15014" s="165"/>
      <c r="K15014" s="166"/>
      <c r="L15014" s="166"/>
    </row>
    <row r="15015">
      <c r="A15015" s="163" t="s">
        <v>222</v>
      </c>
      <c r="B15015" s="163"/>
      <c r="C15015" s="163"/>
      <c r="J15015" s="165"/>
      <c r="K15015" s="166"/>
      <c r="L15015" s="166"/>
    </row>
    <row r="15016">
      <c r="A15016" s="163" t="s">
        <v>222</v>
      </c>
      <c r="B15016" s="163"/>
      <c r="C15016" s="163"/>
      <c r="J15016" s="165"/>
      <c r="K15016" s="166"/>
      <c r="L15016" s="166"/>
    </row>
    <row r="15017">
      <c r="A15017" s="163" t="s">
        <v>222</v>
      </c>
      <c r="B15017" s="163"/>
      <c r="C15017" s="163"/>
      <c r="J15017" s="165"/>
      <c r="K15017" s="166"/>
      <c r="L15017" s="166"/>
    </row>
    <row r="15018">
      <c r="A15018" s="163" t="s">
        <v>222</v>
      </c>
      <c r="B15018" s="163"/>
      <c r="C15018" s="163"/>
      <c r="J15018" s="165"/>
      <c r="K15018" s="166"/>
      <c r="L15018" s="166"/>
    </row>
    <row r="15019">
      <c r="A15019" s="163" t="s">
        <v>222</v>
      </c>
      <c r="B15019" s="163"/>
      <c r="C15019" s="163"/>
      <c r="J15019" s="165"/>
      <c r="K15019" s="166"/>
      <c r="L15019" s="166"/>
    </row>
    <row r="15020">
      <c r="A15020" s="163" t="s">
        <v>222</v>
      </c>
      <c r="B15020" s="163"/>
      <c r="C15020" s="163"/>
      <c r="J15020" s="165"/>
      <c r="K15020" s="166"/>
      <c r="L15020" s="166"/>
    </row>
    <row r="15021">
      <c r="A15021" s="163" t="s">
        <v>222</v>
      </c>
      <c r="B15021" s="163"/>
      <c r="C15021" s="163"/>
      <c r="J15021" s="165"/>
      <c r="K15021" s="166"/>
      <c r="L15021" s="166"/>
    </row>
    <row r="15022">
      <c r="A15022" s="163" t="s">
        <v>222</v>
      </c>
      <c r="B15022" s="163"/>
      <c r="C15022" s="163"/>
      <c r="J15022" s="165"/>
      <c r="K15022" s="166"/>
      <c r="L15022" s="166"/>
    </row>
    <row r="15023">
      <c r="A15023" s="163" t="s">
        <v>222</v>
      </c>
      <c r="B15023" s="163"/>
      <c r="C15023" s="163"/>
      <c r="J15023" s="165"/>
      <c r="K15023" s="166"/>
      <c r="L15023" s="166"/>
    </row>
    <row r="15024">
      <c r="A15024" s="163" t="s">
        <v>222</v>
      </c>
      <c r="B15024" s="163"/>
      <c r="C15024" s="163"/>
      <c r="J15024" s="165"/>
      <c r="K15024" s="166"/>
      <c r="L15024" s="166"/>
    </row>
    <row r="15025">
      <c r="A15025" s="163" t="s">
        <v>222</v>
      </c>
      <c r="B15025" s="163"/>
      <c r="C15025" s="163"/>
      <c r="J15025" s="165"/>
      <c r="K15025" s="166"/>
      <c r="L15025" s="166"/>
    </row>
    <row r="15026">
      <c r="A15026" s="163" t="s">
        <v>222</v>
      </c>
      <c r="B15026" s="163"/>
      <c r="C15026" s="163"/>
      <c r="J15026" s="165"/>
      <c r="K15026" s="166"/>
      <c r="L15026" s="166"/>
    </row>
    <row r="15027">
      <c r="A15027" s="163" t="s">
        <v>222</v>
      </c>
      <c r="B15027" s="163"/>
      <c r="C15027" s="163"/>
      <c r="J15027" s="165"/>
      <c r="K15027" s="166"/>
      <c r="L15027" s="166"/>
    </row>
    <row r="15028">
      <c r="A15028" s="163" t="s">
        <v>222</v>
      </c>
      <c r="B15028" s="163"/>
      <c r="C15028" s="163"/>
      <c r="J15028" s="165"/>
      <c r="K15028" s="166"/>
      <c r="L15028" s="166"/>
    </row>
    <row r="15029">
      <c r="A15029" s="163" t="s">
        <v>222</v>
      </c>
      <c r="B15029" s="163"/>
      <c r="C15029" s="163"/>
      <c r="J15029" s="165"/>
      <c r="K15029" s="166"/>
      <c r="L15029" s="166"/>
    </row>
    <row r="15030">
      <c r="A15030" s="163" t="s">
        <v>222</v>
      </c>
      <c r="B15030" s="163"/>
      <c r="C15030" s="163"/>
      <c r="J15030" s="165"/>
      <c r="K15030" s="166"/>
      <c r="L15030" s="166"/>
    </row>
    <row r="15031">
      <c r="A15031" s="163" t="s">
        <v>222</v>
      </c>
      <c r="B15031" s="163"/>
      <c r="C15031" s="163"/>
      <c r="J15031" s="165"/>
      <c r="K15031" s="166"/>
      <c r="L15031" s="166"/>
    </row>
    <row r="15032">
      <c r="A15032" s="163" t="s">
        <v>222</v>
      </c>
      <c r="B15032" s="163"/>
      <c r="C15032" s="163"/>
      <c r="J15032" s="165"/>
      <c r="K15032" s="166"/>
      <c r="L15032" s="166"/>
    </row>
    <row r="15033">
      <c r="A15033" s="163" t="s">
        <v>222</v>
      </c>
      <c r="B15033" s="163"/>
      <c r="C15033" s="163"/>
      <c r="J15033" s="165"/>
      <c r="K15033" s="166"/>
      <c r="L15033" s="166"/>
    </row>
    <row r="15034">
      <c r="A15034" s="163" t="s">
        <v>222</v>
      </c>
      <c r="B15034" s="163"/>
      <c r="C15034" s="163"/>
      <c r="J15034" s="165"/>
      <c r="K15034" s="166"/>
      <c r="L15034" s="166"/>
    </row>
    <row r="15035">
      <c r="A15035" s="163" t="s">
        <v>222</v>
      </c>
      <c r="B15035" s="163"/>
      <c r="C15035" s="163"/>
      <c r="J15035" s="165"/>
      <c r="K15035" s="166"/>
      <c r="L15035" s="166"/>
    </row>
    <row r="15036">
      <c r="A15036" s="163" t="s">
        <v>222</v>
      </c>
      <c r="B15036" s="163"/>
      <c r="C15036" s="163"/>
      <c r="J15036" s="165"/>
      <c r="K15036" s="166"/>
      <c r="L15036" s="166"/>
    </row>
    <row r="15037">
      <c r="A15037" s="163" t="s">
        <v>222</v>
      </c>
      <c r="B15037" s="163"/>
      <c r="C15037" s="163"/>
      <c r="J15037" s="165"/>
      <c r="K15037" s="166"/>
      <c r="L15037" s="166"/>
    </row>
    <row r="15038">
      <c r="A15038" s="163" t="s">
        <v>222</v>
      </c>
      <c r="B15038" s="163"/>
      <c r="C15038" s="163"/>
      <c r="J15038" s="165"/>
      <c r="K15038" s="166"/>
      <c r="L15038" s="166"/>
    </row>
    <row r="15039">
      <c r="A15039" s="163" t="s">
        <v>222</v>
      </c>
      <c r="B15039" s="163"/>
      <c r="C15039" s="163"/>
      <c r="J15039" s="165"/>
      <c r="K15039" s="166"/>
      <c r="L15039" s="166"/>
    </row>
    <row r="15040">
      <c r="A15040" s="163" t="s">
        <v>222</v>
      </c>
      <c r="B15040" s="163"/>
      <c r="C15040" s="163"/>
      <c r="J15040" s="165"/>
      <c r="K15040" s="166"/>
      <c r="L15040" s="166"/>
    </row>
    <row r="15041">
      <c r="A15041" s="163" t="s">
        <v>222</v>
      </c>
      <c r="B15041" s="163"/>
      <c r="C15041" s="163"/>
      <c r="J15041" s="165"/>
      <c r="K15041" s="166"/>
      <c r="L15041" s="166"/>
    </row>
    <row r="15042">
      <c r="A15042" s="163" t="s">
        <v>222</v>
      </c>
      <c r="B15042" s="163"/>
      <c r="C15042" s="163"/>
      <c r="J15042" s="165"/>
      <c r="K15042" s="166"/>
      <c r="L15042" s="166"/>
    </row>
    <row r="15043">
      <c r="A15043" s="163" t="s">
        <v>222</v>
      </c>
      <c r="B15043" s="163"/>
      <c r="C15043" s="163"/>
      <c r="J15043" s="165"/>
      <c r="K15043" s="166"/>
      <c r="L15043" s="166"/>
    </row>
    <row r="15044">
      <c r="A15044" s="163" t="s">
        <v>222</v>
      </c>
      <c r="B15044" s="163"/>
      <c r="C15044" s="163"/>
      <c r="J15044" s="165"/>
      <c r="K15044" s="166"/>
      <c r="L15044" s="166"/>
    </row>
    <row r="15045">
      <c r="A15045" s="163" t="s">
        <v>222</v>
      </c>
      <c r="B15045" s="163"/>
      <c r="C15045" s="163"/>
      <c r="J15045" s="165"/>
      <c r="K15045" s="166"/>
      <c r="L15045" s="166"/>
    </row>
    <row r="15046">
      <c r="A15046" s="163" t="s">
        <v>222</v>
      </c>
      <c r="B15046" s="163"/>
      <c r="C15046" s="163"/>
      <c r="J15046" s="165"/>
      <c r="K15046" s="166"/>
      <c r="L15046" s="166"/>
    </row>
    <row r="15047">
      <c r="A15047" s="163" t="s">
        <v>222</v>
      </c>
      <c r="B15047" s="163"/>
      <c r="C15047" s="163"/>
      <c r="J15047" s="165"/>
      <c r="K15047" s="166"/>
      <c r="L15047" s="166"/>
    </row>
    <row r="15048">
      <c r="A15048" s="163" t="s">
        <v>222</v>
      </c>
      <c r="B15048" s="163"/>
      <c r="C15048" s="163"/>
      <c r="J15048" s="165"/>
      <c r="K15048" s="166"/>
      <c r="L15048" s="166"/>
    </row>
    <row r="15049">
      <c r="A15049" s="163" t="s">
        <v>222</v>
      </c>
      <c r="B15049" s="163"/>
      <c r="C15049" s="163"/>
      <c r="J15049" s="165"/>
      <c r="K15049" s="166"/>
      <c r="L15049" s="166"/>
    </row>
    <row r="15050">
      <c r="A15050" s="163" t="s">
        <v>222</v>
      </c>
      <c r="B15050" s="163"/>
      <c r="C15050" s="163"/>
      <c r="J15050" s="165"/>
      <c r="K15050" s="166"/>
      <c r="L15050" s="166"/>
    </row>
    <row r="15051">
      <c r="A15051" s="163" t="s">
        <v>222</v>
      </c>
      <c r="B15051" s="163"/>
      <c r="C15051" s="163"/>
      <c r="J15051" s="165"/>
      <c r="K15051" s="166"/>
      <c r="L15051" s="166"/>
    </row>
    <row r="15052">
      <c r="A15052" s="163" t="s">
        <v>222</v>
      </c>
      <c r="B15052" s="163"/>
      <c r="C15052" s="163"/>
      <c r="J15052" s="165"/>
      <c r="K15052" s="166"/>
      <c r="L15052" s="166"/>
    </row>
    <row r="15053">
      <c r="A15053" s="163" t="s">
        <v>222</v>
      </c>
      <c r="B15053" s="163"/>
      <c r="C15053" s="163"/>
      <c r="J15053" s="165"/>
      <c r="K15053" s="166"/>
      <c r="L15053" s="166"/>
    </row>
    <row r="15054">
      <c r="A15054" s="163" t="s">
        <v>222</v>
      </c>
      <c r="B15054" s="163"/>
      <c r="C15054" s="163"/>
      <c r="J15054" s="165"/>
      <c r="K15054" s="166"/>
      <c r="L15054" s="166"/>
    </row>
    <row r="15055">
      <c r="A15055" s="163" t="s">
        <v>222</v>
      </c>
      <c r="B15055" s="163"/>
      <c r="C15055" s="163"/>
      <c r="J15055" s="165"/>
      <c r="K15055" s="166"/>
      <c r="L15055" s="166"/>
    </row>
    <row r="15056">
      <c r="A15056" s="163" t="s">
        <v>222</v>
      </c>
      <c r="B15056" s="163"/>
      <c r="C15056" s="163"/>
      <c r="J15056" s="165"/>
      <c r="K15056" s="166"/>
      <c r="L15056" s="166"/>
    </row>
    <row r="15057">
      <c r="A15057" s="163" t="s">
        <v>222</v>
      </c>
      <c r="B15057" s="163"/>
      <c r="C15057" s="163"/>
      <c r="J15057" s="165"/>
      <c r="K15057" s="166"/>
      <c r="L15057" s="166"/>
    </row>
    <row r="15058">
      <c r="A15058" s="163" t="s">
        <v>222</v>
      </c>
      <c r="B15058" s="163"/>
      <c r="C15058" s="163"/>
      <c r="J15058" s="165"/>
      <c r="K15058" s="166"/>
      <c r="L15058" s="166"/>
    </row>
    <row r="15059">
      <c r="A15059" s="163" t="s">
        <v>222</v>
      </c>
      <c r="B15059" s="163"/>
      <c r="C15059" s="163"/>
      <c r="J15059" s="165"/>
      <c r="K15059" s="166"/>
      <c r="L15059" s="166"/>
    </row>
    <row r="15060">
      <c r="A15060" s="163" t="s">
        <v>222</v>
      </c>
      <c r="B15060" s="163"/>
      <c r="C15060" s="163"/>
      <c r="J15060" s="165"/>
      <c r="K15060" s="166"/>
      <c r="L15060" s="166"/>
    </row>
    <row r="15061">
      <c r="A15061" s="163" t="s">
        <v>222</v>
      </c>
      <c r="B15061" s="163"/>
      <c r="C15061" s="163"/>
      <c r="J15061" s="165"/>
      <c r="K15061" s="166"/>
      <c r="L15061" s="166"/>
    </row>
    <row r="15062">
      <c r="A15062" s="163" t="s">
        <v>222</v>
      </c>
      <c r="B15062" s="163"/>
      <c r="C15062" s="163"/>
      <c r="J15062" s="165"/>
      <c r="K15062" s="166"/>
      <c r="L15062" s="166"/>
    </row>
    <row r="15063">
      <c r="A15063" s="163" t="s">
        <v>222</v>
      </c>
      <c r="B15063" s="163"/>
      <c r="C15063" s="163"/>
      <c r="J15063" s="165"/>
      <c r="K15063" s="166"/>
      <c r="L15063" s="166"/>
    </row>
    <row r="15064">
      <c r="A15064" s="163" t="s">
        <v>222</v>
      </c>
      <c r="B15064" s="163"/>
      <c r="C15064" s="163"/>
      <c r="J15064" s="165"/>
      <c r="K15064" s="166"/>
      <c r="L15064" s="166"/>
    </row>
    <row r="15065">
      <c r="A15065" s="163" t="s">
        <v>222</v>
      </c>
      <c r="B15065" s="163"/>
      <c r="C15065" s="163"/>
      <c r="J15065" s="165"/>
      <c r="K15065" s="166"/>
      <c r="L15065" s="166"/>
    </row>
    <row r="15066">
      <c r="A15066" s="163" t="s">
        <v>222</v>
      </c>
      <c r="B15066" s="163"/>
      <c r="C15066" s="163"/>
      <c r="J15066" s="165"/>
      <c r="K15066" s="166"/>
      <c r="L15066" s="166"/>
    </row>
    <row r="15067">
      <c r="A15067" s="163" t="s">
        <v>222</v>
      </c>
      <c r="B15067" s="163"/>
      <c r="C15067" s="163"/>
      <c r="J15067" s="165"/>
      <c r="K15067" s="166"/>
      <c r="L15067" s="166"/>
    </row>
    <row r="15068">
      <c r="A15068" s="163" t="s">
        <v>222</v>
      </c>
      <c r="B15068" s="163"/>
      <c r="C15068" s="163"/>
      <c r="J15068" s="165"/>
      <c r="K15068" s="166"/>
      <c r="L15068" s="166"/>
    </row>
    <row r="15069">
      <c r="A15069" s="163" t="s">
        <v>222</v>
      </c>
      <c r="B15069" s="163"/>
      <c r="C15069" s="163"/>
      <c r="J15069" s="165"/>
      <c r="K15069" s="166"/>
      <c r="L15069" s="166"/>
    </row>
    <row r="15070">
      <c r="A15070" s="163" t="s">
        <v>222</v>
      </c>
      <c r="B15070" s="163"/>
      <c r="C15070" s="163"/>
      <c r="J15070" s="165"/>
      <c r="K15070" s="166"/>
      <c r="L15070" s="166"/>
    </row>
    <row r="15071">
      <c r="A15071" s="163" t="s">
        <v>222</v>
      </c>
      <c r="B15071" s="163"/>
      <c r="C15071" s="163"/>
      <c r="J15071" s="165"/>
      <c r="K15071" s="166"/>
      <c r="L15071" s="166"/>
    </row>
    <row r="15072">
      <c r="A15072" s="163" t="s">
        <v>222</v>
      </c>
      <c r="B15072" s="163"/>
      <c r="C15072" s="163"/>
      <c r="J15072" s="165"/>
      <c r="K15072" s="166"/>
      <c r="L15072" s="166"/>
    </row>
    <row r="15073">
      <c r="A15073" s="163" t="s">
        <v>222</v>
      </c>
      <c r="B15073" s="163"/>
      <c r="C15073" s="163"/>
      <c r="J15073" s="165"/>
      <c r="K15073" s="166"/>
      <c r="L15073" s="166"/>
    </row>
    <row r="15074">
      <c r="A15074" s="163" t="s">
        <v>222</v>
      </c>
      <c r="B15074" s="163"/>
      <c r="C15074" s="163"/>
      <c r="J15074" s="165"/>
      <c r="K15074" s="166"/>
      <c r="L15074" s="166"/>
    </row>
    <row r="15075">
      <c r="A15075" s="163" t="s">
        <v>222</v>
      </c>
      <c r="B15075" s="163"/>
      <c r="C15075" s="163"/>
      <c r="J15075" s="165"/>
      <c r="K15075" s="166"/>
      <c r="L15075" s="166"/>
    </row>
    <row r="15076">
      <c r="A15076" s="163" t="s">
        <v>222</v>
      </c>
      <c r="B15076" s="163"/>
      <c r="C15076" s="163"/>
      <c r="J15076" s="165"/>
      <c r="K15076" s="166"/>
      <c r="L15076" s="166"/>
    </row>
    <row r="15077">
      <c r="A15077" s="163" t="s">
        <v>222</v>
      </c>
      <c r="B15077" s="163"/>
      <c r="C15077" s="163"/>
      <c r="J15077" s="165"/>
      <c r="K15077" s="166"/>
      <c r="L15077" s="166"/>
    </row>
    <row r="15078">
      <c r="A15078" s="163" t="s">
        <v>222</v>
      </c>
      <c r="B15078" s="163"/>
      <c r="C15078" s="163"/>
      <c r="J15078" s="165"/>
      <c r="K15078" s="166"/>
      <c r="L15078" s="166"/>
    </row>
    <row r="15079">
      <c r="A15079" s="163" t="s">
        <v>222</v>
      </c>
      <c r="B15079" s="163"/>
      <c r="C15079" s="163"/>
      <c r="J15079" s="165"/>
      <c r="K15079" s="166"/>
      <c r="L15079" s="166"/>
    </row>
    <row r="15080">
      <c r="A15080" s="163" t="s">
        <v>222</v>
      </c>
      <c r="B15080" s="163"/>
      <c r="C15080" s="163"/>
      <c r="J15080" s="165"/>
      <c r="K15080" s="166"/>
      <c r="L15080" s="166"/>
    </row>
    <row r="15081">
      <c r="A15081" s="163" t="s">
        <v>222</v>
      </c>
      <c r="B15081" s="163"/>
      <c r="C15081" s="163"/>
      <c r="J15081" s="165"/>
      <c r="K15081" s="166"/>
      <c r="L15081" s="166"/>
    </row>
    <row r="15082">
      <c r="A15082" s="163" t="s">
        <v>222</v>
      </c>
      <c r="B15082" s="163"/>
      <c r="C15082" s="163"/>
      <c r="J15082" s="165"/>
      <c r="K15082" s="166"/>
      <c r="L15082" s="166"/>
    </row>
    <row r="15083">
      <c r="A15083" s="163" t="s">
        <v>222</v>
      </c>
      <c r="B15083" s="163"/>
      <c r="C15083" s="163"/>
      <c r="J15083" s="165"/>
      <c r="K15083" s="166"/>
      <c r="L15083" s="166"/>
    </row>
    <row r="15084">
      <c r="A15084" s="163" t="s">
        <v>222</v>
      </c>
      <c r="B15084" s="163"/>
      <c r="C15084" s="163"/>
      <c r="J15084" s="165"/>
      <c r="K15084" s="166"/>
      <c r="L15084" s="166"/>
    </row>
    <row r="15085">
      <c r="A15085" s="163" t="s">
        <v>222</v>
      </c>
      <c r="B15085" s="163"/>
      <c r="C15085" s="163"/>
      <c r="J15085" s="165"/>
      <c r="K15085" s="166"/>
      <c r="L15085" s="166"/>
    </row>
    <row r="15086">
      <c r="A15086" s="163" t="s">
        <v>222</v>
      </c>
      <c r="B15086" s="163"/>
      <c r="C15086" s="163"/>
      <c r="J15086" s="165"/>
      <c r="K15086" s="166"/>
      <c r="L15086" s="166"/>
    </row>
    <row r="15087">
      <c r="A15087" s="163" t="s">
        <v>222</v>
      </c>
      <c r="B15087" s="163"/>
      <c r="C15087" s="163"/>
      <c r="J15087" s="165"/>
      <c r="K15087" s="166"/>
      <c r="L15087" s="166"/>
    </row>
    <row r="15088">
      <c r="A15088" s="163" t="s">
        <v>222</v>
      </c>
      <c r="B15088" s="163"/>
      <c r="C15088" s="163"/>
      <c r="J15088" s="165"/>
      <c r="K15088" s="166"/>
      <c r="L15088" s="166"/>
    </row>
    <row r="15089">
      <c r="A15089" s="163" t="s">
        <v>222</v>
      </c>
      <c r="B15089" s="163"/>
      <c r="C15089" s="163"/>
      <c r="J15089" s="165"/>
      <c r="K15089" s="166"/>
      <c r="L15089" s="166"/>
    </row>
    <row r="15090">
      <c r="A15090" s="163" t="s">
        <v>222</v>
      </c>
      <c r="B15090" s="163"/>
      <c r="C15090" s="163"/>
      <c r="J15090" s="165"/>
      <c r="K15090" s="166"/>
      <c r="L15090" s="166"/>
    </row>
    <row r="15091">
      <c r="A15091" s="163" t="s">
        <v>222</v>
      </c>
      <c r="B15091" s="163"/>
      <c r="C15091" s="163"/>
      <c r="J15091" s="165"/>
      <c r="K15091" s="166"/>
      <c r="L15091" s="166"/>
    </row>
    <row r="15092">
      <c r="A15092" s="163" t="s">
        <v>222</v>
      </c>
      <c r="B15092" s="163"/>
      <c r="C15092" s="163"/>
      <c r="J15092" s="165"/>
      <c r="K15092" s="166"/>
      <c r="L15092" s="166"/>
    </row>
    <row r="15093">
      <c r="A15093" s="163" t="s">
        <v>222</v>
      </c>
      <c r="B15093" s="163"/>
      <c r="C15093" s="163"/>
      <c r="J15093" s="165"/>
      <c r="K15093" s="166"/>
      <c r="L15093" s="166"/>
    </row>
    <row r="15094">
      <c r="A15094" s="163" t="s">
        <v>222</v>
      </c>
      <c r="B15094" s="163"/>
      <c r="C15094" s="163"/>
      <c r="J15094" s="165"/>
      <c r="K15094" s="166"/>
      <c r="L15094" s="166"/>
    </row>
    <row r="15095">
      <c r="A15095" s="163" t="s">
        <v>222</v>
      </c>
      <c r="B15095" s="163"/>
      <c r="C15095" s="163"/>
      <c r="J15095" s="165"/>
      <c r="K15095" s="166"/>
      <c r="L15095" s="166"/>
    </row>
    <row r="15096">
      <c r="A15096" s="163" t="s">
        <v>222</v>
      </c>
      <c r="B15096" s="163"/>
      <c r="C15096" s="163"/>
      <c r="J15096" s="165"/>
      <c r="K15096" s="166"/>
      <c r="L15096" s="166"/>
    </row>
    <row r="15097">
      <c r="A15097" s="163" t="s">
        <v>222</v>
      </c>
      <c r="B15097" s="163"/>
      <c r="C15097" s="163"/>
      <c r="J15097" s="165"/>
      <c r="K15097" s="166"/>
      <c r="L15097" s="166"/>
    </row>
    <row r="15098">
      <c r="A15098" s="163" t="s">
        <v>222</v>
      </c>
      <c r="B15098" s="163"/>
      <c r="C15098" s="163"/>
      <c r="J15098" s="165"/>
      <c r="K15098" s="166"/>
      <c r="L15098" s="166"/>
    </row>
    <row r="15099">
      <c r="A15099" s="163" t="s">
        <v>222</v>
      </c>
      <c r="B15099" s="163"/>
      <c r="C15099" s="163"/>
      <c r="J15099" s="165"/>
      <c r="K15099" s="166"/>
      <c r="L15099" s="166"/>
    </row>
    <row r="15100">
      <c r="A15100" s="163" t="s">
        <v>222</v>
      </c>
      <c r="B15100" s="163"/>
      <c r="C15100" s="163"/>
      <c r="J15100" s="165"/>
      <c r="K15100" s="166"/>
      <c r="L15100" s="166"/>
    </row>
    <row r="15101">
      <c r="A15101" s="163" t="s">
        <v>222</v>
      </c>
      <c r="B15101" s="163"/>
      <c r="C15101" s="163"/>
      <c r="J15101" s="165"/>
      <c r="K15101" s="166"/>
      <c r="L15101" s="166"/>
    </row>
    <row r="15102">
      <c r="A15102" s="163" t="s">
        <v>222</v>
      </c>
      <c r="B15102" s="163"/>
      <c r="C15102" s="163"/>
      <c r="J15102" s="165"/>
      <c r="K15102" s="166"/>
      <c r="L15102" s="166"/>
    </row>
    <row r="15103">
      <c r="A15103" s="163" t="s">
        <v>222</v>
      </c>
      <c r="B15103" s="163"/>
      <c r="C15103" s="163"/>
      <c r="J15103" s="165"/>
      <c r="K15103" s="166"/>
      <c r="L15103" s="166"/>
    </row>
    <row r="15104">
      <c r="A15104" s="163" t="s">
        <v>222</v>
      </c>
      <c r="B15104" s="163"/>
      <c r="C15104" s="163"/>
      <c r="J15104" s="165"/>
      <c r="K15104" s="166"/>
      <c r="L15104" s="166"/>
    </row>
    <row r="15105">
      <c r="A15105" s="163" t="s">
        <v>222</v>
      </c>
      <c r="B15105" s="163"/>
      <c r="C15105" s="163"/>
      <c r="J15105" s="165"/>
      <c r="K15105" s="166"/>
      <c r="L15105" s="166"/>
    </row>
    <row r="15106">
      <c r="A15106" s="163" t="s">
        <v>222</v>
      </c>
      <c r="B15106" s="163"/>
      <c r="C15106" s="163"/>
      <c r="J15106" s="165"/>
      <c r="K15106" s="166"/>
      <c r="L15106" s="166"/>
    </row>
    <row r="15107">
      <c r="A15107" s="163" t="s">
        <v>222</v>
      </c>
      <c r="B15107" s="163"/>
      <c r="C15107" s="163"/>
      <c r="J15107" s="165"/>
      <c r="K15107" s="166"/>
      <c r="L15107" s="166"/>
    </row>
    <row r="15108">
      <c r="A15108" s="163" t="s">
        <v>222</v>
      </c>
      <c r="B15108" s="163"/>
      <c r="C15108" s="163"/>
      <c r="J15108" s="165"/>
      <c r="K15108" s="166"/>
      <c r="L15108" s="166"/>
    </row>
    <row r="15109">
      <c r="A15109" s="163" t="s">
        <v>222</v>
      </c>
      <c r="B15109" s="163"/>
      <c r="C15109" s="163"/>
      <c r="J15109" s="165"/>
      <c r="K15109" s="166"/>
      <c r="L15109" s="166"/>
    </row>
    <row r="15110">
      <c r="A15110" s="163" t="s">
        <v>222</v>
      </c>
      <c r="B15110" s="163"/>
      <c r="C15110" s="163"/>
      <c r="J15110" s="165"/>
      <c r="K15110" s="166"/>
      <c r="L15110" s="166"/>
    </row>
    <row r="15111">
      <c r="A15111" s="163" t="s">
        <v>222</v>
      </c>
      <c r="B15111" s="163"/>
      <c r="C15111" s="163"/>
      <c r="J15111" s="165"/>
      <c r="K15111" s="166"/>
      <c r="L15111" s="166"/>
    </row>
    <row r="15112">
      <c r="A15112" s="163" t="s">
        <v>222</v>
      </c>
      <c r="B15112" s="163"/>
      <c r="C15112" s="163"/>
      <c r="J15112" s="165"/>
      <c r="K15112" s="166"/>
      <c r="L15112" s="166"/>
    </row>
    <row r="15113">
      <c r="A15113" s="163" t="s">
        <v>222</v>
      </c>
      <c r="B15113" s="163"/>
      <c r="C15113" s="163"/>
      <c r="J15113" s="165"/>
      <c r="K15113" s="166"/>
      <c r="L15113" s="166"/>
    </row>
    <row r="15114">
      <c r="A15114" s="163" t="s">
        <v>222</v>
      </c>
      <c r="B15114" s="163"/>
      <c r="C15114" s="163"/>
      <c r="J15114" s="165"/>
      <c r="K15114" s="166"/>
      <c r="L15114" s="166"/>
    </row>
    <row r="15115">
      <c r="A15115" s="163" t="s">
        <v>222</v>
      </c>
      <c r="B15115" s="163"/>
      <c r="C15115" s="163"/>
      <c r="J15115" s="165"/>
      <c r="K15115" s="166"/>
      <c r="L15115" s="166"/>
    </row>
    <row r="15116">
      <c r="A15116" s="163" t="s">
        <v>222</v>
      </c>
      <c r="B15116" s="163"/>
      <c r="C15116" s="163"/>
      <c r="J15116" s="165"/>
      <c r="K15116" s="166"/>
      <c r="L15116" s="166"/>
    </row>
    <row r="15117">
      <c r="A15117" s="163" t="s">
        <v>222</v>
      </c>
      <c r="B15117" s="163"/>
      <c r="C15117" s="163"/>
      <c r="J15117" s="165"/>
      <c r="K15117" s="166"/>
      <c r="L15117" s="166"/>
    </row>
    <row r="15118">
      <c r="A15118" s="163" t="s">
        <v>222</v>
      </c>
      <c r="B15118" s="163"/>
      <c r="C15118" s="163"/>
      <c r="J15118" s="165"/>
      <c r="K15118" s="166"/>
      <c r="L15118" s="166"/>
    </row>
    <row r="15119">
      <c r="A15119" s="163" t="s">
        <v>222</v>
      </c>
      <c r="B15119" s="163"/>
      <c r="C15119" s="163"/>
      <c r="J15119" s="165"/>
      <c r="K15119" s="166"/>
      <c r="L15119" s="166"/>
    </row>
    <row r="15120">
      <c r="A15120" s="163" t="s">
        <v>222</v>
      </c>
      <c r="B15120" s="163"/>
      <c r="C15120" s="163"/>
      <c r="J15120" s="165"/>
      <c r="K15120" s="166"/>
      <c r="L15120" s="166"/>
    </row>
    <row r="15121">
      <c r="A15121" s="163" t="s">
        <v>222</v>
      </c>
      <c r="B15121" s="163"/>
      <c r="C15121" s="163"/>
      <c r="J15121" s="165"/>
      <c r="K15121" s="166"/>
      <c r="L15121" s="166"/>
    </row>
    <row r="15122">
      <c r="A15122" s="163" t="s">
        <v>222</v>
      </c>
      <c r="B15122" s="163"/>
      <c r="C15122" s="163"/>
      <c r="J15122" s="165"/>
      <c r="K15122" s="166"/>
      <c r="L15122" s="166"/>
    </row>
    <row r="15123">
      <c r="A15123" s="163" t="s">
        <v>222</v>
      </c>
      <c r="B15123" s="163"/>
      <c r="C15123" s="163"/>
      <c r="J15123" s="165"/>
      <c r="K15123" s="166"/>
      <c r="L15123" s="166"/>
    </row>
    <row r="15124">
      <c r="A15124" s="163" t="s">
        <v>222</v>
      </c>
      <c r="B15124" s="163"/>
      <c r="C15124" s="163"/>
      <c r="J15124" s="165"/>
      <c r="K15124" s="166"/>
      <c r="L15124" s="166"/>
    </row>
    <row r="15125">
      <c r="A15125" s="163" t="s">
        <v>222</v>
      </c>
      <c r="B15125" s="163"/>
      <c r="C15125" s="163"/>
      <c r="J15125" s="165"/>
      <c r="K15125" s="166"/>
      <c r="L15125" s="166"/>
    </row>
    <row r="15126">
      <c r="A15126" s="163" t="s">
        <v>222</v>
      </c>
      <c r="B15126" s="163"/>
      <c r="C15126" s="163"/>
      <c r="J15126" s="165"/>
      <c r="K15126" s="166"/>
      <c r="L15126" s="166"/>
    </row>
    <row r="15127">
      <c r="A15127" s="163" t="s">
        <v>222</v>
      </c>
      <c r="B15127" s="163"/>
      <c r="C15127" s="163"/>
      <c r="J15127" s="165"/>
      <c r="K15127" s="166"/>
      <c r="L15127" s="166"/>
    </row>
    <row r="15128">
      <c r="A15128" s="163" t="s">
        <v>222</v>
      </c>
      <c r="B15128" s="163"/>
      <c r="C15128" s="163"/>
      <c r="J15128" s="165"/>
      <c r="K15128" s="166"/>
      <c r="L15128" s="166"/>
    </row>
    <row r="15129">
      <c r="A15129" s="163" t="s">
        <v>222</v>
      </c>
      <c r="B15129" s="163"/>
      <c r="C15129" s="163"/>
      <c r="J15129" s="165"/>
      <c r="K15129" s="166"/>
      <c r="L15129" s="166"/>
    </row>
    <row r="15130">
      <c r="A15130" s="163" t="s">
        <v>222</v>
      </c>
      <c r="B15130" s="163"/>
      <c r="C15130" s="163"/>
      <c r="J15130" s="165"/>
      <c r="K15130" s="166"/>
      <c r="L15130" s="166"/>
    </row>
    <row r="15131">
      <c r="A15131" s="163" t="s">
        <v>222</v>
      </c>
      <c r="B15131" s="163"/>
      <c r="C15131" s="163"/>
      <c r="J15131" s="165"/>
      <c r="K15131" s="166"/>
      <c r="L15131" s="166"/>
    </row>
    <row r="15132">
      <c r="A15132" s="163" t="s">
        <v>222</v>
      </c>
      <c r="B15132" s="163"/>
      <c r="C15132" s="163"/>
      <c r="J15132" s="165"/>
      <c r="K15132" s="166"/>
      <c r="L15132" s="166"/>
    </row>
    <row r="15133">
      <c r="A15133" s="163" t="s">
        <v>222</v>
      </c>
      <c r="B15133" s="163"/>
      <c r="C15133" s="163"/>
      <c r="J15133" s="165"/>
      <c r="K15133" s="166"/>
      <c r="L15133" s="166"/>
    </row>
    <row r="15134">
      <c r="A15134" s="163" t="s">
        <v>222</v>
      </c>
      <c r="B15134" s="163"/>
      <c r="C15134" s="163"/>
      <c r="J15134" s="165"/>
      <c r="K15134" s="166"/>
      <c r="L15134" s="166"/>
    </row>
    <row r="15135">
      <c r="A15135" s="163" t="s">
        <v>222</v>
      </c>
      <c r="B15135" s="163"/>
      <c r="C15135" s="163"/>
      <c r="J15135" s="165"/>
      <c r="K15135" s="166"/>
      <c r="L15135" s="166"/>
    </row>
    <row r="15136">
      <c r="A15136" s="163" t="s">
        <v>222</v>
      </c>
      <c r="B15136" s="163"/>
      <c r="C15136" s="163"/>
      <c r="J15136" s="165"/>
      <c r="K15136" s="166"/>
      <c r="L15136" s="166"/>
    </row>
    <row r="15137">
      <c r="A15137" s="163" t="s">
        <v>222</v>
      </c>
      <c r="B15137" s="163"/>
      <c r="C15137" s="163"/>
      <c r="J15137" s="165"/>
      <c r="K15137" s="166"/>
      <c r="L15137" s="166"/>
    </row>
    <row r="15138">
      <c r="A15138" s="163" t="s">
        <v>222</v>
      </c>
      <c r="B15138" s="163"/>
      <c r="C15138" s="163"/>
      <c r="J15138" s="165"/>
      <c r="K15138" s="166"/>
      <c r="L15138" s="166"/>
    </row>
    <row r="15139">
      <c r="A15139" s="163" t="s">
        <v>222</v>
      </c>
      <c r="B15139" s="163"/>
      <c r="C15139" s="163"/>
      <c r="J15139" s="165"/>
      <c r="K15139" s="166"/>
      <c r="L15139" s="166"/>
    </row>
    <row r="15140">
      <c r="A15140" s="163" t="s">
        <v>222</v>
      </c>
      <c r="B15140" s="163"/>
      <c r="C15140" s="163"/>
      <c r="J15140" s="165"/>
      <c r="K15140" s="166"/>
      <c r="L15140" s="166"/>
    </row>
    <row r="15141">
      <c r="A15141" s="163" t="s">
        <v>222</v>
      </c>
      <c r="B15141" s="163"/>
      <c r="C15141" s="163"/>
      <c r="J15141" s="165"/>
      <c r="K15141" s="166"/>
      <c r="L15141" s="166"/>
    </row>
    <row r="15142">
      <c r="A15142" s="163" t="s">
        <v>222</v>
      </c>
      <c r="B15142" s="163"/>
      <c r="C15142" s="163"/>
      <c r="J15142" s="165"/>
      <c r="K15142" s="166"/>
      <c r="L15142" s="166"/>
    </row>
    <row r="15143">
      <c r="A15143" s="163" t="s">
        <v>222</v>
      </c>
      <c r="B15143" s="163"/>
      <c r="C15143" s="163"/>
      <c r="J15143" s="165"/>
      <c r="K15143" s="166"/>
      <c r="L15143" s="166"/>
    </row>
    <row r="15144">
      <c r="A15144" s="163" t="s">
        <v>222</v>
      </c>
      <c r="B15144" s="163"/>
      <c r="C15144" s="163"/>
      <c r="J15144" s="165"/>
      <c r="K15144" s="166"/>
      <c r="L15144" s="166"/>
    </row>
    <row r="15145">
      <c r="A15145" s="163" t="s">
        <v>222</v>
      </c>
      <c r="B15145" s="163"/>
      <c r="C15145" s="163"/>
      <c r="J15145" s="165"/>
      <c r="K15145" s="166"/>
      <c r="L15145" s="166"/>
    </row>
    <row r="15146">
      <c r="A15146" s="163" t="s">
        <v>222</v>
      </c>
      <c r="B15146" s="163"/>
      <c r="C15146" s="163"/>
      <c r="J15146" s="165"/>
      <c r="K15146" s="166"/>
      <c r="L15146" s="166"/>
    </row>
    <row r="15147">
      <c r="A15147" s="163" t="s">
        <v>222</v>
      </c>
      <c r="B15147" s="163"/>
      <c r="C15147" s="163"/>
      <c r="J15147" s="165"/>
      <c r="K15147" s="166"/>
      <c r="L15147" s="166"/>
    </row>
    <row r="15148">
      <c r="A15148" s="163" t="s">
        <v>222</v>
      </c>
      <c r="B15148" s="163"/>
      <c r="C15148" s="163"/>
      <c r="J15148" s="165"/>
      <c r="K15148" s="166"/>
      <c r="L15148" s="166"/>
    </row>
    <row r="15149">
      <c r="A15149" s="163" t="s">
        <v>222</v>
      </c>
      <c r="B15149" s="163"/>
      <c r="C15149" s="163"/>
      <c r="J15149" s="165"/>
      <c r="K15149" s="166"/>
      <c r="L15149" s="166"/>
    </row>
    <row r="15150">
      <c r="A15150" s="163" t="s">
        <v>222</v>
      </c>
      <c r="B15150" s="163"/>
      <c r="C15150" s="163"/>
      <c r="J15150" s="165"/>
      <c r="K15150" s="166"/>
      <c r="L15150" s="166"/>
    </row>
    <row r="15151">
      <c r="A15151" s="163" t="s">
        <v>222</v>
      </c>
      <c r="B15151" s="163"/>
      <c r="C15151" s="163"/>
      <c r="J15151" s="165"/>
      <c r="K15151" s="166"/>
      <c r="L15151" s="166"/>
    </row>
    <row r="15152">
      <c r="A15152" s="163" t="s">
        <v>222</v>
      </c>
      <c r="B15152" s="163"/>
      <c r="C15152" s="163"/>
      <c r="J15152" s="165"/>
      <c r="K15152" s="166"/>
      <c r="L15152" s="166"/>
    </row>
    <row r="15153">
      <c r="A15153" s="163" t="s">
        <v>222</v>
      </c>
      <c r="B15153" s="163"/>
      <c r="C15153" s="163"/>
      <c r="J15153" s="165"/>
      <c r="K15153" s="166"/>
      <c r="L15153" s="166"/>
    </row>
    <row r="15154">
      <c r="A15154" s="163" t="s">
        <v>222</v>
      </c>
      <c r="B15154" s="163"/>
      <c r="C15154" s="163"/>
      <c r="J15154" s="165"/>
      <c r="K15154" s="166"/>
      <c r="L15154" s="166"/>
    </row>
    <row r="15155">
      <c r="A15155" s="163" t="s">
        <v>222</v>
      </c>
      <c r="B15155" s="163"/>
      <c r="C15155" s="163"/>
      <c r="J15155" s="165"/>
      <c r="K15155" s="166"/>
      <c r="L15155" s="166"/>
    </row>
    <row r="15156">
      <c r="A15156" s="163" t="s">
        <v>222</v>
      </c>
      <c r="B15156" s="163"/>
      <c r="C15156" s="163"/>
      <c r="J15156" s="165"/>
      <c r="K15156" s="166"/>
      <c r="L15156" s="166"/>
    </row>
    <row r="15157">
      <c r="A15157" s="163" t="s">
        <v>222</v>
      </c>
      <c r="B15157" s="163"/>
      <c r="C15157" s="163"/>
      <c r="J15157" s="165"/>
      <c r="K15157" s="166"/>
      <c r="L15157" s="166"/>
    </row>
    <row r="15158">
      <c r="A15158" s="163" t="s">
        <v>222</v>
      </c>
      <c r="B15158" s="163"/>
      <c r="C15158" s="163"/>
      <c r="J15158" s="165"/>
      <c r="K15158" s="166"/>
      <c r="L15158" s="166"/>
    </row>
    <row r="15159">
      <c r="A15159" s="163" t="s">
        <v>222</v>
      </c>
      <c r="B15159" s="163"/>
      <c r="C15159" s="163"/>
      <c r="J15159" s="165"/>
      <c r="K15159" s="166"/>
      <c r="L15159" s="166"/>
    </row>
    <row r="15160">
      <c r="A15160" s="163" t="s">
        <v>222</v>
      </c>
      <c r="B15160" s="163"/>
      <c r="C15160" s="163"/>
      <c r="J15160" s="165"/>
      <c r="K15160" s="166"/>
      <c r="L15160" s="166"/>
    </row>
    <row r="15161">
      <c r="A15161" s="163" t="s">
        <v>222</v>
      </c>
      <c r="B15161" s="163"/>
      <c r="C15161" s="163"/>
      <c r="J15161" s="165"/>
      <c r="K15161" s="166"/>
      <c r="L15161" s="166"/>
    </row>
    <row r="15162">
      <c r="A15162" s="163" t="s">
        <v>222</v>
      </c>
      <c r="B15162" s="163"/>
      <c r="C15162" s="163"/>
      <c r="J15162" s="165"/>
      <c r="K15162" s="166"/>
      <c r="L15162" s="166"/>
    </row>
    <row r="15163">
      <c r="A15163" s="163" t="s">
        <v>222</v>
      </c>
      <c r="B15163" s="163"/>
      <c r="C15163" s="163"/>
      <c r="J15163" s="165"/>
      <c r="K15163" s="166"/>
      <c r="L15163" s="166"/>
    </row>
    <row r="15164">
      <c r="A15164" s="163" t="s">
        <v>222</v>
      </c>
      <c r="B15164" s="163"/>
      <c r="C15164" s="163"/>
      <c r="J15164" s="165"/>
      <c r="K15164" s="166"/>
      <c r="L15164" s="166"/>
    </row>
    <row r="15165">
      <c r="A15165" s="163" t="s">
        <v>222</v>
      </c>
      <c r="B15165" s="163"/>
      <c r="C15165" s="163"/>
      <c r="J15165" s="165"/>
      <c r="K15165" s="166"/>
      <c r="L15165" s="166"/>
    </row>
    <row r="15166">
      <c r="A15166" s="163" t="s">
        <v>222</v>
      </c>
      <c r="B15166" s="163"/>
      <c r="C15166" s="163"/>
      <c r="J15166" s="165"/>
      <c r="K15166" s="166"/>
      <c r="L15166" s="166"/>
    </row>
    <row r="15167">
      <c r="A15167" s="163" t="s">
        <v>222</v>
      </c>
      <c r="B15167" s="163"/>
      <c r="C15167" s="163"/>
      <c r="J15167" s="165"/>
      <c r="K15167" s="166"/>
      <c r="L15167" s="166"/>
    </row>
    <row r="15168">
      <c r="A15168" s="163" t="s">
        <v>222</v>
      </c>
      <c r="B15168" s="163"/>
      <c r="C15168" s="163"/>
      <c r="J15168" s="165"/>
      <c r="K15168" s="166"/>
      <c r="L15168" s="166"/>
    </row>
    <row r="15169">
      <c r="A15169" s="163" t="s">
        <v>222</v>
      </c>
      <c r="B15169" s="163"/>
      <c r="C15169" s="163"/>
      <c r="J15169" s="165"/>
      <c r="K15169" s="166"/>
      <c r="L15169" s="166"/>
    </row>
    <row r="15170">
      <c r="A15170" s="163" t="s">
        <v>222</v>
      </c>
      <c r="B15170" s="163"/>
      <c r="C15170" s="163"/>
      <c r="J15170" s="165"/>
      <c r="K15170" s="166"/>
      <c r="L15170" s="166"/>
    </row>
    <row r="15171">
      <c r="A15171" s="163" t="s">
        <v>222</v>
      </c>
      <c r="B15171" s="163"/>
      <c r="C15171" s="163"/>
      <c r="J15171" s="165"/>
      <c r="K15171" s="166"/>
      <c r="L15171" s="166"/>
    </row>
    <row r="15172">
      <c r="A15172" s="163" t="s">
        <v>222</v>
      </c>
      <c r="B15172" s="163"/>
      <c r="C15172" s="163"/>
      <c r="J15172" s="165"/>
      <c r="K15172" s="166"/>
      <c r="L15172" s="166"/>
    </row>
    <row r="15173">
      <c r="A15173" s="163" t="s">
        <v>222</v>
      </c>
      <c r="B15173" s="163"/>
      <c r="C15173" s="163"/>
      <c r="J15173" s="165"/>
      <c r="K15173" s="166"/>
      <c r="L15173" s="166"/>
    </row>
    <row r="15174">
      <c r="A15174" s="163" t="s">
        <v>222</v>
      </c>
      <c r="B15174" s="163"/>
      <c r="C15174" s="163"/>
      <c r="J15174" s="165"/>
      <c r="K15174" s="166"/>
      <c r="L15174" s="166"/>
    </row>
    <row r="15175">
      <c r="A15175" s="163" t="s">
        <v>222</v>
      </c>
      <c r="B15175" s="163"/>
      <c r="C15175" s="163"/>
      <c r="J15175" s="165"/>
      <c r="K15175" s="166"/>
      <c r="L15175" s="166"/>
    </row>
    <row r="15176">
      <c r="A15176" s="163" t="s">
        <v>222</v>
      </c>
      <c r="B15176" s="163"/>
      <c r="C15176" s="163"/>
      <c r="J15176" s="165"/>
      <c r="K15176" s="166"/>
      <c r="L15176" s="166"/>
    </row>
    <row r="15177">
      <c r="A15177" s="163" t="s">
        <v>222</v>
      </c>
      <c r="B15177" s="163"/>
      <c r="C15177" s="163"/>
      <c r="J15177" s="165"/>
      <c r="K15177" s="166"/>
      <c r="L15177" s="166"/>
    </row>
    <row r="15178">
      <c r="A15178" s="163" t="s">
        <v>222</v>
      </c>
      <c r="B15178" s="163"/>
      <c r="C15178" s="163"/>
      <c r="J15178" s="165"/>
      <c r="K15178" s="166"/>
      <c r="L15178" s="166"/>
    </row>
    <row r="15179">
      <c r="A15179" s="163" t="s">
        <v>222</v>
      </c>
      <c r="B15179" s="163"/>
      <c r="C15179" s="163"/>
      <c r="J15179" s="165"/>
      <c r="K15179" s="166"/>
      <c r="L15179" s="166"/>
    </row>
    <row r="15180">
      <c r="A15180" s="163" t="s">
        <v>222</v>
      </c>
      <c r="B15180" s="163"/>
      <c r="C15180" s="163"/>
      <c r="J15180" s="165"/>
      <c r="K15180" s="166"/>
      <c r="L15180" s="166"/>
    </row>
    <row r="15181">
      <c r="A15181" s="163" t="s">
        <v>222</v>
      </c>
      <c r="B15181" s="163"/>
      <c r="C15181" s="163"/>
      <c r="J15181" s="165"/>
      <c r="K15181" s="166"/>
      <c r="L15181" s="166"/>
    </row>
    <row r="15182">
      <c r="A15182" s="163" t="s">
        <v>222</v>
      </c>
      <c r="B15182" s="163"/>
      <c r="C15182" s="163"/>
      <c r="J15182" s="165"/>
      <c r="K15182" s="166"/>
      <c r="L15182" s="166"/>
    </row>
    <row r="15183">
      <c r="A15183" s="163" t="s">
        <v>222</v>
      </c>
      <c r="B15183" s="163"/>
      <c r="C15183" s="163"/>
      <c r="J15183" s="165"/>
      <c r="K15183" s="166"/>
      <c r="L15183" s="166"/>
    </row>
    <row r="15184">
      <c r="A15184" s="163" t="s">
        <v>222</v>
      </c>
      <c r="B15184" s="163"/>
      <c r="C15184" s="163"/>
      <c r="J15184" s="165"/>
      <c r="K15184" s="166"/>
      <c r="L15184" s="166"/>
    </row>
    <row r="15185">
      <c r="A15185" s="163" t="s">
        <v>222</v>
      </c>
      <c r="B15185" s="163"/>
      <c r="C15185" s="163"/>
      <c r="J15185" s="165"/>
      <c r="K15185" s="166"/>
      <c r="L15185" s="166"/>
    </row>
    <row r="15186">
      <c r="A15186" s="163" t="s">
        <v>222</v>
      </c>
      <c r="B15186" s="163"/>
      <c r="C15186" s="163"/>
      <c r="J15186" s="165"/>
      <c r="K15186" s="166"/>
      <c r="L15186" s="166"/>
    </row>
    <row r="15187">
      <c r="A15187" s="163" t="s">
        <v>222</v>
      </c>
      <c r="B15187" s="163"/>
      <c r="C15187" s="163"/>
      <c r="J15187" s="165"/>
      <c r="K15187" s="166"/>
      <c r="L15187" s="166"/>
    </row>
    <row r="15188">
      <c r="A15188" s="163" t="s">
        <v>222</v>
      </c>
      <c r="B15188" s="163"/>
      <c r="C15188" s="163"/>
      <c r="J15188" s="165"/>
      <c r="K15188" s="166"/>
      <c r="L15188" s="166"/>
    </row>
    <row r="15189">
      <c r="A15189" s="163" t="s">
        <v>222</v>
      </c>
      <c r="B15189" s="163"/>
      <c r="C15189" s="163"/>
      <c r="J15189" s="165"/>
      <c r="K15189" s="166"/>
      <c r="L15189" s="166"/>
    </row>
    <row r="15190">
      <c r="A15190" s="163" t="s">
        <v>222</v>
      </c>
      <c r="B15190" s="163"/>
      <c r="C15190" s="163"/>
      <c r="J15190" s="165"/>
      <c r="K15190" s="166"/>
      <c r="L15190" s="166"/>
    </row>
    <row r="15191">
      <c r="A15191" s="163" t="s">
        <v>222</v>
      </c>
      <c r="B15191" s="163"/>
      <c r="C15191" s="163"/>
      <c r="J15191" s="165"/>
      <c r="K15191" s="166"/>
      <c r="L15191" s="166"/>
    </row>
    <row r="15192">
      <c r="A15192" s="163" t="s">
        <v>222</v>
      </c>
      <c r="B15192" s="163"/>
      <c r="C15192" s="163"/>
      <c r="J15192" s="165"/>
      <c r="K15192" s="166"/>
      <c r="L15192" s="166"/>
    </row>
    <row r="15193">
      <c r="A15193" s="163" t="s">
        <v>222</v>
      </c>
      <c r="B15193" s="163"/>
      <c r="C15193" s="163"/>
      <c r="J15193" s="165"/>
      <c r="K15193" s="166"/>
      <c r="L15193" s="166"/>
    </row>
    <row r="15194">
      <c r="A15194" s="163" t="s">
        <v>222</v>
      </c>
      <c r="B15194" s="163"/>
      <c r="C15194" s="163"/>
      <c r="J15194" s="165"/>
      <c r="K15194" s="166"/>
      <c r="L15194" s="166"/>
    </row>
    <row r="15195">
      <c r="A15195" s="163" t="s">
        <v>222</v>
      </c>
      <c r="B15195" s="163"/>
      <c r="C15195" s="163"/>
      <c r="J15195" s="165"/>
      <c r="K15195" s="166"/>
      <c r="L15195" s="166"/>
    </row>
    <row r="15196">
      <c r="A15196" s="163" t="s">
        <v>222</v>
      </c>
      <c r="B15196" s="163"/>
      <c r="C15196" s="163"/>
      <c r="J15196" s="165"/>
      <c r="K15196" s="166"/>
      <c r="L15196" s="166"/>
    </row>
    <row r="15197">
      <c r="A15197" s="163" t="s">
        <v>222</v>
      </c>
      <c r="B15197" s="163"/>
      <c r="C15197" s="163"/>
      <c r="J15197" s="165"/>
      <c r="K15197" s="166"/>
      <c r="L15197" s="166"/>
    </row>
    <row r="15198">
      <c r="A15198" s="163" t="s">
        <v>222</v>
      </c>
      <c r="B15198" s="163"/>
      <c r="C15198" s="163"/>
      <c r="J15198" s="165"/>
      <c r="K15198" s="166"/>
      <c r="L15198" s="166"/>
    </row>
    <row r="15199">
      <c r="A15199" s="163" t="s">
        <v>222</v>
      </c>
      <c r="B15199" s="163"/>
      <c r="C15199" s="163"/>
      <c r="J15199" s="165"/>
      <c r="K15199" s="166"/>
      <c r="L15199" s="166"/>
    </row>
    <row r="15200">
      <c r="A15200" s="163" t="s">
        <v>222</v>
      </c>
      <c r="B15200" s="163"/>
      <c r="C15200" s="163"/>
      <c r="J15200" s="165"/>
      <c r="K15200" s="166"/>
      <c r="L15200" s="166"/>
    </row>
    <row r="15201">
      <c r="A15201" s="163" t="s">
        <v>222</v>
      </c>
      <c r="B15201" s="163"/>
      <c r="C15201" s="163"/>
      <c r="J15201" s="165"/>
      <c r="K15201" s="166"/>
      <c r="L15201" s="166"/>
    </row>
    <row r="15202">
      <c r="A15202" s="163" t="s">
        <v>222</v>
      </c>
      <c r="B15202" s="163"/>
      <c r="C15202" s="163"/>
      <c r="J15202" s="165"/>
      <c r="K15202" s="166"/>
      <c r="L15202" s="166"/>
    </row>
    <row r="15203">
      <c r="A15203" s="163" t="s">
        <v>222</v>
      </c>
      <c r="B15203" s="163"/>
      <c r="C15203" s="163"/>
      <c r="J15203" s="165"/>
      <c r="K15203" s="166"/>
      <c r="L15203" s="166"/>
    </row>
    <row r="15204">
      <c r="A15204" s="163" t="s">
        <v>222</v>
      </c>
      <c r="B15204" s="163"/>
      <c r="C15204" s="163"/>
      <c r="J15204" s="165"/>
      <c r="K15204" s="166"/>
      <c r="L15204" s="166"/>
    </row>
    <row r="15205">
      <c r="A15205" s="163" t="s">
        <v>222</v>
      </c>
      <c r="B15205" s="163"/>
      <c r="C15205" s="163"/>
      <c r="J15205" s="165"/>
      <c r="K15205" s="166"/>
      <c r="L15205" s="166"/>
    </row>
    <row r="15206">
      <c r="A15206" s="163" t="s">
        <v>222</v>
      </c>
      <c r="B15206" s="163"/>
      <c r="C15206" s="163"/>
      <c r="J15206" s="165"/>
      <c r="K15206" s="166"/>
      <c r="L15206" s="166"/>
    </row>
    <row r="15207">
      <c r="A15207" s="163" t="s">
        <v>222</v>
      </c>
      <c r="B15207" s="163"/>
      <c r="C15207" s="163"/>
      <c r="J15207" s="165"/>
      <c r="K15207" s="166"/>
      <c r="L15207" s="166"/>
    </row>
    <row r="15208">
      <c r="A15208" s="163" t="s">
        <v>222</v>
      </c>
      <c r="B15208" s="163"/>
      <c r="C15208" s="163"/>
      <c r="J15208" s="165"/>
      <c r="K15208" s="166"/>
      <c r="L15208" s="166"/>
    </row>
    <row r="15209">
      <c r="A15209" s="163" t="s">
        <v>222</v>
      </c>
      <c r="B15209" s="163"/>
      <c r="C15209" s="163"/>
      <c r="J15209" s="165"/>
      <c r="K15209" s="166"/>
      <c r="L15209" s="166"/>
    </row>
    <row r="15210">
      <c r="A15210" s="163" t="s">
        <v>222</v>
      </c>
      <c r="B15210" s="163"/>
      <c r="C15210" s="163"/>
      <c r="J15210" s="165"/>
      <c r="K15210" s="166"/>
      <c r="L15210" s="166"/>
    </row>
    <row r="15211">
      <c r="A15211" s="163" t="s">
        <v>222</v>
      </c>
      <c r="B15211" s="163"/>
      <c r="C15211" s="163"/>
      <c r="J15211" s="165"/>
      <c r="K15211" s="166"/>
      <c r="L15211" s="166"/>
    </row>
    <row r="15212">
      <c r="A15212" s="163" t="s">
        <v>222</v>
      </c>
      <c r="B15212" s="163"/>
      <c r="C15212" s="163"/>
      <c r="J15212" s="165"/>
      <c r="K15212" s="166"/>
      <c r="L15212" s="166"/>
    </row>
    <row r="15213">
      <c r="A15213" s="163" t="s">
        <v>222</v>
      </c>
      <c r="B15213" s="163"/>
      <c r="C15213" s="163"/>
      <c r="J15213" s="165"/>
      <c r="K15213" s="166"/>
      <c r="L15213" s="166"/>
    </row>
    <row r="15214">
      <c r="A15214" s="163" t="s">
        <v>222</v>
      </c>
      <c r="B15214" s="163"/>
      <c r="C15214" s="163"/>
      <c r="J15214" s="165"/>
      <c r="K15214" s="166"/>
      <c r="L15214" s="166"/>
    </row>
    <row r="15215">
      <c r="A15215" s="163" t="s">
        <v>222</v>
      </c>
      <c r="B15215" s="163"/>
      <c r="C15215" s="163"/>
      <c r="J15215" s="165"/>
      <c r="K15215" s="166"/>
      <c r="L15215" s="166"/>
    </row>
    <row r="15216">
      <c r="A15216" s="163" t="s">
        <v>222</v>
      </c>
      <c r="B15216" s="163"/>
      <c r="C15216" s="163"/>
      <c r="J15216" s="165"/>
      <c r="K15216" s="166"/>
      <c r="L15216" s="166"/>
    </row>
    <row r="15217">
      <c r="A15217" s="163" t="s">
        <v>222</v>
      </c>
      <c r="B15217" s="163"/>
      <c r="C15217" s="163"/>
      <c r="J15217" s="165"/>
      <c r="K15217" s="166"/>
      <c r="L15217" s="166"/>
    </row>
    <row r="15218">
      <c r="A15218" s="163" t="s">
        <v>222</v>
      </c>
      <c r="B15218" s="163"/>
      <c r="C15218" s="163"/>
      <c r="J15218" s="165"/>
      <c r="K15218" s="166"/>
      <c r="L15218" s="166"/>
    </row>
    <row r="15219">
      <c r="A15219" s="163" t="s">
        <v>222</v>
      </c>
      <c r="B15219" s="163"/>
      <c r="C15219" s="163"/>
      <c r="J15219" s="165"/>
      <c r="K15219" s="166"/>
      <c r="L15219" s="166"/>
    </row>
    <row r="15220">
      <c r="A15220" s="163" t="s">
        <v>222</v>
      </c>
      <c r="B15220" s="163"/>
      <c r="C15220" s="163"/>
      <c r="J15220" s="165"/>
      <c r="K15220" s="166"/>
      <c r="L15220" s="166"/>
    </row>
    <row r="15221">
      <c r="A15221" s="163" t="s">
        <v>222</v>
      </c>
      <c r="B15221" s="163"/>
      <c r="C15221" s="163"/>
      <c r="J15221" s="165"/>
      <c r="K15221" s="166"/>
      <c r="L15221" s="166"/>
    </row>
    <row r="15222">
      <c r="A15222" s="163" t="s">
        <v>222</v>
      </c>
      <c r="B15222" s="163"/>
      <c r="C15222" s="163"/>
      <c r="J15222" s="165"/>
      <c r="K15222" s="166"/>
      <c r="L15222" s="166"/>
    </row>
    <row r="15223">
      <c r="A15223" s="163" t="s">
        <v>222</v>
      </c>
      <c r="B15223" s="163"/>
      <c r="C15223" s="163"/>
      <c r="J15223" s="165"/>
      <c r="K15223" s="166"/>
      <c r="L15223" s="166"/>
    </row>
    <row r="15224">
      <c r="A15224" s="163" t="s">
        <v>222</v>
      </c>
      <c r="B15224" s="163"/>
      <c r="C15224" s="163"/>
      <c r="J15224" s="165"/>
      <c r="K15224" s="166"/>
      <c r="L15224" s="166"/>
    </row>
    <row r="15225">
      <c r="A15225" s="163" t="s">
        <v>222</v>
      </c>
      <c r="B15225" s="163"/>
      <c r="C15225" s="163"/>
      <c r="J15225" s="165"/>
      <c r="K15225" s="166"/>
      <c r="L15225" s="166"/>
    </row>
    <row r="15226">
      <c r="A15226" s="163" t="s">
        <v>222</v>
      </c>
      <c r="B15226" s="163"/>
      <c r="C15226" s="163"/>
      <c r="J15226" s="165"/>
      <c r="K15226" s="166"/>
      <c r="L15226" s="166"/>
    </row>
    <row r="15227">
      <c r="A15227" s="163" t="s">
        <v>222</v>
      </c>
      <c r="B15227" s="163"/>
      <c r="C15227" s="163"/>
      <c r="J15227" s="165"/>
      <c r="K15227" s="166"/>
      <c r="L15227" s="166"/>
    </row>
    <row r="15228">
      <c r="A15228" s="163" t="s">
        <v>222</v>
      </c>
      <c r="B15228" s="163"/>
      <c r="C15228" s="163"/>
      <c r="J15228" s="165"/>
      <c r="K15228" s="166"/>
      <c r="L15228" s="166"/>
    </row>
    <row r="15229">
      <c r="A15229" s="163" t="s">
        <v>222</v>
      </c>
      <c r="B15229" s="163"/>
      <c r="C15229" s="163"/>
      <c r="J15229" s="165"/>
      <c r="K15229" s="166"/>
      <c r="L15229" s="166"/>
    </row>
    <row r="15230">
      <c r="A15230" s="163" t="s">
        <v>222</v>
      </c>
      <c r="B15230" s="163"/>
      <c r="C15230" s="163"/>
      <c r="J15230" s="165"/>
      <c r="K15230" s="166"/>
      <c r="L15230" s="166"/>
    </row>
    <row r="15231">
      <c r="A15231" s="163" t="s">
        <v>222</v>
      </c>
      <c r="B15231" s="163"/>
      <c r="C15231" s="163"/>
      <c r="J15231" s="165"/>
      <c r="K15231" s="166"/>
      <c r="L15231" s="166"/>
    </row>
    <row r="15232">
      <c r="A15232" s="163" t="s">
        <v>222</v>
      </c>
      <c r="B15232" s="163"/>
      <c r="C15232" s="163"/>
      <c r="J15232" s="165"/>
      <c r="K15232" s="166"/>
      <c r="L15232" s="166"/>
    </row>
    <row r="15233">
      <c r="A15233" s="163" t="s">
        <v>222</v>
      </c>
      <c r="B15233" s="163"/>
      <c r="C15233" s="163"/>
      <c r="J15233" s="165"/>
      <c r="K15233" s="166"/>
      <c r="L15233" s="166"/>
    </row>
    <row r="15234">
      <c r="A15234" s="163" t="s">
        <v>222</v>
      </c>
      <c r="B15234" s="163"/>
      <c r="C15234" s="163"/>
      <c r="J15234" s="165"/>
      <c r="K15234" s="166"/>
      <c r="L15234" s="166"/>
    </row>
    <row r="15235">
      <c r="A15235" s="163" t="s">
        <v>222</v>
      </c>
      <c r="B15235" s="163"/>
      <c r="C15235" s="163"/>
      <c r="J15235" s="165"/>
      <c r="K15235" s="166"/>
      <c r="L15235" s="166"/>
    </row>
    <row r="15236">
      <c r="A15236" s="163" t="s">
        <v>222</v>
      </c>
      <c r="B15236" s="163"/>
      <c r="C15236" s="163"/>
      <c r="J15236" s="165"/>
      <c r="K15236" s="166"/>
      <c r="L15236" s="166"/>
    </row>
    <row r="15237">
      <c r="A15237" s="163" t="s">
        <v>222</v>
      </c>
      <c r="B15237" s="163"/>
      <c r="C15237" s="163"/>
      <c r="J15237" s="165"/>
      <c r="K15237" s="166"/>
      <c r="L15237" s="166"/>
    </row>
    <row r="15238">
      <c r="A15238" s="163" t="s">
        <v>222</v>
      </c>
      <c r="B15238" s="163"/>
      <c r="C15238" s="163"/>
      <c r="J15238" s="165"/>
      <c r="K15238" s="166"/>
      <c r="L15238" s="166"/>
    </row>
    <row r="15239">
      <c r="A15239" s="163" t="s">
        <v>222</v>
      </c>
      <c r="B15239" s="163"/>
      <c r="C15239" s="163"/>
      <c r="J15239" s="165"/>
      <c r="K15239" s="166"/>
      <c r="L15239" s="166"/>
    </row>
    <row r="15240">
      <c r="A15240" s="163" t="s">
        <v>222</v>
      </c>
      <c r="B15240" s="163"/>
      <c r="C15240" s="163"/>
      <c r="J15240" s="165"/>
      <c r="K15240" s="166"/>
      <c r="L15240" s="166"/>
    </row>
    <row r="15241">
      <c r="A15241" s="163" t="s">
        <v>222</v>
      </c>
      <c r="B15241" s="163"/>
      <c r="C15241" s="163"/>
      <c r="J15241" s="165"/>
      <c r="K15241" s="166"/>
      <c r="L15241" s="166"/>
    </row>
    <row r="15242">
      <c r="A15242" s="163" t="s">
        <v>222</v>
      </c>
      <c r="B15242" s="163"/>
      <c r="C15242" s="163"/>
      <c r="J15242" s="165"/>
      <c r="K15242" s="166"/>
      <c r="L15242" s="166"/>
    </row>
    <row r="15243">
      <c r="A15243" s="163" t="s">
        <v>222</v>
      </c>
      <c r="B15243" s="163"/>
      <c r="C15243" s="163"/>
      <c r="J15243" s="165"/>
      <c r="K15243" s="166"/>
      <c r="L15243" s="166"/>
    </row>
    <row r="15244">
      <c r="A15244" s="163" t="s">
        <v>222</v>
      </c>
      <c r="B15244" s="163"/>
      <c r="C15244" s="163"/>
      <c r="J15244" s="165"/>
      <c r="K15244" s="166"/>
      <c r="L15244" s="166"/>
    </row>
    <row r="15245">
      <c r="A15245" s="163" t="s">
        <v>222</v>
      </c>
      <c r="B15245" s="163"/>
      <c r="C15245" s="163"/>
      <c r="J15245" s="165"/>
      <c r="K15245" s="166"/>
      <c r="L15245" s="166"/>
    </row>
    <row r="15246">
      <c r="A15246" s="163" t="s">
        <v>222</v>
      </c>
      <c r="B15246" s="163"/>
      <c r="C15246" s="163"/>
      <c r="J15246" s="165"/>
      <c r="K15246" s="166"/>
      <c r="L15246" s="166"/>
    </row>
    <row r="15247">
      <c r="A15247" s="163" t="s">
        <v>222</v>
      </c>
      <c r="B15247" s="163"/>
      <c r="C15247" s="163"/>
      <c r="J15247" s="165"/>
      <c r="K15247" s="166"/>
      <c r="L15247" s="166"/>
    </row>
    <row r="15248">
      <c r="A15248" s="163" t="s">
        <v>222</v>
      </c>
      <c r="B15248" s="163"/>
      <c r="C15248" s="163"/>
      <c r="J15248" s="165"/>
      <c r="K15248" s="166"/>
      <c r="L15248" s="166"/>
    </row>
    <row r="15249">
      <c r="A15249" s="163" t="s">
        <v>222</v>
      </c>
      <c r="B15249" s="163"/>
      <c r="C15249" s="163"/>
      <c r="J15249" s="165"/>
      <c r="K15249" s="166"/>
      <c r="L15249" s="166"/>
    </row>
    <row r="15250">
      <c r="A15250" s="163" t="s">
        <v>222</v>
      </c>
      <c r="B15250" s="163"/>
      <c r="C15250" s="163"/>
      <c r="J15250" s="165"/>
      <c r="K15250" s="166"/>
      <c r="L15250" s="166"/>
    </row>
    <row r="15251">
      <c r="A15251" s="163" t="s">
        <v>222</v>
      </c>
      <c r="B15251" s="163"/>
      <c r="C15251" s="163"/>
      <c r="J15251" s="165"/>
      <c r="K15251" s="166"/>
      <c r="L15251" s="166"/>
    </row>
    <row r="15252">
      <c r="A15252" s="163" t="s">
        <v>222</v>
      </c>
      <c r="B15252" s="163"/>
      <c r="C15252" s="163"/>
      <c r="J15252" s="165"/>
      <c r="K15252" s="166"/>
      <c r="L15252" s="166"/>
    </row>
    <row r="15253">
      <c r="A15253" s="163" t="s">
        <v>222</v>
      </c>
      <c r="B15253" s="163"/>
      <c r="C15253" s="163"/>
      <c r="J15253" s="165"/>
      <c r="K15253" s="166"/>
      <c r="L15253" s="166"/>
    </row>
    <row r="15254">
      <c r="A15254" s="163" t="s">
        <v>222</v>
      </c>
      <c r="B15254" s="163"/>
      <c r="C15254" s="163"/>
      <c r="J15254" s="165"/>
      <c r="K15254" s="166"/>
      <c r="L15254" s="166"/>
    </row>
    <row r="15255">
      <c r="A15255" s="163" t="s">
        <v>222</v>
      </c>
      <c r="B15255" s="163"/>
      <c r="C15255" s="163"/>
      <c r="J15255" s="165"/>
      <c r="K15255" s="166"/>
      <c r="L15255" s="166"/>
    </row>
    <row r="15256">
      <c r="A15256" s="163" t="s">
        <v>222</v>
      </c>
      <c r="B15256" s="163"/>
      <c r="C15256" s="163"/>
      <c r="J15256" s="165"/>
      <c r="K15256" s="166"/>
      <c r="L15256" s="166"/>
    </row>
    <row r="15257">
      <c r="A15257" s="163" t="s">
        <v>222</v>
      </c>
      <c r="B15257" s="163"/>
      <c r="C15257" s="163"/>
      <c r="J15257" s="165"/>
      <c r="K15257" s="166"/>
      <c r="L15257" s="166"/>
    </row>
    <row r="15258">
      <c r="A15258" s="163" t="s">
        <v>222</v>
      </c>
      <c r="B15258" s="163"/>
      <c r="C15258" s="163"/>
      <c r="J15258" s="165"/>
      <c r="K15258" s="166"/>
      <c r="L15258" s="166"/>
    </row>
    <row r="15259">
      <c r="A15259" s="163" t="s">
        <v>222</v>
      </c>
      <c r="B15259" s="163"/>
      <c r="C15259" s="163"/>
      <c r="J15259" s="165"/>
      <c r="K15259" s="166"/>
      <c r="L15259" s="166"/>
    </row>
    <row r="15260">
      <c r="A15260" s="163" t="s">
        <v>222</v>
      </c>
      <c r="B15260" s="163"/>
      <c r="C15260" s="163"/>
      <c r="J15260" s="165"/>
      <c r="K15260" s="166"/>
      <c r="L15260" s="166"/>
    </row>
    <row r="15261">
      <c r="A15261" s="163" t="s">
        <v>222</v>
      </c>
      <c r="B15261" s="163"/>
      <c r="C15261" s="163"/>
      <c r="J15261" s="165"/>
      <c r="K15261" s="166"/>
      <c r="L15261" s="166"/>
    </row>
    <row r="15262">
      <c r="A15262" s="163" t="s">
        <v>222</v>
      </c>
      <c r="B15262" s="163"/>
      <c r="C15262" s="163"/>
      <c r="J15262" s="165"/>
      <c r="K15262" s="166"/>
      <c r="L15262" s="166"/>
    </row>
    <row r="15263">
      <c r="A15263" s="163" t="s">
        <v>222</v>
      </c>
      <c r="B15263" s="163"/>
      <c r="C15263" s="163"/>
      <c r="J15263" s="165"/>
      <c r="K15263" s="166"/>
      <c r="L15263" s="166"/>
    </row>
    <row r="15264">
      <c r="A15264" s="163" t="s">
        <v>222</v>
      </c>
      <c r="B15264" s="163"/>
      <c r="C15264" s="163"/>
      <c r="J15264" s="165"/>
      <c r="K15264" s="166"/>
      <c r="L15264" s="166"/>
    </row>
    <row r="15265">
      <c r="A15265" s="163" t="s">
        <v>222</v>
      </c>
      <c r="B15265" s="163"/>
      <c r="C15265" s="163"/>
      <c r="J15265" s="165"/>
      <c r="K15265" s="166"/>
      <c r="L15265" s="166"/>
    </row>
    <row r="15266">
      <c r="A15266" s="163" t="s">
        <v>222</v>
      </c>
      <c r="B15266" s="163"/>
      <c r="C15266" s="163"/>
      <c r="J15266" s="165"/>
      <c r="K15266" s="166"/>
      <c r="L15266" s="166"/>
    </row>
    <row r="15267">
      <c r="A15267" s="163" t="s">
        <v>222</v>
      </c>
      <c r="B15267" s="163"/>
      <c r="C15267" s="163"/>
      <c r="J15267" s="165"/>
      <c r="K15267" s="166"/>
      <c r="L15267" s="166"/>
    </row>
    <row r="15268">
      <c r="A15268" s="163" t="s">
        <v>222</v>
      </c>
      <c r="B15268" s="163"/>
      <c r="C15268" s="163"/>
      <c r="J15268" s="165"/>
      <c r="K15268" s="166"/>
      <c r="L15268" s="166"/>
    </row>
    <row r="15269">
      <c r="A15269" s="163" t="s">
        <v>222</v>
      </c>
      <c r="B15269" s="163"/>
      <c r="C15269" s="163"/>
      <c r="J15269" s="165"/>
      <c r="K15269" s="166"/>
      <c r="L15269" s="166"/>
    </row>
    <row r="15270">
      <c r="A15270" s="163" t="s">
        <v>222</v>
      </c>
      <c r="B15270" s="163"/>
      <c r="C15270" s="163"/>
      <c r="J15270" s="165"/>
      <c r="K15270" s="166"/>
      <c r="L15270" s="166"/>
    </row>
    <row r="15271">
      <c r="A15271" s="163" t="s">
        <v>222</v>
      </c>
      <c r="B15271" s="163"/>
      <c r="C15271" s="163"/>
      <c r="J15271" s="165"/>
      <c r="K15271" s="166"/>
      <c r="L15271" s="166"/>
    </row>
    <row r="15272">
      <c r="A15272" s="163" t="s">
        <v>222</v>
      </c>
      <c r="B15272" s="163"/>
      <c r="C15272" s="163"/>
      <c r="J15272" s="165"/>
      <c r="K15272" s="166"/>
      <c r="L15272" s="166"/>
    </row>
    <row r="15273">
      <c r="A15273" s="163" t="s">
        <v>222</v>
      </c>
      <c r="B15273" s="163"/>
      <c r="C15273" s="163"/>
      <c r="J15273" s="165"/>
      <c r="K15273" s="166"/>
      <c r="L15273" s="166"/>
    </row>
    <row r="15274">
      <c r="A15274" s="163" t="s">
        <v>222</v>
      </c>
      <c r="B15274" s="163"/>
      <c r="C15274" s="163"/>
      <c r="J15274" s="165"/>
      <c r="K15274" s="166"/>
      <c r="L15274" s="166"/>
    </row>
    <row r="15275">
      <c r="A15275" s="163" t="s">
        <v>222</v>
      </c>
      <c r="B15275" s="163"/>
      <c r="C15275" s="163"/>
      <c r="J15275" s="165"/>
      <c r="K15275" s="166"/>
      <c r="L15275" s="166"/>
    </row>
    <row r="15276">
      <c r="A15276" s="163" t="s">
        <v>222</v>
      </c>
      <c r="B15276" s="163"/>
      <c r="C15276" s="163"/>
      <c r="J15276" s="165"/>
      <c r="K15276" s="166"/>
      <c r="L15276" s="166"/>
    </row>
    <row r="15277">
      <c r="A15277" s="163" t="s">
        <v>222</v>
      </c>
      <c r="B15277" s="163"/>
      <c r="C15277" s="163"/>
      <c r="J15277" s="165"/>
      <c r="K15277" s="166"/>
      <c r="L15277" s="166"/>
    </row>
    <row r="15278">
      <c r="A15278" s="163" t="s">
        <v>222</v>
      </c>
      <c r="B15278" s="163"/>
      <c r="C15278" s="163"/>
      <c r="J15278" s="165"/>
      <c r="K15278" s="166"/>
      <c r="L15278" s="166"/>
    </row>
    <row r="15279">
      <c r="A15279" s="163" t="s">
        <v>222</v>
      </c>
      <c r="B15279" s="163"/>
      <c r="C15279" s="163"/>
      <c r="J15279" s="165"/>
      <c r="K15279" s="166"/>
      <c r="L15279" s="166"/>
    </row>
    <row r="15280">
      <c r="A15280" s="163" t="s">
        <v>222</v>
      </c>
      <c r="B15280" s="163"/>
      <c r="C15280" s="163"/>
      <c r="J15280" s="165"/>
      <c r="K15280" s="166"/>
      <c r="L15280" s="166"/>
    </row>
    <row r="15281">
      <c r="A15281" s="163" t="s">
        <v>222</v>
      </c>
      <c r="B15281" s="163"/>
      <c r="C15281" s="163"/>
      <c r="J15281" s="165"/>
      <c r="K15281" s="166"/>
      <c r="L15281" s="166"/>
    </row>
    <row r="15282">
      <c r="A15282" s="163" t="s">
        <v>222</v>
      </c>
      <c r="B15282" s="163"/>
      <c r="C15282" s="163"/>
      <c r="J15282" s="165"/>
      <c r="K15282" s="166"/>
      <c r="L15282" s="166"/>
    </row>
    <row r="15283">
      <c r="A15283" s="163" t="s">
        <v>222</v>
      </c>
      <c r="B15283" s="163"/>
      <c r="C15283" s="163"/>
      <c r="J15283" s="165"/>
      <c r="K15283" s="166"/>
      <c r="L15283" s="166"/>
    </row>
    <row r="15284">
      <c r="A15284" s="163" t="s">
        <v>222</v>
      </c>
      <c r="B15284" s="163"/>
      <c r="C15284" s="163"/>
      <c r="J15284" s="165"/>
      <c r="K15284" s="166"/>
      <c r="L15284" s="166"/>
    </row>
    <row r="15285">
      <c r="A15285" s="163" t="s">
        <v>222</v>
      </c>
      <c r="B15285" s="163"/>
      <c r="C15285" s="163"/>
      <c r="J15285" s="165"/>
      <c r="K15285" s="166"/>
      <c r="L15285" s="166"/>
    </row>
    <row r="15286">
      <c r="A15286" s="163" t="s">
        <v>222</v>
      </c>
      <c r="B15286" s="163"/>
      <c r="C15286" s="163"/>
      <c r="J15286" s="165"/>
      <c r="K15286" s="166"/>
      <c r="L15286" s="166"/>
    </row>
    <row r="15287">
      <c r="A15287" s="163" t="s">
        <v>222</v>
      </c>
      <c r="B15287" s="163"/>
      <c r="C15287" s="163"/>
      <c r="J15287" s="165"/>
      <c r="K15287" s="166"/>
      <c r="L15287" s="166"/>
    </row>
    <row r="15288">
      <c r="A15288" s="163" t="s">
        <v>222</v>
      </c>
      <c r="B15288" s="163"/>
      <c r="C15288" s="163"/>
      <c r="J15288" s="165"/>
      <c r="K15288" s="166"/>
      <c r="L15288" s="166"/>
    </row>
    <row r="15289">
      <c r="A15289" s="163" t="s">
        <v>222</v>
      </c>
      <c r="B15289" s="163"/>
      <c r="C15289" s="163"/>
      <c r="J15289" s="165"/>
      <c r="K15289" s="166"/>
      <c r="L15289" s="166"/>
    </row>
    <row r="15290">
      <c r="A15290" s="163" t="s">
        <v>222</v>
      </c>
      <c r="B15290" s="163"/>
      <c r="C15290" s="163"/>
      <c r="J15290" s="165"/>
      <c r="K15290" s="166"/>
      <c r="L15290" s="166"/>
    </row>
    <row r="15291">
      <c r="A15291" s="163" t="s">
        <v>222</v>
      </c>
      <c r="B15291" s="163"/>
      <c r="C15291" s="163"/>
      <c r="J15291" s="165"/>
      <c r="K15291" s="166"/>
      <c r="L15291" s="166"/>
    </row>
    <row r="15292">
      <c r="A15292" s="163" t="s">
        <v>222</v>
      </c>
      <c r="B15292" s="163"/>
      <c r="C15292" s="163"/>
      <c r="J15292" s="165"/>
      <c r="K15292" s="166"/>
      <c r="L15292" s="166"/>
    </row>
    <row r="15293">
      <c r="A15293" s="163" t="s">
        <v>222</v>
      </c>
      <c r="B15293" s="163"/>
      <c r="C15293" s="163"/>
      <c r="J15293" s="165"/>
      <c r="K15293" s="166"/>
      <c r="L15293" s="166"/>
    </row>
    <row r="15294">
      <c r="A15294" s="163" t="s">
        <v>222</v>
      </c>
      <c r="B15294" s="163"/>
      <c r="C15294" s="163"/>
      <c r="J15294" s="165"/>
      <c r="K15294" s="166"/>
      <c r="L15294" s="166"/>
    </row>
    <row r="15295">
      <c r="A15295" s="163" t="s">
        <v>222</v>
      </c>
      <c r="B15295" s="163"/>
      <c r="C15295" s="163"/>
      <c r="J15295" s="165"/>
      <c r="K15295" s="166"/>
      <c r="L15295" s="166"/>
    </row>
    <row r="15296">
      <c r="A15296" s="163" t="s">
        <v>222</v>
      </c>
      <c r="B15296" s="163"/>
      <c r="C15296" s="163"/>
      <c r="J15296" s="165"/>
      <c r="K15296" s="166"/>
      <c r="L15296" s="166"/>
    </row>
    <row r="15297">
      <c r="A15297" s="163" t="s">
        <v>222</v>
      </c>
      <c r="B15297" s="163"/>
      <c r="C15297" s="163"/>
      <c r="J15297" s="165"/>
      <c r="K15297" s="166"/>
      <c r="L15297" s="166"/>
    </row>
    <row r="15298">
      <c r="A15298" s="163" t="s">
        <v>222</v>
      </c>
      <c r="B15298" s="163"/>
      <c r="C15298" s="163"/>
      <c r="J15298" s="165"/>
      <c r="K15298" s="166"/>
      <c r="L15298" s="166"/>
    </row>
    <row r="15299">
      <c r="A15299" s="163" t="s">
        <v>222</v>
      </c>
      <c r="B15299" s="163"/>
      <c r="C15299" s="163"/>
      <c r="J15299" s="165"/>
      <c r="K15299" s="166"/>
      <c r="L15299" s="166"/>
    </row>
    <row r="15300">
      <c r="A15300" s="163" t="s">
        <v>222</v>
      </c>
      <c r="B15300" s="163"/>
      <c r="C15300" s="163"/>
      <c r="J15300" s="165"/>
      <c r="K15300" s="166"/>
      <c r="L15300" s="166"/>
    </row>
    <row r="15301">
      <c r="A15301" s="163" t="s">
        <v>222</v>
      </c>
      <c r="B15301" s="163"/>
      <c r="C15301" s="163"/>
      <c r="J15301" s="165"/>
      <c r="K15301" s="166"/>
      <c r="L15301" s="166"/>
    </row>
    <row r="15302">
      <c r="A15302" s="163" t="s">
        <v>222</v>
      </c>
      <c r="B15302" s="163"/>
      <c r="C15302" s="163"/>
      <c r="J15302" s="165"/>
      <c r="K15302" s="166"/>
      <c r="L15302" s="166"/>
    </row>
    <row r="15303">
      <c r="A15303" s="163" t="s">
        <v>222</v>
      </c>
      <c r="B15303" s="163"/>
      <c r="C15303" s="163"/>
      <c r="J15303" s="165"/>
      <c r="K15303" s="166"/>
      <c r="L15303" s="166"/>
    </row>
    <row r="15304">
      <c r="A15304" s="163" t="s">
        <v>222</v>
      </c>
      <c r="B15304" s="163"/>
      <c r="C15304" s="163"/>
      <c r="J15304" s="165"/>
      <c r="K15304" s="166"/>
      <c r="L15304" s="166"/>
    </row>
    <row r="15305">
      <c r="A15305" s="163" t="s">
        <v>222</v>
      </c>
      <c r="B15305" s="163"/>
      <c r="C15305" s="163"/>
      <c r="J15305" s="165"/>
      <c r="K15305" s="166"/>
      <c r="L15305" s="166"/>
    </row>
    <row r="15306">
      <c r="A15306" s="163" t="s">
        <v>222</v>
      </c>
      <c r="B15306" s="163"/>
      <c r="C15306" s="163"/>
      <c r="J15306" s="165"/>
      <c r="K15306" s="166"/>
      <c r="L15306" s="166"/>
    </row>
    <row r="15307">
      <c r="A15307" s="163" t="s">
        <v>222</v>
      </c>
      <c r="B15307" s="163"/>
      <c r="C15307" s="163"/>
      <c r="J15307" s="165"/>
      <c r="K15307" s="166"/>
      <c r="L15307" s="166"/>
    </row>
    <row r="15308">
      <c r="A15308" s="163" t="s">
        <v>222</v>
      </c>
      <c r="B15308" s="163"/>
      <c r="C15308" s="163"/>
      <c r="J15308" s="165"/>
      <c r="K15308" s="166"/>
      <c r="L15308" s="166"/>
    </row>
    <row r="15309">
      <c r="A15309" s="163" t="s">
        <v>222</v>
      </c>
      <c r="B15309" s="163"/>
      <c r="C15309" s="163"/>
      <c r="J15309" s="165"/>
      <c r="K15309" s="166"/>
      <c r="L15309" s="166"/>
    </row>
    <row r="15310">
      <c r="A15310" s="163" t="s">
        <v>222</v>
      </c>
      <c r="B15310" s="163"/>
      <c r="C15310" s="163"/>
      <c r="J15310" s="165"/>
      <c r="K15310" s="166"/>
      <c r="L15310" s="166"/>
    </row>
    <row r="15311">
      <c r="A15311" s="163" t="s">
        <v>222</v>
      </c>
      <c r="B15311" s="163"/>
      <c r="C15311" s="163"/>
      <c r="J15311" s="165"/>
      <c r="K15311" s="166"/>
      <c r="L15311" s="166"/>
    </row>
    <row r="15312">
      <c r="A15312" s="163" t="s">
        <v>222</v>
      </c>
      <c r="B15312" s="163"/>
      <c r="C15312" s="163"/>
      <c r="J15312" s="165"/>
      <c r="K15312" s="166"/>
      <c r="L15312" s="166"/>
    </row>
    <row r="15313">
      <c r="A15313" s="163" t="s">
        <v>222</v>
      </c>
      <c r="B15313" s="163"/>
      <c r="C15313" s="163"/>
      <c r="J15313" s="165"/>
      <c r="K15313" s="166"/>
      <c r="L15313" s="166"/>
    </row>
    <row r="15314">
      <c r="A15314" s="163" t="s">
        <v>222</v>
      </c>
      <c r="B15314" s="163"/>
      <c r="C15314" s="163"/>
      <c r="J15314" s="165"/>
      <c r="K15314" s="166"/>
      <c r="L15314" s="166"/>
    </row>
    <row r="15315">
      <c r="A15315" s="163" t="s">
        <v>222</v>
      </c>
      <c r="B15315" s="163"/>
      <c r="C15315" s="163"/>
      <c r="J15315" s="165"/>
      <c r="K15315" s="166"/>
      <c r="L15315" s="166"/>
    </row>
    <row r="15316">
      <c r="A15316" s="163" t="s">
        <v>222</v>
      </c>
      <c r="B15316" s="163"/>
      <c r="C15316" s="163"/>
      <c r="J15316" s="165"/>
      <c r="K15316" s="166"/>
      <c r="L15316" s="166"/>
    </row>
    <row r="15317">
      <c r="A15317" s="163" t="s">
        <v>222</v>
      </c>
      <c r="B15317" s="163"/>
      <c r="C15317" s="163"/>
      <c r="J15317" s="165"/>
      <c r="K15317" s="166"/>
      <c r="L15317" s="166"/>
    </row>
    <row r="15318">
      <c r="A15318" s="163" t="s">
        <v>222</v>
      </c>
      <c r="B15318" s="163"/>
      <c r="C15318" s="163"/>
      <c r="J15318" s="165"/>
      <c r="K15318" s="166"/>
      <c r="L15318" s="166"/>
    </row>
    <row r="15319">
      <c r="A15319" s="163" t="s">
        <v>222</v>
      </c>
      <c r="B15319" s="163"/>
      <c r="C15319" s="163"/>
      <c r="J15319" s="165"/>
      <c r="K15319" s="166"/>
      <c r="L15319" s="166"/>
    </row>
    <row r="15320">
      <c r="A15320" s="163" t="s">
        <v>222</v>
      </c>
      <c r="B15320" s="163"/>
      <c r="C15320" s="163"/>
      <c r="J15320" s="165"/>
      <c r="K15320" s="166"/>
      <c r="L15320" s="166"/>
    </row>
    <row r="15321">
      <c r="A15321" s="163" t="s">
        <v>222</v>
      </c>
      <c r="B15321" s="163"/>
      <c r="C15321" s="163"/>
      <c r="J15321" s="165"/>
      <c r="K15321" s="166"/>
      <c r="L15321" s="166"/>
    </row>
    <row r="15322">
      <c r="A15322" s="163" t="s">
        <v>222</v>
      </c>
      <c r="B15322" s="163"/>
      <c r="C15322" s="163"/>
      <c r="J15322" s="165"/>
      <c r="K15322" s="166"/>
      <c r="L15322" s="166"/>
    </row>
    <row r="15323">
      <c r="A15323" s="163" t="s">
        <v>222</v>
      </c>
      <c r="B15323" s="163"/>
      <c r="C15323" s="163"/>
      <c r="J15323" s="165"/>
      <c r="K15323" s="166"/>
      <c r="L15323" s="166"/>
    </row>
    <row r="15324">
      <c r="A15324" s="163" t="s">
        <v>222</v>
      </c>
      <c r="B15324" s="163"/>
      <c r="C15324" s="163"/>
      <c r="J15324" s="165"/>
      <c r="K15324" s="166"/>
      <c r="L15324" s="166"/>
    </row>
    <row r="15325">
      <c r="A15325" s="163" t="s">
        <v>222</v>
      </c>
      <c r="B15325" s="163"/>
      <c r="C15325" s="163"/>
      <c r="J15325" s="165"/>
      <c r="K15325" s="166"/>
      <c r="L15325" s="166"/>
    </row>
    <row r="15326">
      <c r="A15326" s="163" t="s">
        <v>222</v>
      </c>
      <c r="B15326" s="163"/>
      <c r="C15326" s="163"/>
      <c r="J15326" s="165"/>
      <c r="K15326" s="166"/>
      <c r="L15326" s="166"/>
    </row>
    <row r="15327">
      <c r="A15327" s="163" t="s">
        <v>222</v>
      </c>
      <c r="B15327" s="163"/>
      <c r="C15327" s="163"/>
      <c r="J15327" s="165"/>
      <c r="K15327" s="166"/>
      <c r="L15327" s="166"/>
    </row>
    <row r="15328">
      <c r="A15328" s="163" t="s">
        <v>222</v>
      </c>
      <c r="B15328" s="163"/>
      <c r="C15328" s="163"/>
      <c r="J15328" s="165"/>
      <c r="K15328" s="166"/>
      <c r="L15328" s="166"/>
    </row>
    <row r="15329">
      <c r="A15329" s="163" t="s">
        <v>222</v>
      </c>
      <c r="B15329" s="163"/>
      <c r="C15329" s="163"/>
      <c r="J15329" s="165"/>
      <c r="K15329" s="166"/>
      <c r="L15329" s="166"/>
    </row>
    <row r="15330">
      <c r="A15330" s="163" t="s">
        <v>222</v>
      </c>
      <c r="B15330" s="163"/>
      <c r="C15330" s="163"/>
      <c r="J15330" s="165"/>
      <c r="K15330" s="166"/>
      <c r="L15330" s="166"/>
    </row>
    <row r="15331">
      <c r="A15331" s="163" t="s">
        <v>222</v>
      </c>
      <c r="B15331" s="163"/>
      <c r="C15331" s="163"/>
      <c r="J15331" s="165"/>
      <c r="K15331" s="166"/>
      <c r="L15331" s="166"/>
    </row>
    <row r="15332">
      <c r="A15332" s="163" t="s">
        <v>222</v>
      </c>
      <c r="B15332" s="163"/>
      <c r="C15332" s="163"/>
      <c r="J15332" s="165"/>
      <c r="K15332" s="166"/>
      <c r="L15332" s="166"/>
    </row>
    <row r="15333">
      <c r="A15333" s="163" t="s">
        <v>222</v>
      </c>
      <c r="B15333" s="163"/>
      <c r="C15333" s="163"/>
      <c r="J15333" s="165"/>
      <c r="K15333" s="166"/>
      <c r="L15333" s="166"/>
    </row>
    <row r="15334">
      <c r="A15334" s="163" t="s">
        <v>222</v>
      </c>
      <c r="B15334" s="163"/>
      <c r="C15334" s="163"/>
      <c r="J15334" s="165"/>
      <c r="K15334" s="166"/>
      <c r="L15334" s="166"/>
    </row>
    <row r="15335">
      <c r="A15335" s="163" t="s">
        <v>222</v>
      </c>
      <c r="B15335" s="163"/>
      <c r="C15335" s="163"/>
      <c r="J15335" s="165"/>
      <c r="K15335" s="166"/>
      <c r="L15335" s="166"/>
    </row>
    <row r="15336">
      <c r="A15336" s="163" t="s">
        <v>222</v>
      </c>
      <c r="B15336" s="163"/>
      <c r="C15336" s="163"/>
      <c r="J15336" s="165"/>
      <c r="K15336" s="166"/>
      <c r="L15336" s="166"/>
    </row>
    <row r="15337">
      <c r="A15337" s="163" t="s">
        <v>222</v>
      </c>
      <c r="B15337" s="163"/>
      <c r="C15337" s="163"/>
      <c r="J15337" s="165"/>
      <c r="K15337" s="166"/>
      <c r="L15337" s="166"/>
    </row>
    <row r="15338">
      <c r="A15338" s="163" t="s">
        <v>222</v>
      </c>
      <c r="B15338" s="163"/>
      <c r="C15338" s="163"/>
      <c r="J15338" s="165"/>
      <c r="K15338" s="166"/>
      <c r="L15338" s="166"/>
    </row>
    <row r="15339">
      <c r="A15339" s="163" t="s">
        <v>222</v>
      </c>
      <c r="B15339" s="163"/>
      <c r="C15339" s="163"/>
      <c r="J15339" s="165"/>
      <c r="K15339" s="166"/>
      <c r="L15339" s="166"/>
    </row>
    <row r="15340">
      <c r="A15340" s="163" t="s">
        <v>222</v>
      </c>
      <c r="B15340" s="163"/>
      <c r="C15340" s="163"/>
      <c r="J15340" s="165"/>
      <c r="K15340" s="166"/>
      <c r="L15340" s="166"/>
    </row>
    <row r="15341">
      <c r="A15341" s="163" t="s">
        <v>222</v>
      </c>
      <c r="B15341" s="163"/>
      <c r="C15341" s="163"/>
      <c r="J15341" s="165"/>
      <c r="K15341" s="166"/>
      <c r="L15341" s="166"/>
    </row>
    <row r="15342">
      <c r="A15342" s="163" t="s">
        <v>222</v>
      </c>
      <c r="B15342" s="163"/>
      <c r="C15342" s="163"/>
      <c r="J15342" s="165"/>
      <c r="K15342" s="166"/>
      <c r="L15342" s="166"/>
    </row>
    <row r="15343">
      <c r="A15343" s="163" t="s">
        <v>222</v>
      </c>
      <c r="B15343" s="163"/>
      <c r="C15343" s="163"/>
      <c r="J15343" s="165"/>
      <c r="K15343" s="166"/>
      <c r="L15343" s="166"/>
    </row>
    <row r="15344">
      <c r="A15344" s="163" t="s">
        <v>222</v>
      </c>
      <c r="B15344" s="163"/>
      <c r="C15344" s="163"/>
      <c r="J15344" s="165"/>
      <c r="K15344" s="166"/>
      <c r="L15344" s="166"/>
    </row>
    <row r="15345">
      <c r="A15345" s="163" t="s">
        <v>222</v>
      </c>
      <c r="B15345" s="163"/>
      <c r="C15345" s="163"/>
      <c r="J15345" s="165"/>
      <c r="K15345" s="166"/>
      <c r="L15345" s="166"/>
    </row>
    <row r="15346">
      <c r="A15346" s="163" t="s">
        <v>222</v>
      </c>
      <c r="B15346" s="163"/>
      <c r="C15346" s="163"/>
      <c r="J15346" s="165"/>
      <c r="K15346" s="166"/>
      <c r="L15346" s="166"/>
    </row>
    <row r="15347">
      <c r="A15347" s="163" t="s">
        <v>222</v>
      </c>
      <c r="B15347" s="163"/>
      <c r="C15347" s="163"/>
      <c r="J15347" s="165"/>
      <c r="K15347" s="166"/>
      <c r="L15347" s="166"/>
    </row>
    <row r="15348">
      <c r="A15348" s="163" t="s">
        <v>222</v>
      </c>
      <c r="B15348" s="163"/>
      <c r="C15348" s="163"/>
      <c r="J15348" s="165"/>
      <c r="K15348" s="166"/>
      <c r="L15348" s="166"/>
    </row>
    <row r="15349">
      <c r="A15349" s="163" t="s">
        <v>222</v>
      </c>
      <c r="B15349" s="163"/>
      <c r="C15349" s="163"/>
      <c r="J15349" s="165"/>
      <c r="K15349" s="166"/>
      <c r="L15349" s="166"/>
    </row>
    <row r="15350">
      <c r="A15350" s="163" t="s">
        <v>222</v>
      </c>
      <c r="B15350" s="163"/>
      <c r="C15350" s="163"/>
      <c r="J15350" s="165"/>
      <c r="K15350" s="166"/>
      <c r="L15350" s="166"/>
    </row>
    <row r="15351">
      <c r="A15351" s="163" t="s">
        <v>222</v>
      </c>
      <c r="B15351" s="163"/>
      <c r="C15351" s="163"/>
      <c r="J15351" s="165"/>
      <c r="K15351" s="166"/>
      <c r="L15351" s="166"/>
    </row>
    <row r="15352">
      <c r="A15352" s="163" t="s">
        <v>222</v>
      </c>
      <c r="B15352" s="163"/>
      <c r="C15352" s="163"/>
      <c r="J15352" s="165"/>
      <c r="K15352" s="166"/>
      <c r="L15352" s="166"/>
    </row>
    <row r="15353">
      <c r="A15353" s="163" t="s">
        <v>222</v>
      </c>
      <c r="B15353" s="163"/>
      <c r="C15353" s="163"/>
      <c r="J15353" s="165"/>
      <c r="K15353" s="166"/>
      <c r="L15353" s="166"/>
    </row>
    <row r="15354">
      <c r="A15354" s="163" t="s">
        <v>222</v>
      </c>
      <c r="B15354" s="163"/>
      <c r="C15354" s="163"/>
      <c r="J15354" s="165"/>
      <c r="K15354" s="166"/>
      <c r="L15354" s="166"/>
    </row>
    <row r="15355">
      <c r="A15355" s="163" t="s">
        <v>222</v>
      </c>
      <c r="B15355" s="163"/>
      <c r="C15355" s="163"/>
      <c r="J15355" s="165"/>
      <c r="K15355" s="166"/>
      <c r="L15355" s="166"/>
    </row>
    <row r="15356">
      <c r="A15356" s="163" t="s">
        <v>222</v>
      </c>
      <c r="B15356" s="163"/>
      <c r="C15356" s="163"/>
      <c r="J15356" s="165"/>
      <c r="K15356" s="166"/>
      <c r="L15356" s="166"/>
    </row>
    <row r="15357">
      <c r="A15357" s="163" t="s">
        <v>222</v>
      </c>
      <c r="B15357" s="163"/>
      <c r="C15357" s="163"/>
      <c r="J15357" s="165"/>
      <c r="K15357" s="166"/>
      <c r="L15357" s="166"/>
    </row>
    <row r="15358">
      <c r="A15358" s="163" t="s">
        <v>222</v>
      </c>
      <c r="B15358" s="163"/>
      <c r="C15358" s="163"/>
      <c r="J15358" s="165"/>
      <c r="K15358" s="166"/>
      <c r="L15358" s="166"/>
    </row>
    <row r="15359">
      <c r="A15359" s="163" t="s">
        <v>222</v>
      </c>
      <c r="B15359" s="163"/>
      <c r="C15359" s="163"/>
      <c r="J15359" s="165"/>
      <c r="K15359" s="166"/>
      <c r="L15359" s="166"/>
    </row>
    <row r="15360">
      <c r="A15360" s="163" t="s">
        <v>222</v>
      </c>
      <c r="B15360" s="163"/>
      <c r="C15360" s="163"/>
      <c r="J15360" s="165"/>
      <c r="K15360" s="166"/>
      <c r="L15360" s="166"/>
    </row>
    <row r="15361">
      <c r="A15361" s="163" t="s">
        <v>222</v>
      </c>
      <c r="B15361" s="163"/>
      <c r="C15361" s="163"/>
      <c r="J15361" s="165"/>
      <c r="K15361" s="166"/>
      <c r="L15361" s="166"/>
    </row>
    <row r="15362">
      <c r="A15362" s="163" t="s">
        <v>222</v>
      </c>
      <c r="B15362" s="163"/>
      <c r="C15362" s="163"/>
      <c r="J15362" s="165"/>
      <c r="K15362" s="166"/>
      <c r="L15362" s="166"/>
    </row>
    <row r="15363">
      <c r="A15363" s="163" t="s">
        <v>222</v>
      </c>
      <c r="B15363" s="163"/>
      <c r="C15363" s="163"/>
      <c r="J15363" s="165"/>
      <c r="K15363" s="166"/>
      <c r="L15363" s="166"/>
    </row>
    <row r="15364">
      <c r="A15364" s="163" t="s">
        <v>222</v>
      </c>
      <c r="B15364" s="163"/>
      <c r="C15364" s="163"/>
      <c r="J15364" s="165"/>
      <c r="K15364" s="166"/>
      <c r="L15364" s="166"/>
    </row>
    <row r="15365">
      <c r="A15365" s="163" t="s">
        <v>222</v>
      </c>
      <c r="B15365" s="163"/>
      <c r="C15365" s="163"/>
      <c r="J15365" s="165"/>
      <c r="K15365" s="166"/>
      <c r="L15365" s="166"/>
    </row>
    <row r="15366">
      <c r="A15366" s="163" t="s">
        <v>222</v>
      </c>
      <c r="B15366" s="163"/>
      <c r="C15366" s="163"/>
      <c r="J15366" s="165"/>
      <c r="K15366" s="166"/>
      <c r="L15366" s="166"/>
    </row>
    <row r="15367">
      <c r="A15367" s="163" t="s">
        <v>222</v>
      </c>
      <c r="B15367" s="163"/>
      <c r="C15367" s="163"/>
      <c r="J15367" s="165"/>
      <c r="K15367" s="166"/>
      <c r="L15367" s="166"/>
    </row>
    <row r="15368">
      <c r="A15368" s="163" t="s">
        <v>222</v>
      </c>
      <c r="B15368" s="163"/>
      <c r="C15368" s="163"/>
      <c r="J15368" s="165"/>
      <c r="K15368" s="166"/>
      <c r="L15368" s="166"/>
    </row>
    <row r="15369">
      <c r="A15369" s="163" t="s">
        <v>222</v>
      </c>
      <c r="B15369" s="163"/>
      <c r="C15369" s="163"/>
      <c r="J15369" s="165"/>
      <c r="K15369" s="166"/>
      <c r="L15369" s="166"/>
    </row>
    <row r="15370">
      <c r="A15370" s="163" t="s">
        <v>222</v>
      </c>
      <c r="B15370" s="163"/>
      <c r="C15370" s="163"/>
      <c r="J15370" s="165"/>
      <c r="K15370" s="166"/>
      <c r="L15370" s="166"/>
    </row>
    <row r="15371">
      <c r="A15371" s="163" t="s">
        <v>222</v>
      </c>
      <c r="B15371" s="163"/>
      <c r="C15371" s="163"/>
      <c r="J15371" s="165"/>
      <c r="K15371" s="166"/>
      <c r="L15371" s="166"/>
    </row>
    <row r="15372">
      <c r="A15372" s="163" t="s">
        <v>222</v>
      </c>
      <c r="B15372" s="163"/>
      <c r="C15372" s="163"/>
      <c r="J15372" s="165"/>
      <c r="K15372" s="166"/>
      <c r="L15372" s="166"/>
    </row>
    <row r="15373">
      <c r="A15373" s="163" t="s">
        <v>222</v>
      </c>
      <c r="B15373" s="163"/>
      <c r="C15373" s="163"/>
      <c r="J15373" s="165"/>
      <c r="K15373" s="166"/>
      <c r="L15373" s="166"/>
    </row>
    <row r="15374">
      <c r="A15374" s="163" t="s">
        <v>222</v>
      </c>
      <c r="B15374" s="163"/>
      <c r="C15374" s="163"/>
      <c r="J15374" s="165"/>
      <c r="K15374" s="166"/>
      <c r="L15374" s="166"/>
    </row>
    <row r="15375">
      <c r="A15375" s="163" t="s">
        <v>222</v>
      </c>
      <c r="B15375" s="163"/>
      <c r="C15375" s="163"/>
      <c r="J15375" s="165"/>
      <c r="K15375" s="166"/>
      <c r="L15375" s="166"/>
    </row>
    <row r="15376">
      <c r="A15376" s="163" t="s">
        <v>222</v>
      </c>
      <c r="B15376" s="163"/>
      <c r="C15376" s="163"/>
      <c r="J15376" s="165"/>
      <c r="K15376" s="166"/>
      <c r="L15376" s="166"/>
    </row>
    <row r="15377">
      <c r="A15377" s="163" t="s">
        <v>222</v>
      </c>
      <c r="B15377" s="163"/>
      <c r="C15377" s="163"/>
      <c r="J15377" s="165"/>
      <c r="K15377" s="166"/>
      <c r="L15377" s="166"/>
    </row>
    <row r="15378">
      <c r="A15378" s="163" t="s">
        <v>222</v>
      </c>
      <c r="B15378" s="163"/>
      <c r="C15378" s="163"/>
      <c r="J15378" s="165"/>
      <c r="K15378" s="166"/>
      <c r="L15378" s="166"/>
    </row>
    <row r="15379">
      <c r="A15379" s="163" t="s">
        <v>222</v>
      </c>
      <c r="B15379" s="163"/>
      <c r="C15379" s="163"/>
      <c r="J15379" s="165"/>
      <c r="K15379" s="166"/>
      <c r="L15379" s="166"/>
    </row>
    <row r="15380">
      <c r="A15380" s="163" t="s">
        <v>222</v>
      </c>
      <c r="B15380" s="163"/>
      <c r="C15380" s="163"/>
      <c r="J15380" s="165"/>
      <c r="K15380" s="166"/>
      <c r="L15380" s="166"/>
    </row>
    <row r="15381">
      <c r="A15381" s="163" t="s">
        <v>222</v>
      </c>
      <c r="B15381" s="163"/>
      <c r="C15381" s="163"/>
      <c r="J15381" s="165"/>
      <c r="K15381" s="166"/>
      <c r="L15381" s="166"/>
    </row>
    <row r="15382">
      <c r="A15382" s="163" t="s">
        <v>222</v>
      </c>
      <c r="B15382" s="163"/>
      <c r="C15382" s="163"/>
      <c r="J15382" s="165"/>
      <c r="K15382" s="166"/>
      <c r="L15382" s="166"/>
    </row>
    <row r="15383">
      <c r="A15383" s="163" t="s">
        <v>222</v>
      </c>
      <c r="B15383" s="163"/>
      <c r="C15383" s="163"/>
      <c r="J15383" s="165"/>
      <c r="K15383" s="166"/>
      <c r="L15383" s="166"/>
    </row>
    <row r="15384">
      <c r="A15384" s="163" t="s">
        <v>222</v>
      </c>
      <c r="B15384" s="163"/>
      <c r="C15384" s="163"/>
      <c r="J15384" s="165"/>
      <c r="K15384" s="166"/>
      <c r="L15384" s="166"/>
    </row>
    <row r="15385">
      <c r="A15385" s="163" t="s">
        <v>222</v>
      </c>
      <c r="B15385" s="163"/>
      <c r="C15385" s="163"/>
      <c r="J15385" s="165"/>
      <c r="K15385" s="166"/>
      <c r="L15385" s="166"/>
    </row>
    <row r="15386">
      <c r="A15386" s="163" t="s">
        <v>222</v>
      </c>
      <c r="B15386" s="163"/>
      <c r="C15386" s="163"/>
      <c r="J15386" s="165"/>
      <c r="K15386" s="166"/>
      <c r="L15386" s="166"/>
    </row>
    <row r="15387">
      <c r="A15387" s="163" t="s">
        <v>222</v>
      </c>
      <c r="B15387" s="163"/>
      <c r="C15387" s="163"/>
      <c r="J15387" s="165"/>
      <c r="K15387" s="166"/>
      <c r="L15387" s="166"/>
    </row>
    <row r="15388">
      <c r="A15388" s="163" t="s">
        <v>222</v>
      </c>
      <c r="B15388" s="163"/>
      <c r="C15388" s="163"/>
      <c r="J15388" s="165"/>
      <c r="K15388" s="166"/>
      <c r="L15388" s="166"/>
    </row>
    <row r="15389">
      <c r="A15389" s="163" t="s">
        <v>222</v>
      </c>
      <c r="B15389" s="163"/>
      <c r="C15389" s="163"/>
      <c r="J15389" s="165"/>
      <c r="K15389" s="166"/>
      <c r="L15389" s="166"/>
    </row>
    <row r="15390">
      <c r="A15390" s="163" t="s">
        <v>222</v>
      </c>
      <c r="B15390" s="163"/>
      <c r="C15390" s="163"/>
      <c r="J15390" s="165"/>
      <c r="K15390" s="166"/>
      <c r="L15390" s="166"/>
    </row>
    <row r="15391">
      <c r="A15391" s="163" t="s">
        <v>222</v>
      </c>
      <c r="B15391" s="163"/>
      <c r="C15391" s="163"/>
      <c r="J15391" s="165"/>
      <c r="K15391" s="166"/>
      <c r="L15391" s="166"/>
    </row>
    <row r="15392">
      <c r="A15392" s="163" t="s">
        <v>222</v>
      </c>
      <c r="B15392" s="163"/>
      <c r="C15392" s="163"/>
      <c r="J15392" s="165"/>
      <c r="K15392" s="166"/>
      <c r="L15392" s="166"/>
    </row>
    <row r="15393">
      <c r="A15393" s="163" t="s">
        <v>222</v>
      </c>
      <c r="B15393" s="163"/>
      <c r="C15393" s="163"/>
      <c r="J15393" s="165"/>
      <c r="K15393" s="166"/>
      <c r="L15393" s="166"/>
    </row>
    <row r="15394">
      <c r="A15394" s="163" t="s">
        <v>222</v>
      </c>
      <c r="B15394" s="163"/>
      <c r="C15394" s="163"/>
      <c r="J15394" s="165"/>
      <c r="K15394" s="166"/>
      <c r="L15394" s="166"/>
    </row>
    <row r="15395">
      <c r="A15395" s="163" t="s">
        <v>222</v>
      </c>
      <c r="B15395" s="163"/>
      <c r="C15395" s="163"/>
      <c r="J15395" s="165"/>
      <c r="K15395" s="166"/>
      <c r="L15395" s="166"/>
    </row>
    <row r="15396">
      <c r="A15396" s="163" t="s">
        <v>222</v>
      </c>
      <c r="B15396" s="163"/>
      <c r="C15396" s="163"/>
      <c r="J15396" s="165"/>
      <c r="K15396" s="166"/>
      <c r="L15396" s="166"/>
    </row>
    <row r="15397">
      <c r="A15397" s="163" t="s">
        <v>222</v>
      </c>
      <c r="B15397" s="163"/>
      <c r="C15397" s="163"/>
      <c r="J15397" s="165"/>
      <c r="K15397" s="166"/>
      <c r="L15397" s="166"/>
    </row>
    <row r="15398">
      <c r="A15398" s="163" t="s">
        <v>222</v>
      </c>
      <c r="B15398" s="163"/>
      <c r="C15398" s="163"/>
      <c r="J15398" s="165"/>
      <c r="K15398" s="166"/>
      <c r="L15398" s="166"/>
    </row>
    <row r="15399">
      <c r="A15399" s="163" t="s">
        <v>222</v>
      </c>
      <c r="B15399" s="163"/>
      <c r="C15399" s="163"/>
      <c r="J15399" s="165"/>
      <c r="K15399" s="166"/>
      <c r="L15399" s="166"/>
    </row>
    <row r="15400">
      <c r="A15400" s="163" t="s">
        <v>222</v>
      </c>
      <c r="B15400" s="163"/>
      <c r="C15400" s="163"/>
      <c r="J15400" s="165"/>
      <c r="K15400" s="166"/>
      <c r="L15400" s="166"/>
    </row>
    <row r="15401">
      <c r="A15401" s="163" t="s">
        <v>222</v>
      </c>
      <c r="B15401" s="163"/>
      <c r="C15401" s="163"/>
      <c r="J15401" s="165"/>
      <c r="K15401" s="166"/>
      <c r="L15401" s="166"/>
    </row>
    <row r="15402">
      <c r="A15402" s="163" t="s">
        <v>222</v>
      </c>
      <c r="B15402" s="163"/>
      <c r="C15402" s="163"/>
      <c r="J15402" s="165"/>
      <c r="K15402" s="166"/>
      <c r="L15402" s="166"/>
    </row>
    <row r="15403">
      <c r="A15403" s="163" t="s">
        <v>222</v>
      </c>
      <c r="B15403" s="163"/>
      <c r="C15403" s="163"/>
      <c r="J15403" s="165"/>
      <c r="K15403" s="166"/>
      <c r="L15403" s="166"/>
    </row>
    <row r="15404">
      <c r="A15404" s="163" t="s">
        <v>222</v>
      </c>
      <c r="B15404" s="163"/>
      <c r="C15404" s="163"/>
      <c r="J15404" s="165"/>
      <c r="K15404" s="166"/>
      <c r="L15404" s="166"/>
    </row>
    <row r="15405">
      <c r="A15405" s="163" t="s">
        <v>222</v>
      </c>
      <c r="B15405" s="163"/>
      <c r="C15405" s="163"/>
      <c r="J15405" s="165"/>
      <c r="K15405" s="166"/>
      <c r="L15405" s="166"/>
    </row>
    <row r="15406">
      <c r="A15406" s="163" t="s">
        <v>222</v>
      </c>
      <c r="B15406" s="163"/>
      <c r="C15406" s="163"/>
      <c r="J15406" s="165"/>
      <c r="K15406" s="166"/>
      <c r="L15406" s="166"/>
    </row>
    <row r="15407">
      <c r="A15407" s="163" t="s">
        <v>222</v>
      </c>
      <c r="B15407" s="163"/>
      <c r="C15407" s="163"/>
      <c r="J15407" s="165"/>
      <c r="K15407" s="166"/>
      <c r="L15407" s="166"/>
    </row>
    <row r="15408">
      <c r="A15408" s="163" t="s">
        <v>222</v>
      </c>
      <c r="B15408" s="163"/>
      <c r="C15408" s="163"/>
      <c r="J15408" s="165"/>
      <c r="K15408" s="166"/>
      <c r="L15408" s="166"/>
    </row>
    <row r="15409">
      <c r="A15409" s="163" t="s">
        <v>222</v>
      </c>
      <c r="B15409" s="163"/>
      <c r="C15409" s="163"/>
      <c r="J15409" s="165"/>
      <c r="K15409" s="166"/>
      <c r="L15409" s="166"/>
    </row>
    <row r="15410">
      <c r="A15410" s="163" t="s">
        <v>222</v>
      </c>
      <c r="B15410" s="163"/>
      <c r="C15410" s="163"/>
      <c r="J15410" s="165"/>
      <c r="K15410" s="166"/>
      <c r="L15410" s="166"/>
    </row>
    <row r="15411">
      <c r="A15411" s="163" t="s">
        <v>222</v>
      </c>
      <c r="B15411" s="163"/>
      <c r="C15411" s="163"/>
      <c r="J15411" s="165"/>
      <c r="K15411" s="166"/>
      <c r="L15411" s="166"/>
    </row>
    <row r="15412">
      <c r="A15412" s="163" t="s">
        <v>222</v>
      </c>
      <c r="B15412" s="163"/>
      <c r="C15412" s="163"/>
      <c r="J15412" s="165"/>
      <c r="K15412" s="166"/>
      <c r="L15412" s="166"/>
    </row>
    <row r="15413">
      <c r="A15413" s="163" t="s">
        <v>222</v>
      </c>
      <c r="B15413" s="163"/>
      <c r="C15413" s="163"/>
      <c r="J15413" s="165"/>
      <c r="K15413" s="166"/>
      <c r="L15413" s="166"/>
    </row>
    <row r="15414">
      <c r="A15414" s="163" t="s">
        <v>222</v>
      </c>
      <c r="B15414" s="163"/>
      <c r="C15414" s="163"/>
      <c r="J15414" s="165"/>
      <c r="K15414" s="166"/>
      <c r="L15414" s="166"/>
    </row>
    <row r="15415">
      <c r="A15415" s="163" t="s">
        <v>222</v>
      </c>
      <c r="B15415" s="163"/>
      <c r="C15415" s="163"/>
      <c r="J15415" s="165"/>
      <c r="K15415" s="166"/>
      <c r="L15415" s="166"/>
    </row>
    <row r="15416">
      <c r="A15416" s="163" t="s">
        <v>222</v>
      </c>
      <c r="B15416" s="163"/>
      <c r="C15416" s="163"/>
      <c r="J15416" s="165"/>
      <c r="K15416" s="166"/>
      <c r="L15416" s="166"/>
    </row>
    <row r="15417">
      <c r="A15417" s="163" t="s">
        <v>222</v>
      </c>
      <c r="B15417" s="163"/>
      <c r="C15417" s="163"/>
      <c r="J15417" s="165"/>
      <c r="K15417" s="166"/>
      <c r="L15417" s="166"/>
    </row>
    <row r="15418">
      <c r="A15418" s="163" t="s">
        <v>222</v>
      </c>
      <c r="B15418" s="163"/>
      <c r="C15418" s="163"/>
      <c r="J15418" s="165"/>
      <c r="K15418" s="166"/>
      <c r="L15418" s="166"/>
    </row>
    <row r="15419">
      <c r="A15419" s="163" t="s">
        <v>222</v>
      </c>
      <c r="B15419" s="163"/>
      <c r="C15419" s="163"/>
      <c r="J15419" s="165"/>
      <c r="K15419" s="166"/>
      <c r="L15419" s="166"/>
    </row>
    <row r="15420">
      <c r="A15420" s="163" t="s">
        <v>222</v>
      </c>
      <c r="B15420" s="163"/>
      <c r="C15420" s="163"/>
      <c r="J15420" s="165"/>
      <c r="K15420" s="166"/>
      <c r="L15420" s="166"/>
    </row>
    <row r="15421">
      <c r="A15421" s="163" t="s">
        <v>222</v>
      </c>
      <c r="B15421" s="163"/>
      <c r="C15421" s="163"/>
      <c r="J15421" s="165"/>
      <c r="K15421" s="166"/>
      <c r="L15421" s="166"/>
    </row>
    <row r="15422">
      <c r="A15422" s="163" t="s">
        <v>222</v>
      </c>
      <c r="B15422" s="163"/>
      <c r="C15422" s="163"/>
      <c r="J15422" s="165"/>
      <c r="K15422" s="166"/>
      <c r="L15422" s="166"/>
    </row>
    <row r="15423">
      <c r="A15423" s="163" t="s">
        <v>222</v>
      </c>
      <c r="B15423" s="163"/>
      <c r="C15423" s="163"/>
      <c r="J15423" s="165"/>
      <c r="K15423" s="166"/>
      <c r="L15423" s="166"/>
    </row>
    <row r="15424">
      <c r="A15424" s="163" t="s">
        <v>222</v>
      </c>
      <c r="B15424" s="163"/>
      <c r="C15424" s="163"/>
      <c r="J15424" s="165"/>
      <c r="K15424" s="166"/>
      <c r="L15424" s="166"/>
    </row>
    <row r="15425">
      <c r="A15425" s="163" t="s">
        <v>222</v>
      </c>
      <c r="B15425" s="163"/>
      <c r="C15425" s="163"/>
      <c r="J15425" s="165"/>
      <c r="K15425" s="166"/>
      <c r="L15425" s="166"/>
    </row>
    <row r="15426">
      <c r="A15426" s="163" t="s">
        <v>222</v>
      </c>
      <c r="B15426" s="163"/>
      <c r="C15426" s="163"/>
      <c r="J15426" s="165"/>
      <c r="K15426" s="166"/>
      <c r="L15426" s="166"/>
    </row>
    <row r="15427">
      <c r="A15427" s="163" t="s">
        <v>222</v>
      </c>
      <c r="B15427" s="163"/>
      <c r="C15427" s="163"/>
      <c r="J15427" s="165"/>
      <c r="K15427" s="166"/>
      <c r="L15427" s="166"/>
    </row>
    <row r="15428">
      <c r="A15428" s="163" t="s">
        <v>222</v>
      </c>
      <c r="B15428" s="163"/>
      <c r="C15428" s="163"/>
      <c r="J15428" s="165"/>
      <c r="K15428" s="166"/>
      <c r="L15428" s="166"/>
    </row>
    <row r="15429">
      <c r="A15429" s="163" t="s">
        <v>222</v>
      </c>
      <c r="B15429" s="163"/>
      <c r="C15429" s="163"/>
      <c r="J15429" s="165"/>
      <c r="K15429" s="166"/>
      <c r="L15429" s="166"/>
    </row>
    <row r="15430">
      <c r="A15430" s="163" t="s">
        <v>222</v>
      </c>
      <c r="B15430" s="163"/>
      <c r="C15430" s="163"/>
      <c r="J15430" s="165"/>
      <c r="K15430" s="166"/>
      <c r="L15430" s="166"/>
    </row>
    <row r="15431">
      <c r="A15431" s="163" t="s">
        <v>222</v>
      </c>
      <c r="B15431" s="163"/>
      <c r="C15431" s="163"/>
      <c r="J15431" s="165"/>
      <c r="K15431" s="166"/>
      <c r="L15431" s="166"/>
    </row>
    <row r="15432">
      <c r="A15432" s="163" t="s">
        <v>222</v>
      </c>
      <c r="B15432" s="163"/>
      <c r="C15432" s="163"/>
      <c r="J15432" s="165"/>
      <c r="K15432" s="166"/>
      <c r="L15432" s="166"/>
    </row>
    <row r="15433">
      <c r="A15433" s="163" t="s">
        <v>222</v>
      </c>
      <c r="B15433" s="163"/>
      <c r="C15433" s="163"/>
      <c r="J15433" s="165"/>
      <c r="K15433" s="166"/>
      <c r="L15433" s="166"/>
    </row>
    <row r="15434">
      <c r="A15434" s="163" t="s">
        <v>222</v>
      </c>
      <c r="B15434" s="163"/>
      <c r="C15434" s="163"/>
      <c r="J15434" s="165"/>
      <c r="K15434" s="166"/>
      <c r="L15434" s="166"/>
    </row>
    <row r="15435">
      <c r="A15435" s="163" t="s">
        <v>222</v>
      </c>
      <c r="B15435" s="163"/>
      <c r="C15435" s="163"/>
      <c r="J15435" s="165"/>
      <c r="K15435" s="166"/>
      <c r="L15435" s="166"/>
    </row>
    <row r="15436">
      <c r="A15436" s="163" t="s">
        <v>222</v>
      </c>
      <c r="B15436" s="163"/>
      <c r="C15436" s="163"/>
      <c r="J15436" s="165"/>
      <c r="K15436" s="166"/>
      <c r="L15436" s="166"/>
    </row>
    <row r="15437">
      <c r="A15437" s="163" t="s">
        <v>222</v>
      </c>
      <c r="B15437" s="163"/>
      <c r="C15437" s="163"/>
      <c r="J15437" s="165"/>
      <c r="K15437" s="166"/>
      <c r="L15437" s="166"/>
    </row>
    <row r="15438">
      <c r="A15438" s="163" t="s">
        <v>222</v>
      </c>
      <c r="B15438" s="163"/>
      <c r="C15438" s="163"/>
      <c r="J15438" s="165"/>
      <c r="K15438" s="166"/>
      <c r="L15438" s="166"/>
    </row>
    <row r="15439">
      <c r="A15439" s="163" t="s">
        <v>222</v>
      </c>
      <c r="B15439" s="163"/>
      <c r="C15439" s="163"/>
      <c r="J15439" s="165"/>
      <c r="K15439" s="166"/>
      <c r="L15439" s="166"/>
    </row>
    <row r="15440">
      <c r="A15440" s="163" t="s">
        <v>222</v>
      </c>
      <c r="B15440" s="163"/>
      <c r="C15440" s="163"/>
      <c r="J15440" s="165"/>
      <c r="K15440" s="166"/>
      <c r="L15440" s="166"/>
    </row>
    <row r="15441">
      <c r="A15441" s="163" t="s">
        <v>222</v>
      </c>
      <c r="B15441" s="163"/>
      <c r="C15441" s="163"/>
      <c r="J15441" s="165"/>
      <c r="K15441" s="166"/>
      <c r="L15441" s="166"/>
    </row>
    <row r="15442">
      <c r="A15442" s="163" t="s">
        <v>222</v>
      </c>
      <c r="B15442" s="163"/>
      <c r="C15442" s="163"/>
      <c r="J15442" s="165"/>
      <c r="K15442" s="166"/>
      <c r="L15442" s="166"/>
    </row>
    <row r="15443">
      <c r="A15443" s="163" t="s">
        <v>222</v>
      </c>
      <c r="B15443" s="163"/>
      <c r="C15443" s="163"/>
      <c r="J15443" s="165"/>
      <c r="K15443" s="166"/>
      <c r="L15443" s="166"/>
    </row>
    <row r="15444">
      <c r="A15444" s="163" t="s">
        <v>222</v>
      </c>
      <c r="B15444" s="163"/>
      <c r="C15444" s="163"/>
      <c r="J15444" s="165"/>
      <c r="K15444" s="166"/>
      <c r="L15444" s="166"/>
    </row>
    <row r="15445">
      <c r="A15445" s="163" t="s">
        <v>222</v>
      </c>
      <c r="B15445" s="163"/>
      <c r="C15445" s="163"/>
      <c r="J15445" s="165"/>
      <c r="K15445" s="166"/>
      <c r="L15445" s="166"/>
    </row>
    <row r="15446">
      <c r="A15446" s="163" t="s">
        <v>222</v>
      </c>
      <c r="B15446" s="163"/>
      <c r="C15446" s="163"/>
      <c r="J15446" s="165"/>
      <c r="K15446" s="166"/>
      <c r="L15446" s="166"/>
    </row>
    <row r="15447">
      <c r="A15447" s="163" t="s">
        <v>222</v>
      </c>
      <c r="B15447" s="163"/>
      <c r="C15447" s="163"/>
      <c r="J15447" s="165"/>
      <c r="K15447" s="166"/>
      <c r="L15447" s="166"/>
    </row>
    <row r="15448">
      <c r="A15448" s="163" t="s">
        <v>222</v>
      </c>
      <c r="B15448" s="163"/>
      <c r="C15448" s="163"/>
      <c r="J15448" s="165"/>
      <c r="K15448" s="166"/>
      <c r="L15448" s="166"/>
    </row>
    <row r="15449">
      <c r="A15449" s="163" t="s">
        <v>222</v>
      </c>
      <c r="B15449" s="163"/>
      <c r="C15449" s="163"/>
      <c r="J15449" s="165"/>
      <c r="K15449" s="166"/>
      <c r="L15449" s="166"/>
    </row>
    <row r="15450">
      <c r="A15450" s="163" t="s">
        <v>222</v>
      </c>
      <c r="B15450" s="163"/>
      <c r="C15450" s="163"/>
      <c r="J15450" s="165"/>
      <c r="K15450" s="166"/>
      <c r="L15450" s="166"/>
    </row>
    <row r="15451">
      <c r="A15451" s="163" t="s">
        <v>222</v>
      </c>
      <c r="B15451" s="163"/>
      <c r="C15451" s="163"/>
      <c r="J15451" s="165"/>
      <c r="K15451" s="166"/>
      <c r="L15451" s="166"/>
    </row>
    <row r="15452">
      <c r="A15452" s="163" t="s">
        <v>222</v>
      </c>
      <c r="B15452" s="163"/>
      <c r="C15452" s="163"/>
      <c r="J15452" s="165"/>
      <c r="K15452" s="166"/>
      <c r="L15452" s="166"/>
    </row>
    <row r="15453">
      <c r="A15453" s="163" t="s">
        <v>222</v>
      </c>
      <c r="B15453" s="163"/>
      <c r="C15453" s="163"/>
      <c r="J15453" s="165"/>
      <c r="K15453" s="166"/>
      <c r="L15453" s="166"/>
    </row>
    <row r="15454">
      <c r="A15454" s="163" t="s">
        <v>222</v>
      </c>
      <c r="B15454" s="163"/>
      <c r="C15454" s="163"/>
      <c r="J15454" s="165"/>
      <c r="K15454" s="166"/>
      <c r="L15454" s="166"/>
    </row>
    <row r="15455">
      <c r="A15455" s="163" t="s">
        <v>222</v>
      </c>
      <c r="B15455" s="163"/>
      <c r="C15455" s="163"/>
      <c r="J15455" s="165"/>
      <c r="K15455" s="166"/>
      <c r="L15455" s="166"/>
    </row>
    <row r="15456">
      <c r="A15456" s="163" t="s">
        <v>222</v>
      </c>
      <c r="B15456" s="163"/>
      <c r="C15456" s="163"/>
      <c r="J15456" s="165"/>
      <c r="K15456" s="166"/>
      <c r="L15456" s="166"/>
    </row>
    <row r="15457">
      <c r="A15457" s="163" t="s">
        <v>222</v>
      </c>
      <c r="B15457" s="163"/>
      <c r="C15457" s="163"/>
      <c r="J15457" s="165"/>
      <c r="K15457" s="166"/>
      <c r="L15457" s="166"/>
    </row>
    <row r="15458">
      <c r="A15458" s="163" t="s">
        <v>222</v>
      </c>
      <c r="B15458" s="163"/>
      <c r="C15458" s="163"/>
      <c r="J15458" s="165"/>
      <c r="K15458" s="166"/>
      <c r="L15458" s="166"/>
    </row>
    <row r="15459">
      <c r="A15459" s="163" t="s">
        <v>222</v>
      </c>
      <c r="B15459" s="163"/>
      <c r="C15459" s="163"/>
      <c r="J15459" s="165"/>
      <c r="K15459" s="166"/>
      <c r="L15459" s="166"/>
    </row>
    <row r="15460">
      <c r="A15460" s="163" t="s">
        <v>222</v>
      </c>
      <c r="B15460" s="163"/>
      <c r="C15460" s="163"/>
      <c r="J15460" s="165"/>
      <c r="K15460" s="166"/>
      <c r="L15460" s="166"/>
    </row>
    <row r="15461">
      <c r="A15461" s="163" t="s">
        <v>222</v>
      </c>
      <c r="B15461" s="163"/>
      <c r="C15461" s="163"/>
      <c r="J15461" s="165"/>
      <c r="K15461" s="166"/>
      <c r="L15461" s="166"/>
    </row>
    <row r="15462">
      <c r="A15462" s="163" t="s">
        <v>222</v>
      </c>
      <c r="B15462" s="163"/>
      <c r="C15462" s="163"/>
      <c r="J15462" s="165"/>
      <c r="K15462" s="166"/>
      <c r="L15462" s="166"/>
    </row>
    <row r="15463">
      <c r="A15463" s="163" t="s">
        <v>222</v>
      </c>
      <c r="B15463" s="163"/>
      <c r="C15463" s="163"/>
      <c r="J15463" s="165"/>
      <c r="K15463" s="166"/>
      <c r="L15463" s="166"/>
    </row>
    <row r="15464">
      <c r="A15464" s="163" t="s">
        <v>222</v>
      </c>
      <c r="B15464" s="163"/>
      <c r="C15464" s="163"/>
      <c r="J15464" s="165"/>
      <c r="K15464" s="166"/>
      <c r="L15464" s="166"/>
    </row>
    <row r="15465">
      <c r="A15465" s="163" t="s">
        <v>222</v>
      </c>
      <c r="B15465" s="163"/>
      <c r="C15465" s="163"/>
      <c r="J15465" s="165"/>
      <c r="K15465" s="166"/>
      <c r="L15465" s="166"/>
    </row>
    <row r="15466">
      <c r="A15466" s="163" t="s">
        <v>222</v>
      </c>
      <c r="B15466" s="163"/>
      <c r="C15466" s="163"/>
      <c r="J15466" s="165"/>
      <c r="K15466" s="166"/>
      <c r="L15466" s="166"/>
    </row>
    <row r="15467">
      <c r="A15467" s="163" t="s">
        <v>222</v>
      </c>
      <c r="B15467" s="163"/>
      <c r="C15467" s="163"/>
      <c r="J15467" s="165"/>
      <c r="K15467" s="166"/>
      <c r="L15467" s="166"/>
    </row>
    <row r="15468">
      <c r="A15468" s="163" t="s">
        <v>222</v>
      </c>
      <c r="B15468" s="163"/>
      <c r="C15468" s="163"/>
      <c r="J15468" s="165"/>
      <c r="K15468" s="166"/>
      <c r="L15468" s="166"/>
    </row>
    <row r="15469">
      <c r="A15469" s="163" t="s">
        <v>222</v>
      </c>
      <c r="B15469" s="163"/>
      <c r="C15469" s="163"/>
      <c r="J15469" s="165"/>
      <c r="K15469" s="166"/>
      <c r="L15469" s="166"/>
    </row>
    <row r="15470">
      <c r="A15470" s="163" t="s">
        <v>222</v>
      </c>
      <c r="B15470" s="163"/>
      <c r="C15470" s="163"/>
      <c r="J15470" s="165"/>
      <c r="K15470" s="166"/>
      <c r="L15470" s="166"/>
    </row>
    <row r="15471">
      <c r="A15471" s="163" t="s">
        <v>222</v>
      </c>
      <c r="B15471" s="163"/>
      <c r="C15471" s="163"/>
      <c r="J15471" s="165"/>
      <c r="K15471" s="166"/>
      <c r="L15471" s="166"/>
    </row>
    <row r="15472">
      <c r="A15472" s="163" t="s">
        <v>222</v>
      </c>
      <c r="B15472" s="163"/>
      <c r="C15472" s="163"/>
      <c r="J15472" s="165"/>
      <c r="K15472" s="166"/>
      <c r="L15472" s="166"/>
    </row>
    <row r="15473">
      <c r="A15473" s="163" t="s">
        <v>222</v>
      </c>
      <c r="B15473" s="163"/>
      <c r="C15473" s="163"/>
      <c r="J15473" s="165"/>
      <c r="K15473" s="166"/>
      <c r="L15473" s="166"/>
    </row>
    <row r="15474">
      <c r="A15474" s="163" t="s">
        <v>222</v>
      </c>
      <c r="B15474" s="163"/>
      <c r="C15474" s="163"/>
      <c r="J15474" s="165"/>
      <c r="K15474" s="166"/>
      <c r="L15474" s="166"/>
    </row>
    <row r="15475">
      <c r="A15475" s="163" t="s">
        <v>222</v>
      </c>
      <c r="B15475" s="163"/>
      <c r="C15475" s="163"/>
      <c r="J15475" s="165"/>
      <c r="K15475" s="166"/>
      <c r="L15475" s="166"/>
    </row>
    <row r="15476">
      <c r="A15476" s="163" t="s">
        <v>222</v>
      </c>
      <c r="B15476" s="163"/>
      <c r="C15476" s="163"/>
      <c r="J15476" s="165"/>
      <c r="K15476" s="166"/>
      <c r="L15476" s="166"/>
    </row>
    <row r="15477">
      <c r="A15477" s="163" t="s">
        <v>222</v>
      </c>
      <c r="B15477" s="163"/>
      <c r="C15477" s="163"/>
      <c r="J15477" s="165"/>
      <c r="K15477" s="166"/>
      <c r="L15477" s="166"/>
    </row>
    <row r="15478">
      <c r="A15478" s="163" t="s">
        <v>222</v>
      </c>
      <c r="B15478" s="163"/>
      <c r="C15478" s="163"/>
      <c r="J15478" s="165"/>
      <c r="K15478" s="166"/>
      <c r="L15478" s="166"/>
    </row>
    <row r="15479">
      <c r="A15479" s="163" t="s">
        <v>222</v>
      </c>
      <c r="B15479" s="163"/>
      <c r="C15479" s="163"/>
      <c r="J15479" s="165"/>
      <c r="K15479" s="166"/>
      <c r="L15479" s="166"/>
    </row>
    <row r="15480">
      <c r="A15480" s="163" t="s">
        <v>222</v>
      </c>
      <c r="B15480" s="163"/>
      <c r="C15480" s="163"/>
      <c r="J15480" s="165"/>
      <c r="K15480" s="166"/>
      <c r="L15480" s="166"/>
    </row>
    <row r="15481">
      <c r="A15481" s="163" t="s">
        <v>222</v>
      </c>
      <c r="B15481" s="163"/>
      <c r="C15481" s="163"/>
      <c r="J15481" s="165"/>
      <c r="K15481" s="166"/>
      <c r="L15481" s="166"/>
    </row>
    <row r="15482">
      <c r="A15482" s="163" t="s">
        <v>222</v>
      </c>
      <c r="B15482" s="163"/>
      <c r="C15482" s="163"/>
      <c r="J15482" s="165"/>
      <c r="K15482" s="166"/>
      <c r="L15482" s="166"/>
    </row>
    <row r="15483">
      <c r="A15483" s="163" t="s">
        <v>222</v>
      </c>
      <c r="B15483" s="163"/>
      <c r="C15483" s="163"/>
      <c r="J15483" s="165"/>
      <c r="K15483" s="166"/>
      <c r="L15483" s="166"/>
    </row>
    <row r="15484">
      <c r="A15484" s="163" t="s">
        <v>222</v>
      </c>
      <c r="B15484" s="163"/>
      <c r="C15484" s="163"/>
      <c r="J15484" s="165"/>
      <c r="K15484" s="166"/>
      <c r="L15484" s="166"/>
    </row>
    <row r="15485">
      <c r="A15485" s="163" t="s">
        <v>222</v>
      </c>
      <c r="B15485" s="163"/>
      <c r="C15485" s="163"/>
      <c r="J15485" s="165"/>
      <c r="K15485" s="166"/>
      <c r="L15485" s="166"/>
    </row>
    <row r="15486">
      <c r="A15486" s="163" t="s">
        <v>222</v>
      </c>
      <c r="B15486" s="163"/>
      <c r="C15486" s="163"/>
      <c r="J15486" s="165"/>
      <c r="K15486" s="166"/>
      <c r="L15486" s="166"/>
    </row>
    <row r="15487">
      <c r="A15487" s="163" t="s">
        <v>222</v>
      </c>
      <c r="B15487" s="163"/>
      <c r="C15487" s="163"/>
      <c r="J15487" s="165"/>
      <c r="K15487" s="166"/>
      <c r="L15487" s="166"/>
    </row>
    <row r="15488">
      <c r="A15488" s="163" t="s">
        <v>222</v>
      </c>
      <c r="B15488" s="163"/>
      <c r="C15488" s="163"/>
      <c r="J15488" s="165"/>
      <c r="K15488" s="166"/>
      <c r="L15488" s="166"/>
    </row>
    <row r="15489">
      <c r="A15489" s="163" t="s">
        <v>222</v>
      </c>
      <c r="B15489" s="163"/>
      <c r="C15489" s="163"/>
      <c r="J15489" s="165"/>
      <c r="K15489" s="166"/>
      <c r="L15489" s="166"/>
    </row>
    <row r="15490">
      <c r="A15490" s="163" t="s">
        <v>222</v>
      </c>
      <c r="B15490" s="163"/>
      <c r="C15490" s="163"/>
      <c r="J15490" s="165"/>
      <c r="K15490" s="166"/>
      <c r="L15490" s="166"/>
    </row>
    <row r="15491">
      <c r="A15491" s="163" t="s">
        <v>222</v>
      </c>
      <c r="B15491" s="163"/>
      <c r="C15491" s="163"/>
      <c r="J15491" s="165"/>
      <c r="K15491" s="166"/>
      <c r="L15491" s="166"/>
    </row>
    <row r="15492">
      <c r="A15492" s="163" t="s">
        <v>222</v>
      </c>
      <c r="B15492" s="163"/>
      <c r="C15492" s="163"/>
      <c r="J15492" s="165"/>
      <c r="K15492" s="166"/>
      <c r="L15492" s="166"/>
    </row>
    <row r="15493">
      <c r="A15493" s="163" t="s">
        <v>222</v>
      </c>
      <c r="B15493" s="163"/>
      <c r="C15493" s="163"/>
      <c r="J15493" s="165"/>
      <c r="K15493" s="166"/>
      <c r="L15493" s="166"/>
    </row>
    <row r="15494">
      <c r="A15494" s="163" t="s">
        <v>222</v>
      </c>
      <c r="B15494" s="163"/>
      <c r="C15494" s="163"/>
      <c r="J15494" s="165"/>
      <c r="K15494" s="166"/>
      <c r="L15494" s="166"/>
    </row>
    <row r="15495">
      <c r="A15495" s="163" t="s">
        <v>222</v>
      </c>
      <c r="B15495" s="163"/>
      <c r="C15495" s="163"/>
      <c r="J15495" s="165"/>
      <c r="K15495" s="166"/>
      <c r="L15495" s="166"/>
    </row>
    <row r="15496">
      <c r="A15496" s="163" t="s">
        <v>222</v>
      </c>
      <c r="B15496" s="163"/>
      <c r="C15496" s="163"/>
      <c r="J15496" s="165"/>
      <c r="K15496" s="166"/>
      <c r="L15496" s="166"/>
    </row>
    <row r="15497">
      <c r="A15497" s="163" t="s">
        <v>222</v>
      </c>
      <c r="B15497" s="163"/>
      <c r="C15497" s="163"/>
      <c r="J15497" s="165"/>
      <c r="K15497" s="166"/>
      <c r="L15497" s="166"/>
    </row>
    <row r="15498">
      <c r="A15498" s="163" t="s">
        <v>222</v>
      </c>
      <c r="B15498" s="163"/>
      <c r="C15498" s="163"/>
      <c r="J15498" s="165"/>
      <c r="K15498" s="166"/>
      <c r="L15498" s="166"/>
    </row>
    <row r="15499">
      <c r="A15499" s="163" t="s">
        <v>222</v>
      </c>
      <c r="B15499" s="163"/>
      <c r="C15499" s="163"/>
      <c r="J15499" s="165"/>
      <c r="K15499" s="166"/>
      <c r="L15499" s="166"/>
    </row>
    <row r="15500">
      <c r="A15500" s="163" t="s">
        <v>222</v>
      </c>
      <c r="B15500" s="163"/>
      <c r="C15500" s="163"/>
      <c r="J15500" s="165"/>
      <c r="K15500" s="166"/>
      <c r="L15500" s="166"/>
    </row>
    <row r="15501">
      <c r="A15501" s="163" t="s">
        <v>222</v>
      </c>
      <c r="B15501" s="163"/>
      <c r="C15501" s="163"/>
      <c r="J15501" s="165"/>
      <c r="K15501" s="166"/>
      <c r="L15501" s="166"/>
    </row>
    <row r="15502">
      <c r="A15502" s="163" t="s">
        <v>222</v>
      </c>
      <c r="B15502" s="163"/>
      <c r="C15502" s="163"/>
      <c r="J15502" s="165"/>
      <c r="K15502" s="166"/>
      <c r="L15502" s="166"/>
    </row>
    <row r="15503">
      <c r="A15503" s="163" t="s">
        <v>222</v>
      </c>
      <c r="B15503" s="163"/>
      <c r="C15503" s="163"/>
      <c r="J15503" s="165"/>
      <c r="K15503" s="166"/>
      <c r="L15503" s="166"/>
    </row>
    <row r="15504">
      <c r="A15504" s="163" t="s">
        <v>222</v>
      </c>
      <c r="B15504" s="163"/>
      <c r="C15504" s="163"/>
      <c r="J15504" s="165"/>
      <c r="K15504" s="166"/>
      <c r="L15504" s="166"/>
    </row>
    <row r="15505">
      <c r="A15505" s="163" t="s">
        <v>222</v>
      </c>
      <c r="B15505" s="163"/>
      <c r="C15505" s="163"/>
      <c r="J15505" s="165"/>
      <c r="K15505" s="166"/>
      <c r="L15505" s="166"/>
    </row>
    <row r="15506">
      <c r="A15506" s="163" t="s">
        <v>222</v>
      </c>
      <c r="B15506" s="163"/>
      <c r="C15506" s="163"/>
      <c r="J15506" s="165"/>
      <c r="K15506" s="166"/>
      <c r="L15506" s="166"/>
    </row>
    <row r="15507">
      <c r="A15507" s="163" t="s">
        <v>222</v>
      </c>
      <c r="B15507" s="163"/>
      <c r="C15507" s="163"/>
      <c r="J15507" s="165"/>
      <c r="K15507" s="166"/>
      <c r="L15507" s="166"/>
    </row>
    <row r="15508">
      <c r="A15508" s="163" t="s">
        <v>222</v>
      </c>
      <c r="B15508" s="163"/>
      <c r="C15508" s="163"/>
      <c r="J15508" s="165"/>
      <c r="K15508" s="166"/>
      <c r="L15508" s="166"/>
    </row>
    <row r="15509">
      <c r="A15509" s="163" t="s">
        <v>222</v>
      </c>
      <c r="B15509" s="163"/>
      <c r="C15509" s="163"/>
      <c r="J15509" s="165"/>
      <c r="K15509" s="166"/>
      <c r="L15509" s="166"/>
    </row>
    <row r="15510">
      <c r="A15510" s="163" t="s">
        <v>222</v>
      </c>
      <c r="B15510" s="163"/>
      <c r="C15510" s="163"/>
      <c r="J15510" s="165"/>
      <c r="K15510" s="166"/>
      <c r="L15510" s="166"/>
    </row>
    <row r="15511">
      <c r="A15511" s="163" t="s">
        <v>222</v>
      </c>
      <c r="B15511" s="163"/>
      <c r="C15511" s="163"/>
      <c r="J15511" s="165"/>
      <c r="K15511" s="166"/>
      <c r="L15511" s="166"/>
    </row>
    <row r="15512">
      <c r="A15512" s="163" t="s">
        <v>222</v>
      </c>
      <c r="B15512" s="163"/>
      <c r="C15512" s="163"/>
      <c r="J15512" s="165"/>
      <c r="K15512" s="166"/>
      <c r="L15512" s="166"/>
    </row>
    <row r="15513">
      <c r="A15513" s="163" t="s">
        <v>222</v>
      </c>
      <c r="B15513" s="163"/>
      <c r="C15513" s="163"/>
      <c r="J15513" s="165"/>
      <c r="K15513" s="166"/>
      <c r="L15513" s="166"/>
    </row>
    <row r="15514">
      <c r="A15514" s="163" t="s">
        <v>222</v>
      </c>
      <c r="B15514" s="163"/>
      <c r="C15514" s="163"/>
      <c r="J15514" s="165"/>
      <c r="K15514" s="166"/>
      <c r="L15514" s="166"/>
    </row>
    <row r="15515">
      <c r="A15515" s="163" t="s">
        <v>222</v>
      </c>
      <c r="B15515" s="163"/>
      <c r="C15515" s="163"/>
      <c r="J15515" s="165"/>
      <c r="K15515" s="166"/>
      <c r="L15515" s="166"/>
    </row>
    <row r="15516">
      <c r="A15516" s="163" t="s">
        <v>222</v>
      </c>
      <c r="B15516" s="163"/>
      <c r="C15516" s="163"/>
      <c r="J15516" s="165"/>
      <c r="K15516" s="166"/>
      <c r="L15516" s="166"/>
    </row>
    <row r="15517">
      <c r="A15517" s="163" t="s">
        <v>222</v>
      </c>
      <c r="B15517" s="163"/>
      <c r="C15517" s="163"/>
      <c r="J15517" s="165"/>
      <c r="K15517" s="166"/>
      <c r="L15517" s="166"/>
    </row>
    <row r="15518">
      <c r="A15518" s="163" t="s">
        <v>222</v>
      </c>
      <c r="B15518" s="163"/>
      <c r="C15518" s="163"/>
      <c r="J15518" s="165"/>
      <c r="K15518" s="166"/>
      <c r="L15518" s="166"/>
    </row>
    <row r="15519">
      <c r="A15519" s="163" t="s">
        <v>222</v>
      </c>
      <c r="B15519" s="163"/>
      <c r="C15519" s="163"/>
      <c r="J15519" s="165"/>
      <c r="K15519" s="166"/>
      <c r="L15519" s="166"/>
    </row>
    <row r="15520">
      <c r="A15520" s="163" t="s">
        <v>222</v>
      </c>
      <c r="B15520" s="163"/>
      <c r="C15520" s="163"/>
      <c r="J15520" s="165"/>
      <c r="K15520" s="166"/>
      <c r="L15520" s="166"/>
    </row>
    <row r="15521">
      <c r="A15521" s="163" t="s">
        <v>222</v>
      </c>
      <c r="B15521" s="163"/>
      <c r="C15521" s="163"/>
      <c r="J15521" s="165"/>
      <c r="K15521" s="166"/>
      <c r="L15521" s="166"/>
    </row>
    <row r="15522">
      <c r="A15522" s="163" t="s">
        <v>222</v>
      </c>
      <c r="B15522" s="163"/>
      <c r="C15522" s="163"/>
      <c r="J15522" s="165"/>
      <c r="K15522" s="166"/>
      <c r="L15522" s="166"/>
    </row>
    <row r="15523">
      <c r="A15523" s="163" t="s">
        <v>222</v>
      </c>
      <c r="B15523" s="163"/>
      <c r="C15523" s="163"/>
      <c r="J15523" s="165"/>
      <c r="K15523" s="166"/>
      <c r="L15523" s="166"/>
    </row>
    <row r="15524">
      <c r="A15524" s="163" t="s">
        <v>222</v>
      </c>
      <c r="B15524" s="163"/>
      <c r="C15524" s="163"/>
      <c r="J15524" s="165"/>
      <c r="K15524" s="166"/>
      <c r="L15524" s="166"/>
    </row>
    <row r="15525">
      <c r="A15525" s="163" t="s">
        <v>222</v>
      </c>
      <c r="B15525" s="163"/>
      <c r="C15525" s="163"/>
      <c r="J15525" s="165"/>
      <c r="K15525" s="166"/>
      <c r="L15525" s="166"/>
    </row>
    <row r="15526">
      <c r="A15526" s="163" t="s">
        <v>222</v>
      </c>
      <c r="B15526" s="163"/>
      <c r="C15526" s="163"/>
      <c r="J15526" s="165"/>
      <c r="K15526" s="166"/>
      <c r="L15526" s="166"/>
    </row>
    <row r="15527">
      <c r="A15527" s="163" t="s">
        <v>222</v>
      </c>
      <c r="B15527" s="163"/>
      <c r="C15527" s="163"/>
      <c r="J15527" s="165"/>
      <c r="K15527" s="166"/>
      <c r="L15527" s="166"/>
    </row>
    <row r="15528">
      <c r="A15528" s="163" t="s">
        <v>222</v>
      </c>
      <c r="B15528" s="163"/>
      <c r="C15528" s="163"/>
      <c r="J15528" s="165"/>
      <c r="K15528" s="166"/>
      <c r="L15528" s="166"/>
    </row>
    <row r="15529">
      <c r="A15529" s="163" t="s">
        <v>222</v>
      </c>
      <c r="B15529" s="163"/>
      <c r="C15529" s="163"/>
      <c r="J15529" s="165"/>
      <c r="K15529" s="166"/>
      <c r="L15529" s="166"/>
    </row>
    <row r="15530">
      <c r="A15530" s="163" t="s">
        <v>222</v>
      </c>
      <c r="B15530" s="163"/>
      <c r="C15530" s="163"/>
      <c r="J15530" s="165"/>
      <c r="K15530" s="166"/>
      <c r="L15530" s="166"/>
    </row>
    <row r="15531">
      <c r="A15531" s="163" t="s">
        <v>222</v>
      </c>
      <c r="B15531" s="163"/>
      <c r="C15531" s="163"/>
      <c r="J15531" s="165"/>
      <c r="K15531" s="166"/>
      <c r="L15531" s="166"/>
    </row>
    <row r="15532">
      <c r="A15532" s="163" t="s">
        <v>222</v>
      </c>
      <c r="B15532" s="163"/>
      <c r="C15532" s="163"/>
      <c r="J15532" s="165"/>
      <c r="K15532" s="166"/>
      <c r="L15532" s="166"/>
    </row>
    <row r="15533">
      <c r="A15533" s="163" t="s">
        <v>222</v>
      </c>
      <c r="B15533" s="163"/>
      <c r="C15533" s="163"/>
      <c r="J15533" s="165"/>
      <c r="K15533" s="166"/>
      <c r="L15533" s="166"/>
    </row>
    <row r="15534">
      <c r="A15534" s="163" t="s">
        <v>222</v>
      </c>
      <c r="B15534" s="163"/>
      <c r="C15534" s="163"/>
      <c r="J15534" s="165"/>
      <c r="K15534" s="166"/>
      <c r="L15534" s="166"/>
    </row>
    <row r="15535">
      <c r="A15535" s="163" t="s">
        <v>222</v>
      </c>
      <c r="B15535" s="163"/>
      <c r="C15535" s="163"/>
      <c r="J15535" s="165"/>
      <c r="K15535" s="166"/>
      <c r="L15535" s="166"/>
    </row>
    <row r="15536">
      <c r="A15536" s="163" t="s">
        <v>222</v>
      </c>
      <c r="B15536" s="163"/>
      <c r="C15536" s="163"/>
      <c r="J15536" s="165"/>
      <c r="K15536" s="166"/>
      <c r="L15536" s="166"/>
    </row>
    <row r="15537">
      <c r="A15537" s="163" t="s">
        <v>222</v>
      </c>
      <c r="B15537" s="163"/>
      <c r="C15537" s="163"/>
      <c r="J15537" s="165"/>
      <c r="K15537" s="166"/>
      <c r="L15537" s="166"/>
    </row>
    <row r="15538">
      <c r="A15538" s="163" t="s">
        <v>222</v>
      </c>
      <c r="B15538" s="163"/>
      <c r="C15538" s="163"/>
      <c r="J15538" s="165"/>
      <c r="K15538" s="166"/>
      <c r="L15538" s="166"/>
    </row>
    <row r="15539">
      <c r="A15539" s="163" t="s">
        <v>222</v>
      </c>
      <c r="B15539" s="163"/>
      <c r="C15539" s="163"/>
      <c r="J15539" s="165"/>
      <c r="K15539" s="166"/>
      <c r="L15539" s="166"/>
    </row>
    <row r="15540">
      <c r="A15540" s="163" t="s">
        <v>222</v>
      </c>
      <c r="B15540" s="163"/>
      <c r="C15540" s="163"/>
      <c r="J15540" s="165"/>
      <c r="K15540" s="166"/>
      <c r="L15540" s="166"/>
    </row>
    <row r="15541">
      <c r="A15541" s="163" t="s">
        <v>222</v>
      </c>
      <c r="B15541" s="163"/>
      <c r="C15541" s="163"/>
      <c r="J15541" s="165"/>
      <c r="K15541" s="166"/>
      <c r="L15541" s="166"/>
    </row>
    <row r="15542">
      <c r="A15542" s="163" t="s">
        <v>222</v>
      </c>
      <c r="B15542" s="163"/>
      <c r="C15542" s="163"/>
      <c r="J15542" s="165"/>
      <c r="K15542" s="166"/>
      <c r="L15542" s="166"/>
    </row>
    <row r="15543">
      <c r="A15543" s="163" t="s">
        <v>222</v>
      </c>
      <c r="B15543" s="163"/>
      <c r="C15543" s="163"/>
      <c r="J15543" s="165"/>
      <c r="K15543" s="166"/>
      <c r="L15543" s="166"/>
    </row>
    <row r="15544">
      <c r="A15544" s="163" t="s">
        <v>222</v>
      </c>
      <c r="B15544" s="163"/>
      <c r="C15544" s="163"/>
      <c r="J15544" s="165"/>
      <c r="K15544" s="166"/>
      <c r="L15544" s="166"/>
    </row>
    <row r="15545">
      <c r="A15545" s="163" t="s">
        <v>222</v>
      </c>
      <c r="B15545" s="163"/>
      <c r="C15545" s="163"/>
      <c r="J15545" s="165"/>
      <c r="K15545" s="166"/>
      <c r="L15545" s="166"/>
    </row>
    <row r="15546">
      <c r="A15546" s="163" t="s">
        <v>222</v>
      </c>
      <c r="B15546" s="163"/>
      <c r="C15546" s="163"/>
      <c r="J15546" s="165"/>
      <c r="K15546" s="166"/>
      <c r="L15546" s="166"/>
    </row>
    <row r="15547">
      <c r="A15547" s="163" t="s">
        <v>222</v>
      </c>
      <c r="B15547" s="163"/>
      <c r="C15547" s="163"/>
      <c r="J15547" s="165"/>
      <c r="K15547" s="166"/>
      <c r="L15547" s="166"/>
    </row>
    <row r="15548">
      <c r="A15548" s="163" t="s">
        <v>222</v>
      </c>
      <c r="B15548" s="163"/>
      <c r="C15548" s="163"/>
      <c r="J15548" s="165"/>
      <c r="K15548" s="166"/>
      <c r="L15548" s="166"/>
    </row>
    <row r="15549">
      <c r="A15549" s="163" t="s">
        <v>222</v>
      </c>
      <c r="B15549" s="163"/>
      <c r="C15549" s="163"/>
      <c r="J15549" s="165"/>
      <c r="K15549" s="166"/>
      <c r="L15549" s="166"/>
    </row>
    <row r="15550">
      <c r="A15550" s="163" t="s">
        <v>222</v>
      </c>
      <c r="B15550" s="163"/>
      <c r="C15550" s="163"/>
      <c r="J15550" s="165"/>
      <c r="K15550" s="166"/>
      <c r="L15550" s="166"/>
    </row>
    <row r="15551">
      <c r="A15551" s="163" t="s">
        <v>222</v>
      </c>
      <c r="B15551" s="163"/>
      <c r="C15551" s="163"/>
      <c r="J15551" s="165"/>
      <c r="K15551" s="166"/>
      <c r="L15551" s="166"/>
    </row>
    <row r="15552">
      <c r="A15552" s="163" t="s">
        <v>222</v>
      </c>
      <c r="B15552" s="163"/>
      <c r="C15552" s="163"/>
      <c r="J15552" s="165"/>
      <c r="K15552" s="166"/>
      <c r="L15552" s="166"/>
    </row>
    <row r="15553">
      <c r="A15553" s="163" t="s">
        <v>222</v>
      </c>
      <c r="B15553" s="163"/>
      <c r="C15553" s="163"/>
      <c r="J15553" s="165"/>
      <c r="K15553" s="166"/>
      <c r="L15553" s="166"/>
    </row>
    <row r="15554">
      <c r="A15554" s="163" t="s">
        <v>222</v>
      </c>
      <c r="B15554" s="163"/>
      <c r="C15554" s="163"/>
      <c r="J15554" s="165"/>
      <c r="K15554" s="166"/>
      <c r="L15554" s="166"/>
    </row>
    <row r="15555">
      <c r="A15555" s="163" t="s">
        <v>222</v>
      </c>
      <c r="B15555" s="163"/>
      <c r="C15555" s="163"/>
      <c r="J15555" s="165"/>
      <c r="K15555" s="166"/>
      <c r="L15555" s="166"/>
    </row>
    <row r="15556">
      <c r="A15556" s="163" t="s">
        <v>222</v>
      </c>
      <c r="B15556" s="163"/>
      <c r="C15556" s="163"/>
      <c r="J15556" s="165"/>
      <c r="K15556" s="166"/>
      <c r="L15556" s="166"/>
    </row>
    <row r="15557">
      <c r="A15557" s="163" t="s">
        <v>222</v>
      </c>
      <c r="B15557" s="163"/>
      <c r="C15557" s="163"/>
      <c r="J15557" s="165"/>
      <c r="K15557" s="166"/>
      <c r="L15557" s="166"/>
    </row>
    <row r="15558">
      <c r="A15558" s="163" t="s">
        <v>222</v>
      </c>
      <c r="B15558" s="163"/>
      <c r="C15558" s="163"/>
      <c r="J15558" s="165"/>
      <c r="K15558" s="166"/>
      <c r="L15558" s="166"/>
    </row>
    <row r="15559">
      <c r="A15559" s="163" t="s">
        <v>222</v>
      </c>
      <c r="B15559" s="163"/>
      <c r="C15559" s="163"/>
      <c r="J15559" s="165"/>
      <c r="K15559" s="166"/>
      <c r="L15559" s="166"/>
    </row>
    <row r="15560">
      <c r="A15560" s="163" t="s">
        <v>222</v>
      </c>
      <c r="B15560" s="163"/>
      <c r="C15560" s="163"/>
      <c r="J15560" s="165"/>
      <c r="K15560" s="166"/>
      <c r="L15560" s="166"/>
    </row>
    <row r="15561">
      <c r="A15561" s="163" t="s">
        <v>222</v>
      </c>
      <c r="B15561" s="163"/>
      <c r="C15561" s="163"/>
      <c r="J15561" s="165"/>
      <c r="K15561" s="166"/>
      <c r="L15561" s="166"/>
    </row>
    <row r="15562">
      <c r="A15562" s="163" t="s">
        <v>222</v>
      </c>
      <c r="B15562" s="163"/>
      <c r="C15562" s="163"/>
      <c r="J15562" s="165"/>
      <c r="K15562" s="166"/>
      <c r="L15562" s="166"/>
    </row>
    <row r="15563">
      <c r="A15563" s="163" t="s">
        <v>222</v>
      </c>
      <c r="B15563" s="163"/>
      <c r="C15563" s="163"/>
      <c r="J15563" s="165"/>
      <c r="K15563" s="166"/>
      <c r="L15563" s="166"/>
    </row>
    <row r="15564">
      <c r="A15564" s="163" t="s">
        <v>222</v>
      </c>
      <c r="B15564" s="163"/>
      <c r="C15564" s="163"/>
      <c r="J15564" s="165"/>
      <c r="K15564" s="166"/>
      <c r="L15564" s="166"/>
    </row>
    <row r="15565">
      <c r="A15565" s="163" t="s">
        <v>222</v>
      </c>
      <c r="B15565" s="163"/>
      <c r="C15565" s="163"/>
      <c r="J15565" s="165"/>
      <c r="K15565" s="166"/>
      <c r="L15565" s="166"/>
    </row>
    <row r="15566">
      <c r="A15566" s="163" t="s">
        <v>222</v>
      </c>
      <c r="B15566" s="163"/>
      <c r="C15566" s="163"/>
      <c r="J15566" s="165"/>
      <c r="K15566" s="166"/>
      <c r="L15566" s="166"/>
    </row>
    <row r="15567">
      <c r="A15567" s="163" t="s">
        <v>222</v>
      </c>
      <c r="B15567" s="163"/>
      <c r="C15567" s="163"/>
      <c r="J15567" s="165"/>
      <c r="K15567" s="166"/>
      <c r="L15567" s="166"/>
    </row>
    <row r="15568">
      <c r="A15568" s="163" t="s">
        <v>222</v>
      </c>
      <c r="B15568" s="163"/>
      <c r="C15568" s="163"/>
      <c r="J15568" s="165"/>
      <c r="K15568" s="166"/>
      <c r="L15568" s="166"/>
    </row>
    <row r="15569">
      <c r="A15569" s="163" t="s">
        <v>222</v>
      </c>
      <c r="B15569" s="163"/>
      <c r="C15569" s="163"/>
      <c r="J15569" s="165"/>
      <c r="K15569" s="166"/>
      <c r="L15569" s="166"/>
    </row>
    <row r="15570">
      <c r="A15570" s="163" t="s">
        <v>222</v>
      </c>
      <c r="B15570" s="163"/>
      <c r="C15570" s="163"/>
      <c r="J15570" s="165"/>
      <c r="K15570" s="166"/>
      <c r="L15570" s="166"/>
    </row>
    <row r="15571">
      <c r="A15571" s="163" t="s">
        <v>222</v>
      </c>
      <c r="B15571" s="163"/>
      <c r="C15571" s="163"/>
      <c r="J15571" s="165"/>
      <c r="K15571" s="166"/>
      <c r="L15571" s="166"/>
    </row>
    <row r="15572">
      <c r="A15572" s="163" t="s">
        <v>222</v>
      </c>
      <c r="B15572" s="163"/>
      <c r="C15572" s="163"/>
      <c r="J15572" s="165"/>
      <c r="K15572" s="166"/>
      <c r="L15572" s="166"/>
    </row>
    <row r="15573">
      <c r="A15573" s="163" t="s">
        <v>222</v>
      </c>
      <c r="B15573" s="163"/>
      <c r="C15573" s="163"/>
      <c r="J15573" s="165"/>
      <c r="K15573" s="166"/>
      <c r="L15573" s="166"/>
    </row>
    <row r="15574">
      <c r="A15574" s="163" t="s">
        <v>222</v>
      </c>
      <c r="B15574" s="163"/>
      <c r="C15574" s="163"/>
      <c r="J15574" s="165"/>
      <c r="K15574" s="166"/>
      <c r="L15574" s="166"/>
    </row>
    <row r="15575">
      <c r="A15575" s="163" t="s">
        <v>222</v>
      </c>
      <c r="B15575" s="163"/>
      <c r="C15575" s="163"/>
      <c r="J15575" s="165"/>
      <c r="K15575" s="166"/>
      <c r="L15575" s="166"/>
    </row>
    <row r="15576">
      <c r="A15576" s="163" t="s">
        <v>222</v>
      </c>
      <c r="B15576" s="163"/>
      <c r="C15576" s="163"/>
      <c r="J15576" s="165"/>
      <c r="K15576" s="166"/>
      <c r="L15576" s="166"/>
    </row>
    <row r="15577">
      <c r="A15577" s="163" t="s">
        <v>222</v>
      </c>
      <c r="B15577" s="163"/>
      <c r="C15577" s="163"/>
      <c r="J15577" s="165"/>
      <c r="K15577" s="166"/>
      <c r="L15577" s="166"/>
    </row>
    <row r="15578">
      <c r="A15578" s="163" t="s">
        <v>222</v>
      </c>
      <c r="B15578" s="163"/>
      <c r="C15578" s="163"/>
      <c r="J15578" s="165"/>
      <c r="K15578" s="166"/>
      <c r="L15578" s="166"/>
    </row>
    <row r="15579">
      <c r="A15579" s="163" t="s">
        <v>222</v>
      </c>
      <c r="B15579" s="163"/>
      <c r="C15579" s="163"/>
      <c r="J15579" s="165"/>
      <c r="K15579" s="166"/>
      <c r="L15579" s="166"/>
    </row>
    <row r="15580">
      <c r="A15580" s="163" t="s">
        <v>222</v>
      </c>
      <c r="B15580" s="163"/>
      <c r="C15580" s="163"/>
      <c r="J15580" s="165"/>
      <c r="K15580" s="166"/>
      <c r="L15580" s="166"/>
    </row>
    <row r="15581">
      <c r="A15581" s="163" t="s">
        <v>222</v>
      </c>
      <c r="B15581" s="163"/>
      <c r="C15581" s="163"/>
      <c r="J15581" s="165"/>
      <c r="K15581" s="166"/>
      <c r="L15581" s="166"/>
    </row>
    <row r="15582">
      <c r="A15582" s="163" t="s">
        <v>222</v>
      </c>
      <c r="B15582" s="163"/>
      <c r="C15582" s="163"/>
      <c r="J15582" s="165"/>
      <c r="K15582" s="166"/>
      <c r="L15582" s="166"/>
    </row>
    <row r="15583">
      <c r="A15583" s="163" t="s">
        <v>222</v>
      </c>
      <c r="B15583" s="163"/>
      <c r="C15583" s="163"/>
      <c r="J15583" s="165"/>
      <c r="K15583" s="166"/>
      <c r="L15583" s="166"/>
    </row>
    <row r="15584">
      <c r="A15584" s="163" t="s">
        <v>222</v>
      </c>
      <c r="B15584" s="163"/>
      <c r="C15584" s="163"/>
      <c r="J15584" s="165"/>
      <c r="K15584" s="166"/>
      <c r="L15584" s="166"/>
    </row>
    <row r="15585">
      <c r="A15585" s="163" t="s">
        <v>222</v>
      </c>
      <c r="B15585" s="163"/>
      <c r="C15585" s="163"/>
      <c r="J15585" s="165"/>
      <c r="K15585" s="166"/>
      <c r="L15585" s="166"/>
    </row>
    <row r="15586">
      <c r="A15586" s="163" t="s">
        <v>222</v>
      </c>
      <c r="B15586" s="163"/>
      <c r="C15586" s="163"/>
      <c r="J15586" s="165"/>
      <c r="K15586" s="166"/>
      <c r="L15586" s="166"/>
    </row>
    <row r="15587">
      <c r="A15587" s="163" t="s">
        <v>222</v>
      </c>
      <c r="B15587" s="163"/>
      <c r="C15587" s="163"/>
      <c r="J15587" s="165"/>
      <c r="K15587" s="166"/>
      <c r="L15587" s="166"/>
    </row>
    <row r="15588">
      <c r="A15588" s="163" t="s">
        <v>222</v>
      </c>
      <c r="B15588" s="163"/>
      <c r="C15588" s="163"/>
      <c r="J15588" s="165"/>
      <c r="K15588" s="166"/>
      <c r="L15588" s="166"/>
    </row>
    <row r="15589">
      <c r="A15589" s="163" t="s">
        <v>222</v>
      </c>
      <c r="B15589" s="163"/>
      <c r="C15589" s="163"/>
      <c r="J15589" s="165"/>
      <c r="K15589" s="166"/>
      <c r="L15589" s="166"/>
    </row>
    <row r="15590">
      <c r="A15590" s="163" t="s">
        <v>222</v>
      </c>
      <c r="B15590" s="163"/>
      <c r="C15590" s="163"/>
      <c r="J15590" s="165"/>
      <c r="K15590" s="166"/>
      <c r="L15590" s="166"/>
    </row>
    <row r="15591">
      <c r="A15591" s="163" t="s">
        <v>222</v>
      </c>
      <c r="B15591" s="163"/>
      <c r="C15591" s="163"/>
      <c r="J15591" s="165"/>
      <c r="K15591" s="166"/>
      <c r="L15591" s="166"/>
    </row>
    <row r="15592">
      <c r="A15592" s="163" t="s">
        <v>222</v>
      </c>
      <c r="B15592" s="163"/>
      <c r="C15592" s="163"/>
      <c r="J15592" s="165"/>
      <c r="K15592" s="166"/>
      <c r="L15592" s="166"/>
    </row>
    <row r="15593">
      <c r="A15593" s="163" t="s">
        <v>222</v>
      </c>
      <c r="B15593" s="163"/>
      <c r="C15593" s="163"/>
      <c r="J15593" s="165"/>
      <c r="K15593" s="166"/>
      <c r="L15593" s="166"/>
    </row>
    <row r="15594">
      <c r="A15594" s="163" t="s">
        <v>222</v>
      </c>
      <c r="B15594" s="163"/>
      <c r="C15594" s="163"/>
      <c r="J15594" s="165"/>
      <c r="K15594" s="166"/>
      <c r="L15594" s="166"/>
    </row>
    <row r="15595">
      <c r="A15595" s="163" t="s">
        <v>222</v>
      </c>
      <c r="B15595" s="163"/>
      <c r="C15595" s="163"/>
      <c r="J15595" s="165"/>
      <c r="K15595" s="166"/>
      <c r="L15595" s="166"/>
    </row>
    <row r="15596">
      <c r="A15596" s="163" t="s">
        <v>222</v>
      </c>
      <c r="B15596" s="163"/>
      <c r="C15596" s="163"/>
      <c r="J15596" s="165"/>
      <c r="K15596" s="166"/>
      <c r="L15596" s="166"/>
    </row>
    <row r="15597">
      <c r="A15597" s="163" t="s">
        <v>222</v>
      </c>
      <c r="B15597" s="163"/>
      <c r="C15597" s="163"/>
      <c r="J15597" s="165"/>
      <c r="K15597" s="166"/>
      <c r="L15597" s="166"/>
    </row>
    <row r="15598">
      <c r="A15598" s="163" t="s">
        <v>222</v>
      </c>
      <c r="B15598" s="163"/>
      <c r="C15598" s="163"/>
      <c r="J15598" s="165"/>
      <c r="K15598" s="166"/>
      <c r="L15598" s="166"/>
    </row>
    <row r="15599">
      <c r="A15599" s="163" t="s">
        <v>222</v>
      </c>
      <c r="B15599" s="163"/>
      <c r="C15599" s="163"/>
      <c r="J15599" s="165"/>
      <c r="K15599" s="166"/>
      <c r="L15599" s="166"/>
    </row>
    <row r="15600">
      <c r="A15600" s="163" t="s">
        <v>222</v>
      </c>
      <c r="B15600" s="163"/>
      <c r="C15600" s="163"/>
      <c r="J15600" s="165"/>
      <c r="K15600" s="166"/>
      <c r="L15600" s="166"/>
    </row>
    <row r="15601">
      <c r="A15601" s="163" t="s">
        <v>222</v>
      </c>
      <c r="B15601" s="163"/>
      <c r="C15601" s="163"/>
      <c r="J15601" s="165"/>
      <c r="K15601" s="166"/>
      <c r="L15601" s="166"/>
    </row>
    <row r="15602">
      <c r="A15602" s="163" t="s">
        <v>222</v>
      </c>
      <c r="B15602" s="163"/>
      <c r="C15602" s="163"/>
      <c r="J15602" s="165"/>
      <c r="K15602" s="166"/>
      <c r="L15602" s="166"/>
    </row>
    <row r="15603">
      <c r="A15603" s="163" t="s">
        <v>222</v>
      </c>
      <c r="B15603" s="163"/>
      <c r="C15603" s="163"/>
      <c r="J15603" s="165"/>
      <c r="K15603" s="166"/>
      <c r="L15603" s="166"/>
    </row>
    <row r="15604">
      <c r="A15604" s="163" t="s">
        <v>222</v>
      </c>
      <c r="B15604" s="163"/>
      <c r="C15604" s="163"/>
      <c r="J15604" s="165"/>
      <c r="K15604" s="166"/>
      <c r="L15604" s="166"/>
    </row>
    <row r="15605">
      <c r="A15605" s="163" t="s">
        <v>222</v>
      </c>
      <c r="B15605" s="163"/>
      <c r="C15605" s="163"/>
      <c r="J15605" s="165"/>
      <c r="K15605" s="166"/>
      <c r="L15605" s="166"/>
    </row>
    <row r="15606">
      <c r="A15606" s="163" t="s">
        <v>222</v>
      </c>
      <c r="B15606" s="163"/>
      <c r="C15606" s="163"/>
      <c r="J15606" s="165"/>
      <c r="K15606" s="166"/>
      <c r="L15606" s="166"/>
    </row>
    <row r="15607">
      <c r="A15607" s="163" t="s">
        <v>222</v>
      </c>
      <c r="B15607" s="163"/>
      <c r="C15607" s="163"/>
      <c r="J15607" s="165"/>
      <c r="K15607" s="166"/>
      <c r="L15607" s="166"/>
    </row>
    <row r="15608">
      <c r="A15608" s="163" t="s">
        <v>222</v>
      </c>
      <c r="B15608" s="163"/>
      <c r="C15608" s="163"/>
      <c r="J15608" s="165"/>
      <c r="K15608" s="166"/>
      <c r="L15608" s="166"/>
    </row>
    <row r="15609">
      <c r="A15609" s="163" t="s">
        <v>222</v>
      </c>
      <c r="B15609" s="163"/>
      <c r="C15609" s="163"/>
      <c r="J15609" s="165"/>
      <c r="K15609" s="166"/>
      <c r="L15609" s="166"/>
    </row>
    <row r="15610">
      <c r="A15610" s="163" t="s">
        <v>222</v>
      </c>
      <c r="B15610" s="163"/>
      <c r="C15610" s="163"/>
      <c r="J15610" s="165"/>
      <c r="K15610" s="166"/>
      <c r="L15610" s="166"/>
    </row>
    <row r="15611">
      <c r="A15611" s="163" t="s">
        <v>222</v>
      </c>
      <c r="B15611" s="163"/>
      <c r="C15611" s="163"/>
      <c r="J15611" s="165"/>
      <c r="K15611" s="166"/>
      <c r="L15611" s="166"/>
    </row>
    <row r="15612">
      <c r="A15612" s="163" t="s">
        <v>222</v>
      </c>
      <c r="B15612" s="163"/>
      <c r="C15612" s="163"/>
      <c r="J15612" s="165"/>
      <c r="K15612" s="166"/>
      <c r="L15612" s="166"/>
    </row>
    <row r="15613">
      <c r="A15613" s="163" t="s">
        <v>222</v>
      </c>
      <c r="B15613" s="163"/>
      <c r="C15613" s="163"/>
      <c r="J15613" s="165"/>
      <c r="K15613" s="166"/>
      <c r="L15613" s="166"/>
    </row>
    <row r="15614">
      <c r="A15614" s="163" t="s">
        <v>222</v>
      </c>
      <c r="B15614" s="163"/>
      <c r="C15614" s="163"/>
      <c r="J15614" s="165"/>
      <c r="K15614" s="166"/>
      <c r="L15614" s="166"/>
    </row>
    <row r="15615">
      <c r="A15615" s="163" t="s">
        <v>222</v>
      </c>
      <c r="B15615" s="163"/>
      <c r="C15615" s="163"/>
      <c r="J15615" s="165"/>
      <c r="K15615" s="166"/>
      <c r="L15615" s="166"/>
    </row>
    <row r="15616">
      <c r="A15616" s="163" t="s">
        <v>222</v>
      </c>
      <c r="B15616" s="163"/>
      <c r="C15616" s="163"/>
      <c r="J15616" s="165"/>
      <c r="K15616" s="166"/>
      <c r="L15616" s="166"/>
    </row>
    <row r="15617">
      <c r="A15617" s="163" t="s">
        <v>222</v>
      </c>
      <c r="B15617" s="163"/>
      <c r="C15617" s="163"/>
      <c r="J15617" s="165"/>
      <c r="K15617" s="166"/>
      <c r="L15617" s="166"/>
    </row>
    <row r="15618">
      <c r="A15618" s="163" t="s">
        <v>222</v>
      </c>
      <c r="B15618" s="163"/>
      <c r="C15618" s="163"/>
      <c r="J15618" s="165"/>
      <c r="K15618" s="166"/>
      <c r="L15618" s="166"/>
    </row>
    <row r="15619">
      <c r="A15619" s="163" t="s">
        <v>222</v>
      </c>
      <c r="B15619" s="163"/>
      <c r="C15619" s="163"/>
      <c r="J15619" s="165"/>
      <c r="K15619" s="166"/>
      <c r="L15619" s="166"/>
    </row>
    <row r="15620">
      <c r="A15620" s="163" t="s">
        <v>222</v>
      </c>
      <c r="B15620" s="163"/>
      <c r="C15620" s="163"/>
      <c r="J15620" s="165"/>
      <c r="K15620" s="166"/>
      <c r="L15620" s="166"/>
    </row>
    <row r="15621">
      <c r="A15621" s="163" t="s">
        <v>222</v>
      </c>
      <c r="B15621" s="163"/>
      <c r="C15621" s="163"/>
      <c r="J15621" s="165"/>
      <c r="K15621" s="166"/>
      <c r="L15621" s="166"/>
    </row>
    <row r="15622">
      <c r="A15622" s="163" t="s">
        <v>222</v>
      </c>
      <c r="B15622" s="163"/>
      <c r="C15622" s="163"/>
      <c r="J15622" s="165"/>
      <c r="K15622" s="166"/>
      <c r="L15622" s="166"/>
    </row>
    <row r="15623">
      <c r="A15623" s="163" t="s">
        <v>222</v>
      </c>
      <c r="B15623" s="163"/>
      <c r="C15623" s="163"/>
      <c r="J15623" s="165"/>
      <c r="K15623" s="166"/>
      <c r="L15623" s="166"/>
    </row>
    <row r="15624">
      <c r="A15624" s="163" t="s">
        <v>222</v>
      </c>
      <c r="B15624" s="163"/>
      <c r="C15624" s="163"/>
      <c r="J15624" s="165"/>
      <c r="K15624" s="166"/>
      <c r="L15624" s="166"/>
    </row>
    <row r="15625">
      <c r="A15625" s="163" t="s">
        <v>222</v>
      </c>
      <c r="B15625" s="163"/>
      <c r="C15625" s="163"/>
      <c r="J15625" s="165"/>
      <c r="K15625" s="166"/>
      <c r="L15625" s="166"/>
    </row>
    <row r="15626">
      <c r="A15626" s="163" t="s">
        <v>222</v>
      </c>
      <c r="B15626" s="163"/>
      <c r="C15626" s="163"/>
      <c r="J15626" s="165"/>
      <c r="K15626" s="166"/>
      <c r="L15626" s="166"/>
    </row>
    <row r="15627">
      <c r="A15627" s="163" t="s">
        <v>222</v>
      </c>
      <c r="B15627" s="163"/>
      <c r="C15627" s="163"/>
      <c r="J15627" s="165"/>
      <c r="K15627" s="166"/>
      <c r="L15627" s="166"/>
    </row>
    <row r="15628">
      <c r="A15628" s="163" t="s">
        <v>222</v>
      </c>
      <c r="B15628" s="163"/>
      <c r="C15628" s="163"/>
      <c r="J15628" s="165"/>
      <c r="K15628" s="166"/>
      <c r="L15628" s="166"/>
    </row>
    <row r="15629">
      <c r="A15629" s="163" t="s">
        <v>222</v>
      </c>
      <c r="B15629" s="163"/>
      <c r="C15629" s="163"/>
      <c r="J15629" s="165"/>
      <c r="K15629" s="166"/>
      <c r="L15629" s="166"/>
    </row>
    <row r="15630">
      <c r="A15630" s="163" t="s">
        <v>222</v>
      </c>
      <c r="B15630" s="163"/>
      <c r="C15630" s="163"/>
      <c r="J15630" s="165"/>
      <c r="K15630" s="166"/>
      <c r="L15630" s="166"/>
    </row>
    <row r="15631">
      <c r="A15631" s="163" t="s">
        <v>222</v>
      </c>
      <c r="B15631" s="163"/>
      <c r="C15631" s="163"/>
      <c r="J15631" s="165"/>
      <c r="K15631" s="166"/>
      <c r="L15631" s="166"/>
    </row>
    <row r="15632">
      <c r="A15632" s="163" t="s">
        <v>222</v>
      </c>
      <c r="B15632" s="163"/>
      <c r="C15632" s="163"/>
      <c r="J15632" s="165"/>
      <c r="K15632" s="166"/>
      <c r="L15632" s="166"/>
    </row>
    <row r="15633">
      <c r="A15633" s="163" t="s">
        <v>222</v>
      </c>
      <c r="B15633" s="163"/>
      <c r="C15633" s="163"/>
      <c r="J15633" s="165"/>
      <c r="K15633" s="166"/>
      <c r="L15633" s="166"/>
    </row>
    <row r="15634">
      <c r="A15634" s="163" t="s">
        <v>222</v>
      </c>
      <c r="B15634" s="163"/>
      <c r="C15634" s="163"/>
      <c r="J15634" s="165"/>
      <c r="K15634" s="166"/>
      <c r="L15634" s="166"/>
    </row>
    <row r="15635">
      <c r="A15635" s="163" t="s">
        <v>222</v>
      </c>
      <c r="B15635" s="163"/>
      <c r="C15635" s="163"/>
      <c r="J15635" s="165"/>
      <c r="K15635" s="166"/>
      <c r="L15635" s="166"/>
    </row>
    <row r="15636">
      <c r="A15636" s="163" t="s">
        <v>222</v>
      </c>
      <c r="B15636" s="163"/>
      <c r="C15636" s="163"/>
      <c r="J15636" s="165"/>
      <c r="K15636" s="166"/>
      <c r="L15636" s="166"/>
    </row>
    <row r="15637">
      <c r="A15637" s="163" t="s">
        <v>222</v>
      </c>
      <c r="B15637" s="163"/>
      <c r="C15637" s="163"/>
      <c r="J15637" s="165"/>
      <c r="K15637" s="166"/>
      <c r="L15637" s="166"/>
    </row>
    <row r="15638">
      <c r="A15638" s="163" t="s">
        <v>222</v>
      </c>
      <c r="B15638" s="163"/>
      <c r="C15638" s="163"/>
      <c r="J15638" s="165"/>
      <c r="K15638" s="166"/>
      <c r="L15638" s="166"/>
    </row>
    <row r="15639">
      <c r="A15639" s="163" t="s">
        <v>222</v>
      </c>
      <c r="B15639" s="163"/>
      <c r="C15639" s="163"/>
      <c r="J15639" s="165"/>
      <c r="K15639" s="166"/>
      <c r="L15639" s="166"/>
    </row>
    <row r="15640">
      <c r="A15640" s="163" t="s">
        <v>222</v>
      </c>
      <c r="B15640" s="163"/>
      <c r="C15640" s="163"/>
      <c r="J15640" s="165"/>
      <c r="K15640" s="166"/>
      <c r="L15640" s="166"/>
    </row>
    <row r="15641">
      <c r="A15641" s="163" t="s">
        <v>222</v>
      </c>
      <c r="B15641" s="163"/>
      <c r="C15641" s="163"/>
      <c r="J15641" s="165"/>
      <c r="K15641" s="166"/>
      <c r="L15641" s="166"/>
    </row>
    <row r="15642">
      <c r="A15642" s="163" t="s">
        <v>222</v>
      </c>
      <c r="B15642" s="163"/>
      <c r="C15642" s="163"/>
      <c r="J15642" s="165"/>
      <c r="K15642" s="166"/>
      <c r="L15642" s="166"/>
    </row>
    <row r="15643">
      <c r="A15643" s="163" t="s">
        <v>222</v>
      </c>
      <c r="B15643" s="163"/>
      <c r="C15643" s="163"/>
      <c r="J15643" s="165"/>
      <c r="K15643" s="166"/>
      <c r="L15643" s="166"/>
    </row>
    <row r="15644">
      <c r="A15644" s="163" t="s">
        <v>222</v>
      </c>
      <c r="B15644" s="163"/>
      <c r="C15644" s="163"/>
      <c r="J15644" s="165"/>
      <c r="K15644" s="166"/>
      <c r="L15644" s="166"/>
    </row>
    <row r="15645">
      <c r="A15645" s="163" t="s">
        <v>222</v>
      </c>
      <c r="B15645" s="163"/>
      <c r="C15645" s="163"/>
      <c r="J15645" s="165"/>
      <c r="K15645" s="166"/>
      <c r="L15645" s="166"/>
    </row>
    <row r="15646">
      <c r="A15646" s="163" t="s">
        <v>222</v>
      </c>
      <c r="B15646" s="163"/>
      <c r="C15646" s="163"/>
      <c r="J15646" s="165"/>
      <c r="K15646" s="166"/>
      <c r="L15646" s="166"/>
    </row>
    <row r="15647">
      <c r="A15647" s="163" t="s">
        <v>222</v>
      </c>
      <c r="B15647" s="163"/>
      <c r="C15647" s="163"/>
      <c r="J15647" s="165"/>
      <c r="K15647" s="166"/>
      <c r="L15647" s="166"/>
    </row>
    <row r="15648">
      <c r="A15648" s="163" t="s">
        <v>222</v>
      </c>
      <c r="B15648" s="163"/>
      <c r="C15648" s="163"/>
      <c r="J15648" s="165"/>
      <c r="K15648" s="166"/>
      <c r="L15648" s="166"/>
    </row>
    <row r="15649">
      <c r="A15649" s="163" t="s">
        <v>222</v>
      </c>
      <c r="B15649" s="163"/>
      <c r="C15649" s="163"/>
      <c r="J15649" s="165"/>
      <c r="K15649" s="166"/>
      <c r="L15649" s="166"/>
    </row>
    <row r="15650">
      <c r="A15650" s="163" t="s">
        <v>222</v>
      </c>
      <c r="B15650" s="163"/>
      <c r="C15650" s="163"/>
      <c r="J15650" s="165"/>
      <c r="K15650" s="166"/>
      <c r="L15650" s="166"/>
    </row>
    <row r="15651">
      <c r="A15651" s="163" t="s">
        <v>222</v>
      </c>
      <c r="B15651" s="163"/>
      <c r="C15651" s="163"/>
      <c r="J15651" s="165"/>
      <c r="K15651" s="166"/>
      <c r="L15651" s="166"/>
    </row>
    <row r="15652">
      <c r="A15652" s="163" t="s">
        <v>222</v>
      </c>
      <c r="B15652" s="163"/>
      <c r="C15652" s="163"/>
      <c r="J15652" s="165"/>
      <c r="K15652" s="166"/>
      <c r="L15652" s="166"/>
    </row>
    <row r="15653">
      <c r="A15653" s="163" t="s">
        <v>222</v>
      </c>
      <c r="B15653" s="163"/>
      <c r="C15653" s="163"/>
      <c r="J15653" s="165"/>
      <c r="K15653" s="166"/>
      <c r="L15653" s="166"/>
    </row>
    <row r="15654">
      <c r="A15654" s="163" t="s">
        <v>222</v>
      </c>
      <c r="B15654" s="163"/>
      <c r="C15654" s="163"/>
      <c r="J15654" s="165"/>
      <c r="K15654" s="166"/>
      <c r="L15654" s="166"/>
    </row>
    <row r="15655">
      <c r="A15655" s="163" t="s">
        <v>222</v>
      </c>
      <c r="B15655" s="163"/>
      <c r="C15655" s="163"/>
      <c r="J15655" s="165"/>
      <c r="K15655" s="166"/>
      <c r="L15655" s="166"/>
    </row>
    <row r="15656">
      <c r="A15656" s="163" t="s">
        <v>222</v>
      </c>
      <c r="B15656" s="163"/>
      <c r="C15656" s="163"/>
      <c r="J15656" s="165"/>
      <c r="K15656" s="166"/>
      <c r="L15656" s="166"/>
    </row>
    <row r="15657">
      <c r="A15657" s="163" t="s">
        <v>222</v>
      </c>
      <c r="B15657" s="163"/>
      <c r="C15657" s="163"/>
      <c r="J15657" s="165"/>
      <c r="K15657" s="166"/>
      <c r="L15657" s="166"/>
    </row>
    <row r="15658">
      <c r="A15658" s="163" t="s">
        <v>222</v>
      </c>
      <c r="B15658" s="163"/>
      <c r="C15658" s="163"/>
      <c r="J15658" s="165"/>
      <c r="K15658" s="166"/>
      <c r="L15658" s="166"/>
    </row>
    <row r="15659">
      <c r="A15659" s="163" t="s">
        <v>222</v>
      </c>
      <c r="B15659" s="163"/>
      <c r="C15659" s="163"/>
      <c r="J15659" s="165"/>
      <c r="K15659" s="166"/>
      <c r="L15659" s="166"/>
    </row>
    <row r="15660">
      <c r="A15660" s="163" t="s">
        <v>222</v>
      </c>
      <c r="B15660" s="163"/>
      <c r="C15660" s="163"/>
      <c r="J15660" s="165"/>
      <c r="K15660" s="166"/>
      <c r="L15660" s="166"/>
    </row>
    <row r="15661">
      <c r="A15661" s="163" t="s">
        <v>222</v>
      </c>
      <c r="B15661" s="163"/>
      <c r="C15661" s="163"/>
      <c r="J15661" s="165"/>
      <c r="K15661" s="166"/>
      <c r="L15661" s="166"/>
    </row>
    <row r="15662">
      <c r="A15662" s="163" t="s">
        <v>222</v>
      </c>
      <c r="B15662" s="163"/>
      <c r="C15662" s="163"/>
      <c r="J15662" s="165"/>
      <c r="K15662" s="166"/>
      <c r="L15662" s="166"/>
    </row>
    <row r="15663">
      <c r="A15663" s="163" t="s">
        <v>222</v>
      </c>
      <c r="B15663" s="163"/>
      <c r="C15663" s="163"/>
      <c r="J15663" s="165"/>
      <c r="K15663" s="166"/>
      <c r="L15663" s="166"/>
    </row>
    <row r="15664">
      <c r="A15664" s="163" t="s">
        <v>222</v>
      </c>
      <c r="B15664" s="163"/>
      <c r="C15664" s="163"/>
      <c r="J15664" s="165"/>
      <c r="K15664" s="166"/>
      <c r="L15664" s="166"/>
    </row>
    <row r="15665">
      <c r="A15665" s="163" t="s">
        <v>222</v>
      </c>
      <c r="B15665" s="163"/>
      <c r="C15665" s="163"/>
      <c r="J15665" s="165"/>
      <c r="K15665" s="166"/>
      <c r="L15665" s="166"/>
    </row>
    <row r="15666">
      <c r="A15666" s="163" t="s">
        <v>222</v>
      </c>
      <c r="B15666" s="163"/>
      <c r="C15666" s="163"/>
      <c r="J15666" s="165"/>
      <c r="K15666" s="166"/>
      <c r="L15666" s="166"/>
    </row>
    <row r="15667">
      <c r="A15667" s="163" t="s">
        <v>222</v>
      </c>
      <c r="B15667" s="163"/>
      <c r="C15667" s="163"/>
      <c r="J15667" s="165"/>
      <c r="K15667" s="166"/>
      <c r="L15667" s="166"/>
    </row>
    <row r="15668">
      <c r="A15668" s="163" t="s">
        <v>222</v>
      </c>
      <c r="B15668" s="163"/>
      <c r="C15668" s="163"/>
      <c r="J15668" s="165"/>
      <c r="K15668" s="166"/>
      <c r="L15668" s="166"/>
    </row>
    <row r="15669">
      <c r="A15669" s="163" t="s">
        <v>222</v>
      </c>
      <c r="B15669" s="163"/>
      <c r="C15669" s="163"/>
      <c r="J15669" s="165"/>
      <c r="K15669" s="166"/>
      <c r="L15669" s="166"/>
    </row>
    <row r="15670">
      <c r="A15670" s="163" t="s">
        <v>222</v>
      </c>
      <c r="B15670" s="163"/>
      <c r="C15670" s="163"/>
      <c r="J15670" s="165"/>
      <c r="K15670" s="166"/>
      <c r="L15670" s="166"/>
    </row>
    <row r="15671">
      <c r="A15671" s="163" t="s">
        <v>222</v>
      </c>
      <c r="B15671" s="163"/>
      <c r="C15671" s="163"/>
      <c r="J15671" s="165"/>
      <c r="K15671" s="166"/>
      <c r="L15671" s="166"/>
    </row>
    <row r="15672">
      <c r="A15672" s="163" t="s">
        <v>222</v>
      </c>
      <c r="B15672" s="163"/>
      <c r="C15672" s="163"/>
      <c r="J15672" s="165"/>
      <c r="K15672" s="166"/>
      <c r="L15672" s="166"/>
    </row>
    <row r="15673">
      <c r="A15673" s="163" t="s">
        <v>222</v>
      </c>
      <c r="B15673" s="163"/>
      <c r="C15673" s="163"/>
      <c r="J15673" s="165"/>
      <c r="K15673" s="166"/>
      <c r="L15673" s="166"/>
    </row>
    <row r="15674">
      <c r="A15674" s="163" t="s">
        <v>222</v>
      </c>
      <c r="B15674" s="163"/>
      <c r="C15674" s="163"/>
      <c r="J15674" s="165"/>
      <c r="K15674" s="166"/>
      <c r="L15674" s="166"/>
    </row>
    <row r="15675">
      <c r="A15675" s="163" t="s">
        <v>222</v>
      </c>
      <c r="B15675" s="163"/>
      <c r="C15675" s="163"/>
      <c r="J15675" s="165"/>
      <c r="K15675" s="166"/>
      <c r="L15675" s="166"/>
    </row>
    <row r="15676">
      <c r="A15676" s="163" t="s">
        <v>222</v>
      </c>
      <c r="B15676" s="163"/>
      <c r="C15676" s="163"/>
      <c r="J15676" s="165"/>
      <c r="K15676" s="166"/>
      <c r="L15676" s="166"/>
    </row>
    <row r="15677">
      <c r="A15677" s="163" t="s">
        <v>222</v>
      </c>
      <c r="B15677" s="163"/>
      <c r="C15677" s="163"/>
      <c r="J15677" s="165"/>
      <c r="K15677" s="166"/>
      <c r="L15677" s="166"/>
    </row>
    <row r="15678">
      <c r="A15678" s="163" t="s">
        <v>222</v>
      </c>
      <c r="B15678" s="163"/>
      <c r="C15678" s="163"/>
      <c r="J15678" s="165"/>
      <c r="K15678" s="166"/>
      <c r="L15678" s="166"/>
    </row>
    <row r="15679">
      <c r="A15679" s="163" t="s">
        <v>222</v>
      </c>
      <c r="B15679" s="163"/>
      <c r="C15679" s="163"/>
      <c r="J15679" s="165"/>
      <c r="K15679" s="166"/>
      <c r="L15679" s="166"/>
    </row>
    <row r="15680">
      <c r="A15680" s="163" t="s">
        <v>222</v>
      </c>
      <c r="B15680" s="163"/>
      <c r="C15680" s="163"/>
      <c r="J15680" s="165"/>
      <c r="K15680" s="166"/>
      <c r="L15680" s="166"/>
    </row>
    <row r="15681">
      <c r="A15681" s="163" t="s">
        <v>222</v>
      </c>
      <c r="B15681" s="163"/>
      <c r="C15681" s="163"/>
      <c r="J15681" s="165"/>
      <c r="K15681" s="166"/>
      <c r="L15681" s="166"/>
    </row>
    <row r="15682">
      <c r="A15682" s="163" t="s">
        <v>222</v>
      </c>
      <c r="B15682" s="163"/>
      <c r="C15682" s="163"/>
      <c r="J15682" s="165"/>
      <c r="K15682" s="166"/>
      <c r="L15682" s="166"/>
    </row>
    <row r="15683">
      <c r="A15683" s="163" t="s">
        <v>222</v>
      </c>
      <c r="B15683" s="163"/>
      <c r="C15683" s="163"/>
      <c r="J15683" s="165"/>
      <c r="K15683" s="166"/>
      <c r="L15683" s="166"/>
    </row>
    <row r="15684">
      <c r="A15684" s="163" t="s">
        <v>222</v>
      </c>
      <c r="B15684" s="163"/>
      <c r="C15684" s="163"/>
      <c r="J15684" s="165"/>
      <c r="K15684" s="166"/>
      <c r="L15684" s="166"/>
    </row>
    <row r="15685">
      <c r="A15685" s="163" t="s">
        <v>222</v>
      </c>
      <c r="B15685" s="163"/>
      <c r="C15685" s="163"/>
      <c r="J15685" s="165"/>
      <c r="K15685" s="166"/>
      <c r="L15685" s="166"/>
    </row>
    <row r="15686">
      <c r="A15686" s="163" t="s">
        <v>222</v>
      </c>
      <c r="B15686" s="163"/>
      <c r="C15686" s="163"/>
      <c r="J15686" s="165"/>
      <c r="K15686" s="166"/>
      <c r="L15686" s="166"/>
    </row>
    <row r="15687">
      <c r="A15687" s="163" t="s">
        <v>222</v>
      </c>
      <c r="B15687" s="163"/>
      <c r="C15687" s="163"/>
      <c r="J15687" s="165"/>
      <c r="K15687" s="166"/>
      <c r="L15687" s="166"/>
    </row>
    <row r="15688">
      <c r="A15688" s="163" t="s">
        <v>222</v>
      </c>
      <c r="B15688" s="163"/>
      <c r="C15688" s="163"/>
      <c r="J15688" s="165"/>
      <c r="K15688" s="166"/>
      <c r="L15688" s="166"/>
    </row>
    <row r="15689">
      <c r="A15689" s="163" t="s">
        <v>222</v>
      </c>
      <c r="B15689" s="163"/>
      <c r="C15689" s="163"/>
      <c r="J15689" s="165"/>
      <c r="K15689" s="166"/>
      <c r="L15689" s="166"/>
    </row>
    <row r="15690">
      <c r="A15690" s="163" t="s">
        <v>222</v>
      </c>
      <c r="B15690" s="163"/>
      <c r="C15690" s="163"/>
      <c r="J15690" s="165"/>
      <c r="K15690" s="166"/>
      <c r="L15690" s="166"/>
    </row>
    <row r="15691">
      <c r="A15691" s="163" t="s">
        <v>222</v>
      </c>
      <c r="B15691" s="163"/>
      <c r="C15691" s="163"/>
      <c r="J15691" s="165"/>
      <c r="K15691" s="166"/>
      <c r="L15691" s="166"/>
    </row>
    <row r="15692">
      <c r="A15692" s="163" t="s">
        <v>222</v>
      </c>
      <c r="B15692" s="163"/>
      <c r="C15692" s="163"/>
      <c r="J15692" s="165"/>
      <c r="K15692" s="166"/>
      <c r="L15692" s="166"/>
    </row>
    <row r="15693">
      <c r="A15693" s="163" t="s">
        <v>222</v>
      </c>
      <c r="B15693" s="163"/>
      <c r="C15693" s="163"/>
      <c r="J15693" s="165"/>
      <c r="K15693" s="166"/>
      <c r="L15693" s="166"/>
    </row>
    <row r="15694">
      <c r="A15694" s="163" t="s">
        <v>222</v>
      </c>
      <c r="B15694" s="163"/>
      <c r="C15694" s="163"/>
      <c r="J15694" s="165"/>
      <c r="K15694" s="166"/>
      <c r="L15694" s="166"/>
    </row>
    <row r="15695">
      <c r="A15695" s="163" t="s">
        <v>222</v>
      </c>
      <c r="B15695" s="163"/>
      <c r="C15695" s="163"/>
      <c r="J15695" s="165"/>
      <c r="K15695" s="166"/>
      <c r="L15695" s="166"/>
    </row>
    <row r="15696">
      <c r="A15696" s="163" t="s">
        <v>222</v>
      </c>
      <c r="B15696" s="163"/>
      <c r="C15696" s="163"/>
      <c r="J15696" s="165"/>
      <c r="K15696" s="166"/>
      <c r="L15696" s="166"/>
    </row>
    <row r="15697">
      <c r="A15697" s="163" t="s">
        <v>222</v>
      </c>
      <c r="B15697" s="163"/>
      <c r="C15697" s="163"/>
      <c r="J15697" s="165"/>
      <c r="K15697" s="166"/>
      <c r="L15697" s="166"/>
    </row>
    <row r="15698">
      <c r="A15698" s="163" t="s">
        <v>222</v>
      </c>
      <c r="B15698" s="163"/>
      <c r="C15698" s="163"/>
      <c r="J15698" s="165"/>
      <c r="K15698" s="166"/>
      <c r="L15698" s="166"/>
    </row>
    <row r="15699">
      <c r="A15699" s="163" t="s">
        <v>222</v>
      </c>
      <c r="B15699" s="163"/>
      <c r="C15699" s="163"/>
      <c r="J15699" s="165"/>
      <c r="K15699" s="166"/>
      <c r="L15699" s="166"/>
    </row>
    <row r="15700">
      <c r="A15700" s="163" t="s">
        <v>222</v>
      </c>
      <c r="B15700" s="163"/>
      <c r="C15700" s="163"/>
      <c r="J15700" s="165"/>
      <c r="K15700" s="166"/>
      <c r="L15700" s="166"/>
    </row>
    <row r="15701">
      <c r="A15701" s="163" t="s">
        <v>222</v>
      </c>
      <c r="B15701" s="163"/>
      <c r="C15701" s="163"/>
      <c r="J15701" s="165"/>
      <c r="K15701" s="166"/>
      <c r="L15701" s="166"/>
    </row>
    <row r="15702">
      <c r="A15702" s="163" t="s">
        <v>222</v>
      </c>
      <c r="B15702" s="163"/>
      <c r="C15702" s="163"/>
      <c r="J15702" s="165"/>
      <c r="K15702" s="166"/>
      <c r="L15702" s="166"/>
    </row>
    <row r="15703">
      <c r="A15703" s="163" t="s">
        <v>222</v>
      </c>
      <c r="B15703" s="163"/>
      <c r="C15703" s="163"/>
      <c r="J15703" s="165"/>
      <c r="K15703" s="166"/>
      <c r="L15703" s="166"/>
    </row>
    <row r="15704">
      <c r="A15704" s="163" t="s">
        <v>222</v>
      </c>
      <c r="B15704" s="163"/>
      <c r="C15704" s="163"/>
      <c r="J15704" s="165"/>
      <c r="K15704" s="166"/>
      <c r="L15704" s="166"/>
    </row>
    <row r="15705">
      <c r="A15705" s="163" t="s">
        <v>222</v>
      </c>
      <c r="B15705" s="163"/>
      <c r="C15705" s="163"/>
      <c r="J15705" s="165"/>
      <c r="K15705" s="166"/>
      <c r="L15705" s="166"/>
    </row>
    <row r="15706">
      <c r="A15706" s="163" t="s">
        <v>222</v>
      </c>
      <c r="B15706" s="163"/>
      <c r="C15706" s="163"/>
      <c r="J15706" s="165"/>
      <c r="K15706" s="166"/>
      <c r="L15706" s="166"/>
    </row>
    <row r="15707">
      <c r="A15707" s="163" t="s">
        <v>222</v>
      </c>
      <c r="B15707" s="163"/>
      <c r="C15707" s="163"/>
      <c r="J15707" s="165"/>
      <c r="K15707" s="166"/>
      <c r="L15707" s="166"/>
    </row>
    <row r="15708">
      <c r="A15708" s="163" t="s">
        <v>222</v>
      </c>
      <c r="B15708" s="163"/>
      <c r="C15708" s="163"/>
      <c r="J15708" s="165"/>
      <c r="K15708" s="166"/>
      <c r="L15708" s="166"/>
    </row>
    <row r="15709">
      <c r="A15709" s="163" t="s">
        <v>222</v>
      </c>
      <c r="B15709" s="163"/>
      <c r="C15709" s="163"/>
      <c r="J15709" s="165"/>
      <c r="K15709" s="166"/>
      <c r="L15709" s="166"/>
    </row>
    <row r="15710">
      <c r="A15710" s="163" t="s">
        <v>222</v>
      </c>
      <c r="B15710" s="163"/>
      <c r="C15710" s="163"/>
      <c r="J15710" s="165"/>
      <c r="K15710" s="166"/>
      <c r="L15710" s="166"/>
    </row>
    <row r="15711">
      <c r="A15711" s="163" t="s">
        <v>222</v>
      </c>
      <c r="B15711" s="163"/>
      <c r="C15711" s="163"/>
      <c r="J15711" s="165"/>
      <c r="K15711" s="166"/>
      <c r="L15711" s="166"/>
    </row>
    <row r="15712">
      <c r="A15712" s="163" t="s">
        <v>222</v>
      </c>
      <c r="B15712" s="163"/>
      <c r="C15712" s="163"/>
      <c r="J15712" s="165"/>
      <c r="K15712" s="166"/>
      <c r="L15712" s="166"/>
    </row>
    <row r="15713">
      <c r="A15713" s="163" t="s">
        <v>222</v>
      </c>
      <c r="B15713" s="163"/>
      <c r="C15713" s="163"/>
      <c r="J15713" s="165"/>
      <c r="K15713" s="166"/>
      <c r="L15713" s="166"/>
    </row>
    <row r="15714">
      <c r="A15714" s="163" t="s">
        <v>222</v>
      </c>
      <c r="B15714" s="163"/>
      <c r="C15714" s="163"/>
      <c r="J15714" s="165"/>
      <c r="K15714" s="166"/>
      <c r="L15714" s="166"/>
    </row>
    <row r="15715">
      <c r="A15715" s="163" t="s">
        <v>222</v>
      </c>
      <c r="B15715" s="163"/>
      <c r="C15715" s="163"/>
      <c r="J15715" s="165"/>
      <c r="K15715" s="166"/>
      <c r="L15715" s="166"/>
    </row>
    <row r="15716">
      <c r="A15716" s="163" t="s">
        <v>222</v>
      </c>
      <c r="B15716" s="163"/>
      <c r="C15716" s="163"/>
      <c r="J15716" s="165"/>
      <c r="K15716" s="166"/>
      <c r="L15716" s="166"/>
    </row>
    <row r="15717">
      <c r="A15717" s="163" t="s">
        <v>222</v>
      </c>
      <c r="B15717" s="163"/>
      <c r="C15717" s="163"/>
      <c r="J15717" s="165"/>
      <c r="K15717" s="166"/>
      <c r="L15717" s="166"/>
    </row>
    <row r="15718">
      <c r="A15718" s="163" t="s">
        <v>222</v>
      </c>
      <c r="B15718" s="163"/>
      <c r="C15718" s="163"/>
      <c r="J15718" s="165"/>
      <c r="K15718" s="166"/>
      <c r="L15718" s="166"/>
    </row>
    <row r="15719">
      <c r="A15719" s="163" t="s">
        <v>222</v>
      </c>
      <c r="B15719" s="163"/>
      <c r="C15719" s="163"/>
      <c r="J15719" s="165"/>
      <c r="K15719" s="166"/>
      <c r="L15719" s="166"/>
    </row>
    <row r="15720">
      <c r="A15720" s="163" t="s">
        <v>222</v>
      </c>
      <c r="B15720" s="163"/>
      <c r="C15720" s="163"/>
      <c r="J15720" s="165"/>
      <c r="K15720" s="166"/>
      <c r="L15720" s="166"/>
    </row>
    <row r="15721">
      <c r="A15721" s="163" t="s">
        <v>222</v>
      </c>
      <c r="B15721" s="163"/>
      <c r="C15721" s="163"/>
      <c r="J15721" s="165"/>
      <c r="K15721" s="166"/>
      <c r="L15721" s="166"/>
    </row>
    <row r="15722">
      <c r="A15722" s="163" t="s">
        <v>222</v>
      </c>
      <c r="B15722" s="163"/>
      <c r="C15722" s="163"/>
      <c r="J15722" s="165"/>
      <c r="K15722" s="166"/>
      <c r="L15722" s="166"/>
    </row>
    <row r="15723">
      <c r="A15723" s="163" t="s">
        <v>222</v>
      </c>
      <c r="B15723" s="163"/>
      <c r="C15723" s="163"/>
      <c r="J15723" s="165"/>
      <c r="K15723" s="166"/>
      <c r="L15723" s="166"/>
    </row>
    <row r="15724">
      <c r="A15724" s="163" t="s">
        <v>222</v>
      </c>
      <c r="B15724" s="163"/>
      <c r="C15724" s="163"/>
      <c r="J15724" s="165"/>
      <c r="K15724" s="166"/>
      <c r="L15724" s="166"/>
    </row>
    <row r="15725">
      <c r="A15725" s="163" t="s">
        <v>222</v>
      </c>
      <c r="B15725" s="163"/>
      <c r="C15725" s="163"/>
      <c r="J15725" s="165"/>
      <c r="K15725" s="166"/>
      <c r="L15725" s="166"/>
    </row>
    <row r="15726">
      <c r="A15726" s="163" t="s">
        <v>222</v>
      </c>
      <c r="B15726" s="163"/>
      <c r="C15726" s="163"/>
      <c r="J15726" s="165"/>
      <c r="K15726" s="166"/>
      <c r="L15726" s="166"/>
    </row>
    <row r="15727">
      <c r="A15727" s="163" t="s">
        <v>222</v>
      </c>
      <c r="B15727" s="163"/>
      <c r="C15727" s="163"/>
      <c r="J15727" s="165"/>
      <c r="K15727" s="166"/>
      <c r="L15727" s="166"/>
    </row>
    <row r="15728">
      <c r="A15728" s="163" t="s">
        <v>222</v>
      </c>
      <c r="B15728" s="163"/>
      <c r="C15728" s="163"/>
      <c r="J15728" s="165"/>
      <c r="K15728" s="166"/>
      <c r="L15728" s="166"/>
    </row>
    <row r="15729">
      <c r="A15729" s="163" t="s">
        <v>222</v>
      </c>
      <c r="B15729" s="163"/>
      <c r="C15729" s="163"/>
      <c r="J15729" s="165"/>
      <c r="K15729" s="166"/>
      <c r="L15729" s="166"/>
    </row>
    <row r="15730">
      <c r="A15730" s="163" t="s">
        <v>222</v>
      </c>
      <c r="B15730" s="163"/>
      <c r="C15730" s="163"/>
      <c r="J15730" s="165"/>
      <c r="K15730" s="166"/>
      <c r="L15730" s="166"/>
    </row>
    <row r="15731">
      <c r="A15731" s="163" t="s">
        <v>222</v>
      </c>
      <c r="B15731" s="163"/>
      <c r="C15731" s="163"/>
      <c r="J15731" s="165"/>
      <c r="K15731" s="166"/>
      <c r="L15731" s="166"/>
    </row>
    <row r="15732">
      <c r="A15732" s="163" t="s">
        <v>222</v>
      </c>
      <c r="B15732" s="163"/>
      <c r="C15732" s="163"/>
      <c r="J15732" s="165"/>
      <c r="K15732" s="166"/>
      <c r="L15732" s="166"/>
    </row>
    <row r="15733">
      <c r="A15733" s="163" t="s">
        <v>222</v>
      </c>
      <c r="B15733" s="163"/>
      <c r="C15733" s="163"/>
      <c r="J15733" s="165"/>
      <c r="K15733" s="166"/>
      <c r="L15733" s="166"/>
    </row>
    <row r="15734">
      <c r="A15734" s="163" t="s">
        <v>222</v>
      </c>
      <c r="B15734" s="163"/>
      <c r="C15734" s="163"/>
      <c r="J15734" s="165"/>
      <c r="K15734" s="166"/>
      <c r="L15734" s="166"/>
    </row>
    <row r="15735">
      <c r="A15735" s="163" t="s">
        <v>222</v>
      </c>
      <c r="B15735" s="163"/>
      <c r="C15735" s="163"/>
      <c r="J15735" s="165"/>
      <c r="K15735" s="166"/>
      <c r="L15735" s="166"/>
    </row>
    <row r="15736">
      <c r="A15736" s="163" t="s">
        <v>222</v>
      </c>
      <c r="B15736" s="163"/>
      <c r="C15736" s="163"/>
      <c r="J15736" s="165"/>
      <c r="K15736" s="166"/>
      <c r="L15736" s="166"/>
    </row>
    <row r="15737">
      <c r="A15737" s="163" t="s">
        <v>222</v>
      </c>
      <c r="B15737" s="163"/>
      <c r="C15737" s="163"/>
      <c r="J15737" s="165"/>
      <c r="K15737" s="166"/>
      <c r="L15737" s="166"/>
    </row>
    <row r="15738">
      <c r="A15738" s="163" t="s">
        <v>222</v>
      </c>
      <c r="B15738" s="163"/>
      <c r="C15738" s="163"/>
      <c r="J15738" s="165"/>
      <c r="K15738" s="166"/>
      <c r="L15738" s="166"/>
    </row>
    <row r="15739">
      <c r="A15739" s="163" t="s">
        <v>222</v>
      </c>
      <c r="B15739" s="163"/>
      <c r="C15739" s="163"/>
      <c r="J15739" s="165"/>
      <c r="K15739" s="166"/>
      <c r="L15739" s="166"/>
    </row>
    <row r="15740">
      <c r="A15740" s="163" t="s">
        <v>222</v>
      </c>
      <c r="B15740" s="163"/>
      <c r="C15740" s="163"/>
      <c r="J15740" s="165"/>
      <c r="K15740" s="166"/>
      <c r="L15740" s="166"/>
    </row>
    <row r="15741">
      <c r="A15741" s="163" t="s">
        <v>222</v>
      </c>
      <c r="B15741" s="163"/>
      <c r="C15741" s="163"/>
      <c r="J15741" s="165"/>
      <c r="K15741" s="166"/>
      <c r="L15741" s="166"/>
    </row>
    <row r="15742">
      <c r="A15742" s="163" t="s">
        <v>222</v>
      </c>
      <c r="B15742" s="163"/>
      <c r="C15742" s="163"/>
      <c r="J15742" s="165"/>
      <c r="K15742" s="166"/>
      <c r="L15742" s="166"/>
    </row>
    <row r="15743">
      <c r="A15743" s="163" t="s">
        <v>222</v>
      </c>
      <c r="B15743" s="163"/>
      <c r="C15743" s="163"/>
      <c r="J15743" s="165"/>
      <c r="K15743" s="166"/>
      <c r="L15743" s="166"/>
    </row>
    <row r="15744">
      <c r="A15744" s="163" t="s">
        <v>222</v>
      </c>
      <c r="B15744" s="163"/>
      <c r="C15744" s="163"/>
      <c r="J15744" s="165"/>
      <c r="K15744" s="166"/>
      <c r="L15744" s="166"/>
    </row>
    <row r="15745">
      <c r="A15745" s="163" t="s">
        <v>222</v>
      </c>
      <c r="B15745" s="163"/>
      <c r="C15745" s="163"/>
      <c r="J15745" s="165"/>
      <c r="K15745" s="166"/>
      <c r="L15745" s="166"/>
    </row>
    <row r="15746">
      <c r="A15746" s="163" t="s">
        <v>222</v>
      </c>
      <c r="B15746" s="163"/>
      <c r="C15746" s="163"/>
      <c r="J15746" s="165"/>
      <c r="K15746" s="166"/>
      <c r="L15746" s="166"/>
    </row>
    <row r="15747">
      <c r="A15747" s="163" t="s">
        <v>222</v>
      </c>
      <c r="B15747" s="163"/>
      <c r="C15747" s="163"/>
      <c r="J15747" s="165"/>
      <c r="K15747" s="166"/>
      <c r="L15747" s="166"/>
    </row>
    <row r="15748">
      <c r="A15748" s="163" t="s">
        <v>222</v>
      </c>
      <c r="B15748" s="163"/>
      <c r="C15748" s="163"/>
      <c r="J15748" s="165"/>
      <c r="K15748" s="166"/>
      <c r="L15748" s="166"/>
    </row>
    <row r="15749">
      <c r="A15749" s="163" t="s">
        <v>222</v>
      </c>
      <c r="B15749" s="163"/>
      <c r="C15749" s="163"/>
      <c r="J15749" s="165"/>
      <c r="K15749" s="166"/>
      <c r="L15749" s="166"/>
    </row>
    <row r="15750">
      <c r="A15750" s="163" t="s">
        <v>222</v>
      </c>
      <c r="B15750" s="163"/>
      <c r="C15750" s="163"/>
      <c r="J15750" s="165"/>
      <c r="K15750" s="166"/>
      <c r="L15750" s="166"/>
    </row>
    <row r="15751">
      <c r="A15751" s="163" t="s">
        <v>222</v>
      </c>
      <c r="B15751" s="163"/>
      <c r="C15751" s="163"/>
      <c r="J15751" s="165"/>
      <c r="K15751" s="166"/>
      <c r="L15751" s="166"/>
    </row>
    <row r="15752">
      <c r="A15752" s="163" t="s">
        <v>222</v>
      </c>
      <c r="B15752" s="163"/>
      <c r="C15752" s="163"/>
      <c r="J15752" s="165"/>
      <c r="K15752" s="166"/>
      <c r="L15752" s="166"/>
    </row>
    <row r="15753">
      <c r="A15753" s="163" t="s">
        <v>222</v>
      </c>
      <c r="B15753" s="163"/>
      <c r="C15753" s="163"/>
      <c r="J15753" s="165"/>
      <c r="K15753" s="166"/>
      <c r="L15753" s="166"/>
    </row>
    <row r="15754">
      <c r="A15754" s="163" t="s">
        <v>222</v>
      </c>
      <c r="B15754" s="163"/>
      <c r="C15754" s="163"/>
      <c r="J15754" s="165"/>
      <c r="K15754" s="166"/>
      <c r="L15754" s="166"/>
    </row>
    <row r="15755">
      <c r="A15755" s="163" t="s">
        <v>222</v>
      </c>
      <c r="B15755" s="163"/>
      <c r="C15755" s="163"/>
      <c r="J15755" s="165"/>
      <c r="K15755" s="166"/>
      <c r="L15755" s="166"/>
    </row>
    <row r="15756">
      <c r="A15756" s="163" t="s">
        <v>222</v>
      </c>
      <c r="B15756" s="163"/>
      <c r="C15756" s="163"/>
      <c r="J15756" s="165"/>
      <c r="K15756" s="166"/>
      <c r="L15756" s="166"/>
    </row>
    <row r="15757">
      <c r="A15757" s="163" t="s">
        <v>222</v>
      </c>
      <c r="B15757" s="163"/>
      <c r="C15757" s="163"/>
      <c r="J15757" s="165"/>
      <c r="K15757" s="166"/>
      <c r="L15757" s="166"/>
    </row>
    <row r="15758">
      <c r="A15758" s="163" t="s">
        <v>222</v>
      </c>
      <c r="B15758" s="163"/>
      <c r="C15758" s="163"/>
      <c r="J15758" s="165"/>
      <c r="K15758" s="166"/>
      <c r="L15758" s="166"/>
    </row>
    <row r="15759">
      <c r="A15759" s="163" t="s">
        <v>222</v>
      </c>
      <c r="B15759" s="163"/>
      <c r="C15759" s="163"/>
      <c r="J15759" s="165"/>
      <c r="K15759" s="166"/>
      <c r="L15759" s="166"/>
    </row>
    <row r="15760">
      <c r="A15760" s="163" t="s">
        <v>222</v>
      </c>
      <c r="B15760" s="163"/>
      <c r="C15760" s="163"/>
      <c r="J15760" s="165"/>
      <c r="K15760" s="166"/>
      <c r="L15760" s="166"/>
    </row>
    <row r="15761">
      <c r="A15761" s="163" t="s">
        <v>222</v>
      </c>
      <c r="B15761" s="163"/>
      <c r="C15761" s="163"/>
      <c r="J15761" s="165"/>
      <c r="K15761" s="166"/>
      <c r="L15761" s="166"/>
    </row>
    <row r="15762">
      <c r="A15762" s="163" t="s">
        <v>222</v>
      </c>
      <c r="B15762" s="163"/>
      <c r="C15762" s="163"/>
      <c r="J15762" s="165"/>
      <c r="K15762" s="166"/>
      <c r="L15762" s="166"/>
    </row>
    <row r="15763">
      <c r="A15763" s="163" t="s">
        <v>222</v>
      </c>
      <c r="B15763" s="163"/>
      <c r="C15763" s="163"/>
      <c r="J15763" s="165"/>
      <c r="K15763" s="166"/>
      <c r="L15763" s="166"/>
    </row>
    <row r="15764">
      <c r="A15764" s="163" t="s">
        <v>222</v>
      </c>
      <c r="B15764" s="163"/>
      <c r="C15764" s="163"/>
      <c r="J15764" s="165"/>
      <c r="K15764" s="166"/>
      <c r="L15764" s="166"/>
    </row>
    <row r="15765">
      <c r="A15765" s="163" t="s">
        <v>222</v>
      </c>
      <c r="B15765" s="163"/>
      <c r="C15765" s="163"/>
      <c r="J15765" s="165"/>
      <c r="K15765" s="166"/>
      <c r="L15765" s="166"/>
    </row>
    <row r="15766">
      <c r="A15766" s="163" t="s">
        <v>222</v>
      </c>
      <c r="B15766" s="163"/>
      <c r="C15766" s="163"/>
      <c r="J15766" s="165"/>
      <c r="K15766" s="166"/>
      <c r="L15766" s="166"/>
    </row>
    <row r="15767">
      <c r="A15767" s="163" t="s">
        <v>222</v>
      </c>
      <c r="B15767" s="163"/>
      <c r="C15767" s="163"/>
      <c r="J15767" s="165"/>
      <c r="K15767" s="166"/>
      <c r="L15767" s="166"/>
    </row>
    <row r="15768">
      <c r="A15768" s="163" t="s">
        <v>222</v>
      </c>
      <c r="B15768" s="163"/>
      <c r="C15768" s="163"/>
      <c r="J15768" s="165"/>
      <c r="K15768" s="166"/>
      <c r="L15768" s="166"/>
    </row>
    <row r="15769">
      <c r="A15769" s="163" t="s">
        <v>222</v>
      </c>
      <c r="B15769" s="163"/>
      <c r="C15769" s="163"/>
      <c r="J15769" s="165"/>
      <c r="K15769" s="166"/>
      <c r="L15769" s="166"/>
    </row>
    <row r="15770">
      <c r="A15770" s="163" t="s">
        <v>222</v>
      </c>
      <c r="B15770" s="163"/>
      <c r="C15770" s="163"/>
      <c r="J15770" s="165"/>
      <c r="K15770" s="166"/>
      <c r="L15770" s="166"/>
    </row>
    <row r="15771">
      <c r="A15771" s="163" t="s">
        <v>222</v>
      </c>
      <c r="B15771" s="163"/>
      <c r="C15771" s="163"/>
      <c r="J15771" s="165"/>
      <c r="K15771" s="166"/>
      <c r="L15771" s="166"/>
    </row>
    <row r="15772">
      <c r="A15772" s="163" t="s">
        <v>222</v>
      </c>
      <c r="B15772" s="163"/>
      <c r="C15772" s="163"/>
      <c r="J15772" s="165"/>
      <c r="K15772" s="166"/>
      <c r="L15772" s="166"/>
    </row>
    <row r="15773">
      <c r="A15773" s="163" t="s">
        <v>222</v>
      </c>
      <c r="B15773" s="163"/>
      <c r="C15773" s="163"/>
      <c r="J15773" s="165"/>
      <c r="K15773" s="166"/>
      <c r="L15773" s="166"/>
    </row>
    <row r="15774">
      <c r="A15774" s="163" t="s">
        <v>222</v>
      </c>
      <c r="B15774" s="163"/>
      <c r="C15774" s="163"/>
      <c r="J15774" s="165"/>
      <c r="K15774" s="166"/>
      <c r="L15774" s="166"/>
    </row>
    <row r="15775">
      <c r="A15775" s="163" t="s">
        <v>222</v>
      </c>
      <c r="B15775" s="163"/>
      <c r="C15775" s="163"/>
      <c r="J15775" s="165"/>
      <c r="K15775" s="166"/>
      <c r="L15775" s="166"/>
    </row>
    <row r="15776">
      <c r="A15776" s="163" t="s">
        <v>222</v>
      </c>
      <c r="B15776" s="163"/>
      <c r="C15776" s="163"/>
      <c r="J15776" s="165"/>
      <c r="K15776" s="166"/>
      <c r="L15776" s="166"/>
    </row>
    <row r="15777">
      <c r="A15777" s="163" t="s">
        <v>222</v>
      </c>
      <c r="B15777" s="163"/>
      <c r="C15777" s="163"/>
      <c r="J15777" s="165"/>
      <c r="K15777" s="166"/>
      <c r="L15777" s="166"/>
    </row>
    <row r="15778">
      <c r="A15778" s="163" t="s">
        <v>222</v>
      </c>
      <c r="B15778" s="163"/>
      <c r="C15778" s="163"/>
      <c r="J15778" s="165"/>
      <c r="K15778" s="166"/>
      <c r="L15778" s="166"/>
    </row>
    <row r="15779">
      <c r="A15779" s="163" t="s">
        <v>222</v>
      </c>
      <c r="B15779" s="163"/>
      <c r="C15779" s="163"/>
      <c r="J15779" s="165"/>
      <c r="K15779" s="166"/>
      <c r="L15779" s="166"/>
    </row>
    <row r="15780">
      <c r="A15780" s="163" t="s">
        <v>222</v>
      </c>
      <c r="B15780" s="163"/>
      <c r="C15780" s="163"/>
      <c r="J15780" s="165"/>
      <c r="K15780" s="166"/>
      <c r="L15780" s="166"/>
    </row>
    <row r="15781">
      <c r="A15781" s="163" t="s">
        <v>222</v>
      </c>
      <c r="B15781" s="163"/>
      <c r="C15781" s="163"/>
      <c r="J15781" s="165"/>
      <c r="K15781" s="166"/>
      <c r="L15781" s="166"/>
    </row>
    <row r="15782">
      <c r="A15782" s="163" t="s">
        <v>222</v>
      </c>
      <c r="B15782" s="163"/>
      <c r="C15782" s="163"/>
      <c r="J15782" s="165"/>
      <c r="K15782" s="166"/>
      <c r="L15782" s="166"/>
    </row>
    <row r="15783">
      <c r="A15783" s="163" t="s">
        <v>222</v>
      </c>
      <c r="B15783" s="163"/>
      <c r="C15783" s="163"/>
      <c r="J15783" s="165"/>
      <c r="K15783" s="166"/>
      <c r="L15783" s="166"/>
    </row>
    <row r="15784">
      <c r="A15784" s="163" t="s">
        <v>222</v>
      </c>
      <c r="B15784" s="163"/>
      <c r="C15784" s="163"/>
      <c r="J15784" s="165"/>
      <c r="K15784" s="166"/>
      <c r="L15784" s="166"/>
    </row>
    <row r="15785">
      <c r="A15785" s="163" t="s">
        <v>222</v>
      </c>
      <c r="B15785" s="163"/>
      <c r="C15785" s="163"/>
      <c r="J15785" s="165"/>
      <c r="K15785" s="166"/>
      <c r="L15785" s="166"/>
    </row>
    <row r="15786">
      <c r="A15786" s="163" t="s">
        <v>222</v>
      </c>
      <c r="B15786" s="163"/>
      <c r="C15786" s="163"/>
      <c r="J15786" s="165"/>
      <c r="K15786" s="166"/>
      <c r="L15786" s="166"/>
    </row>
    <row r="15787">
      <c r="A15787" s="163" t="s">
        <v>222</v>
      </c>
      <c r="B15787" s="163"/>
      <c r="C15787" s="163"/>
      <c r="J15787" s="165"/>
      <c r="K15787" s="166"/>
      <c r="L15787" s="166"/>
    </row>
    <row r="15788">
      <c r="A15788" s="163" t="s">
        <v>222</v>
      </c>
      <c r="B15788" s="163"/>
      <c r="C15788" s="163"/>
      <c r="J15788" s="165"/>
      <c r="K15788" s="166"/>
      <c r="L15788" s="166"/>
    </row>
    <row r="15789">
      <c r="A15789" s="163" t="s">
        <v>222</v>
      </c>
      <c r="B15789" s="163"/>
      <c r="C15789" s="163"/>
      <c r="J15789" s="165"/>
      <c r="K15789" s="166"/>
      <c r="L15789" s="166"/>
    </row>
    <row r="15790">
      <c r="A15790" s="163" t="s">
        <v>222</v>
      </c>
      <c r="B15790" s="163"/>
      <c r="C15790" s="163"/>
      <c r="J15790" s="165"/>
      <c r="K15790" s="166"/>
      <c r="L15790" s="166"/>
    </row>
    <row r="15791">
      <c r="A15791" s="163" t="s">
        <v>222</v>
      </c>
      <c r="B15791" s="163"/>
      <c r="C15791" s="163"/>
      <c r="J15791" s="165"/>
      <c r="K15791" s="166"/>
      <c r="L15791" s="166"/>
    </row>
    <row r="15792">
      <c r="A15792" s="163" t="s">
        <v>222</v>
      </c>
      <c r="B15792" s="163"/>
      <c r="C15792" s="163"/>
      <c r="J15792" s="165"/>
      <c r="K15792" s="166"/>
      <c r="L15792" s="166"/>
    </row>
    <row r="15793">
      <c r="A15793" s="163" t="s">
        <v>222</v>
      </c>
      <c r="B15793" s="163"/>
      <c r="C15793" s="163"/>
      <c r="J15793" s="165"/>
      <c r="K15793" s="166"/>
      <c r="L15793" s="166"/>
    </row>
    <row r="15794">
      <c r="A15794" s="163" t="s">
        <v>222</v>
      </c>
      <c r="B15794" s="163"/>
      <c r="C15794" s="163"/>
      <c r="J15794" s="165"/>
      <c r="K15794" s="166"/>
      <c r="L15794" s="166"/>
    </row>
    <row r="15795">
      <c r="A15795" s="163" t="s">
        <v>222</v>
      </c>
      <c r="B15795" s="163"/>
      <c r="C15795" s="163"/>
      <c r="J15795" s="165"/>
      <c r="K15795" s="166"/>
      <c r="L15795" s="166"/>
    </row>
    <row r="15796">
      <c r="A15796" s="163" t="s">
        <v>222</v>
      </c>
      <c r="B15796" s="163"/>
      <c r="C15796" s="163"/>
      <c r="J15796" s="165"/>
      <c r="K15796" s="166"/>
      <c r="L15796" s="166"/>
    </row>
    <row r="15797">
      <c r="A15797" s="163" t="s">
        <v>222</v>
      </c>
      <c r="B15797" s="163"/>
      <c r="C15797" s="163"/>
      <c r="J15797" s="165"/>
      <c r="K15797" s="166"/>
      <c r="L15797" s="166"/>
    </row>
    <row r="15798">
      <c r="A15798" s="163" t="s">
        <v>222</v>
      </c>
      <c r="B15798" s="163"/>
      <c r="C15798" s="163"/>
      <c r="J15798" s="165"/>
      <c r="K15798" s="166"/>
      <c r="L15798" s="166"/>
    </row>
    <row r="15799">
      <c r="A15799" s="163" t="s">
        <v>222</v>
      </c>
      <c r="B15799" s="163"/>
      <c r="C15799" s="163"/>
      <c r="J15799" s="165"/>
      <c r="K15799" s="166"/>
      <c r="L15799" s="166"/>
    </row>
    <row r="15800">
      <c r="A15800" s="163" t="s">
        <v>222</v>
      </c>
      <c r="B15800" s="163"/>
      <c r="C15800" s="163"/>
      <c r="J15800" s="165"/>
      <c r="K15800" s="166"/>
      <c r="L15800" s="166"/>
    </row>
    <row r="15801">
      <c r="A15801" s="163" t="s">
        <v>222</v>
      </c>
      <c r="B15801" s="163"/>
      <c r="C15801" s="163"/>
      <c r="J15801" s="165"/>
      <c r="K15801" s="166"/>
      <c r="L15801" s="166"/>
    </row>
    <row r="15802">
      <c r="A15802" s="163" t="s">
        <v>222</v>
      </c>
      <c r="B15802" s="163"/>
      <c r="C15802" s="163"/>
      <c r="J15802" s="165"/>
      <c r="K15802" s="166"/>
      <c r="L15802" s="166"/>
    </row>
    <row r="15803">
      <c r="A15803" s="163" t="s">
        <v>222</v>
      </c>
      <c r="B15803" s="163"/>
      <c r="C15803" s="163"/>
      <c r="J15803" s="165"/>
      <c r="K15803" s="166"/>
      <c r="L15803" s="166"/>
    </row>
    <row r="15804">
      <c r="A15804" s="163" t="s">
        <v>222</v>
      </c>
      <c r="B15804" s="163"/>
      <c r="C15804" s="163"/>
      <c r="J15804" s="165"/>
      <c r="K15804" s="166"/>
      <c r="L15804" s="166"/>
    </row>
    <row r="15805">
      <c r="A15805" s="163" t="s">
        <v>222</v>
      </c>
      <c r="B15805" s="163"/>
      <c r="C15805" s="163"/>
      <c r="J15805" s="165"/>
      <c r="K15805" s="166"/>
      <c r="L15805" s="166"/>
    </row>
    <row r="15806">
      <c r="A15806" s="163" t="s">
        <v>222</v>
      </c>
      <c r="B15806" s="163"/>
      <c r="C15806" s="163"/>
      <c r="J15806" s="165"/>
      <c r="K15806" s="166"/>
      <c r="L15806" s="166"/>
    </row>
    <row r="15807">
      <c r="A15807" s="163" t="s">
        <v>222</v>
      </c>
      <c r="B15807" s="163"/>
      <c r="C15807" s="163"/>
      <c r="J15807" s="165"/>
      <c r="K15807" s="166"/>
      <c r="L15807" s="166"/>
    </row>
    <row r="15808">
      <c r="A15808" s="163" t="s">
        <v>222</v>
      </c>
      <c r="B15808" s="163"/>
      <c r="C15808" s="163"/>
      <c r="J15808" s="165"/>
      <c r="K15808" s="166"/>
      <c r="L15808" s="166"/>
    </row>
    <row r="15809">
      <c r="A15809" s="163" t="s">
        <v>222</v>
      </c>
      <c r="B15809" s="163"/>
      <c r="C15809" s="163"/>
      <c r="J15809" s="165"/>
      <c r="K15809" s="166"/>
      <c r="L15809" s="166"/>
    </row>
    <row r="15810">
      <c r="A15810" s="163" t="s">
        <v>222</v>
      </c>
      <c r="B15810" s="163"/>
      <c r="C15810" s="163"/>
      <c r="J15810" s="165"/>
      <c r="K15810" s="166"/>
      <c r="L15810" s="166"/>
    </row>
    <row r="15811">
      <c r="A15811" s="163" t="s">
        <v>222</v>
      </c>
      <c r="B15811" s="163"/>
      <c r="C15811" s="163"/>
      <c r="J15811" s="165"/>
      <c r="K15811" s="166"/>
      <c r="L15811" s="166"/>
    </row>
    <row r="15812">
      <c r="A15812" s="163" t="s">
        <v>222</v>
      </c>
      <c r="B15812" s="163"/>
      <c r="C15812" s="163"/>
      <c r="J15812" s="165"/>
      <c r="K15812" s="166"/>
      <c r="L15812" s="166"/>
    </row>
    <row r="15813">
      <c r="A15813" s="163" t="s">
        <v>222</v>
      </c>
      <c r="B15813" s="163"/>
      <c r="C15813" s="163"/>
      <c r="J15813" s="165"/>
      <c r="K15813" s="166"/>
      <c r="L15813" s="166"/>
    </row>
    <row r="15814">
      <c r="A15814" s="163" t="s">
        <v>222</v>
      </c>
      <c r="B15814" s="163"/>
      <c r="C15814" s="163"/>
      <c r="J15814" s="165"/>
      <c r="K15814" s="166"/>
      <c r="L15814" s="166"/>
    </row>
    <row r="15815">
      <c r="A15815" s="163" t="s">
        <v>222</v>
      </c>
      <c r="B15815" s="163"/>
      <c r="C15815" s="163"/>
      <c r="J15815" s="165"/>
      <c r="K15815" s="166"/>
      <c r="L15815" s="166"/>
    </row>
    <row r="15816">
      <c r="A15816" s="163" t="s">
        <v>222</v>
      </c>
      <c r="B15816" s="163"/>
      <c r="C15816" s="163"/>
      <c r="J15816" s="165"/>
      <c r="K15816" s="166"/>
      <c r="L15816" s="166"/>
    </row>
    <row r="15817">
      <c r="A15817" s="163" t="s">
        <v>222</v>
      </c>
      <c r="B15817" s="163"/>
      <c r="C15817" s="163"/>
      <c r="J15817" s="165"/>
      <c r="K15817" s="166"/>
      <c r="L15817" s="166"/>
    </row>
    <row r="15818">
      <c r="A15818" s="163" t="s">
        <v>222</v>
      </c>
      <c r="B15818" s="163"/>
      <c r="C15818" s="163"/>
      <c r="J15818" s="165"/>
      <c r="K15818" s="166"/>
      <c r="L15818" s="166"/>
    </row>
    <row r="15819">
      <c r="A15819" s="163" t="s">
        <v>222</v>
      </c>
      <c r="B15819" s="163"/>
      <c r="C15819" s="163"/>
      <c r="J15819" s="165"/>
      <c r="K15819" s="166"/>
      <c r="L15819" s="166"/>
    </row>
    <row r="15820">
      <c r="A15820" s="163" t="s">
        <v>222</v>
      </c>
      <c r="B15820" s="163"/>
      <c r="C15820" s="163"/>
      <c r="J15820" s="165"/>
      <c r="K15820" s="166"/>
      <c r="L15820" s="166"/>
    </row>
    <row r="15821">
      <c r="A15821" s="163" t="s">
        <v>222</v>
      </c>
      <c r="B15821" s="163"/>
      <c r="C15821" s="163"/>
      <c r="J15821" s="165"/>
      <c r="K15821" s="166"/>
      <c r="L15821" s="166"/>
    </row>
    <row r="15822">
      <c r="A15822" s="163" t="s">
        <v>222</v>
      </c>
      <c r="B15822" s="163"/>
      <c r="C15822" s="163"/>
      <c r="J15822" s="165"/>
      <c r="K15822" s="166"/>
      <c r="L15822" s="166"/>
    </row>
    <row r="15823">
      <c r="A15823" s="163" t="s">
        <v>222</v>
      </c>
      <c r="B15823" s="163"/>
      <c r="C15823" s="163"/>
      <c r="J15823" s="165"/>
      <c r="K15823" s="166"/>
      <c r="L15823" s="166"/>
    </row>
    <row r="15824">
      <c r="A15824" s="163" t="s">
        <v>222</v>
      </c>
      <c r="B15824" s="163"/>
      <c r="C15824" s="163"/>
      <c r="J15824" s="165"/>
      <c r="K15824" s="166"/>
      <c r="L15824" s="166"/>
    </row>
    <row r="15825">
      <c r="A15825" s="163" t="s">
        <v>222</v>
      </c>
      <c r="B15825" s="163"/>
      <c r="C15825" s="163"/>
      <c r="J15825" s="165"/>
      <c r="K15825" s="166"/>
      <c r="L15825" s="166"/>
    </row>
    <row r="15826">
      <c r="A15826" s="163" t="s">
        <v>222</v>
      </c>
      <c r="B15826" s="163"/>
      <c r="C15826" s="163"/>
      <c r="J15826" s="165"/>
      <c r="K15826" s="166"/>
      <c r="L15826" s="166"/>
    </row>
    <row r="15827">
      <c r="A15827" s="163" t="s">
        <v>222</v>
      </c>
      <c r="B15827" s="163"/>
      <c r="C15827" s="163"/>
      <c r="J15827" s="165"/>
      <c r="K15827" s="166"/>
      <c r="L15827" s="166"/>
    </row>
    <row r="15828">
      <c r="A15828" s="163" t="s">
        <v>222</v>
      </c>
      <c r="B15828" s="163"/>
      <c r="C15828" s="163"/>
      <c r="J15828" s="165"/>
      <c r="K15828" s="166"/>
      <c r="L15828" s="166"/>
    </row>
    <row r="15829">
      <c r="A15829" s="163" t="s">
        <v>222</v>
      </c>
      <c r="B15829" s="163"/>
      <c r="C15829" s="163"/>
      <c r="J15829" s="165"/>
      <c r="K15829" s="166"/>
      <c r="L15829" s="166"/>
    </row>
    <row r="15830">
      <c r="A15830" s="163" t="s">
        <v>222</v>
      </c>
      <c r="B15830" s="163"/>
      <c r="C15830" s="163"/>
      <c r="J15830" s="165"/>
      <c r="K15830" s="166"/>
      <c r="L15830" s="166"/>
    </row>
    <row r="15831">
      <c r="A15831" s="163" t="s">
        <v>222</v>
      </c>
      <c r="B15831" s="163"/>
      <c r="C15831" s="163"/>
      <c r="J15831" s="165"/>
      <c r="K15831" s="166"/>
      <c r="L15831" s="166"/>
    </row>
    <row r="15832">
      <c r="A15832" s="163" t="s">
        <v>222</v>
      </c>
      <c r="B15832" s="163"/>
      <c r="C15832" s="163"/>
      <c r="J15832" s="165"/>
      <c r="K15832" s="166"/>
      <c r="L15832" s="166"/>
    </row>
    <row r="15833">
      <c r="A15833" s="163" t="s">
        <v>222</v>
      </c>
      <c r="B15833" s="163"/>
      <c r="C15833" s="163"/>
      <c r="J15833" s="165"/>
      <c r="K15833" s="166"/>
      <c r="L15833" s="166"/>
    </row>
    <row r="15834">
      <c r="A15834" s="163" t="s">
        <v>222</v>
      </c>
      <c r="B15834" s="163"/>
      <c r="C15834" s="163"/>
      <c r="J15834" s="165"/>
      <c r="K15834" s="166"/>
      <c r="L15834" s="166"/>
    </row>
    <row r="15835">
      <c r="A15835" s="163" t="s">
        <v>222</v>
      </c>
      <c r="B15835" s="163"/>
      <c r="C15835" s="163"/>
      <c r="J15835" s="165"/>
      <c r="K15835" s="166"/>
      <c r="L15835" s="166"/>
    </row>
    <row r="15836">
      <c r="A15836" s="163" t="s">
        <v>222</v>
      </c>
      <c r="B15836" s="163"/>
      <c r="C15836" s="163"/>
      <c r="J15836" s="165"/>
      <c r="K15836" s="166"/>
      <c r="L15836" s="166"/>
    </row>
    <row r="15837">
      <c r="A15837" s="163" t="s">
        <v>222</v>
      </c>
      <c r="B15837" s="163"/>
      <c r="C15837" s="163"/>
      <c r="J15837" s="165"/>
      <c r="K15837" s="166"/>
      <c r="L15837" s="166"/>
    </row>
    <row r="15838">
      <c r="A15838" s="163" t="s">
        <v>222</v>
      </c>
      <c r="B15838" s="163"/>
      <c r="C15838" s="163"/>
      <c r="J15838" s="165"/>
      <c r="K15838" s="166"/>
      <c r="L15838" s="166"/>
    </row>
    <row r="15839">
      <c r="A15839" s="163" t="s">
        <v>222</v>
      </c>
      <c r="B15839" s="163"/>
      <c r="C15839" s="163"/>
      <c r="J15839" s="165"/>
      <c r="K15839" s="166"/>
      <c r="L15839" s="166"/>
    </row>
    <row r="15840">
      <c r="A15840" s="163" t="s">
        <v>222</v>
      </c>
      <c r="B15840" s="163"/>
      <c r="C15840" s="163"/>
      <c r="J15840" s="165"/>
      <c r="K15840" s="166"/>
      <c r="L15840" s="166"/>
    </row>
    <row r="15841">
      <c r="A15841" s="163" t="s">
        <v>222</v>
      </c>
      <c r="B15841" s="163"/>
      <c r="C15841" s="163"/>
      <c r="J15841" s="165"/>
      <c r="K15841" s="166"/>
      <c r="L15841" s="166"/>
    </row>
    <row r="15842">
      <c r="A15842" s="163" t="s">
        <v>222</v>
      </c>
      <c r="B15842" s="163"/>
      <c r="C15842" s="163"/>
      <c r="J15842" s="165"/>
      <c r="K15842" s="166"/>
      <c r="L15842" s="166"/>
    </row>
    <row r="15843">
      <c r="A15843" s="163" t="s">
        <v>222</v>
      </c>
      <c r="B15843" s="163"/>
      <c r="C15843" s="163"/>
      <c r="J15843" s="165"/>
      <c r="K15843" s="166"/>
      <c r="L15843" s="166"/>
    </row>
    <row r="15844">
      <c r="A15844" s="163" t="s">
        <v>222</v>
      </c>
      <c r="B15844" s="163"/>
      <c r="C15844" s="163"/>
      <c r="J15844" s="165"/>
      <c r="K15844" s="166"/>
      <c r="L15844" s="166"/>
    </row>
    <row r="15845">
      <c r="A15845" s="163" t="s">
        <v>222</v>
      </c>
      <c r="B15845" s="163"/>
      <c r="C15845" s="163"/>
      <c r="J15845" s="165"/>
      <c r="K15845" s="166"/>
      <c r="L15845" s="166"/>
    </row>
    <row r="15846">
      <c r="A15846" s="163" t="s">
        <v>222</v>
      </c>
      <c r="B15846" s="163"/>
      <c r="C15846" s="163"/>
      <c r="J15846" s="165"/>
      <c r="K15846" s="166"/>
      <c r="L15846" s="166"/>
    </row>
    <row r="15847">
      <c r="A15847" s="163" t="s">
        <v>222</v>
      </c>
      <c r="B15847" s="163"/>
      <c r="C15847" s="163"/>
      <c r="J15847" s="165"/>
      <c r="K15847" s="166"/>
      <c r="L15847" s="166"/>
    </row>
    <row r="15848">
      <c r="A15848" s="163" t="s">
        <v>222</v>
      </c>
      <c r="B15848" s="163"/>
      <c r="C15848" s="163"/>
      <c r="J15848" s="165"/>
      <c r="K15848" s="166"/>
      <c r="L15848" s="166"/>
    </row>
    <row r="15849">
      <c r="A15849" s="163" t="s">
        <v>222</v>
      </c>
      <c r="B15849" s="163"/>
      <c r="C15849" s="163"/>
      <c r="J15849" s="165"/>
      <c r="K15849" s="166"/>
      <c r="L15849" s="166"/>
    </row>
    <row r="15850">
      <c r="A15850" s="163" t="s">
        <v>222</v>
      </c>
      <c r="B15850" s="163"/>
      <c r="C15850" s="163"/>
      <c r="J15850" s="165"/>
      <c r="K15850" s="166"/>
      <c r="L15850" s="166"/>
    </row>
    <row r="15851">
      <c r="A15851" s="163" t="s">
        <v>222</v>
      </c>
      <c r="B15851" s="163"/>
      <c r="C15851" s="163"/>
      <c r="J15851" s="165"/>
      <c r="K15851" s="166"/>
      <c r="L15851" s="166"/>
    </row>
    <row r="15852">
      <c r="A15852" s="163" t="s">
        <v>222</v>
      </c>
      <c r="B15852" s="163"/>
      <c r="C15852" s="163"/>
      <c r="J15852" s="165"/>
      <c r="K15852" s="166"/>
      <c r="L15852" s="166"/>
    </row>
    <row r="15853">
      <c r="A15853" s="163" t="s">
        <v>222</v>
      </c>
      <c r="B15853" s="163"/>
      <c r="C15853" s="163"/>
      <c r="J15853" s="165"/>
      <c r="K15853" s="166"/>
      <c r="L15853" s="166"/>
    </row>
    <row r="15854">
      <c r="A15854" s="163" t="s">
        <v>222</v>
      </c>
      <c r="B15854" s="163"/>
      <c r="C15854" s="163"/>
      <c r="J15854" s="165"/>
      <c r="K15854" s="166"/>
      <c r="L15854" s="166"/>
    </row>
    <row r="15855">
      <c r="A15855" s="163" t="s">
        <v>222</v>
      </c>
      <c r="B15855" s="163"/>
      <c r="C15855" s="163"/>
      <c r="J15855" s="165"/>
      <c r="K15855" s="166"/>
      <c r="L15855" s="166"/>
    </row>
    <row r="15856">
      <c r="A15856" s="163" t="s">
        <v>222</v>
      </c>
      <c r="B15856" s="163"/>
      <c r="C15856" s="163"/>
      <c r="J15856" s="165"/>
      <c r="K15856" s="166"/>
      <c r="L15856" s="166"/>
    </row>
    <row r="15857">
      <c r="A15857" s="163" t="s">
        <v>222</v>
      </c>
      <c r="B15857" s="163"/>
      <c r="C15857" s="163"/>
      <c r="J15857" s="165"/>
      <c r="K15857" s="166"/>
      <c r="L15857" s="166"/>
    </row>
    <row r="15858">
      <c r="A15858" s="163" t="s">
        <v>222</v>
      </c>
      <c r="B15858" s="163"/>
      <c r="C15858" s="163"/>
      <c r="J15858" s="165"/>
      <c r="K15858" s="166"/>
      <c r="L15858" s="166"/>
    </row>
    <row r="15859">
      <c r="A15859" s="163" t="s">
        <v>222</v>
      </c>
      <c r="B15859" s="163"/>
      <c r="C15859" s="163"/>
      <c r="J15859" s="165"/>
      <c r="K15859" s="166"/>
      <c r="L15859" s="166"/>
    </row>
    <row r="15860">
      <c r="A15860" s="163" t="s">
        <v>222</v>
      </c>
      <c r="B15860" s="163"/>
      <c r="C15860" s="163"/>
      <c r="J15860" s="165"/>
      <c r="K15860" s="166"/>
      <c r="L15860" s="166"/>
    </row>
    <row r="15861">
      <c r="A15861" s="163" t="s">
        <v>222</v>
      </c>
      <c r="B15861" s="163"/>
      <c r="C15861" s="163"/>
      <c r="J15861" s="165"/>
      <c r="K15861" s="166"/>
      <c r="L15861" s="166"/>
    </row>
    <row r="15862">
      <c r="A15862" s="163" t="s">
        <v>222</v>
      </c>
      <c r="B15862" s="163"/>
      <c r="C15862" s="163"/>
      <c r="J15862" s="165"/>
      <c r="K15862" s="166"/>
      <c r="L15862" s="166"/>
    </row>
    <row r="15863">
      <c r="A15863" s="163" t="s">
        <v>222</v>
      </c>
      <c r="B15863" s="163"/>
      <c r="C15863" s="163"/>
      <c r="J15863" s="165"/>
      <c r="K15863" s="166"/>
      <c r="L15863" s="166"/>
    </row>
    <row r="15864">
      <c r="A15864" s="163" t="s">
        <v>222</v>
      </c>
      <c r="B15864" s="163"/>
      <c r="C15864" s="163"/>
      <c r="J15864" s="165"/>
      <c r="K15864" s="166"/>
      <c r="L15864" s="166"/>
    </row>
    <row r="15865">
      <c r="A15865" s="163" t="s">
        <v>222</v>
      </c>
      <c r="B15865" s="163"/>
      <c r="C15865" s="163"/>
      <c r="J15865" s="165"/>
      <c r="K15865" s="166"/>
      <c r="L15865" s="166"/>
    </row>
    <row r="15866">
      <c r="A15866" s="163" t="s">
        <v>222</v>
      </c>
      <c r="B15866" s="163"/>
      <c r="C15866" s="163"/>
      <c r="J15866" s="165"/>
      <c r="K15866" s="166"/>
      <c r="L15866" s="166"/>
    </row>
    <row r="15867">
      <c r="A15867" s="163" t="s">
        <v>222</v>
      </c>
      <c r="B15867" s="163"/>
      <c r="C15867" s="163"/>
      <c r="J15867" s="165"/>
      <c r="K15867" s="166"/>
      <c r="L15867" s="166"/>
    </row>
    <row r="15868">
      <c r="A15868" s="163" t="s">
        <v>222</v>
      </c>
      <c r="B15868" s="163"/>
      <c r="C15868" s="163"/>
      <c r="J15868" s="165"/>
      <c r="K15868" s="166"/>
      <c r="L15868" s="166"/>
    </row>
    <row r="15869">
      <c r="A15869" s="163" t="s">
        <v>222</v>
      </c>
      <c r="B15869" s="163"/>
      <c r="C15869" s="163"/>
      <c r="J15869" s="165"/>
      <c r="K15869" s="166"/>
      <c r="L15869" s="166"/>
    </row>
    <row r="15870">
      <c r="A15870" s="163" t="s">
        <v>222</v>
      </c>
      <c r="B15870" s="163"/>
      <c r="C15870" s="163"/>
      <c r="J15870" s="165"/>
      <c r="K15870" s="166"/>
      <c r="L15870" s="166"/>
    </row>
    <row r="15871">
      <c r="A15871" s="163" t="s">
        <v>222</v>
      </c>
      <c r="B15871" s="163"/>
      <c r="C15871" s="163"/>
      <c r="J15871" s="165"/>
      <c r="K15871" s="166"/>
      <c r="L15871" s="166"/>
    </row>
    <row r="15872">
      <c r="A15872" s="163" t="s">
        <v>222</v>
      </c>
      <c r="B15872" s="163"/>
      <c r="C15872" s="163"/>
      <c r="J15872" s="165"/>
      <c r="K15872" s="166"/>
      <c r="L15872" s="166"/>
    </row>
    <row r="15873">
      <c r="A15873" s="163" t="s">
        <v>222</v>
      </c>
      <c r="B15873" s="163"/>
      <c r="C15873" s="163"/>
      <c r="J15873" s="165"/>
      <c r="K15873" s="166"/>
      <c r="L15873" s="166"/>
    </row>
    <row r="15874">
      <c r="A15874" s="163" t="s">
        <v>222</v>
      </c>
      <c r="B15874" s="163"/>
      <c r="C15874" s="163"/>
      <c r="J15874" s="165"/>
      <c r="K15874" s="166"/>
      <c r="L15874" s="166"/>
    </row>
    <row r="15875">
      <c r="A15875" s="163" t="s">
        <v>222</v>
      </c>
      <c r="B15875" s="163"/>
      <c r="C15875" s="163"/>
      <c r="J15875" s="165"/>
      <c r="K15875" s="166"/>
      <c r="L15875" s="166"/>
    </row>
    <row r="15876">
      <c r="A15876" s="163" t="s">
        <v>222</v>
      </c>
      <c r="B15876" s="163"/>
      <c r="C15876" s="163"/>
      <c r="J15876" s="165"/>
      <c r="K15876" s="166"/>
      <c r="L15876" s="166"/>
    </row>
    <row r="15877">
      <c r="A15877" s="163" t="s">
        <v>222</v>
      </c>
      <c r="B15877" s="163"/>
      <c r="C15877" s="163"/>
      <c r="J15877" s="165"/>
      <c r="K15877" s="166"/>
      <c r="L15877" s="166"/>
    </row>
    <row r="15878">
      <c r="A15878" s="163" t="s">
        <v>222</v>
      </c>
      <c r="B15878" s="163"/>
      <c r="C15878" s="163"/>
      <c r="J15878" s="165"/>
      <c r="K15878" s="166"/>
      <c r="L15878" s="166"/>
    </row>
    <row r="15879">
      <c r="A15879" s="163" t="s">
        <v>222</v>
      </c>
      <c r="B15879" s="163"/>
      <c r="C15879" s="163"/>
      <c r="J15879" s="165"/>
      <c r="K15879" s="166"/>
      <c r="L15879" s="166"/>
    </row>
    <row r="15880">
      <c r="A15880" s="163" t="s">
        <v>222</v>
      </c>
      <c r="B15880" s="163"/>
      <c r="C15880" s="163"/>
      <c r="J15880" s="165"/>
      <c r="K15880" s="166"/>
      <c r="L15880" s="166"/>
    </row>
    <row r="15881">
      <c r="A15881" s="163" t="s">
        <v>222</v>
      </c>
      <c r="B15881" s="163"/>
      <c r="C15881" s="163"/>
      <c r="J15881" s="165"/>
      <c r="K15881" s="166"/>
      <c r="L15881" s="166"/>
    </row>
    <row r="15882">
      <c r="A15882" s="163" t="s">
        <v>222</v>
      </c>
      <c r="B15882" s="163"/>
      <c r="C15882" s="163"/>
      <c r="J15882" s="165"/>
      <c r="K15882" s="166"/>
      <c r="L15882" s="166"/>
    </row>
    <row r="15883">
      <c r="A15883" s="163" t="s">
        <v>222</v>
      </c>
      <c r="B15883" s="163"/>
      <c r="C15883" s="163"/>
      <c r="J15883" s="165"/>
      <c r="K15883" s="166"/>
      <c r="L15883" s="166"/>
    </row>
    <row r="15884">
      <c r="A15884" s="163" t="s">
        <v>222</v>
      </c>
      <c r="B15884" s="163"/>
      <c r="C15884" s="163"/>
      <c r="J15884" s="165"/>
      <c r="K15884" s="166"/>
      <c r="L15884" s="166"/>
    </row>
    <row r="15885">
      <c r="A15885" s="163" t="s">
        <v>222</v>
      </c>
      <c r="B15885" s="163"/>
      <c r="C15885" s="163"/>
      <c r="J15885" s="165"/>
      <c r="K15885" s="166"/>
      <c r="L15885" s="166"/>
    </row>
    <row r="15886">
      <c r="A15886" s="163" t="s">
        <v>222</v>
      </c>
      <c r="B15886" s="163"/>
      <c r="C15886" s="163"/>
      <c r="J15886" s="165"/>
      <c r="K15886" s="166"/>
      <c r="L15886" s="166"/>
    </row>
    <row r="15887">
      <c r="A15887" s="163" t="s">
        <v>222</v>
      </c>
      <c r="B15887" s="163"/>
      <c r="C15887" s="163"/>
      <c r="J15887" s="165"/>
      <c r="K15887" s="166"/>
      <c r="L15887" s="166"/>
    </row>
    <row r="15888">
      <c r="A15888" s="163" t="s">
        <v>222</v>
      </c>
      <c r="B15888" s="163"/>
      <c r="C15888" s="163"/>
      <c r="J15888" s="165"/>
      <c r="K15888" s="166"/>
      <c r="L15888" s="166"/>
    </row>
    <row r="15889">
      <c r="A15889" s="163" t="s">
        <v>222</v>
      </c>
      <c r="B15889" s="163"/>
      <c r="C15889" s="163"/>
      <c r="J15889" s="165"/>
      <c r="K15889" s="166"/>
      <c r="L15889" s="166"/>
    </row>
    <row r="15890">
      <c r="A15890" s="163" t="s">
        <v>222</v>
      </c>
      <c r="B15890" s="163"/>
      <c r="C15890" s="163"/>
      <c r="J15890" s="165"/>
      <c r="K15890" s="166"/>
      <c r="L15890" s="166"/>
    </row>
    <row r="15891">
      <c r="A15891" s="163" t="s">
        <v>222</v>
      </c>
      <c r="B15891" s="163"/>
      <c r="C15891" s="163"/>
      <c r="J15891" s="165"/>
      <c r="K15891" s="166"/>
      <c r="L15891" s="166"/>
    </row>
    <row r="15892">
      <c r="A15892" s="163" t="s">
        <v>222</v>
      </c>
      <c r="B15892" s="163"/>
      <c r="C15892" s="163"/>
      <c r="J15892" s="165"/>
      <c r="K15892" s="166"/>
      <c r="L15892" s="166"/>
    </row>
    <row r="15893">
      <c r="A15893" s="163" t="s">
        <v>222</v>
      </c>
      <c r="B15893" s="163"/>
      <c r="C15893" s="163"/>
      <c r="J15893" s="165"/>
      <c r="K15893" s="166"/>
      <c r="L15893" s="166"/>
    </row>
    <row r="15894">
      <c r="A15894" s="163" t="s">
        <v>222</v>
      </c>
      <c r="B15894" s="163"/>
      <c r="C15894" s="163"/>
      <c r="J15894" s="165"/>
      <c r="K15894" s="166"/>
      <c r="L15894" s="166"/>
    </row>
    <row r="15895">
      <c r="A15895" s="163" t="s">
        <v>222</v>
      </c>
      <c r="B15895" s="163"/>
      <c r="C15895" s="163"/>
      <c r="J15895" s="165"/>
      <c r="K15895" s="166"/>
      <c r="L15895" s="166"/>
    </row>
    <row r="15896">
      <c r="A15896" s="163" t="s">
        <v>222</v>
      </c>
      <c r="B15896" s="163"/>
      <c r="C15896" s="163"/>
      <c r="J15896" s="165"/>
      <c r="K15896" s="166"/>
      <c r="L15896" s="166"/>
    </row>
    <row r="15897">
      <c r="A15897" s="163" t="s">
        <v>222</v>
      </c>
      <c r="B15897" s="163"/>
      <c r="C15897" s="163"/>
      <c r="J15897" s="165"/>
      <c r="K15897" s="166"/>
      <c r="L15897" s="166"/>
    </row>
    <row r="15898">
      <c r="A15898" s="163" t="s">
        <v>222</v>
      </c>
      <c r="B15898" s="163"/>
      <c r="C15898" s="163"/>
      <c r="J15898" s="165"/>
      <c r="K15898" s="166"/>
      <c r="L15898" s="166"/>
    </row>
    <row r="15899">
      <c r="A15899" s="163" t="s">
        <v>222</v>
      </c>
      <c r="B15899" s="163"/>
      <c r="C15899" s="163"/>
      <c r="J15899" s="165"/>
      <c r="K15899" s="166"/>
      <c r="L15899" s="166"/>
    </row>
    <row r="15900">
      <c r="A15900" s="163" t="s">
        <v>222</v>
      </c>
      <c r="B15900" s="163"/>
      <c r="C15900" s="163"/>
      <c r="J15900" s="165"/>
      <c r="K15900" s="166"/>
      <c r="L15900" s="166"/>
    </row>
    <row r="15901">
      <c r="A15901" s="163" t="s">
        <v>222</v>
      </c>
      <c r="B15901" s="163"/>
      <c r="C15901" s="163"/>
      <c r="J15901" s="165"/>
      <c r="K15901" s="166"/>
      <c r="L15901" s="166"/>
    </row>
    <row r="15902">
      <c r="A15902" s="163" t="s">
        <v>222</v>
      </c>
      <c r="B15902" s="163"/>
      <c r="C15902" s="163"/>
      <c r="J15902" s="165"/>
      <c r="K15902" s="166"/>
      <c r="L15902" s="166"/>
    </row>
    <row r="15903">
      <c r="A15903" s="163" t="s">
        <v>222</v>
      </c>
      <c r="B15903" s="163"/>
      <c r="C15903" s="163"/>
      <c r="J15903" s="165"/>
      <c r="K15903" s="166"/>
      <c r="L15903" s="166"/>
    </row>
    <row r="15904">
      <c r="A15904" s="163" t="s">
        <v>222</v>
      </c>
      <c r="B15904" s="163"/>
      <c r="C15904" s="163"/>
      <c r="J15904" s="165"/>
      <c r="K15904" s="166"/>
      <c r="L15904" s="166"/>
    </row>
    <row r="15905">
      <c r="A15905" s="163" t="s">
        <v>222</v>
      </c>
      <c r="B15905" s="163"/>
      <c r="C15905" s="163"/>
      <c r="J15905" s="165"/>
      <c r="K15905" s="166"/>
      <c r="L15905" s="166"/>
    </row>
    <row r="15906">
      <c r="A15906" s="163" t="s">
        <v>222</v>
      </c>
      <c r="B15906" s="163"/>
      <c r="C15906" s="163"/>
      <c r="J15906" s="165"/>
      <c r="K15906" s="166"/>
      <c r="L15906" s="166"/>
    </row>
    <row r="15907">
      <c r="A15907" s="163" t="s">
        <v>222</v>
      </c>
      <c r="B15907" s="163"/>
      <c r="C15907" s="163"/>
      <c r="J15907" s="165"/>
      <c r="K15907" s="166"/>
      <c r="L15907" s="166"/>
    </row>
    <row r="15908">
      <c r="A15908" s="163" t="s">
        <v>222</v>
      </c>
      <c r="B15908" s="163"/>
      <c r="C15908" s="163"/>
      <c r="J15908" s="165"/>
      <c r="K15908" s="166"/>
      <c r="L15908" s="166"/>
    </row>
    <row r="15909">
      <c r="A15909" s="163" t="s">
        <v>222</v>
      </c>
      <c r="B15909" s="163"/>
      <c r="C15909" s="163"/>
      <c r="J15909" s="165"/>
      <c r="K15909" s="166"/>
      <c r="L15909" s="166"/>
    </row>
    <row r="15910">
      <c r="A15910" s="163" t="s">
        <v>222</v>
      </c>
      <c r="B15910" s="163"/>
      <c r="C15910" s="163"/>
      <c r="J15910" s="165"/>
      <c r="K15910" s="166"/>
      <c r="L15910" s="166"/>
    </row>
    <row r="15911">
      <c r="A15911" s="163" t="s">
        <v>222</v>
      </c>
      <c r="B15911" s="163"/>
      <c r="C15911" s="163"/>
      <c r="J15911" s="165"/>
      <c r="K15911" s="166"/>
      <c r="L15911" s="166"/>
    </row>
    <row r="15912">
      <c r="A15912" s="163" t="s">
        <v>222</v>
      </c>
      <c r="B15912" s="163"/>
      <c r="C15912" s="163"/>
      <c r="J15912" s="165"/>
      <c r="K15912" s="166"/>
      <c r="L15912" s="166"/>
    </row>
    <row r="15913">
      <c r="A15913" s="163" t="s">
        <v>222</v>
      </c>
      <c r="B15913" s="163"/>
      <c r="C15913" s="163"/>
      <c r="J15913" s="165"/>
      <c r="K15913" s="166"/>
      <c r="L15913" s="166"/>
    </row>
    <row r="15914">
      <c r="A15914" s="163" t="s">
        <v>222</v>
      </c>
      <c r="B15914" s="163"/>
      <c r="C15914" s="163"/>
      <c r="J15914" s="165"/>
      <c r="K15914" s="166"/>
      <c r="L15914" s="166"/>
    </row>
    <row r="15915">
      <c r="A15915" s="163" t="s">
        <v>222</v>
      </c>
      <c r="B15915" s="163"/>
      <c r="C15915" s="163"/>
      <c r="J15915" s="165"/>
      <c r="K15915" s="166"/>
      <c r="L15915" s="166"/>
    </row>
    <row r="15916">
      <c r="A15916" s="163" t="s">
        <v>222</v>
      </c>
      <c r="B15916" s="163"/>
      <c r="C15916" s="163"/>
      <c r="J15916" s="165"/>
      <c r="K15916" s="166"/>
      <c r="L15916" s="166"/>
    </row>
    <row r="15917">
      <c r="A15917" s="163" t="s">
        <v>222</v>
      </c>
      <c r="B15917" s="163"/>
      <c r="C15917" s="163"/>
      <c r="J15917" s="165"/>
      <c r="K15917" s="166"/>
      <c r="L15917" s="166"/>
    </row>
    <row r="15918">
      <c r="A15918" s="163" t="s">
        <v>222</v>
      </c>
      <c r="B15918" s="163"/>
      <c r="C15918" s="163"/>
      <c r="J15918" s="165"/>
      <c r="K15918" s="166"/>
      <c r="L15918" s="166"/>
    </row>
    <row r="15919">
      <c r="A15919" s="163" t="s">
        <v>222</v>
      </c>
      <c r="B15919" s="163"/>
      <c r="C15919" s="163"/>
      <c r="J15919" s="165"/>
      <c r="K15919" s="166"/>
      <c r="L15919" s="166"/>
    </row>
    <row r="15920">
      <c r="A15920" s="163" t="s">
        <v>222</v>
      </c>
      <c r="B15920" s="163"/>
      <c r="C15920" s="163"/>
      <c r="J15920" s="165"/>
      <c r="K15920" s="166"/>
      <c r="L15920" s="166"/>
    </row>
    <row r="15921">
      <c r="A15921" s="163" t="s">
        <v>222</v>
      </c>
      <c r="B15921" s="163"/>
      <c r="C15921" s="163"/>
      <c r="J15921" s="165"/>
      <c r="K15921" s="166"/>
      <c r="L15921" s="166"/>
    </row>
    <row r="15922">
      <c r="A15922" s="163" t="s">
        <v>222</v>
      </c>
      <c r="B15922" s="163"/>
      <c r="C15922" s="163"/>
      <c r="J15922" s="165"/>
      <c r="K15922" s="166"/>
      <c r="L15922" s="166"/>
    </row>
    <row r="15923">
      <c r="A15923" s="163" t="s">
        <v>222</v>
      </c>
      <c r="B15923" s="163"/>
      <c r="C15923" s="163"/>
      <c r="J15923" s="165"/>
      <c r="K15923" s="166"/>
      <c r="L15923" s="166"/>
    </row>
    <row r="15924">
      <c r="A15924" s="163" t="s">
        <v>222</v>
      </c>
      <c r="B15924" s="163"/>
      <c r="C15924" s="163"/>
      <c r="J15924" s="165"/>
      <c r="K15924" s="166"/>
      <c r="L15924" s="166"/>
    </row>
    <row r="15925">
      <c r="A15925" s="163" t="s">
        <v>222</v>
      </c>
      <c r="B15925" s="163"/>
      <c r="C15925" s="163"/>
      <c r="J15925" s="165"/>
      <c r="K15925" s="166"/>
      <c r="L15925" s="166"/>
    </row>
    <row r="15926">
      <c r="A15926" s="163" t="s">
        <v>222</v>
      </c>
      <c r="B15926" s="163"/>
      <c r="C15926" s="163"/>
      <c r="J15926" s="165"/>
      <c r="K15926" s="166"/>
      <c r="L15926" s="166"/>
    </row>
    <row r="15927">
      <c r="A15927" s="163" t="s">
        <v>222</v>
      </c>
      <c r="B15927" s="163"/>
      <c r="C15927" s="163"/>
      <c r="J15927" s="165"/>
      <c r="K15927" s="166"/>
      <c r="L15927" s="166"/>
    </row>
    <row r="15928">
      <c r="A15928" s="163" t="s">
        <v>222</v>
      </c>
      <c r="B15928" s="163"/>
      <c r="C15928" s="163"/>
      <c r="J15928" s="165"/>
      <c r="K15928" s="166"/>
      <c r="L15928" s="166"/>
    </row>
    <row r="15929">
      <c r="A15929" s="163" t="s">
        <v>222</v>
      </c>
      <c r="B15929" s="163"/>
      <c r="C15929" s="163"/>
      <c r="J15929" s="165"/>
      <c r="K15929" s="166"/>
      <c r="L15929" s="166"/>
    </row>
    <row r="15930">
      <c r="A15930" s="163" t="s">
        <v>222</v>
      </c>
      <c r="B15930" s="163"/>
      <c r="C15930" s="163"/>
      <c r="J15930" s="165"/>
      <c r="K15930" s="166"/>
      <c r="L15930" s="166"/>
    </row>
    <row r="15931">
      <c r="A15931" s="163" t="s">
        <v>222</v>
      </c>
      <c r="B15931" s="163"/>
      <c r="C15931" s="163"/>
      <c r="J15931" s="165"/>
      <c r="K15931" s="166"/>
      <c r="L15931" s="166"/>
    </row>
    <row r="15932">
      <c r="A15932" s="163" t="s">
        <v>222</v>
      </c>
      <c r="B15932" s="163"/>
      <c r="C15932" s="163"/>
      <c r="J15932" s="165"/>
      <c r="K15932" s="166"/>
      <c r="L15932" s="166"/>
    </row>
    <row r="15933">
      <c r="A15933" s="163" t="s">
        <v>222</v>
      </c>
      <c r="B15933" s="163"/>
      <c r="C15933" s="163"/>
      <c r="J15933" s="165"/>
      <c r="K15933" s="166"/>
      <c r="L15933" s="166"/>
    </row>
    <row r="15934">
      <c r="A15934" s="163" t="s">
        <v>222</v>
      </c>
      <c r="B15934" s="163"/>
      <c r="C15934" s="163"/>
      <c r="J15934" s="165"/>
      <c r="K15934" s="166"/>
      <c r="L15934" s="166"/>
    </row>
    <row r="15935">
      <c r="A15935" s="163" t="s">
        <v>222</v>
      </c>
      <c r="B15935" s="163"/>
      <c r="C15935" s="163"/>
      <c r="J15935" s="165"/>
      <c r="K15935" s="166"/>
      <c r="L15935" s="166"/>
    </row>
    <row r="15936">
      <c r="A15936" s="163" t="s">
        <v>222</v>
      </c>
      <c r="B15936" s="163"/>
      <c r="C15936" s="163"/>
      <c r="J15936" s="165"/>
      <c r="K15936" s="166"/>
      <c r="L15936" s="166"/>
    </row>
    <row r="15937">
      <c r="A15937" s="163" t="s">
        <v>222</v>
      </c>
      <c r="B15937" s="163"/>
      <c r="C15937" s="163"/>
      <c r="J15937" s="165"/>
      <c r="K15937" s="166"/>
      <c r="L15937" s="166"/>
    </row>
    <row r="15938">
      <c r="A15938" s="163" t="s">
        <v>222</v>
      </c>
      <c r="B15938" s="163"/>
      <c r="C15938" s="163"/>
      <c r="J15938" s="165"/>
      <c r="K15938" s="166"/>
      <c r="L15938" s="166"/>
    </row>
    <row r="15939">
      <c r="A15939" s="163" t="s">
        <v>222</v>
      </c>
      <c r="B15939" s="163"/>
      <c r="C15939" s="163"/>
      <c r="J15939" s="165"/>
      <c r="K15939" s="166"/>
      <c r="L15939" s="166"/>
    </row>
    <row r="15940">
      <c r="A15940" s="163" t="s">
        <v>222</v>
      </c>
      <c r="B15940" s="163"/>
      <c r="C15940" s="163"/>
      <c r="J15940" s="165"/>
      <c r="K15940" s="166"/>
      <c r="L15940" s="166"/>
    </row>
    <row r="15941">
      <c r="A15941" s="163" t="s">
        <v>222</v>
      </c>
      <c r="B15941" s="163"/>
      <c r="C15941" s="163"/>
      <c r="J15941" s="165"/>
      <c r="K15941" s="166"/>
      <c r="L15941" s="166"/>
    </row>
    <row r="15942">
      <c r="A15942" s="163" t="s">
        <v>222</v>
      </c>
      <c r="B15942" s="163"/>
      <c r="C15942" s="163"/>
      <c r="J15942" s="165"/>
      <c r="K15942" s="166"/>
      <c r="L15942" s="166"/>
    </row>
    <row r="15943">
      <c r="A15943" s="163" t="s">
        <v>222</v>
      </c>
      <c r="B15943" s="163"/>
      <c r="C15943" s="163"/>
      <c r="J15943" s="165"/>
      <c r="K15943" s="166"/>
      <c r="L15943" s="166"/>
    </row>
    <row r="15944">
      <c r="A15944" s="163" t="s">
        <v>222</v>
      </c>
      <c r="B15944" s="163"/>
      <c r="C15944" s="163"/>
      <c r="J15944" s="165"/>
      <c r="K15944" s="166"/>
      <c r="L15944" s="166"/>
    </row>
    <row r="15945">
      <c r="A15945" s="163" t="s">
        <v>222</v>
      </c>
      <c r="B15945" s="163"/>
      <c r="C15945" s="163"/>
      <c r="J15945" s="165"/>
      <c r="K15945" s="166"/>
      <c r="L15945" s="166"/>
    </row>
    <row r="15946">
      <c r="A15946" s="163" t="s">
        <v>222</v>
      </c>
      <c r="B15946" s="163"/>
      <c r="C15946" s="163"/>
      <c r="J15946" s="165"/>
      <c r="K15946" s="166"/>
      <c r="L15946" s="166"/>
    </row>
    <row r="15947">
      <c r="A15947" s="163" t="s">
        <v>222</v>
      </c>
      <c r="B15947" s="163"/>
      <c r="C15947" s="163"/>
      <c r="J15947" s="165"/>
      <c r="K15947" s="166"/>
      <c r="L15947" s="166"/>
    </row>
    <row r="15948">
      <c r="A15948" s="163" t="s">
        <v>222</v>
      </c>
      <c r="B15948" s="163"/>
      <c r="C15948" s="163"/>
      <c r="J15948" s="165"/>
      <c r="K15948" s="166"/>
      <c r="L15948" s="166"/>
    </row>
    <row r="15949">
      <c r="A15949" s="163" t="s">
        <v>222</v>
      </c>
      <c r="B15949" s="163"/>
      <c r="C15949" s="163"/>
      <c r="J15949" s="165"/>
      <c r="K15949" s="166"/>
      <c r="L15949" s="166"/>
    </row>
    <row r="15950">
      <c r="A15950" s="163" t="s">
        <v>222</v>
      </c>
      <c r="B15950" s="163"/>
      <c r="C15950" s="163"/>
      <c r="J15950" s="165"/>
      <c r="K15950" s="166"/>
      <c r="L15950" s="166"/>
    </row>
    <row r="15951">
      <c r="A15951" s="163" t="s">
        <v>222</v>
      </c>
      <c r="B15951" s="163"/>
      <c r="C15951" s="163"/>
      <c r="J15951" s="165"/>
      <c r="K15951" s="166"/>
      <c r="L15951" s="166"/>
    </row>
    <row r="15952">
      <c r="A15952" s="163" t="s">
        <v>222</v>
      </c>
      <c r="B15952" s="163"/>
      <c r="C15952" s="163"/>
      <c r="J15952" s="165"/>
      <c r="K15952" s="166"/>
      <c r="L15952" s="166"/>
    </row>
    <row r="15953">
      <c r="A15953" s="163" t="s">
        <v>222</v>
      </c>
      <c r="B15953" s="163"/>
      <c r="C15953" s="163"/>
      <c r="J15953" s="165"/>
      <c r="K15953" s="166"/>
      <c r="L15953" s="166"/>
    </row>
    <row r="15954">
      <c r="A15954" s="163" t="s">
        <v>222</v>
      </c>
      <c r="B15954" s="163"/>
      <c r="C15954" s="163"/>
      <c r="J15954" s="165"/>
      <c r="K15954" s="166"/>
      <c r="L15954" s="166"/>
    </row>
    <row r="15955">
      <c r="A15955" s="163" t="s">
        <v>222</v>
      </c>
      <c r="B15955" s="163"/>
      <c r="C15955" s="163"/>
      <c r="J15955" s="165"/>
      <c r="K15955" s="166"/>
      <c r="L15955" s="166"/>
    </row>
    <row r="15956">
      <c r="A15956" s="163" t="s">
        <v>222</v>
      </c>
      <c r="B15956" s="163"/>
      <c r="C15956" s="163"/>
      <c r="J15956" s="165"/>
      <c r="K15956" s="166"/>
      <c r="L15956" s="166"/>
    </row>
    <row r="15957">
      <c r="A15957" s="163" t="s">
        <v>222</v>
      </c>
      <c r="B15957" s="163"/>
      <c r="C15957" s="163"/>
      <c r="J15957" s="165"/>
      <c r="K15957" s="166"/>
      <c r="L15957" s="166"/>
    </row>
    <row r="15958">
      <c r="A15958" s="163" t="s">
        <v>222</v>
      </c>
      <c r="B15958" s="163"/>
      <c r="C15958" s="163"/>
      <c r="J15958" s="165"/>
      <c r="K15958" s="166"/>
      <c r="L15958" s="166"/>
    </row>
    <row r="15959">
      <c r="A15959" s="163" t="s">
        <v>222</v>
      </c>
      <c r="B15959" s="163"/>
      <c r="C15959" s="163"/>
      <c r="J15959" s="165"/>
      <c r="K15959" s="166"/>
      <c r="L15959" s="166"/>
    </row>
    <row r="15960">
      <c r="A15960" s="163" t="s">
        <v>222</v>
      </c>
      <c r="B15960" s="163"/>
      <c r="C15960" s="163"/>
      <c r="J15960" s="165"/>
      <c r="K15960" s="166"/>
      <c r="L15960" s="166"/>
    </row>
    <row r="15961">
      <c r="A15961" s="163" t="s">
        <v>222</v>
      </c>
      <c r="B15961" s="163"/>
      <c r="C15961" s="163"/>
      <c r="J15961" s="165"/>
      <c r="K15961" s="166"/>
      <c r="L15961" s="166"/>
    </row>
    <row r="15962">
      <c r="A15962" s="163" t="s">
        <v>222</v>
      </c>
      <c r="B15962" s="163"/>
      <c r="C15962" s="163"/>
      <c r="J15962" s="165"/>
      <c r="K15962" s="166"/>
      <c r="L15962" s="166"/>
    </row>
    <row r="15963">
      <c r="A15963" s="163" t="s">
        <v>222</v>
      </c>
      <c r="B15963" s="163"/>
      <c r="C15963" s="163"/>
      <c r="J15963" s="165"/>
      <c r="K15963" s="166"/>
      <c r="L15963" s="166"/>
    </row>
    <row r="15964">
      <c r="A15964" s="163" t="s">
        <v>222</v>
      </c>
      <c r="B15964" s="163"/>
      <c r="C15964" s="163"/>
      <c r="J15964" s="165"/>
      <c r="K15964" s="166"/>
      <c r="L15964" s="166"/>
    </row>
    <row r="15965">
      <c r="A15965" s="163" t="s">
        <v>222</v>
      </c>
      <c r="B15965" s="163"/>
      <c r="C15965" s="163"/>
      <c r="J15965" s="165"/>
      <c r="K15965" s="166"/>
      <c r="L15965" s="166"/>
    </row>
    <row r="15966">
      <c r="A15966" s="163" t="s">
        <v>222</v>
      </c>
      <c r="B15966" s="163"/>
      <c r="C15966" s="163"/>
      <c r="J15966" s="165"/>
      <c r="K15966" s="166"/>
      <c r="L15966" s="166"/>
    </row>
    <row r="15967">
      <c r="A15967" s="163" t="s">
        <v>222</v>
      </c>
      <c r="B15967" s="163"/>
      <c r="C15967" s="163"/>
      <c r="J15967" s="165"/>
      <c r="K15967" s="166"/>
      <c r="L15967" s="166"/>
    </row>
    <row r="15968">
      <c r="A15968" s="163" t="s">
        <v>222</v>
      </c>
      <c r="B15968" s="163"/>
      <c r="C15968" s="163"/>
      <c r="J15968" s="165"/>
      <c r="K15968" s="166"/>
      <c r="L15968" s="166"/>
    </row>
    <row r="15969">
      <c r="A15969" s="163" t="s">
        <v>222</v>
      </c>
      <c r="B15969" s="163"/>
      <c r="C15969" s="163"/>
      <c r="J15969" s="165"/>
      <c r="K15969" s="166"/>
      <c r="L15969" s="166"/>
    </row>
    <row r="15970">
      <c r="A15970" s="163" t="s">
        <v>222</v>
      </c>
      <c r="B15970" s="163"/>
      <c r="C15970" s="163"/>
      <c r="J15970" s="165"/>
      <c r="K15970" s="166"/>
      <c r="L15970" s="166"/>
    </row>
    <row r="15971">
      <c r="A15971" s="163" t="s">
        <v>222</v>
      </c>
      <c r="B15971" s="163"/>
      <c r="C15971" s="163"/>
      <c r="J15971" s="165"/>
      <c r="K15971" s="166"/>
      <c r="L15971" s="166"/>
    </row>
    <row r="15972">
      <c r="A15972" s="163" t="s">
        <v>222</v>
      </c>
      <c r="B15972" s="163"/>
      <c r="C15972" s="163"/>
      <c r="J15972" s="165"/>
      <c r="K15972" s="166"/>
      <c r="L15972" s="166"/>
    </row>
    <row r="15973">
      <c r="A15973" s="163" t="s">
        <v>222</v>
      </c>
      <c r="B15973" s="163"/>
      <c r="C15973" s="163"/>
      <c r="J15973" s="165"/>
      <c r="K15973" s="166"/>
      <c r="L15973" s="166"/>
    </row>
    <row r="15974">
      <c r="A15974" s="163" t="s">
        <v>222</v>
      </c>
      <c r="B15974" s="163"/>
      <c r="C15974" s="163"/>
      <c r="J15974" s="165"/>
      <c r="K15974" s="166"/>
      <c r="L15974" s="166"/>
    </row>
    <row r="15975">
      <c r="A15975" s="163" t="s">
        <v>222</v>
      </c>
      <c r="B15975" s="163"/>
      <c r="C15975" s="163"/>
      <c r="J15975" s="165"/>
      <c r="K15975" s="166"/>
      <c r="L15975" s="166"/>
    </row>
    <row r="15976">
      <c r="A15976" s="163" t="s">
        <v>222</v>
      </c>
      <c r="B15976" s="163"/>
      <c r="C15976" s="163"/>
      <c r="J15976" s="165"/>
      <c r="K15976" s="166"/>
      <c r="L15976" s="166"/>
    </row>
    <row r="15977">
      <c r="A15977" s="163" t="s">
        <v>222</v>
      </c>
      <c r="B15977" s="163"/>
      <c r="C15977" s="163"/>
      <c r="J15977" s="165"/>
      <c r="K15977" s="166"/>
      <c r="L15977" s="166"/>
    </row>
    <row r="15978">
      <c r="A15978" s="163" t="s">
        <v>222</v>
      </c>
      <c r="B15978" s="163"/>
      <c r="C15978" s="163"/>
      <c r="J15978" s="165"/>
      <c r="K15978" s="166"/>
      <c r="L15978" s="166"/>
    </row>
    <row r="15979">
      <c r="A15979" s="163" t="s">
        <v>222</v>
      </c>
      <c r="B15979" s="163"/>
      <c r="C15979" s="163"/>
      <c r="J15979" s="165"/>
      <c r="K15979" s="166"/>
      <c r="L15979" s="166"/>
    </row>
    <row r="15980">
      <c r="A15980" s="163" t="s">
        <v>222</v>
      </c>
      <c r="B15980" s="163"/>
      <c r="C15980" s="163"/>
      <c r="J15980" s="165"/>
      <c r="K15980" s="166"/>
      <c r="L15980" s="166"/>
    </row>
    <row r="15981">
      <c r="A15981" s="163" t="s">
        <v>222</v>
      </c>
      <c r="B15981" s="163"/>
      <c r="C15981" s="163"/>
      <c r="J15981" s="165"/>
      <c r="K15981" s="166"/>
      <c r="L15981" s="166"/>
    </row>
    <row r="15982">
      <c r="A15982" s="163" t="s">
        <v>222</v>
      </c>
      <c r="B15982" s="163"/>
      <c r="C15982" s="163"/>
      <c r="J15982" s="165"/>
      <c r="K15982" s="166"/>
      <c r="L15982" s="166"/>
    </row>
    <row r="15983">
      <c r="A15983" s="163" t="s">
        <v>222</v>
      </c>
      <c r="B15983" s="163"/>
      <c r="C15983" s="163"/>
      <c r="J15983" s="165"/>
      <c r="K15983" s="166"/>
      <c r="L15983" s="166"/>
    </row>
    <row r="15984">
      <c r="A15984" s="163" t="s">
        <v>222</v>
      </c>
      <c r="B15984" s="163"/>
      <c r="C15984" s="163"/>
      <c r="J15984" s="165"/>
      <c r="K15984" s="166"/>
      <c r="L15984" s="166"/>
    </row>
    <row r="15985">
      <c r="A15985" s="163" t="s">
        <v>222</v>
      </c>
      <c r="B15985" s="163"/>
      <c r="C15985" s="163"/>
      <c r="J15985" s="165"/>
      <c r="K15985" s="166"/>
      <c r="L15985" s="166"/>
    </row>
    <row r="15986">
      <c r="A15986" s="163" t="s">
        <v>222</v>
      </c>
      <c r="B15986" s="163"/>
      <c r="C15986" s="163"/>
      <c r="J15986" s="165"/>
      <c r="K15986" s="166"/>
      <c r="L15986" s="166"/>
    </row>
    <row r="15987">
      <c r="A15987" s="163" t="s">
        <v>222</v>
      </c>
      <c r="B15987" s="163"/>
      <c r="C15987" s="163"/>
      <c r="J15987" s="165"/>
      <c r="K15987" s="166"/>
      <c r="L15987" s="166"/>
    </row>
    <row r="15988">
      <c r="A15988" s="163" t="s">
        <v>222</v>
      </c>
      <c r="B15988" s="163"/>
      <c r="C15988" s="163"/>
      <c r="J15988" s="165"/>
      <c r="K15988" s="166"/>
      <c r="L15988" s="166"/>
    </row>
    <row r="15989">
      <c r="A15989" s="163" t="s">
        <v>222</v>
      </c>
      <c r="B15989" s="163"/>
      <c r="C15989" s="163"/>
      <c r="J15989" s="165"/>
      <c r="K15989" s="166"/>
      <c r="L15989" s="166"/>
    </row>
    <row r="15990">
      <c r="A15990" s="163" t="s">
        <v>222</v>
      </c>
      <c r="B15990" s="163"/>
      <c r="C15990" s="163"/>
      <c r="J15990" s="165"/>
      <c r="K15990" s="166"/>
      <c r="L15990" s="166"/>
    </row>
    <row r="15991">
      <c r="A15991" s="163" t="s">
        <v>222</v>
      </c>
      <c r="B15991" s="163"/>
      <c r="C15991" s="163"/>
      <c r="J15991" s="165"/>
      <c r="K15991" s="166"/>
      <c r="L15991" s="166"/>
    </row>
    <row r="15992">
      <c r="A15992" s="163" t="s">
        <v>222</v>
      </c>
      <c r="B15992" s="163"/>
      <c r="C15992" s="163"/>
      <c r="J15992" s="165"/>
      <c r="K15992" s="166"/>
      <c r="L15992" s="166"/>
    </row>
    <row r="15993">
      <c r="A15993" s="163" t="s">
        <v>222</v>
      </c>
      <c r="B15993" s="163"/>
      <c r="C15993" s="163"/>
      <c r="J15993" s="165"/>
      <c r="K15993" s="166"/>
      <c r="L15993" s="166"/>
    </row>
    <row r="15994">
      <c r="A15994" s="163" t="s">
        <v>222</v>
      </c>
      <c r="B15994" s="163"/>
      <c r="C15994" s="163"/>
      <c r="J15994" s="165"/>
      <c r="K15994" s="166"/>
      <c r="L15994" s="166"/>
    </row>
    <row r="15995">
      <c r="A15995" s="163" t="s">
        <v>222</v>
      </c>
      <c r="B15995" s="163"/>
      <c r="C15995" s="163"/>
      <c r="J15995" s="165"/>
      <c r="K15995" s="166"/>
      <c r="L15995" s="166"/>
    </row>
    <row r="15996">
      <c r="A15996" s="163" t="s">
        <v>222</v>
      </c>
      <c r="B15996" s="163"/>
      <c r="C15996" s="163"/>
      <c r="J15996" s="165"/>
      <c r="K15996" s="166"/>
      <c r="L15996" s="166"/>
    </row>
    <row r="15997">
      <c r="A15997" s="163" t="s">
        <v>222</v>
      </c>
      <c r="B15997" s="163"/>
      <c r="C15997" s="163"/>
      <c r="J15997" s="165"/>
      <c r="K15997" s="166"/>
      <c r="L15997" s="166"/>
    </row>
    <row r="15998">
      <c r="A15998" s="163" t="s">
        <v>222</v>
      </c>
      <c r="B15998" s="163"/>
      <c r="C15998" s="163"/>
      <c r="J15998" s="165"/>
      <c r="K15998" s="166"/>
      <c r="L15998" s="166"/>
    </row>
    <row r="15999">
      <c r="A15999" s="163" t="s">
        <v>222</v>
      </c>
      <c r="B15999" s="163"/>
      <c r="C15999" s="163"/>
      <c r="J15999" s="165"/>
      <c r="K15999" s="166"/>
      <c r="L15999" s="166"/>
    </row>
    <row r="16000">
      <c r="A16000" s="163" t="s">
        <v>222</v>
      </c>
      <c r="B16000" s="163"/>
      <c r="C16000" s="163"/>
      <c r="J16000" s="165"/>
      <c r="K16000" s="166"/>
      <c r="L16000" s="166"/>
    </row>
    <row r="16001">
      <c r="A16001" s="163" t="s">
        <v>222</v>
      </c>
      <c r="B16001" s="163"/>
      <c r="C16001" s="163"/>
      <c r="J16001" s="165"/>
      <c r="K16001" s="166"/>
      <c r="L16001" s="166"/>
    </row>
    <row r="16002">
      <c r="A16002" s="163" t="s">
        <v>222</v>
      </c>
      <c r="B16002" s="163"/>
      <c r="C16002" s="163"/>
      <c r="J16002" s="165"/>
      <c r="K16002" s="166"/>
      <c r="L16002" s="166"/>
    </row>
    <row r="16003">
      <c r="A16003" s="163" t="s">
        <v>222</v>
      </c>
      <c r="B16003" s="163"/>
      <c r="C16003" s="163"/>
      <c r="J16003" s="165"/>
      <c r="K16003" s="166"/>
      <c r="L16003" s="166"/>
    </row>
    <row r="16004">
      <c r="A16004" s="163" t="s">
        <v>222</v>
      </c>
      <c r="B16004" s="163"/>
      <c r="C16004" s="163"/>
      <c r="J16004" s="165"/>
      <c r="K16004" s="166"/>
      <c r="L16004" s="166"/>
    </row>
    <row r="16005">
      <c r="A16005" s="163" t="s">
        <v>222</v>
      </c>
      <c r="B16005" s="163"/>
      <c r="C16005" s="163"/>
      <c r="J16005" s="165"/>
      <c r="K16005" s="166"/>
      <c r="L16005" s="166"/>
    </row>
    <row r="16006">
      <c r="A16006" s="163" t="s">
        <v>222</v>
      </c>
      <c r="B16006" s="163"/>
      <c r="C16006" s="163"/>
      <c r="J16006" s="165"/>
      <c r="K16006" s="166"/>
      <c r="L16006" s="166"/>
    </row>
    <row r="16007">
      <c r="A16007" s="163" t="s">
        <v>222</v>
      </c>
      <c r="B16007" s="163"/>
      <c r="C16007" s="163"/>
      <c r="J16007" s="165"/>
      <c r="K16007" s="166"/>
      <c r="L16007" s="166"/>
    </row>
    <row r="16008">
      <c r="A16008" s="163" t="s">
        <v>222</v>
      </c>
      <c r="B16008" s="163"/>
      <c r="C16008" s="163"/>
      <c r="J16008" s="165"/>
      <c r="K16008" s="166"/>
      <c r="L16008" s="166"/>
    </row>
    <row r="16009">
      <c r="A16009" s="163" t="s">
        <v>222</v>
      </c>
      <c r="B16009" s="163"/>
      <c r="C16009" s="163"/>
      <c r="J16009" s="165"/>
      <c r="K16009" s="166"/>
      <c r="L16009" s="166"/>
    </row>
    <row r="16010">
      <c r="A16010" s="163" t="s">
        <v>222</v>
      </c>
      <c r="B16010" s="163"/>
      <c r="C16010" s="163"/>
      <c r="J16010" s="165"/>
      <c r="K16010" s="166"/>
      <c r="L16010" s="166"/>
    </row>
    <row r="16011">
      <c r="A16011" s="163" t="s">
        <v>222</v>
      </c>
      <c r="B16011" s="163"/>
      <c r="C16011" s="163"/>
      <c r="J16011" s="165"/>
      <c r="K16011" s="166"/>
      <c r="L16011" s="166"/>
    </row>
    <row r="16012">
      <c r="A16012" s="163" t="s">
        <v>222</v>
      </c>
      <c r="B16012" s="163"/>
      <c r="C16012" s="163"/>
      <c r="J16012" s="165"/>
      <c r="K16012" s="166"/>
      <c r="L16012" s="166"/>
    </row>
    <row r="16013">
      <c r="A16013" s="163" t="s">
        <v>222</v>
      </c>
      <c r="B16013" s="163"/>
      <c r="C16013" s="163"/>
      <c r="J16013" s="165"/>
      <c r="K16013" s="166"/>
      <c r="L16013" s="166"/>
    </row>
    <row r="16014">
      <c r="A16014" s="163" t="s">
        <v>222</v>
      </c>
      <c r="B16014" s="163"/>
      <c r="C16014" s="163"/>
      <c r="J16014" s="165"/>
      <c r="K16014" s="166"/>
      <c r="L16014" s="166"/>
    </row>
    <row r="16015">
      <c r="A16015" s="163" t="s">
        <v>222</v>
      </c>
      <c r="B16015" s="163"/>
      <c r="C16015" s="163"/>
      <c r="J16015" s="165"/>
      <c r="K16015" s="166"/>
      <c r="L16015" s="166"/>
    </row>
    <row r="16016">
      <c r="A16016" s="163" t="s">
        <v>222</v>
      </c>
      <c r="B16016" s="163"/>
      <c r="C16016" s="163"/>
      <c r="J16016" s="165"/>
      <c r="K16016" s="166"/>
      <c r="L16016" s="166"/>
    </row>
    <row r="16017">
      <c r="A16017" s="163" t="s">
        <v>222</v>
      </c>
      <c r="B16017" s="163"/>
      <c r="C16017" s="163"/>
      <c r="J16017" s="165"/>
      <c r="K16017" s="166"/>
      <c r="L16017" s="166"/>
    </row>
    <row r="16018">
      <c r="A16018" s="163" t="s">
        <v>222</v>
      </c>
      <c r="B16018" s="163"/>
      <c r="C16018" s="163"/>
      <c r="J16018" s="165"/>
      <c r="K16018" s="166"/>
      <c r="L16018" s="166"/>
    </row>
    <row r="16019">
      <c r="A16019" s="163" t="s">
        <v>222</v>
      </c>
      <c r="B16019" s="163"/>
      <c r="C16019" s="163"/>
      <c r="J16019" s="165"/>
      <c r="K16019" s="166"/>
      <c r="L16019" s="166"/>
    </row>
    <row r="16020">
      <c r="A16020" s="163" t="s">
        <v>222</v>
      </c>
      <c r="B16020" s="163"/>
      <c r="C16020" s="163"/>
      <c r="J16020" s="165"/>
      <c r="K16020" s="166"/>
      <c r="L16020" s="166"/>
    </row>
    <row r="16021">
      <c r="A16021" s="163" t="s">
        <v>222</v>
      </c>
      <c r="B16021" s="163"/>
      <c r="C16021" s="163"/>
      <c r="J16021" s="165"/>
      <c r="K16021" s="166"/>
      <c r="L16021" s="166"/>
    </row>
    <row r="16022">
      <c r="A16022" s="163" t="s">
        <v>222</v>
      </c>
      <c r="B16022" s="163"/>
      <c r="C16022" s="163"/>
      <c r="J16022" s="165"/>
      <c r="K16022" s="166"/>
      <c r="L16022" s="166"/>
    </row>
    <row r="16023">
      <c r="A16023" s="163" t="s">
        <v>222</v>
      </c>
      <c r="B16023" s="163"/>
      <c r="C16023" s="163"/>
      <c r="J16023" s="165"/>
      <c r="K16023" s="166"/>
      <c r="L16023" s="166"/>
    </row>
    <row r="16024">
      <c r="A16024" s="163" t="s">
        <v>222</v>
      </c>
      <c r="B16024" s="163"/>
      <c r="C16024" s="163"/>
      <c r="J16024" s="165"/>
      <c r="K16024" s="166"/>
      <c r="L16024" s="166"/>
    </row>
    <row r="16025">
      <c r="A16025" s="163" t="s">
        <v>222</v>
      </c>
      <c r="B16025" s="163"/>
      <c r="C16025" s="163"/>
      <c r="J16025" s="165"/>
      <c r="K16025" s="166"/>
      <c r="L16025" s="166"/>
    </row>
    <row r="16026">
      <c r="A16026" s="163" t="s">
        <v>222</v>
      </c>
      <c r="B16026" s="163"/>
      <c r="C16026" s="163"/>
      <c r="J16026" s="165"/>
      <c r="K16026" s="166"/>
      <c r="L16026" s="166"/>
    </row>
    <row r="16027">
      <c r="A16027" s="163" t="s">
        <v>222</v>
      </c>
      <c r="B16027" s="163"/>
      <c r="C16027" s="163"/>
      <c r="J16027" s="165"/>
      <c r="K16027" s="166"/>
      <c r="L16027" s="166"/>
    </row>
    <row r="16028">
      <c r="A16028" s="163" t="s">
        <v>222</v>
      </c>
      <c r="B16028" s="163"/>
      <c r="C16028" s="163"/>
      <c r="J16028" s="165"/>
      <c r="K16028" s="166"/>
      <c r="L16028" s="166"/>
    </row>
    <row r="16029">
      <c r="A16029" s="163" t="s">
        <v>222</v>
      </c>
      <c r="B16029" s="163"/>
      <c r="C16029" s="163"/>
      <c r="J16029" s="165"/>
      <c r="K16029" s="166"/>
      <c r="L16029" s="166"/>
    </row>
    <row r="16030">
      <c r="A16030" s="163" t="s">
        <v>222</v>
      </c>
      <c r="B16030" s="163"/>
      <c r="C16030" s="163"/>
      <c r="J16030" s="165"/>
      <c r="K16030" s="166"/>
      <c r="L16030" s="166"/>
    </row>
    <row r="16031">
      <c r="A16031" s="163" t="s">
        <v>222</v>
      </c>
      <c r="B16031" s="163"/>
      <c r="C16031" s="163"/>
      <c r="J16031" s="165"/>
      <c r="K16031" s="166"/>
      <c r="L16031" s="166"/>
    </row>
    <row r="16032">
      <c r="A16032" s="163" t="s">
        <v>222</v>
      </c>
      <c r="B16032" s="163"/>
      <c r="C16032" s="163"/>
      <c r="J16032" s="165"/>
      <c r="K16032" s="166"/>
      <c r="L16032" s="166"/>
    </row>
    <row r="16033">
      <c r="A16033" s="163" t="s">
        <v>222</v>
      </c>
      <c r="B16033" s="163"/>
      <c r="C16033" s="163"/>
      <c r="J16033" s="165"/>
      <c r="K16033" s="166"/>
      <c r="L16033" s="166"/>
    </row>
    <row r="16034">
      <c r="A16034" s="163" t="s">
        <v>222</v>
      </c>
      <c r="B16034" s="163"/>
      <c r="C16034" s="163"/>
      <c r="J16034" s="165"/>
      <c r="K16034" s="166"/>
      <c r="L16034" s="166"/>
    </row>
    <row r="16035">
      <c r="A16035" s="163" t="s">
        <v>222</v>
      </c>
      <c r="B16035" s="163"/>
      <c r="C16035" s="163"/>
      <c r="J16035" s="165"/>
      <c r="K16035" s="166"/>
      <c r="L16035" s="166"/>
    </row>
    <row r="16036">
      <c r="A16036" s="163" t="s">
        <v>222</v>
      </c>
      <c r="B16036" s="163"/>
      <c r="C16036" s="163"/>
      <c r="J16036" s="165"/>
      <c r="K16036" s="166"/>
      <c r="L16036" s="166"/>
    </row>
    <row r="16037">
      <c r="A16037" s="163" t="s">
        <v>222</v>
      </c>
      <c r="B16037" s="163"/>
      <c r="C16037" s="163"/>
      <c r="J16037" s="165"/>
      <c r="K16037" s="166"/>
      <c r="L16037" s="166"/>
    </row>
    <row r="16038">
      <c r="A16038" s="163" t="s">
        <v>222</v>
      </c>
      <c r="B16038" s="163"/>
      <c r="C16038" s="163"/>
      <c r="J16038" s="165"/>
      <c r="K16038" s="166"/>
      <c r="L16038" s="166"/>
    </row>
    <row r="16039">
      <c r="A16039" s="163" t="s">
        <v>222</v>
      </c>
      <c r="B16039" s="163"/>
      <c r="C16039" s="163"/>
      <c r="J16039" s="165"/>
      <c r="K16039" s="166"/>
      <c r="L16039" s="166"/>
    </row>
    <row r="16040">
      <c r="A16040" s="163" t="s">
        <v>222</v>
      </c>
      <c r="B16040" s="163"/>
      <c r="C16040" s="163"/>
      <c r="J16040" s="165"/>
      <c r="K16040" s="166"/>
      <c r="L16040" s="166"/>
    </row>
    <row r="16041">
      <c r="A16041" s="163" t="s">
        <v>222</v>
      </c>
      <c r="B16041" s="163"/>
      <c r="C16041" s="163"/>
      <c r="J16041" s="165"/>
      <c r="K16041" s="166"/>
      <c r="L16041" s="166"/>
    </row>
    <row r="16042">
      <c r="A16042" s="163" t="s">
        <v>222</v>
      </c>
      <c r="B16042" s="163"/>
      <c r="C16042" s="163"/>
      <c r="J16042" s="165"/>
      <c r="K16042" s="166"/>
      <c r="L16042" s="166"/>
    </row>
    <row r="16043">
      <c r="A16043" s="163" t="s">
        <v>222</v>
      </c>
      <c r="B16043" s="163"/>
      <c r="C16043" s="163"/>
      <c r="J16043" s="165"/>
      <c r="K16043" s="166"/>
      <c r="L16043" s="166"/>
    </row>
    <row r="16044">
      <c r="A16044" s="163" t="s">
        <v>222</v>
      </c>
      <c r="B16044" s="163"/>
      <c r="C16044" s="163"/>
      <c r="J16044" s="165"/>
      <c r="K16044" s="166"/>
      <c r="L16044" s="166"/>
    </row>
    <row r="16045">
      <c r="A16045" s="163" t="s">
        <v>222</v>
      </c>
      <c r="B16045" s="163"/>
      <c r="C16045" s="163"/>
      <c r="J16045" s="165"/>
      <c r="K16045" s="166"/>
      <c r="L16045" s="166"/>
    </row>
    <row r="16046">
      <c r="A16046" s="163" t="s">
        <v>222</v>
      </c>
      <c r="B16046" s="163"/>
      <c r="C16046" s="163"/>
      <c r="J16046" s="165"/>
      <c r="K16046" s="166"/>
      <c r="L16046" s="166"/>
    </row>
    <row r="16047">
      <c r="A16047" s="163" t="s">
        <v>222</v>
      </c>
      <c r="B16047" s="163"/>
      <c r="C16047" s="163"/>
      <c r="J16047" s="165"/>
      <c r="K16047" s="166"/>
      <c r="L16047" s="166"/>
    </row>
    <row r="16048">
      <c r="A16048" s="163" t="s">
        <v>222</v>
      </c>
      <c r="B16048" s="163"/>
      <c r="C16048" s="163"/>
      <c r="J16048" s="165"/>
      <c r="K16048" s="166"/>
      <c r="L16048" s="166"/>
    </row>
    <row r="16049">
      <c r="A16049" s="163" t="s">
        <v>222</v>
      </c>
      <c r="B16049" s="163"/>
      <c r="C16049" s="163"/>
      <c r="J16049" s="165"/>
      <c r="K16049" s="166"/>
      <c r="L16049" s="166"/>
    </row>
    <row r="16050">
      <c r="A16050" s="163" t="s">
        <v>222</v>
      </c>
      <c r="B16050" s="163"/>
      <c r="C16050" s="163"/>
      <c r="J16050" s="165"/>
      <c r="K16050" s="166"/>
      <c r="L16050" s="166"/>
    </row>
    <row r="16051">
      <c r="A16051" s="163" t="s">
        <v>222</v>
      </c>
      <c r="B16051" s="163"/>
      <c r="C16051" s="163"/>
      <c r="J16051" s="165"/>
      <c r="K16051" s="166"/>
      <c r="L16051" s="166"/>
    </row>
    <row r="16052">
      <c r="A16052" s="163" t="s">
        <v>222</v>
      </c>
      <c r="B16052" s="163"/>
      <c r="C16052" s="163"/>
      <c r="J16052" s="165"/>
      <c r="K16052" s="166"/>
      <c r="L16052" s="166"/>
    </row>
    <row r="16053">
      <c r="A16053" s="163" t="s">
        <v>222</v>
      </c>
      <c r="B16053" s="163"/>
      <c r="C16053" s="163"/>
      <c r="J16053" s="165"/>
      <c r="K16053" s="166"/>
      <c r="L16053" s="166"/>
    </row>
    <row r="16054">
      <c r="A16054" s="163" t="s">
        <v>222</v>
      </c>
      <c r="B16054" s="163"/>
      <c r="C16054" s="163"/>
      <c r="J16054" s="165"/>
      <c r="K16054" s="166"/>
      <c r="L16054" s="166"/>
    </row>
    <row r="16055">
      <c r="A16055" s="163" t="s">
        <v>222</v>
      </c>
      <c r="B16055" s="163"/>
      <c r="C16055" s="163"/>
      <c r="J16055" s="165"/>
      <c r="K16055" s="166"/>
      <c r="L16055" s="166"/>
    </row>
    <row r="16056">
      <c r="A16056" s="163" t="s">
        <v>222</v>
      </c>
      <c r="B16056" s="163"/>
      <c r="C16056" s="163"/>
      <c r="J16056" s="165"/>
      <c r="K16056" s="166"/>
      <c r="L16056" s="166"/>
    </row>
    <row r="16057">
      <c r="A16057" s="163" t="s">
        <v>222</v>
      </c>
      <c r="B16057" s="163"/>
      <c r="C16057" s="163"/>
      <c r="J16057" s="165"/>
      <c r="K16057" s="166"/>
      <c r="L16057" s="166"/>
    </row>
    <row r="16058">
      <c r="A16058" s="163" t="s">
        <v>222</v>
      </c>
      <c r="B16058" s="163"/>
      <c r="C16058" s="163"/>
      <c r="J16058" s="165"/>
      <c r="K16058" s="166"/>
      <c r="L16058" s="166"/>
    </row>
    <row r="16059">
      <c r="A16059" s="163" t="s">
        <v>222</v>
      </c>
      <c r="B16059" s="163"/>
      <c r="C16059" s="163"/>
      <c r="J16059" s="165"/>
      <c r="K16059" s="166"/>
      <c r="L16059" s="166"/>
    </row>
    <row r="16060">
      <c r="A16060" s="163" t="s">
        <v>222</v>
      </c>
      <c r="B16060" s="163"/>
      <c r="C16060" s="163"/>
      <c r="J16060" s="165"/>
      <c r="K16060" s="166"/>
      <c r="L16060" s="166"/>
    </row>
    <row r="16061">
      <c r="A16061" s="163" t="s">
        <v>222</v>
      </c>
      <c r="B16061" s="163"/>
      <c r="C16061" s="163"/>
      <c r="J16061" s="165"/>
      <c r="K16061" s="166"/>
      <c r="L16061" s="166"/>
    </row>
    <row r="16062">
      <c r="A16062" s="163" t="s">
        <v>222</v>
      </c>
      <c r="B16062" s="163"/>
      <c r="C16062" s="163"/>
      <c r="J16062" s="165"/>
      <c r="K16062" s="166"/>
      <c r="L16062" s="166"/>
    </row>
    <row r="16063">
      <c r="A16063" s="163" t="s">
        <v>222</v>
      </c>
      <c r="B16063" s="163"/>
      <c r="C16063" s="163"/>
      <c r="J16063" s="165"/>
      <c r="K16063" s="166"/>
      <c r="L16063" s="166"/>
    </row>
    <row r="16064">
      <c r="A16064" s="163" t="s">
        <v>222</v>
      </c>
      <c r="B16064" s="163"/>
      <c r="C16064" s="163"/>
      <c r="J16064" s="165"/>
      <c r="K16064" s="166"/>
      <c r="L16064" s="166"/>
    </row>
    <row r="16065">
      <c r="A16065" s="163" t="s">
        <v>222</v>
      </c>
      <c r="B16065" s="163"/>
      <c r="C16065" s="163"/>
      <c r="J16065" s="165"/>
      <c r="K16065" s="166"/>
      <c r="L16065" s="166"/>
    </row>
    <row r="16066">
      <c r="A16066" s="163" t="s">
        <v>222</v>
      </c>
      <c r="B16066" s="163"/>
      <c r="C16066" s="163"/>
      <c r="J16066" s="165"/>
      <c r="K16066" s="166"/>
      <c r="L16066" s="166"/>
    </row>
    <row r="16067">
      <c r="A16067" s="163" t="s">
        <v>222</v>
      </c>
      <c r="B16067" s="163"/>
      <c r="C16067" s="163"/>
      <c r="J16067" s="165"/>
      <c r="K16067" s="166"/>
      <c r="L16067" s="166"/>
    </row>
    <row r="16068">
      <c r="A16068" s="163" t="s">
        <v>222</v>
      </c>
      <c r="B16068" s="163"/>
      <c r="C16068" s="163"/>
      <c r="J16068" s="165"/>
      <c r="K16068" s="166"/>
      <c r="L16068" s="166"/>
    </row>
    <row r="16069">
      <c r="A16069" s="163" t="s">
        <v>222</v>
      </c>
      <c r="B16069" s="163"/>
      <c r="C16069" s="163"/>
      <c r="J16069" s="165"/>
      <c r="K16069" s="166"/>
      <c r="L16069" s="166"/>
    </row>
    <row r="16070">
      <c r="A16070" s="163" t="s">
        <v>222</v>
      </c>
      <c r="B16070" s="163"/>
      <c r="C16070" s="163"/>
      <c r="J16070" s="165"/>
      <c r="K16070" s="166"/>
      <c r="L16070" s="166"/>
    </row>
    <row r="16071">
      <c r="A16071" s="163" t="s">
        <v>222</v>
      </c>
      <c r="B16071" s="163"/>
      <c r="C16071" s="163"/>
      <c r="J16071" s="165"/>
      <c r="K16071" s="166"/>
      <c r="L16071" s="166"/>
    </row>
    <row r="16072">
      <c r="A16072" s="163" t="s">
        <v>222</v>
      </c>
      <c r="B16072" s="163"/>
      <c r="C16072" s="163"/>
      <c r="J16072" s="165"/>
      <c r="K16072" s="166"/>
      <c r="L16072" s="166"/>
    </row>
    <row r="16073">
      <c r="A16073" s="163" t="s">
        <v>222</v>
      </c>
      <c r="B16073" s="163"/>
      <c r="C16073" s="163"/>
      <c r="J16073" s="165"/>
      <c r="K16073" s="166"/>
      <c r="L16073" s="166"/>
    </row>
    <row r="16074">
      <c r="A16074" s="163" t="s">
        <v>222</v>
      </c>
      <c r="B16074" s="163"/>
      <c r="C16074" s="163"/>
      <c r="J16074" s="165"/>
      <c r="K16074" s="166"/>
      <c r="L16074" s="166"/>
    </row>
    <row r="16075">
      <c r="A16075" s="163" t="s">
        <v>222</v>
      </c>
      <c r="B16075" s="163"/>
      <c r="C16075" s="163"/>
      <c r="J16075" s="165"/>
      <c r="K16075" s="166"/>
      <c r="L16075" s="166"/>
    </row>
    <row r="16076">
      <c r="A16076" s="163" t="s">
        <v>222</v>
      </c>
      <c r="B16076" s="163"/>
      <c r="C16076" s="163"/>
      <c r="J16076" s="165"/>
      <c r="K16076" s="166"/>
      <c r="L16076" s="166"/>
    </row>
    <row r="16077">
      <c r="A16077" s="163" t="s">
        <v>222</v>
      </c>
      <c r="B16077" s="163"/>
      <c r="C16077" s="163"/>
      <c r="J16077" s="165"/>
      <c r="K16077" s="166"/>
      <c r="L16077" s="166"/>
    </row>
    <row r="16078">
      <c r="A16078" s="163" t="s">
        <v>222</v>
      </c>
      <c r="B16078" s="163"/>
      <c r="C16078" s="163"/>
      <c r="J16078" s="165"/>
      <c r="K16078" s="166"/>
      <c r="L16078" s="166"/>
    </row>
    <row r="16079">
      <c r="A16079" s="163" t="s">
        <v>222</v>
      </c>
      <c r="B16079" s="163"/>
      <c r="C16079" s="163"/>
      <c r="J16079" s="165"/>
      <c r="K16079" s="166"/>
      <c r="L16079" s="166"/>
    </row>
    <row r="16080">
      <c r="A16080" s="163" t="s">
        <v>222</v>
      </c>
      <c r="B16080" s="163"/>
      <c r="C16080" s="163"/>
      <c r="J16080" s="165"/>
      <c r="K16080" s="166"/>
      <c r="L16080" s="166"/>
    </row>
    <row r="16081">
      <c r="A16081" s="163" t="s">
        <v>222</v>
      </c>
      <c r="B16081" s="163"/>
      <c r="C16081" s="163"/>
      <c r="J16081" s="165"/>
      <c r="K16081" s="166"/>
      <c r="L16081" s="166"/>
    </row>
    <row r="16082">
      <c r="A16082" s="163" t="s">
        <v>222</v>
      </c>
      <c r="B16082" s="163"/>
      <c r="C16082" s="163"/>
      <c r="J16082" s="165"/>
      <c r="K16082" s="166"/>
      <c r="L16082" s="166"/>
    </row>
    <row r="16083">
      <c r="A16083" s="163" t="s">
        <v>222</v>
      </c>
      <c r="B16083" s="163"/>
      <c r="C16083" s="163"/>
      <c r="J16083" s="165"/>
      <c r="K16083" s="166"/>
      <c r="L16083" s="166"/>
    </row>
    <row r="16084">
      <c r="A16084" s="163" t="s">
        <v>222</v>
      </c>
      <c r="B16084" s="163"/>
      <c r="C16084" s="163"/>
      <c r="J16084" s="165"/>
      <c r="K16084" s="166"/>
      <c r="L16084" s="166"/>
    </row>
    <row r="16085">
      <c r="A16085" s="163" t="s">
        <v>222</v>
      </c>
      <c r="B16085" s="163"/>
      <c r="C16085" s="163"/>
      <c r="J16085" s="165"/>
      <c r="K16085" s="166"/>
      <c r="L16085" s="166"/>
    </row>
    <row r="16086">
      <c r="A16086" s="163" t="s">
        <v>222</v>
      </c>
      <c r="B16086" s="163"/>
      <c r="C16086" s="163"/>
      <c r="J16086" s="165"/>
      <c r="K16086" s="166"/>
      <c r="L16086" s="166"/>
    </row>
    <row r="16087">
      <c r="A16087" s="163" t="s">
        <v>222</v>
      </c>
      <c r="B16087" s="163"/>
      <c r="C16087" s="163"/>
      <c r="J16087" s="165"/>
      <c r="K16087" s="166"/>
      <c r="L16087" s="166"/>
    </row>
    <row r="16088">
      <c r="A16088" s="163" t="s">
        <v>222</v>
      </c>
      <c r="B16088" s="163"/>
      <c r="C16088" s="163"/>
      <c r="J16088" s="165"/>
      <c r="K16088" s="166"/>
      <c r="L16088" s="166"/>
    </row>
    <row r="16089">
      <c r="A16089" s="163" t="s">
        <v>222</v>
      </c>
      <c r="B16089" s="163"/>
      <c r="C16089" s="163"/>
      <c r="J16089" s="165"/>
      <c r="K16089" s="166"/>
      <c r="L16089" s="166"/>
    </row>
    <row r="16090">
      <c r="A16090" s="163" t="s">
        <v>222</v>
      </c>
      <c r="B16090" s="163"/>
      <c r="C16090" s="163"/>
      <c r="J16090" s="165"/>
      <c r="K16090" s="166"/>
      <c r="L16090" s="166"/>
    </row>
    <row r="16091">
      <c r="A16091" s="163" t="s">
        <v>222</v>
      </c>
      <c r="B16091" s="163"/>
      <c r="C16091" s="163"/>
      <c r="J16091" s="165"/>
      <c r="K16091" s="166"/>
      <c r="L16091" s="166"/>
    </row>
    <row r="16092">
      <c r="A16092" s="163" t="s">
        <v>222</v>
      </c>
      <c r="B16092" s="163"/>
      <c r="C16092" s="163"/>
      <c r="J16092" s="165"/>
      <c r="K16092" s="166"/>
      <c r="L16092" s="166"/>
    </row>
    <row r="16093">
      <c r="A16093" s="163" t="s">
        <v>222</v>
      </c>
      <c r="B16093" s="163"/>
      <c r="C16093" s="163"/>
      <c r="J16093" s="165"/>
      <c r="K16093" s="166"/>
      <c r="L16093" s="166"/>
    </row>
    <row r="16094">
      <c r="A16094" s="163" t="s">
        <v>222</v>
      </c>
      <c r="B16094" s="163"/>
      <c r="C16094" s="163"/>
      <c r="J16094" s="165"/>
      <c r="K16094" s="166"/>
      <c r="L16094" s="166"/>
    </row>
    <row r="16095">
      <c r="A16095" s="163" t="s">
        <v>222</v>
      </c>
      <c r="B16095" s="163"/>
      <c r="C16095" s="163"/>
      <c r="J16095" s="165"/>
      <c r="K16095" s="166"/>
      <c r="L16095" s="166"/>
    </row>
    <row r="16096">
      <c r="A16096" s="163" t="s">
        <v>222</v>
      </c>
      <c r="B16096" s="163"/>
      <c r="C16096" s="163"/>
      <c r="J16096" s="165"/>
      <c r="K16096" s="166"/>
      <c r="L16096" s="166"/>
    </row>
    <row r="16097">
      <c r="A16097" s="163" t="s">
        <v>222</v>
      </c>
      <c r="B16097" s="163"/>
      <c r="C16097" s="163"/>
      <c r="J16097" s="165"/>
      <c r="K16097" s="166"/>
      <c r="L16097" s="166"/>
    </row>
    <row r="16098">
      <c r="A16098" s="163" t="s">
        <v>222</v>
      </c>
      <c r="B16098" s="163"/>
      <c r="C16098" s="163"/>
      <c r="J16098" s="165"/>
      <c r="K16098" s="166"/>
      <c r="L16098" s="166"/>
    </row>
    <row r="16099">
      <c r="A16099" s="163" t="s">
        <v>222</v>
      </c>
      <c r="B16099" s="163"/>
      <c r="C16099" s="163"/>
      <c r="J16099" s="165"/>
      <c r="K16099" s="166"/>
      <c r="L16099" s="166"/>
    </row>
    <row r="16100">
      <c r="A16100" s="163" t="s">
        <v>222</v>
      </c>
      <c r="B16100" s="163"/>
      <c r="C16100" s="163"/>
      <c r="J16100" s="165"/>
      <c r="K16100" s="166"/>
      <c r="L16100" s="166"/>
    </row>
    <row r="16101">
      <c r="A16101" s="163" t="s">
        <v>222</v>
      </c>
      <c r="B16101" s="163"/>
      <c r="C16101" s="163"/>
      <c r="J16101" s="165"/>
      <c r="K16101" s="166"/>
      <c r="L16101" s="166"/>
    </row>
    <row r="16102">
      <c r="A16102" s="163" t="s">
        <v>222</v>
      </c>
      <c r="B16102" s="163"/>
      <c r="C16102" s="163"/>
      <c r="J16102" s="165"/>
      <c r="K16102" s="166"/>
      <c r="L16102" s="166"/>
    </row>
    <row r="16103">
      <c r="A16103" s="163" t="s">
        <v>222</v>
      </c>
      <c r="B16103" s="163"/>
      <c r="C16103" s="163"/>
      <c r="J16103" s="165"/>
      <c r="K16103" s="166"/>
      <c r="L16103" s="166"/>
    </row>
    <row r="16104">
      <c r="A16104" s="163" t="s">
        <v>222</v>
      </c>
      <c r="B16104" s="163"/>
      <c r="C16104" s="163"/>
      <c r="J16104" s="165"/>
      <c r="K16104" s="166"/>
      <c r="L16104" s="166"/>
    </row>
    <row r="16105">
      <c r="A16105" s="163" t="s">
        <v>222</v>
      </c>
      <c r="B16105" s="163"/>
      <c r="C16105" s="163"/>
      <c r="J16105" s="165"/>
      <c r="K16105" s="166"/>
      <c r="L16105" s="166"/>
    </row>
    <row r="16106">
      <c r="A16106" s="163" t="s">
        <v>222</v>
      </c>
      <c r="B16106" s="163"/>
      <c r="C16106" s="163"/>
      <c r="J16106" s="165"/>
      <c r="K16106" s="166"/>
      <c r="L16106" s="166"/>
    </row>
    <row r="16107">
      <c r="A16107" s="163" t="s">
        <v>222</v>
      </c>
      <c r="B16107" s="163"/>
      <c r="C16107" s="163"/>
      <c r="J16107" s="165"/>
      <c r="K16107" s="166"/>
      <c r="L16107" s="166"/>
    </row>
    <row r="16108">
      <c r="A16108" s="163" t="s">
        <v>222</v>
      </c>
      <c r="B16108" s="163"/>
      <c r="C16108" s="163"/>
      <c r="J16108" s="165"/>
      <c r="K16108" s="166"/>
      <c r="L16108" s="166"/>
    </row>
    <row r="16109">
      <c r="A16109" s="163" t="s">
        <v>222</v>
      </c>
      <c r="B16109" s="163"/>
      <c r="C16109" s="163"/>
      <c r="J16109" s="165"/>
      <c r="K16109" s="166"/>
      <c r="L16109" s="166"/>
    </row>
    <row r="16110">
      <c r="A16110" s="163" t="s">
        <v>222</v>
      </c>
      <c r="B16110" s="163"/>
      <c r="C16110" s="163"/>
      <c r="J16110" s="165"/>
      <c r="K16110" s="166"/>
      <c r="L16110" s="166"/>
    </row>
    <row r="16111">
      <c r="A16111" s="163" t="s">
        <v>222</v>
      </c>
      <c r="B16111" s="163"/>
      <c r="C16111" s="163"/>
      <c r="J16111" s="165"/>
      <c r="K16111" s="166"/>
      <c r="L16111" s="166"/>
    </row>
    <row r="16112">
      <c r="A16112" s="163" t="s">
        <v>222</v>
      </c>
      <c r="B16112" s="163"/>
      <c r="C16112" s="163"/>
      <c r="J16112" s="165"/>
      <c r="K16112" s="166"/>
      <c r="L16112" s="166"/>
    </row>
    <row r="16113">
      <c r="A16113" s="163" t="s">
        <v>222</v>
      </c>
      <c r="B16113" s="163"/>
      <c r="C16113" s="163"/>
      <c r="J16113" s="165"/>
      <c r="K16113" s="166"/>
      <c r="L16113" s="166"/>
    </row>
    <row r="16114">
      <c r="A16114" s="163" t="s">
        <v>222</v>
      </c>
      <c r="B16114" s="163"/>
      <c r="C16114" s="163"/>
      <c r="J16114" s="165"/>
      <c r="K16114" s="166"/>
      <c r="L16114" s="166"/>
    </row>
    <row r="16115">
      <c r="A16115" s="163" t="s">
        <v>222</v>
      </c>
      <c r="B16115" s="163"/>
      <c r="C16115" s="163"/>
      <c r="J16115" s="165"/>
      <c r="K16115" s="166"/>
      <c r="L16115" s="166"/>
    </row>
    <row r="16116">
      <c r="A16116" s="163" t="s">
        <v>222</v>
      </c>
      <c r="B16116" s="163"/>
      <c r="C16116" s="163"/>
      <c r="J16116" s="165"/>
      <c r="K16116" s="166"/>
      <c r="L16116" s="166"/>
    </row>
    <row r="16117">
      <c r="A16117" s="163" t="s">
        <v>222</v>
      </c>
      <c r="B16117" s="163"/>
      <c r="C16117" s="163"/>
      <c r="J16117" s="165"/>
      <c r="K16117" s="166"/>
      <c r="L16117" s="166"/>
    </row>
    <row r="16118">
      <c r="A16118" s="163" t="s">
        <v>222</v>
      </c>
      <c r="B16118" s="163"/>
      <c r="C16118" s="163"/>
      <c r="J16118" s="165"/>
      <c r="K16118" s="166"/>
      <c r="L16118" s="166"/>
    </row>
    <row r="16119">
      <c r="A16119" s="163" t="s">
        <v>222</v>
      </c>
      <c r="B16119" s="163"/>
      <c r="C16119" s="163"/>
      <c r="J16119" s="165"/>
      <c r="K16119" s="166"/>
      <c r="L16119" s="166"/>
    </row>
    <row r="16120">
      <c r="A16120" s="163" t="s">
        <v>222</v>
      </c>
      <c r="B16120" s="163"/>
      <c r="C16120" s="163"/>
      <c r="J16120" s="165"/>
      <c r="K16120" s="166"/>
      <c r="L16120" s="166"/>
    </row>
    <row r="16121">
      <c r="A16121" s="163" t="s">
        <v>222</v>
      </c>
      <c r="B16121" s="163"/>
      <c r="C16121" s="163"/>
      <c r="J16121" s="165"/>
      <c r="K16121" s="166"/>
      <c r="L16121" s="166"/>
    </row>
    <row r="16122">
      <c r="A16122" s="163" t="s">
        <v>222</v>
      </c>
      <c r="B16122" s="163"/>
      <c r="C16122" s="163"/>
      <c r="J16122" s="165"/>
      <c r="K16122" s="166"/>
      <c r="L16122" s="166"/>
    </row>
    <row r="16123">
      <c r="A16123" s="163" t="s">
        <v>222</v>
      </c>
      <c r="B16123" s="163"/>
      <c r="C16123" s="163"/>
      <c r="J16123" s="165"/>
      <c r="K16123" s="166"/>
      <c r="L16123" s="166"/>
    </row>
    <row r="16124">
      <c r="A16124" s="163" t="s">
        <v>222</v>
      </c>
      <c r="B16124" s="163"/>
      <c r="C16124" s="163"/>
      <c r="J16124" s="165"/>
      <c r="K16124" s="166"/>
      <c r="L16124" s="166"/>
    </row>
    <row r="16125">
      <c r="A16125" s="163" t="s">
        <v>222</v>
      </c>
      <c r="B16125" s="163"/>
      <c r="C16125" s="163"/>
      <c r="J16125" s="165"/>
      <c r="K16125" s="166"/>
      <c r="L16125" s="166"/>
    </row>
    <row r="16126">
      <c r="A16126" s="163" t="s">
        <v>222</v>
      </c>
      <c r="B16126" s="163"/>
      <c r="C16126" s="163"/>
      <c r="J16126" s="165"/>
      <c r="K16126" s="166"/>
      <c r="L16126" s="166"/>
    </row>
    <row r="16127">
      <c r="A16127" s="163" t="s">
        <v>222</v>
      </c>
      <c r="B16127" s="163"/>
      <c r="C16127" s="163"/>
      <c r="J16127" s="165"/>
      <c r="K16127" s="166"/>
      <c r="L16127" s="166"/>
    </row>
    <row r="16128">
      <c r="A16128" s="163" t="s">
        <v>222</v>
      </c>
      <c r="B16128" s="163"/>
      <c r="C16128" s="163"/>
      <c r="J16128" s="165"/>
      <c r="K16128" s="166"/>
      <c r="L16128" s="166"/>
    </row>
    <row r="16129">
      <c r="A16129" s="163" t="s">
        <v>222</v>
      </c>
      <c r="B16129" s="163"/>
      <c r="C16129" s="163"/>
      <c r="J16129" s="165"/>
      <c r="K16129" s="166"/>
      <c r="L16129" s="166"/>
    </row>
    <row r="16130">
      <c r="A16130" s="163" t="s">
        <v>222</v>
      </c>
      <c r="B16130" s="163"/>
      <c r="C16130" s="163"/>
      <c r="J16130" s="165"/>
      <c r="K16130" s="166"/>
      <c r="L16130" s="166"/>
    </row>
    <row r="16131">
      <c r="A16131" s="163" t="s">
        <v>222</v>
      </c>
      <c r="B16131" s="163"/>
      <c r="C16131" s="163"/>
      <c r="J16131" s="165"/>
      <c r="K16131" s="166"/>
      <c r="L16131" s="166"/>
    </row>
    <row r="16132">
      <c r="A16132" s="163" t="s">
        <v>222</v>
      </c>
      <c r="B16132" s="163"/>
      <c r="C16132" s="163"/>
      <c r="J16132" s="165"/>
      <c r="K16132" s="166"/>
      <c r="L16132" s="166"/>
    </row>
    <row r="16133">
      <c r="A16133" s="163" t="s">
        <v>222</v>
      </c>
      <c r="B16133" s="163"/>
      <c r="C16133" s="163"/>
      <c r="J16133" s="165"/>
      <c r="K16133" s="166"/>
      <c r="L16133" s="166"/>
    </row>
    <row r="16134">
      <c r="A16134" s="163" t="s">
        <v>222</v>
      </c>
      <c r="B16134" s="163"/>
      <c r="C16134" s="163"/>
      <c r="J16134" s="165"/>
      <c r="K16134" s="166"/>
      <c r="L16134" s="166"/>
    </row>
    <row r="16135">
      <c r="A16135" s="163" t="s">
        <v>222</v>
      </c>
      <c r="B16135" s="163"/>
      <c r="C16135" s="163"/>
      <c r="J16135" s="165"/>
      <c r="K16135" s="166"/>
      <c r="L16135" s="166"/>
    </row>
    <row r="16136">
      <c r="A16136" s="163" t="s">
        <v>222</v>
      </c>
      <c r="B16136" s="163"/>
      <c r="C16136" s="163"/>
      <c r="J16136" s="165"/>
      <c r="K16136" s="166"/>
      <c r="L16136" s="166"/>
    </row>
    <row r="16137">
      <c r="A16137" s="163" t="s">
        <v>222</v>
      </c>
      <c r="B16137" s="163"/>
      <c r="C16137" s="163"/>
      <c r="J16137" s="165"/>
      <c r="K16137" s="166"/>
      <c r="L16137" s="166"/>
    </row>
    <row r="16138">
      <c r="A16138" s="163" t="s">
        <v>222</v>
      </c>
      <c r="B16138" s="163"/>
      <c r="C16138" s="163"/>
      <c r="J16138" s="165"/>
      <c r="K16138" s="166"/>
      <c r="L16138" s="166"/>
    </row>
    <row r="16139">
      <c r="A16139" s="163" t="s">
        <v>222</v>
      </c>
      <c r="B16139" s="163"/>
      <c r="C16139" s="163"/>
      <c r="J16139" s="165"/>
      <c r="K16139" s="166"/>
      <c r="L16139" s="166"/>
    </row>
    <row r="16140">
      <c r="A16140" s="163" t="s">
        <v>222</v>
      </c>
      <c r="B16140" s="163"/>
      <c r="C16140" s="163"/>
      <c r="J16140" s="165"/>
      <c r="K16140" s="166"/>
      <c r="L16140" s="166"/>
    </row>
    <row r="16141">
      <c r="A16141" s="163" t="s">
        <v>222</v>
      </c>
      <c r="B16141" s="163"/>
      <c r="C16141" s="163"/>
      <c r="J16141" s="165"/>
      <c r="K16141" s="166"/>
      <c r="L16141" s="166"/>
    </row>
    <row r="16142">
      <c r="A16142" s="163" t="s">
        <v>222</v>
      </c>
      <c r="B16142" s="163"/>
      <c r="C16142" s="163"/>
      <c r="J16142" s="165"/>
      <c r="K16142" s="166"/>
      <c r="L16142" s="166"/>
    </row>
    <row r="16143">
      <c r="A16143" s="163" t="s">
        <v>222</v>
      </c>
      <c r="B16143" s="163"/>
      <c r="C16143" s="163"/>
      <c r="J16143" s="165"/>
      <c r="K16143" s="166"/>
      <c r="L16143" s="166"/>
    </row>
    <row r="16144">
      <c r="A16144" s="163" t="s">
        <v>222</v>
      </c>
      <c r="B16144" s="163"/>
      <c r="C16144" s="163"/>
      <c r="J16144" s="165"/>
      <c r="K16144" s="166"/>
      <c r="L16144" s="166"/>
    </row>
    <row r="16145">
      <c r="A16145" s="163" t="s">
        <v>222</v>
      </c>
      <c r="B16145" s="163"/>
      <c r="C16145" s="163"/>
      <c r="J16145" s="165"/>
      <c r="K16145" s="166"/>
      <c r="L16145" s="166"/>
    </row>
    <row r="16146">
      <c r="A16146" s="163" t="s">
        <v>222</v>
      </c>
      <c r="B16146" s="163"/>
      <c r="C16146" s="163"/>
      <c r="J16146" s="165"/>
      <c r="K16146" s="166"/>
      <c r="L16146" s="166"/>
    </row>
    <row r="16147">
      <c r="A16147" s="163" t="s">
        <v>222</v>
      </c>
      <c r="B16147" s="163"/>
      <c r="C16147" s="163"/>
      <c r="J16147" s="165"/>
      <c r="K16147" s="166"/>
      <c r="L16147" s="166"/>
    </row>
    <row r="16148">
      <c r="A16148" s="163" t="s">
        <v>222</v>
      </c>
      <c r="B16148" s="163"/>
      <c r="C16148" s="163"/>
      <c r="J16148" s="165"/>
      <c r="K16148" s="166"/>
      <c r="L16148" s="166"/>
    </row>
    <row r="16149">
      <c r="A16149" s="163" t="s">
        <v>222</v>
      </c>
      <c r="B16149" s="163"/>
      <c r="C16149" s="163"/>
      <c r="J16149" s="165"/>
      <c r="K16149" s="166"/>
      <c r="L16149" s="166"/>
    </row>
    <row r="16150">
      <c r="A16150" s="163" t="s">
        <v>222</v>
      </c>
      <c r="B16150" s="163"/>
      <c r="C16150" s="163"/>
      <c r="J16150" s="165"/>
      <c r="K16150" s="166"/>
      <c r="L16150" s="166"/>
    </row>
    <row r="16151">
      <c r="A16151" s="163" t="s">
        <v>222</v>
      </c>
      <c r="B16151" s="163"/>
      <c r="C16151" s="163"/>
      <c r="J16151" s="165"/>
      <c r="K16151" s="166"/>
      <c r="L16151" s="166"/>
    </row>
    <row r="16152">
      <c r="A16152" s="163" t="s">
        <v>222</v>
      </c>
      <c r="B16152" s="163"/>
      <c r="C16152" s="163"/>
      <c r="J16152" s="165"/>
      <c r="K16152" s="166"/>
      <c r="L16152" s="166"/>
    </row>
    <row r="16153">
      <c r="A16153" s="163" t="s">
        <v>222</v>
      </c>
      <c r="B16153" s="163"/>
      <c r="C16153" s="163"/>
      <c r="J16153" s="165"/>
      <c r="K16153" s="166"/>
      <c r="L16153" s="166"/>
    </row>
    <row r="16154">
      <c r="A16154" s="163" t="s">
        <v>222</v>
      </c>
      <c r="B16154" s="163"/>
      <c r="C16154" s="163"/>
      <c r="J16154" s="165"/>
      <c r="K16154" s="166"/>
      <c r="L16154" s="166"/>
    </row>
    <row r="16155">
      <c r="A16155" s="163" t="s">
        <v>222</v>
      </c>
      <c r="B16155" s="163"/>
      <c r="C16155" s="163"/>
      <c r="J16155" s="165"/>
      <c r="K16155" s="166"/>
      <c r="L16155" s="166"/>
    </row>
    <row r="16156">
      <c r="A16156" s="163" t="s">
        <v>222</v>
      </c>
      <c r="B16156" s="163"/>
      <c r="C16156" s="163"/>
      <c r="J16156" s="165"/>
      <c r="K16156" s="166"/>
      <c r="L16156" s="166"/>
    </row>
    <row r="16157">
      <c r="A16157" s="163" t="s">
        <v>222</v>
      </c>
      <c r="B16157" s="163"/>
      <c r="C16157" s="163"/>
      <c r="J16157" s="165"/>
      <c r="K16157" s="166"/>
      <c r="L16157" s="166"/>
    </row>
    <row r="16158">
      <c r="A16158" s="163" t="s">
        <v>222</v>
      </c>
      <c r="B16158" s="163"/>
      <c r="C16158" s="163"/>
      <c r="J16158" s="165"/>
      <c r="K16158" s="166"/>
      <c r="L16158" s="166"/>
    </row>
    <row r="16159">
      <c r="A16159" s="163" t="s">
        <v>222</v>
      </c>
      <c r="B16159" s="163"/>
      <c r="C16159" s="163"/>
      <c r="J16159" s="165"/>
      <c r="K16159" s="166"/>
      <c r="L16159" s="166"/>
    </row>
    <row r="16160">
      <c r="A16160" s="163" t="s">
        <v>222</v>
      </c>
      <c r="B16160" s="163"/>
      <c r="C16160" s="163"/>
      <c r="J16160" s="165"/>
      <c r="K16160" s="166"/>
      <c r="L16160" s="166"/>
    </row>
    <row r="16161">
      <c r="A16161" s="163" t="s">
        <v>222</v>
      </c>
      <c r="B16161" s="163"/>
      <c r="C16161" s="163"/>
      <c r="J16161" s="165"/>
      <c r="K16161" s="166"/>
      <c r="L16161" s="166"/>
    </row>
    <row r="16162">
      <c r="A16162" s="163" t="s">
        <v>222</v>
      </c>
      <c r="B16162" s="163"/>
      <c r="C16162" s="163"/>
      <c r="J16162" s="165"/>
      <c r="K16162" s="166"/>
      <c r="L16162" s="166"/>
    </row>
    <row r="16163">
      <c r="A16163" s="163" t="s">
        <v>222</v>
      </c>
      <c r="B16163" s="163"/>
      <c r="C16163" s="163"/>
      <c r="J16163" s="165"/>
      <c r="K16163" s="166"/>
      <c r="L16163" s="166"/>
    </row>
    <row r="16164">
      <c r="A16164" s="163" t="s">
        <v>222</v>
      </c>
      <c r="B16164" s="163"/>
      <c r="C16164" s="163"/>
      <c r="J16164" s="165"/>
      <c r="K16164" s="166"/>
      <c r="L16164" s="166"/>
    </row>
    <row r="16165">
      <c r="A16165" s="163" t="s">
        <v>222</v>
      </c>
      <c r="B16165" s="163"/>
      <c r="C16165" s="163"/>
      <c r="J16165" s="165"/>
      <c r="K16165" s="166"/>
      <c r="L16165" s="166"/>
    </row>
    <row r="16166">
      <c r="A16166" s="163" t="s">
        <v>222</v>
      </c>
      <c r="B16166" s="163"/>
      <c r="C16166" s="163"/>
      <c r="J16166" s="165"/>
      <c r="K16166" s="166"/>
      <c r="L16166" s="166"/>
    </row>
    <row r="16167">
      <c r="A16167" s="163" t="s">
        <v>222</v>
      </c>
      <c r="B16167" s="163"/>
      <c r="C16167" s="163"/>
      <c r="J16167" s="165"/>
      <c r="K16167" s="166"/>
      <c r="L16167" s="166"/>
    </row>
    <row r="16168">
      <c r="A16168" s="163" t="s">
        <v>222</v>
      </c>
      <c r="B16168" s="163"/>
      <c r="C16168" s="163"/>
      <c r="J16168" s="165"/>
      <c r="K16168" s="166"/>
      <c r="L16168" s="166"/>
    </row>
    <row r="16169">
      <c r="A16169" s="163" t="s">
        <v>222</v>
      </c>
      <c r="B16169" s="163"/>
      <c r="C16169" s="163"/>
      <c r="J16169" s="165"/>
      <c r="K16169" s="166"/>
      <c r="L16169" s="166"/>
    </row>
    <row r="16170">
      <c r="A16170" s="163" t="s">
        <v>222</v>
      </c>
      <c r="B16170" s="163"/>
      <c r="C16170" s="163"/>
      <c r="J16170" s="165"/>
      <c r="K16170" s="166"/>
      <c r="L16170" s="166"/>
    </row>
    <row r="16171">
      <c r="A16171" s="163" t="s">
        <v>222</v>
      </c>
      <c r="B16171" s="163"/>
      <c r="C16171" s="163"/>
      <c r="J16171" s="165"/>
      <c r="K16171" s="166"/>
      <c r="L16171" s="166"/>
    </row>
    <row r="16172">
      <c r="A16172" s="163" t="s">
        <v>222</v>
      </c>
      <c r="B16172" s="163"/>
      <c r="C16172" s="163"/>
      <c r="J16172" s="165"/>
      <c r="K16172" s="166"/>
      <c r="L16172" s="166"/>
    </row>
    <row r="16173">
      <c r="A16173" s="163" t="s">
        <v>222</v>
      </c>
      <c r="B16173" s="163"/>
      <c r="C16173" s="163"/>
      <c r="J16173" s="165"/>
      <c r="K16173" s="166"/>
      <c r="L16173" s="166"/>
    </row>
    <row r="16174">
      <c r="A16174" s="163" t="s">
        <v>222</v>
      </c>
      <c r="B16174" s="163"/>
      <c r="C16174" s="163"/>
      <c r="J16174" s="165"/>
      <c r="K16174" s="166"/>
      <c r="L16174" s="166"/>
    </row>
    <row r="16175">
      <c r="A16175" s="163" t="s">
        <v>222</v>
      </c>
      <c r="B16175" s="163"/>
      <c r="C16175" s="163"/>
      <c r="J16175" s="165"/>
      <c r="K16175" s="166"/>
      <c r="L16175" s="166"/>
    </row>
    <row r="16176">
      <c r="A16176" s="163" t="s">
        <v>222</v>
      </c>
      <c r="B16176" s="163"/>
      <c r="C16176" s="163"/>
      <c r="J16176" s="165"/>
      <c r="K16176" s="166"/>
      <c r="L16176" s="166"/>
    </row>
    <row r="16177">
      <c r="A16177" s="163" t="s">
        <v>222</v>
      </c>
      <c r="B16177" s="163"/>
      <c r="C16177" s="163"/>
      <c r="J16177" s="165"/>
      <c r="K16177" s="166"/>
      <c r="L16177" s="166"/>
    </row>
    <row r="16178">
      <c r="A16178" s="163" t="s">
        <v>222</v>
      </c>
      <c r="B16178" s="163"/>
      <c r="C16178" s="163"/>
      <c r="J16178" s="165"/>
      <c r="K16178" s="166"/>
      <c r="L16178" s="166"/>
    </row>
    <row r="16179">
      <c r="A16179" s="163" t="s">
        <v>222</v>
      </c>
      <c r="B16179" s="163"/>
      <c r="C16179" s="163"/>
      <c r="J16179" s="165"/>
      <c r="K16179" s="166"/>
      <c r="L16179" s="166"/>
    </row>
    <row r="16180">
      <c r="A16180" s="163" t="s">
        <v>222</v>
      </c>
      <c r="B16180" s="163"/>
      <c r="C16180" s="163"/>
      <c r="J16180" s="165"/>
      <c r="K16180" s="166"/>
      <c r="L16180" s="166"/>
    </row>
    <row r="16181">
      <c r="A16181" s="163" t="s">
        <v>222</v>
      </c>
      <c r="B16181" s="163"/>
      <c r="C16181" s="163"/>
      <c r="J16181" s="165"/>
      <c r="K16181" s="166"/>
      <c r="L16181" s="166"/>
    </row>
    <row r="16182">
      <c r="A16182" s="163" t="s">
        <v>222</v>
      </c>
      <c r="B16182" s="163"/>
      <c r="C16182" s="163"/>
      <c r="J16182" s="165"/>
      <c r="K16182" s="166"/>
      <c r="L16182" s="166"/>
    </row>
    <row r="16183">
      <c r="A16183" s="163" t="s">
        <v>222</v>
      </c>
      <c r="B16183" s="163"/>
      <c r="C16183" s="163"/>
      <c r="J16183" s="165"/>
      <c r="K16183" s="166"/>
      <c r="L16183" s="166"/>
    </row>
    <row r="16184">
      <c r="A16184" s="163" t="s">
        <v>222</v>
      </c>
      <c r="B16184" s="163"/>
      <c r="C16184" s="163"/>
      <c r="J16184" s="165"/>
      <c r="K16184" s="166"/>
      <c r="L16184" s="166"/>
    </row>
    <row r="16185">
      <c r="A16185" s="163" t="s">
        <v>222</v>
      </c>
      <c r="B16185" s="163"/>
      <c r="C16185" s="163"/>
      <c r="J16185" s="165"/>
      <c r="K16185" s="166"/>
      <c r="L16185" s="166"/>
    </row>
    <row r="16186">
      <c r="A16186" s="163" t="s">
        <v>222</v>
      </c>
      <c r="B16186" s="163"/>
      <c r="C16186" s="163"/>
      <c r="J16186" s="165"/>
      <c r="K16186" s="166"/>
      <c r="L16186" s="166"/>
    </row>
    <row r="16187">
      <c r="A16187" s="163" t="s">
        <v>222</v>
      </c>
      <c r="B16187" s="163"/>
      <c r="C16187" s="163"/>
      <c r="J16187" s="165"/>
      <c r="K16187" s="166"/>
      <c r="L16187" s="166"/>
    </row>
    <row r="16188">
      <c r="A16188" s="163" t="s">
        <v>222</v>
      </c>
      <c r="B16188" s="163"/>
      <c r="C16188" s="163"/>
      <c r="J16188" s="165"/>
      <c r="K16188" s="166"/>
      <c r="L16188" s="166"/>
    </row>
    <row r="16189">
      <c r="A16189" s="163" t="s">
        <v>222</v>
      </c>
      <c r="B16189" s="163"/>
      <c r="C16189" s="163"/>
      <c r="J16189" s="165"/>
      <c r="K16189" s="166"/>
      <c r="L16189" s="166"/>
    </row>
    <row r="16190">
      <c r="A16190" s="163" t="s">
        <v>222</v>
      </c>
      <c r="B16190" s="163"/>
      <c r="C16190" s="163"/>
      <c r="J16190" s="165"/>
      <c r="K16190" s="166"/>
      <c r="L16190" s="166"/>
    </row>
    <row r="16191">
      <c r="A16191" s="163" t="s">
        <v>222</v>
      </c>
      <c r="B16191" s="163"/>
      <c r="C16191" s="163"/>
      <c r="J16191" s="165"/>
      <c r="K16191" s="166"/>
      <c r="L16191" s="166"/>
    </row>
    <row r="16192">
      <c r="A16192" s="163" t="s">
        <v>222</v>
      </c>
      <c r="B16192" s="163"/>
      <c r="C16192" s="163"/>
      <c r="J16192" s="165"/>
      <c r="K16192" s="166"/>
      <c r="L16192" s="166"/>
    </row>
    <row r="16193">
      <c r="A16193" s="163" t="s">
        <v>222</v>
      </c>
      <c r="B16193" s="163"/>
      <c r="C16193" s="163"/>
      <c r="J16193" s="165"/>
      <c r="K16193" s="166"/>
      <c r="L16193" s="166"/>
    </row>
    <row r="16194">
      <c r="A16194" s="163" t="s">
        <v>222</v>
      </c>
      <c r="B16194" s="163"/>
      <c r="C16194" s="163"/>
      <c r="J16194" s="165"/>
      <c r="K16194" s="166"/>
      <c r="L16194" s="166"/>
    </row>
    <row r="16195">
      <c r="A16195" s="163" t="s">
        <v>222</v>
      </c>
      <c r="B16195" s="163"/>
      <c r="C16195" s="163"/>
      <c r="J16195" s="165"/>
      <c r="K16195" s="166"/>
      <c r="L16195" s="166"/>
    </row>
    <row r="16196">
      <c r="A16196" s="163" t="s">
        <v>222</v>
      </c>
      <c r="B16196" s="163"/>
      <c r="C16196" s="163"/>
      <c r="J16196" s="165"/>
      <c r="K16196" s="166"/>
      <c r="L16196" s="166"/>
    </row>
    <row r="16197">
      <c r="A16197" s="163" t="s">
        <v>222</v>
      </c>
      <c r="B16197" s="163"/>
      <c r="C16197" s="163"/>
      <c r="J16197" s="165"/>
      <c r="K16197" s="166"/>
      <c r="L16197" s="166"/>
    </row>
    <row r="16198">
      <c r="A16198" s="163" t="s">
        <v>222</v>
      </c>
      <c r="B16198" s="163"/>
      <c r="C16198" s="163"/>
      <c r="J16198" s="165"/>
      <c r="K16198" s="166"/>
      <c r="L16198" s="166"/>
    </row>
    <row r="16199">
      <c r="A16199" s="163" t="s">
        <v>222</v>
      </c>
      <c r="B16199" s="163"/>
      <c r="C16199" s="163"/>
      <c r="J16199" s="165"/>
      <c r="K16199" s="166"/>
      <c r="L16199" s="166"/>
    </row>
    <row r="16200">
      <c r="A16200" s="163" t="s">
        <v>222</v>
      </c>
      <c r="B16200" s="163"/>
      <c r="C16200" s="163"/>
      <c r="J16200" s="165"/>
      <c r="K16200" s="166"/>
      <c r="L16200" s="166"/>
    </row>
    <row r="16201">
      <c r="A16201" s="163" t="s">
        <v>222</v>
      </c>
      <c r="B16201" s="163"/>
      <c r="C16201" s="163"/>
      <c r="J16201" s="165"/>
      <c r="K16201" s="166"/>
      <c r="L16201" s="166"/>
    </row>
    <row r="16202">
      <c r="A16202" s="163" t="s">
        <v>222</v>
      </c>
      <c r="B16202" s="163"/>
      <c r="C16202" s="163"/>
      <c r="J16202" s="165"/>
      <c r="K16202" s="166"/>
      <c r="L16202" s="166"/>
    </row>
    <row r="16203">
      <c r="A16203" s="163" t="s">
        <v>222</v>
      </c>
      <c r="B16203" s="163"/>
      <c r="C16203" s="163"/>
      <c r="J16203" s="165"/>
      <c r="K16203" s="166"/>
      <c r="L16203" s="166"/>
    </row>
    <row r="16204">
      <c r="A16204" s="163" t="s">
        <v>222</v>
      </c>
      <c r="B16204" s="163"/>
      <c r="C16204" s="163"/>
      <c r="J16204" s="165"/>
      <c r="K16204" s="166"/>
      <c r="L16204" s="166"/>
    </row>
    <row r="16205">
      <c r="A16205" s="163" t="s">
        <v>222</v>
      </c>
      <c r="B16205" s="163"/>
      <c r="C16205" s="163"/>
      <c r="J16205" s="165"/>
      <c r="K16205" s="166"/>
      <c r="L16205" s="166"/>
    </row>
    <row r="16206">
      <c r="A16206" s="163" t="s">
        <v>222</v>
      </c>
      <c r="B16206" s="163"/>
      <c r="C16206" s="163"/>
      <c r="J16206" s="165"/>
      <c r="K16206" s="166"/>
      <c r="L16206" s="166"/>
    </row>
    <row r="16207">
      <c r="A16207" s="163" t="s">
        <v>222</v>
      </c>
      <c r="B16207" s="163"/>
      <c r="C16207" s="163"/>
      <c r="J16207" s="165"/>
      <c r="K16207" s="166"/>
      <c r="L16207" s="166"/>
    </row>
    <row r="16208">
      <c r="A16208" s="163" t="s">
        <v>222</v>
      </c>
      <c r="B16208" s="163"/>
      <c r="C16208" s="163"/>
      <c r="J16208" s="165"/>
      <c r="K16208" s="166"/>
      <c r="L16208" s="166"/>
    </row>
    <row r="16209">
      <c r="A16209" s="163" t="s">
        <v>222</v>
      </c>
      <c r="B16209" s="163"/>
      <c r="C16209" s="163"/>
      <c r="J16209" s="165"/>
      <c r="K16209" s="166"/>
      <c r="L16209" s="166"/>
    </row>
    <row r="16210">
      <c r="A16210" s="163" t="s">
        <v>222</v>
      </c>
      <c r="B16210" s="163"/>
      <c r="C16210" s="163"/>
      <c r="J16210" s="165"/>
      <c r="K16210" s="166"/>
      <c r="L16210" s="166"/>
    </row>
    <row r="16211">
      <c r="A16211" s="163" t="s">
        <v>222</v>
      </c>
      <c r="B16211" s="163"/>
      <c r="C16211" s="163"/>
      <c r="J16211" s="165"/>
      <c r="K16211" s="166"/>
      <c r="L16211" s="166"/>
    </row>
    <row r="16212">
      <c r="A16212" s="163" t="s">
        <v>222</v>
      </c>
      <c r="B16212" s="163"/>
      <c r="C16212" s="163"/>
      <c r="J16212" s="165"/>
      <c r="K16212" s="166"/>
      <c r="L16212" s="166"/>
    </row>
    <row r="16213">
      <c r="A16213" s="163" t="s">
        <v>222</v>
      </c>
      <c r="B16213" s="163"/>
      <c r="C16213" s="163"/>
      <c r="J16213" s="165"/>
      <c r="K16213" s="166"/>
      <c r="L16213" s="166"/>
    </row>
    <row r="16214">
      <c r="A16214" s="163" t="s">
        <v>222</v>
      </c>
      <c r="B16214" s="163"/>
      <c r="C16214" s="163"/>
      <c r="J16214" s="165"/>
      <c r="K16214" s="166"/>
      <c r="L16214" s="166"/>
    </row>
    <row r="16215">
      <c r="A16215" s="163" t="s">
        <v>222</v>
      </c>
      <c r="B16215" s="163"/>
      <c r="C16215" s="163"/>
      <c r="J16215" s="165"/>
      <c r="K16215" s="166"/>
      <c r="L16215" s="166"/>
    </row>
    <row r="16216">
      <c r="A16216" s="163" t="s">
        <v>222</v>
      </c>
      <c r="B16216" s="163"/>
      <c r="C16216" s="163"/>
      <c r="J16216" s="165"/>
      <c r="K16216" s="166"/>
      <c r="L16216" s="166"/>
    </row>
    <row r="16217">
      <c r="A16217" s="163" t="s">
        <v>222</v>
      </c>
      <c r="B16217" s="163"/>
      <c r="C16217" s="163"/>
      <c r="J16217" s="165"/>
      <c r="K16217" s="166"/>
      <c r="L16217" s="166"/>
    </row>
    <row r="16218">
      <c r="A16218" s="163" t="s">
        <v>222</v>
      </c>
      <c r="B16218" s="163"/>
      <c r="C16218" s="163"/>
      <c r="J16218" s="165"/>
      <c r="K16218" s="166"/>
      <c r="L16218" s="166"/>
    </row>
    <row r="16219">
      <c r="A16219" s="163" t="s">
        <v>222</v>
      </c>
      <c r="B16219" s="163"/>
      <c r="C16219" s="163"/>
      <c r="J16219" s="165"/>
      <c r="K16219" s="166"/>
      <c r="L16219" s="166"/>
    </row>
    <row r="16220">
      <c r="A16220" s="163" t="s">
        <v>222</v>
      </c>
      <c r="B16220" s="163"/>
      <c r="C16220" s="163"/>
      <c r="J16220" s="165"/>
      <c r="K16220" s="166"/>
      <c r="L16220" s="166"/>
    </row>
    <row r="16221">
      <c r="A16221" s="163" t="s">
        <v>222</v>
      </c>
      <c r="B16221" s="163"/>
      <c r="C16221" s="163"/>
      <c r="J16221" s="165"/>
      <c r="K16221" s="166"/>
      <c r="L16221" s="166"/>
    </row>
    <row r="16222">
      <c r="A16222" s="163" t="s">
        <v>222</v>
      </c>
      <c r="B16222" s="163"/>
      <c r="C16222" s="163"/>
      <c r="J16222" s="165"/>
      <c r="K16222" s="166"/>
      <c r="L16222" s="166"/>
    </row>
    <row r="16223">
      <c r="A16223" s="163" t="s">
        <v>222</v>
      </c>
      <c r="B16223" s="163"/>
      <c r="C16223" s="163"/>
      <c r="J16223" s="165"/>
      <c r="K16223" s="166"/>
      <c r="L16223" s="166"/>
    </row>
    <row r="16224">
      <c r="A16224" s="163" t="s">
        <v>222</v>
      </c>
      <c r="B16224" s="163"/>
      <c r="C16224" s="163"/>
      <c r="J16224" s="165"/>
      <c r="K16224" s="166"/>
      <c r="L16224" s="166"/>
    </row>
    <row r="16225">
      <c r="A16225" s="163" t="s">
        <v>222</v>
      </c>
      <c r="B16225" s="163"/>
      <c r="C16225" s="163"/>
      <c r="J16225" s="165"/>
      <c r="K16225" s="166"/>
      <c r="L16225" s="166"/>
    </row>
    <row r="16226">
      <c r="A16226" s="163" t="s">
        <v>222</v>
      </c>
      <c r="B16226" s="163"/>
      <c r="C16226" s="163"/>
      <c r="J16226" s="165"/>
      <c r="K16226" s="166"/>
      <c r="L16226" s="166"/>
    </row>
    <row r="16227">
      <c r="A16227" s="163" t="s">
        <v>222</v>
      </c>
      <c r="B16227" s="163"/>
      <c r="C16227" s="163"/>
      <c r="J16227" s="165"/>
      <c r="K16227" s="166"/>
      <c r="L16227" s="166"/>
    </row>
    <row r="16228">
      <c r="A16228" s="163" t="s">
        <v>222</v>
      </c>
      <c r="B16228" s="163"/>
      <c r="C16228" s="163"/>
      <c r="J16228" s="165"/>
      <c r="K16228" s="166"/>
      <c r="L16228" s="166"/>
    </row>
    <row r="16229">
      <c r="A16229" s="163" t="s">
        <v>222</v>
      </c>
      <c r="B16229" s="163"/>
      <c r="C16229" s="163"/>
      <c r="J16229" s="165"/>
      <c r="K16229" s="166"/>
      <c r="L16229" s="166"/>
    </row>
    <row r="16230">
      <c r="A16230" s="163" t="s">
        <v>222</v>
      </c>
      <c r="B16230" s="163"/>
      <c r="C16230" s="163"/>
      <c r="J16230" s="165"/>
      <c r="K16230" s="166"/>
      <c r="L16230" s="166"/>
    </row>
    <row r="16231">
      <c r="A16231" s="163" t="s">
        <v>222</v>
      </c>
      <c r="B16231" s="163"/>
      <c r="C16231" s="163"/>
      <c r="J16231" s="165"/>
      <c r="K16231" s="166"/>
      <c r="L16231" s="166"/>
    </row>
    <row r="16232">
      <c r="A16232" s="163" t="s">
        <v>222</v>
      </c>
      <c r="B16232" s="163"/>
      <c r="C16232" s="163"/>
      <c r="J16232" s="165"/>
      <c r="K16232" s="166"/>
      <c r="L16232" s="166"/>
    </row>
    <row r="16233">
      <c r="A16233" s="163" t="s">
        <v>222</v>
      </c>
      <c r="B16233" s="163"/>
      <c r="C16233" s="163"/>
      <c r="J16233" s="165"/>
      <c r="K16233" s="166"/>
      <c r="L16233" s="166"/>
    </row>
    <row r="16234">
      <c r="A16234" s="163" t="s">
        <v>222</v>
      </c>
      <c r="B16234" s="163"/>
      <c r="C16234" s="163"/>
      <c r="J16234" s="165"/>
      <c r="K16234" s="166"/>
      <c r="L16234" s="166"/>
    </row>
    <row r="16235">
      <c r="A16235" s="163" t="s">
        <v>222</v>
      </c>
      <c r="B16235" s="163"/>
      <c r="C16235" s="163"/>
      <c r="J16235" s="165"/>
      <c r="K16235" s="166"/>
      <c r="L16235" s="166"/>
    </row>
    <row r="16236">
      <c r="A16236" s="163" t="s">
        <v>222</v>
      </c>
      <c r="B16236" s="163"/>
      <c r="C16236" s="163"/>
      <c r="J16236" s="165"/>
      <c r="K16236" s="166"/>
      <c r="L16236" s="166"/>
    </row>
    <row r="16237">
      <c r="A16237" s="163" t="s">
        <v>222</v>
      </c>
      <c r="B16237" s="163"/>
      <c r="C16237" s="163"/>
      <c r="J16237" s="165"/>
      <c r="K16237" s="166"/>
      <c r="L16237" s="166"/>
    </row>
    <row r="16238">
      <c r="A16238" s="163" t="s">
        <v>222</v>
      </c>
      <c r="B16238" s="163"/>
      <c r="C16238" s="163"/>
      <c r="J16238" s="165"/>
      <c r="K16238" s="166"/>
      <c r="L16238" s="166"/>
    </row>
    <row r="16239">
      <c r="A16239" s="163" t="s">
        <v>222</v>
      </c>
      <c r="B16239" s="163"/>
      <c r="C16239" s="163"/>
      <c r="J16239" s="165"/>
      <c r="K16239" s="166"/>
      <c r="L16239" s="166"/>
    </row>
    <row r="16240">
      <c r="A16240" s="163" t="s">
        <v>222</v>
      </c>
      <c r="B16240" s="163"/>
      <c r="C16240" s="163"/>
      <c r="J16240" s="165"/>
      <c r="K16240" s="166"/>
      <c r="L16240" s="166"/>
    </row>
    <row r="16241">
      <c r="A16241" s="163" t="s">
        <v>222</v>
      </c>
      <c r="B16241" s="163"/>
      <c r="C16241" s="163"/>
      <c r="J16241" s="165"/>
      <c r="K16241" s="166"/>
      <c r="L16241" s="166"/>
    </row>
    <row r="16242">
      <c r="A16242" s="163" t="s">
        <v>222</v>
      </c>
      <c r="B16242" s="163"/>
      <c r="C16242" s="163"/>
      <c r="J16242" s="165"/>
      <c r="K16242" s="166"/>
      <c r="L16242" s="166"/>
    </row>
    <row r="16243">
      <c r="A16243" s="163" t="s">
        <v>222</v>
      </c>
      <c r="B16243" s="163"/>
      <c r="C16243" s="163"/>
      <c r="J16243" s="165"/>
      <c r="K16243" s="166"/>
      <c r="L16243" s="166"/>
    </row>
    <row r="16244">
      <c r="A16244" s="163" t="s">
        <v>222</v>
      </c>
      <c r="B16244" s="163"/>
      <c r="C16244" s="163"/>
      <c r="J16244" s="165"/>
      <c r="K16244" s="166"/>
      <c r="L16244" s="166"/>
    </row>
    <row r="16245">
      <c r="A16245" s="163" t="s">
        <v>222</v>
      </c>
      <c r="B16245" s="163"/>
      <c r="C16245" s="163"/>
      <c r="J16245" s="165"/>
      <c r="K16245" s="166"/>
      <c r="L16245" s="166"/>
    </row>
    <row r="16246">
      <c r="A16246" s="163" t="s">
        <v>222</v>
      </c>
      <c r="B16246" s="163"/>
      <c r="C16246" s="163"/>
      <c r="J16246" s="165"/>
      <c r="K16246" s="166"/>
      <c r="L16246" s="166"/>
    </row>
    <row r="16247">
      <c r="A16247" s="163" t="s">
        <v>222</v>
      </c>
      <c r="B16247" s="163"/>
      <c r="C16247" s="163"/>
      <c r="J16247" s="165"/>
      <c r="K16247" s="166"/>
      <c r="L16247" s="166"/>
    </row>
    <row r="16248">
      <c r="A16248" s="163" t="s">
        <v>222</v>
      </c>
      <c r="B16248" s="163"/>
      <c r="C16248" s="163"/>
      <c r="J16248" s="165"/>
      <c r="K16248" s="166"/>
      <c r="L16248" s="166"/>
    </row>
    <row r="16249">
      <c r="A16249" s="163" t="s">
        <v>222</v>
      </c>
      <c r="B16249" s="163"/>
      <c r="C16249" s="163"/>
      <c r="J16249" s="165"/>
      <c r="K16249" s="166"/>
      <c r="L16249" s="166"/>
    </row>
    <row r="16250">
      <c r="A16250" s="163" t="s">
        <v>222</v>
      </c>
      <c r="B16250" s="163"/>
      <c r="C16250" s="163"/>
      <c r="J16250" s="165"/>
      <c r="K16250" s="166"/>
      <c r="L16250" s="166"/>
    </row>
    <row r="16251">
      <c r="A16251" s="163" t="s">
        <v>222</v>
      </c>
      <c r="B16251" s="163"/>
      <c r="C16251" s="163"/>
      <c r="J16251" s="165"/>
      <c r="K16251" s="166"/>
      <c r="L16251" s="166"/>
    </row>
    <row r="16252">
      <c r="A16252" s="163" t="s">
        <v>222</v>
      </c>
      <c r="B16252" s="163"/>
      <c r="C16252" s="163"/>
      <c r="J16252" s="165"/>
      <c r="K16252" s="166"/>
      <c r="L16252" s="166"/>
    </row>
    <row r="16253">
      <c r="A16253" s="163" t="s">
        <v>222</v>
      </c>
      <c r="B16253" s="163"/>
      <c r="C16253" s="163"/>
      <c r="J16253" s="165"/>
      <c r="K16253" s="166"/>
      <c r="L16253" s="166"/>
    </row>
    <row r="16254">
      <c r="A16254" s="163" t="s">
        <v>222</v>
      </c>
      <c r="B16254" s="163"/>
      <c r="C16254" s="163"/>
      <c r="J16254" s="165"/>
      <c r="K16254" s="166"/>
      <c r="L16254" s="166"/>
    </row>
    <row r="16255">
      <c r="A16255" s="163" t="s">
        <v>222</v>
      </c>
      <c r="B16255" s="163"/>
      <c r="C16255" s="163"/>
      <c r="J16255" s="165"/>
      <c r="K16255" s="166"/>
      <c r="L16255" s="166"/>
    </row>
    <row r="16256">
      <c r="A16256" s="163" t="s">
        <v>222</v>
      </c>
      <c r="B16256" s="163"/>
      <c r="C16256" s="163"/>
      <c r="J16256" s="165"/>
      <c r="K16256" s="166"/>
      <c r="L16256" s="166"/>
    </row>
    <row r="16257">
      <c r="A16257" s="163" t="s">
        <v>222</v>
      </c>
      <c r="B16257" s="163"/>
      <c r="C16257" s="163"/>
      <c r="J16257" s="165"/>
      <c r="K16257" s="166"/>
      <c r="L16257" s="166"/>
    </row>
    <row r="16258">
      <c r="A16258" s="163" t="s">
        <v>222</v>
      </c>
      <c r="B16258" s="163"/>
      <c r="C16258" s="163"/>
      <c r="J16258" s="165"/>
      <c r="K16258" s="166"/>
      <c r="L16258" s="166"/>
    </row>
    <row r="16259">
      <c r="A16259" s="163" t="s">
        <v>222</v>
      </c>
      <c r="B16259" s="163"/>
      <c r="C16259" s="163"/>
      <c r="J16259" s="165"/>
      <c r="K16259" s="166"/>
      <c r="L16259" s="166"/>
    </row>
    <row r="16260">
      <c r="A16260" s="163" t="s">
        <v>222</v>
      </c>
      <c r="B16260" s="163"/>
      <c r="C16260" s="163"/>
      <c r="J16260" s="165"/>
      <c r="K16260" s="166"/>
      <c r="L16260" s="166"/>
    </row>
    <row r="16261">
      <c r="A16261" s="163" t="s">
        <v>222</v>
      </c>
      <c r="B16261" s="163"/>
      <c r="C16261" s="163"/>
      <c r="J16261" s="165"/>
      <c r="K16261" s="166"/>
      <c r="L16261" s="166"/>
    </row>
    <row r="16262">
      <c r="A16262" s="163" t="s">
        <v>222</v>
      </c>
      <c r="B16262" s="163"/>
      <c r="C16262" s="163"/>
      <c r="J16262" s="165"/>
      <c r="K16262" s="166"/>
      <c r="L16262" s="166"/>
    </row>
    <row r="16263">
      <c r="A16263" s="163" t="s">
        <v>222</v>
      </c>
      <c r="B16263" s="163"/>
      <c r="C16263" s="163"/>
      <c r="J16263" s="165"/>
      <c r="K16263" s="166"/>
      <c r="L16263" s="166"/>
    </row>
    <row r="16264">
      <c r="A16264" s="163" t="s">
        <v>222</v>
      </c>
      <c r="B16264" s="163"/>
      <c r="C16264" s="163"/>
      <c r="J16264" s="165"/>
      <c r="K16264" s="166"/>
      <c r="L16264" s="166"/>
    </row>
    <row r="16265">
      <c r="A16265" s="163" t="s">
        <v>222</v>
      </c>
      <c r="B16265" s="163"/>
      <c r="C16265" s="163"/>
      <c r="J16265" s="165"/>
      <c r="K16265" s="166"/>
      <c r="L16265" s="166"/>
    </row>
    <row r="16266">
      <c r="A16266" s="163" t="s">
        <v>222</v>
      </c>
      <c r="B16266" s="163"/>
      <c r="C16266" s="163"/>
      <c r="J16266" s="165"/>
      <c r="K16266" s="166"/>
      <c r="L16266" s="166"/>
    </row>
    <row r="16267">
      <c r="A16267" s="163" t="s">
        <v>222</v>
      </c>
      <c r="B16267" s="163"/>
      <c r="C16267" s="163"/>
      <c r="J16267" s="165"/>
      <c r="K16267" s="166"/>
      <c r="L16267" s="166"/>
    </row>
    <row r="16268">
      <c r="A16268" s="163" t="s">
        <v>222</v>
      </c>
      <c r="B16268" s="163"/>
      <c r="C16268" s="163"/>
      <c r="J16268" s="165"/>
      <c r="K16268" s="166"/>
      <c r="L16268" s="166"/>
    </row>
    <row r="16269">
      <c r="A16269" s="163" t="s">
        <v>222</v>
      </c>
      <c r="B16269" s="163"/>
      <c r="C16269" s="163"/>
      <c r="J16269" s="165"/>
      <c r="K16269" s="166"/>
      <c r="L16269" s="166"/>
    </row>
    <row r="16270">
      <c r="A16270" s="163" t="s">
        <v>222</v>
      </c>
      <c r="B16270" s="163"/>
      <c r="C16270" s="163"/>
      <c r="J16270" s="165"/>
      <c r="K16270" s="166"/>
      <c r="L16270" s="166"/>
    </row>
    <row r="16271">
      <c r="A16271" s="163" t="s">
        <v>222</v>
      </c>
      <c r="B16271" s="163"/>
      <c r="C16271" s="163"/>
      <c r="J16271" s="165"/>
      <c r="K16271" s="166"/>
      <c r="L16271" s="166"/>
    </row>
    <row r="16272">
      <c r="A16272" s="163" t="s">
        <v>222</v>
      </c>
      <c r="B16272" s="163"/>
      <c r="C16272" s="163"/>
      <c r="J16272" s="165"/>
      <c r="K16272" s="166"/>
      <c r="L16272" s="166"/>
    </row>
    <row r="16273">
      <c r="A16273" s="163" t="s">
        <v>222</v>
      </c>
      <c r="B16273" s="163"/>
      <c r="C16273" s="163"/>
      <c r="J16273" s="165"/>
      <c r="K16273" s="166"/>
      <c r="L16273" s="166"/>
    </row>
    <row r="16274">
      <c r="A16274" s="163" t="s">
        <v>222</v>
      </c>
      <c r="B16274" s="163"/>
      <c r="C16274" s="163"/>
      <c r="J16274" s="165"/>
      <c r="K16274" s="166"/>
      <c r="L16274" s="166"/>
    </row>
    <row r="16275">
      <c r="A16275" s="163" t="s">
        <v>222</v>
      </c>
      <c r="B16275" s="163"/>
      <c r="C16275" s="163"/>
      <c r="J16275" s="165"/>
      <c r="K16275" s="166"/>
      <c r="L16275" s="166"/>
    </row>
    <row r="16276">
      <c r="A16276" s="163" t="s">
        <v>222</v>
      </c>
      <c r="B16276" s="163"/>
      <c r="C16276" s="163"/>
      <c r="J16276" s="165"/>
      <c r="K16276" s="166"/>
      <c r="L16276" s="166"/>
    </row>
    <row r="16277">
      <c r="A16277" s="163" t="s">
        <v>222</v>
      </c>
      <c r="B16277" s="163"/>
      <c r="C16277" s="163"/>
      <c r="J16277" s="165"/>
      <c r="K16277" s="166"/>
      <c r="L16277" s="166"/>
    </row>
    <row r="16278">
      <c r="A16278" s="163" t="s">
        <v>222</v>
      </c>
      <c r="B16278" s="163"/>
      <c r="C16278" s="163"/>
      <c r="J16278" s="165"/>
      <c r="K16278" s="166"/>
      <c r="L16278" s="166"/>
    </row>
    <row r="16279">
      <c r="A16279" s="163" t="s">
        <v>222</v>
      </c>
      <c r="B16279" s="163"/>
      <c r="C16279" s="163"/>
      <c r="J16279" s="165"/>
      <c r="K16279" s="166"/>
      <c r="L16279" s="166"/>
    </row>
    <row r="16280">
      <c r="A16280" s="163" t="s">
        <v>222</v>
      </c>
      <c r="B16280" s="163"/>
      <c r="C16280" s="163"/>
      <c r="J16280" s="165"/>
      <c r="K16280" s="166"/>
      <c r="L16280" s="166"/>
    </row>
    <row r="16281">
      <c r="A16281" s="163" t="s">
        <v>222</v>
      </c>
      <c r="B16281" s="163"/>
      <c r="C16281" s="163"/>
      <c r="J16281" s="165"/>
      <c r="K16281" s="166"/>
      <c r="L16281" s="166"/>
    </row>
    <row r="16282">
      <c r="A16282" s="163" t="s">
        <v>222</v>
      </c>
      <c r="B16282" s="163"/>
      <c r="C16282" s="163"/>
      <c r="J16282" s="165"/>
      <c r="K16282" s="166"/>
      <c r="L16282" s="166"/>
    </row>
    <row r="16283">
      <c r="A16283" s="163" t="s">
        <v>222</v>
      </c>
      <c r="B16283" s="163"/>
      <c r="C16283" s="163"/>
      <c r="J16283" s="165"/>
      <c r="K16283" s="166"/>
      <c r="L16283" s="166"/>
    </row>
    <row r="16284">
      <c r="A16284" s="163" t="s">
        <v>222</v>
      </c>
      <c r="B16284" s="163"/>
      <c r="C16284" s="163"/>
      <c r="J16284" s="165"/>
      <c r="K16284" s="166"/>
      <c r="L16284" s="166"/>
    </row>
    <row r="16285">
      <c r="A16285" s="163" t="s">
        <v>222</v>
      </c>
      <c r="B16285" s="163"/>
      <c r="C16285" s="163"/>
      <c r="J16285" s="165"/>
      <c r="K16285" s="166"/>
      <c r="L16285" s="166"/>
    </row>
    <row r="16286">
      <c r="A16286" s="163" t="s">
        <v>222</v>
      </c>
      <c r="B16286" s="163"/>
      <c r="C16286" s="163"/>
      <c r="J16286" s="165"/>
      <c r="K16286" s="166"/>
      <c r="L16286" s="166"/>
    </row>
    <row r="16287">
      <c r="A16287" s="163" t="s">
        <v>222</v>
      </c>
      <c r="B16287" s="163"/>
      <c r="C16287" s="163"/>
      <c r="J16287" s="165"/>
      <c r="K16287" s="166"/>
      <c r="L16287" s="166"/>
    </row>
    <row r="16288">
      <c r="A16288" s="163" t="s">
        <v>222</v>
      </c>
      <c r="B16288" s="163"/>
      <c r="C16288" s="163"/>
      <c r="J16288" s="165"/>
      <c r="K16288" s="166"/>
      <c r="L16288" s="166"/>
    </row>
    <row r="16289">
      <c r="A16289" s="163" t="s">
        <v>222</v>
      </c>
      <c r="B16289" s="163"/>
      <c r="C16289" s="163"/>
      <c r="J16289" s="165"/>
      <c r="K16289" s="166"/>
      <c r="L16289" s="166"/>
    </row>
    <row r="16290">
      <c r="A16290" s="163" t="s">
        <v>222</v>
      </c>
      <c r="B16290" s="163"/>
      <c r="C16290" s="163"/>
      <c r="J16290" s="165"/>
      <c r="K16290" s="166"/>
      <c r="L16290" s="166"/>
    </row>
    <row r="16291">
      <c r="A16291" s="163" t="s">
        <v>222</v>
      </c>
      <c r="B16291" s="163"/>
      <c r="C16291" s="163"/>
      <c r="J16291" s="165"/>
      <c r="K16291" s="166"/>
      <c r="L16291" s="166"/>
    </row>
    <row r="16292">
      <c r="A16292" s="163" t="s">
        <v>222</v>
      </c>
      <c r="B16292" s="163"/>
      <c r="C16292" s="163"/>
      <c r="J16292" s="165"/>
      <c r="K16292" s="166"/>
      <c r="L16292" s="166"/>
    </row>
    <row r="16293">
      <c r="A16293" s="163" t="s">
        <v>222</v>
      </c>
      <c r="B16293" s="163"/>
      <c r="C16293" s="163"/>
      <c r="J16293" s="165"/>
      <c r="K16293" s="166"/>
      <c r="L16293" s="166"/>
    </row>
    <row r="16294">
      <c r="A16294" s="163" t="s">
        <v>222</v>
      </c>
      <c r="B16294" s="163"/>
      <c r="C16294" s="163"/>
      <c r="J16294" s="165"/>
      <c r="K16294" s="166"/>
      <c r="L16294" s="166"/>
    </row>
    <row r="16295">
      <c r="A16295" s="163" t="s">
        <v>222</v>
      </c>
      <c r="B16295" s="163"/>
      <c r="C16295" s="163"/>
      <c r="J16295" s="165"/>
      <c r="K16295" s="166"/>
      <c r="L16295" s="166"/>
    </row>
    <row r="16296">
      <c r="A16296" s="163" t="s">
        <v>222</v>
      </c>
      <c r="B16296" s="163"/>
      <c r="C16296" s="163"/>
      <c r="J16296" s="165"/>
      <c r="K16296" s="166"/>
      <c r="L16296" s="166"/>
    </row>
    <row r="16297">
      <c r="A16297" s="163" t="s">
        <v>222</v>
      </c>
      <c r="B16297" s="163"/>
      <c r="C16297" s="163"/>
      <c r="J16297" s="165"/>
      <c r="K16297" s="166"/>
      <c r="L16297" s="166"/>
    </row>
    <row r="16298">
      <c r="A16298" s="163" t="s">
        <v>222</v>
      </c>
      <c r="B16298" s="163"/>
      <c r="C16298" s="163"/>
      <c r="J16298" s="165"/>
      <c r="K16298" s="166"/>
      <c r="L16298" s="166"/>
    </row>
    <row r="16299">
      <c r="A16299" s="163" t="s">
        <v>222</v>
      </c>
      <c r="B16299" s="163"/>
      <c r="C16299" s="163"/>
      <c r="J16299" s="165"/>
      <c r="K16299" s="166"/>
      <c r="L16299" s="166"/>
    </row>
    <row r="16300">
      <c r="A16300" s="163" t="s">
        <v>222</v>
      </c>
      <c r="B16300" s="163"/>
      <c r="C16300" s="163"/>
      <c r="J16300" s="165"/>
      <c r="K16300" s="166"/>
      <c r="L16300" s="166"/>
    </row>
    <row r="16301">
      <c r="A16301" s="163" t="s">
        <v>222</v>
      </c>
      <c r="B16301" s="163"/>
      <c r="C16301" s="163"/>
      <c r="J16301" s="165"/>
      <c r="K16301" s="166"/>
      <c r="L16301" s="166"/>
    </row>
    <row r="16302">
      <c r="A16302" s="163" t="s">
        <v>222</v>
      </c>
      <c r="B16302" s="163"/>
      <c r="C16302" s="163"/>
      <c r="J16302" s="165"/>
      <c r="K16302" s="166"/>
      <c r="L16302" s="166"/>
    </row>
    <row r="16303">
      <c r="A16303" s="163" t="s">
        <v>222</v>
      </c>
      <c r="B16303" s="163"/>
      <c r="C16303" s="163"/>
      <c r="J16303" s="165"/>
      <c r="K16303" s="166"/>
      <c r="L16303" s="166"/>
    </row>
    <row r="16304">
      <c r="A16304" s="163" t="s">
        <v>222</v>
      </c>
      <c r="B16304" s="163"/>
      <c r="C16304" s="163"/>
      <c r="J16304" s="165"/>
      <c r="K16304" s="166"/>
      <c r="L16304" s="166"/>
    </row>
    <row r="16305">
      <c r="A16305" s="163" t="s">
        <v>222</v>
      </c>
      <c r="B16305" s="163"/>
      <c r="C16305" s="163"/>
      <c r="J16305" s="165"/>
      <c r="K16305" s="166"/>
      <c r="L16305" s="166"/>
    </row>
    <row r="16306">
      <c r="A16306" s="163" t="s">
        <v>222</v>
      </c>
      <c r="B16306" s="163"/>
      <c r="C16306" s="163"/>
      <c r="J16306" s="165"/>
      <c r="K16306" s="166"/>
      <c r="L16306" s="166"/>
    </row>
    <row r="16307">
      <c r="A16307" s="163" t="s">
        <v>222</v>
      </c>
      <c r="B16307" s="163"/>
      <c r="C16307" s="163"/>
      <c r="J16307" s="165"/>
      <c r="K16307" s="166"/>
      <c r="L16307" s="166"/>
    </row>
    <row r="16308">
      <c r="A16308" s="163" t="s">
        <v>222</v>
      </c>
      <c r="B16308" s="163"/>
      <c r="C16308" s="163"/>
      <c r="J16308" s="165"/>
      <c r="K16308" s="166"/>
      <c r="L16308" s="166"/>
    </row>
    <row r="16309">
      <c r="A16309" s="163" t="s">
        <v>222</v>
      </c>
      <c r="B16309" s="163"/>
      <c r="C16309" s="163"/>
      <c r="J16309" s="165"/>
      <c r="K16309" s="166"/>
      <c r="L16309" s="166"/>
    </row>
    <row r="16310">
      <c r="A16310" s="163" t="s">
        <v>222</v>
      </c>
      <c r="B16310" s="163"/>
      <c r="C16310" s="163"/>
      <c r="J16310" s="165"/>
      <c r="K16310" s="166"/>
      <c r="L16310" s="166"/>
    </row>
    <row r="16311">
      <c r="A16311" s="163" t="s">
        <v>222</v>
      </c>
      <c r="B16311" s="163"/>
      <c r="C16311" s="163"/>
      <c r="J16311" s="165"/>
      <c r="K16311" s="166"/>
      <c r="L16311" s="166"/>
    </row>
    <row r="16312">
      <c r="A16312" s="163" t="s">
        <v>222</v>
      </c>
      <c r="B16312" s="163"/>
      <c r="C16312" s="163"/>
      <c r="J16312" s="165"/>
      <c r="K16312" s="166"/>
      <c r="L16312" s="166"/>
    </row>
    <row r="16313">
      <c r="A16313" s="163" t="s">
        <v>222</v>
      </c>
      <c r="B16313" s="163"/>
      <c r="C16313" s="163"/>
      <c r="J16313" s="165"/>
      <c r="K16313" s="166"/>
      <c r="L16313" s="166"/>
    </row>
    <row r="16314">
      <c r="A16314" s="163" t="s">
        <v>222</v>
      </c>
      <c r="B16314" s="163"/>
      <c r="C16314" s="163"/>
      <c r="J16314" s="165"/>
      <c r="K16314" s="166"/>
      <c r="L16314" s="166"/>
    </row>
    <row r="16315">
      <c r="A16315" s="163" t="s">
        <v>222</v>
      </c>
      <c r="B16315" s="163"/>
      <c r="C16315" s="163"/>
      <c r="J16315" s="165"/>
      <c r="K16315" s="166"/>
      <c r="L16315" s="166"/>
    </row>
    <row r="16316">
      <c r="A16316" s="163" t="s">
        <v>222</v>
      </c>
      <c r="B16316" s="163"/>
      <c r="C16316" s="163"/>
      <c r="J16316" s="165"/>
      <c r="K16316" s="166"/>
      <c r="L16316" s="166"/>
    </row>
    <row r="16317">
      <c r="A16317" s="163" t="s">
        <v>222</v>
      </c>
      <c r="B16317" s="163"/>
      <c r="C16317" s="163"/>
      <c r="J16317" s="165"/>
      <c r="K16317" s="166"/>
      <c r="L16317" s="166"/>
    </row>
    <row r="16318">
      <c r="A16318" s="163" t="s">
        <v>222</v>
      </c>
      <c r="B16318" s="163"/>
      <c r="C16318" s="163"/>
      <c r="J16318" s="165"/>
      <c r="K16318" s="166"/>
      <c r="L16318" s="166"/>
    </row>
    <row r="16319">
      <c r="A16319" s="163" t="s">
        <v>222</v>
      </c>
      <c r="B16319" s="163"/>
      <c r="C16319" s="163"/>
      <c r="J16319" s="165"/>
      <c r="K16319" s="166"/>
      <c r="L16319" s="166"/>
    </row>
    <row r="16320">
      <c r="A16320" s="163" t="s">
        <v>222</v>
      </c>
      <c r="B16320" s="163"/>
      <c r="C16320" s="163"/>
      <c r="J16320" s="165"/>
      <c r="K16320" s="166"/>
      <c r="L16320" s="166"/>
    </row>
    <row r="16321">
      <c r="A16321" s="163" t="s">
        <v>222</v>
      </c>
      <c r="B16321" s="163"/>
      <c r="C16321" s="163"/>
      <c r="J16321" s="165"/>
      <c r="K16321" s="166"/>
      <c r="L16321" s="166"/>
    </row>
    <row r="16322">
      <c r="A16322" s="163" t="s">
        <v>222</v>
      </c>
      <c r="B16322" s="163"/>
      <c r="C16322" s="163"/>
      <c r="J16322" s="165"/>
      <c r="K16322" s="166"/>
      <c r="L16322" s="166"/>
    </row>
    <row r="16323">
      <c r="A16323" s="163" t="s">
        <v>222</v>
      </c>
      <c r="B16323" s="163"/>
      <c r="C16323" s="163"/>
      <c r="J16323" s="165"/>
      <c r="K16323" s="166"/>
      <c r="L16323" s="166"/>
    </row>
    <row r="16324">
      <c r="A16324" s="163" t="s">
        <v>222</v>
      </c>
      <c r="B16324" s="163"/>
      <c r="C16324" s="163"/>
      <c r="J16324" s="165"/>
      <c r="K16324" s="166"/>
      <c r="L16324" s="166"/>
    </row>
    <row r="16325">
      <c r="A16325" s="163" t="s">
        <v>222</v>
      </c>
      <c r="B16325" s="163"/>
      <c r="C16325" s="163"/>
      <c r="J16325" s="165"/>
      <c r="K16325" s="166"/>
      <c r="L16325" s="166"/>
    </row>
    <row r="16326">
      <c r="A16326" s="163" t="s">
        <v>222</v>
      </c>
      <c r="B16326" s="163"/>
      <c r="C16326" s="163"/>
      <c r="J16326" s="165"/>
      <c r="K16326" s="166"/>
      <c r="L16326" s="166"/>
    </row>
    <row r="16327">
      <c r="A16327" s="163" t="s">
        <v>222</v>
      </c>
      <c r="B16327" s="163"/>
      <c r="C16327" s="163"/>
      <c r="J16327" s="165"/>
      <c r="K16327" s="166"/>
      <c r="L16327" s="166"/>
    </row>
    <row r="16328">
      <c r="A16328" s="163" t="s">
        <v>222</v>
      </c>
      <c r="B16328" s="163"/>
      <c r="C16328" s="163"/>
      <c r="J16328" s="165"/>
      <c r="K16328" s="166"/>
      <c r="L16328" s="166"/>
    </row>
    <row r="16329">
      <c r="A16329" s="163" t="s">
        <v>222</v>
      </c>
      <c r="B16329" s="163"/>
      <c r="C16329" s="163"/>
      <c r="J16329" s="165"/>
      <c r="K16329" s="166"/>
      <c r="L16329" s="166"/>
    </row>
    <row r="16330">
      <c r="A16330" s="163" t="s">
        <v>222</v>
      </c>
      <c r="B16330" s="163"/>
      <c r="C16330" s="163"/>
      <c r="J16330" s="165"/>
      <c r="K16330" s="166"/>
      <c r="L16330" s="166"/>
    </row>
    <row r="16331">
      <c r="A16331" s="163" t="s">
        <v>222</v>
      </c>
      <c r="B16331" s="163"/>
      <c r="C16331" s="163"/>
      <c r="J16331" s="165"/>
      <c r="K16331" s="166"/>
      <c r="L16331" s="166"/>
    </row>
    <row r="16332">
      <c r="A16332" s="163" t="s">
        <v>222</v>
      </c>
      <c r="B16332" s="163"/>
      <c r="C16332" s="163"/>
      <c r="J16332" s="165"/>
      <c r="K16332" s="166"/>
      <c r="L16332" s="166"/>
    </row>
    <row r="16333">
      <c r="A16333" s="163" t="s">
        <v>222</v>
      </c>
      <c r="B16333" s="163"/>
      <c r="C16333" s="163"/>
      <c r="J16333" s="165"/>
      <c r="K16333" s="166"/>
      <c r="L16333" s="166"/>
    </row>
    <row r="16334">
      <c r="A16334" s="163" t="s">
        <v>222</v>
      </c>
      <c r="B16334" s="163"/>
      <c r="C16334" s="163"/>
      <c r="J16334" s="165"/>
      <c r="K16334" s="166"/>
      <c r="L16334" s="166"/>
    </row>
    <row r="16335">
      <c r="A16335" s="163" t="s">
        <v>222</v>
      </c>
      <c r="B16335" s="163"/>
      <c r="C16335" s="163"/>
      <c r="J16335" s="165"/>
      <c r="K16335" s="166"/>
      <c r="L16335" s="166"/>
    </row>
    <row r="16336">
      <c r="A16336" s="163" t="s">
        <v>222</v>
      </c>
      <c r="B16336" s="163"/>
      <c r="C16336" s="163"/>
      <c r="J16336" s="165"/>
      <c r="K16336" s="166"/>
      <c r="L16336" s="166"/>
    </row>
    <row r="16337">
      <c r="A16337" s="163" t="s">
        <v>222</v>
      </c>
      <c r="B16337" s="163"/>
      <c r="C16337" s="163"/>
      <c r="J16337" s="165"/>
      <c r="K16337" s="166"/>
      <c r="L16337" s="166"/>
    </row>
    <row r="16338">
      <c r="A16338" s="163" t="s">
        <v>222</v>
      </c>
      <c r="B16338" s="163"/>
      <c r="C16338" s="163"/>
      <c r="J16338" s="165"/>
      <c r="K16338" s="166"/>
      <c r="L16338" s="166"/>
    </row>
    <row r="16339">
      <c r="A16339" s="163" t="s">
        <v>222</v>
      </c>
      <c r="B16339" s="163"/>
      <c r="C16339" s="163"/>
      <c r="J16339" s="165"/>
      <c r="K16339" s="166"/>
      <c r="L16339" s="166"/>
    </row>
    <row r="16340">
      <c r="A16340" s="163" t="s">
        <v>222</v>
      </c>
      <c r="B16340" s="163"/>
      <c r="C16340" s="163"/>
      <c r="J16340" s="165"/>
      <c r="K16340" s="166"/>
      <c r="L16340" s="166"/>
    </row>
    <row r="16341">
      <c r="A16341" s="163" t="s">
        <v>222</v>
      </c>
      <c r="B16341" s="163"/>
      <c r="C16341" s="163"/>
      <c r="J16341" s="165"/>
      <c r="K16341" s="166"/>
      <c r="L16341" s="166"/>
    </row>
    <row r="16342">
      <c r="A16342" s="163" t="s">
        <v>222</v>
      </c>
      <c r="B16342" s="163"/>
      <c r="C16342" s="163"/>
      <c r="J16342" s="165"/>
      <c r="K16342" s="166"/>
      <c r="L16342" s="166"/>
    </row>
    <row r="16343">
      <c r="A16343" s="163" t="s">
        <v>222</v>
      </c>
      <c r="B16343" s="163"/>
      <c r="C16343" s="163"/>
      <c r="J16343" s="165"/>
      <c r="K16343" s="166"/>
      <c r="L16343" s="166"/>
    </row>
    <row r="16344">
      <c r="A16344" s="163" t="s">
        <v>222</v>
      </c>
      <c r="B16344" s="163"/>
      <c r="C16344" s="163"/>
      <c r="J16344" s="165"/>
      <c r="K16344" s="166"/>
      <c r="L16344" s="166"/>
    </row>
    <row r="16345">
      <c r="A16345" s="163" t="s">
        <v>222</v>
      </c>
      <c r="B16345" s="163"/>
      <c r="C16345" s="163"/>
      <c r="J16345" s="165"/>
      <c r="K16345" s="166"/>
      <c r="L16345" s="166"/>
    </row>
    <row r="16346">
      <c r="A16346" s="163" t="s">
        <v>222</v>
      </c>
      <c r="B16346" s="163"/>
      <c r="C16346" s="163"/>
      <c r="J16346" s="165"/>
      <c r="K16346" s="166"/>
      <c r="L16346" s="166"/>
    </row>
    <row r="16347">
      <c r="A16347" s="163" t="s">
        <v>222</v>
      </c>
      <c r="B16347" s="163"/>
      <c r="C16347" s="163"/>
      <c r="J16347" s="165"/>
      <c r="K16347" s="166"/>
      <c r="L16347" s="166"/>
    </row>
    <row r="16348">
      <c r="A16348" s="163" t="s">
        <v>222</v>
      </c>
      <c r="B16348" s="163"/>
      <c r="C16348" s="163"/>
      <c r="J16348" s="165"/>
      <c r="K16348" s="166"/>
      <c r="L16348" s="166"/>
    </row>
    <row r="16349">
      <c r="A16349" s="163" t="s">
        <v>222</v>
      </c>
      <c r="B16349" s="163"/>
      <c r="C16349" s="163"/>
      <c r="J16349" s="165"/>
      <c r="K16349" s="166"/>
      <c r="L16349" s="166"/>
    </row>
    <row r="16350">
      <c r="A16350" s="163" t="s">
        <v>222</v>
      </c>
      <c r="B16350" s="163"/>
      <c r="C16350" s="163"/>
      <c r="J16350" s="165"/>
      <c r="K16350" s="166"/>
      <c r="L16350" s="166"/>
    </row>
    <row r="16351">
      <c r="A16351" s="163" t="s">
        <v>222</v>
      </c>
      <c r="B16351" s="163"/>
      <c r="C16351" s="163"/>
      <c r="J16351" s="165"/>
      <c r="K16351" s="166"/>
      <c r="L16351" s="166"/>
    </row>
    <row r="16352">
      <c r="A16352" s="163" t="s">
        <v>222</v>
      </c>
      <c r="B16352" s="163"/>
      <c r="C16352" s="163"/>
      <c r="J16352" s="165"/>
      <c r="K16352" s="166"/>
      <c r="L16352" s="166"/>
    </row>
    <row r="16353">
      <c r="A16353" s="163" t="s">
        <v>222</v>
      </c>
      <c r="B16353" s="163"/>
      <c r="C16353" s="163"/>
      <c r="J16353" s="165"/>
      <c r="K16353" s="166"/>
      <c r="L16353" s="166"/>
    </row>
    <row r="16354">
      <c r="A16354" s="163" t="s">
        <v>222</v>
      </c>
      <c r="B16354" s="163"/>
      <c r="C16354" s="163"/>
      <c r="J16354" s="165"/>
      <c r="K16354" s="166"/>
      <c r="L16354" s="166"/>
    </row>
    <row r="16355">
      <c r="A16355" s="163" t="s">
        <v>222</v>
      </c>
      <c r="B16355" s="163"/>
      <c r="C16355" s="163"/>
      <c r="J16355" s="165"/>
      <c r="K16355" s="166"/>
      <c r="L16355" s="166"/>
    </row>
    <row r="16356">
      <c r="A16356" s="163" t="s">
        <v>222</v>
      </c>
      <c r="B16356" s="163"/>
      <c r="C16356" s="163"/>
      <c r="J16356" s="165"/>
      <c r="K16356" s="166"/>
      <c r="L16356" s="166"/>
    </row>
    <row r="16357">
      <c r="A16357" s="163" t="s">
        <v>222</v>
      </c>
      <c r="B16357" s="163"/>
      <c r="C16357" s="163"/>
      <c r="J16357" s="165"/>
      <c r="K16357" s="166"/>
      <c r="L16357" s="166"/>
    </row>
    <row r="16358">
      <c r="A16358" s="163" t="s">
        <v>222</v>
      </c>
      <c r="B16358" s="163"/>
      <c r="C16358" s="163"/>
      <c r="J16358" s="165"/>
      <c r="K16358" s="166"/>
      <c r="L16358" s="166"/>
    </row>
    <row r="16359">
      <c r="A16359" s="163" t="s">
        <v>222</v>
      </c>
      <c r="B16359" s="163"/>
      <c r="C16359" s="163"/>
      <c r="J16359" s="165"/>
      <c r="K16359" s="166"/>
      <c r="L16359" s="166"/>
    </row>
    <row r="16360">
      <c r="A16360" s="163" t="s">
        <v>222</v>
      </c>
      <c r="B16360" s="163"/>
      <c r="C16360" s="163"/>
      <c r="J16360" s="165"/>
      <c r="K16360" s="166"/>
      <c r="L16360" s="166"/>
    </row>
    <row r="16361">
      <c r="A16361" s="163" t="s">
        <v>222</v>
      </c>
      <c r="B16361" s="163"/>
      <c r="C16361" s="163"/>
      <c r="J16361" s="165"/>
      <c r="K16361" s="166"/>
      <c r="L16361" s="166"/>
    </row>
    <row r="16362">
      <c r="A16362" s="163" t="s">
        <v>222</v>
      </c>
      <c r="B16362" s="163"/>
      <c r="C16362" s="163"/>
      <c r="J16362" s="165"/>
      <c r="K16362" s="166"/>
      <c r="L16362" s="166"/>
    </row>
    <row r="16363">
      <c r="A16363" s="163" t="s">
        <v>222</v>
      </c>
      <c r="B16363" s="163"/>
      <c r="C16363" s="163"/>
      <c r="J16363" s="165"/>
      <c r="K16363" s="166"/>
      <c r="L16363" s="166"/>
    </row>
    <row r="16364">
      <c r="A16364" s="163" t="s">
        <v>222</v>
      </c>
      <c r="B16364" s="163"/>
      <c r="C16364" s="163"/>
      <c r="J16364" s="165"/>
      <c r="K16364" s="166"/>
      <c r="L16364" s="166"/>
    </row>
    <row r="16365">
      <c r="A16365" s="163" t="s">
        <v>222</v>
      </c>
      <c r="B16365" s="163"/>
      <c r="C16365" s="163"/>
      <c r="J16365" s="165"/>
      <c r="K16365" s="166"/>
      <c r="L16365" s="166"/>
    </row>
    <row r="16366">
      <c r="A16366" s="163" t="s">
        <v>222</v>
      </c>
      <c r="B16366" s="163"/>
      <c r="C16366" s="163"/>
      <c r="J16366" s="165"/>
      <c r="K16366" s="166"/>
      <c r="L16366" s="166"/>
    </row>
    <row r="16367">
      <c r="A16367" s="163" t="s">
        <v>222</v>
      </c>
      <c r="B16367" s="163"/>
      <c r="C16367" s="163"/>
      <c r="J16367" s="165"/>
      <c r="K16367" s="166"/>
      <c r="L16367" s="166"/>
    </row>
    <row r="16368">
      <c r="A16368" s="163" t="s">
        <v>222</v>
      </c>
      <c r="B16368" s="163"/>
      <c r="C16368" s="163"/>
      <c r="J16368" s="165"/>
      <c r="K16368" s="166"/>
      <c r="L16368" s="166"/>
    </row>
    <row r="16369">
      <c r="A16369" s="163" t="s">
        <v>222</v>
      </c>
      <c r="B16369" s="163"/>
      <c r="C16369" s="163"/>
      <c r="J16369" s="165"/>
      <c r="K16369" s="166"/>
      <c r="L16369" s="166"/>
    </row>
    <row r="16370">
      <c r="A16370" s="163" t="s">
        <v>222</v>
      </c>
      <c r="B16370" s="163"/>
      <c r="C16370" s="163"/>
      <c r="J16370" s="165"/>
      <c r="K16370" s="166"/>
      <c r="L16370" s="166"/>
    </row>
    <row r="16371">
      <c r="A16371" s="163" t="s">
        <v>222</v>
      </c>
      <c r="B16371" s="163"/>
      <c r="C16371" s="163"/>
      <c r="J16371" s="165"/>
      <c r="K16371" s="166"/>
      <c r="L16371" s="166"/>
    </row>
    <row r="16372">
      <c r="A16372" s="163" t="s">
        <v>222</v>
      </c>
      <c r="B16372" s="163"/>
      <c r="C16372" s="163"/>
      <c r="J16372" s="165"/>
      <c r="K16372" s="166"/>
      <c r="L16372" s="166"/>
    </row>
    <row r="16373">
      <c r="A16373" s="163" t="s">
        <v>222</v>
      </c>
      <c r="B16373" s="163"/>
      <c r="C16373" s="163"/>
      <c r="J16373" s="165"/>
      <c r="K16373" s="166"/>
      <c r="L16373" s="166"/>
    </row>
    <row r="16374">
      <c r="A16374" s="163" t="s">
        <v>222</v>
      </c>
      <c r="B16374" s="163"/>
      <c r="C16374" s="163"/>
      <c r="J16374" s="165"/>
      <c r="K16374" s="166"/>
      <c r="L16374" s="166"/>
    </row>
    <row r="16375">
      <c r="A16375" s="163" t="s">
        <v>222</v>
      </c>
      <c r="B16375" s="163"/>
      <c r="C16375" s="163"/>
      <c r="J16375" s="165"/>
      <c r="K16375" s="166"/>
      <c r="L16375" s="166"/>
    </row>
    <row r="16376">
      <c r="A16376" s="163" t="s">
        <v>222</v>
      </c>
      <c r="B16376" s="163"/>
      <c r="C16376" s="163"/>
      <c r="J16376" s="165"/>
      <c r="K16376" s="166"/>
      <c r="L16376" s="166"/>
    </row>
    <row r="16377">
      <c r="A16377" s="163" t="s">
        <v>222</v>
      </c>
      <c r="B16377" s="163"/>
      <c r="C16377" s="163"/>
      <c r="J16377" s="165"/>
      <c r="K16377" s="166"/>
      <c r="L16377" s="166"/>
    </row>
    <row r="16378">
      <c r="A16378" s="163" t="s">
        <v>222</v>
      </c>
      <c r="B16378" s="163"/>
      <c r="C16378" s="163"/>
      <c r="J16378" s="165"/>
      <c r="K16378" s="166"/>
      <c r="L16378" s="166"/>
    </row>
    <row r="16379">
      <c r="A16379" s="163" t="s">
        <v>222</v>
      </c>
      <c r="B16379" s="163"/>
      <c r="C16379" s="163"/>
      <c r="J16379" s="165"/>
      <c r="K16379" s="166"/>
      <c r="L16379" s="166"/>
    </row>
    <row r="16380">
      <c r="A16380" s="163" t="s">
        <v>222</v>
      </c>
      <c r="B16380" s="163"/>
      <c r="C16380" s="163"/>
      <c r="J16380" s="165"/>
      <c r="K16380" s="166"/>
      <c r="L16380" s="166"/>
    </row>
    <row r="16381">
      <c r="A16381" s="163" t="s">
        <v>222</v>
      </c>
      <c r="B16381" s="163"/>
      <c r="C16381" s="163"/>
      <c r="J16381" s="165"/>
      <c r="K16381" s="166"/>
      <c r="L16381" s="166"/>
    </row>
    <row r="16382">
      <c r="A16382" s="163" t="s">
        <v>222</v>
      </c>
      <c r="B16382" s="163"/>
      <c r="C16382" s="163"/>
      <c r="J16382" s="165"/>
      <c r="K16382" s="166"/>
      <c r="L16382" s="166"/>
    </row>
    <row r="16383">
      <c r="A16383" s="163" t="s">
        <v>222</v>
      </c>
      <c r="B16383" s="163"/>
      <c r="C16383" s="163"/>
      <c r="J16383" s="165"/>
      <c r="K16383" s="166"/>
      <c r="L16383" s="166"/>
    </row>
    <row r="16384">
      <c r="A16384" s="163" t="s">
        <v>222</v>
      </c>
      <c r="B16384" s="163"/>
      <c r="C16384" s="163"/>
      <c r="J16384" s="165"/>
      <c r="K16384" s="166"/>
      <c r="L16384" s="166"/>
    </row>
    <row r="16385">
      <c r="A16385" s="163" t="s">
        <v>222</v>
      </c>
      <c r="B16385" s="163"/>
      <c r="C16385" s="163"/>
      <c r="J16385" s="165"/>
      <c r="K16385" s="166"/>
      <c r="L16385" s="166"/>
    </row>
    <row r="16386">
      <c r="A16386" s="163" t="s">
        <v>222</v>
      </c>
      <c r="B16386" s="163"/>
      <c r="C16386" s="163"/>
      <c r="J16386" s="165"/>
      <c r="K16386" s="166"/>
      <c r="L16386" s="166"/>
    </row>
    <row r="16387">
      <c r="A16387" s="163" t="s">
        <v>222</v>
      </c>
      <c r="B16387" s="163"/>
      <c r="C16387" s="163"/>
      <c r="J16387" s="165"/>
      <c r="K16387" s="166"/>
      <c r="L16387" s="166"/>
    </row>
    <row r="16388">
      <c r="A16388" s="163" t="s">
        <v>222</v>
      </c>
      <c r="B16388" s="163"/>
      <c r="C16388" s="163"/>
      <c r="J16388" s="165"/>
      <c r="K16388" s="166"/>
      <c r="L16388" s="166"/>
    </row>
    <row r="16389">
      <c r="A16389" s="163" t="s">
        <v>222</v>
      </c>
      <c r="B16389" s="163"/>
      <c r="C16389" s="163"/>
      <c r="J16389" s="165"/>
      <c r="K16389" s="166"/>
      <c r="L16389" s="166"/>
    </row>
    <row r="16390">
      <c r="A16390" s="163" t="s">
        <v>222</v>
      </c>
      <c r="B16390" s="163"/>
      <c r="C16390" s="163"/>
      <c r="J16390" s="165"/>
      <c r="K16390" s="166"/>
      <c r="L16390" s="166"/>
    </row>
    <row r="16391">
      <c r="A16391" s="163" t="s">
        <v>222</v>
      </c>
      <c r="B16391" s="163"/>
      <c r="C16391" s="163"/>
      <c r="J16391" s="165"/>
      <c r="K16391" s="166"/>
      <c r="L16391" s="166"/>
    </row>
    <row r="16392">
      <c r="A16392" s="163" t="s">
        <v>222</v>
      </c>
      <c r="B16392" s="163"/>
      <c r="C16392" s="163"/>
      <c r="J16392" s="165"/>
      <c r="K16392" s="166"/>
      <c r="L16392" s="166"/>
    </row>
    <row r="16393">
      <c r="A16393" s="163" t="s">
        <v>222</v>
      </c>
      <c r="B16393" s="163"/>
      <c r="C16393" s="163"/>
      <c r="J16393" s="165"/>
      <c r="K16393" s="166"/>
      <c r="L16393" s="166"/>
    </row>
    <row r="16394">
      <c r="A16394" s="163" t="s">
        <v>222</v>
      </c>
      <c r="B16394" s="163"/>
      <c r="C16394" s="163"/>
      <c r="J16394" s="165"/>
      <c r="K16394" s="166"/>
      <c r="L16394" s="166"/>
    </row>
    <row r="16395">
      <c r="A16395" s="163" t="s">
        <v>222</v>
      </c>
      <c r="B16395" s="163"/>
      <c r="C16395" s="163"/>
      <c r="J16395" s="165"/>
      <c r="K16395" s="166"/>
      <c r="L16395" s="166"/>
    </row>
    <row r="16396">
      <c r="A16396" s="163" t="s">
        <v>222</v>
      </c>
      <c r="B16396" s="163"/>
      <c r="C16396" s="163"/>
      <c r="J16396" s="165"/>
      <c r="K16396" s="166"/>
      <c r="L16396" s="166"/>
    </row>
    <row r="16397">
      <c r="A16397" s="163" t="s">
        <v>222</v>
      </c>
      <c r="B16397" s="163"/>
      <c r="C16397" s="163"/>
      <c r="J16397" s="165"/>
      <c r="K16397" s="166"/>
      <c r="L16397" s="166"/>
    </row>
    <row r="16398">
      <c r="A16398" s="163" t="s">
        <v>222</v>
      </c>
      <c r="B16398" s="163"/>
      <c r="C16398" s="163"/>
      <c r="J16398" s="165"/>
      <c r="K16398" s="166"/>
      <c r="L16398" s="166"/>
    </row>
    <row r="16399">
      <c r="A16399" s="163" t="s">
        <v>222</v>
      </c>
      <c r="B16399" s="163"/>
      <c r="C16399" s="163"/>
      <c r="J16399" s="165"/>
      <c r="K16399" s="166"/>
      <c r="L16399" s="166"/>
    </row>
    <row r="16400">
      <c r="A16400" s="163" t="s">
        <v>222</v>
      </c>
      <c r="B16400" s="163"/>
      <c r="C16400" s="163"/>
      <c r="J16400" s="165"/>
      <c r="K16400" s="166"/>
      <c r="L16400" s="166"/>
    </row>
    <row r="16401">
      <c r="A16401" s="163" t="s">
        <v>222</v>
      </c>
      <c r="B16401" s="163"/>
      <c r="C16401" s="163"/>
      <c r="J16401" s="165"/>
      <c r="K16401" s="166"/>
      <c r="L16401" s="166"/>
    </row>
    <row r="16402">
      <c r="A16402" s="163" t="s">
        <v>222</v>
      </c>
      <c r="B16402" s="163"/>
      <c r="C16402" s="163"/>
      <c r="J16402" s="165"/>
      <c r="K16402" s="166"/>
      <c r="L16402" s="166"/>
    </row>
    <row r="16403">
      <c r="A16403" s="163" t="s">
        <v>222</v>
      </c>
      <c r="B16403" s="163"/>
      <c r="C16403" s="163"/>
      <c r="J16403" s="165"/>
      <c r="K16403" s="166"/>
      <c r="L16403" s="166"/>
    </row>
    <row r="16404">
      <c r="A16404" s="163" t="s">
        <v>222</v>
      </c>
      <c r="B16404" s="163"/>
      <c r="C16404" s="163"/>
      <c r="J16404" s="165"/>
      <c r="K16404" s="166"/>
      <c r="L16404" s="166"/>
    </row>
    <row r="16405">
      <c r="A16405" s="163" t="s">
        <v>222</v>
      </c>
      <c r="B16405" s="163"/>
      <c r="C16405" s="163"/>
      <c r="J16405" s="165"/>
      <c r="K16405" s="166"/>
      <c r="L16405" s="166"/>
    </row>
    <row r="16406">
      <c r="A16406" s="163" t="s">
        <v>222</v>
      </c>
      <c r="B16406" s="163"/>
      <c r="C16406" s="163"/>
      <c r="J16406" s="165"/>
      <c r="K16406" s="166"/>
      <c r="L16406" s="166"/>
    </row>
    <row r="16407">
      <c r="A16407" s="163" t="s">
        <v>222</v>
      </c>
      <c r="B16407" s="163"/>
      <c r="C16407" s="163"/>
      <c r="J16407" s="165"/>
      <c r="K16407" s="166"/>
      <c r="L16407" s="166"/>
    </row>
    <row r="16408">
      <c r="A16408" s="163" t="s">
        <v>222</v>
      </c>
      <c r="B16408" s="163"/>
      <c r="C16408" s="163"/>
      <c r="J16408" s="165"/>
      <c r="K16408" s="166"/>
      <c r="L16408" s="166"/>
    </row>
    <row r="16409">
      <c r="A16409" s="163" t="s">
        <v>222</v>
      </c>
      <c r="B16409" s="163"/>
      <c r="C16409" s="163"/>
      <c r="J16409" s="165"/>
      <c r="K16409" s="166"/>
      <c r="L16409" s="166"/>
    </row>
    <row r="16410">
      <c r="A16410" s="163" t="s">
        <v>222</v>
      </c>
      <c r="B16410" s="163"/>
      <c r="C16410" s="163"/>
      <c r="J16410" s="165"/>
      <c r="K16410" s="166"/>
      <c r="L16410" s="166"/>
    </row>
    <row r="16411">
      <c r="A16411" s="163" t="s">
        <v>222</v>
      </c>
      <c r="B16411" s="163"/>
      <c r="C16411" s="163"/>
      <c r="J16411" s="165"/>
      <c r="K16411" s="166"/>
      <c r="L16411" s="166"/>
    </row>
    <row r="16412">
      <c r="A16412" s="163" t="s">
        <v>222</v>
      </c>
      <c r="B16412" s="163"/>
      <c r="C16412" s="163"/>
      <c r="J16412" s="165"/>
      <c r="K16412" s="166"/>
      <c r="L16412" s="166"/>
    </row>
    <row r="16413">
      <c r="A16413" s="163" t="s">
        <v>222</v>
      </c>
      <c r="B16413" s="163"/>
      <c r="C16413" s="163"/>
      <c r="J16413" s="165"/>
      <c r="K16413" s="166"/>
      <c r="L16413" s="166"/>
    </row>
    <row r="16414">
      <c r="A16414" s="163" t="s">
        <v>222</v>
      </c>
      <c r="B16414" s="163"/>
      <c r="C16414" s="163"/>
      <c r="J16414" s="165"/>
      <c r="K16414" s="166"/>
      <c r="L16414" s="166"/>
    </row>
    <row r="16415">
      <c r="A16415" s="163" t="s">
        <v>222</v>
      </c>
      <c r="B16415" s="163"/>
      <c r="C16415" s="163"/>
      <c r="J16415" s="165"/>
      <c r="K16415" s="166"/>
      <c r="L16415" s="166"/>
    </row>
    <row r="16416">
      <c r="A16416" s="163" t="s">
        <v>222</v>
      </c>
      <c r="B16416" s="163"/>
      <c r="C16416" s="163"/>
      <c r="J16416" s="165"/>
      <c r="K16416" s="166"/>
      <c r="L16416" s="166"/>
    </row>
    <row r="16417">
      <c r="A16417" s="163" t="s">
        <v>222</v>
      </c>
      <c r="B16417" s="163"/>
      <c r="C16417" s="163"/>
      <c r="J16417" s="165"/>
      <c r="K16417" s="166"/>
      <c r="L16417" s="166"/>
    </row>
    <row r="16418">
      <c r="A16418" s="163" t="s">
        <v>222</v>
      </c>
      <c r="B16418" s="163"/>
      <c r="C16418" s="163"/>
      <c r="J16418" s="165"/>
      <c r="K16418" s="166"/>
      <c r="L16418" s="166"/>
    </row>
    <row r="16419">
      <c r="A16419" s="163" t="s">
        <v>222</v>
      </c>
      <c r="B16419" s="163"/>
      <c r="C16419" s="163"/>
      <c r="J16419" s="165"/>
      <c r="K16419" s="166"/>
      <c r="L16419" s="166"/>
    </row>
    <row r="16420">
      <c r="A16420" s="163" t="s">
        <v>222</v>
      </c>
      <c r="B16420" s="163"/>
      <c r="C16420" s="163"/>
      <c r="J16420" s="165"/>
      <c r="K16420" s="166"/>
      <c r="L16420" s="166"/>
    </row>
    <row r="16421">
      <c r="A16421" s="163" t="s">
        <v>222</v>
      </c>
      <c r="B16421" s="163"/>
      <c r="C16421" s="163"/>
      <c r="J16421" s="165"/>
      <c r="K16421" s="166"/>
      <c r="L16421" s="166"/>
    </row>
    <row r="16422">
      <c r="A16422" s="163" t="s">
        <v>222</v>
      </c>
      <c r="B16422" s="163"/>
      <c r="C16422" s="163"/>
      <c r="J16422" s="165"/>
      <c r="K16422" s="166"/>
      <c r="L16422" s="166"/>
    </row>
    <row r="16423">
      <c r="A16423" s="163" t="s">
        <v>222</v>
      </c>
      <c r="B16423" s="163"/>
      <c r="C16423" s="163"/>
      <c r="J16423" s="165"/>
      <c r="K16423" s="166"/>
      <c r="L16423" s="166"/>
    </row>
    <row r="16424">
      <c r="A16424" s="163" t="s">
        <v>222</v>
      </c>
      <c r="B16424" s="163"/>
      <c r="C16424" s="163"/>
      <c r="J16424" s="165"/>
      <c r="K16424" s="166"/>
      <c r="L16424" s="166"/>
    </row>
    <row r="16425">
      <c r="A16425" s="163" t="s">
        <v>222</v>
      </c>
      <c r="B16425" s="163"/>
      <c r="C16425" s="163"/>
      <c r="J16425" s="165"/>
      <c r="K16425" s="166"/>
      <c r="L16425" s="166"/>
    </row>
    <row r="16426">
      <c r="A16426" s="163" t="s">
        <v>222</v>
      </c>
      <c r="B16426" s="163"/>
      <c r="C16426" s="163"/>
      <c r="J16426" s="165"/>
      <c r="K16426" s="166"/>
      <c r="L16426" s="166"/>
    </row>
    <row r="16427">
      <c r="A16427" s="163" t="s">
        <v>222</v>
      </c>
      <c r="B16427" s="163"/>
      <c r="C16427" s="163"/>
      <c r="J16427" s="165"/>
      <c r="K16427" s="166"/>
      <c r="L16427" s="166"/>
    </row>
    <row r="16428">
      <c r="A16428" s="163" t="s">
        <v>222</v>
      </c>
      <c r="B16428" s="163"/>
      <c r="C16428" s="163"/>
      <c r="J16428" s="165"/>
      <c r="K16428" s="166"/>
      <c r="L16428" s="166"/>
    </row>
    <row r="16429">
      <c r="A16429" s="163" t="s">
        <v>222</v>
      </c>
      <c r="B16429" s="163"/>
      <c r="C16429" s="163"/>
      <c r="J16429" s="165"/>
      <c r="K16429" s="166"/>
      <c r="L16429" s="166"/>
    </row>
    <row r="16430">
      <c r="A16430" s="163" t="s">
        <v>222</v>
      </c>
      <c r="B16430" s="163"/>
      <c r="C16430" s="163"/>
      <c r="J16430" s="165"/>
      <c r="K16430" s="166"/>
      <c r="L16430" s="166"/>
    </row>
    <row r="16431">
      <c r="A16431" s="163" t="s">
        <v>222</v>
      </c>
      <c r="B16431" s="163"/>
      <c r="C16431" s="163"/>
      <c r="J16431" s="165"/>
      <c r="K16431" s="166"/>
      <c r="L16431" s="166"/>
    </row>
    <row r="16432">
      <c r="A16432" s="163" t="s">
        <v>222</v>
      </c>
      <c r="B16432" s="163"/>
      <c r="C16432" s="163"/>
      <c r="J16432" s="165"/>
      <c r="K16432" s="166"/>
      <c r="L16432" s="166"/>
    </row>
    <row r="16433">
      <c r="A16433" s="163" t="s">
        <v>222</v>
      </c>
      <c r="B16433" s="163"/>
      <c r="C16433" s="163"/>
      <c r="J16433" s="165"/>
      <c r="K16433" s="166"/>
      <c r="L16433" s="166"/>
    </row>
    <row r="16434">
      <c r="A16434" s="163" t="s">
        <v>222</v>
      </c>
      <c r="B16434" s="163"/>
      <c r="C16434" s="163"/>
      <c r="J16434" s="165"/>
      <c r="K16434" s="166"/>
      <c r="L16434" s="166"/>
    </row>
    <row r="16435">
      <c r="A16435" s="163" t="s">
        <v>222</v>
      </c>
      <c r="B16435" s="163"/>
      <c r="C16435" s="163"/>
      <c r="J16435" s="165"/>
      <c r="K16435" s="166"/>
      <c r="L16435" s="166"/>
    </row>
    <row r="16436">
      <c r="A16436" s="163" t="s">
        <v>222</v>
      </c>
      <c r="B16436" s="163"/>
      <c r="C16436" s="163"/>
      <c r="J16436" s="165"/>
      <c r="K16436" s="166"/>
      <c r="L16436" s="166"/>
    </row>
    <row r="16437">
      <c r="A16437" s="163" t="s">
        <v>222</v>
      </c>
      <c r="B16437" s="163"/>
      <c r="C16437" s="163"/>
      <c r="J16437" s="165"/>
      <c r="K16437" s="166"/>
      <c r="L16437" s="166"/>
    </row>
    <row r="16438">
      <c r="A16438" s="163" t="s">
        <v>222</v>
      </c>
      <c r="B16438" s="163"/>
      <c r="C16438" s="163"/>
      <c r="J16438" s="165"/>
      <c r="K16438" s="166"/>
      <c r="L16438" s="166"/>
    </row>
    <row r="16439">
      <c r="A16439" s="163" t="s">
        <v>222</v>
      </c>
      <c r="B16439" s="163"/>
      <c r="C16439" s="163"/>
      <c r="J16439" s="165"/>
      <c r="K16439" s="166"/>
      <c r="L16439" s="166"/>
    </row>
    <row r="16440">
      <c r="A16440" s="163" t="s">
        <v>222</v>
      </c>
      <c r="B16440" s="163"/>
      <c r="C16440" s="163"/>
      <c r="J16440" s="165"/>
      <c r="K16440" s="166"/>
      <c r="L16440" s="166"/>
    </row>
    <row r="16441">
      <c r="A16441" s="163" t="s">
        <v>222</v>
      </c>
      <c r="B16441" s="163"/>
      <c r="C16441" s="163"/>
      <c r="J16441" s="165"/>
      <c r="K16441" s="166"/>
      <c r="L16441" s="166"/>
    </row>
    <row r="16442">
      <c r="A16442" s="163" t="s">
        <v>222</v>
      </c>
      <c r="B16442" s="163"/>
      <c r="C16442" s="163"/>
      <c r="J16442" s="165"/>
      <c r="K16442" s="166"/>
      <c r="L16442" s="166"/>
    </row>
    <row r="16443">
      <c r="A16443" s="163" t="s">
        <v>222</v>
      </c>
      <c r="B16443" s="163"/>
      <c r="C16443" s="163"/>
      <c r="J16443" s="165"/>
      <c r="K16443" s="166"/>
      <c r="L16443" s="166"/>
    </row>
    <row r="16444">
      <c r="A16444" s="163" t="s">
        <v>222</v>
      </c>
      <c r="B16444" s="163"/>
      <c r="C16444" s="163"/>
      <c r="J16444" s="165"/>
      <c r="K16444" s="166"/>
      <c r="L16444" s="166"/>
    </row>
    <row r="16445">
      <c r="A16445" s="163" t="s">
        <v>222</v>
      </c>
      <c r="B16445" s="163"/>
      <c r="C16445" s="163"/>
      <c r="J16445" s="165"/>
      <c r="K16445" s="166"/>
      <c r="L16445" s="166"/>
    </row>
    <row r="16446">
      <c r="A16446" s="163" t="s">
        <v>222</v>
      </c>
      <c r="B16446" s="163"/>
      <c r="C16446" s="163"/>
      <c r="J16446" s="165"/>
      <c r="K16446" s="166"/>
      <c r="L16446" s="166"/>
    </row>
    <row r="16447">
      <c r="A16447" s="163" t="s">
        <v>222</v>
      </c>
      <c r="B16447" s="163"/>
      <c r="C16447" s="163"/>
      <c r="J16447" s="165"/>
      <c r="K16447" s="166"/>
      <c r="L16447" s="166"/>
    </row>
    <row r="16448">
      <c r="A16448" s="163" t="s">
        <v>222</v>
      </c>
      <c r="B16448" s="163"/>
      <c r="C16448" s="163"/>
      <c r="J16448" s="165"/>
      <c r="K16448" s="166"/>
      <c r="L16448" s="166"/>
    </row>
    <row r="16449">
      <c r="A16449" s="163" t="s">
        <v>222</v>
      </c>
      <c r="B16449" s="163"/>
      <c r="C16449" s="163"/>
      <c r="J16449" s="165"/>
      <c r="K16449" s="166"/>
      <c r="L16449" s="166"/>
    </row>
    <row r="16450">
      <c r="A16450" s="163" t="s">
        <v>222</v>
      </c>
      <c r="B16450" s="163"/>
      <c r="C16450" s="163"/>
      <c r="J16450" s="165"/>
      <c r="K16450" s="166"/>
      <c r="L16450" s="166"/>
    </row>
    <row r="16451">
      <c r="A16451" s="163" t="s">
        <v>222</v>
      </c>
      <c r="B16451" s="163"/>
      <c r="C16451" s="163"/>
      <c r="J16451" s="165"/>
      <c r="K16451" s="166"/>
      <c r="L16451" s="166"/>
    </row>
    <row r="16452">
      <c r="A16452" s="163" t="s">
        <v>222</v>
      </c>
      <c r="B16452" s="163"/>
      <c r="C16452" s="163"/>
      <c r="J16452" s="165"/>
      <c r="K16452" s="166"/>
      <c r="L16452" s="166"/>
    </row>
    <row r="16453">
      <c r="A16453" s="163" t="s">
        <v>222</v>
      </c>
      <c r="B16453" s="163"/>
      <c r="C16453" s="163"/>
      <c r="J16453" s="165"/>
      <c r="K16453" s="166"/>
      <c r="L16453" s="166"/>
    </row>
    <row r="16454">
      <c r="A16454" s="163" t="s">
        <v>222</v>
      </c>
      <c r="B16454" s="163"/>
      <c r="C16454" s="163"/>
      <c r="J16454" s="165"/>
      <c r="K16454" s="166"/>
      <c r="L16454" s="166"/>
    </row>
    <row r="16455">
      <c r="A16455" s="163" t="s">
        <v>222</v>
      </c>
      <c r="B16455" s="163"/>
      <c r="C16455" s="163"/>
      <c r="J16455" s="165"/>
      <c r="K16455" s="166"/>
      <c r="L16455" s="166"/>
    </row>
    <row r="16456">
      <c r="A16456" s="163" t="s">
        <v>222</v>
      </c>
      <c r="B16456" s="163"/>
      <c r="C16456" s="163"/>
      <c r="J16456" s="165"/>
      <c r="K16456" s="166"/>
      <c r="L16456" s="166"/>
    </row>
    <row r="16457">
      <c r="A16457" s="163" t="s">
        <v>222</v>
      </c>
      <c r="B16457" s="163"/>
      <c r="C16457" s="163"/>
      <c r="J16457" s="165"/>
      <c r="K16457" s="166"/>
      <c r="L16457" s="166"/>
    </row>
    <row r="16458">
      <c r="A16458" s="163" t="s">
        <v>222</v>
      </c>
      <c r="B16458" s="163"/>
      <c r="C16458" s="163"/>
      <c r="J16458" s="165"/>
      <c r="K16458" s="166"/>
      <c r="L16458" s="166"/>
    </row>
    <row r="16459">
      <c r="A16459" s="163" t="s">
        <v>222</v>
      </c>
      <c r="B16459" s="163"/>
      <c r="C16459" s="163"/>
      <c r="J16459" s="165"/>
      <c r="K16459" s="166"/>
      <c r="L16459" s="166"/>
    </row>
    <row r="16460">
      <c r="A16460" s="163" t="s">
        <v>222</v>
      </c>
      <c r="B16460" s="163"/>
      <c r="C16460" s="163"/>
      <c r="J16460" s="165"/>
      <c r="K16460" s="166"/>
      <c r="L16460" s="166"/>
    </row>
    <row r="16461">
      <c r="A16461" s="163" t="s">
        <v>222</v>
      </c>
      <c r="B16461" s="163"/>
      <c r="C16461" s="163"/>
      <c r="J16461" s="165"/>
      <c r="K16461" s="166"/>
      <c r="L16461" s="166"/>
    </row>
    <row r="16462">
      <c r="A16462" s="163" t="s">
        <v>222</v>
      </c>
      <c r="B16462" s="163"/>
      <c r="C16462" s="163"/>
      <c r="J16462" s="165"/>
      <c r="K16462" s="166"/>
      <c r="L16462" s="166"/>
    </row>
    <row r="16463">
      <c r="A16463" s="163" t="s">
        <v>222</v>
      </c>
      <c r="B16463" s="163"/>
      <c r="C16463" s="163"/>
      <c r="J16463" s="165"/>
      <c r="K16463" s="166"/>
      <c r="L16463" s="166"/>
    </row>
    <row r="16464">
      <c r="A16464" s="163" t="s">
        <v>222</v>
      </c>
      <c r="B16464" s="163"/>
      <c r="C16464" s="163"/>
      <c r="J16464" s="165"/>
      <c r="K16464" s="166"/>
      <c r="L16464" s="166"/>
    </row>
    <row r="16465">
      <c r="A16465" s="163" t="s">
        <v>222</v>
      </c>
      <c r="B16465" s="163"/>
      <c r="C16465" s="163"/>
      <c r="J16465" s="165"/>
      <c r="K16465" s="166"/>
      <c r="L16465" s="166"/>
    </row>
    <row r="16466">
      <c r="A16466" s="163" t="s">
        <v>222</v>
      </c>
      <c r="B16466" s="163"/>
      <c r="C16466" s="163"/>
      <c r="J16466" s="165"/>
      <c r="K16466" s="166"/>
      <c r="L16466" s="166"/>
    </row>
    <row r="16467">
      <c r="A16467" s="163" t="s">
        <v>222</v>
      </c>
      <c r="B16467" s="163"/>
      <c r="C16467" s="163"/>
      <c r="J16467" s="165"/>
      <c r="K16467" s="166"/>
      <c r="L16467" s="166"/>
    </row>
    <row r="16468">
      <c r="A16468" s="163" t="s">
        <v>222</v>
      </c>
      <c r="B16468" s="163"/>
      <c r="C16468" s="163"/>
      <c r="J16468" s="165"/>
      <c r="K16468" s="166"/>
      <c r="L16468" s="166"/>
    </row>
    <row r="16469">
      <c r="A16469" s="163" t="s">
        <v>222</v>
      </c>
      <c r="B16469" s="163"/>
      <c r="C16469" s="163"/>
      <c r="J16469" s="165"/>
      <c r="K16469" s="166"/>
      <c r="L16469" s="166"/>
    </row>
    <row r="16470">
      <c r="A16470" s="163" t="s">
        <v>222</v>
      </c>
      <c r="B16470" s="163"/>
      <c r="C16470" s="163"/>
      <c r="J16470" s="165"/>
      <c r="K16470" s="166"/>
      <c r="L16470" s="166"/>
    </row>
    <row r="16471">
      <c r="A16471" s="163" t="s">
        <v>222</v>
      </c>
      <c r="B16471" s="163"/>
      <c r="C16471" s="163"/>
      <c r="J16471" s="165"/>
      <c r="K16471" s="166"/>
      <c r="L16471" s="166"/>
    </row>
    <row r="16472">
      <c r="A16472" s="163" t="s">
        <v>222</v>
      </c>
      <c r="B16472" s="163"/>
      <c r="C16472" s="163"/>
      <c r="J16472" s="165"/>
      <c r="K16472" s="166"/>
      <c r="L16472" s="166"/>
    </row>
    <row r="16473">
      <c r="A16473" s="163" t="s">
        <v>222</v>
      </c>
      <c r="B16473" s="163"/>
      <c r="C16473" s="163"/>
      <c r="J16473" s="165"/>
      <c r="K16473" s="166"/>
      <c r="L16473" s="166"/>
    </row>
    <row r="16474">
      <c r="A16474" s="163" t="s">
        <v>222</v>
      </c>
      <c r="B16474" s="163"/>
      <c r="C16474" s="163"/>
      <c r="J16474" s="165"/>
      <c r="K16474" s="166"/>
      <c r="L16474" s="166"/>
    </row>
    <row r="16475">
      <c r="A16475" s="163" t="s">
        <v>222</v>
      </c>
      <c r="B16475" s="163"/>
      <c r="C16475" s="163"/>
      <c r="J16475" s="165"/>
      <c r="K16475" s="166"/>
      <c r="L16475" s="166"/>
    </row>
    <row r="16476">
      <c r="A16476" s="163" t="s">
        <v>222</v>
      </c>
      <c r="B16476" s="163"/>
      <c r="C16476" s="163"/>
      <c r="J16476" s="165"/>
      <c r="K16476" s="166"/>
      <c r="L16476" s="166"/>
    </row>
    <row r="16477">
      <c r="A16477" s="163" t="s">
        <v>222</v>
      </c>
      <c r="B16477" s="163"/>
      <c r="C16477" s="163"/>
      <c r="J16477" s="165"/>
      <c r="K16477" s="166"/>
      <c r="L16477" s="166"/>
    </row>
    <row r="16478">
      <c r="A16478" s="163" t="s">
        <v>222</v>
      </c>
      <c r="B16478" s="163"/>
      <c r="C16478" s="163"/>
      <c r="J16478" s="165"/>
      <c r="K16478" s="166"/>
      <c r="L16478" s="166"/>
    </row>
    <row r="16479">
      <c r="A16479" s="163" t="s">
        <v>222</v>
      </c>
      <c r="B16479" s="163"/>
      <c r="C16479" s="163"/>
      <c r="J16479" s="165"/>
      <c r="K16479" s="166"/>
      <c r="L16479" s="166"/>
    </row>
    <row r="16480">
      <c r="A16480" s="163" t="s">
        <v>222</v>
      </c>
      <c r="B16480" s="163"/>
      <c r="C16480" s="163"/>
      <c r="J16480" s="165"/>
      <c r="K16480" s="166"/>
      <c r="L16480" s="166"/>
    </row>
    <row r="16481">
      <c r="A16481" s="163" t="s">
        <v>222</v>
      </c>
      <c r="B16481" s="163"/>
      <c r="C16481" s="163"/>
      <c r="J16481" s="165"/>
      <c r="K16481" s="166"/>
      <c r="L16481" s="166"/>
    </row>
    <row r="16482">
      <c r="A16482" s="163" t="s">
        <v>222</v>
      </c>
      <c r="B16482" s="163"/>
      <c r="C16482" s="163"/>
      <c r="J16482" s="165"/>
      <c r="K16482" s="166"/>
      <c r="L16482" s="166"/>
    </row>
    <row r="16483">
      <c r="A16483" s="163" t="s">
        <v>222</v>
      </c>
      <c r="B16483" s="163"/>
      <c r="C16483" s="163"/>
      <c r="J16483" s="165"/>
      <c r="K16483" s="166"/>
      <c r="L16483" s="166"/>
    </row>
    <row r="16484">
      <c r="A16484" s="163" t="s">
        <v>222</v>
      </c>
      <c r="B16484" s="163"/>
      <c r="C16484" s="163"/>
      <c r="J16484" s="165"/>
      <c r="K16484" s="166"/>
      <c r="L16484" s="166"/>
    </row>
    <row r="16485">
      <c r="A16485" s="163" t="s">
        <v>222</v>
      </c>
      <c r="B16485" s="163"/>
      <c r="C16485" s="163"/>
      <c r="J16485" s="165"/>
      <c r="K16485" s="166"/>
      <c r="L16485" s="166"/>
    </row>
    <row r="16486">
      <c r="A16486" s="163" t="s">
        <v>222</v>
      </c>
      <c r="B16486" s="163"/>
      <c r="C16486" s="163"/>
      <c r="J16486" s="165"/>
      <c r="K16486" s="166"/>
      <c r="L16486" s="166"/>
    </row>
    <row r="16487">
      <c r="A16487" s="163" t="s">
        <v>222</v>
      </c>
      <c r="B16487" s="163"/>
      <c r="C16487" s="163"/>
      <c r="J16487" s="165"/>
      <c r="K16487" s="166"/>
      <c r="L16487" s="166"/>
    </row>
    <row r="16488">
      <c r="A16488" s="163" t="s">
        <v>222</v>
      </c>
      <c r="B16488" s="163"/>
      <c r="C16488" s="163"/>
      <c r="J16488" s="165"/>
      <c r="K16488" s="166"/>
      <c r="L16488" s="166"/>
    </row>
    <row r="16489">
      <c r="A16489" s="163" t="s">
        <v>222</v>
      </c>
      <c r="B16489" s="163"/>
      <c r="C16489" s="163"/>
      <c r="J16489" s="165"/>
      <c r="K16489" s="166"/>
      <c r="L16489" s="166"/>
    </row>
    <row r="16490">
      <c r="A16490" s="163" t="s">
        <v>222</v>
      </c>
      <c r="B16490" s="163"/>
      <c r="C16490" s="163"/>
      <c r="J16490" s="165"/>
      <c r="K16490" s="166"/>
      <c r="L16490" s="166"/>
    </row>
    <row r="16491">
      <c r="A16491" s="163" t="s">
        <v>222</v>
      </c>
      <c r="B16491" s="163"/>
      <c r="C16491" s="163"/>
      <c r="J16491" s="165"/>
      <c r="K16491" s="166"/>
      <c r="L16491" s="166"/>
    </row>
    <row r="16492">
      <c r="A16492" s="163" t="s">
        <v>222</v>
      </c>
      <c r="B16492" s="163"/>
      <c r="C16492" s="163"/>
      <c r="J16492" s="165"/>
      <c r="K16492" s="166"/>
      <c r="L16492" s="166"/>
    </row>
    <row r="16493">
      <c r="A16493" s="163" t="s">
        <v>222</v>
      </c>
      <c r="B16493" s="163"/>
      <c r="C16493" s="163"/>
      <c r="J16493" s="165"/>
      <c r="K16493" s="166"/>
      <c r="L16493" s="166"/>
    </row>
    <row r="16494">
      <c r="A16494" s="163" t="s">
        <v>222</v>
      </c>
      <c r="B16494" s="163"/>
      <c r="C16494" s="163"/>
      <c r="J16494" s="165"/>
      <c r="K16494" s="166"/>
      <c r="L16494" s="166"/>
    </row>
    <row r="16495">
      <c r="A16495" s="163" t="s">
        <v>222</v>
      </c>
      <c r="B16495" s="163"/>
      <c r="C16495" s="163"/>
      <c r="J16495" s="165"/>
      <c r="K16495" s="166"/>
      <c r="L16495" s="166"/>
    </row>
    <row r="16496">
      <c r="A16496" s="163" t="s">
        <v>222</v>
      </c>
      <c r="B16496" s="163"/>
      <c r="C16496" s="163"/>
      <c r="J16496" s="165"/>
      <c r="K16496" s="166"/>
      <c r="L16496" s="166"/>
    </row>
    <row r="16497">
      <c r="A16497" s="163" t="s">
        <v>222</v>
      </c>
      <c r="B16497" s="163"/>
      <c r="C16497" s="163"/>
      <c r="J16497" s="165"/>
      <c r="K16497" s="166"/>
      <c r="L16497" s="166"/>
    </row>
    <row r="16498">
      <c r="A16498" s="163" t="s">
        <v>222</v>
      </c>
      <c r="B16498" s="163"/>
      <c r="C16498" s="163"/>
      <c r="J16498" s="165"/>
      <c r="K16498" s="166"/>
      <c r="L16498" s="166"/>
    </row>
    <row r="16499">
      <c r="A16499" s="163" t="s">
        <v>222</v>
      </c>
      <c r="B16499" s="163"/>
      <c r="C16499" s="163"/>
      <c r="J16499" s="165"/>
      <c r="K16499" s="166"/>
      <c r="L16499" s="166"/>
    </row>
    <row r="16500">
      <c r="A16500" s="163" t="s">
        <v>222</v>
      </c>
      <c r="B16500" s="163"/>
      <c r="C16500" s="163"/>
      <c r="J16500" s="165"/>
      <c r="K16500" s="166"/>
      <c r="L16500" s="166"/>
    </row>
    <row r="16501">
      <c r="A16501" s="163" t="s">
        <v>222</v>
      </c>
      <c r="B16501" s="163"/>
      <c r="C16501" s="163"/>
      <c r="J16501" s="165"/>
      <c r="K16501" s="166"/>
      <c r="L16501" s="166"/>
    </row>
    <row r="16502">
      <c r="A16502" s="163" t="s">
        <v>222</v>
      </c>
      <c r="B16502" s="163"/>
      <c r="C16502" s="163"/>
      <c r="J16502" s="165"/>
      <c r="K16502" s="166"/>
      <c r="L16502" s="166"/>
    </row>
    <row r="16503">
      <c r="A16503" s="163" t="s">
        <v>222</v>
      </c>
      <c r="B16503" s="163"/>
      <c r="C16503" s="163"/>
      <c r="J16503" s="165"/>
      <c r="K16503" s="166"/>
      <c r="L16503" s="166"/>
    </row>
    <row r="16504">
      <c r="A16504" s="163" t="s">
        <v>222</v>
      </c>
      <c r="B16504" s="163"/>
      <c r="C16504" s="163"/>
      <c r="J16504" s="165"/>
      <c r="K16504" s="166"/>
      <c r="L16504" s="166"/>
    </row>
    <row r="16505">
      <c r="A16505" s="163" t="s">
        <v>222</v>
      </c>
      <c r="B16505" s="163"/>
      <c r="C16505" s="163"/>
      <c r="J16505" s="165"/>
      <c r="K16505" s="166"/>
      <c r="L16505" s="166"/>
    </row>
    <row r="16506">
      <c r="A16506" s="163" t="s">
        <v>222</v>
      </c>
      <c r="B16506" s="163"/>
      <c r="C16506" s="163"/>
      <c r="J16506" s="165"/>
      <c r="K16506" s="166"/>
      <c r="L16506" s="166"/>
    </row>
    <row r="16507">
      <c r="A16507" s="163" t="s">
        <v>222</v>
      </c>
      <c r="B16507" s="163"/>
      <c r="C16507" s="163"/>
      <c r="J16507" s="165"/>
      <c r="K16507" s="166"/>
      <c r="L16507" s="166"/>
    </row>
    <row r="16508">
      <c r="A16508" s="163" t="s">
        <v>222</v>
      </c>
      <c r="B16508" s="163"/>
      <c r="C16508" s="163"/>
      <c r="J16508" s="165"/>
      <c r="K16508" s="166"/>
      <c r="L16508" s="166"/>
    </row>
    <row r="16509">
      <c r="A16509" s="163" t="s">
        <v>222</v>
      </c>
      <c r="B16509" s="163"/>
      <c r="C16509" s="163"/>
      <c r="J16509" s="165"/>
      <c r="K16509" s="166"/>
      <c r="L16509" s="166"/>
    </row>
    <row r="16510">
      <c r="A16510" s="163" t="s">
        <v>222</v>
      </c>
      <c r="B16510" s="163"/>
      <c r="C16510" s="163"/>
      <c r="J16510" s="165"/>
      <c r="K16510" s="166"/>
      <c r="L16510" s="166"/>
    </row>
    <row r="16511">
      <c r="A16511" s="163" t="s">
        <v>222</v>
      </c>
      <c r="B16511" s="163"/>
      <c r="C16511" s="163"/>
      <c r="J16511" s="165"/>
      <c r="K16511" s="166"/>
      <c r="L16511" s="166"/>
    </row>
    <row r="16512">
      <c r="A16512" s="163" t="s">
        <v>222</v>
      </c>
      <c r="B16512" s="163"/>
      <c r="C16512" s="163"/>
      <c r="J16512" s="165"/>
      <c r="K16512" s="166"/>
      <c r="L16512" s="166"/>
    </row>
    <row r="16513">
      <c r="A16513" s="163" t="s">
        <v>222</v>
      </c>
      <c r="B16513" s="163"/>
      <c r="C16513" s="163"/>
      <c r="J16513" s="165"/>
      <c r="K16513" s="166"/>
      <c r="L16513" s="166"/>
    </row>
    <row r="16514">
      <c r="A16514" s="163" t="s">
        <v>222</v>
      </c>
      <c r="B16514" s="163"/>
      <c r="C16514" s="163"/>
      <c r="J16514" s="165"/>
      <c r="K16514" s="166"/>
      <c r="L16514" s="166"/>
    </row>
    <row r="16515">
      <c r="A16515" s="163" t="s">
        <v>222</v>
      </c>
      <c r="B16515" s="163"/>
      <c r="C16515" s="163"/>
      <c r="J16515" s="165"/>
      <c r="K16515" s="166"/>
      <c r="L16515" s="166"/>
    </row>
    <row r="16516">
      <c r="A16516" s="163" t="s">
        <v>222</v>
      </c>
      <c r="B16516" s="163"/>
      <c r="C16516" s="163"/>
      <c r="J16516" s="165"/>
      <c r="K16516" s="166"/>
      <c r="L16516" s="166"/>
    </row>
    <row r="16517">
      <c r="A16517" s="163" t="s">
        <v>222</v>
      </c>
      <c r="B16517" s="163"/>
      <c r="C16517" s="163"/>
      <c r="J16517" s="165"/>
      <c r="K16517" s="166"/>
      <c r="L16517" s="166"/>
    </row>
    <row r="16518">
      <c r="A16518" s="163" t="s">
        <v>222</v>
      </c>
      <c r="B16518" s="163"/>
      <c r="C16518" s="163"/>
      <c r="J16518" s="165"/>
      <c r="K16518" s="166"/>
      <c r="L16518" s="166"/>
    </row>
    <row r="16519">
      <c r="A16519" s="163" t="s">
        <v>222</v>
      </c>
      <c r="B16519" s="163"/>
      <c r="C16519" s="163"/>
      <c r="J16519" s="165"/>
      <c r="K16519" s="166"/>
      <c r="L16519" s="166"/>
    </row>
    <row r="16520">
      <c r="A16520" s="163" t="s">
        <v>222</v>
      </c>
      <c r="B16520" s="163"/>
      <c r="C16520" s="163"/>
      <c r="J16520" s="165"/>
      <c r="K16520" s="166"/>
      <c r="L16520" s="166"/>
    </row>
    <row r="16521">
      <c r="A16521" s="163" t="s">
        <v>222</v>
      </c>
      <c r="B16521" s="163"/>
      <c r="C16521" s="163"/>
      <c r="J16521" s="165"/>
      <c r="K16521" s="166"/>
      <c r="L16521" s="166"/>
    </row>
    <row r="16522">
      <c r="A16522" s="163" t="s">
        <v>222</v>
      </c>
      <c r="B16522" s="163"/>
      <c r="C16522" s="163"/>
      <c r="J16522" s="165"/>
      <c r="K16522" s="166"/>
      <c r="L16522" s="166"/>
    </row>
    <row r="16523">
      <c r="A16523" s="163" t="s">
        <v>222</v>
      </c>
      <c r="B16523" s="163"/>
      <c r="C16523" s="163"/>
      <c r="J16523" s="165"/>
      <c r="K16523" s="166"/>
      <c r="L16523" s="166"/>
    </row>
    <row r="16524">
      <c r="A16524" s="163" t="s">
        <v>222</v>
      </c>
      <c r="B16524" s="163"/>
      <c r="C16524" s="163"/>
      <c r="J16524" s="165"/>
      <c r="K16524" s="166"/>
      <c r="L16524" s="166"/>
    </row>
    <row r="16525">
      <c r="A16525" s="163" t="s">
        <v>222</v>
      </c>
      <c r="B16525" s="163"/>
      <c r="C16525" s="163"/>
      <c r="J16525" s="165"/>
      <c r="K16525" s="166"/>
      <c r="L16525" s="166"/>
    </row>
    <row r="16526">
      <c r="A16526" s="163" t="s">
        <v>222</v>
      </c>
      <c r="B16526" s="163"/>
      <c r="C16526" s="163"/>
      <c r="J16526" s="165"/>
      <c r="K16526" s="166"/>
      <c r="L16526" s="166"/>
    </row>
    <row r="16527">
      <c r="A16527" s="163" t="s">
        <v>222</v>
      </c>
      <c r="B16527" s="163"/>
      <c r="C16527" s="163"/>
      <c r="J16527" s="165"/>
      <c r="K16527" s="166"/>
      <c r="L16527" s="166"/>
    </row>
    <row r="16528">
      <c r="A16528" s="163" t="s">
        <v>222</v>
      </c>
      <c r="B16528" s="163"/>
      <c r="C16528" s="163"/>
      <c r="J16528" s="165"/>
      <c r="K16528" s="166"/>
      <c r="L16528" s="166"/>
    </row>
    <row r="16529">
      <c r="A16529" s="163" t="s">
        <v>222</v>
      </c>
      <c r="B16529" s="163"/>
      <c r="C16529" s="163"/>
      <c r="J16529" s="165"/>
      <c r="K16529" s="166"/>
      <c r="L16529" s="166"/>
    </row>
    <row r="16530">
      <c r="A16530" s="163" t="s">
        <v>222</v>
      </c>
      <c r="B16530" s="163"/>
      <c r="C16530" s="163"/>
      <c r="J16530" s="165"/>
      <c r="K16530" s="166"/>
      <c r="L16530" s="166"/>
    </row>
    <row r="16531">
      <c r="A16531" s="163" t="s">
        <v>222</v>
      </c>
      <c r="B16531" s="163"/>
      <c r="C16531" s="163"/>
      <c r="J16531" s="165"/>
      <c r="K16531" s="166"/>
      <c r="L16531" s="166"/>
    </row>
    <row r="16532">
      <c r="A16532" s="163" t="s">
        <v>222</v>
      </c>
      <c r="B16532" s="163"/>
      <c r="C16532" s="163"/>
      <c r="J16532" s="165"/>
      <c r="K16532" s="166"/>
      <c r="L16532" s="166"/>
    </row>
    <row r="16533">
      <c r="A16533" s="163" t="s">
        <v>222</v>
      </c>
      <c r="B16533" s="163"/>
      <c r="C16533" s="163"/>
      <c r="J16533" s="165"/>
      <c r="K16533" s="166"/>
      <c r="L16533" s="166"/>
    </row>
    <row r="16534">
      <c r="A16534" s="163" t="s">
        <v>222</v>
      </c>
      <c r="B16534" s="163"/>
      <c r="C16534" s="163"/>
      <c r="J16534" s="165"/>
      <c r="K16534" s="166"/>
      <c r="L16534" s="166"/>
    </row>
    <row r="16535">
      <c r="A16535" s="163" t="s">
        <v>222</v>
      </c>
      <c r="B16535" s="163"/>
      <c r="C16535" s="163"/>
      <c r="J16535" s="165"/>
      <c r="K16535" s="166"/>
      <c r="L16535" s="166"/>
    </row>
    <row r="16536">
      <c r="A16536" s="163" t="s">
        <v>222</v>
      </c>
      <c r="B16536" s="163"/>
      <c r="C16536" s="163"/>
      <c r="J16536" s="165"/>
      <c r="K16536" s="166"/>
      <c r="L16536" s="166"/>
    </row>
    <row r="16537">
      <c r="A16537" s="163" t="s">
        <v>222</v>
      </c>
      <c r="B16537" s="163"/>
      <c r="C16537" s="163"/>
      <c r="J16537" s="165"/>
      <c r="K16537" s="166"/>
      <c r="L16537" s="166"/>
    </row>
    <row r="16538">
      <c r="A16538" s="163" t="s">
        <v>222</v>
      </c>
      <c r="B16538" s="163"/>
      <c r="C16538" s="163"/>
      <c r="J16538" s="165"/>
      <c r="K16538" s="166"/>
      <c r="L16538" s="166"/>
    </row>
    <row r="16539">
      <c r="A16539" s="163" t="s">
        <v>222</v>
      </c>
      <c r="B16539" s="163"/>
      <c r="C16539" s="163"/>
      <c r="J16539" s="165"/>
      <c r="K16539" s="166"/>
      <c r="L16539" s="166"/>
    </row>
    <row r="16540">
      <c r="A16540" s="163" t="s">
        <v>222</v>
      </c>
      <c r="B16540" s="163"/>
      <c r="C16540" s="163"/>
      <c r="J16540" s="165"/>
      <c r="K16540" s="166"/>
      <c r="L16540" s="166"/>
    </row>
    <row r="16541">
      <c r="A16541" s="163" t="s">
        <v>222</v>
      </c>
      <c r="B16541" s="163"/>
      <c r="C16541" s="163"/>
      <c r="J16541" s="165"/>
      <c r="K16541" s="166"/>
      <c r="L16541" s="166"/>
    </row>
    <row r="16542">
      <c r="A16542" s="163" t="s">
        <v>222</v>
      </c>
      <c r="B16542" s="163"/>
      <c r="C16542" s="163"/>
      <c r="J16542" s="165"/>
      <c r="K16542" s="166"/>
      <c r="L16542" s="166"/>
    </row>
    <row r="16543">
      <c r="A16543" s="163" t="s">
        <v>222</v>
      </c>
      <c r="B16543" s="163"/>
      <c r="C16543" s="163"/>
      <c r="J16543" s="165"/>
      <c r="K16543" s="166"/>
      <c r="L16543" s="166"/>
    </row>
    <row r="16544">
      <c r="A16544" s="163" t="s">
        <v>222</v>
      </c>
      <c r="B16544" s="163"/>
      <c r="C16544" s="163"/>
      <c r="J16544" s="165"/>
      <c r="K16544" s="166"/>
      <c r="L16544" s="166"/>
    </row>
    <row r="16545">
      <c r="A16545" s="163" t="s">
        <v>222</v>
      </c>
      <c r="B16545" s="163"/>
      <c r="C16545" s="163"/>
      <c r="J16545" s="165"/>
      <c r="K16545" s="166"/>
      <c r="L16545" s="166"/>
    </row>
    <row r="16546">
      <c r="A16546" s="163" t="s">
        <v>222</v>
      </c>
      <c r="B16546" s="163"/>
      <c r="C16546" s="163"/>
      <c r="J16546" s="165"/>
      <c r="K16546" s="166"/>
      <c r="L16546" s="166"/>
    </row>
    <row r="16547">
      <c r="A16547" s="163" t="s">
        <v>222</v>
      </c>
      <c r="B16547" s="163"/>
      <c r="C16547" s="163"/>
      <c r="J16547" s="165"/>
      <c r="K16547" s="166"/>
      <c r="L16547" s="166"/>
    </row>
    <row r="16548">
      <c r="A16548" s="163" t="s">
        <v>222</v>
      </c>
      <c r="B16548" s="163"/>
      <c r="C16548" s="163"/>
      <c r="J16548" s="165"/>
      <c r="K16548" s="166"/>
      <c r="L16548" s="166"/>
    </row>
    <row r="16549">
      <c r="A16549" s="163" t="s">
        <v>222</v>
      </c>
      <c r="B16549" s="163"/>
      <c r="C16549" s="163"/>
      <c r="J16549" s="165"/>
      <c r="K16549" s="166"/>
      <c r="L16549" s="166"/>
    </row>
    <row r="16550">
      <c r="A16550" s="163" t="s">
        <v>222</v>
      </c>
      <c r="B16550" s="163"/>
      <c r="C16550" s="163"/>
      <c r="J16550" s="165"/>
      <c r="K16550" s="166"/>
      <c r="L16550" s="166"/>
    </row>
    <row r="16551">
      <c r="A16551" s="163" t="s">
        <v>222</v>
      </c>
      <c r="B16551" s="163"/>
      <c r="C16551" s="163"/>
      <c r="J16551" s="165"/>
      <c r="K16551" s="166"/>
      <c r="L16551" s="166"/>
    </row>
    <row r="16552">
      <c r="A16552" s="163" t="s">
        <v>222</v>
      </c>
      <c r="B16552" s="163"/>
      <c r="C16552" s="163"/>
      <c r="J16552" s="165"/>
      <c r="K16552" s="166"/>
      <c r="L16552" s="166"/>
    </row>
    <row r="16553">
      <c r="A16553" s="163" t="s">
        <v>222</v>
      </c>
      <c r="B16553" s="163"/>
      <c r="C16553" s="163"/>
      <c r="J16553" s="165"/>
      <c r="K16553" s="166"/>
      <c r="L16553" s="166"/>
    </row>
    <row r="16554">
      <c r="A16554" s="163" t="s">
        <v>222</v>
      </c>
      <c r="B16554" s="163"/>
      <c r="C16554" s="163"/>
      <c r="J16554" s="165"/>
      <c r="K16554" s="166"/>
      <c r="L16554" s="166"/>
    </row>
    <row r="16555">
      <c r="A16555" s="163" t="s">
        <v>222</v>
      </c>
      <c r="B16555" s="163"/>
      <c r="C16555" s="163"/>
      <c r="J16555" s="165"/>
      <c r="K16555" s="166"/>
      <c r="L16555" s="166"/>
    </row>
    <row r="16556">
      <c r="A16556" s="163" t="s">
        <v>222</v>
      </c>
      <c r="B16556" s="163"/>
      <c r="C16556" s="163"/>
      <c r="J16556" s="165"/>
      <c r="K16556" s="166"/>
      <c r="L16556" s="166"/>
    </row>
    <row r="16557">
      <c r="A16557" s="163" t="s">
        <v>222</v>
      </c>
      <c r="B16557" s="163"/>
      <c r="C16557" s="163"/>
      <c r="J16557" s="165"/>
      <c r="K16557" s="166"/>
      <c r="L16557" s="166"/>
    </row>
    <row r="16558">
      <c r="A16558" s="163" t="s">
        <v>222</v>
      </c>
      <c r="B16558" s="163"/>
      <c r="C16558" s="163"/>
      <c r="J16558" s="165"/>
      <c r="K16558" s="166"/>
      <c r="L16558" s="166"/>
    </row>
    <row r="16559">
      <c r="A16559" s="163" t="s">
        <v>222</v>
      </c>
      <c r="B16559" s="163"/>
      <c r="C16559" s="163"/>
      <c r="J16559" s="165"/>
      <c r="K16559" s="166"/>
      <c r="L16559" s="166"/>
    </row>
    <row r="16560">
      <c r="A16560" s="163" t="s">
        <v>222</v>
      </c>
      <c r="B16560" s="163"/>
      <c r="C16560" s="163"/>
      <c r="J16560" s="165"/>
      <c r="K16560" s="166"/>
      <c r="L16560" s="166"/>
    </row>
    <row r="16561">
      <c r="A16561" s="163" t="s">
        <v>222</v>
      </c>
      <c r="B16561" s="163"/>
      <c r="C16561" s="163"/>
      <c r="J16561" s="165"/>
      <c r="K16561" s="166"/>
      <c r="L16561" s="166"/>
    </row>
    <row r="16562">
      <c r="A16562" s="163" t="s">
        <v>222</v>
      </c>
      <c r="B16562" s="163"/>
      <c r="C16562" s="163"/>
      <c r="J16562" s="165"/>
      <c r="K16562" s="166"/>
      <c r="L16562" s="166"/>
    </row>
    <row r="16563">
      <c r="A16563" s="163" t="s">
        <v>222</v>
      </c>
      <c r="B16563" s="163"/>
      <c r="C16563" s="163"/>
      <c r="J16563" s="165"/>
      <c r="K16563" s="166"/>
      <c r="L16563" s="166"/>
    </row>
    <row r="16564">
      <c r="A16564" s="163" t="s">
        <v>222</v>
      </c>
      <c r="B16564" s="163"/>
      <c r="C16564" s="163"/>
      <c r="J16564" s="165"/>
      <c r="K16564" s="166"/>
      <c r="L16564" s="166"/>
    </row>
    <row r="16565">
      <c r="A16565" s="163" t="s">
        <v>222</v>
      </c>
      <c r="B16565" s="163"/>
      <c r="C16565" s="163"/>
      <c r="J16565" s="165"/>
      <c r="K16565" s="166"/>
      <c r="L16565" s="166"/>
    </row>
    <row r="16566">
      <c r="A16566" s="163" t="s">
        <v>222</v>
      </c>
      <c r="B16566" s="163"/>
      <c r="C16566" s="163"/>
      <c r="J16566" s="165"/>
      <c r="K16566" s="166"/>
      <c r="L16566" s="166"/>
    </row>
    <row r="16567">
      <c r="A16567" s="163" t="s">
        <v>222</v>
      </c>
      <c r="B16567" s="163"/>
      <c r="C16567" s="163"/>
      <c r="J16567" s="165"/>
      <c r="K16567" s="166"/>
      <c r="L16567" s="166"/>
    </row>
    <row r="16568">
      <c r="A16568" s="163" t="s">
        <v>222</v>
      </c>
      <c r="B16568" s="163"/>
      <c r="C16568" s="163"/>
      <c r="J16568" s="165"/>
      <c r="K16568" s="166"/>
      <c r="L16568" s="166"/>
    </row>
    <row r="16569">
      <c r="A16569" s="163" t="s">
        <v>222</v>
      </c>
      <c r="B16569" s="163"/>
      <c r="C16569" s="163"/>
      <c r="J16569" s="165"/>
      <c r="K16569" s="166"/>
      <c r="L16569" s="166"/>
    </row>
    <row r="16570">
      <c r="A16570" s="163" t="s">
        <v>222</v>
      </c>
      <c r="B16570" s="163"/>
      <c r="C16570" s="163"/>
      <c r="J16570" s="165"/>
      <c r="K16570" s="166"/>
      <c r="L16570" s="166"/>
    </row>
    <row r="16571">
      <c r="A16571" s="163" t="s">
        <v>222</v>
      </c>
      <c r="B16571" s="163"/>
      <c r="C16571" s="163"/>
      <c r="J16571" s="165"/>
      <c r="K16571" s="166"/>
      <c r="L16571" s="166"/>
    </row>
    <row r="16572">
      <c r="A16572" s="163" t="s">
        <v>222</v>
      </c>
      <c r="B16572" s="163"/>
      <c r="C16572" s="163"/>
      <c r="J16572" s="165"/>
      <c r="K16572" s="166"/>
      <c r="L16572" s="166"/>
    </row>
    <row r="16573">
      <c r="A16573" s="163" t="s">
        <v>222</v>
      </c>
      <c r="B16573" s="163"/>
      <c r="C16573" s="163"/>
      <c r="J16573" s="165"/>
      <c r="K16573" s="166"/>
      <c r="L16573" s="166"/>
    </row>
    <row r="16574">
      <c r="A16574" s="163" t="s">
        <v>222</v>
      </c>
      <c r="B16574" s="163"/>
      <c r="C16574" s="163"/>
      <c r="J16574" s="165"/>
      <c r="K16574" s="166"/>
      <c r="L16574" s="166"/>
    </row>
    <row r="16575">
      <c r="A16575" s="163" t="s">
        <v>222</v>
      </c>
      <c r="B16575" s="163"/>
      <c r="C16575" s="163"/>
      <c r="J16575" s="165"/>
      <c r="K16575" s="166"/>
      <c r="L16575" s="166"/>
    </row>
    <row r="16576">
      <c r="A16576" s="163" t="s">
        <v>222</v>
      </c>
      <c r="B16576" s="163"/>
      <c r="C16576" s="163"/>
      <c r="J16576" s="165"/>
      <c r="K16576" s="166"/>
      <c r="L16576" s="166"/>
    </row>
    <row r="16577">
      <c r="A16577" s="163" t="s">
        <v>222</v>
      </c>
      <c r="B16577" s="163"/>
      <c r="C16577" s="163"/>
      <c r="J16577" s="165"/>
      <c r="K16577" s="166"/>
      <c r="L16577" s="166"/>
    </row>
    <row r="16578">
      <c r="A16578" s="163" t="s">
        <v>222</v>
      </c>
      <c r="B16578" s="163"/>
      <c r="C16578" s="163"/>
      <c r="J16578" s="165"/>
      <c r="K16578" s="166"/>
      <c r="L16578" s="166"/>
    </row>
    <row r="16579">
      <c r="A16579" s="163" t="s">
        <v>222</v>
      </c>
      <c r="B16579" s="163"/>
      <c r="C16579" s="163"/>
      <c r="J16579" s="165"/>
      <c r="K16579" s="166"/>
      <c r="L16579" s="166"/>
    </row>
    <row r="16580">
      <c r="A16580" s="163" t="s">
        <v>222</v>
      </c>
      <c r="B16580" s="163"/>
      <c r="C16580" s="163"/>
      <c r="J16580" s="165"/>
      <c r="K16580" s="166"/>
      <c r="L16580" s="166"/>
    </row>
    <row r="16581">
      <c r="A16581" s="163" t="s">
        <v>222</v>
      </c>
      <c r="B16581" s="163"/>
      <c r="C16581" s="163"/>
      <c r="J16581" s="165"/>
      <c r="K16581" s="166"/>
      <c r="L16581" s="166"/>
    </row>
    <row r="16582">
      <c r="A16582" s="163" t="s">
        <v>222</v>
      </c>
      <c r="B16582" s="163"/>
      <c r="C16582" s="163"/>
      <c r="J16582" s="165"/>
      <c r="K16582" s="166"/>
      <c r="L16582" s="166"/>
    </row>
    <row r="16583">
      <c r="A16583" s="163" t="s">
        <v>222</v>
      </c>
      <c r="B16583" s="163"/>
      <c r="C16583" s="163"/>
      <c r="J16583" s="165"/>
      <c r="K16583" s="166"/>
      <c r="L16583" s="166"/>
    </row>
    <row r="16584">
      <c r="A16584" s="163" t="s">
        <v>222</v>
      </c>
      <c r="B16584" s="163"/>
      <c r="C16584" s="163"/>
      <c r="J16584" s="165"/>
      <c r="K16584" s="166"/>
      <c r="L16584" s="166"/>
    </row>
    <row r="16585">
      <c r="A16585" s="163" t="s">
        <v>222</v>
      </c>
      <c r="B16585" s="163"/>
      <c r="C16585" s="163"/>
      <c r="J16585" s="165"/>
      <c r="K16585" s="166"/>
      <c r="L16585" s="166"/>
    </row>
    <row r="16586">
      <c r="A16586" s="163" t="s">
        <v>222</v>
      </c>
      <c r="B16586" s="163"/>
      <c r="C16586" s="163"/>
      <c r="J16586" s="165"/>
      <c r="K16586" s="166"/>
      <c r="L16586" s="166"/>
    </row>
    <row r="16587">
      <c r="A16587" s="163" t="s">
        <v>222</v>
      </c>
      <c r="B16587" s="163"/>
      <c r="C16587" s="163"/>
      <c r="J16587" s="165"/>
      <c r="K16587" s="166"/>
      <c r="L16587" s="166"/>
    </row>
    <row r="16588">
      <c r="A16588" s="163" t="s">
        <v>222</v>
      </c>
      <c r="B16588" s="163"/>
      <c r="C16588" s="163"/>
      <c r="J16588" s="165"/>
      <c r="K16588" s="166"/>
      <c r="L16588" s="166"/>
    </row>
    <row r="16589">
      <c r="A16589" s="163" t="s">
        <v>222</v>
      </c>
      <c r="B16589" s="163"/>
      <c r="C16589" s="163"/>
      <c r="J16589" s="165"/>
      <c r="K16589" s="166"/>
      <c r="L16589" s="166"/>
    </row>
    <row r="16590">
      <c r="A16590" s="163" t="s">
        <v>222</v>
      </c>
      <c r="B16590" s="163"/>
      <c r="C16590" s="163"/>
      <c r="J16590" s="165"/>
      <c r="K16590" s="166"/>
      <c r="L16590" s="166"/>
    </row>
    <row r="16591">
      <c r="A16591" s="163" t="s">
        <v>222</v>
      </c>
      <c r="B16591" s="163"/>
      <c r="C16591" s="163"/>
      <c r="J16591" s="165"/>
      <c r="K16591" s="166"/>
      <c r="L16591" s="166"/>
    </row>
    <row r="16592">
      <c r="A16592" s="163" t="s">
        <v>222</v>
      </c>
      <c r="B16592" s="163"/>
      <c r="C16592" s="163"/>
      <c r="J16592" s="165"/>
      <c r="K16592" s="166"/>
      <c r="L16592" s="166"/>
    </row>
    <row r="16593">
      <c r="A16593" s="163" t="s">
        <v>222</v>
      </c>
      <c r="B16593" s="163"/>
      <c r="C16593" s="163"/>
      <c r="J16593" s="165"/>
      <c r="K16593" s="166"/>
      <c r="L16593" s="166"/>
    </row>
    <row r="16594">
      <c r="A16594" s="163" t="s">
        <v>222</v>
      </c>
      <c r="B16594" s="163"/>
      <c r="C16594" s="163"/>
      <c r="J16594" s="165"/>
      <c r="K16594" s="166"/>
      <c r="L16594" s="166"/>
    </row>
    <row r="16595">
      <c r="A16595" s="163" t="s">
        <v>222</v>
      </c>
      <c r="B16595" s="163"/>
      <c r="C16595" s="163"/>
      <c r="J16595" s="165"/>
      <c r="K16595" s="166"/>
      <c r="L16595" s="166"/>
    </row>
    <row r="16596">
      <c r="A16596" s="163" t="s">
        <v>222</v>
      </c>
      <c r="B16596" s="163"/>
      <c r="C16596" s="163"/>
      <c r="J16596" s="165"/>
      <c r="K16596" s="166"/>
      <c r="L16596" s="166"/>
    </row>
    <row r="16597">
      <c r="A16597" s="163" t="s">
        <v>222</v>
      </c>
      <c r="B16597" s="163"/>
      <c r="C16597" s="163"/>
      <c r="J16597" s="165"/>
      <c r="K16597" s="166"/>
      <c r="L16597" s="166"/>
    </row>
    <row r="16598">
      <c r="A16598" s="163" t="s">
        <v>222</v>
      </c>
      <c r="B16598" s="163"/>
      <c r="C16598" s="163"/>
      <c r="J16598" s="165"/>
      <c r="K16598" s="166"/>
      <c r="L16598" s="166"/>
    </row>
    <row r="16599">
      <c r="A16599" s="163" t="s">
        <v>222</v>
      </c>
      <c r="B16599" s="163"/>
      <c r="C16599" s="163"/>
      <c r="J16599" s="165"/>
      <c r="K16599" s="166"/>
      <c r="L16599" s="166"/>
    </row>
    <row r="16600">
      <c r="A16600" s="163" t="s">
        <v>222</v>
      </c>
      <c r="B16600" s="163"/>
      <c r="C16600" s="163"/>
      <c r="J16600" s="165"/>
      <c r="K16600" s="166"/>
      <c r="L16600" s="166"/>
    </row>
    <row r="16601">
      <c r="A16601" s="163" t="s">
        <v>222</v>
      </c>
      <c r="B16601" s="163"/>
      <c r="C16601" s="163"/>
      <c r="J16601" s="165"/>
      <c r="K16601" s="166"/>
      <c r="L16601" s="166"/>
    </row>
    <row r="16602">
      <c r="A16602" s="163" t="s">
        <v>222</v>
      </c>
      <c r="B16602" s="163"/>
      <c r="C16602" s="163"/>
      <c r="J16602" s="165"/>
      <c r="K16602" s="166"/>
      <c r="L16602" s="166"/>
    </row>
    <row r="16603">
      <c r="A16603" s="163" t="s">
        <v>222</v>
      </c>
      <c r="B16603" s="163"/>
      <c r="C16603" s="163"/>
      <c r="J16603" s="165"/>
      <c r="K16603" s="166"/>
      <c r="L16603" s="166"/>
    </row>
    <row r="16604">
      <c r="A16604" s="163" t="s">
        <v>222</v>
      </c>
      <c r="B16604" s="163"/>
      <c r="C16604" s="163"/>
      <c r="J16604" s="165"/>
      <c r="K16604" s="166"/>
      <c r="L16604" s="166"/>
    </row>
    <row r="16605">
      <c r="A16605" s="163" t="s">
        <v>222</v>
      </c>
      <c r="B16605" s="163"/>
      <c r="C16605" s="163"/>
      <c r="J16605" s="165"/>
      <c r="K16605" s="166"/>
      <c r="L16605" s="166"/>
    </row>
    <row r="16606">
      <c r="A16606" s="163" t="s">
        <v>222</v>
      </c>
      <c r="B16606" s="163"/>
      <c r="C16606" s="163"/>
      <c r="J16606" s="165"/>
      <c r="K16606" s="166"/>
      <c r="L16606" s="166"/>
    </row>
    <row r="16607">
      <c r="A16607" s="163" t="s">
        <v>222</v>
      </c>
      <c r="B16607" s="163"/>
      <c r="C16607" s="163"/>
      <c r="J16607" s="165"/>
      <c r="K16607" s="166"/>
      <c r="L16607" s="166"/>
    </row>
    <row r="16608">
      <c r="A16608" s="163" t="s">
        <v>222</v>
      </c>
      <c r="B16608" s="163"/>
      <c r="C16608" s="163"/>
      <c r="J16608" s="165"/>
      <c r="K16608" s="166"/>
      <c r="L16608" s="166"/>
    </row>
    <row r="16609">
      <c r="A16609" s="163" t="s">
        <v>222</v>
      </c>
      <c r="B16609" s="163"/>
      <c r="C16609" s="163"/>
      <c r="J16609" s="165"/>
      <c r="K16609" s="166"/>
      <c r="L16609" s="166"/>
    </row>
    <row r="16610">
      <c r="A16610" s="163" t="s">
        <v>222</v>
      </c>
      <c r="B16610" s="163"/>
      <c r="C16610" s="163"/>
      <c r="J16610" s="165"/>
      <c r="K16610" s="166"/>
      <c r="L16610" s="166"/>
    </row>
    <row r="16611">
      <c r="A16611" s="163" t="s">
        <v>222</v>
      </c>
      <c r="B16611" s="163"/>
      <c r="C16611" s="163"/>
      <c r="J16611" s="165"/>
      <c r="K16611" s="166"/>
      <c r="L16611" s="166"/>
    </row>
    <row r="16612">
      <c r="A16612" s="163" t="s">
        <v>222</v>
      </c>
      <c r="B16612" s="163"/>
      <c r="C16612" s="163"/>
      <c r="J16612" s="165"/>
      <c r="K16612" s="166"/>
      <c r="L16612" s="166"/>
    </row>
    <row r="16613">
      <c r="A16613" s="163" t="s">
        <v>222</v>
      </c>
      <c r="B16613" s="163"/>
      <c r="C16613" s="163"/>
      <c r="J16613" s="165"/>
      <c r="K16613" s="166"/>
      <c r="L16613" s="166"/>
    </row>
    <row r="16614">
      <c r="A16614" s="163" t="s">
        <v>222</v>
      </c>
      <c r="B16614" s="163"/>
      <c r="C16614" s="163"/>
      <c r="J16614" s="165"/>
      <c r="K16614" s="166"/>
      <c r="L16614" s="166"/>
    </row>
    <row r="16615">
      <c r="A16615" s="163" t="s">
        <v>222</v>
      </c>
      <c r="B16615" s="163"/>
      <c r="C16615" s="163"/>
      <c r="J16615" s="165"/>
      <c r="K16615" s="166"/>
      <c r="L16615" s="166"/>
    </row>
    <row r="16616">
      <c r="A16616" s="163" t="s">
        <v>222</v>
      </c>
      <c r="B16616" s="163"/>
      <c r="C16616" s="163"/>
      <c r="J16616" s="165"/>
      <c r="K16616" s="166"/>
      <c r="L16616" s="166"/>
    </row>
    <row r="16617">
      <c r="A16617" s="163" t="s">
        <v>222</v>
      </c>
      <c r="B16617" s="163"/>
      <c r="C16617" s="163"/>
      <c r="J16617" s="165"/>
      <c r="K16617" s="166"/>
      <c r="L16617" s="166"/>
    </row>
    <row r="16618">
      <c r="A16618" s="163" t="s">
        <v>222</v>
      </c>
      <c r="B16618" s="163"/>
      <c r="C16618" s="163"/>
      <c r="J16618" s="165"/>
      <c r="K16618" s="166"/>
      <c r="L16618" s="166"/>
    </row>
    <row r="16619">
      <c r="A16619" s="163" t="s">
        <v>222</v>
      </c>
      <c r="B16619" s="163"/>
      <c r="C16619" s="163"/>
      <c r="J16619" s="165"/>
      <c r="K16619" s="166"/>
      <c r="L16619" s="166"/>
    </row>
    <row r="16620">
      <c r="A16620" s="163" t="s">
        <v>222</v>
      </c>
      <c r="B16620" s="163"/>
      <c r="C16620" s="163"/>
      <c r="J16620" s="165"/>
      <c r="K16620" s="166"/>
      <c r="L16620" s="166"/>
    </row>
    <row r="16621">
      <c r="A16621" s="163" t="s">
        <v>222</v>
      </c>
      <c r="B16621" s="163"/>
      <c r="C16621" s="163"/>
      <c r="J16621" s="165"/>
      <c r="K16621" s="166"/>
      <c r="L16621" s="166"/>
    </row>
    <row r="16622">
      <c r="A16622" s="163" t="s">
        <v>222</v>
      </c>
      <c r="B16622" s="163"/>
      <c r="C16622" s="163"/>
      <c r="J16622" s="165"/>
      <c r="K16622" s="166"/>
      <c r="L16622" s="166"/>
    </row>
    <row r="16623">
      <c r="A16623" s="163" t="s">
        <v>222</v>
      </c>
      <c r="B16623" s="163"/>
      <c r="C16623" s="163"/>
      <c r="J16623" s="165"/>
      <c r="K16623" s="166"/>
      <c r="L16623" s="166"/>
    </row>
    <row r="16624">
      <c r="A16624" s="163" t="s">
        <v>222</v>
      </c>
      <c r="B16624" s="163"/>
      <c r="C16624" s="163"/>
      <c r="J16624" s="165"/>
      <c r="K16624" s="166"/>
      <c r="L16624" s="166"/>
    </row>
    <row r="16625">
      <c r="A16625" s="163" t="s">
        <v>222</v>
      </c>
      <c r="B16625" s="163"/>
      <c r="C16625" s="163"/>
      <c r="J16625" s="165"/>
      <c r="K16625" s="166"/>
      <c r="L16625" s="166"/>
    </row>
    <row r="16626">
      <c r="A16626" s="163" t="s">
        <v>222</v>
      </c>
      <c r="B16626" s="163"/>
      <c r="C16626" s="163"/>
      <c r="J16626" s="165"/>
      <c r="K16626" s="166"/>
      <c r="L16626" s="166"/>
    </row>
    <row r="16627">
      <c r="A16627" s="163" t="s">
        <v>222</v>
      </c>
      <c r="B16627" s="163"/>
      <c r="C16627" s="163"/>
      <c r="J16627" s="165"/>
      <c r="K16627" s="166"/>
      <c r="L16627" s="166"/>
    </row>
    <row r="16628">
      <c r="A16628" s="163" t="s">
        <v>222</v>
      </c>
      <c r="B16628" s="163"/>
      <c r="C16628" s="163"/>
      <c r="J16628" s="165"/>
      <c r="K16628" s="166"/>
      <c r="L16628" s="166"/>
    </row>
    <row r="16629">
      <c r="A16629" s="163" t="s">
        <v>222</v>
      </c>
      <c r="B16629" s="163"/>
      <c r="C16629" s="163"/>
      <c r="J16629" s="165"/>
      <c r="K16629" s="166"/>
      <c r="L16629" s="166"/>
    </row>
    <row r="16630">
      <c r="A16630" s="163" t="s">
        <v>222</v>
      </c>
      <c r="B16630" s="163"/>
      <c r="C16630" s="163"/>
      <c r="J16630" s="165"/>
      <c r="K16630" s="166"/>
      <c r="L16630" s="166"/>
    </row>
    <row r="16631">
      <c r="A16631" s="163" t="s">
        <v>222</v>
      </c>
      <c r="B16631" s="163"/>
      <c r="C16631" s="163"/>
      <c r="J16631" s="165"/>
      <c r="K16631" s="166"/>
      <c r="L16631" s="166"/>
    </row>
    <row r="16632">
      <c r="A16632" s="163" t="s">
        <v>222</v>
      </c>
      <c r="B16632" s="163"/>
      <c r="C16632" s="163"/>
      <c r="J16632" s="165"/>
      <c r="K16632" s="166"/>
      <c r="L16632" s="166"/>
    </row>
    <row r="16633">
      <c r="A16633" s="163" t="s">
        <v>222</v>
      </c>
      <c r="B16633" s="163"/>
      <c r="C16633" s="163"/>
      <c r="J16633" s="165"/>
      <c r="K16633" s="166"/>
      <c r="L16633" s="166"/>
    </row>
    <row r="16634">
      <c r="A16634" s="163" t="s">
        <v>222</v>
      </c>
      <c r="B16634" s="163"/>
      <c r="C16634" s="163"/>
      <c r="J16634" s="165"/>
      <c r="K16634" s="166"/>
      <c r="L16634" s="166"/>
    </row>
    <row r="16635">
      <c r="A16635" s="163" t="s">
        <v>222</v>
      </c>
      <c r="B16635" s="163"/>
      <c r="C16635" s="163"/>
      <c r="J16635" s="165"/>
      <c r="K16635" s="166"/>
      <c r="L16635" s="166"/>
    </row>
    <row r="16636">
      <c r="A16636" s="163" t="s">
        <v>222</v>
      </c>
      <c r="B16636" s="163"/>
      <c r="C16636" s="163"/>
      <c r="J16636" s="165"/>
      <c r="K16636" s="166"/>
      <c r="L16636" s="166"/>
    </row>
    <row r="16637">
      <c r="A16637" s="163" t="s">
        <v>222</v>
      </c>
      <c r="B16637" s="163"/>
      <c r="C16637" s="163"/>
      <c r="J16637" s="165"/>
      <c r="K16637" s="166"/>
      <c r="L16637" s="166"/>
    </row>
    <row r="16638">
      <c r="A16638" s="163" t="s">
        <v>222</v>
      </c>
      <c r="B16638" s="163"/>
      <c r="C16638" s="163"/>
      <c r="J16638" s="165"/>
      <c r="K16638" s="166"/>
      <c r="L16638" s="166"/>
    </row>
    <row r="16639">
      <c r="A16639" s="163" t="s">
        <v>222</v>
      </c>
      <c r="B16639" s="163"/>
      <c r="C16639" s="163"/>
      <c r="J16639" s="165"/>
      <c r="K16639" s="166"/>
      <c r="L16639" s="166"/>
    </row>
    <row r="16640">
      <c r="A16640" s="163" t="s">
        <v>222</v>
      </c>
      <c r="B16640" s="163"/>
      <c r="C16640" s="163"/>
      <c r="J16640" s="165"/>
      <c r="K16640" s="166"/>
      <c r="L16640" s="166"/>
    </row>
    <row r="16641">
      <c r="A16641" s="163" t="s">
        <v>222</v>
      </c>
      <c r="B16641" s="163"/>
      <c r="C16641" s="163"/>
      <c r="J16641" s="165"/>
      <c r="K16641" s="166"/>
      <c r="L16641" s="166"/>
    </row>
    <row r="16642">
      <c r="A16642" s="163" t="s">
        <v>222</v>
      </c>
      <c r="B16642" s="163"/>
      <c r="C16642" s="163"/>
      <c r="J16642" s="165"/>
      <c r="K16642" s="166"/>
      <c r="L16642" s="166"/>
    </row>
    <row r="16643">
      <c r="A16643" s="163" t="s">
        <v>222</v>
      </c>
      <c r="B16643" s="163"/>
      <c r="C16643" s="163"/>
      <c r="J16643" s="165"/>
      <c r="K16643" s="166"/>
      <c r="L16643" s="166"/>
    </row>
    <row r="16644">
      <c r="A16644" s="163" t="s">
        <v>222</v>
      </c>
      <c r="B16644" s="163"/>
      <c r="C16644" s="163"/>
      <c r="J16644" s="165"/>
      <c r="K16644" s="166"/>
      <c r="L16644" s="166"/>
    </row>
    <row r="16645">
      <c r="A16645" s="163" t="s">
        <v>222</v>
      </c>
      <c r="B16645" s="163"/>
      <c r="C16645" s="163"/>
      <c r="J16645" s="165"/>
      <c r="K16645" s="166"/>
      <c r="L16645" s="166"/>
    </row>
    <row r="16646">
      <c r="A16646" s="163" t="s">
        <v>222</v>
      </c>
      <c r="B16646" s="163"/>
      <c r="C16646" s="163"/>
      <c r="J16646" s="165"/>
      <c r="K16646" s="166"/>
      <c r="L16646" s="166"/>
    </row>
    <row r="16647">
      <c r="A16647" s="163" t="s">
        <v>222</v>
      </c>
      <c r="B16647" s="163"/>
      <c r="C16647" s="163"/>
      <c r="J16647" s="165"/>
      <c r="K16647" s="166"/>
      <c r="L16647" s="166"/>
    </row>
    <row r="16648">
      <c r="A16648" s="163" t="s">
        <v>222</v>
      </c>
      <c r="B16648" s="163"/>
      <c r="C16648" s="163"/>
      <c r="J16648" s="165"/>
      <c r="K16648" s="166"/>
      <c r="L16648" s="166"/>
    </row>
    <row r="16649">
      <c r="A16649" s="163" t="s">
        <v>222</v>
      </c>
      <c r="B16649" s="163"/>
      <c r="C16649" s="163"/>
      <c r="J16649" s="165"/>
      <c r="K16649" s="166"/>
      <c r="L16649" s="166"/>
    </row>
    <row r="16650">
      <c r="A16650" s="163" t="s">
        <v>222</v>
      </c>
      <c r="B16650" s="163"/>
      <c r="C16650" s="163"/>
      <c r="J16650" s="165"/>
      <c r="K16650" s="166"/>
      <c r="L16650" s="166"/>
    </row>
    <row r="16651">
      <c r="A16651" s="163" t="s">
        <v>222</v>
      </c>
      <c r="B16651" s="163"/>
      <c r="C16651" s="163"/>
      <c r="J16651" s="165"/>
      <c r="K16651" s="166"/>
      <c r="L16651" s="166"/>
    </row>
    <row r="16652">
      <c r="A16652" s="163" t="s">
        <v>222</v>
      </c>
      <c r="B16652" s="163"/>
      <c r="C16652" s="163"/>
      <c r="J16652" s="165"/>
      <c r="K16652" s="166"/>
      <c r="L16652" s="166"/>
    </row>
    <row r="16653">
      <c r="A16653" s="163" t="s">
        <v>222</v>
      </c>
      <c r="B16653" s="163"/>
      <c r="C16653" s="163"/>
      <c r="J16653" s="165"/>
      <c r="K16653" s="166"/>
      <c r="L16653" s="166"/>
    </row>
    <row r="16654">
      <c r="A16654" s="163" t="s">
        <v>222</v>
      </c>
      <c r="B16654" s="163"/>
      <c r="C16654" s="163"/>
      <c r="J16654" s="165"/>
      <c r="K16654" s="166"/>
      <c r="L16654" s="166"/>
    </row>
    <row r="16655">
      <c r="A16655" s="163" t="s">
        <v>222</v>
      </c>
      <c r="B16655" s="163"/>
      <c r="C16655" s="163"/>
      <c r="J16655" s="165"/>
      <c r="K16655" s="166"/>
      <c r="L16655" s="166"/>
    </row>
    <row r="16656">
      <c r="A16656" s="163" t="s">
        <v>222</v>
      </c>
      <c r="B16656" s="163"/>
      <c r="C16656" s="163"/>
      <c r="J16656" s="165"/>
      <c r="K16656" s="166"/>
      <c r="L16656" s="166"/>
    </row>
    <row r="16657">
      <c r="A16657" s="163" t="s">
        <v>222</v>
      </c>
      <c r="B16657" s="163"/>
      <c r="C16657" s="163"/>
      <c r="J16657" s="165"/>
      <c r="K16657" s="166"/>
      <c r="L16657" s="166"/>
    </row>
    <row r="16658">
      <c r="A16658" s="163" t="s">
        <v>222</v>
      </c>
      <c r="B16658" s="163"/>
      <c r="C16658" s="163"/>
      <c r="J16658" s="165"/>
      <c r="K16658" s="166"/>
      <c r="L16658" s="166"/>
    </row>
    <row r="16659">
      <c r="A16659" s="163" t="s">
        <v>222</v>
      </c>
      <c r="B16659" s="163"/>
      <c r="C16659" s="163"/>
      <c r="J16659" s="165"/>
      <c r="K16659" s="166"/>
      <c r="L16659" s="166"/>
    </row>
    <row r="16660">
      <c r="A16660" s="163" t="s">
        <v>222</v>
      </c>
      <c r="B16660" s="163"/>
      <c r="C16660" s="163"/>
      <c r="J16660" s="165"/>
      <c r="K16660" s="166"/>
      <c r="L16660" s="166"/>
    </row>
    <row r="16661">
      <c r="A16661" s="163" t="s">
        <v>222</v>
      </c>
      <c r="B16661" s="163"/>
      <c r="C16661" s="163"/>
      <c r="J16661" s="165"/>
      <c r="K16661" s="166"/>
      <c r="L16661" s="166"/>
    </row>
    <row r="16662">
      <c r="A16662" s="163" t="s">
        <v>222</v>
      </c>
      <c r="B16662" s="163"/>
      <c r="C16662" s="163"/>
      <c r="J16662" s="165"/>
      <c r="K16662" s="166"/>
      <c r="L16662" s="166"/>
    </row>
    <row r="16663">
      <c r="A16663" s="163" t="s">
        <v>222</v>
      </c>
      <c r="B16663" s="163"/>
      <c r="C16663" s="163"/>
      <c r="J16663" s="165"/>
      <c r="K16663" s="166"/>
      <c r="L16663" s="166"/>
    </row>
    <row r="16664">
      <c r="A16664" s="163" t="s">
        <v>222</v>
      </c>
      <c r="B16664" s="163"/>
      <c r="C16664" s="163"/>
      <c r="J16664" s="165"/>
      <c r="K16664" s="166"/>
      <c r="L16664" s="166"/>
    </row>
    <row r="16665">
      <c r="A16665" s="163" t="s">
        <v>222</v>
      </c>
      <c r="B16665" s="163"/>
      <c r="C16665" s="163"/>
      <c r="J16665" s="165"/>
      <c r="K16665" s="166"/>
      <c r="L16665" s="166"/>
    </row>
    <row r="16666">
      <c r="A16666" s="163" t="s">
        <v>222</v>
      </c>
      <c r="B16666" s="163"/>
      <c r="C16666" s="163"/>
      <c r="J16666" s="165"/>
      <c r="K16666" s="166"/>
      <c r="L16666" s="166"/>
    </row>
    <row r="16667">
      <c r="A16667" s="163" t="s">
        <v>222</v>
      </c>
      <c r="B16667" s="163"/>
      <c r="C16667" s="163"/>
      <c r="J16667" s="165"/>
      <c r="K16667" s="166"/>
      <c r="L16667" s="166"/>
    </row>
    <row r="16668">
      <c r="A16668" s="163" t="s">
        <v>222</v>
      </c>
      <c r="B16668" s="163"/>
      <c r="C16668" s="163"/>
      <c r="J16668" s="165"/>
      <c r="K16668" s="166"/>
      <c r="L16668" s="166"/>
    </row>
    <row r="16669">
      <c r="A16669" s="163" t="s">
        <v>222</v>
      </c>
      <c r="B16669" s="163"/>
      <c r="C16669" s="163"/>
      <c r="J16669" s="165"/>
      <c r="K16669" s="166"/>
      <c r="L16669" s="166"/>
    </row>
    <row r="16670">
      <c r="A16670" s="163" t="s">
        <v>222</v>
      </c>
      <c r="B16670" s="163"/>
      <c r="C16670" s="163"/>
      <c r="J16670" s="165"/>
      <c r="K16670" s="166"/>
      <c r="L16670" s="166"/>
    </row>
    <row r="16671">
      <c r="A16671" s="163" t="s">
        <v>222</v>
      </c>
      <c r="B16671" s="163"/>
      <c r="C16671" s="163"/>
      <c r="J16671" s="165"/>
      <c r="K16671" s="166"/>
      <c r="L16671" s="166"/>
    </row>
    <row r="16672">
      <c r="A16672" s="163" t="s">
        <v>222</v>
      </c>
      <c r="B16672" s="163"/>
      <c r="C16672" s="163"/>
      <c r="J16672" s="165"/>
      <c r="K16672" s="166"/>
      <c r="L16672" s="166"/>
    </row>
    <row r="16673">
      <c r="A16673" s="163" t="s">
        <v>222</v>
      </c>
      <c r="B16673" s="163"/>
      <c r="C16673" s="163"/>
      <c r="J16673" s="165"/>
      <c r="K16673" s="166"/>
      <c r="L16673" s="166"/>
    </row>
    <row r="16674">
      <c r="A16674" s="163" t="s">
        <v>222</v>
      </c>
      <c r="B16674" s="163"/>
      <c r="C16674" s="163"/>
      <c r="J16674" s="165"/>
      <c r="K16674" s="166"/>
      <c r="L16674" s="166"/>
    </row>
    <row r="16675">
      <c r="A16675" s="163" t="s">
        <v>222</v>
      </c>
      <c r="B16675" s="163"/>
      <c r="C16675" s="163"/>
      <c r="J16675" s="165"/>
      <c r="K16675" s="166"/>
      <c r="L16675" s="166"/>
    </row>
    <row r="16676">
      <c r="A16676" s="163" t="s">
        <v>222</v>
      </c>
      <c r="B16676" s="163"/>
      <c r="C16676" s="163"/>
      <c r="J16676" s="165"/>
      <c r="K16676" s="166"/>
      <c r="L16676" s="166"/>
    </row>
    <row r="16677">
      <c r="A16677" s="163" t="s">
        <v>222</v>
      </c>
      <c r="B16677" s="163"/>
      <c r="C16677" s="163"/>
      <c r="J16677" s="165"/>
      <c r="K16677" s="166"/>
      <c r="L16677" s="166"/>
    </row>
    <row r="16678">
      <c r="A16678" s="163" t="s">
        <v>222</v>
      </c>
      <c r="B16678" s="163"/>
      <c r="C16678" s="163"/>
      <c r="J16678" s="165"/>
      <c r="K16678" s="166"/>
      <c r="L16678" s="166"/>
    </row>
    <row r="16679">
      <c r="A16679" s="163" t="s">
        <v>222</v>
      </c>
      <c r="B16679" s="163"/>
      <c r="C16679" s="163"/>
      <c r="J16679" s="165"/>
      <c r="K16679" s="166"/>
      <c r="L16679" s="166"/>
    </row>
    <row r="16680">
      <c r="A16680" s="163" t="s">
        <v>222</v>
      </c>
      <c r="B16680" s="163"/>
      <c r="C16680" s="163"/>
      <c r="J16680" s="165"/>
      <c r="K16680" s="166"/>
      <c r="L16680" s="166"/>
    </row>
    <row r="16681">
      <c r="A16681" s="163" t="s">
        <v>222</v>
      </c>
      <c r="B16681" s="163"/>
      <c r="C16681" s="163"/>
      <c r="J16681" s="165"/>
      <c r="K16681" s="166"/>
      <c r="L16681" s="166"/>
    </row>
    <row r="16682">
      <c r="A16682" s="163" t="s">
        <v>222</v>
      </c>
      <c r="B16682" s="163"/>
      <c r="C16682" s="163"/>
      <c r="J16682" s="165"/>
      <c r="K16682" s="166"/>
      <c r="L16682" s="166"/>
    </row>
    <row r="16683">
      <c r="A16683" s="163" t="s">
        <v>222</v>
      </c>
      <c r="B16683" s="163"/>
      <c r="C16683" s="163"/>
      <c r="J16683" s="165"/>
      <c r="K16683" s="166"/>
      <c r="L16683" s="166"/>
    </row>
    <row r="16684">
      <c r="A16684" s="163" t="s">
        <v>222</v>
      </c>
      <c r="B16684" s="163"/>
      <c r="C16684" s="163"/>
      <c r="J16684" s="165"/>
      <c r="K16684" s="166"/>
      <c r="L16684" s="166"/>
    </row>
    <row r="16685">
      <c r="A16685" s="163" t="s">
        <v>222</v>
      </c>
      <c r="B16685" s="163"/>
      <c r="C16685" s="163"/>
      <c r="J16685" s="165"/>
      <c r="K16685" s="166"/>
      <c r="L16685" s="166"/>
    </row>
    <row r="16686">
      <c r="A16686" s="163" t="s">
        <v>222</v>
      </c>
      <c r="B16686" s="163"/>
      <c r="C16686" s="163"/>
      <c r="J16686" s="165"/>
      <c r="K16686" s="166"/>
      <c r="L16686" s="166"/>
    </row>
    <row r="16687">
      <c r="A16687" s="163" t="s">
        <v>222</v>
      </c>
      <c r="B16687" s="163"/>
      <c r="C16687" s="163"/>
      <c r="J16687" s="165"/>
      <c r="K16687" s="166"/>
      <c r="L16687" s="166"/>
    </row>
    <row r="16688">
      <c r="A16688" s="163" t="s">
        <v>222</v>
      </c>
      <c r="B16688" s="163"/>
      <c r="C16688" s="163"/>
      <c r="J16688" s="165"/>
      <c r="K16688" s="166"/>
      <c r="L16688" s="166"/>
    </row>
    <row r="16689">
      <c r="A16689" s="163" t="s">
        <v>222</v>
      </c>
      <c r="B16689" s="163"/>
      <c r="C16689" s="163"/>
      <c r="J16689" s="165"/>
      <c r="K16689" s="166"/>
      <c r="L16689" s="166"/>
    </row>
    <row r="16690">
      <c r="A16690" s="163" t="s">
        <v>222</v>
      </c>
      <c r="B16690" s="163"/>
      <c r="C16690" s="163"/>
      <c r="J16690" s="165"/>
      <c r="K16690" s="166"/>
      <c r="L16690" s="166"/>
    </row>
    <row r="16691">
      <c r="A16691" s="163" t="s">
        <v>222</v>
      </c>
      <c r="B16691" s="163"/>
      <c r="C16691" s="163"/>
      <c r="J16691" s="165"/>
      <c r="K16691" s="166"/>
      <c r="L16691" s="166"/>
    </row>
    <row r="16692">
      <c r="A16692" s="163" t="s">
        <v>222</v>
      </c>
      <c r="B16692" s="163"/>
      <c r="C16692" s="163"/>
      <c r="J16692" s="165"/>
      <c r="K16692" s="166"/>
      <c r="L16692" s="166"/>
    </row>
    <row r="16693">
      <c r="A16693" s="163" t="s">
        <v>222</v>
      </c>
      <c r="B16693" s="163"/>
      <c r="C16693" s="163"/>
      <c r="J16693" s="165"/>
      <c r="K16693" s="166"/>
      <c r="L16693" s="166"/>
    </row>
    <row r="16694">
      <c r="A16694" s="163" t="s">
        <v>222</v>
      </c>
      <c r="B16694" s="163"/>
      <c r="C16694" s="163"/>
      <c r="J16694" s="165"/>
      <c r="K16694" s="166"/>
      <c r="L16694" s="166"/>
    </row>
    <row r="16695">
      <c r="A16695" s="163" t="s">
        <v>222</v>
      </c>
      <c r="B16695" s="163"/>
      <c r="C16695" s="163"/>
      <c r="J16695" s="165"/>
      <c r="K16695" s="166"/>
      <c r="L16695" s="166"/>
    </row>
    <row r="16696">
      <c r="A16696" s="163" t="s">
        <v>222</v>
      </c>
      <c r="B16696" s="163"/>
      <c r="C16696" s="163"/>
      <c r="J16696" s="165"/>
      <c r="K16696" s="166"/>
      <c r="L16696" s="166"/>
    </row>
    <row r="16697">
      <c r="A16697" s="163" t="s">
        <v>222</v>
      </c>
      <c r="B16697" s="163"/>
      <c r="C16697" s="163"/>
      <c r="J16697" s="165"/>
      <c r="K16697" s="166"/>
      <c r="L16697" s="166"/>
    </row>
    <row r="16698">
      <c r="A16698" s="163" t="s">
        <v>222</v>
      </c>
      <c r="B16698" s="163"/>
      <c r="C16698" s="163"/>
      <c r="J16698" s="165"/>
      <c r="K16698" s="166"/>
      <c r="L16698" s="166"/>
    </row>
    <row r="16699">
      <c r="A16699" s="163" t="s">
        <v>222</v>
      </c>
      <c r="B16699" s="163"/>
      <c r="C16699" s="163"/>
      <c r="J16699" s="165"/>
      <c r="K16699" s="166"/>
      <c r="L16699" s="166"/>
    </row>
    <row r="16700">
      <c r="A16700" s="163" t="s">
        <v>222</v>
      </c>
      <c r="B16700" s="163"/>
      <c r="C16700" s="163"/>
      <c r="J16700" s="165"/>
      <c r="K16700" s="166"/>
      <c r="L16700" s="166"/>
    </row>
    <row r="16701">
      <c r="A16701" s="163" t="s">
        <v>222</v>
      </c>
      <c r="B16701" s="163"/>
      <c r="C16701" s="163"/>
      <c r="J16701" s="165"/>
      <c r="K16701" s="166"/>
      <c r="L16701" s="166"/>
    </row>
    <row r="16702">
      <c r="A16702" s="163" t="s">
        <v>222</v>
      </c>
      <c r="B16702" s="163"/>
      <c r="C16702" s="163"/>
      <c r="J16702" s="165"/>
      <c r="K16702" s="166"/>
      <c r="L16702" s="166"/>
    </row>
    <row r="16703">
      <c r="A16703" s="163" t="s">
        <v>222</v>
      </c>
      <c r="B16703" s="163"/>
      <c r="C16703" s="163"/>
      <c r="J16703" s="165"/>
      <c r="K16703" s="166"/>
      <c r="L16703" s="166"/>
    </row>
    <row r="16704">
      <c r="A16704" s="163" t="s">
        <v>222</v>
      </c>
      <c r="B16704" s="163"/>
      <c r="C16704" s="163"/>
      <c r="J16704" s="165"/>
      <c r="K16704" s="166"/>
      <c r="L16704" s="166"/>
    </row>
    <row r="16705">
      <c r="A16705" s="163" t="s">
        <v>222</v>
      </c>
      <c r="B16705" s="163"/>
      <c r="C16705" s="163"/>
      <c r="J16705" s="165"/>
      <c r="K16705" s="166"/>
      <c r="L16705" s="166"/>
    </row>
    <row r="16706">
      <c r="A16706" s="163" t="s">
        <v>222</v>
      </c>
      <c r="B16706" s="163"/>
      <c r="C16706" s="163"/>
      <c r="J16706" s="165"/>
      <c r="K16706" s="166"/>
      <c r="L16706" s="166"/>
    </row>
    <row r="16707">
      <c r="A16707" s="163" t="s">
        <v>222</v>
      </c>
      <c r="B16707" s="163"/>
      <c r="C16707" s="163"/>
      <c r="J16707" s="165"/>
      <c r="K16707" s="166"/>
      <c r="L16707" s="166"/>
    </row>
    <row r="16708">
      <c r="A16708" s="163" t="s">
        <v>222</v>
      </c>
      <c r="B16708" s="163"/>
      <c r="C16708" s="163"/>
      <c r="J16708" s="165"/>
      <c r="K16708" s="166"/>
      <c r="L16708" s="166"/>
    </row>
    <row r="16709">
      <c r="A16709" s="163" t="s">
        <v>222</v>
      </c>
      <c r="B16709" s="163"/>
      <c r="C16709" s="163"/>
      <c r="J16709" s="165"/>
      <c r="K16709" s="166"/>
      <c r="L16709" s="166"/>
    </row>
    <row r="16710">
      <c r="A16710" s="163" t="s">
        <v>222</v>
      </c>
      <c r="B16710" s="163"/>
      <c r="C16710" s="163"/>
      <c r="J16710" s="165"/>
      <c r="K16710" s="166"/>
      <c r="L16710" s="166"/>
    </row>
    <row r="16711">
      <c r="A16711" s="163" t="s">
        <v>222</v>
      </c>
      <c r="B16711" s="163"/>
      <c r="C16711" s="163"/>
      <c r="J16711" s="165"/>
      <c r="K16711" s="166"/>
      <c r="L16711" s="166"/>
    </row>
    <row r="16712">
      <c r="A16712" s="163" t="s">
        <v>222</v>
      </c>
      <c r="B16712" s="163"/>
      <c r="C16712" s="163"/>
      <c r="J16712" s="165"/>
      <c r="K16712" s="166"/>
      <c r="L16712" s="166"/>
    </row>
    <row r="16713">
      <c r="A16713" s="163" t="s">
        <v>222</v>
      </c>
      <c r="B16713" s="163"/>
      <c r="C16713" s="163"/>
      <c r="J16713" s="165"/>
      <c r="K16713" s="166"/>
      <c r="L16713" s="166"/>
    </row>
    <row r="16714">
      <c r="A16714" s="163" t="s">
        <v>222</v>
      </c>
      <c r="B16714" s="163"/>
      <c r="C16714" s="163"/>
      <c r="J16714" s="165"/>
      <c r="K16714" s="166"/>
      <c r="L16714" s="166"/>
    </row>
    <row r="16715">
      <c r="A16715" s="163" t="s">
        <v>222</v>
      </c>
      <c r="B16715" s="163"/>
      <c r="C16715" s="163"/>
      <c r="J16715" s="165"/>
      <c r="K16715" s="166"/>
      <c r="L16715" s="166"/>
    </row>
    <row r="16716">
      <c r="A16716" s="163" t="s">
        <v>222</v>
      </c>
      <c r="B16716" s="163"/>
      <c r="C16716" s="163"/>
      <c r="J16716" s="165"/>
      <c r="K16716" s="166"/>
      <c r="L16716" s="166"/>
    </row>
    <row r="16717">
      <c r="A16717" s="163" t="s">
        <v>222</v>
      </c>
      <c r="B16717" s="163"/>
      <c r="C16717" s="163"/>
      <c r="J16717" s="165"/>
      <c r="K16717" s="166"/>
      <c r="L16717" s="166"/>
    </row>
    <row r="16718">
      <c r="A16718" s="163" t="s">
        <v>222</v>
      </c>
      <c r="B16718" s="163"/>
      <c r="C16718" s="163"/>
      <c r="J16718" s="165"/>
      <c r="K16718" s="166"/>
      <c r="L16718" s="166"/>
    </row>
    <row r="16719">
      <c r="A16719" s="163" t="s">
        <v>222</v>
      </c>
      <c r="B16719" s="163"/>
      <c r="C16719" s="163"/>
      <c r="J16719" s="165"/>
      <c r="K16719" s="166"/>
      <c r="L16719" s="166"/>
    </row>
    <row r="16720">
      <c r="A16720" s="163" t="s">
        <v>222</v>
      </c>
      <c r="B16720" s="163"/>
      <c r="C16720" s="163"/>
      <c r="J16720" s="165"/>
      <c r="K16720" s="166"/>
      <c r="L16720" s="166"/>
    </row>
    <row r="16721">
      <c r="A16721" s="163" t="s">
        <v>222</v>
      </c>
      <c r="B16721" s="163"/>
      <c r="C16721" s="163"/>
      <c r="J16721" s="165"/>
      <c r="K16721" s="166"/>
      <c r="L16721" s="166"/>
    </row>
    <row r="16722">
      <c r="A16722" s="163" t="s">
        <v>222</v>
      </c>
      <c r="B16722" s="163"/>
      <c r="C16722" s="163"/>
      <c r="J16722" s="165"/>
      <c r="K16722" s="166"/>
      <c r="L16722" s="166"/>
    </row>
    <row r="16723">
      <c r="A16723" s="163" t="s">
        <v>222</v>
      </c>
      <c r="B16723" s="163"/>
      <c r="C16723" s="163"/>
      <c r="J16723" s="165"/>
      <c r="K16723" s="166"/>
      <c r="L16723" s="166"/>
    </row>
    <row r="16724">
      <c r="A16724" s="163" t="s">
        <v>222</v>
      </c>
      <c r="B16724" s="163"/>
      <c r="C16724" s="163"/>
      <c r="J16724" s="165"/>
      <c r="K16724" s="166"/>
      <c r="L16724" s="166"/>
    </row>
    <row r="16725">
      <c r="A16725" s="163" t="s">
        <v>222</v>
      </c>
      <c r="B16725" s="163"/>
      <c r="C16725" s="163"/>
      <c r="J16725" s="165"/>
      <c r="K16725" s="166"/>
      <c r="L16725" s="166"/>
    </row>
    <row r="16726">
      <c r="A16726" s="163" t="s">
        <v>222</v>
      </c>
      <c r="B16726" s="163"/>
      <c r="C16726" s="163"/>
      <c r="J16726" s="165"/>
      <c r="K16726" s="166"/>
      <c r="L16726" s="166"/>
    </row>
    <row r="16727">
      <c r="A16727" s="163" t="s">
        <v>222</v>
      </c>
      <c r="B16727" s="163"/>
      <c r="C16727" s="163"/>
      <c r="J16727" s="165"/>
      <c r="K16727" s="166"/>
      <c r="L16727" s="166"/>
    </row>
    <row r="16728">
      <c r="A16728" s="163" t="s">
        <v>222</v>
      </c>
      <c r="B16728" s="163"/>
      <c r="C16728" s="163"/>
      <c r="J16728" s="165"/>
      <c r="K16728" s="166"/>
      <c r="L16728" s="166"/>
    </row>
    <row r="16729">
      <c r="A16729" s="163" t="s">
        <v>222</v>
      </c>
      <c r="B16729" s="163"/>
      <c r="C16729" s="163"/>
      <c r="J16729" s="165"/>
      <c r="K16729" s="166"/>
      <c r="L16729" s="166"/>
    </row>
    <row r="16730">
      <c r="A16730" s="163" t="s">
        <v>222</v>
      </c>
      <c r="B16730" s="163"/>
      <c r="C16730" s="163"/>
      <c r="J16730" s="165"/>
      <c r="K16730" s="166"/>
      <c r="L16730" s="166"/>
    </row>
    <row r="16731">
      <c r="A16731" s="163" t="s">
        <v>222</v>
      </c>
      <c r="B16731" s="163"/>
      <c r="C16731" s="163"/>
      <c r="J16731" s="165"/>
      <c r="K16731" s="166"/>
      <c r="L16731" s="166"/>
    </row>
    <row r="16732">
      <c r="A16732" s="163" t="s">
        <v>222</v>
      </c>
      <c r="B16732" s="163"/>
      <c r="C16732" s="163"/>
      <c r="J16732" s="165"/>
      <c r="K16732" s="166"/>
      <c r="L16732" s="166"/>
    </row>
    <row r="16733">
      <c r="A16733" s="163" t="s">
        <v>222</v>
      </c>
      <c r="B16733" s="163"/>
      <c r="C16733" s="163"/>
      <c r="J16733" s="165"/>
      <c r="K16733" s="166"/>
      <c r="L16733" s="166"/>
    </row>
    <row r="16734">
      <c r="A16734" s="163" t="s">
        <v>222</v>
      </c>
      <c r="B16734" s="163"/>
      <c r="C16734" s="163"/>
      <c r="J16734" s="165"/>
      <c r="K16734" s="166"/>
      <c r="L16734" s="166"/>
    </row>
    <row r="16735">
      <c r="A16735" s="163" t="s">
        <v>222</v>
      </c>
      <c r="B16735" s="163"/>
      <c r="C16735" s="163"/>
      <c r="J16735" s="165"/>
      <c r="K16735" s="166"/>
      <c r="L16735" s="166"/>
    </row>
    <row r="16736">
      <c r="A16736" s="163" t="s">
        <v>222</v>
      </c>
      <c r="B16736" s="163"/>
      <c r="C16736" s="163"/>
      <c r="J16736" s="165"/>
      <c r="K16736" s="166"/>
      <c r="L16736" s="166"/>
    </row>
    <row r="16737">
      <c r="A16737" s="163" t="s">
        <v>222</v>
      </c>
      <c r="B16737" s="163"/>
      <c r="C16737" s="163"/>
      <c r="J16737" s="165"/>
      <c r="K16737" s="166"/>
      <c r="L16737" s="166"/>
    </row>
    <row r="16738">
      <c r="A16738" s="163" t="s">
        <v>222</v>
      </c>
      <c r="B16738" s="163"/>
      <c r="C16738" s="163"/>
      <c r="J16738" s="165"/>
      <c r="K16738" s="166"/>
      <c r="L16738" s="166"/>
    </row>
    <row r="16739">
      <c r="A16739" s="163" t="s">
        <v>222</v>
      </c>
      <c r="B16739" s="163"/>
      <c r="C16739" s="163"/>
      <c r="J16739" s="165"/>
      <c r="K16739" s="166"/>
      <c r="L16739" s="166"/>
    </row>
    <row r="16740">
      <c r="A16740" s="163" t="s">
        <v>222</v>
      </c>
      <c r="B16740" s="163"/>
      <c r="C16740" s="163"/>
      <c r="J16740" s="165"/>
      <c r="K16740" s="166"/>
      <c r="L16740" s="166"/>
    </row>
    <row r="16741">
      <c r="A16741" s="163" t="s">
        <v>222</v>
      </c>
      <c r="B16741" s="163"/>
      <c r="C16741" s="163"/>
      <c r="J16741" s="165"/>
      <c r="K16741" s="166"/>
      <c r="L16741" s="166"/>
    </row>
    <row r="16742">
      <c r="A16742" s="163" t="s">
        <v>222</v>
      </c>
      <c r="B16742" s="163"/>
      <c r="C16742" s="163"/>
      <c r="J16742" s="165"/>
      <c r="K16742" s="166"/>
      <c r="L16742" s="166"/>
    </row>
    <row r="16743">
      <c r="A16743" s="163" t="s">
        <v>222</v>
      </c>
      <c r="B16743" s="163"/>
      <c r="C16743" s="163"/>
      <c r="J16743" s="165"/>
      <c r="K16743" s="166"/>
      <c r="L16743" s="166"/>
    </row>
    <row r="16744">
      <c r="A16744" s="163" t="s">
        <v>222</v>
      </c>
      <c r="B16744" s="163"/>
      <c r="C16744" s="163"/>
      <c r="J16744" s="165"/>
      <c r="K16744" s="166"/>
      <c r="L16744" s="166"/>
    </row>
    <row r="16745">
      <c r="A16745" s="163" t="s">
        <v>222</v>
      </c>
      <c r="B16745" s="163"/>
      <c r="C16745" s="163"/>
      <c r="J16745" s="165"/>
      <c r="K16745" s="166"/>
      <c r="L16745" s="166"/>
    </row>
    <row r="16746">
      <c r="A16746" s="163" t="s">
        <v>222</v>
      </c>
      <c r="B16746" s="163"/>
      <c r="C16746" s="163"/>
      <c r="J16746" s="165"/>
      <c r="K16746" s="166"/>
      <c r="L16746" s="166"/>
    </row>
    <row r="16747">
      <c r="A16747" s="163" t="s">
        <v>222</v>
      </c>
      <c r="B16747" s="163"/>
      <c r="C16747" s="163"/>
      <c r="J16747" s="165"/>
      <c r="K16747" s="166"/>
      <c r="L16747" s="166"/>
    </row>
    <row r="16748">
      <c r="A16748" s="163" t="s">
        <v>222</v>
      </c>
      <c r="B16748" s="163"/>
      <c r="C16748" s="163"/>
      <c r="J16748" s="165"/>
      <c r="K16748" s="166"/>
      <c r="L16748" s="166"/>
    </row>
    <row r="16749">
      <c r="A16749" s="163" t="s">
        <v>222</v>
      </c>
      <c r="B16749" s="163"/>
      <c r="C16749" s="163"/>
      <c r="J16749" s="165"/>
      <c r="K16749" s="166"/>
      <c r="L16749" s="166"/>
    </row>
    <row r="16750">
      <c r="A16750" s="163" t="s">
        <v>222</v>
      </c>
      <c r="B16750" s="163"/>
      <c r="C16750" s="163"/>
      <c r="J16750" s="165"/>
      <c r="K16750" s="166"/>
      <c r="L16750" s="166"/>
    </row>
    <row r="16751">
      <c r="A16751" s="163" t="s">
        <v>222</v>
      </c>
      <c r="B16751" s="163"/>
      <c r="C16751" s="163"/>
      <c r="J16751" s="165"/>
      <c r="K16751" s="166"/>
      <c r="L16751" s="166"/>
    </row>
    <row r="16752">
      <c r="A16752" s="163" t="s">
        <v>222</v>
      </c>
      <c r="B16752" s="163"/>
      <c r="C16752" s="163"/>
      <c r="J16752" s="165"/>
      <c r="K16752" s="166"/>
      <c r="L16752" s="166"/>
    </row>
    <row r="16753">
      <c r="A16753" s="163" t="s">
        <v>222</v>
      </c>
      <c r="B16753" s="163"/>
      <c r="C16753" s="163"/>
      <c r="J16753" s="165"/>
      <c r="K16753" s="166"/>
      <c r="L16753" s="166"/>
    </row>
    <row r="16754">
      <c r="A16754" s="163" t="s">
        <v>222</v>
      </c>
      <c r="B16754" s="163"/>
      <c r="C16754" s="163"/>
      <c r="J16754" s="165"/>
      <c r="K16754" s="166"/>
      <c r="L16754" s="166"/>
    </row>
    <row r="16755">
      <c r="A16755" s="163" t="s">
        <v>222</v>
      </c>
      <c r="B16755" s="163"/>
      <c r="C16755" s="163"/>
      <c r="J16755" s="165"/>
      <c r="K16755" s="166"/>
      <c r="L16755" s="166"/>
    </row>
    <row r="16756">
      <c r="A16756" s="163" t="s">
        <v>222</v>
      </c>
      <c r="B16756" s="163"/>
      <c r="C16756" s="163"/>
      <c r="J16756" s="165"/>
      <c r="K16756" s="166"/>
      <c r="L16756" s="166"/>
    </row>
    <row r="16757">
      <c r="A16757" s="163" t="s">
        <v>222</v>
      </c>
      <c r="B16757" s="163"/>
      <c r="C16757" s="163"/>
      <c r="J16757" s="165"/>
      <c r="K16757" s="166"/>
      <c r="L16757" s="166"/>
    </row>
    <row r="16758">
      <c r="A16758" s="163" t="s">
        <v>222</v>
      </c>
      <c r="B16758" s="163"/>
      <c r="C16758" s="163"/>
      <c r="J16758" s="165"/>
      <c r="K16758" s="166"/>
      <c r="L16758" s="166"/>
    </row>
    <row r="16759">
      <c r="A16759" s="163" t="s">
        <v>222</v>
      </c>
      <c r="B16759" s="163"/>
      <c r="C16759" s="163"/>
      <c r="J16759" s="165"/>
      <c r="K16759" s="166"/>
      <c r="L16759" s="166"/>
    </row>
    <row r="16760">
      <c r="A16760" s="163" t="s">
        <v>222</v>
      </c>
      <c r="B16760" s="163"/>
      <c r="C16760" s="163"/>
      <c r="J16760" s="165"/>
      <c r="K16760" s="166"/>
      <c r="L16760" s="166"/>
    </row>
    <row r="16761">
      <c r="A16761" s="163" t="s">
        <v>222</v>
      </c>
      <c r="B16761" s="163"/>
      <c r="C16761" s="163"/>
      <c r="J16761" s="165"/>
      <c r="K16761" s="166"/>
      <c r="L16761" s="166"/>
    </row>
    <row r="16762">
      <c r="A16762" s="163" t="s">
        <v>222</v>
      </c>
      <c r="B16762" s="163"/>
      <c r="C16762" s="163"/>
      <c r="J16762" s="165"/>
      <c r="K16762" s="166"/>
      <c r="L16762" s="166"/>
    </row>
    <row r="16763">
      <c r="A16763" s="163" t="s">
        <v>222</v>
      </c>
      <c r="B16763" s="163"/>
      <c r="C16763" s="163"/>
      <c r="J16763" s="165"/>
      <c r="K16763" s="166"/>
      <c r="L16763" s="166"/>
    </row>
    <row r="16764">
      <c r="A16764" s="163" t="s">
        <v>222</v>
      </c>
      <c r="B16764" s="163"/>
      <c r="C16764" s="163"/>
      <c r="J16764" s="165"/>
      <c r="K16764" s="166"/>
      <c r="L16764" s="166"/>
    </row>
    <row r="16765">
      <c r="A16765" s="163" t="s">
        <v>222</v>
      </c>
      <c r="B16765" s="163"/>
      <c r="C16765" s="163"/>
      <c r="J16765" s="165"/>
      <c r="K16765" s="166"/>
      <c r="L16765" s="166"/>
    </row>
    <row r="16766">
      <c r="A16766" s="163" t="s">
        <v>222</v>
      </c>
      <c r="B16766" s="163"/>
      <c r="C16766" s="163"/>
      <c r="J16766" s="165"/>
      <c r="K16766" s="166"/>
      <c r="L16766" s="166"/>
    </row>
    <row r="16767">
      <c r="A16767" s="163" t="s">
        <v>222</v>
      </c>
      <c r="B16767" s="163"/>
      <c r="C16767" s="163"/>
      <c r="J16767" s="165"/>
      <c r="K16767" s="166"/>
      <c r="L16767" s="166"/>
    </row>
    <row r="16768">
      <c r="A16768" s="163" t="s">
        <v>222</v>
      </c>
      <c r="B16768" s="163"/>
      <c r="C16768" s="163"/>
      <c r="J16768" s="165"/>
      <c r="K16768" s="166"/>
      <c r="L16768" s="166"/>
    </row>
    <row r="16769">
      <c r="A16769" s="163" t="s">
        <v>222</v>
      </c>
      <c r="B16769" s="163"/>
      <c r="C16769" s="163"/>
      <c r="J16769" s="165"/>
      <c r="K16769" s="166"/>
      <c r="L16769" s="166"/>
    </row>
    <row r="16770">
      <c r="A16770" s="163" t="s">
        <v>222</v>
      </c>
      <c r="B16770" s="163"/>
      <c r="C16770" s="163"/>
      <c r="J16770" s="165"/>
      <c r="K16770" s="166"/>
      <c r="L16770" s="166"/>
    </row>
    <row r="16771">
      <c r="A16771" s="163" t="s">
        <v>222</v>
      </c>
      <c r="B16771" s="163"/>
      <c r="C16771" s="163"/>
      <c r="J16771" s="165"/>
      <c r="K16771" s="166"/>
      <c r="L16771" s="166"/>
    </row>
    <row r="16772">
      <c r="A16772" s="163" t="s">
        <v>222</v>
      </c>
      <c r="B16772" s="163"/>
      <c r="C16772" s="163"/>
      <c r="J16772" s="165"/>
      <c r="K16772" s="166"/>
      <c r="L16772" s="166"/>
    </row>
    <row r="16773">
      <c r="A16773" s="163" t="s">
        <v>222</v>
      </c>
      <c r="B16773" s="163"/>
      <c r="C16773" s="163"/>
      <c r="J16773" s="165"/>
      <c r="K16773" s="166"/>
      <c r="L16773" s="166"/>
    </row>
    <row r="16774">
      <c r="A16774" s="163" t="s">
        <v>222</v>
      </c>
      <c r="B16774" s="163"/>
      <c r="C16774" s="163"/>
      <c r="J16774" s="165"/>
      <c r="K16774" s="166"/>
      <c r="L16774" s="166"/>
    </row>
    <row r="16775">
      <c r="A16775" s="163" t="s">
        <v>222</v>
      </c>
      <c r="B16775" s="163"/>
      <c r="C16775" s="163"/>
      <c r="J16775" s="165"/>
      <c r="K16775" s="166"/>
      <c r="L16775" s="166"/>
    </row>
    <row r="16776">
      <c r="A16776" s="163" t="s">
        <v>222</v>
      </c>
      <c r="B16776" s="163"/>
      <c r="C16776" s="163"/>
      <c r="J16776" s="165"/>
      <c r="K16776" s="166"/>
      <c r="L16776" s="166"/>
    </row>
    <row r="16777">
      <c r="A16777" s="163" t="s">
        <v>222</v>
      </c>
      <c r="B16777" s="163"/>
      <c r="C16777" s="163"/>
      <c r="J16777" s="165"/>
      <c r="K16777" s="166"/>
      <c r="L16777" s="166"/>
    </row>
    <row r="16778">
      <c r="A16778" s="163" t="s">
        <v>222</v>
      </c>
      <c r="B16778" s="163"/>
      <c r="C16778" s="163"/>
      <c r="J16778" s="165"/>
      <c r="K16778" s="166"/>
      <c r="L16778" s="166"/>
    </row>
    <row r="16779">
      <c r="A16779" s="163" t="s">
        <v>222</v>
      </c>
      <c r="B16779" s="163"/>
      <c r="C16779" s="163"/>
      <c r="J16779" s="165"/>
      <c r="K16779" s="166"/>
      <c r="L16779" s="166"/>
    </row>
    <row r="16780">
      <c r="A16780" s="163" t="s">
        <v>222</v>
      </c>
      <c r="B16780" s="163"/>
      <c r="C16780" s="163"/>
      <c r="J16780" s="165"/>
      <c r="K16780" s="166"/>
      <c r="L16780" s="166"/>
    </row>
    <row r="16781">
      <c r="A16781" s="163" t="s">
        <v>222</v>
      </c>
      <c r="B16781" s="163"/>
      <c r="C16781" s="163"/>
      <c r="J16781" s="165"/>
      <c r="K16781" s="166"/>
      <c r="L16781" s="166"/>
    </row>
    <row r="16782">
      <c r="A16782" s="163" t="s">
        <v>222</v>
      </c>
      <c r="B16782" s="163"/>
      <c r="C16782" s="163"/>
      <c r="J16782" s="165"/>
      <c r="K16782" s="166"/>
      <c r="L16782" s="166"/>
    </row>
    <row r="16783">
      <c r="A16783" s="163" t="s">
        <v>222</v>
      </c>
      <c r="B16783" s="163"/>
      <c r="C16783" s="163"/>
      <c r="J16783" s="165"/>
      <c r="K16783" s="166"/>
      <c r="L16783" s="166"/>
    </row>
    <row r="16784">
      <c r="A16784" s="163" t="s">
        <v>222</v>
      </c>
      <c r="B16784" s="163"/>
      <c r="C16784" s="163"/>
      <c r="J16784" s="165"/>
      <c r="K16784" s="166"/>
      <c r="L16784" s="166"/>
    </row>
    <row r="16785">
      <c r="A16785" s="163" t="s">
        <v>222</v>
      </c>
      <c r="B16785" s="163"/>
      <c r="C16785" s="163"/>
      <c r="J16785" s="165"/>
      <c r="K16785" s="166"/>
      <c r="L16785" s="166"/>
    </row>
    <row r="16786">
      <c r="A16786" s="163" t="s">
        <v>222</v>
      </c>
      <c r="B16786" s="163"/>
      <c r="C16786" s="163"/>
      <c r="J16786" s="165"/>
      <c r="K16786" s="166"/>
      <c r="L16786" s="166"/>
    </row>
    <row r="16787">
      <c r="A16787" s="163" t="s">
        <v>222</v>
      </c>
      <c r="B16787" s="163"/>
      <c r="C16787" s="163"/>
      <c r="J16787" s="165"/>
      <c r="K16787" s="166"/>
      <c r="L16787" s="166"/>
    </row>
    <row r="16788">
      <c r="A16788" s="163" t="s">
        <v>222</v>
      </c>
      <c r="B16788" s="163"/>
      <c r="C16788" s="163"/>
      <c r="J16788" s="165"/>
      <c r="K16788" s="166"/>
      <c r="L16788" s="166"/>
    </row>
    <row r="16789">
      <c r="A16789" s="163" t="s">
        <v>222</v>
      </c>
      <c r="B16789" s="163"/>
      <c r="C16789" s="163"/>
      <c r="J16789" s="165"/>
      <c r="K16789" s="166"/>
      <c r="L16789" s="166"/>
    </row>
    <row r="16790">
      <c r="A16790" s="163" t="s">
        <v>222</v>
      </c>
      <c r="B16790" s="163"/>
      <c r="C16790" s="163"/>
      <c r="J16790" s="165"/>
      <c r="K16790" s="166"/>
      <c r="L16790" s="166"/>
    </row>
    <row r="16791">
      <c r="A16791" s="163" t="s">
        <v>222</v>
      </c>
      <c r="B16791" s="163"/>
      <c r="C16791" s="163"/>
      <c r="J16791" s="165"/>
      <c r="K16791" s="166"/>
      <c r="L16791" s="166"/>
    </row>
    <row r="16792">
      <c r="A16792" s="163" t="s">
        <v>222</v>
      </c>
      <c r="B16792" s="163"/>
      <c r="C16792" s="163"/>
      <c r="J16792" s="165"/>
      <c r="K16792" s="166"/>
      <c r="L16792" s="166"/>
    </row>
    <row r="16793">
      <c r="A16793" s="163" t="s">
        <v>222</v>
      </c>
      <c r="B16793" s="163"/>
      <c r="C16793" s="163"/>
      <c r="J16793" s="165"/>
      <c r="K16793" s="166"/>
      <c r="L16793" s="166"/>
    </row>
    <row r="16794">
      <c r="A16794" s="163" t="s">
        <v>222</v>
      </c>
      <c r="B16794" s="163"/>
      <c r="C16794" s="163"/>
      <c r="J16794" s="165"/>
      <c r="K16794" s="166"/>
      <c r="L16794" s="166"/>
    </row>
    <row r="16795">
      <c r="A16795" s="163" t="s">
        <v>222</v>
      </c>
      <c r="B16795" s="163"/>
      <c r="C16795" s="163"/>
      <c r="J16795" s="165"/>
      <c r="K16795" s="166"/>
      <c r="L16795" s="166"/>
    </row>
    <row r="16796">
      <c r="A16796" s="163" t="s">
        <v>222</v>
      </c>
      <c r="B16796" s="163"/>
      <c r="C16796" s="163"/>
      <c r="J16796" s="165"/>
      <c r="K16796" s="166"/>
      <c r="L16796" s="166"/>
    </row>
    <row r="16797">
      <c r="A16797" s="163" t="s">
        <v>222</v>
      </c>
      <c r="B16797" s="163"/>
      <c r="C16797" s="163"/>
      <c r="J16797" s="165"/>
      <c r="K16797" s="166"/>
      <c r="L16797" s="166"/>
    </row>
    <row r="16798">
      <c r="A16798" s="163" t="s">
        <v>222</v>
      </c>
      <c r="B16798" s="163"/>
      <c r="C16798" s="163"/>
      <c r="J16798" s="165"/>
      <c r="K16798" s="166"/>
      <c r="L16798" s="166"/>
    </row>
    <row r="16799">
      <c r="A16799" s="163" t="s">
        <v>222</v>
      </c>
      <c r="B16799" s="163"/>
      <c r="C16799" s="163"/>
      <c r="J16799" s="165"/>
      <c r="K16799" s="166"/>
      <c r="L16799" s="166"/>
    </row>
    <row r="16800">
      <c r="A16800" s="163" t="s">
        <v>222</v>
      </c>
      <c r="B16800" s="163"/>
      <c r="C16800" s="163"/>
      <c r="J16800" s="165"/>
      <c r="K16800" s="166"/>
      <c r="L16800" s="166"/>
    </row>
    <row r="16801">
      <c r="A16801" s="163" t="s">
        <v>222</v>
      </c>
      <c r="B16801" s="163"/>
      <c r="C16801" s="163"/>
      <c r="J16801" s="165"/>
      <c r="K16801" s="166"/>
      <c r="L16801" s="166"/>
    </row>
    <row r="16802">
      <c r="A16802" s="163" t="s">
        <v>222</v>
      </c>
      <c r="B16802" s="163"/>
      <c r="C16802" s="163"/>
      <c r="J16802" s="165"/>
      <c r="K16802" s="166"/>
      <c r="L16802" s="166"/>
    </row>
    <row r="16803">
      <c r="A16803" s="163" t="s">
        <v>222</v>
      </c>
      <c r="B16803" s="163"/>
      <c r="C16803" s="163"/>
      <c r="J16803" s="165"/>
      <c r="K16803" s="166"/>
      <c r="L16803" s="166"/>
    </row>
    <row r="16804">
      <c r="A16804" s="163" t="s">
        <v>222</v>
      </c>
      <c r="B16804" s="163"/>
      <c r="C16804" s="163"/>
      <c r="J16804" s="165"/>
      <c r="K16804" s="166"/>
      <c r="L16804" s="166"/>
    </row>
    <row r="16805">
      <c r="A16805" s="163" t="s">
        <v>222</v>
      </c>
      <c r="B16805" s="163"/>
      <c r="C16805" s="163"/>
      <c r="J16805" s="165"/>
      <c r="K16805" s="166"/>
      <c r="L16805" s="166"/>
    </row>
    <row r="16806">
      <c r="A16806" s="163" t="s">
        <v>222</v>
      </c>
      <c r="B16806" s="163"/>
      <c r="C16806" s="163"/>
      <c r="J16806" s="165"/>
      <c r="K16806" s="166"/>
      <c r="L16806" s="166"/>
    </row>
    <row r="16807">
      <c r="A16807" s="163" t="s">
        <v>222</v>
      </c>
      <c r="B16807" s="163"/>
      <c r="C16807" s="163"/>
      <c r="J16807" s="165"/>
      <c r="K16807" s="166"/>
      <c r="L16807" s="166"/>
    </row>
    <row r="16808">
      <c r="A16808" s="163" t="s">
        <v>222</v>
      </c>
      <c r="B16808" s="163"/>
      <c r="C16808" s="163"/>
      <c r="J16808" s="165"/>
      <c r="K16808" s="166"/>
      <c r="L16808" s="166"/>
    </row>
    <row r="16809">
      <c r="A16809" s="163" t="s">
        <v>222</v>
      </c>
      <c r="B16809" s="163"/>
      <c r="C16809" s="163"/>
      <c r="J16809" s="165"/>
      <c r="K16809" s="166"/>
      <c r="L16809" s="166"/>
    </row>
    <row r="16810">
      <c r="A16810" s="163" t="s">
        <v>222</v>
      </c>
      <c r="B16810" s="163"/>
      <c r="C16810" s="163"/>
      <c r="J16810" s="165"/>
      <c r="K16810" s="166"/>
      <c r="L16810" s="166"/>
    </row>
    <row r="16811">
      <c r="A16811" s="163" t="s">
        <v>222</v>
      </c>
      <c r="B16811" s="163"/>
      <c r="C16811" s="163"/>
      <c r="J16811" s="165"/>
      <c r="K16811" s="166"/>
      <c r="L16811" s="166"/>
    </row>
    <row r="16812">
      <c r="A16812" s="163" t="s">
        <v>222</v>
      </c>
      <c r="B16812" s="163"/>
      <c r="C16812" s="163"/>
      <c r="J16812" s="165"/>
      <c r="K16812" s="166"/>
      <c r="L16812" s="166"/>
    </row>
    <row r="16813">
      <c r="A16813" s="163" t="s">
        <v>222</v>
      </c>
      <c r="B16813" s="163"/>
      <c r="C16813" s="163"/>
      <c r="J16813" s="165"/>
      <c r="K16813" s="166"/>
      <c r="L16813" s="166"/>
    </row>
    <row r="16814">
      <c r="A16814" s="163" t="s">
        <v>222</v>
      </c>
      <c r="B16814" s="163"/>
      <c r="C16814" s="163"/>
      <c r="J16814" s="165"/>
      <c r="K16814" s="166"/>
      <c r="L16814" s="166"/>
    </row>
    <row r="16815">
      <c r="A16815" s="163" t="s">
        <v>222</v>
      </c>
      <c r="B16815" s="163"/>
      <c r="C16815" s="163"/>
      <c r="J16815" s="165"/>
      <c r="K16815" s="166"/>
      <c r="L16815" s="166"/>
    </row>
    <row r="16816">
      <c r="A16816" s="163" t="s">
        <v>222</v>
      </c>
      <c r="B16816" s="163"/>
      <c r="C16816" s="163"/>
      <c r="J16816" s="165"/>
      <c r="K16816" s="166"/>
      <c r="L16816" s="166"/>
    </row>
    <row r="16817">
      <c r="A16817" s="163" t="s">
        <v>222</v>
      </c>
      <c r="B16817" s="163"/>
      <c r="C16817" s="163"/>
      <c r="J16817" s="165"/>
      <c r="K16817" s="166"/>
      <c r="L16817" s="166"/>
    </row>
    <row r="16818">
      <c r="A16818" s="163" t="s">
        <v>222</v>
      </c>
      <c r="B16818" s="163"/>
      <c r="C16818" s="163"/>
      <c r="J16818" s="165"/>
      <c r="K16818" s="166"/>
      <c r="L16818" s="166"/>
    </row>
    <row r="16819">
      <c r="A16819" s="163" t="s">
        <v>222</v>
      </c>
      <c r="B16819" s="163"/>
      <c r="C16819" s="163"/>
      <c r="J16819" s="165"/>
      <c r="K16819" s="166"/>
      <c r="L16819" s="166"/>
    </row>
    <row r="16820">
      <c r="A16820" s="163" t="s">
        <v>222</v>
      </c>
      <c r="B16820" s="163"/>
      <c r="C16820" s="163"/>
      <c r="J16820" s="165"/>
      <c r="K16820" s="166"/>
      <c r="L16820" s="166"/>
    </row>
    <row r="16821">
      <c r="A16821" s="163" t="s">
        <v>222</v>
      </c>
      <c r="B16821" s="163"/>
      <c r="C16821" s="163"/>
      <c r="J16821" s="165"/>
      <c r="K16821" s="166"/>
      <c r="L16821" s="166"/>
    </row>
    <row r="16822">
      <c r="A16822" s="163" t="s">
        <v>222</v>
      </c>
      <c r="B16822" s="163"/>
      <c r="C16822" s="163"/>
      <c r="J16822" s="165"/>
      <c r="K16822" s="166"/>
      <c r="L16822" s="166"/>
    </row>
    <row r="16823">
      <c r="A16823" s="163" t="s">
        <v>222</v>
      </c>
      <c r="B16823" s="163"/>
      <c r="C16823" s="163"/>
      <c r="J16823" s="165"/>
      <c r="K16823" s="166"/>
      <c r="L16823" s="166"/>
    </row>
    <row r="16824">
      <c r="A16824" s="163" t="s">
        <v>222</v>
      </c>
      <c r="B16824" s="163"/>
      <c r="C16824" s="163"/>
      <c r="J16824" s="165"/>
      <c r="K16824" s="166"/>
      <c r="L16824" s="166"/>
    </row>
    <row r="16825">
      <c r="A16825" s="163" t="s">
        <v>222</v>
      </c>
      <c r="B16825" s="163"/>
      <c r="C16825" s="163"/>
      <c r="J16825" s="165"/>
      <c r="K16825" s="166"/>
      <c r="L16825" s="166"/>
    </row>
    <row r="16826">
      <c r="A16826" s="163" t="s">
        <v>222</v>
      </c>
      <c r="B16826" s="163"/>
      <c r="C16826" s="163"/>
      <c r="J16826" s="165"/>
      <c r="K16826" s="166"/>
      <c r="L16826" s="166"/>
    </row>
    <row r="16827">
      <c r="A16827" s="163" t="s">
        <v>222</v>
      </c>
      <c r="B16827" s="163"/>
      <c r="C16827" s="163"/>
      <c r="J16827" s="165"/>
      <c r="K16827" s="166"/>
      <c r="L16827" s="166"/>
    </row>
    <row r="16828">
      <c r="A16828" s="163" t="s">
        <v>222</v>
      </c>
      <c r="B16828" s="163"/>
      <c r="C16828" s="163"/>
      <c r="J16828" s="165"/>
      <c r="K16828" s="166"/>
      <c r="L16828" s="166"/>
    </row>
    <row r="16829">
      <c r="A16829" s="163" t="s">
        <v>222</v>
      </c>
      <c r="B16829" s="163"/>
      <c r="C16829" s="163"/>
      <c r="J16829" s="165"/>
      <c r="K16829" s="166"/>
      <c r="L16829" s="166"/>
    </row>
    <row r="16830">
      <c r="A16830" s="163" t="s">
        <v>222</v>
      </c>
      <c r="B16830" s="163"/>
      <c r="C16830" s="163"/>
      <c r="J16830" s="165"/>
      <c r="K16830" s="166"/>
      <c r="L16830" s="166"/>
    </row>
    <row r="16831">
      <c r="A16831" s="163" t="s">
        <v>222</v>
      </c>
      <c r="B16831" s="163"/>
      <c r="C16831" s="163"/>
      <c r="J16831" s="165"/>
      <c r="K16831" s="166"/>
      <c r="L16831" s="166"/>
    </row>
    <row r="16832">
      <c r="A16832" s="163" t="s">
        <v>222</v>
      </c>
      <c r="B16832" s="163"/>
      <c r="C16832" s="163"/>
      <c r="J16832" s="165"/>
      <c r="K16832" s="166"/>
      <c r="L16832" s="166"/>
    </row>
    <row r="16833">
      <c r="A16833" s="163" t="s">
        <v>222</v>
      </c>
      <c r="B16833" s="163"/>
      <c r="C16833" s="163"/>
      <c r="J16833" s="165"/>
      <c r="K16833" s="166"/>
      <c r="L16833" s="166"/>
    </row>
    <row r="16834">
      <c r="A16834" s="163" t="s">
        <v>222</v>
      </c>
      <c r="B16834" s="163"/>
      <c r="C16834" s="163"/>
      <c r="J16834" s="165"/>
      <c r="K16834" s="166"/>
      <c r="L16834" s="166"/>
    </row>
    <row r="16835">
      <c r="A16835" s="163" t="s">
        <v>222</v>
      </c>
      <c r="B16835" s="163"/>
      <c r="C16835" s="163"/>
      <c r="J16835" s="165"/>
      <c r="K16835" s="166"/>
      <c r="L16835" s="166"/>
    </row>
    <row r="16836">
      <c r="A16836" s="163" t="s">
        <v>222</v>
      </c>
      <c r="B16836" s="163"/>
      <c r="C16836" s="163"/>
      <c r="J16836" s="165"/>
      <c r="K16836" s="166"/>
      <c r="L16836" s="166"/>
    </row>
    <row r="16837">
      <c r="A16837" s="163" t="s">
        <v>222</v>
      </c>
      <c r="B16837" s="163"/>
      <c r="C16837" s="163"/>
      <c r="J16837" s="165"/>
      <c r="K16837" s="166"/>
      <c r="L16837" s="166"/>
    </row>
    <row r="16838">
      <c r="A16838" s="163" t="s">
        <v>222</v>
      </c>
      <c r="B16838" s="163"/>
      <c r="C16838" s="163"/>
      <c r="J16838" s="165"/>
      <c r="K16838" s="166"/>
      <c r="L16838" s="166"/>
    </row>
    <row r="16839">
      <c r="A16839" s="163" t="s">
        <v>222</v>
      </c>
      <c r="B16839" s="163"/>
      <c r="C16839" s="163"/>
      <c r="J16839" s="165"/>
      <c r="K16839" s="166"/>
      <c r="L16839" s="166"/>
    </row>
    <row r="16840">
      <c r="A16840" s="163" t="s">
        <v>222</v>
      </c>
      <c r="B16840" s="163"/>
      <c r="C16840" s="163"/>
      <c r="J16840" s="165"/>
      <c r="K16840" s="166"/>
      <c r="L16840" s="166"/>
    </row>
    <row r="16841">
      <c r="A16841" s="163" t="s">
        <v>222</v>
      </c>
      <c r="B16841" s="163"/>
      <c r="C16841" s="163"/>
      <c r="J16841" s="165"/>
      <c r="K16841" s="166"/>
      <c r="L16841" s="166"/>
    </row>
    <row r="16842">
      <c r="A16842" s="163" t="s">
        <v>222</v>
      </c>
      <c r="B16842" s="163"/>
      <c r="C16842" s="163"/>
      <c r="J16842" s="165"/>
      <c r="K16842" s="166"/>
      <c r="L16842" s="166"/>
    </row>
    <row r="16843">
      <c r="A16843" s="163" t="s">
        <v>222</v>
      </c>
      <c r="B16843" s="163"/>
      <c r="C16843" s="163"/>
      <c r="J16843" s="165"/>
      <c r="K16843" s="166"/>
      <c r="L16843" s="166"/>
    </row>
    <row r="16844">
      <c r="A16844" s="163" t="s">
        <v>222</v>
      </c>
      <c r="B16844" s="163"/>
      <c r="C16844" s="163"/>
      <c r="J16844" s="165"/>
      <c r="K16844" s="166"/>
      <c r="L16844" s="166"/>
    </row>
    <row r="16845">
      <c r="A16845" s="163" t="s">
        <v>222</v>
      </c>
      <c r="B16845" s="163"/>
      <c r="C16845" s="163"/>
      <c r="J16845" s="165"/>
      <c r="K16845" s="166"/>
      <c r="L16845" s="166"/>
    </row>
    <row r="16846">
      <c r="A16846" s="163" t="s">
        <v>222</v>
      </c>
      <c r="B16846" s="163"/>
      <c r="C16846" s="163"/>
      <c r="J16846" s="165"/>
      <c r="K16846" s="166"/>
      <c r="L16846" s="166"/>
    </row>
    <row r="16847">
      <c r="A16847" s="163" t="s">
        <v>222</v>
      </c>
      <c r="B16847" s="163"/>
      <c r="C16847" s="163"/>
      <c r="J16847" s="165"/>
      <c r="K16847" s="166"/>
      <c r="L16847" s="166"/>
    </row>
    <row r="16848">
      <c r="A16848" s="163" t="s">
        <v>222</v>
      </c>
      <c r="B16848" s="163"/>
      <c r="C16848" s="163"/>
      <c r="J16848" s="165"/>
      <c r="K16848" s="166"/>
      <c r="L16848" s="166"/>
    </row>
    <row r="16849">
      <c r="A16849" s="163" t="s">
        <v>222</v>
      </c>
      <c r="B16849" s="163"/>
      <c r="C16849" s="163"/>
      <c r="J16849" s="165"/>
      <c r="K16849" s="166"/>
      <c r="L16849" s="166"/>
    </row>
    <row r="16850">
      <c r="A16850" s="163" t="s">
        <v>222</v>
      </c>
      <c r="B16850" s="163"/>
      <c r="C16850" s="163"/>
      <c r="J16850" s="165"/>
      <c r="K16850" s="166"/>
      <c r="L16850" s="166"/>
    </row>
    <row r="16851">
      <c r="A16851" s="163" t="s">
        <v>222</v>
      </c>
      <c r="B16851" s="163"/>
      <c r="C16851" s="163"/>
      <c r="J16851" s="165"/>
      <c r="K16851" s="166"/>
      <c r="L16851" s="166"/>
    </row>
    <row r="16852">
      <c r="A16852" s="163" t="s">
        <v>222</v>
      </c>
      <c r="B16852" s="163"/>
      <c r="C16852" s="163"/>
      <c r="J16852" s="165"/>
      <c r="K16852" s="166"/>
      <c r="L16852" s="166"/>
    </row>
    <row r="16853">
      <c r="A16853" s="163" t="s">
        <v>222</v>
      </c>
      <c r="B16853" s="163"/>
      <c r="C16853" s="163"/>
      <c r="J16853" s="165"/>
      <c r="K16853" s="166"/>
      <c r="L16853" s="166"/>
    </row>
    <row r="16854">
      <c r="A16854" s="163" t="s">
        <v>222</v>
      </c>
      <c r="B16854" s="163"/>
      <c r="C16854" s="163"/>
      <c r="J16854" s="165"/>
      <c r="K16854" s="166"/>
      <c r="L16854" s="166"/>
    </row>
    <row r="16855">
      <c r="A16855" s="163" t="s">
        <v>222</v>
      </c>
      <c r="B16855" s="163"/>
      <c r="C16855" s="163"/>
      <c r="J16855" s="165"/>
      <c r="K16855" s="166"/>
      <c r="L16855" s="166"/>
    </row>
    <row r="16856">
      <c r="A16856" s="163" t="s">
        <v>222</v>
      </c>
      <c r="B16856" s="163"/>
      <c r="C16856" s="163"/>
      <c r="J16856" s="165"/>
      <c r="K16856" s="166"/>
      <c r="L16856" s="166"/>
    </row>
    <row r="16857">
      <c r="A16857" s="163" t="s">
        <v>222</v>
      </c>
      <c r="B16857" s="163"/>
      <c r="C16857" s="163"/>
      <c r="J16857" s="165"/>
      <c r="K16857" s="166"/>
      <c r="L16857" s="166"/>
    </row>
    <row r="16858">
      <c r="A16858" s="163" t="s">
        <v>222</v>
      </c>
      <c r="B16858" s="163"/>
      <c r="C16858" s="163"/>
      <c r="J16858" s="165"/>
      <c r="K16858" s="166"/>
      <c r="L16858" s="166"/>
    </row>
    <row r="16859">
      <c r="A16859" s="163" t="s">
        <v>222</v>
      </c>
      <c r="B16859" s="163"/>
      <c r="C16859" s="163"/>
      <c r="J16859" s="165"/>
      <c r="K16859" s="166"/>
      <c r="L16859" s="166"/>
    </row>
    <row r="16860">
      <c r="A16860" s="163" t="s">
        <v>222</v>
      </c>
      <c r="B16860" s="163"/>
      <c r="C16860" s="163"/>
      <c r="J16860" s="165"/>
      <c r="K16860" s="166"/>
      <c r="L16860" s="166"/>
    </row>
    <row r="16861">
      <c r="A16861" s="163" t="s">
        <v>222</v>
      </c>
      <c r="B16861" s="163"/>
      <c r="C16861" s="163"/>
      <c r="J16861" s="165"/>
      <c r="K16861" s="166"/>
      <c r="L16861" s="166"/>
    </row>
    <row r="16862">
      <c r="A16862" s="163" t="s">
        <v>222</v>
      </c>
      <c r="B16862" s="163"/>
      <c r="C16862" s="163"/>
      <c r="J16862" s="165"/>
      <c r="K16862" s="166"/>
      <c r="L16862" s="166"/>
    </row>
    <row r="16863">
      <c r="A16863" s="163" t="s">
        <v>222</v>
      </c>
      <c r="B16863" s="163"/>
      <c r="C16863" s="163"/>
      <c r="J16863" s="165"/>
      <c r="K16863" s="166"/>
      <c r="L16863" s="166"/>
    </row>
    <row r="16864">
      <c r="A16864" s="163" t="s">
        <v>222</v>
      </c>
      <c r="B16864" s="163"/>
      <c r="C16864" s="163"/>
      <c r="J16864" s="165"/>
      <c r="K16864" s="166"/>
      <c r="L16864" s="166"/>
    </row>
    <row r="16865">
      <c r="A16865" s="163" t="s">
        <v>222</v>
      </c>
      <c r="B16865" s="163"/>
      <c r="C16865" s="163"/>
      <c r="J16865" s="165"/>
      <c r="K16865" s="166"/>
      <c r="L16865" s="166"/>
    </row>
    <row r="16866">
      <c r="A16866" s="163" t="s">
        <v>222</v>
      </c>
      <c r="B16866" s="163"/>
      <c r="C16866" s="163"/>
      <c r="J16866" s="165"/>
      <c r="K16866" s="166"/>
      <c r="L16866" s="166"/>
    </row>
    <row r="16867">
      <c r="A16867" s="163" t="s">
        <v>222</v>
      </c>
      <c r="B16867" s="163"/>
      <c r="C16867" s="163"/>
      <c r="J16867" s="165"/>
      <c r="K16867" s="166"/>
      <c r="L16867" s="166"/>
    </row>
    <row r="16868">
      <c r="A16868" s="163" t="s">
        <v>222</v>
      </c>
      <c r="B16868" s="163"/>
      <c r="C16868" s="163"/>
      <c r="J16868" s="165"/>
      <c r="K16868" s="166"/>
      <c r="L16868" s="166"/>
    </row>
    <row r="16869">
      <c r="A16869" s="163" t="s">
        <v>222</v>
      </c>
      <c r="B16869" s="163"/>
      <c r="C16869" s="163"/>
      <c r="J16869" s="165"/>
      <c r="K16869" s="166"/>
      <c r="L16869" s="166"/>
    </row>
    <row r="16870">
      <c r="A16870" s="163" t="s">
        <v>222</v>
      </c>
      <c r="B16870" s="163"/>
      <c r="C16870" s="163"/>
      <c r="J16870" s="165"/>
      <c r="K16870" s="166"/>
      <c r="L16870" s="166"/>
    </row>
    <row r="16871">
      <c r="A16871" s="163" t="s">
        <v>222</v>
      </c>
      <c r="B16871" s="163"/>
      <c r="C16871" s="163"/>
      <c r="J16871" s="165"/>
      <c r="K16871" s="166"/>
      <c r="L16871" s="166"/>
    </row>
    <row r="16872">
      <c r="A16872" s="163" t="s">
        <v>222</v>
      </c>
      <c r="B16872" s="163"/>
      <c r="C16872" s="163"/>
      <c r="J16872" s="165"/>
      <c r="K16872" s="166"/>
      <c r="L16872" s="166"/>
    </row>
    <row r="16873">
      <c r="A16873" s="163" t="s">
        <v>222</v>
      </c>
      <c r="B16873" s="163"/>
      <c r="C16873" s="163"/>
      <c r="J16873" s="165"/>
      <c r="K16873" s="166"/>
      <c r="L16873" s="166"/>
    </row>
    <row r="16874">
      <c r="A16874" s="163" t="s">
        <v>222</v>
      </c>
      <c r="B16874" s="163"/>
      <c r="C16874" s="163"/>
      <c r="J16874" s="165"/>
      <c r="K16874" s="166"/>
      <c r="L16874" s="166"/>
    </row>
    <row r="16875">
      <c r="A16875" s="163" t="s">
        <v>222</v>
      </c>
      <c r="B16875" s="163"/>
      <c r="C16875" s="163"/>
      <c r="J16875" s="165"/>
      <c r="K16875" s="166"/>
      <c r="L16875" s="166"/>
    </row>
    <row r="16876">
      <c r="A16876" s="163" t="s">
        <v>222</v>
      </c>
      <c r="B16876" s="163"/>
      <c r="C16876" s="163"/>
      <c r="J16876" s="165"/>
      <c r="K16876" s="166"/>
      <c r="L16876" s="166"/>
    </row>
    <row r="16877">
      <c r="A16877" s="163" t="s">
        <v>222</v>
      </c>
      <c r="B16877" s="163"/>
      <c r="C16877" s="163"/>
      <c r="J16877" s="165"/>
      <c r="K16877" s="166"/>
      <c r="L16877" s="166"/>
    </row>
    <row r="16878">
      <c r="A16878" s="163" t="s">
        <v>222</v>
      </c>
      <c r="B16878" s="163"/>
      <c r="C16878" s="163"/>
      <c r="J16878" s="165"/>
      <c r="K16878" s="166"/>
      <c r="L16878" s="166"/>
    </row>
    <row r="16879">
      <c r="A16879" s="163" t="s">
        <v>222</v>
      </c>
      <c r="B16879" s="163"/>
      <c r="C16879" s="163"/>
      <c r="J16879" s="165"/>
      <c r="K16879" s="166"/>
      <c r="L16879" s="166"/>
    </row>
    <row r="16880">
      <c r="A16880" s="163" t="s">
        <v>222</v>
      </c>
      <c r="B16880" s="163"/>
      <c r="C16880" s="163"/>
      <c r="J16880" s="165"/>
      <c r="K16880" s="166"/>
      <c r="L16880" s="166"/>
    </row>
    <row r="16881">
      <c r="A16881" s="163" t="s">
        <v>222</v>
      </c>
      <c r="B16881" s="163"/>
      <c r="C16881" s="163"/>
      <c r="J16881" s="165"/>
      <c r="K16881" s="166"/>
      <c r="L16881" s="166"/>
    </row>
    <row r="16882">
      <c r="A16882" s="163" t="s">
        <v>222</v>
      </c>
      <c r="B16882" s="163"/>
      <c r="C16882" s="163"/>
      <c r="J16882" s="165"/>
      <c r="K16882" s="166"/>
      <c r="L16882" s="166"/>
    </row>
    <row r="16883">
      <c r="A16883" s="163" t="s">
        <v>222</v>
      </c>
      <c r="B16883" s="163"/>
      <c r="C16883" s="163"/>
      <c r="J16883" s="165"/>
      <c r="K16883" s="166"/>
      <c r="L16883" s="166"/>
    </row>
    <row r="16884">
      <c r="A16884" s="163" t="s">
        <v>222</v>
      </c>
      <c r="B16884" s="163"/>
      <c r="C16884" s="163"/>
      <c r="J16884" s="165"/>
      <c r="K16884" s="166"/>
      <c r="L16884" s="166"/>
    </row>
    <row r="16885">
      <c r="A16885" s="163" t="s">
        <v>222</v>
      </c>
      <c r="B16885" s="163"/>
      <c r="C16885" s="163"/>
      <c r="J16885" s="165"/>
      <c r="K16885" s="166"/>
      <c r="L16885" s="166"/>
    </row>
    <row r="16886">
      <c r="A16886" s="163" t="s">
        <v>222</v>
      </c>
      <c r="B16886" s="163"/>
      <c r="C16886" s="163"/>
      <c r="J16886" s="165"/>
      <c r="K16886" s="166"/>
      <c r="L16886" s="166"/>
    </row>
    <row r="16887">
      <c r="A16887" s="163" t="s">
        <v>222</v>
      </c>
      <c r="B16887" s="163"/>
      <c r="C16887" s="163"/>
      <c r="J16887" s="165"/>
      <c r="K16887" s="166"/>
      <c r="L16887" s="166"/>
    </row>
    <row r="16888">
      <c r="A16888" s="163" t="s">
        <v>222</v>
      </c>
      <c r="B16888" s="163"/>
      <c r="C16888" s="163"/>
      <c r="J16888" s="165"/>
      <c r="K16888" s="166"/>
      <c r="L16888" s="166"/>
    </row>
    <row r="16889">
      <c r="A16889" s="163" t="s">
        <v>222</v>
      </c>
      <c r="B16889" s="163"/>
      <c r="C16889" s="163"/>
      <c r="J16889" s="165"/>
      <c r="K16889" s="166"/>
      <c r="L16889" s="166"/>
    </row>
    <row r="16890">
      <c r="A16890" s="163" t="s">
        <v>222</v>
      </c>
      <c r="B16890" s="163"/>
      <c r="C16890" s="163"/>
      <c r="J16890" s="165"/>
      <c r="K16890" s="166"/>
      <c r="L16890" s="166"/>
    </row>
    <row r="16891">
      <c r="A16891" s="163" t="s">
        <v>222</v>
      </c>
      <c r="B16891" s="163"/>
      <c r="C16891" s="163"/>
      <c r="J16891" s="165"/>
      <c r="K16891" s="166"/>
      <c r="L16891" s="166"/>
    </row>
    <row r="16892">
      <c r="A16892" s="163" t="s">
        <v>222</v>
      </c>
      <c r="B16892" s="163"/>
      <c r="C16892" s="163"/>
      <c r="J16892" s="165"/>
      <c r="K16892" s="166"/>
      <c r="L16892" s="166"/>
    </row>
    <row r="16893">
      <c r="A16893" s="163" t="s">
        <v>222</v>
      </c>
      <c r="B16893" s="163"/>
      <c r="C16893" s="163"/>
      <c r="J16893" s="165"/>
      <c r="K16893" s="166"/>
      <c r="L16893" s="166"/>
    </row>
    <row r="16894">
      <c r="A16894" s="163" t="s">
        <v>222</v>
      </c>
      <c r="B16894" s="163"/>
      <c r="C16894" s="163"/>
      <c r="J16894" s="165"/>
      <c r="K16894" s="166"/>
      <c r="L16894" s="166"/>
    </row>
    <row r="16895">
      <c r="A16895" s="163" t="s">
        <v>222</v>
      </c>
      <c r="B16895" s="163"/>
      <c r="C16895" s="163"/>
      <c r="J16895" s="165"/>
      <c r="K16895" s="166"/>
      <c r="L16895" s="166"/>
    </row>
    <row r="16896">
      <c r="A16896" s="163" t="s">
        <v>222</v>
      </c>
      <c r="B16896" s="163"/>
      <c r="C16896" s="163"/>
      <c r="J16896" s="165"/>
      <c r="K16896" s="166"/>
      <c r="L16896" s="166"/>
    </row>
    <row r="16897">
      <c r="A16897" s="163" t="s">
        <v>222</v>
      </c>
      <c r="B16897" s="163"/>
      <c r="C16897" s="163"/>
      <c r="J16897" s="165"/>
      <c r="K16897" s="166"/>
      <c r="L16897" s="166"/>
    </row>
    <row r="16898">
      <c r="A16898" s="163" t="s">
        <v>222</v>
      </c>
      <c r="B16898" s="163"/>
      <c r="C16898" s="163"/>
      <c r="J16898" s="165"/>
      <c r="K16898" s="166"/>
      <c r="L16898" s="166"/>
    </row>
    <row r="16899">
      <c r="A16899" s="163" t="s">
        <v>222</v>
      </c>
      <c r="B16899" s="163"/>
      <c r="C16899" s="163"/>
      <c r="J16899" s="165"/>
      <c r="K16899" s="166"/>
      <c r="L16899" s="166"/>
    </row>
    <row r="16900">
      <c r="A16900" s="163" t="s">
        <v>222</v>
      </c>
      <c r="B16900" s="163"/>
      <c r="C16900" s="163"/>
      <c r="J16900" s="165"/>
      <c r="K16900" s="166"/>
      <c r="L16900" s="166"/>
    </row>
    <row r="16901">
      <c r="A16901" s="163" t="s">
        <v>222</v>
      </c>
      <c r="B16901" s="163"/>
      <c r="C16901" s="163"/>
      <c r="J16901" s="165"/>
      <c r="K16901" s="166"/>
      <c r="L16901" s="166"/>
    </row>
    <row r="16902">
      <c r="A16902" s="163" t="s">
        <v>222</v>
      </c>
      <c r="B16902" s="163"/>
      <c r="C16902" s="163"/>
      <c r="J16902" s="165"/>
      <c r="K16902" s="166"/>
      <c r="L16902" s="166"/>
    </row>
    <row r="16903">
      <c r="A16903" s="163" t="s">
        <v>222</v>
      </c>
      <c r="B16903" s="163"/>
      <c r="C16903" s="163"/>
      <c r="J16903" s="165"/>
      <c r="K16903" s="166"/>
      <c r="L16903" s="166"/>
    </row>
    <row r="16904">
      <c r="A16904" s="163" t="s">
        <v>222</v>
      </c>
      <c r="B16904" s="163"/>
      <c r="C16904" s="163"/>
      <c r="J16904" s="165"/>
      <c r="K16904" s="166"/>
      <c r="L16904" s="166"/>
    </row>
    <row r="16905">
      <c r="A16905" s="163" t="s">
        <v>222</v>
      </c>
      <c r="B16905" s="163"/>
      <c r="C16905" s="163"/>
      <c r="J16905" s="165"/>
      <c r="K16905" s="166"/>
      <c r="L16905" s="166"/>
    </row>
    <row r="16906">
      <c r="A16906" s="163" t="s">
        <v>222</v>
      </c>
      <c r="B16906" s="163"/>
      <c r="C16906" s="163"/>
      <c r="J16906" s="165"/>
      <c r="K16906" s="166"/>
      <c r="L16906" s="166"/>
    </row>
    <row r="16907">
      <c r="A16907" s="163" t="s">
        <v>222</v>
      </c>
      <c r="B16907" s="163"/>
      <c r="C16907" s="163"/>
      <c r="J16907" s="165"/>
      <c r="K16907" s="166"/>
      <c r="L16907" s="166"/>
    </row>
    <row r="16908">
      <c r="A16908" s="163" t="s">
        <v>222</v>
      </c>
      <c r="B16908" s="163"/>
      <c r="C16908" s="163"/>
      <c r="J16908" s="165"/>
      <c r="K16908" s="166"/>
      <c r="L16908" s="166"/>
    </row>
    <row r="16909">
      <c r="A16909" s="163" t="s">
        <v>222</v>
      </c>
      <c r="B16909" s="163"/>
      <c r="C16909" s="163"/>
      <c r="J16909" s="165"/>
      <c r="K16909" s="166"/>
      <c r="L16909" s="166"/>
    </row>
    <row r="16910">
      <c r="A16910" s="163" t="s">
        <v>222</v>
      </c>
      <c r="B16910" s="163"/>
      <c r="C16910" s="163"/>
      <c r="J16910" s="165"/>
      <c r="K16910" s="166"/>
      <c r="L16910" s="166"/>
    </row>
    <row r="16911">
      <c r="A16911" s="163" t="s">
        <v>222</v>
      </c>
      <c r="B16911" s="163"/>
      <c r="C16911" s="163"/>
      <c r="J16911" s="165"/>
      <c r="K16911" s="166"/>
      <c r="L16911" s="166"/>
    </row>
    <row r="16912">
      <c r="A16912" s="163" t="s">
        <v>222</v>
      </c>
      <c r="B16912" s="163"/>
      <c r="C16912" s="163"/>
      <c r="J16912" s="165"/>
      <c r="K16912" s="166"/>
      <c r="L16912" s="166"/>
    </row>
    <row r="16913">
      <c r="A16913" s="163" t="s">
        <v>222</v>
      </c>
      <c r="B16913" s="163"/>
      <c r="C16913" s="163"/>
      <c r="J16913" s="165"/>
      <c r="K16913" s="166"/>
      <c r="L16913" s="166"/>
    </row>
    <row r="16914">
      <c r="A16914" s="163" t="s">
        <v>222</v>
      </c>
      <c r="B16914" s="163"/>
      <c r="C16914" s="163"/>
      <c r="J16914" s="165"/>
      <c r="K16914" s="166"/>
      <c r="L16914" s="166"/>
    </row>
    <row r="16915">
      <c r="A16915" s="163" t="s">
        <v>222</v>
      </c>
      <c r="B16915" s="163"/>
      <c r="C16915" s="163"/>
      <c r="J16915" s="165"/>
      <c r="K16915" s="166"/>
      <c r="L16915" s="166"/>
    </row>
    <row r="16916">
      <c r="A16916" s="163" t="s">
        <v>222</v>
      </c>
      <c r="B16916" s="163"/>
      <c r="C16916" s="163"/>
      <c r="J16916" s="165"/>
      <c r="K16916" s="166"/>
      <c r="L16916" s="166"/>
    </row>
    <row r="16917">
      <c r="A16917" s="163" t="s">
        <v>222</v>
      </c>
      <c r="B16917" s="163"/>
      <c r="C16917" s="163"/>
      <c r="J16917" s="165"/>
      <c r="K16917" s="166"/>
      <c r="L16917" s="166"/>
    </row>
    <row r="16918">
      <c r="A16918" s="163" t="s">
        <v>222</v>
      </c>
      <c r="B16918" s="163"/>
      <c r="C16918" s="163"/>
      <c r="J16918" s="165"/>
      <c r="K16918" s="166"/>
      <c r="L16918" s="166"/>
    </row>
    <row r="16919">
      <c r="A16919" s="163" t="s">
        <v>222</v>
      </c>
      <c r="B16919" s="163"/>
      <c r="C16919" s="163"/>
      <c r="J16919" s="165"/>
      <c r="K16919" s="166"/>
      <c r="L16919" s="166"/>
    </row>
    <row r="16920">
      <c r="A16920" s="163" t="s">
        <v>222</v>
      </c>
      <c r="B16920" s="163"/>
      <c r="C16920" s="163"/>
      <c r="J16920" s="165"/>
      <c r="K16920" s="166"/>
      <c r="L16920" s="166"/>
    </row>
    <row r="16921">
      <c r="A16921" s="163" t="s">
        <v>222</v>
      </c>
      <c r="B16921" s="163"/>
      <c r="C16921" s="163"/>
      <c r="J16921" s="165"/>
      <c r="K16921" s="166"/>
      <c r="L16921" s="166"/>
    </row>
    <row r="16922">
      <c r="A16922" s="163" t="s">
        <v>222</v>
      </c>
      <c r="B16922" s="163"/>
      <c r="C16922" s="163"/>
      <c r="J16922" s="165"/>
      <c r="K16922" s="166"/>
      <c r="L16922" s="166"/>
    </row>
    <row r="16923">
      <c r="A16923" s="163" t="s">
        <v>222</v>
      </c>
      <c r="B16923" s="163"/>
      <c r="C16923" s="163"/>
      <c r="J16923" s="165"/>
      <c r="K16923" s="166"/>
      <c r="L16923" s="166"/>
    </row>
    <row r="16924">
      <c r="A16924" s="163" t="s">
        <v>222</v>
      </c>
      <c r="B16924" s="163"/>
      <c r="C16924" s="163"/>
      <c r="J16924" s="165"/>
      <c r="K16924" s="166"/>
      <c r="L16924" s="166"/>
    </row>
    <row r="16925">
      <c r="A16925" s="163" t="s">
        <v>222</v>
      </c>
      <c r="B16925" s="163"/>
      <c r="C16925" s="163"/>
      <c r="J16925" s="165"/>
      <c r="K16925" s="166"/>
      <c r="L16925" s="166"/>
    </row>
    <row r="16926">
      <c r="A16926" s="163" t="s">
        <v>222</v>
      </c>
      <c r="B16926" s="163"/>
      <c r="C16926" s="163"/>
      <c r="J16926" s="165"/>
      <c r="K16926" s="166"/>
      <c r="L16926" s="166"/>
    </row>
    <row r="16927">
      <c r="A16927" s="163" t="s">
        <v>222</v>
      </c>
      <c r="B16927" s="163"/>
      <c r="C16927" s="163"/>
      <c r="J16927" s="165"/>
      <c r="K16927" s="166"/>
      <c r="L16927" s="166"/>
    </row>
    <row r="16928">
      <c r="A16928" s="163" t="s">
        <v>222</v>
      </c>
      <c r="B16928" s="163"/>
      <c r="C16928" s="163"/>
      <c r="J16928" s="165"/>
      <c r="K16928" s="166"/>
      <c r="L16928" s="166"/>
    </row>
    <row r="16929">
      <c r="A16929" s="163" t="s">
        <v>222</v>
      </c>
      <c r="B16929" s="163"/>
      <c r="C16929" s="163"/>
      <c r="J16929" s="165"/>
      <c r="K16929" s="166"/>
      <c r="L16929" s="166"/>
    </row>
    <row r="16930">
      <c r="A16930" s="163" t="s">
        <v>222</v>
      </c>
      <c r="B16930" s="163"/>
      <c r="C16930" s="163"/>
      <c r="J16930" s="165"/>
      <c r="K16930" s="166"/>
      <c r="L16930" s="166"/>
    </row>
    <row r="16931">
      <c r="A16931" s="163" t="s">
        <v>222</v>
      </c>
      <c r="B16931" s="163"/>
      <c r="C16931" s="163"/>
      <c r="J16931" s="165"/>
      <c r="K16931" s="166"/>
      <c r="L16931" s="166"/>
    </row>
    <row r="16932">
      <c r="A16932" s="163" t="s">
        <v>222</v>
      </c>
      <c r="B16932" s="163"/>
      <c r="C16932" s="163"/>
      <c r="J16932" s="165"/>
      <c r="K16932" s="166"/>
      <c r="L16932" s="166"/>
    </row>
    <row r="16933">
      <c r="A16933" s="163" t="s">
        <v>222</v>
      </c>
      <c r="B16933" s="163"/>
      <c r="C16933" s="163"/>
      <c r="J16933" s="165"/>
      <c r="K16933" s="166"/>
      <c r="L16933" s="166"/>
    </row>
    <row r="16934">
      <c r="A16934" s="163" t="s">
        <v>222</v>
      </c>
      <c r="B16934" s="163"/>
      <c r="C16934" s="163"/>
      <c r="J16934" s="165"/>
      <c r="K16934" s="166"/>
      <c r="L16934" s="166"/>
    </row>
    <row r="16935">
      <c r="A16935" s="163" t="s">
        <v>222</v>
      </c>
      <c r="B16935" s="163"/>
      <c r="C16935" s="163"/>
      <c r="J16935" s="165"/>
      <c r="K16935" s="166"/>
      <c r="L16935" s="166"/>
    </row>
    <row r="16936">
      <c r="A16936" s="163" t="s">
        <v>222</v>
      </c>
      <c r="B16936" s="163"/>
      <c r="C16936" s="163"/>
      <c r="J16936" s="165"/>
      <c r="K16936" s="166"/>
      <c r="L16936" s="166"/>
    </row>
    <row r="16937">
      <c r="A16937" s="163" t="s">
        <v>222</v>
      </c>
      <c r="B16937" s="163"/>
      <c r="C16937" s="163"/>
      <c r="J16937" s="165"/>
      <c r="K16937" s="166"/>
      <c r="L16937" s="166"/>
    </row>
    <row r="16938">
      <c r="A16938" s="163" t="s">
        <v>222</v>
      </c>
      <c r="B16938" s="163"/>
      <c r="C16938" s="163"/>
      <c r="J16938" s="165"/>
      <c r="K16938" s="166"/>
      <c r="L16938" s="166"/>
    </row>
    <row r="16939">
      <c r="A16939" s="163" t="s">
        <v>222</v>
      </c>
      <c r="B16939" s="163"/>
      <c r="C16939" s="163"/>
      <c r="J16939" s="165"/>
      <c r="K16939" s="166"/>
      <c r="L16939" s="166"/>
    </row>
    <row r="16940">
      <c r="A16940" s="163" t="s">
        <v>222</v>
      </c>
      <c r="B16940" s="163"/>
      <c r="C16940" s="163"/>
      <c r="J16940" s="165"/>
      <c r="K16940" s="166"/>
      <c r="L16940" s="166"/>
    </row>
    <row r="16941">
      <c r="A16941" s="163" t="s">
        <v>222</v>
      </c>
      <c r="B16941" s="163"/>
      <c r="C16941" s="163"/>
      <c r="J16941" s="165"/>
      <c r="K16941" s="166"/>
      <c r="L16941" s="166"/>
    </row>
    <row r="16942">
      <c r="A16942" s="163" t="s">
        <v>222</v>
      </c>
      <c r="B16942" s="163"/>
      <c r="C16942" s="163"/>
      <c r="J16942" s="165"/>
      <c r="K16942" s="166"/>
      <c r="L16942" s="166"/>
    </row>
    <row r="16943">
      <c r="A16943" s="163" t="s">
        <v>222</v>
      </c>
      <c r="B16943" s="163"/>
      <c r="C16943" s="163"/>
      <c r="J16943" s="165"/>
      <c r="K16943" s="166"/>
      <c r="L16943" s="166"/>
    </row>
    <row r="16944">
      <c r="A16944" s="163" t="s">
        <v>222</v>
      </c>
      <c r="B16944" s="163"/>
      <c r="C16944" s="163"/>
      <c r="J16944" s="165"/>
      <c r="K16944" s="166"/>
      <c r="L16944" s="166"/>
    </row>
    <row r="16945">
      <c r="A16945" s="163" t="s">
        <v>222</v>
      </c>
      <c r="B16945" s="163"/>
      <c r="C16945" s="163"/>
      <c r="J16945" s="165"/>
      <c r="K16945" s="166"/>
      <c r="L16945" s="166"/>
    </row>
    <row r="16946">
      <c r="A16946" s="163" t="s">
        <v>222</v>
      </c>
      <c r="B16946" s="163"/>
      <c r="C16946" s="163"/>
      <c r="J16946" s="165"/>
      <c r="K16946" s="166"/>
      <c r="L16946" s="166"/>
    </row>
    <row r="16947">
      <c r="A16947" s="163" t="s">
        <v>222</v>
      </c>
      <c r="B16947" s="163"/>
      <c r="C16947" s="163"/>
      <c r="J16947" s="165"/>
      <c r="K16947" s="166"/>
      <c r="L16947" s="166"/>
    </row>
    <row r="16948">
      <c r="A16948" s="163" t="s">
        <v>222</v>
      </c>
      <c r="B16948" s="163"/>
      <c r="C16948" s="163"/>
      <c r="J16948" s="165"/>
      <c r="K16948" s="166"/>
      <c r="L16948" s="166"/>
    </row>
    <row r="16949">
      <c r="A16949" s="163" t="s">
        <v>222</v>
      </c>
      <c r="B16949" s="163"/>
      <c r="C16949" s="163"/>
      <c r="J16949" s="165"/>
      <c r="K16949" s="166"/>
      <c r="L16949" s="166"/>
    </row>
    <row r="16950">
      <c r="A16950" s="163" t="s">
        <v>222</v>
      </c>
      <c r="B16950" s="163"/>
      <c r="C16950" s="163"/>
      <c r="J16950" s="165"/>
      <c r="K16950" s="166"/>
      <c r="L16950" s="166"/>
    </row>
    <row r="16951">
      <c r="A16951" s="163" t="s">
        <v>222</v>
      </c>
      <c r="B16951" s="163"/>
      <c r="C16951" s="163"/>
      <c r="J16951" s="165"/>
      <c r="K16951" s="166"/>
      <c r="L16951" s="166"/>
    </row>
    <row r="16952">
      <c r="A16952" s="163" t="s">
        <v>222</v>
      </c>
      <c r="B16952" s="163"/>
      <c r="C16952" s="163"/>
      <c r="J16952" s="165"/>
      <c r="K16952" s="166"/>
      <c r="L16952" s="166"/>
    </row>
    <row r="16953">
      <c r="A16953" s="163" t="s">
        <v>222</v>
      </c>
      <c r="B16953" s="163"/>
      <c r="C16953" s="163"/>
      <c r="J16953" s="165"/>
      <c r="K16953" s="166"/>
      <c r="L16953" s="166"/>
    </row>
    <row r="16954">
      <c r="A16954" s="163" t="s">
        <v>222</v>
      </c>
      <c r="B16954" s="163"/>
      <c r="C16954" s="163"/>
      <c r="J16954" s="165"/>
      <c r="K16954" s="166"/>
      <c r="L16954" s="166"/>
    </row>
    <row r="16955">
      <c r="A16955" s="163" t="s">
        <v>222</v>
      </c>
      <c r="B16955" s="163"/>
      <c r="C16955" s="163"/>
      <c r="J16955" s="165"/>
      <c r="K16955" s="166"/>
      <c r="L16955" s="166"/>
    </row>
    <row r="16956">
      <c r="A16956" s="163" t="s">
        <v>222</v>
      </c>
      <c r="B16956" s="163"/>
      <c r="C16956" s="163"/>
      <c r="J16956" s="165"/>
      <c r="K16956" s="166"/>
      <c r="L16956" s="166"/>
    </row>
    <row r="16957">
      <c r="A16957" s="163" t="s">
        <v>222</v>
      </c>
      <c r="B16957" s="163"/>
      <c r="C16957" s="163"/>
      <c r="J16957" s="165"/>
      <c r="K16957" s="166"/>
      <c r="L16957" s="166"/>
    </row>
    <row r="16958">
      <c r="A16958" s="163" t="s">
        <v>222</v>
      </c>
      <c r="B16958" s="163"/>
      <c r="C16958" s="163"/>
      <c r="J16958" s="165"/>
      <c r="K16958" s="166"/>
      <c r="L16958" s="166"/>
    </row>
    <row r="16959">
      <c r="A16959" s="163" t="s">
        <v>222</v>
      </c>
      <c r="B16959" s="163"/>
      <c r="C16959" s="163"/>
      <c r="J16959" s="165"/>
      <c r="K16959" s="166"/>
      <c r="L16959" s="166"/>
    </row>
    <row r="16960">
      <c r="A16960" s="163" t="s">
        <v>222</v>
      </c>
      <c r="B16960" s="163"/>
      <c r="C16960" s="163"/>
      <c r="J16960" s="165"/>
      <c r="K16960" s="166"/>
      <c r="L16960" s="166"/>
    </row>
    <row r="16961">
      <c r="A16961" s="163" t="s">
        <v>222</v>
      </c>
      <c r="B16961" s="163"/>
      <c r="C16961" s="163"/>
      <c r="J16961" s="165"/>
      <c r="K16961" s="166"/>
      <c r="L16961" s="166"/>
    </row>
    <row r="16962">
      <c r="A16962" s="163" t="s">
        <v>222</v>
      </c>
      <c r="B16962" s="163"/>
      <c r="C16962" s="163"/>
      <c r="J16962" s="165"/>
      <c r="K16962" s="166"/>
      <c r="L16962" s="166"/>
    </row>
    <row r="16963">
      <c r="A16963" s="163" t="s">
        <v>222</v>
      </c>
      <c r="B16963" s="163"/>
      <c r="C16963" s="163"/>
      <c r="J16963" s="165"/>
      <c r="K16963" s="166"/>
      <c r="L16963" s="166"/>
    </row>
    <row r="16964">
      <c r="A16964" s="163" t="s">
        <v>222</v>
      </c>
      <c r="B16964" s="163"/>
      <c r="C16964" s="163"/>
      <c r="J16964" s="165"/>
      <c r="K16964" s="166"/>
      <c r="L16964" s="166"/>
    </row>
    <row r="16965">
      <c r="A16965" s="163" t="s">
        <v>222</v>
      </c>
      <c r="B16965" s="163"/>
      <c r="C16965" s="163"/>
      <c r="J16965" s="165"/>
      <c r="K16965" s="166"/>
      <c r="L16965" s="166"/>
    </row>
    <row r="16966">
      <c r="A16966" s="163" t="s">
        <v>222</v>
      </c>
      <c r="B16966" s="163"/>
      <c r="C16966" s="163"/>
      <c r="J16966" s="165"/>
      <c r="K16966" s="166"/>
      <c r="L16966" s="166"/>
    </row>
    <row r="16967">
      <c r="A16967" s="163" t="s">
        <v>222</v>
      </c>
      <c r="B16967" s="163"/>
      <c r="C16967" s="163"/>
      <c r="J16967" s="165"/>
      <c r="K16967" s="166"/>
      <c r="L16967" s="166"/>
    </row>
    <row r="16968">
      <c r="A16968" s="163" t="s">
        <v>222</v>
      </c>
      <c r="B16968" s="163"/>
      <c r="C16968" s="163"/>
      <c r="J16968" s="165"/>
      <c r="K16968" s="166"/>
      <c r="L16968" s="166"/>
    </row>
    <row r="16969">
      <c r="A16969" s="163" t="s">
        <v>222</v>
      </c>
      <c r="B16969" s="163"/>
      <c r="C16969" s="163"/>
      <c r="J16969" s="165"/>
      <c r="K16969" s="166"/>
      <c r="L16969" s="166"/>
    </row>
    <row r="16970">
      <c r="A16970" s="163" t="s">
        <v>222</v>
      </c>
      <c r="B16970" s="163"/>
      <c r="C16970" s="163"/>
      <c r="J16970" s="165"/>
      <c r="K16970" s="166"/>
      <c r="L16970" s="166"/>
    </row>
    <row r="16971">
      <c r="A16971" s="163" t="s">
        <v>222</v>
      </c>
      <c r="B16971" s="163"/>
      <c r="C16971" s="163"/>
      <c r="J16971" s="165"/>
      <c r="K16971" s="166"/>
      <c r="L16971" s="166"/>
    </row>
    <row r="16972">
      <c r="A16972" s="163" t="s">
        <v>222</v>
      </c>
      <c r="B16972" s="163"/>
      <c r="C16972" s="163"/>
      <c r="J16972" s="165"/>
      <c r="K16972" s="166"/>
      <c r="L16972" s="166"/>
    </row>
    <row r="16973">
      <c r="A16973" s="163" t="s">
        <v>222</v>
      </c>
      <c r="B16973" s="163"/>
      <c r="C16973" s="163"/>
      <c r="J16973" s="165"/>
      <c r="K16973" s="166"/>
      <c r="L16973" s="166"/>
    </row>
    <row r="16974">
      <c r="A16974" s="163" t="s">
        <v>222</v>
      </c>
      <c r="B16974" s="163"/>
      <c r="C16974" s="163"/>
      <c r="J16974" s="165"/>
      <c r="K16974" s="166"/>
      <c r="L16974" s="166"/>
    </row>
    <row r="16975">
      <c r="A16975" s="163" t="s">
        <v>222</v>
      </c>
      <c r="B16975" s="163"/>
      <c r="C16975" s="163"/>
      <c r="J16975" s="165"/>
      <c r="K16975" s="166"/>
      <c r="L16975" s="166"/>
    </row>
    <row r="16976">
      <c r="A16976" s="163" t="s">
        <v>222</v>
      </c>
      <c r="B16976" s="163"/>
      <c r="C16976" s="163"/>
      <c r="J16976" s="165"/>
      <c r="K16976" s="166"/>
      <c r="L16976" s="166"/>
    </row>
    <row r="16977">
      <c r="A16977" s="163" t="s">
        <v>222</v>
      </c>
      <c r="B16977" s="163"/>
      <c r="C16977" s="163"/>
      <c r="J16977" s="165"/>
      <c r="K16977" s="166"/>
      <c r="L16977" s="166"/>
    </row>
    <row r="16978">
      <c r="A16978" s="163" t="s">
        <v>222</v>
      </c>
      <c r="B16978" s="163"/>
      <c r="C16978" s="163"/>
      <c r="J16978" s="165"/>
      <c r="K16978" s="166"/>
      <c r="L16978" s="166"/>
    </row>
    <row r="16979">
      <c r="A16979" s="163" t="s">
        <v>222</v>
      </c>
      <c r="B16979" s="163"/>
      <c r="C16979" s="163"/>
      <c r="J16979" s="165"/>
      <c r="K16979" s="166"/>
      <c r="L16979" s="166"/>
    </row>
    <row r="16980">
      <c r="A16980" s="163" t="s">
        <v>222</v>
      </c>
      <c r="B16980" s="163"/>
      <c r="C16980" s="163"/>
      <c r="J16980" s="165"/>
      <c r="K16980" s="166"/>
      <c r="L16980" s="166"/>
    </row>
    <row r="16981">
      <c r="A16981" s="163" t="s">
        <v>222</v>
      </c>
      <c r="B16981" s="163"/>
      <c r="C16981" s="163"/>
      <c r="J16981" s="165"/>
      <c r="K16981" s="166"/>
      <c r="L16981" s="166"/>
    </row>
    <row r="16982">
      <c r="A16982" s="163" t="s">
        <v>222</v>
      </c>
      <c r="B16982" s="163"/>
      <c r="C16982" s="163"/>
      <c r="J16982" s="165"/>
      <c r="K16982" s="166"/>
      <c r="L16982" s="166"/>
    </row>
    <row r="16983">
      <c r="A16983" s="163" t="s">
        <v>222</v>
      </c>
      <c r="B16983" s="163"/>
      <c r="C16983" s="163"/>
      <c r="J16983" s="165"/>
      <c r="K16983" s="166"/>
      <c r="L16983" s="166"/>
    </row>
    <row r="16984">
      <c r="A16984" s="163" t="s">
        <v>222</v>
      </c>
      <c r="B16984" s="163"/>
      <c r="C16984" s="163"/>
      <c r="J16984" s="165"/>
      <c r="K16984" s="166"/>
      <c r="L16984" s="166"/>
    </row>
    <row r="16985">
      <c r="A16985" s="163" t="s">
        <v>222</v>
      </c>
      <c r="B16985" s="163"/>
      <c r="C16985" s="163"/>
      <c r="J16985" s="165"/>
      <c r="K16985" s="166"/>
      <c r="L16985" s="166"/>
    </row>
    <row r="16986">
      <c r="A16986" s="163" t="s">
        <v>222</v>
      </c>
      <c r="B16986" s="163"/>
      <c r="C16986" s="163"/>
      <c r="J16986" s="165"/>
      <c r="K16986" s="166"/>
      <c r="L16986" s="166"/>
    </row>
    <row r="16987">
      <c r="A16987" s="163" t="s">
        <v>222</v>
      </c>
      <c r="B16987" s="163"/>
      <c r="C16987" s="163"/>
      <c r="J16987" s="165"/>
      <c r="K16987" s="166"/>
      <c r="L16987" s="166"/>
    </row>
    <row r="16988">
      <c r="A16988" s="163" t="s">
        <v>222</v>
      </c>
      <c r="B16988" s="163"/>
      <c r="C16988" s="163"/>
      <c r="J16988" s="165"/>
      <c r="K16988" s="166"/>
      <c r="L16988" s="166"/>
    </row>
    <row r="16989">
      <c r="A16989" s="163" t="s">
        <v>222</v>
      </c>
      <c r="B16989" s="163"/>
      <c r="C16989" s="163"/>
      <c r="J16989" s="165"/>
      <c r="K16989" s="166"/>
      <c r="L16989" s="166"/>
    </row>
    <row r="16990">
      <c r="A16990" s="163" t="s">
        <v>222</v>
      </c>
      <c r="B16990" s="163"/>
      <c r="C16990" s="163"/>
      <c r="J16990" s="165"/>
      <c r="K16990" s="166"/>
      <c r="L16990" s="166"/>
    </row>
    <row r="16991">
      <c r="A16991" s="163" t="s">
        <v>222</v>
      </c>
      <c r="B16991" s="163"/>
      <c r="C16991" s="163"/>
      <c r="J16991" s="165"/>
      <c r="K16991" s="166"/>
      <c r="L16991" s="166"/>
    </row>
    <row r="16992">
      <c r="A16992" s="163" t="s">
        <v>222</v>
      </c>
      <c r="B16992" s="163"/>
      <c r="C16992" s="163"/>
      <c r="J16992" s="165"/>
      <c r="K16992" s="166"/>
      <c r="L16992" s="166"/>
    </row>
    <row r="16993">
      <c r="A16993" s="163" t="s">
        <v>222</v>
      </c>
      <c r="B16993" s="163"/>
      <c r="C16993" s="163"/>
      <c r="J16993" s="165"/>
      <c r="K16993" s="166"/>
      <c r="L16993" s="166"/>
    </row>
    <row r="16994">
      <c r="A16994" s="163" t="s">
        <v>222</v>
      </c>
      <c r="B16994" s="163"/>
      <c r="C16994" s="163"/>
      <c r="J16994" s="165"/>
      <c r="K16994" s="166"/>
      <c r="L16994" s="166"/>
    </row>
    <row r="16995">
      <c r="A16995" s="163" t="s">
        <v>222</v>
      </c>
      <c r="B16995" s="163"/>
      <c r="C16995" s="163"/>
      <c r="J16995" s="165"/>
      <c r="K16995" s="166"/>
      <c r="L16995" s="166"/>
    </row>
    <row r="16996">
      <c r="A16996" s="163" t="s">
        <v>222</v>
      </c>
      <c r="B16996" s="163"/>
      <c r="C16996" s="163"/>
      <c r="J16996" s="165"/>
      <c r="K16996" s="166"/>
      <c r="L16996" s="166"/>
    </row>
    <row r="16997">
      <c r="A16997" s="163" t="s">
        <v>222</v>
      </c>
      <c r="B16997" s="163"/>
      <c r="C16997" s="163"/>
      <c r="J16997" s="165"/>
      <c r="K16997" s="166"/>
      <c r="L16997" s="166"/>
    </row>
    <row r="16998">
      <c r="A16998" s="163" t="s">
        <v>222</v>
      </c>
      <c r="B16998" s="163"/>
      <c r="C16998" s="163"/>
      <c r="J16998" s="165"/>
      <c r="K16998" s="166"/>
      <c r="L16998" s="166"/>
    </row>
    <row r="16999">
      <c r="A16999" s="163" t="s">
        <v>222</v>
      </c>
      <c r="B16999" s="163"/>
      <c r="C16999" s="163"/>
      <c r="J16999" s="165"/>
      <c r="K16999" s="166"/>
      <c r="L16999" s="166"/>
    </row>
    <row r="17000">
      <c r="A17000" s="163" t="s">
        <v>222</v>
      </c>
      <c r="B17000" s="163"/>
      <c r="C17000" s="163"/>
      <c r="J17000" s="165"/>
      <c r="K17000" s="166"/>
      <c r="L17000" s="166"/>
    </row>
    <row r="17001">
      <c r="A17001" s="163" t="s">
        <v>222</v>
      </c>
      <c r="B17001" s="163"/>
      <c r="C17001" s="163"/>
      <c r="J17001" s="165"/>
      <c r="K17001" s="166"/>
      <c r="L17001" s="166"/>
    </row>
    <row r="17002">
      <c r="A17002" s="163" t="s">
        <v>222</v>
      </c>
      <c r="B17002" s="163"/>
      <c r="C17002" s="163"/>
      <c r="J17002" s="165"/>
      <c r="K17002" s="166"/>
      <c r="L17002" s="166"/>
    </row>
    <row r="17003">
      <c r="A17003" s="163" t="s">
        <v>222</v>
      </c>
      <c r="B17003" s="163"/>
      <c r="C17003" s="163"/>
      <c r="J17003" s="165"/>
      <c r="K17003" s="166"/>
      <c r="L17003" s="166"/>
    </row>
    <row r="17004">
      <c r="A17004" s="163" t="s">
        <v>222</v>
      </c>
      <c r="B17004" s="163"/>
      <c r="C17004" s="163"/>
      <c r="J17004" s="165"/>
      <c r="K17004" s="166"/>
      <c r="L17004" s="166"/>
    </row>
    <row r="17005">
      <c r="A17005" s="163" t="s">
        <v>222</v>
      </c>
      <c r="B17005" s="163"/>
      <c r="C17005" s="163"/>
      <c r="J17005" s="165"/>
      <c r="K17005" s="166"/>
      <c r="L17005" s="166"/>
    </row>
    <row r="17006">
      <c r="A17006" s="163" t="s">
        <v>222</v>
      </c>
      <c r="B17006" s="163"/>
      <c r="C17006" s="163"/>
      <c r="J17006" s="165"/>
      <c r="K17006" s="166"/>
      <c r="L17006" s="166"/>
    </row>
    <row r="17007">
      <c r="A17007" s="163" t="s">
        <v>222</v>
      </c>
      <c r="B17007" s="163"/>
      <c r="C17007" s="163"/>
      <c r="J17007" s="165"/>
      <c r="K17007" s="166"/>
      <c r="L17007" s="166"/>
    </row>
    <row r="17008">
      <c r="A17008" s="163" t="s">
        <v>222</v>
      </c>
      <c r="B17008" s="163"/>
      <c r="C17008" s="163"/>
      <c r="J17008" s="165"/>
      <c r="K17008" s="166"/>
      <c r="L17008" s="166"/>
    </row>
    <row r="17009">
      <c r="A17009" s="163" t="s">
        <v>222</v>
      </c>
      <c r="B17009" s="163"/>
      <c r="C17009" s="163"/>
      <c r="J17009" s="165"/>
      <c r="K17009" s="166"/>
      <c r="L17009" s="166"/>
    </row>
    <row r="17010">
      <c r="A17010" s="163" t="s">
        <v>222</v>
      </c>
      <c r="B17010" s="163"/>
      <c r="C17010" s="163"/>
      <c r="J17010" s="165"/>
      <c r="K17010" s="166"/>
      <c r="L17010" s="166"/>
    </row>
    <row r="17011">
      <c r="A17011" s="163" t="s">
        <v>222</v>
      </c>
      <c r="B17011" s="163"/>
      <c r="C17011" s="163"/>
      <c r="J17011" s="165"/>
      <c r="K17011" s="166"/>
      <c r="L17011" s="166"/>
    </row>
    <row r="17012">
      <c r="A17012" s="163" t="s">
        <v>222</v>
      </c>
      <c r="B17012" s="163"/>
      <c r="C17012" s="163"/>
      <c r="J17012" s="165"/>
      <c r="K17012" s="166"/>
      <c r="L17012" s="166"/>
    </row>
    <row r="17013">
      <c r="A17013" s="163" t="s">
        <v>222</v>
      </c>
      <c r="B17013" s="163"/>
      <c r="C17013" s="163"/>
      <c r="J17013" s="165"/>
      <c r="K17013" s="166"/>
      <c r="L17013" s="166"/>
    </row>
    <row r="17014">
      <c r="A17014" s="163" t="s">
        <v>222</v>
      </c>
      <c r="B17014" s="163"/>
      <c r="C17014" s="163"/>
      <c r="J17014" s="165"/>
      <c r="K17014" s="166"/>
      <c r="L17014" s="166"/>
    </row>
    <row r="17015">
      <c r="A17015" s="163" t="s">
        <v>222</v>
      </c>
      <c r="B17015" s="163"/>
      <c r="C17015" s="163"/>
      <c r="J17015" s="165"/>
      <c r="K17015" s="166"/>
      <c r="L17015" s="166"/>
    </row>
    <row r="17016">
      <c r="A17016" s="163" t="s">
        <v>222</v>
      </c>
      <c r="B17016" s="163"/>
      <c r="C17016" s="163"/>
      <c r="J17016" s="165"/>
      <c r="K17016" s="166"/>
      <c r="L17016" s="166"/>
    </row>
    <row r="17017">
      <c r="A17017" s="163" t="s">
        <v>222</v>
      </c>
      <c r="B17017" s="163"/>
      <c r="C17017" s="163"/>
      <c r="J17017" s="165"/>
      <c r="K17017" s="166"/>
      <c r="L17017" s="166"/>
    </row>
    <row r="17018">
      <c r="A17018" s="163" t="s">
        <v>222</v>
      </c>
      <c r="B17018" s="163"/>
      <c r="C17018" s="163"/>
      <c r="J17018" s="165"/>
      <c r="K17018" s="166"/>
      <c r="L17018" s="166"/>
    </row>
    <row r="17019">
      <c r="A17019" s="163" t="s">
        <v>222</v>
      </c>
      <c r="B17019" s="163"/>
      <c r="C17019" s="163"/>
      <c r="J17019" s="165"/>
      <c r="K17019" s="166"/>
      <c r="L17019" s="166"/>
    </row>
    <row r="17020">
      <c r="A17020" s="163" t="s">
        <v>222</v>
      </c>
      <c r="B17020" s="163"/>
      <c r="C17020" s="163"/>
      <c r="J17020" s="165"/>
      <c r="K17020" s="166"/>
      <c r="L17020" s="166"/>
    </row>
    <row r="17021">
      <c r="A17021" s="163" t="s">
        <v>222</v>
      </c>
      <c r="B17021" s="163"/>
      <c r="C17021" s="163"/>
      <c r="J17021" s="165"/>
      <c r="K17021" s="166"/>
      <c r="L17021" s="166"/>
    </row>
    <row r="17022">
      <c r="A17022" s="163" t="s">
        <v>222</v>
      </c>
      <c r="B17022" s="163"/>
      <c r="C17022" s="163"/>
      <c r="J17022" s="165"/>
      <c r="K17022" s="166"/>
      <c r="L17022" s="166"/>
    </row>
    <row r="17023">
      <c r="A17023" s="163" t="s">
        <v>222</v>
      </c>
      <c r="B17023" s="163"/>
      <c r="C17023" s="163"/>
      <c r="J17023" s="165"/>
      <c r="K17023" s="166"/>
      <c r="L17023" s="166"/>
    </row>
    <row r="17024">
      <c r="A17024" s="163" t="s">
        <v>222</v>
      </c>
      <c r="B17024" s="163"/>
      <c r="C17024" s="163"/>
      <c r="J17024" s="165"/>
      <c r="K17024" s="166"/>
      <c r="L17024" s="166"/>
    </row>
    <row r="17025">
      <c r="A17025" s="163" t="s">
        <v>222</v>
      </c>
      <c r="B17025" s="163"/>
      <c r="C17025" s="163"/>
      <c r="J17025" s="165"/>
      <c r="K17025" s="166"/>
      <c r="L17025" s="166"/>
    </row>
    <row r="17026">
      <c r="A17026" s="163" t="s">
        <v>222</v>
      </c>
      <c r="B17026" s="163"/>
      <c r="C17026" s="163"/>
      <c r="J17026" s="165"/>
      <c r="K17026" s="166"/>
      <c r="L17026" s="166"/>
    </row>
    <row r="17027">
      <c r="A17027" s="163" t="s">
        <v>222</v>
      </c>
      <c r="B17027" s="163"/>
      <c r="C17027" s="163"/>
      <c r="J17027" s="165"/>
      <c r="K17027" s="166"/>
      <c r="L17027" s="166"/>
    </row>
    <row r="17028">
      <c r="A17028" s="163" t="s">
        <v>222</v>
      </c>
      <c r="B17028" s="163"/>
      <c r="C17028" s="163"/>
      <c r="J17028" s="165"/>
      <c r="K17028" s="166"/>
      <c r="L17028" s="166"/>
    </row>
    <row r="17029">
      <c r="A17029" s="163" t="s">
        <v>222</v>
      </c>
      <c r="B17029" s="163"/>
      <c r="C17029" s="163"/>
      <c r="J17029" s="165"/>
      <c r="K17029" s="166"/>
      <c r="L17029" s="166"/>
    </row>
    <row r="17030">
      <c r="A17030" s="163" t="s">
        <v>222</v>
      </c>
      <c r="B17030" s="163"/>
      <c r="C17030" s="163"/>
      <c r="J17030" s="165"/>
      <c r="K17030" s="166"/>
      <c r="L17030" s="166"/>
    </row>
    <row r="17031">
      <c r="A17031" s="163" t="s">
        <v>222</v>
      </c>
      <c r="B17031" s="163"/>
      <c r="C17031" s="163"/>
      <c r="J17031" s="165"/>
      <c r="K17031" s="166"/>
      <c r="L17031" s="166"/>
    </row>
    <row r="17032">
      <c r="A17032" s="163" t="s">
        <v>222</v>
      </c>
      <c r="B17032" s="163"/>
      <c r="C17032" s="163"/>
      <c r="J17032" s="165"/>
      <c r="K17032" s="166"/>
      <c r="L17032" s="166"/>
    </row>
    <row r="17033">
      <c r="A17033" s="163" t="s">
        <v>222</v>
      </c>
      <c r="B17033" s="163"/>
      <c r="C17033" s="163"/>
      <c r="J17033" s="165"/>
      <c r="K17033" s="166"/>
      <c r="L17033" s="166"/>
    </row>
    <row r="17034">
      <c r="A17034" s="163" t="s">
        <v>222</v>
      </c>
      <c r="B17034" s="163"/>
      <c r="C17034" s="163"/>
      <c r="J17034" s="165"/>
      <c r="K17034" s="166"/>
      <c r="L17034" s="166"/>
    </row>
    <row r="17035">
      <c r="A17035" s="163" t="s">
        <v>222</v>
      </c>
      <c r="B17035" s="163"/>
      <c r="C17035" s="163"/>
      <c r="J17035" s="165"/>
      <c r="K17035" s="166"/>
      <c r="L17035" s="166"/>
    </row>
    <row r="17036">
      <c r="A17036" s="163" t="s">
        <v>222</v>
      </c>
      <c r="B17036" s="163"/>
      <c r="C17036" s="163"/>
      <c r="J17036" s="165"/>
      <c r="K17036" s="166"/>
      <c r="L17036" s="166"/>
    </row>
    <row r="17037">
      <c r="A17037" s="163" t="s">
        <v>222</v>
      </c>
      <c r="B17037" s="163"/>
      <c r="C17037" s="163"/>
      <c r="J17037" s="165"/>
      <c r="K17037" s="166"/>
      <c r="L17037" s="166"/>
    </row>
    <row r="17038">
      <c r="A17038" s="163" t="s">
        <v>222</v>
      </c>
      <c r="B17038" s="163"/>
      <c r="C17038" s="163"/>
      <c r="J17038" s="165"/>
      <c r="K17038" s="166"/>
      <c r="L17038" s="166"/>
    </row>
    <row r="17039">
      <c r="A17039" s="163" t="s">
        <v>222</v>
      </c>
      <c r="B17039" s="163"/>
      <c r="C17039" s="163"/>
      <c r="J17039" s="165"/>
      <c r="K17039" s="166"/>
      <c r="L17039" s="166"/>
    </row>
    <row r="17040">
      <c r="A17040" s="163" t="s">
        <v>222</v>
      </c>
      <c r="B17040" s="163"/>
      <c r="C17040" s="163"/>
      <c r="J17040" s="165"/>
      <c r="K17040" s="166"/>
      <c r="L17040" s="166"/>
    </row>
    <row r="17041">
      <c r="A17041" s="163" t="s">
        <v>222</v>
      </c>
      <c r="B17041" s="163"/>
      <c r="C17041" s="163"/>
      <c r="J17041" s="165"/>
      <c r="K17041" s="166"/>
      <c r="L17041" s="166"/>
    </row>
    <row r="17042">
      <c r="A17042" s="163" t="s">
        <v>222</v>
      </c>
      <c r="B17042" s="163"/>
      <c r="C17042" s="163"/>
      <c r="J17042" s="165"/>
      <c r="K17042" s="166"/>
      <c r="L17042" s="166"/>
    </row>
    <row r="17043">
      <c r="A17043" s="163" t="s">
        <v>222</v>
      </c>
      <c r="B17043" s="163"/>
      <c r="C17043" s="163"/>
      <c r="J17043" s="165"/>
      <c r="K17043" s="166"/>
      <c r="L17043" s="166"/>
    </row>
    <row r="17044">
      <c r="A17044" s="163" t="s">
        <v>222</v>
      </c>
      <c r="B17044" s="163"/>
      <c r="C17044" s="163"/>
      <c r="J17044" s="165"/>
      <c r="K17044" s="166"/>
      <c r="L17044" s="166"/>
    </row>
    <row r="17045">
      <c r="A17045" s="163" t="s">
        <v>222</v>
      </c>
      <c r="B17045" s="163"/>
      <c r="C17045" s="163"/>
      <c r="J17045" s="165"/>
      <c r="K17045" s="166"/>
      <c r="L17045" s="166"/>
    </row>
    <row r="17046">
      <c r="A17046" s="163" t="s">
        <v>222</v>
      </c>
      <c r="B17046" s="163"/>
      <c r="C17046" s="163"/>
      <c r="J17046" s="165"/>
      <c r="K17046" s="166"/>
      <c r="L17046" s="166"/>
    </row>
    <row r="17047">
      <c r="A17047" s="163" t="s">
        <v>222</v>
      </c>
      <c r="B17047" s="163"/>
      <c r="C17047" s="163"/>
      <c r="J17047" s="165"/>
      <c r="K17047" s="166"/>
      <c r="L17047" s="166"/>
    </row>
    <row r="17048">
      <c r="A17048" s="163" t="s">
        <v>222</v>
      </c>
      <c r="B17048" s="163"/>
      <c r="C17048" s="163"/>
      <c r="J17048" s="165"/>
      <c r="K17048" s="166"/>
      <c r="L17048" s="166"/>
    </row>
    <row r="17049">
      <c r="A17049" s="163" t="s">
        <v>222</v>
      </c>
      <c r="B17049" s="163"/>
      <c r="C17049" s="163"/>
      <c r="J17049" s="165"/>
      <c r="K17049" s="166"/>
      <c r="L17049" s="166"/>
    </row>
    <row r="17050">
      <c r="A17050" s="163" t="s">
        <v>222</v>
      </c>
      <c r="B17050" s="163"/>
      <c r="C17050" s="163"/>
      <c r="J17050" s="165"/>
      <c r="K17050" s="166"/>
      <c r="L17050" s="166"/>
    </row>
    <row r="17051">
      <c r="A17051" s="163" t="s">
        <v>222</v>
      </c>
      <c r="B17051" s="163"/>
      <c r="C17051" s="163"/>
      <c r="J17051" s="165"/>
      <c r="K17051" s="166"/>
      <c r="L17051" s="166"/>
    </row>
    <row r="17052">
      <c r="A17052" s="163" t="s">
        <v>222</v>
      </c>
      <c r="B17052" s="163"/>
      <c r="C17052" s="163"/>
      <c r="J17052" s="165"/>
      <c r="K17052" s="166"/>
      <c r="L17052" s="166"/>
    </row>
    <row r="17053">
      <c r="A17053" s="163" t="s">
        <v>222</v>
      </c>
      <c r="B17053" s="163"/>
      <c r="C17053" s="163"/>
      <c r="J17053" s="165"/>
      <c r="K17053" s="166"/>
      <c r="L17053" s="166"/>
    </row>
    <row r="17054">
      <c r="A17054" s="163" t="s">
        <v>222</v>
      </c>
      <c r="B17054" s="163"/>
      <c r="C17054" s="163"/>
      <c r="J17054" s="165"/>
      <c r="K17054" s="166"/>
      <c r="L17054" s="166"/>
    </row>
    <row r="17055">
      <c r="A17055" s="163" t="s">
        <v>222</v>
      </c>
      <c r="B17055" s="163"/>
      <c r="C17055" s="163"/>
      <c r="J17055" s="165"/>
      <c r="K17055" s="166"/>
      <c r="L17055" s="166"/>
    </row>
    <row r="17056">
      <c r="A17056" s="163" t="s">
        <v>222</v>
      </c>
      <c r="B17056" s="163"/>
      <c r="C17056" s="163"/>
      <c r="J17056" s="165"/>
      <c r="K17056" s="166"/>
      <c r="L17056" s="166"/>
    </row>
    <row r="17057">
      <c r="A17057" s="163" t="s">
        <v>222</v>
      </c>
      <c r="B17057" s="163"/>
      <c r="C17057" s="163"/>
      <c r="J17057" s="165"/>
      <c r="K17057" s="166"/>
      <c r="L17057" s="166"/>
    </row>
    <row r="17058">
      <c r="A17058" s="163" t="s">
        <v>222</v>
      </c>
      <c r="B17058" s="163"/>
      <c r="C17058" s="163"/>
      <c r="J17058" s="165"/>
      <c r="K17058" s="166"/>
      <c r="L17058" s="166"/>
    </row>
    <row r="17059">
      <c r="A17059" s="163" t="s">
        <v>222</v>
      </c>
      <c r="B17059" s="163"/>
      <c r="C17059" s="163"/>
      <c r="J17059" s="165"/>
      <c r="K17059" s="166"/>
      <c r="L17059" s="166"/>
    </row>
    <row r="17060">
      <c r="A17060" s="163" t="s">
        <v>222</v>
      </c>
      <c r="B17060" s="163"/>
      <c r="C17060" s="163"/>
      <c r="J17060" s="165"/>
      <c r="K17060" s="166"/>
      <c r="L17060" s="166"/>
    </row>
    <row r="17061">
      <c r="A17061" s="163" t="s">
        <v>222</v>
      </c>
      <c r="B17061" s="163"/>
      <c r="C17061" s="163"/>
      <c r="J17061" s="165"/>
      <c r="K17061" s="166"/>
      <c r="L17061" s="166"/>
    </row>
    <row r="17062">
      <c r="A17062" s="163" t="s">
        <v>222</v>
      </c>
      <c r="B17062" s="163"/>
      <c r="C17062" s="163"/>
      <c r="J17062" s="165"/>
      <c r="K17062" s="166"/>
      <c r="L17062" s="166"/>
    </row>
    <row r="17063">
      <c r="A17063" s="163" t="s">
        <v>222</v>
      </c>
      <c r="B17063" s="163"/>
      <c r="C17063" s="163"/>
      <c r="J17063" s="165"/>
      <c r="K17063" s="166"/>
      <c r="L17063" s="166"/>
    </row>
    <row r="17064">
      <c r="A17064" s="163" t="s">
        <v>222</v>
      </c>
      <c r="B17064" s="163"/>
      <c r="C17064" s="163"/>
      <c r="J17064" s="165"/>
      <c r="K17064" s="166"/>
      <c r="L17064" s="166"/>
    </row>
    <row r="17065">
      <c r="A17065" s="163" t="s">
        <v>222</v>
      </c>
      <c r="B17065" s="163"/>
      <c r="C17065" s="163"/>
      <c r="J17065" s="165"/>
      <c r="K17065" s="166"/>
      <c r="L17065" s="166"/>
    </row>
    <row r="17066">
      <c r="A17066" s="163" t="s">
        <v>222</v>
      </c>
      <c r="B17066" s="163"/>
      <c r="C17066" s="163"/>
      <c r="J17066" s="165"/>
      <c r="K17066" s="166"/>
      <c r="L17066" s="166"/>
    </row>
    <row r="17067">
      <c r="A17067" s="163" t="s">
        <v>222</v>
      </c>
      <c r="B17067" s="163"/>
      <c r="C17067" s="163"/>
      <c r="J17067" s="165"/>
      <c r="K17067" s="166"/>
      <c r="L17067" s="166"/>
    </row>
    <row r="17068">
      <c r="A17068" s="163" t="s">
        <v>222</v>
      </c>
      <c r="B17068" s="163"/>
      <c r="C17068" s="163"/>
      <c r="J17068" s="165"/>
      <c r="K17068" s="166"/>
      <c r="L17068" s="166"/>
    </row>
    <row r="17069">
      <c r="A17069" s="163" t="s">
        <v>222</v>
      </c>
      <c r="B17069" s="163"/>
      <c r="C17069" s="163"/>
      <c r="J17069" s="165"/>
      <c r="K17069" s="166"/>
      <c r="L17069" s="166"/>
    </row>
    <row r="17070">
      <c r="A17070" s="163" t="s">
        <v>222</v>
      </c>
      <c r="B17070" s="163"/>
      <c r="C17070" s="163"/>
      <c r="J17070" s="165"/>
      <c r="K17070" s="166"/>
      <c r="L17070" s="166"/>
    </row>
    <row r="17071">
      <c r="A17071" s="163" t="s">
        <v>222</v>
      </c>
      <c r="B17071" s="163"/>
      <c r="C17071" s="163"/>
      <c r="J17071" s="165"/>
      <c r="K17071" s="166"/>
      <c r="L17071" s="166"/>
    </row>
    <row r="17072">
      <c r="A17072" s="163" t="s">
        <v>222</v>
      </c>
      <c r="B17072" s="163"/>
      <c r="C17072" s="163"/>
      <c r="J17072" s="165"/>
      <c r="K17072" s="166"/>
      <c r="L17072" s="166"/>
    </row>
    <row r="17073">
      <c r="A17073" s="163" t="s">
        <v>222</v>
      </c>
      <c r="B17073" s="163"/>
      <c r="C17073" s="163"/>
      <c r="J17073" s="165"/>
      <c r="K17073" s="166"/>
      <c r="L17073" s="166"/>
    </row>
    <row r="17074">
      <c r="A17074" s="163" t="s">
        <v>222</v>
      </c>
      <c r="B17074" s="163"/>
      <c r="C17074" s="163"/>
      <c r="J17074" s="165"/>
      <c r="K17074" s="166"/>
      <c r="L17074" s="166"/>
    </row>
    <row r="17075">
      <c r="A17075" s="163" t="s">
        <v>222</v>
      </c>
      <c r="B17075" s="163"/>
      <c r="C17075" s="163"/>
      <c r="J17075" s="165"/>
      <c r="K17075" s="166"/>
      <c r="L17075" s="166"/>
    </row>
    <row r="17076">
      <c r="A17076" s="163" t="s">
        <v>222</v>
      </c>
      <c r="B17076" s="163"/>
      <c r="C17076" s="163"/>
      <c r="J17076" s="165"/>
      <c r="K17076" s="166"/>
      <c r="L17076" s="166"/>
    </row>
    <row r="17077">
      <c r="A17077" s="163" t="s">
        <v>222</v>
      </c>
      <c r="B17077" s="163"/>
      <c r="C17077" s="163"/>
      <c r="J17077" s="165"/>
      <c r="K17077" s="166"/>
      <c r="L17077" s="166"/>
    </row>
    <row r="17078">
      <c r="A17078" s="163" t="s">
        <v>222</v>
      </c>
      <c r="B17078" s="163"/>
      <c r="C17078" s="163"/>
      <c r="J17078" s="165"/>
      <c r="K17078" s="166"/>
      <c r="L17078" s="166"/>
    </row>
    <row r="17079">
      <c r="A17079" s="163" t="s">
        <v>222</v>
      </c>
      <c r="B17079" s="163"/>
      <c r="C17079" s="163"/>
      <c r="J17079" s="165"/>
      <c r="K17079" s="166"/>
      <c r="L17079" s="166"/>
    </row>
    <row r="17080">
      <c r="A17080" s="163" t="s">
        <v>222</v>
      </c>
      <c r="B17080" s="163"/>
      <c r="C17080" s="163"/>
      <c r="J17080" s="165"/>
      <c r="K17080" s="166"/>
      <c r="L17080" s="166"/>
    </row>
    <row r="17081">
      <c r="A17081" s="163" t="s">
        <v>222</v>
      </c>
      <c r="B17081" s="163"/>
      <c r="C17081" s="163"/>
      <c r="J17081" s="165"/>
      <c r="K17081" s="166"/>
      <c r="L17081" s="166"/>
    </row>
    <row r="17082">
      <c r="A17082" s="163" t="s">
        <v>222</v>
      </c>
      <c r="B17082" s="163"/>
      <c r="C17082" s="163"/>
      <c r="J17082" s="165"/>
      <c r="K17082" s="166"/>
      <c r="L17082" s="166"/>
    </row>
    <row r="17083">
      <c r="A17083" s="163" t="s">
        <v>222</v>
      </c>
      <c r="B17083" s="163"/>
      <c r="C17083" s="163"/>
      <c r="J17083" s="165"/>
      <c r="K17083" s="166"/>
      <c r="L17083" s="166"/>
    </row>
    <row r="17084">
      <c r="A17084" s="163" t="s">
        <v>222</v>
      </c>
      <c r="B17084" s="163"/>
      <c r="C17084" s="163"/>
      <c r="J17084" s="165"/>
      <c r="K17084" s="166"/>
      <c r="L17084" s="166"/>
    </row>
    <row r="17085">
      <c r="A17085" s="163" t="s">
        <v>222</v>
      </c>
      <c r="B17085" s="163"/>
      <c r="C17085" s="163"/>
      <c r="J17085" s="165"/>
      <c r="K17085" s="166"/>
      <c r="L17085" s="166"/>
    </row>
    <row r="17086">
      <c r="A17086" s="163" t="s">
        <v>222</v>
      </c>
      <c r="B17086" s="163"/>
      <c r="C17086" s="163"/>
      <c r="J17086" s="165"/>
      <c r="K17086" s="166"/>
      <c r="L17086" s="166"/>
    </row>
    <row r="17087">
      <c r="A17087" s="163" t="s">
        <v>222</v>
      </c>
      <c r="B17087" s="163"/>
      <c r="C17087" s="163"/>
      <c r="J17087" s="165"/>
      <c r="K17087" s="166"/>
      <c r="L17087" s="166"/>
    </row>
    <row r="17088">
      <c r="A17088" s="163" t="s">
        <v>222</v>
      </c>
      <c r="B17088" s="163"/>
      <c r="C17088" s="163"/>
      <c r="J17088" s="165"/>
      <c r="K17088" s="166"/>
      <c r="L17088" s="166"/>
    </row>
    <row r="17089">
      <c r="A17089" s="163" t="s">
        <v>222</v>
      </c>
      <c r="B17089" s="163"/>
      <c r="C17089" s="163"/>
      <c r="J17089" s="165"/>
      <c r="K17089" s="166"/>
      <c r="L17089" s="166"/>
    </row>
    <row r="17090">
      <c r="A17090" s="163" t="s">
        <v>222</v>
      </c>
      <c r="B17090" s="163"/>
      <c r="C17090" s="163"/>
      <c r="J17090" s="165"/>
      <c r="K17090" s="166"/>
      <c r="L17090" s="166"/>
    </row>
    <row r="17091">
      <c r="A17091" s="163" t="s">
        <v>222</v>
      </c>
      <c r="B17091" s="163"/>
      <c r="C17091" s="163"/>
      <c r="J17091" s="165"/>
      <c r="K17091" s="166"/>
      <c r="L17091" s="166"/>
    </row>
    <row r="17092">
      <c r="A17092" s="163" t="s">
        <v>222</v>
      </c>
      <c r="B17092" s="163"/>
      <c r="C17092" s="163"/>
      <c r="J17092" s="165"/>
      <c r="K17092" s="166"/>
      <c r="L17092" s="166"/>
    </row>
    <row r="17093">
      <c r="A17093" s="163" t="s">
        <v>222</v>
      </c>
      <c r="B17093" s="163"/>
      <c r="C17093" s="163"/>
      <c r="J17093" s="165"/>
      <c r="K17093" s="166"/>
      <c r="L17093" s="166"/>
    </row>
    <row r="17094">
      <c r="A17094" s="163" t="s">
        <v>222</v>
      </c>
      <c r="B17094" s="163"/>
      <c r="C17094" s="163"/>
      <c r="J17094" s="165"/>
      <c r="K17094" s="166"/>
      <c r="L17094" s="166"/>
    </row>
    <row r="17095">
      <c r="A17095" s="163" t="s">
        <v>222</v>
      </c>
      <c r="B17095" s="163"/>
      <c r="C17095" s="163"/>
      <c r="J17095" s="165"/>
      <c r="K17095" s="166"/>
      <c r="L17095" s="166"/>
    </row>
    <row r="17096">
      <c r="A17096" s="163" t="s">
        <v>222</v>
      </c>
      <c r="B17096" s="163"/>
      <c r="C17096" s="163"/>
      <c r="J17096" s="165"/>
      <c r="K17096" s="166"/>
      <c r="L17096" s="166"/>
    </row>
    <row r="17097">
      <c r="A17097" s="163" t="s">
        <v>222</v>
      </c>
      <c r="B17097" s="163"/>
      <c r="C17097" s="163"/>
      <c r="J17097" s="165"/>
      <c r="K17097" s="166"/>
      <c r="L17097" s="166"/>
    </row>
    <row r="17098">
      <c r="A17098" s="163" t="s">
        <v>222</v>
      </c>
      <c r="B17098" s="163"/>
      <c r="C17098" s="163"/>
      <c r="J17098" s="165"/>
      <c r="K17098" s="166"/>
      <c r="L17098" s="166"/>
    </row>
    <row r="17099">
      <c r="A17099" s="163" t="s">
        <v>222</v>
      </c>
      <c r="B17099" s="163"/>
      <c r="C17099" s="163"/>
      <c r="J17099" s="165"/>
      <c r="K17099" s="166"/>
      <c r="L17099" s="166"/>
    </row>
    <row r="17100">
      <c r="A17100" s="163" t="s">
        <v>222</v>
      </c>
      <c r="B17100" s="163"/>
      <c r="C17100" s="163"/>
      <c r="J17100" s="165"/>
      <c r="K17100" s="166"/>
      <c r="L17100" s="166"/>
    </row>
    <row r="17101">
      <c r="A17101" s="163" t="s">
        <v>222</v>
      </c>
      <c r="B17101" s="163"/>
      <c r="C17101" s="163"/>
      <c r="J17101" s="165"/>
      <c r="K17101" s="166"/>
      <c r="L17101" s="166"/>
    </row>
    <row r="17102">
      <c r="A17102" s="163" t="s">
        <v>222</v>
      </c>
      <c r="B17102" s="163"/>
      <c r="C17102" s="163"/>
      <c r="J17102" s="165"/>
      <c r="K17102" s="166"/>
      <c r="L17102" s="166"/>
    </row>
    <row r="17103">
      <c r="A17103" s="163" t="s">
        <v>222</v>
      </c>
      <c r="B17103" s="163"/>
      <c r="C17103" s="163"/>
      <c r="J17103" s="165"/>
      <c r="K17103" s="166"/>
      <c r="L17103" s="166"/>
    </row>
    <row r="17104">
      <c r="A17104" s="163" t="s">
        <v>222</v>
      </c>
      <c r="B17104" s="163"/>
      <c r="C17104" s="163"/>
      <c r="J17104" s="165"/>
      <c r="K17104" s="166"/>
      <c r="L17104" s="166"/>
    </row>
    <row r="17105">
      <c r="A17105" s="163" t="s">
        <v>222</v>
      </c>
      <c r="B17105" s="163"/>
      <c r="C17105" s="163"/>
      <c r="J17105" s="165"/>
      <c r="K17105" s="166"/>
      <c r="L17105" s="166"/>
    </row>
    <row r="17106">
      <c r="A17106" s="163" t="s">
        <v>222</v>
      </c>
      <c r="B17106" s="163"/>
      <c r="C17106" s="163"/>
      <c r="J17106" s="165"/>
      <c r="K17106" s="166"/>
      <c r="L17106" s="166"/>
    </row>
    <row r="17107">
      <c r="A17107" s="163" t="s">
        <v>222</v>
      </c>
      <c r="B17107" s="163"/>
      <c r="C17107" s="163"/>
      <c r="J17107" s="165"/>
      <c r="K17107" s="166"/>
      <c r="L17107" s="166"/>
    </row>
    <row r="17108">
      <c r="A17108" s="163" t="s">
        <v>222</v>
      </c>
      <c r="B17108" s="163"/>
      <c r="C17108" s="163"/>
      <c r="J17108" s="165"/>
      <c r="K17108" s="166"/>
      <c r="L17108" s="166"/>
    </row>
    <row r="17109">
      <c r="A17109" s="163" t="s">
        <v>222</v>
      </c>
      <c r="B17109" s="163"/>
      <c r="C17109" s="163"/>
      <c r="J17109" s="165"/>
      <c r="K17109" s="166"/>
      <c r="L17109" s="166"/>
    </row>
    <row r="17110">
      <c r="A17110" s="163" t="s">
        <v>222</v>
      </c>
      <c r="B17110" s="163"/>
      <c r="C17110" s="163"/>
      <c r="J17110" s="165"/>
      <c r="K17110" s="166"/>
      <c r="L17110" s="166"/>
    </row>
    <row r="17111">
      <c r="A17111" s="163" t="s">
        <v>222</v>
      </c>
      <c r="B17111" s="163"/>
      <c r="C17111" s="163"/>
      <c r="J17111" s="165"/>
      <c r="K17111" s="166"/>
      <c r="L17111" s="166"/>
    </row>
    <row r="17112">
      <c r="A17112" s="163" t="s">
        <v>222</v>
      </c>
      <c r="B17112" s="163"/>
      <c r="C17112" s="163"/>
      <c r="J17112" s="165"/>
      <c r="K17112" s="166"/>
      <c r="L17112" s="166"/>
    </row>
    <row r="17113">
      <c r="A17113" s="163" t="s">
        <v>222</v>
      </c>
      <c r="B17113" s="163"/>
      <c r="C17113" s="163"/>
      <c r="J17113" s="165"/>
      <c r="K17113" s="166"/>
      <c r="L17113" s="166"/>
    </row>
    <row r="17114">
      <c r="A17114" s="163" t="s">
        <v>222</v>
      </c>
      <c r="B17114" s="163"/>
      <c r="C17114" s="163"/>
      <c r="J17114" s="165"/>
      <c r="K17114" s="166"/>
      <c r="L17114" s="166"/>
    </row>
    <row r="17115">
      <c r="A17115" s="163" t="s">
        <v>222</v>
      </c>
      <c r="B17115" s="163"/>
      <c r="C17115" s="163"/>
      <c r="J17115" s="165"/>
      <c r="K17115" s="166"/>
      <c r="L17115" s="166"/>
    </row>
    <row r="17116">
      <c r="A17116" s="163" t="s">
        <v>222</v>
      </c>
      <c r="B17116" s="163"/>
      <c r="C17116" s="163"/>
      <c r="J17116" s="165"/>
      <c r="K17116" s="166"/>
      <c r="L17116" s="166"/>
    </row>
    <row r="17117">
      <c r="A17117" s="163" t="s">
        <v>222</v>
      </c>
      <c r="B17117" s="163"/>
      <c r="C17117" s="163"/>
      <c r="J17117" s="165"/>
      <c r="K17117" s="166"/>
      <c r="L17117" s="166"/>
    </row>
    <row r="17118">
      <c r="A17118" s="163" t="s">
        <v>222</v>
      </c>
      <c r="B17118" s="163"/>
      <c r="C17118" s="163"/>
      <c r="J17118" s="165"/>
      <c r="K17118" s="166"/>
      <c r="L17118" s="166"/>
    </row>
    <row r="17119">
      <c r="A17119" s="163" t="s">
        <v>222</v>
      </c>
      <c r="B17119" s="163"/>
      <c r="C17119" s="163"/>
      <c r="J17119" s="165"/>
      <c r="K17119" s="166"/>
      <c r="L17119" s="166"/>
    </row>
    <row r="17120">
      <c r="A17120" s="163" t="s">
        <v>222</v>
      </c>
      <c r="B17120" s="163"/>
      <c r="C17120" s="163"/>
      <c r="J17120" s="165"/>
      <c r="K17120" s="166"/>
      <c r="L17120" s="166"/>
    </row>
    <row r="17121">
      <c r="A17121" s="163" t="s">
        <v>222</v>
      </c>
      <c r="B17121" s="163"/>
      <c r="C17121" s="163"/>
      <c r="J17121" s="165"/>
      <c r="K17121" s="166"/>
      <c r="L17121" s="166"/>
    </row>
    <row r="17122">
      <c r="A17122" s="163" t="s">
        <v>222</v>
      </c>
      <c r="B17122" s="163"/>
      <c r="C17122" s="163"/>
      <c r="J17122" s="165"/>
      <c r="K17122" s="166"/>
      <c r="L17122" s="166"/>
    </row>
    <row r="17123">
      <c r="A17123" s="163" t="s">
        <v>222</v>
      </c>
      <c r="B17123" s="163"/>
      <c r="C17123" s="163"/>
      <c r="J17123" s="165"/>
      <c r="K17123" s="166"/>
      <c r="L17123" s="166"/>
    </row>
    <row r="17124">
      <c r="A17124" s="163" t="s">
        <v>222</v>
      </c>
      <c r="B17124" s="163"/>
      <c r="C17124" s="163"/>
      <c r="J17124" s="165"/>
      <c r="K17124" s="166"/>
      <c r="L17124" s="166"/>
    </row>
    <row r="17125">
      <c r="A17125" s="163" t="s">
        <v>222</v>
      </c>
      <c r="B17125" s="163"/>
      <c r="C17125" s="163"/>
      <c r="J17125" s="165"/>
      <c r="K17125" s="166"/>
      <c r="L17125" s="166"/>
    </row>
    <row r="17126">
      <c r="A17126" s="163" t="s">
        <v>222</v>
      </c>
      <c r="B17126" s="163"/>
      <c r="C17126" s="163"/>
      <c r="J17126" s="165"/>
      <c r="K17126" s="166"/>
      <c r="L17126" s="166"/>
    </row>
    <row r="17127">
      <c r="A17127" s="163" t="s">
        <v>222</v>
      </c>
      <c r="B17127" s="163"/>
      <c r="C17127" s="163"/>
      <c r="J17127" s="165"/>
      <c r="K17127" s="166"/>
      <c r="L17127" s="166"/>
    </row>
    <row r="17128">
      <c r="A17128" s="163" t="s">
        <v>222</v>
      </c>
      <c r="B17128" s="163"/>
      <c r="C17128" s="163"/>
      <c r="J17128" s="165"/>
      <c r="K17128" s="166"/>
      <c r="L17128" s="166"/>
    </row>
    <row r="17129">
      <c r="A17129" s="163" t="s">
        <v>222</v>
      </c>
      <c r="B17129" s="163"/>
      <c r="C17129" s="163"/>
      <c r="J17129" s="165"/>
      <c r="K17129" s="166"/>
      <c r="L17129" s="166"/>
    </row>
    <row r="17130">
      <c r="A17130" s="163" t="s">
        <v>222</v>
      </c>
      <c r="B17130" s="163"/>
      <c r="C17130" s="163"/>
      <c r="J17130" s="165"/>
      <c r="K17130" s="166"/>
      <c r="L17130" s="166"/>
    </row>
    <row r="17131">
      <c r="A17131" s="163" t="s">
        <v>222</v>
      </c>
      <c r="B17131" s="163"/>
      <c r="C17131" s="163"/>
      <c r="J17131" s="165"/>
      <c r="K17131" s="166"/>
      <c r="L17131" s="166"/>
    </row>
    <row r="17132">
      <c r="A17132" s="163" t="s">
        <v>222</v>
      </c>
      <c r="B17132" s="163"/>
      <c r="C17132" s="163"/>
      <c r="J17132" s="165"/>
      <c r="K17132" s="166"/>
      <c r="L17132" s="166"/>
    </row>
    <row r="17133">
      <c r="A17133" s="163" t="s">
        <v>222</v>
      </c>
      <c r="B17133" s="163"/>
      <c r="C17133" s="163"/>
      <c r="J17133" s="165"/>
      <c r="K17133" s="166"/>
      <c r="L17133" s="166"/>
    </row>
    <row r="17134">
      <c r="A17134" s="163" t="s">
        <v>222</v>
      </c>
      <c r="B17134" s="163"/>
      <c r="C17134" s="163"/>
      <c r="J17134" s="165"/>
      <c r="K17134" s="166"/>
      <c r="L17134" s="166"/>
    </row>
    <row r="17135">
      <c r="A17135" s="163" t="s">
        <v>222</v>
      </c>
      <c r="B17135" s="163"/>
      <c r="C17135" s="163"/>
      <c r="J17135" s="165"/>
      <c r="K17135" s="166"/>
      <c r="L17135" s="166"/>
    </row>
    <row r="17136">
      <c r="A17136" s="163" t="s">
        <v>222</v>
      </c>
      <c r="B17136" s="163"/>
      <c r="C17136" s="163"/>
      <c r="J17136" s="165"/>
      <c r="K17136" s="166"/>
      <c r="L17136" s="166"/>
    </row>
    <row r="17137">
      <c r="A17137" s="163" t="s">
        <v>222</v>
      </c>
      <c r="B17137" s="163"/>
      <c r="C17137" s="163"/>
      <c r="J17137" s="165"/>
      <c r="K17137" s="166"/>
      <c r="L17137" s="166"/>
    </row>
    <row r="17138">
      <c r="A17138" s="163" t="s">
        <v>222</v>
      </c>
      <c r="B17138" s="163"/>
      <c r="C17138" s="163"/>
      <c r="J17138" s="165"/>
      <c r="K17138" s="166"/>
      <c r="L17138" s="166"/>
    </row>
    <row r="17139">
      <c r="A17139" s="163" t="s">
        <v>222</v>
      </c>
      <c r="B17139" s="163"/>
      <c r="C17139" s="163"/>
      <c r="J17139" s="165"/>
      <c r="K17139" s="166"/>
      <c r="L17139" s="166"/>
    </row>
    <row r="17140">
      <c r="A17140" s="163" t="s">
        <v>222</v>
      </c>
      <c r="B17140" s="163"/>
      <c r="C17140" s="163"/>
      <c r="J17140" s="165"/>
      <c r="K17140" s="166"/>
      <c r="L17140" s="166"/>
    </row>
    <row r="17141">
      <c r="A17141" s="163" t="s">
        <v>222</v>
      </c>
      <c r="B17141" s="163"/>
      <c r="C17141" s="163"/>
      <c r="J17141" s="165"/>
      <c r="K17141" s="166"/>
      <c r="L17141" s="166"/>
    </row>
    <row r="17142">
      <c r="A17142" s="163" t="s">
        <v>222</v>
      </c>
      <c r="B17142" s="163"/>
      <c r="C17142" s="163"/>
      <c r="J17142" s="165"/>
      <c r="K17142" s="166"/>
      <c r="L17142" s="166"/>
    </row>
    <row r="17143">
      <c r="A17143" s="163" t="s">
        <v>222</v>
      </c>
      <c r="B17143" s="163"/>
      <c r="C17143" s="163"/>
      <c r="J17143" s="165"/>
      <c r="K17143" s="166"/>
      <c r="L17143" s="166"/>
    </row>
    <row r="17144">
      <c r="A17144" s="163" t="s">
        <v>222</v>
      </c>
      <c r="B17144" s="163"/>
      <c r="C17144" s="163"/>
      <c r="J17144" s="165"/>
      <c r="K17144" s="166"/>
      <c r="L17144" s="166"/>
    </row>
    <row r="17145">
      <c r="A17145" s="163" t="s">
        <v>222</v>
      </c>
      <c r="B17145" s="163"/>
      <c r="C17145" s="163"/>
      <c r="J17145" s="165"/>
      <c r="K17145" s="166"/>
      <c r="L17145" s="166"/>
    </row>
    <row r="17146">
      <c r="A17146" s="163" t="s">
        <v>222</v>
      </c>
      <c r="B17146" s="163"/>
      <c r="C17146" s="163"/>
      <c r="J17146" s="165"/>
      <c r="K17146" s="166"/>
      <c r="L17146" s="166"/>
    </row>
    <row r="17147">
      <c r="A17147" s="163" t="s">
        <v>222</v>
      </c>
      <c r="B17147" s="163"/>
      <c r="C17147" s="163"/>
      <c r="J17147" s="165"/>
      <c r="K17147" s="166"/>
      <c r="L17147" s="166"/>
    </row>
    <row r="17148">
      <c r="A17148" s="163" t="s">
        <v>222</v>
      </c>
      <c r="B17148" s="163"/>
      <c r="C17148" s="163"/>
      <c r="J17148" s="165"/>
      <c r="K17148" s="166"/>
      <c r="L17148" s="166"/>
    </row>
    <row r="17149">
      <c r="A17149" s="163" t="s">
        <v>222</v>
      </c>
      <c r="B17149" s="163"/>
      <c r="C17149" s="163"/>
      <c r="J17149" s="165"/>
      <c r="K17149" s="166"/>
      <c r="L17149" s="166"/>
    </row>
    <row r="17150">
      <c r="A17150" s="163" t="s">
        <v>222</v>
      </c>
      <c r="B17150" s="163"/>
      <c r="C17150" s="163"/>
      <c r="J17150" s="165"/>
      <c r="K17150" s="166"/>
      <c r="L17150" s="166"/>
    </row>
    <row r="17151">
      <c r="A17151" s="163" t="s">
        <v>222</v>
      </c>
      <c r="B17151" s="163"/>
      <c r="C17151" s="163"/>
      <c r="J17151" s="165"/>
      <c r="K17151" s="166"/>
      <c r="L17151" s="166"/>
    </row>
    <row r="17152">
      <c r="A17152" s="163" t="s">
        <v>222</v>
      </c>
      <c r="B17152" s="163"/>
      <c r="C17152" s="163"/>
      <c r="J17152" s="165"/>
      <c r="K17152" s="166"/>
      <c r="L17152" s="166"/>
    </row>
    <row r="17153">
      <c r="A17153" s="163" t="s">
        <v>222</v>
      </c>
      <c r="B17153" s="163"/>
      <c r="C17153" s="163"/>
      <c r="J17153" s="165"/>
      <c r="K17153" s="166"/>
      <c r="L17153" s="166"/>
    </row>
    <row r="17154">
      <c r="A17154" s="163" t="s">
        <v>222</v>
      </c>
      <c r="B17154" s="163"/>
      <c r="C17154" s="163"/>
      <c r="J17154" s="165"/>
      <c r="K17154" s="166"/>
      <c r="L17154" s="166"/>
    </row>
    <row r="17155">
      <c r="A17155" s="163" t="s">
        <v>222</v>
      </c>
      <c r="B17155" s="163"/>
      <c r="C17155" s="163"/>
      <c r="J17155" s="165"/>
      <c r="K17155" s="166"/>
      <c r="L17155" s="166"/>
    </row>
    <row r="17156">
      <c r="A17156" s="163" t="s">
        <v>222</v>
      </c>
      <c r="B17156" s="163"/>
      <c r="C17156" s="163"/>
      <c r="J17156" s="165"/>
      <c r="K17156" s="166"/>
      <c r="L17156" s="166"/>
    </row>
    <row r="17157">
      <c r="A17157" s="163" t="s">
        <v>222</v>
      </c>
      <c r="B17157" s="163"/>
      <c r="C17157" s="163"/>
      <c r="J17157" s="165"/>
      <c r="K17157" s="166"/>
      <c r="L17157" s="166"/>
    </row>
    <row r="17158">
      <c r="A17158" s="163" t="s">
        <v>222</v>
      </c>
      <c r="B17158" s="163"/>
      <c r="C17158" s="163"/>
      <c r="J17158" s="165"/>
      <c r="K17158" s="166"/>
      <c r="L17158" s="166"/>
    </row>
    <row r="17159">
      <c r="A17159" s="163" t="s">
        <v>222</v>
      </c>
      <c r="B17159" s="163"/>
      <c r="C17159" s="163"/>
      <c r="J17159" s="165"/>
      <c r="K17159" s="166"/>
      <c r="L17159" s="166"/>
    </row>
    <row r="17160">
      <c r="A17160" s="163" t="s">
        <v>222</v>
      </c>
      <c r="B17160" s="163"/>
      <c r="C17160" s="163"/>
      <c r="J17160" s="165"/>
      <c r="K17160" s="166"/>
      <c r="L17160" s="166"/>
    </row>
    <row r="17161">
      <c r="A17161" s="163" t="s">
        <v>222</v>
      </c>
      <c r="B17161" s="163"/>
      <c r="C17161" s="163"/>
      <c r="J17161" s="165"/>
      <c r="K17161" s="166"/>
      <c r="L17161" s="166"/>
    </row>
    <row r="17162">
      <c r="A17162" s="163" t="s">
        <v>222</v>
      </c>
      <c r="B17162" s="163"/>
      <c r="C17162" s="163"/>
      <c r="J17162" s="165"/>
      <c r="K17162" s="166"/>
      <c r="L17162" s="166"/>
    </row>
    <row r="17163">
      <c r="A17163" s="163" t="s">
        <v>222</v>
      </c>
      <c r="B17163" s="163"/>
      <c r="C17163" s="163"/>
      <c r="J17163" s="165"/>
      <c r="K17163" s="166"/>
      <c r="L17163" s="166"/>
    </row>
    <row r="17164">
      <c r="A17164" s="163" t="s">
        <v>222</v>
      </c>
      <c r="B17164" s="163"/>
      <c r="C17164" s="163"/>
      <c r="J17164" s="165"/>
      <c r="K17164" s="166"/>
      <c r="L17164" s="166"/>
    </row>
    <row r="17165">
      <c r="A17165" s="163" t="s">
        <v>222</v>
      </c>
      <c r="B17165" s="163"/>
      <c r="C17165" s="163"/>
      <c r="J17165" s="165"/>
      <c r="K17165" s="166"/>
      <c r="L17165" s="166"/>
    </row>
    <row r="17166">
      <c r="A17166" s="163" t="s">
        <v>222</v>
      </c>
      <c r="B17166" s="163"/>
      <c r="C17166" s="163"/>
      <c r="J17166" s="165"/>
      <c r="K17166" s="166"/>
      <c r="L17166" s="166"/>
    </row>
    <row r="17167">
      <c r="A17167" s="163" t="s">
        <v>222</v>
      </c>
      <c r="B17167" s="163"/>
      <c r="C17167" s="163"/>
      <c r="J17167" s="165"/>
      <c r="K17167" s="166"/>
      <c r="L17167" s="166"/>
    </row>
    <row r="17168">
      <c r="A17168" s="163" t="s">
        <v>222</v>
      </c>
      <c r="B17168" s="163"/>
      <c r="C17168" s="163"/>
      <c r="J17168" s="165"/>
      <c r="K17168" s="166"/>
      <c r="L17168" s="166"/>
    </row>
    <row r="17169">
      <c r="A17169" s="163" t="s">
        <v>222</v>
      </c>
      <c r="B17169" s="163"/>
      <c r="C17169" s="163"/>
      <c r="J17169" s="165"/>
      <c r="K17169" s="166"/>
      <c r="L17169" s="166"/>
    </row>
    <row r="17170">
      <c r="A17170" s="163" t="s">
        <v>222</v>
      </c>
      <c r="B17170" s="163"/>
      <c r="C17170" s="163"/>
      <c r="J17170" s="165"/>
      <c r="K17170" s="166"/>
      <c r="L17170" s="166"/>
    </row>
    <row r="17171">
      <c r="A17171" s="163" t="s">
        <v>222</v>
      </c>
      <c r="B17171" s="163"/>
      <c r="C17171" s="163"/>
      <c r="J17171" s="165"/>
      <c r="K17171" s="166"/>
      <c r="L17171" s="166"/>
    </row>
    <row r="17172">
      <c r="A17172" s="163" t="s">
        <v>222</v>
      </c>
      <c r="B17172" s="163"/>
      <c r="C17172" s="163"/>
      <c r="J17172" s="165"/>
      <c r="K17172" s="166"/>
      <c r="L17172" s="166"/>
    </row>
    <row r="17173">
      <c r="A17173" s="163" t="s">
        <v>222</v>
      </c>
      <c r="B17173" s="163"/>
      <c r="C17173" s="163"/>
      <c r="J17173" s="165"/>
      <c r="K17173" s="166"/>
      <c r="L17173" s="166"/>
    </row>
    <row r="17174">
      <c r="A17174" s="163" t="s">
        <v>222</v>
      </c>
      <c r="B17174" s="163"/>
      <c r="C17174" s="163"/>
      <c r="J17174" s="165"/>
      <c r="K17174" s="166"/>
      <c r="L17174" s="166"/>
    </row>
    <row r="17175">
      <c r="A17175" s="163" t="s">
        <v>222</v>
      </c>
      <c r="B17175" s="163"/>
      <c r="C17175" s="163"/>
      <c r="J17175" s="165"/>
      <c r="K17175" s="166"/>
      <c r="L17175" s="166"/>
    </row>
    <row r="17176">
      <c r="A17176" s="163" t="s">
        <v>222</v>
      </c>
      <c r="B17176" s="163"/>
      <c r="C17176" s="163"/>
      <c r="J17176" s="165"/>
      <c r="K17176" s="166"/>
      <c r="L17176" s="166"/>
    </row>
    <row r="17177">
      <c r="A17177" s="163" t="s">
        <v>222</v>
      </c>
      <c r="B17177" s="163"/>
      <c r="C17177" s="163"/>
      <c r="J17177" s="165"/>
      <c r="K17177" s="166"/>
      <c r="L17177" s="166"/>
    </row>
    <row r="17178">
      <c r="A17178" s="163" t="s">
        <v>222</v>
      </c>
      <c r="B17178" s="163"/>
      <c r="C17178" s="163"/>
      <c r="J17178" s="165"/>
      <c r="K17178" s="166"/>
      <c r="L17178" s="166"/>
    </row>
    <row r="17179">
      <c r="A17179" s="163" t="s">
        <v>222</v>
      </c>
      <c r="B17179" s="163"/>
      <c r="C17179" s="163"/>
      <c r="J17179" s="165"/>
      <c r="K17179" s="166"/>
      <c r="L17179" s="166"/>
    </row>
    <row r="17180">
      <c r="A17180" s="163" t="s">
        <v>222</v>
      </c>
      <c r="B17180" s="163"/>
      <c r="C17180" s="163"/>
      <c r="J17180" s="165"/>
      <c r="K17180" s="166"/>
      <c r="L17180" s="166"/>
    </row>
    <row r="17181">
      <c r="A17181" s="163" t="s">
        <v>222</v>
      </c>
      <c r="B17181" s="163"/>
      <c r="C17181" s="163"/>
      <c r="J17181" s="165"/>
      <c r="K17181" s="166"/>
      <c r="L17181" s="166"/>
    </row>
    <row r="17182">
      <c r="A17182" s="163" t="s">
        <v>222</v>
      </c>
      <c r="B17182" s="163"/>
      <c r="C17182" s="163"/>
      <c r="J17182" s="165"/>
      <c r="K17182" s="166"/>
      <c r="L17182" s="166"/>
    </row>
    <row r="17183">
      <c r="A17183" s="163" t="s">
        <v>222</v>
      </c>
      <c r="B17183" s="163"/>
      <c r="C17183" s="163"/>
      <c r="J17183" s="165"/>
      <c r="K17183" s="166"/>
      <c r="L17183" s="166"/>
    </row>
    <row r="17184">
      <c r="A17184" s="163" t="s">
        <v>222</v>
      </c>
      <c r="B17184" s="163"/>
      <c r="C17184" s="163"/>
      <c r="J17184" s="165"/>
      <c r="K17184" s="166"/>
      <c r="L17184" s="166"/>
    </row>
    <row r="17185">
      <c r="A17185" s="163" t="s">
        <v>222</v>
      </c>
      <c r="B17185" s="163"/>
      <c r="C17185" s="163"/>
      <c r="J17185" s="165"/>
      <c r="K17185" s="166"/>
      <c r="L17185" s="166"/>
    </row>
    <row r="17186">
      <c r="A17186" s="163" t="s">
        <v>222</v>
      </c>
      <c r="B17186" s="163"/>
      <c r="C17186" s="163"/>
      <c r="J17186" s="165"/>
      <c r="K17186" s="166"/>
      <c r="L17186" s="166"/>
    </row>
    <row r="17187">
      <c r="A17187" s="163" t="s">
        <v>222</v>
      </c>
      <c r="B17187" s="163"/>
      <c r="C17187" s="163"/>
      <c r="J17187" s="165"/>
      <c r="K17187" s="166"/>
      <c r="L17187" s="166"/>
    </row>
    <row r="17188">
      <c r="A17188" s="163" t="s">
        <v>222</v>
      </c>
      <c r="B17188" s="163"/>
      <c r="C17188" s="163"/>
      <c r="J17188" s="165"/>
      <c r="K17188" s="166"/>
      <c r="L17188" s="166"/>
    </row>
    <row r="17189">
      <c r="A17189" s="163" t="s">
        <v>222</v>
      </c>
      <c r="B17189" s="163"/>
      <c r="C17189" s="163"/>
      <c r="J17189" s="165"/>
      <c r="K17189" s="166"/>
      <c r="L17189" s="166"/>
    </row>
    <row r="17190">
      <c r="A17190" s="163" t="s">
        <v>222</v>
      </c>
      <c r="B17190" s="163"/>
      <c r="C17190" s="163"/>
      <c r="J17190" s="165"/>
      <c r="K17190" s="166"/>
      <c r="L17190" s="166"/>
    </row>
    <row r="17191">
      <c r="A17191" s="163" t="s">
        <v>222</v>
      </c>
      <c r="B17191" s="163"/>
      <c r="C17191" s="163"/>
      <c r="J17191" s="165"/>
      <c r="K17191" s="166"/>
      <c r="L17191" s="166"/>
    </row>
    <row r="17192">
      <c r="A17192" s="163" t="s">
        <v>222</v>
      </c>
      <c r="B17192" s="163"/>
      <c r="C17192" s="163"/>
      <c r="J17192" s="165"/>
      <c r="K17192" s="166"/>
      <c r="L17192" s="166"/>
    </row>
    <row r="17193">
      <c r="A17193" s="163" t="s">
        <v>222</v>
      </c>
      <c r="B17193" s="163"/>
      <c r="C17193" s="163"/>
      <c r="J17193" s="165"/>
      <c r="K17193" s="166"/>
      <c r="L17193" s="166"/>
    </row>
    <row r="17194">
      <c r="A17194" s="163" t="s">
        <v>222</v>
      </c>
      <c r="B17194" s="163"/>
      <c r="C17194" s="163"/>
      <c r="J17194" s="165"/>
      <c r="K17194" s="166"/>
      <c r="L17194" s="166"/>
    </row>
    <row r="17195">
      <c r="A17195" s="163" t="s">
        <v>222</v>
      </c>
      <c r="B17195" s="163"/>
      <c r="C17195" s="163"/>
      <c r="J17195" s="165"/>
      <c r="K17195" s="166"/>
      <c r="L17195" s="166"/>
    </row>
    <row r="17196">
      <c r="A17196" s="163" t="s">
        <v>222</v>
      </c>
      <c r="B17196" s="163"/>
      <c r="C17196" s="163"/>
      <c r="J17196" s="165"/>
      <c r="K17196" s="166"/>
      <c r="L17196" s="166"/>
    </row>
    <row r="17197">
      <c r="A17197" s="163" t="s">
        <v>222</v>
      </c>
      <c r="B17197" s="163"/>
      <c r="C17197" s="163"/>
      <c r="J17197" s="165"/>
      <c r="K17197" s="166"/>
      <c r="L17197" s="166"/>
    </row>
    <row r="17198">
      <c r="A17198" s="163" t="s">
        <v>222</v>
      </c>
      <c r="B17198" s="163"/>
      <c r="C17198" s="163"/>
      <c r="J17198" s="165"/>
      <c r="K17198" s="166"/>
      <c r="L17198" s="166"/>
    </row>
    <row r="17199">
      <c r="A17199" s="163" t="s">
        <v>222</v>
      </c>
      <c r="B17199" s="163"/>
      <c r="C17199" s="163"/>
      <c r="J17199" s="165"/>
      <c r="K17199" s="166"/>
      <c r="L17199" s="166"/>
    </row>
    <row r="17200">
      <c r="A17200" s="163" t="s">
        <v>222</v>
      </c>
      <c r="B17200" s="163"/>
      <c r="C17200" s="163"/>
      <c r="J17200" s="165"/>
      <c r="K17200" s="166"/>
      <c r="L17200" s="166"/>
    </row>
    <row r="17201">
      <c r="A17201" s="163" t="s">
        <v>222</v>
      </c>
      <c r="B17201" s="163"/>
      <c r="C17201" s="163"/>
      <c r="J17201" s="165"/>
      <c r="K17201" s="166"/>
      <c r="L17201" s="166"/>
    </row>
    <row r="17202">
      <c r="A17202" s="163" t="s">
        <v>222</v>
      </c>
      <c r="B17202" s="163"/>
      <c r="C17202" s="163"/>
      <c r="J17202" s="165"/>
      <c r="K17202" s="166"/>
      <c r="L17202" s="166"/>
    </row>
    <row r="17203">
      <c r="A17203" s="163" t="s">
        <v>222</v>
      </c>
      <c r="B17203" s="163"/>
      <c r="C17203" s="163"/>
      <c r="J17203" s="165"/>
      <c r="K17203" s="166"/>
      <c r="L17203" s="166"/>
    </row>
    <row r="17204">
      <c r="A17204" s="163" t="s">
        <v>222</v>
      </c>
      <c r="B17204" s="163"/>
      <c r="C17204" s="163"/>
      <c r="J17204" s="165"/>
      <c r="K17204" s="166"/>
      <c r="L17204" s="166"/>
    </row>
    <row r="17205">
      <c r="A17205" s="163" t="s">
        <v>222</v>
      </c>
      <c r="B17205" s="163"/>
      <c r="C17205" s="163"/>
      <c r="J17205" s="165"/>
      <c r="K17205" s="166"/>
      <c r="L17205" s="166"/>
    </row>
    <row r="17206">
      <c r="A17206" s="163" t="s">
        <v>222</v>
      </c>
      <c r="B17206" s="163"/>
      <c r="C17206" s="163"/>
      <c r="J17206" s="165"/>
      <c r="K17206" s="166"/>
      <c r="L17206" s="166"/>
    </row>
    <row r="17207">
      <c r="A17207" s="163" t="s">
        <v>222</v>
      </c>
      <c r="B17207" s="163"/>
      <c r="C17207" s="163"/>
      <c r="J17207" s="165"/>
      <c r="K17207" s="166"/>
      <c r="L17207" s="166"/>
    </row>
    <row r="17208">
      <c r="A17208" s="163" t="s">
        <v>222</v>
      </c>
      <c r="B17208" s="163"/>
      <c r="C17208" s="163"/>
      <c r="J17208" s="165"/>
      <c r="K17208" s="166"/>
      <c r="L17208" s="166"/>
    </row>
    <row r="17209">
      <c r="A17209" s="163" t="s">
        <v>222</v>
      </c>
      <c r="B17209" s="163"/>
      <c r="C17209" s="163"/>
      <c r="J17209" s="165"/>
      <c r="K17209" s="166"/>
      <c r="L17209" s="166"/>
    </row>
    <row r="17210">
      <c r="A17210" s="163" t="s">
        <v>222</v>
      </c>
      <c r="B17210" s="163"/>
      <c r="C17210" s="163"/>
      <c r="J17210" s="165"/>
      <c r="K17210" s="166"/>
      <c r="L17210" s="166"/>
    </row>
    <row r="17211">
      <c r="A17211" s="163" t="s">
        <v>222</v>
      </c>
      <c r="B17211" s="163"/>
      <c r="C17211" s="163"/>
      <c r="J17211" s="165"/>
      <c r="K17211" s="166"/>
      <c r="L17211" s="166"/>
    </row>
    <row r="17212">
      <c r="A17212" s="163" t="s">
        <v>222</v>
      </c>
      <c r="B17212" s="163"/>
      <c r="C17212" s="163"/>
      <c r="J17212" s="165"/>
      <c r="K17212" s="166"/>
      <c r="L17212" s="166"/>
    </row>
    <row r="17213">
      <c r="A17213" s="163" t="s">
        <v>222</v>
      </c>
      <c r="B17213" s="163"/>
      <c r="C17213" s="163"/>
      <c r="J17213" s="165"/>
      <c r="K17213" s="166"/>
      <c r="L17213" s="166"/>
    </row>
    <row r="17214">
      <c r="A17214" s="163" t="s">
        <v>222</v>
      </c>
      <c r="B17214" s="163"/>
      <c r="C17214" s="163"/>
      <c r="J17214" s="165"/>
      <c r="K17214" s="166"/>
      <c r="L17214" s="166"/>
    </row>
    <row r="17215">
      <c r="A17215" s="163" t="s">
        <v>222</v>
      </c>
      <c r="B17215" s="163"/>
      <c r="C17215" s="163"/>
      <c r="J17215" s="165"/>
      <c r="K17215" s="166"/>
      <c r="L17215" s="166"/>
    </row>
    <row r="17216">
      <c r="A17216" s="163" t="s">
        <v>222</v>
      </c>
      <c r="B17216" s="163"/>
      <c r="C17216" s="163"/>
      <c r="J17216" s="165"/>
      <c r="K17216" s="166"/>
      <c r="L17216" s="166"/>
    </row>
    <row r="17217">
      <c r="A17217" s="163" t="s">
        <v>222</v>
      </c>
      <c r="B17217" s="163"/>
      <c r="C17217" s="163"/>
      <c r="J17217" s="165"/>
      <c r="K17217" s="166"/>
      <c r="L17217" s="166"/>
    </row>
    <row r="17218">
      <c r="A17218" s="163" t="s">
        <v>222</v>
      </c>
      <c r="B17218" s="163"/>
      <c r="C17218" s="163"/>
      <c r="J17218" s="165"/>
      <c r="K17218" s="166"/>
      <c r="L17218" s="166"/>
    </row>
    <row r="17219">
      <c r="A17219" s="163" t="s">
        <v>222</v>
      </c>
      <c r="B17219" s="163"/>
      <c r="C17219" s="163"/>
      <c r="J17219" s="165"/>
      <c r="K17219" s="166"/>
      <c r="L17219" s="166"/>
    </row>
    <row r="17220">
      <c r="A17220" s="163" t="s">
        <v>222</v>
      </c>
      <c r="B17220" s="163"/>
      <c r="C17220" s="163"/>
      <c r="J17220" s="165"/>
      <c r="K17220" s="166"/>
      <c r="L17220" s="166"/>
    </row>
    <row r="17221">
      <c r="A17221" s="163" t="s">
        <v>222</v>
      </c>
      <c r="B17221" s="163"/>
      <c r="C17221" s="163"/>
      <c r="J17221" s="165"/>
      <c r="K17221" s="166"/>
      <c r="L17221" s="166"/>
    </row>
    <row r="17222">
      <c r="A17222" s="163" t="s">
        <v>222</v>
      </c>
      <c r="B17222" s="163"/>
      <c r="C17222" s="163"/>
      <c r="J17222" s="165"/>
      <c r="K17222" s="166"/>
      <c r="L17222" s="166"/>
    </row>
    <row r="17223">
      <c r="A17223" s="163" t="s">
        <v>222</v>
      </c>
      <c r="B17223" s="163"/>
      <c r="C17223" s="163"/>
      <c r="J17223" s="165"/>
      <c r="K17223" s="166"/>
      <c r="L17223" s="166"/>
    </row>
    <row r="17224">
      <c r="A17224" s="163" t="s">
        <v>222</v>
      </c>
      <c r="B17224" s="163"/>
      <c r="C17224" s="163"/>
      <c r="J17224" s="165"/>
      <c r="K17224" s="166"/>
      <c r="L17224" s="166"/>
    </row>
    <row r="17225">
      <c r="A17225" s="163" t="s">
        <v>222</v>
      </c>
      <c r="B17225" s="163"/>
      <c r="C17225" s="163"/>
      <c r="J17225" s="165"/>
      <c r="K17225" s="166"/>
      <c r="L17225" s="166"/>
    </row>
    <row r="17226">
      <c r="A17226" s="163" t="s">
        <v>222</v>
      </c>
      <c r="B17226" s="163"/>
      <c r="C17226" s="163"/>
      <c r="J17226" s="165"/>
      <c r="K17226" s="166"/>
      <c r="L17226" s="166"/>
    </row>
    <row r="17227">
      <c r="A17227" s="163" t="s">
        <v>222</v>
      </c>
      <c r="B17227" s="163"/>
      <c r="C17227" s="163"/>
      <c r="J17227" s="165"/>
      <c r="K17227" s="166"/>
      <c r="L17227" s="166"/>
    </row>
    <row r="17228">
      <c r="A17228" s="163" t="s">
        <v>222</v>
      </c>
      <c r="B17228" s="163"/>
      <c r="C17228" s="163"/>
      <c r="J17228" s="165"/>
      <c r="K17228" s="166"/>
      <c r="L17228" s="166"/>
    </row>
    <row r="17229">
      <c r="A17229" s="163" t="s">
        <v>222</v>
      </c>
      <c r="B17229" s="163"/>
      <c r="C17229" s="163"/>
      <c r="J17229" s="165"/>
      <c r="K17229" s="166"/>
      <c r="L17229" s="166"/>
    </row>
    <row r="17230">
      <c r="A17230" s="163" t="s">
        <v>222</v>
      </c>
      <c r="B17230" s="163"/>
      <c r="C17230" s="163"/>
      <c r="J17230" s="165"/>
      <c r="K17230" s="166"/>
      <c r="L17230" s="166"/>
    </row>
    <row r="17231">
      <c r="A17231" s="163" t="s">
        <v>222</v>
      </c>
      <c r="B17231" s="163"/>
      <c r="C17231" s="163"/>
      <c r="J17231" s="165"/>
      <c r="K17231" s="166"/>
      <c r="L17231" s="166"/>
    </row>
    <row r="17232">
      <c r="A17232" s="163" t="s">
        <v>222</v>
      </c>
      <c r="B17232" s="163"/>
      <c r="C17232" s="163"/>
      <c r="J17232" s="165"/>
      <c r="K17232" s="166"/>
      <c r="L17232" s="166"/>
    </row>
    <row r="17233">
      <c r="A17233" s="163" t="s">
        <v>222</v>
      </c>
      <c r="B17233" s="163"/>
      <c r="C17233" s="163"/>
      <c r="J17233" s="165"/>
      <c r="K17233" s="166"/>
      <c r="L17233" s="166"/>
    </row>
    <row r="17234">
      <c r="A17234" s="163" t="s">
        <v>222</v>
      </c>
      <c r="B17234" s="163"/>
      <c r="C17234" s="163"/>
      <c r="J17234" s="165"/>
      <c r="K17234" s="166"/>
      <c r="L17234" s="166"/>
    </row>
    <row r="17235">
      <c r="A17235" s="163" t="s">
        <v>222</v>
      </c>
      <c r="B17235" s="163"/>
      <c r="C17235" s="163"/>
      <c r="J17235" s="165"/>
      <c r="K17235" s="166"/>
      <c r="L17235" s="166"/>
    </row>
    <row r="17236">
      <c r="A17236" s="163" t="s">
        <v>222</v>
      </c>
      <c r="B17236" s="163"/>
      <c r="C17236" s="163"/>
      <c r="J17236" s="165"/>
      <c r="K17236" s="166"/>
      <c r="L17236" s="166"/>
    </row>
    <row r="17237">
      <c r="A17237" s="163" t="s">
        <v>222</v>
      </c>
      <c r="B17237" s="163"/>
      <c r="C17237" s="163"/>
      <c r="J17237" s="165"/>
      <c r="K17237" s="166"/>
      <c r="L17237" s="166"/>
    </row>
    <row r="17238">
      <c r="A17238" s="163" t="s">
        <v>222</v>
      </c>
      <c r="B17238" s="163"/>
      <c r="C17238" s="163"/>
      <c r="J17238" s="165"/>
      <c r="K17238" s="166"/>
      <c r="L17238" s="166"/>
    </row>
    <row r="17239">
      <c r="A17239" s="163" t="s">
        <v>222</v>
      </c>
      <c r="B17239" s="163"/>
      <c r="C17239" s="163"/>
      <c r="J17239" s="165"/>
      <c r="K17239" s="166"/>
      <c r="L17239" s="166"/>
    </row>
    <row r="17240">
      <c r="A17240" s="163" t="s">
        <v>222</v>
      </c>
      <c r="B17240" s="163"/>
      <c r="C17240" s="163"/>
      <c r="J17240" s="165"/>
      <c r="K17240" s="166"/>
      <c r="L17240" s="166"/>
    </row>
    <row r="17241">
      <c r="A17241" s="163" t="s">
        <v>222</v>
      </c>
      <c r="B17241" s="163"/>
      <c r="C17241" s="163"/>
      <c r="J17241" s="165"/>
      <c r="K17241" s="166"/>
      <c r="L17241" s="166"/>
    </row>
    <row r="17242">
      <c r="A17242" s="163" t="s">
        <v>222</v>
      </c>
      <c r="B17242" s="163"/>
      <c r="C17242" s="163"/>
      <c r="J17242" s="165"/>
      <c r="K17242" s="166"/>
      <c r="L17242" s="166"/>
    </row>
    <row r="17243">
      <c r="A17243" s="163" t="s">
        <v>222</v>
      </c>
      <c r="B17243" s="163"/>
      <c r="C17243" s="163"/>
      <c r="J17243" s="165"/>
      <c r="K17243" s="166"/>
      <c r="L17243" s="166"/>
    </row>
    <row r="17244">
      <c r="A17244" s="163" t="s">
        <v>222</v>
      </c>
      <c r="B17244" s="163"/>
      <c r="C17244" s="163"/>
      <c r="J17244" s="165"/>
      <c r="K17244" s="166"/>
      <c r="L17244" s="166"/>
    </row>
    <row r="17245">
      <c r="A17245" s="163" t="s">
        <v>222</v>
      </c>
      <c r="B17245" s="163"/>
      <c r="C17245" s="163"/>
      <c r="J17245" s="165"/>
      <c r="K17245" s="166"/>
      <c r="L17245" s="166"/>
    </row>
    <row r="17246">
      <c r="A17246" s="163" t="s">
        <v>222</v>
      </c>
      <c r="B17246" s="163"/>
      <c r="C17246" s="163"/>
      <c r="J17246" s="165"/>
      <c r="K17246" s="166"/>
      <c r="L17246" s="166"/>
    </row>
    <row r="17247">
      <c r="A17247" s="163" t="s">
        <v>222</v>
      </c>
      <c r="B17247" s="163"/>
      <c r="C17247" s="163"/>
      <c r="J17247" s="165"/>
      <c r="K17247" s="166"/>
      <c r="L17247" s="166"/>
    </row>
    <row r="17248">
      <c r="A17248" s="163" t="s">
        <v>222</v>
      </c>
      <c r="B17248" s="163"/>
      <c r="C17248" s="163"/>
      <c r="J17248" s="165"/>
      <c r="K17248" s="166"/>
      <c r="L17248" s="166"/>
    </row>
    <row r="17249">
      <c r="A17249" s="163" t="s">
        <v>222</v>
      </c>
      <c r="B17249" s="163"/>
      <c r="C17249" s="163"/>
      <c r="J17249" s="165"/>
      <c r="K17249" s="166"/>
      <c r="L17249" s="166"/>
    </row>
    <row r="17250">
      <c r="A17250" s="163" t="s">
        <v>222</v>
      </c>
      <c r="B17250" s="163"/>
      <c r="C17250" s="163"/>
      <c r="J17250" s="165"/>
      <c r="K17250" s="166"/>
      <c r="L17250" s="166"/>
    </row>
    <row r="17251">
      <c r="A17251" s="163" t="s">
        <v>222</v>
      </c>
      <c r="B17251" s="163"/>
      <c r="C17251" s="163"/>
      <c r="J17251" s="165"/>
      <c r="K17251" s="166"/>
      <c r="L17251" s="166"/>
    </row>
    <row r="17252">
      <c r="A17252" s="163" t="s">
        <v>222</v>
      </c>
      <c r="B17252" s="163"/>
      <c r="C17252" s="163"/>
      <c r="J17252" s="165"/>
      <c r="K17252" s="166"/>
      <c r="L17252" s="166"/>
    </row>
    <row r="17253">
      <c r="A17253" s="163" t="s">
        <v>222</v>
      </c>
      <c r="B17253" s="163"/>
      <c r="C17253" s="163"/>
      <c r="J17253" s="165"/>
      <c r="K17253" s="166"/>
      <c r="L17253" s="166"/>
    </row>
    <row r="17254">
      <c r="A17254" s="163" t="s">
        <v>222</v>
      </c>
      <c r="B17254" s="163"/>
      <c r="C17254" s="163"/>
      <c r="J17254" s="165"/>
      <c r="K17254" s="166"/>
      <c r="L17254" s="166"/>
    </row>
    <row r="17255">
      <c r="A17255" s="163" t="s">
        <v>222</v>
      </c>
      <c r="B17255" s="163"/>
      <c r="C17255" s="163"/>
      <c r="J17255" s="165"/>
      <c r="K17255" s="166"/>
      <c r="L17255" s="166"/>
    </row>
    <row r="17256">
      <c r="A17256" s="163" t="s">
        <v>222</v>
      </c>
      <c r="B17256" s="163"/>
      <c r="C17256" s="163"/>
      <c r="J17256" s="165"/>
      <c r="K17256" s="166"/>
      <c r="L17256" s="166"/>
    </row>
    <row r="17257">
      <c r="A17257" s="163" t="s">
        <v>222</v>
      </c>
      <c r="B17257" s="163"/>
      <c r="C17257" s="163"/>
      <c r="J17257" s="165"/>
      <c r="K17257" s="166"/>
      <c r="L17257" s="166"/>
    </row>
    <row r="17258">
      <c r="A17258" s="163" t="s">
        <v>222</v>
      </c>
      <c r="B17258" s="163"/>
      <c r="C17258" s="163"/>
      <c r="J17258" s="165"/>
      <c r="K17258" s="166"/>
      <c r="L17258" s="166"/>
    </row>
    <row r="17259">
      <c r="A17259" s="163" t="s">
        <v>222</v>
      </c>
      <c r="B17259" s="163"/>
      <c r="C17259" s="163"/>
      <c r="J17259" s="165"/>
      <c r="K17259" s="166"/>
      <c r="L17259" s="166"/>
    </row>
    <row r="17260">
      <c r="A17260" s="163" t="s">
        <v>222</v>
      </c>
      <c r="B17260" s="163"/>
      <c r="C17260" s="163"/>
      <c r="J17260" s="165"/>
      <c r="K17260" s="166"/>
      <c r="L17260" s="166"/>
    </row>
    <row r="17261">
      <c r="A17261" s="163" t="s">
        <v>222</v>
      </c>
      <c r="B17261" s="163"/>
      <c r="C17261" s="163"/>
      <c r="J17261" s="165"/>
      <c r="K17261" s="166"/>
      <c r="L17261" s="166"/>
    </row>
    <row r="17262">
      <c r="A17262" s="163" t="s">
        <v>222</v>
      </c>
      <c r="B17262" s="163"/>
      <c r="C17262" s="163"/>
      <c r="J17262" s="165"/>
      <c r="K17262" s="166"/>
      <c r="L17262" s="166"/>
    </row>
    <row r="17263">
      <c r="A17263" s="163" t="s">
        <v>222</v>
      </c>
      <c r="B17263" s="163"/>
      <c r="C17263" s="163"/>
      <c r="J17263" s="165"/>
      <c r="K17263" s="166"/>
      <c r="L17263" s="166"/>
    </row>
    <row r="17264">
      <c r="A17264" s="163" t="s">
        <v>222</v>
      </c>
      <c r="B17264" s="163"/>
      <c r="C17264" s="163"/>
      <c r="J17264" s="165"/>
      <c r="K17264" s="166"/>
      <c r="L17264" s="166"/>
    </row>
    <row r="17265">
      <c r="A17265" s="163" t="s">
        <v>222</v>
      </c>
      <c r="B17265" s="163"/>
      <c r="C17265" s="163"/>
      <c r="J17265" s="165"/>
      <c r="K17265" s="166"/>
      <c r="L17265" s="166"/>
    </row>
    <row r="17266">
      <c r="A17266" s="163" t="s">
        <v>222</v>
      </c>
      <c r="B17266" s="163"/>
      <c r="C17266" s="163"/>
      <c r="J17266" s="165"/>
      <c r="K17266" s="166"/>
      <c r="L17266" s="166"/>
    </row>
    <row r="17267">
      <c r="A17267" s="163" t="s">
        <v>222</v>
      </c>
      <c r="B17267" s="163"/>
      <c r="C17267" s="163"/>
      <c r="J17267" s="165"/>
      <c r="K17267" s="166"/>
      <c r="L17267" s="166"/>
    </row>
    <row r="17268">
      <c r="A17268" s="163" t="s">
        <v>222</v>
      </c>
      <c r="B17268" s="163"/>
      <c r="C17268" s="163"/>
      <c r="J17268" s="165"/>
      <c r="K17268" s="166"/>
      <c r="L17268" s="166"/>
    </row>
    <row r="17269">
      <c r="A17269" s="163" t="s">
        <v>222</v>
      </c>
      <c r="B17269" s="163"/>
      <c r="C17269" s="163"/>
      <c r="J17269" s="165"/>
      <c r="K17269" s="166"/>
      <c r="L17269" s="166"/>
    </row>
    <row r="17270">
      <c r="A17270" s="163" t="s">
        <v>222</v>
      </c>
      <c r="B17270" s="163"/>
      <c r="C17270" s="163"/>
      <c r="J17270" s="165"/>
      <c r="K17270" s="166"/>
      <c r="L17270" s="166"/>
    </row>
    <row r="17271">
      <c r="A17271" s="163" t="s">
        <v>222</v>
      </c>
      <c r="B17271" s="163"/>
      <c r="C17271" s="163"/>
      <c r="J17271" s="165"/>
      <c r="K17271" s="166"/>
      <c r="L17271" s="166"/>
    </row>
    <row r="17272">
      <c r="A17272" s="163" t="s">
        <v>222</v>
      </c>
      <c r="B17272" s="163"/>
      <c r="C17272" s="163"/>
      <c r="J17272" s="165"/>
      <c r="K17272" s="166"/>
      <c r="L17272" s="166"/>
    </row>
    <row r="17273">
      <c r="A17273" s="163" t="s">
        <v>222</v>
      </c>
      <c r="B17273" s="163"/>
      <c r="C17273" s="163"/>
      <c r="J17273" s="165"/>
      <c r="K17273" s="166"/>
      <c r="L17273" s="166"/>
    </row>
    <row r="17274">
      <c r="A17274" s="163" t="s">
        <v>222</v>
      </c>
      <c r="B17274" s="163"/>
      <c r="C17274" s="163"/>
      <c r="J17274" s="165"/>
      <c r="K17274" s="166"/>
      <c r="L17274" s="166"/>
    </row>
    <row r="17275">
      <c r="A17275" s="163" t="s">
        <v>222</v>
      </c>
      <c r="B17275" s="163"/>
      <c r="C17275" s="163"/>
      <c r="J17275" s="165"/>
      <c r="K17275" s="166"/>
      <c r="L17275" s="166"/>
    </row>
    <row r="17276">
      <c r="A17276" s="163" t="s">
        <v>222</v>
      </c>
      <c r="B17276" s="163"/>
      <c r="C17276" s="163"/>
      <c r="J17276" s="165"/>
      <c r="K17276" s="166"/>
      <c r="L17276" s="166"/>
    </row>
    <row r="17277">
      <c r="A17277" s="163" t="s">
        <v>222</v>
      </c>
      <c r="B17277" s="163"/>
      <c r="C17277" s="163"/>
      <c r="J17277" s="165"/>
      <c r="K17277" s="166"/>
      <c r="L17277" s="166"/>
    </row>
    <row r="17278">
      <c r="A17278" s="163" t="s">
        <v>222</v>
      </c>
      <c r="B17278" s="163"/>
      <c r="C17278" s="163"/>
      <c r="J17278" s="165"/>
      <c r="K17278" s="166"/>
      <c r="L17278" s="166"/>
    </row>
    <row r="17279">
      <c r="A17279" s="163" t="s">
        <v>222</v>
      </c>
      <c r="B17279" s="163"/>
      <c r="C17279" s="163"/>
      <c r="J17279" s="165"/>
      <c r="K17279" s="166"/>
      <c r="L17279" s="166"/>
    </row>
    <row r="17280">
      <c r="A17280" s="163" t="s">
        <v>222</v>
      </c>
      <c r="B17280" s="163"/>
      <c r="C17280" s="163"/>
      <c r="J17280" s="165"/>
      <c r="K17280" s="166"/>
      <c r="L17280" s="166"/>
    </row>
    <row r="17281">
      <c r="A17281" s="163" t="s">
        <v>222</v>
      </c>
      <c r="B17281" s="163"/>
      <c r="C17281" s="163"/>
      <c r="J17281" s="165"/>
      <c r="K17281" s="166"/>
      <c r="L17281" s="166"/>
    </row>
    <row r="17282">
      <c r="A17282" s="163" t="s">
        <v>222</v>
      </c>
      <c r="B17282" s="163"/>
      <c r="C17282" s="163"/>
      <c r="J17282" s="165"/>
      <c r="K17282" s="166"/>
      <c r="L17282" s="166"/>
    </row>
    <row r="17283">
      <c r="A17283" s="163" t="s">
        <v>222</v>
      </c>
      <c r="B17283" s="163"/>
      <c r="C17283" s="163"/>
      <c r="J17283" s="165"/>
      <c r="K17283" s="166"/>
      <c r="L17283" s="166"/>
    </row>
    <row r="17284">
      <c r="A17284" s="163" t="s">
        <v>222</v>
      </c>
      <c r="B17284" s="163"/>
      <c r="C17284" s="163"/>
      <c r="J17284" s="165"/>
      <c r="K17284" s="166"/>
      <c r="L17284" s="166"/>
    </row>
    <row r="17285">
      <c r="A17285" s="163" t="s">
        <v>222</v>
      </c>
      <c r="B17285" s="163"/>
      <c r="C17285" s="163"/>
      <c r="J17285" s="165"/>
      <c r="K17285" s="166"/>
      <c r="L17285" s="166"/>
    </row>
    <row r="17286">
      <c r="A17286" s="163" t="s">
        <v>222</v>
      </c>
      <c r="B17286" s="163"/>
      <c r="C17286" s="163"/>
      <c r="J17286" s="165"/>
      <c r="K17286" s="166"/>
      <c r="L17286" s="166"/>
    </row>
    <row r="17287">
      <c r="A17287" s="163" t="s">
        <v>222</v>
      </c>
      <c r="B17287" s="163"/>
      <c r="C17287" s="163"/>
      <c r="J17287" s="165"/>
      <c r="K17287" s="166"/>
      <c r="L17287" s="166"/>
    </row>
    <row r="17288">
      <c r="A17288" s="163" t="s">
        <v>222</v>
      </c>
      <c r="B17288" s="163"/>
      <c r="C17288" s="163"/>
      <c r="J17288" s="165"/>
      <c r="K17288" s="166"/>
      <c r="L17288" s="166"/>
    </row>
    <row r="17289">
      <c r="A17289" s="163" t="s">
        <v>222</v>
      </c>
      <c r="B17289" s="163"/>
      <c r="C17289" s="163"/>
      <c r="J17289" s="165"/>
      <c r="K17289" s="166"/>
      <c r="L17289" s="166"/>
    </row>
    <row r="17290">
      <c r="A17290" s="163" t="s">
        <v>222</v>
      </c>
      <c r="B17290" s="163"/>
      <c r="C17290" s="163"/>
      <c r="J17290" s="165"/>
      <c r="K17290" s="166"/>
      <c r="L17290" s="166"/>
    </row>
    <row r="17291">
      <c r="A17291" s="163" t="s">
        <v>222</v>
      </c>
      <c r="B17291" s="163"/>
      <c r="C17291" s="163"/>
      <c r="J17291" s="165"/>
      <c r="K17291" s="166"/>
      <c r="L17291" s="166"/>
    </row>
    <row r="17292">
      <c r="A17292" s="163" t="s">
        <v>222</v>
      </c>
      <c r="B17292" s="163"/>
      <c r="C17292" s="163"/>
      <c r="J17292" s="165"/>
      <c r="K17292" s="166"/>
      <c r="L17292" s="166"/>
    </row>
    <row r="17293">
      <c r="A17293" s="163" t="s">
        <v>222</v>
      </c>
      <c r="B17293" s="163"/>
      <c r="C17293" s="163"/>
      <c r="J17293" s="165"/>
      <c r="K17293" s="166"/>
      <c r="L17293" s="166"/>
    </row>
    <row r="17294">
      <c r="A17294" s="163" t="s">
        <v>222</v>
      </c>
      <c r="B17294" s="163"/>
      <c r="C17294" s="163"/>
      <c r="J17294" s="165"/>
      <c r="K17294" s="166"/>
      <c r="L17294" s="166"/>
    </row>
    <row r="17295">
      <c r="A17295" s="163" t="s">
        <v>222</v>
      </c>
      <c r="B17295" s="163"/>
      <c r="C17295" s="163"/>
      <c r="J17295" s="165"/>
      <c r="K17295" s="166"/>
      <c r="L17295" s="166"/>
    </row>
    <row r="17296">
      <c r="A17296" s="163" t="s">
        <v>222</v>
      </c>
      <c r="B17296" s="163"/>
      <c r="C17296" s="163"/>
      <c r="J17296" s="165"/>
      <c r="K17296" s="166"/>
      <c r="L17296" s="166"/>
    </row>
    <row r="17297">
      <c r="A17297" s="163" t="s">
        <v>222</v>
      </c>
      <c r="B17297" s="163"/>
      <c r="C17297" s="163"/>
      <c r="J17297" s="165"/>
      <c r="K17297" s="166"/>
      <c r="L17297" s="166"/>
    </row>
    <row r="17298">
      <c r="A17298" s="163" t="s">
        <v>222</v>
      </c>
      <c r="B17298" s="163"/>
      <c r="C17298" s="163"/>
      <c r="J17298" s="165"/>
      <c r="K17298" s="166"/>
      <c r="L17298" s="166"/>
    </row>
    <row r="17299">
      <c r="A17299" s="163" t="s">
        <v>222</v>
      </c>
      <c r="B17299" s="163"/>
      <c r="C17299" s="163"/>
      <c r="J17299" s="165"/>
      <c r="K17299" s="166"/>
      <c r="L17299" s="166"/>
    </row>
    <row r="17300">
      <c r="A17300" s="163" t="s">
        <v>222</v>
      </c>
      <c r="B17300" s="163"/>
      <c r="C17300" s="163"/>
      <c r="J17300" s="165"/>
      <c r="K17300" s="166"/>
      <c r="L17300" s="166"/>
    </row>
    <row r="17301">
      <c r="A17301" s="163" t="s">
        <v>222</v>
      </c>
      <c r="B17301" s="163"/>
      <c r="C17301" s="163"/>
      <c r="J17301" s="165"/>
      <c r="K17301" s="166"/>
      <c r="L17301" s="166"/>
    </row>
    <row r="17302">
      <c r="A17302" s="163" t="s">
        <v>222</v>
      </c>
      <c r="B17302" s="163"/>
      <c r="C17302" s="163"/>
      <c r="J17302" s="165"/>
      <c r="K17302" s="166"/>
      <c r="L17302" s="166"/>
    </row>
    <row r="17303">
      <c r="A17303" s="163" t="s">
        <v>222</v>
      </c>
      <c r="B17303" s="163"/>
      <c r="C17303" s="163"/>
      <c r="J17303" s="165"/>
      <c r="K17303" s="166"/>
      <c r="L17303" s="166"/>
    </row>
    <row r="17304">
      <c r="A17304" s="163" t="s">
        <v>222</v>
      </c>
      <c r="B17304" s="163"/>
      <c r="C17304" s="163"/>
      <c r="J17304" s="165"/>
      <c r="K17304" s="166"/>
      <c r="L17304" s="166"/>
    </row>
    <row r="17305">
      <c r="A17305" s="163" t="s">
        <v>222</v>
      </c>
      <c r="B17305" s="163"/>
      <c r="C17305" s="163"/>
      <c r="J17305" s="165"/>
      <c r="K17305" s="166"/>
      <c r="L17305" s="166"/>
    </row>
    <row r="17306">
      <c r="A17306" s="163" t="s">
        <v>222</v>
      </c>
      <c r="B17306" s="163"/>
      <c r="C17306" s="163"/>
      <c r="J17306" s="165"/>
      <c r="K17306" s="166"/>
      <c r="L17306" s="166"/>
    </row>
    <row r="17307">
      <c r="A17307" s="163" t="s">
        <v>222</v>
      </c>
      <c r="B17307" s="163"/>
      <c r="C17307" s="163"/>
      <c r="J17307" s="165"/>
      <c r="K17307" s="166"/>
      <c r="L17307" s="166"/>
    </row>
    <row r="17308">
      <c r="A17308" s="163" t="s">
        <v>222</v>
      </c>
      <c r="B17308" s="163"/>
      <c r="C17308" s="163"/>
      <c r="J17308" s="165"/>
      <c r="K17308" s="166"/>
      <c r="L17308" s="166"/>
    </row>
    <row r="17309">
      <c r="A17309" s="163" t="s">
        <v>222</v>
      </c>
      <c r="B17309" s="163"/>
      <c r="C17309" s="163"/>
      <c r="J17309" s="165"/>
      <c r="K17309" s="166"/>
      <c r="L17309" s="166"/>
    </row>
    <row r="17310">
      <c r="A17310" s="163" t="s">
        <v>222</v>
      </c>
      <c r="B17310" s="163"/>
      <c r="C17310" s="163"/>
      <c r="J17310" s="165"/>
      <c r="K17310" s="166"/>
      <c r="L17310" s="166"/>
    </row>
    <row r="17311">
      <c r="A17311" s="163" t="s">
        <v>222</v>
      </c>
      <c r="B17311" s="163"/>
      <c r="C17311" s="163"/>
      <c r="J17311" s="165"/>
      <c r="K17311" s="166"/>
      <c r="L17311" s="166"/>
    </row>
    <row r="17312">
      <c r="A17312" s="163" t="s">
        <v>222</v>
      </c>
      <c r="B17312" s="163"/>
      <c r="C17312" s="163"/>
      <c r="J17312" s="165"/>
      <c r="K17312" s="166"/>
      <c r="L17312" s="166"/>
    </row>
    <row r="17313">
      <c r="A17313" s="163" t="s">
        <v>222</v>
      </c>
      <c r="B17313" s="163"/>
      <c r="C17313" s="163"/>
      <c r="J17313" s="165"/>
      <c r="K17313" s="166"/>
      <c r="L17313" s="166"/>
    </row>
    <row r="17314">
      <c r="A17314" s="163" t="s">
        <v>222</v>
      </c>
      <c r="B17314" s="163"/>
      <c r="C17314" s="163"/>
      <c r="J17314" s="165"/>
      <c r="K17314" s="166"/>
      <c r="L17314" s="166"/>
    </row>
    <row r="17315">
      <c r="A17315" s="163" t="s">
        <v>222</v>
      </c>
      <c r="B17315" s="163"/>
      <c r="C17315" s="163"/>
      <c r="J17315" s="165"/>
      <c r="K17315" s="166"/>
      <c r="L17315" s="166"/>
    </row>
    <row r="17316">
      <c r="A17316" s="163" t="s">
        <v>222</v>
      </c>
      <c r="B17316" s="163"/>
      <c r="C17316" s="163"/>
      <c r="J17316" s="165"/>
      <c r="K17316" s="166"/>
      <c r="L17316" s="166"/>
    </row>
    <row r="17317">
      <c r="A17317" s="163" t="s">
        <v>222</v>
      </c>
      <c r="B17317" s="163"/>
      <c r="C17317" s="163"/>
      <c r="J17317" s="165"/>
      <c r="K17317" s="166"/>
      <c r="L17317" s="166"/>
    </row>
    <row r="17318">
      <c r="A17318" s="163" t="s">
        <v>222</v>
      </c>
      <c r="B17318" s="163"/>
      <c r="C17318" s="163"/>
      <c r="J17318" s="165"/>
      <c r="K17318" s="166"/>
      <c r="L17318" s="166"/>
    </row>
    <row r="17319">
      <c r="A17319" s="163" t="s">
        <v>222</v>
      </c>
      <c r="B17319" s="163"/>
      <c r="C17319" s="163"/>
      <c r="J17319" s="165"/>
      <c r="K17319" s="166"/>
      <c r="L17319" s="166"/>
    </row>
    <row r="17320">
      <c r="A17320" s="163" t="s">
        <v>222</v>
      </c>
      <c r="B17320" s="163"/>
      <c r="C17320" s="163"/>
      <c r="J17320" s="165"/>
      <c r="K17320" s="166"/>
      <c r="L17320" s="166"/>
    </row>
    <row r="17321">
      <c r="A17321" s="163" t="s">
        <v>222</v>
      </c>
      <c r="B17321" s="163"/>
      <c r="C17321" s="163"/>
      <c r="J17321" s="165"/>
      <c r="K17321" s="166"/>
      <c r="L17321" s="166"/>
    </row>
    <row r="17322">
      <c r="A17322" s="163" t="s">
        <v>222</v>
      </c>
      <c r="B17322" s="163"/>
      <c r="C17322" s="163"/>
      <c r="J17322" s="165"/>
      <c r="K17322" s="166"/>
      <c r="L17322" s="166"/>
    </row>
    <row r="17323">
      <c r="A17323" s="163" t="s">
        <v>222</v>
      </c>
      <c r="B17323" s="163"/>
      <c r="C17323" s="163"/>
      <c r="J17323" s="165"/>
      <c r="K17323" s="166"/>
      <c r="L17323" s="166"/>
    </row>
    <row r="17324">
      <c r="A17324" s="163" t="s">
        <v>222</v>
      </c>
      <c r="B17324" s="163"/>
      <c r="C17324" s="163"/>
      <c r="J17324" s="165"/>
      <c r="K17324" s="166"/>
      <c r="L17324" s="166"/>
    </row>
    <row r="17325">
      <c r="A17325" s="163" t="s">
        <v>222</v>
      </c>
      <c r="B17325" s="163"/>
      <c r="C17325" s="163"/>
      <c r="J17325" s="165"/>
      <c r="K17325" s="166"/>
      <c r="L17325" s="166"/>
    </row>
    <row r="17326">
      <c r="A17326" s="163" t="s">
        <v>222</v>
      </c>
      <c r="B17326" s="163"/>
      <c r="C17326" s="163"/>
      <c r="J17326" s="165"/>
      <c r="K17326" s="166"/>
      <c r="L17326" s="166"/>
    </row>
    <row r="17327">
      <c r="A17327" s="163" t="s">
        <v>222</v>
      </c>
      <c r="B17327" s="163"/>
      <c r="C17327" s="163"/>
      <c r="J17327" s="165"/>
      <c r="K17327" s="166"/>
      <c r="L17327" s="166"/>
    </row>
    <row r="17328">
      <c r="A17328" s="163" t="s">
        <v>222</v>
      </c>
      <c r="B17328" s="163"/>
      <c r="C17328" s="163"/>
      <c r="J17328" s="165"/>
      <c r="K17328" s="166"/>
      <c r="L17328" s="166"/>
    </row>
    <row r="17329">
      <c r="A17329" s="163" t="s">
        <v>222</v>
      </c>
      <c r="B17329" s="163"/>
      <c r="C17329" s="163"/>
      <c r="J17329" s="165"/>
      <c r="K17329" s="166"/>
      <c r="L17329" s="166"/>
    </row>
    <row r="17330">
      <c r="A17330" s="163" t="s">
        <v>222</v>
      </c>
      <c r="B17330" s="163"/>
      <c r="C17330" s="163"/>
      <c r="J17330" s="165"/>
      <c r="K17330" s="166"/>
      <c r="L17330" s="166"/>
    </row>
    <row r="17331">
      <c r="A17331" s="163" t="s">
        <v>222</v>
      </c>
      <c r="B17331" s="163"/>
      <c r="C17331" s="163"/>
      <c r="J17331" s="165"/>
      <c r="K17331" s="166"/>
      <c r="L17331" s="166"/>
    </row>
    <row r="17332">
      <c r="A17332" s="163" t="s">
        <v>222</v>
      </c>
      <c r="B17332" s="163"/>
      <c r="C17332" s="163"/>
      <c r="J17332" s="165"/>
      <c r="K17332" s="166"/>
      <c r="L17332" s="166"/>
    </row>
    <row r="17333">
      <c r="A17333" s="163" t="s">
        <v>222</v>
      </c>
      <c r="B17333" s="163"/>
      <c r="C17333" s="163"/>
      <c r="J17333" s="165"/>
      <c r="K17333" s="166"/>
      <c r="L17333" s="166"/>
    </row>
    <row r="17334">
      <c r="A17334" s="163" t="s">
        <v>222</v>
      </c>
      <c r="B17334" s="163"/>
      <c r="C17334" s="163"/>
      <c r="J17334" s="165"/>
      <c r="K17334" s="166"/>
      <c r="L17334" s="166"/>
    </row>
    <row r="17335">
      <c r="A17335" s="163" t="s">
        <v>222</v>
      </c>
      <c r="B17335" s="163"/>
      <c r="C17335" s="163"/>
      <c r="J17335" s="165"/>
      <c r="K17335" s="166"/>
      <c r="L17335" s="166"/>
    </row>
    <row r="17336">
      <c r="A17336" s="163" t="s">
        <v>222</v>
      </c>
      <c r="B17336" s="163"/>
      <c r="C17336" s="163"/>
      <c r="J17336" s="165"/>
      <c r="K17336" s="166"/>
      <c r="L17336" s="166"/>
    </row>
    <row r="17337">
      <c r="A17337" s="163" t="s">
        <v>222</v>
      </c>
      <c r="B17337" s="163"/>
      <c r="C17337" s="163"/>
      <c r="J17337" s="165"/>
      <c r="K17337" s="166"/>
      <c r="L17337" s="166"/>
    </row>
    <row r="17338">
      <c r="A17338" s="163" t="s">
        <v>222</v>
      </c>
      <c r="B17338" s="163"/>
      <c r="C17338" s="163"/>
      <c r="J17338" s="165"/>
      <c r="K17338" s="166"/>
      <c r="L17338" s="166"/>
    </row>
    <row r="17339">
      <c r="A17339" s="163" t="s">
        <v>222</v>
      </c>
      <c r="B17339" s="163"/>
      <c r="C17339" s="163"/>
      <c r="J17339" s="165"/>
      <c r="K17339" s="166"/>
      <c r="L17339" s="166"/>
    </row>
    <row r="17340">
      <c r="A17340" s="163" t="s">
        <v>222</v>
      </c>
      <c r="B17340" s="163"/>
      <c r="C17340" s="163"/>
      <c r="J17340" s="165"/>
      <c r="K17340" s="166"/>
      <c r="L17340" s="166"/>
    </row>
    <row r="17341">
      <c r="A17341" s="163" t="s">
        <v>222</v>
      </c>
      <c r="B17341" s="163"/>
      <c r="C17341" s="163"/>
      <c r="J17341" s="165"/>
      <c r="K17341" s="166"/>
      <c r="L17341" s="166"/>
    </row>
    <row r="17342">
      <c r="A17342" s="163" t="s">
        <v>222</v>
      </c>
      <c r="B17342" s="163"/>
      <c r="C17342" s="163"/>
      <c r="J17342" s="165"/>
      <c r="K17342" s="166"/>
      <c r="L17342" s="166"/>
    </row>
    <row r="17343">
      <c r="A17343" s="163" t="s">
        <v>222</v>
      </c>
      <c r="B17343" s="163"/>
      <c r="C17343" s="163"/>
      <c r="J17343" s="165"/>
      <c r="K17343" s="166"/>
      <c r="L17343" s="166"/>
    </row>
    <row r="17344">
      <c r="A17344" s="163" t="s">
        <v>222</v>
      </c>
      <c r="B17344" s="163"/>
      <c r="C17344" s="163"/>
      <c r="J17344" s="165"/>
      <c r="K17344" s="166"/>
      <c r="L17344" s="166"/>
    </row>
    <row r="17345">
      <c r="A17345" s="163" t="s">
        <v>222</v>
      </c>
      <c r="B17345" s="163"/>
      <c r="C17345" s="163"/>
      <c r="J17345" s="165"/>
      <c r="K17345" s="166"/>
      <c r="L17345" s="166"/>
    </row>
    <row r="17346">
      <c r="A17346" s="163" t="s">
        <v>222</v>
      </c>
      <c r="B17346" s="163"/>
      <c r="C17346" s="163"/>
      <c r="J17346" s="165"/>
      <c r="K17346" s="166"/>
      <c r="L17346" s="166"/>
    </row>
    <row r="17347">
      <c r="A17347" s="163" t="s">
        <v>222</v>
      </c>
      <c r="B17347" s="163"/>
      <c r="C17347" s="163"/>
      <c r="J17347" s="165"/>
      <c r="K17347" s="166"/>
      <c r="L17347" s="166"/>
    </row>
    <row r="17348">
      <c r="A17348" s="163" t="s">
        <v>222</v>
      </c>
      <c r="B17348" s="163"/>
      <c r="C17348" s="163"/>
      <c r="J17348" s="165"/>
      <c r="K17348" s="166"/>
      <c r="L17348" s="166"/>
    </row>
    <row r="17349">
      <c r="A17349" s="163" t="s">
        <v>222</v>
      </c>
      <c r="B17349" s="163"/>
      <c r="C17349" s="163"/>
      <c r="J17349" s="165"/>
      <c r="K17349" s="166"/>
      <c r="L17349" s="166"/>
    </row>
    <row r="17350">
      <c r="A17350" s="163" t="s">
        <v>222</v>
      </c>
      <c r="B17350" s="163"/>
      <c r="C17350" s="163"/>
      <c r="J17350" s="165"/>
      <c r="K17350" s="166"/>
      <c r="L17350" s="166"/>
    </row>
    <row r="17351">
      <c r="A17351" s="163" t="s">
        <v>222</v>
      </c>
      <c r="B17351" s="163"/>
      <c r="C17351" s="163"/>
      <c r="J17351" s="165"/>
      <c r="K17351" s="166"/>
      <c r="L17351" s="166"/>
    </row>
    <row r="17352">
      <c r="A17352" s="163" t="s">
        <v>222</v>
      </c>
      <c r="B17352" s="163"/>
      <c r="C17352" s="163"/>
      <c r="J17352" s="165"/>
      <c r="K17352" s="166"/>
      <c r="L17352" s="166"/>
    </row>
    <row r="17353">
      <c r="A17353" s="163" t="s">
        <v>222</v>
      </c>
      <c r="B17353" s="163"/>
      <c r="C17353" s="163"/>
      <c r="J17353" s="165"/>
      <c r="K17353" s="166"/>
      <c r="L17353" s="166"/>
    </row>
    <row r="17354">
      <c r="A17354" s="163" t="s">
        <v>222</v>
      </c>
      <c r="B17354" s="163"/>
      <c r="C17354" s="163"/>
      <c r="J17354" s="165"/>
      <c r="K17354" s="166"/>
      <c r="L17354" s="166"/>
    </row>
    <row r="17355">
      <c r="A17355" s="163" t="s">
        <v>222</v>
      </c>
      <c r="B17355" s="163"/>
      <c r="C17355" s="163"/>
      <c r="J17355" s="165"/>
      <c r="K17355" s="166"/>
      <c r="L17355" s="166"/>
    </row>
    <row r="17356">
      <c r="A17356" s="163" t="s">
        <v>222</v>
      </c>
      <c r="B17356" s="163"/>
      <c r="C17356" s="163"/>
      <c r="J17356" s="165"/>
      <c r="K17356" s="166"/>
      <c r="L17356" s="166"/>
    </row>
    <row r="17357">
      <c r="A17357" s="163" t="s">
        <v>222</v>
      </c>
      <c r="B17357" s="163"/>
      <c r="C17357" s="163"/>
      <c r="J17357" s="165"/>
      <c r="K17357" s="166"/>
      <c r="L17357" s="166"/>
    </row>
    <row r="17358">
      <c r="A17358" s="163" t="s">
        <v>222</v>
      </c>
      <c r="B17358" s="163"/>
      <c r="C17358" s="163"/>
      <c r="J17358" s="165"/>
      <c r="K17358" s="166"/>
      <c r="L17358" s="166"/>
    </row>
    <row r="17359">
      <c r="A17359" s="163" t="s">
        <v>222</v>
      </c>
      <c r="B17359" s="163"/>
      <c r="C17359" s="163"/>
      <c r="J17359" s="165"/>
      <c r="K17359" s="166"/>
      <c r="L17359" s="166"/>
    </row>
    <row r="17360">
      <c r="A17360" s="163" t="s">
        <v>222</v>
      </c>
      <c r="B17360" s="163"/>
      <c r="C17360" s="163"/>
      <c r="J17360" s="165"/>
      <c r="K17360" s="166"/>
      <c r="L17360" s="166"/>
    </row>
    <row r="17361">
      <c r="A17361" s="163" t="s">
        <v>222</v>
      </c>
      <c r="B17361" s="163"/>
      <c r="C17361" s="163"/>
      <c r="J17361" s="165"/>
      <c r="K17361" s="166"/>
      <c r="L17361" s="166"/>
    </row>
    <row r="17362">
      <c r="A17362" s="163" t="s">
        <v>222</v>
      </c>
      <c r="B17362" s="163"/>
      <c r="C17362" s="163"/>
      <c r="J17362" s="165"/>
      <c r="K17362" s="166"/>
      <c r="L17362" s="166"/>
    </row>
    <row r="17363">
      <c r="A17363" s="163" t="s">
        <v>222</v>
      </c>
      <c r="B17363" s="163"/>
      <c r="C17363" s="163"/>
      <c r="J17363" s="165"/>
      <c r="K17363" s="166"/>
      <c r="L17363" s="166"/>
    </row>
    <row r="17364">
      <c r="A17364" s="163" t="s">
        <v>222</v>
      </c>
      <c r="B17364" s="163"/>
      <c r="C17364" s="163"/>
      <c r="J17364" s="165"/>
      <c r="K17364" s="166"/>
      <c r="L17364" s="166"/>
    </row>
    <row r="17365">
      <c r="A17365" s="163" t="s">
        <v>222</v>
      </c>
      <c r="B17365" s="163"/>
      <c r="C17365" s="163"/>
      <c r="J17365" s="165"/>
      <c r="K17365" s="166"/>
      <c r="L17365" s="166"/>
    </row>
    <row r="17366">
      <c r="A17366" s="163" t="s">
        <v>222</v>
      </c>
      <c r="B17366" s="163"/>
      <c r="C17366" s="163"/>
      <c r="J17366" s="165"/>
      <c r="K17366" s="166"/>
      <c r="L17366" s="166"/>
    </row>
    <row r="17367">
      <c r="A17367" s="163" t="s">
        <v>222</v>
      </c>
      <c r="B17367" s="163"/>
      <c r="C17367" s="163"/>
      <c r="J17367" s="165"/>
      <c r="K17367" s="166"/>
      <c r="L17367" s="166"/>
    </row>
    <row r="17368">
      <c r="A17368" s="163" t="s">
        <v>222</v>
      </c>
      <c r="B17368" s="163"/>
      <c r="C17368" s="163"/>
      <c r="J17368" s="165"/>
      <c r="K17368" s="166"/>
      <c r="L17368" s="166"/>
    </row>
    <row r="17369">
      <c r="A17369" s="163" t="s">
        <v>222</v>
      </c>
      <c r="B17369" s="163"/>
      <c r="C17369" s="163"/>
      <c r="J17369" s="165"/>
      <c r="K17369" s="166"/>
      <c r="L17369" s="166"/>
    </row>
    <row r="17370">
      <c r="A17370" s="163" t="s">
        <v>222</v>
      </c>
      <c r="B17370" s="163"/>
      <c r="C17370" s="163"/>
      <c r="J17370" s="165"/>
      <c r="K17370" s="166"/>
      <c r="L17370" s="166"/>
    </row>
    <row r="17371">
      <c r="A17371" s="163" t="s">
        <v>222</v>
      </c>
      <c r="B17371" s="163"/>
      <c r="C17371" s="163"/>
      <c r="J17371" s="165"/>
      <c r="K17371" s="166"/>
      <c r="L17371" s="166"/>
    </row>
    <row r="17372">
      <c r="A17372" s="163" t="s">
        <v>222</v>
      </c>
      <c r="B17372" s="163"/>
      <c r="C17372" s="163"/>
      <c r="J17372" s="165"/>
      <c r="K17372" s="166"/>
      <c r="L17372" s="166"/>
    </row>
    <row r="17373">
      <c r="A17373" s="163" t="s">
        <v>222</v>
      </c>
      <c r="B17373" s="163"/>
      <c r="C17373" s="163"/>
      <c r="J17373" s="165"/>
      <c r="K17373" s="166"/>
      <c r="L17373" s="166"/>
    </row>
    <row r="17374">
      <c r="A17374" s="163" t="s">
        <v>222</v>
      </c>
      <c r="B17374" s="163"/>
      <c r="C17374" s="163"/>
      <c r="J17374" s="165"/>
      <c r="K17374" s="166"/>
      <c r="L17374" s="166"/>
    </row>
    <row r="17375">
      <c r="A17375" s="163" t="s">
        <v>222</v>
      </c>
      <c r="B17375" s="163"/>
      <c r="C17375" s="163"/>
      <c r="J17375" s="165"/>
      <c r="K17375" s="166"/>
      <c r="L17375" s="166"/>
    </row>
    <row r="17376">
      <c r="A17376" s="163" t="s">
        <v>222</v>
      </c>
      <c r="B17376" s="163"/>
      <c r="C17376" s="163"/>
      <c r="J17376" s="165"/>
      <c r="K17376" s="166"/>
      <c r="L17376" s="166"/>
    </row>
    <row r="17377">
      <c r="A17377" s="163" t="s">
        <v>222</v>
      </c>
      <c r="B17377" s="163"/>
      <c r="C17377" s="163"/>
      <c r="J17377" s="165"/>
      <c r="K17377" s="166"/>
      <c r="L17377" s="166"/>
    </row>
    <row r="17378">
      <c r="A17378" s="163" t="s">
        <v>222</v>
      </c>
      <c r="B17378" s="163"/>
      <c r="C17378" s="163"/>
      <c r="J17378" s="165"/>
      <c r="K17378" s="166"/>
      <c r="L17378" s="166"/>
    </row>
    <row r="17379">
      <c r="A17379" s="163" t="s">
        <v>222</v>
      </c>
      <c r="B17379" s="163"/>
      <c r="C17379" s="163"/>
      <c r="J17379" s="165"/>
      <c r="K17379" s="166"/>
      <c r="L17379" s="166"/>
    </row>
    <row r="17380">
      <c r="A17380" s="163" t="s">
        <v>222</v>
      </c>
      <c r="B17380" s="163"/>
      <c r="C17380" s="163"/>
      <c r="J17380" s="165"/>
      <c r="K17380" s="166"/>
      <c r="L17380" s="166"/>
    </row>
    <row r="17381">
      <c r="A17381" s="163" t="s">
        <v>222</v>
      </c>
      <c r="B17381" s="163"/>
      <c r="C17381" s="163"/>
      <c r="J17381" s="165"/>
      <c r="K17381" s="166"/>
      <c r="L17381" s="166"/>
    </row>
    <row r="17382">
      <c r="A17382" s="163" t="s">
        <v>222</v>
      </c>
      <c r="B17382" s="163"/>
      <c r="C17382" s="163"/>
      <c r="J17382" s="165"/>
      <c r="K17382" s="166"/>
      <c r="L17382" s="166"/>
    </row>
    <row r="17383">
      <c r="A17383" s="163" t="s">
        <v>222</v>
      </c>
      <c r="B17383" s="163"/>
      <c r="C17383" s="163"/>
      <c r="J17383" s="165"/>
      <c r="K17383" s="166"/>
      <c r="L17383" s="166"/>
    </row>
    <row r="17384">
      <c r="A17384" s="163" t="s">
        <v>222</v>
      </c>
      <c r="B17384" s="163"/>
      <c r="C17384" s="163"/>
      <c r="J17384" s="165"/>
      <c r="K17384" s="166"/>
      <c r="L17384" s="166"/>
    </row>
    <row r="17385">
      <c r="A17385" s="163" t="s">
        <v>222</v>
      </c>
      <c r="B17385" s="163"/>
      <c r="C17385" s="163"/>
      <c r="J17385" s="165"/>
      <c r="K17385" s="166"/>
      <c r="L17385" s="166"/>
    </row>
    <row r="17386">
      <c r="A17386" s="163" t="s">
        <v>222</v>
      </c>
      <c r="B17386" s="163"/>
      <c r="C17386" s="163"/>
      <c r="J17386" s="165"/>
      <c r="K17386" s="166"/>
      <c r="L17386" s="166"/>
    </row>
    <row r="17387">
      <c r="A17387" s="163" t="s">
        <v>222</v>
      </c>
      <c r="B17387" s="163"/>
      <c r="C17387" s="163"/>
      <c r="J17387" s="165"/>
      <c r="K17387" s="166"/>
      <c r="L17387" s="166"/>
    </row>
    <row r="17388">
      <c r="A17388" s="163" t="s">
        <v>222</v>
      </c>
      <c r="B17388" s="163"/>
      <c r="C17388" s="163"/>
      <c r="J17388" s="165"/>
      <c r="K17388" s="166"/>
      <c r="L17388" s="166"/>
    </row>
    <row r="17389">
      <c r="A17389" s="163" t="s">
        <v>222</v>
      </c>
      <c r="B17389" s="163"/>
      <c r="C17389" s="163"/>
      <c r="J17389" s="165"/>
      <c r="K17389" s="166"/>
      <c r="L17389" s="166"/>
    </row>
    <row r="17390">
      <c r="A17390" s="163" t="s">
        <v>222</v>
      </c>
      <c r="B17390" s="163"/>
      <c r="C17390" s="163"/>
      <c r="J17390" s="165"/>
      <c r="K17390" s="166"/>
      <c r="L17390" s="166"/>
    </row>
    <row r="17391">
      <c r="A17391" s="163" t="s">
        <v>222</v>
      </c>
      <c r="B17391" s="163"/>
      <c r="C17391" s="163"/>
      <c r="J17391" s="165"/>
      <c r="K17391" s="166"/>
      <c r="L17391" s="166"/>
    </row>
    <row r="17392">
      <c r="A17392" s="163" t="s">
        <v>222</v>
      </c>
      <c r="B17392" s="163"/>
      <c r="C17392" s="163"/>
      <c r="J17392" s="165"/>
      <c r="K17392" s="166"/>
      <c r="L17392" s="166"/>
    </row>
    <row r="17393">
      <c r="A17393" s="163" t="s">
        <v>222</v>
      </c>
      <c r="B17393" s="163"/>
      <c r="C17393" s="163"/>
      <c r="J17393" s="165"/>
      <c r="K17393" s="166"/>
      <c r="L17393" s="166"/>
    </row>
    <row r="17394">
      <c r="A17394" s="163" t="s">
        <v>222</v>
      </c>
      <c r="B17394" s="163"/>
      <c r="C17394" s="163"/>
      <c r="J17394" s="165"/>
      <c r="K17394" s="166"/>
      <c r="L17394" s="166"/>
    </row>
    <row r="17395">
      <c r="A17395" s="163" t="s">
        <v>222</v>
      </c>
      <c r="B17395" s="163"/>
      <c r="C17395" s="163"/>
      <c r="J17395" s="165"/>
      <c r="K17395" s="166"/>
      <c r="L17395" s="166"/>
    </row>
    <row r="17396">
      <c r="A17396" s="163" t="s">
        <v>222</v>
      </c>
      <c r="B17396" s="163"/>
      <c r="C17396" s="163"/>
      <c r="J17396" s="165"/>
      <c r="K17396" s="166"/>
      <c r="L17396" s="166"/>
    </row>
    <row r="17397">
      <c r="A17397" s="163" t="s">
        <v>222</v>
      </c>
      <c r="B17397" s="163"/>
      <c r="C17397" s="163"/>
      <c r="J17397" s="165"/>
      <c r="K17397" s="166"/>
      <c r="L17397" s="166"/>
    </row>
    <row r="17398">
      <c r="A17398" s="163" t="s">
        <v>222</v>
      </c>
      <c r="B17398" s="163"/>
      <c r="C17398" s="163"/>
      <c r="J17398" s="165"/>
      <c r="K17398" s="166"/>
      <c r="L17398" s="166"/>
    </row>
    <row r="17399">
      <c r="A17399" s="163" t="s">
        <v>222</v>
      </c>
      <c r="B17399" s="163"/>
      <c r="C17399" s="163"/>
      <c r="J17399" s="165"/>
      <c r="K17399" s="166"/>
      <c r="L17399" s="166"/>
    </row>
    <row r="17400">
      <c r="A17400" s="163" t="s">
        <v>222</v>
      </c>
      <c r="B17400" s="163"/>
      <c r="C17400" s="163"/>
      <c r="J17400" s="165"/>
      <c r="K17400" s="166"/>
      <c r="L17400" s="166"/>
    </row>
    <row r="17401">
      <c r="A17401" s="163" t="s">
        <v>222</v>
      </c>
      <c r="B17401" s="163"/>
      <c r="C17401" s="163"/>
      <c r="J17401" s="165"/>
      <c r="K17401" s="166"/>
      <c r="L17401" s="166"/>
    </row>
    <row r="17402">
      <c r="A17402" s="163" t="s">
        <v>222</v>
      </c>
      <c r="B17402" s="163"/>
      <c r="C17402" s="163"/>
      <c r="J17402" s="165"/>
      <c r="K17402" s="166"/>
      <c r="L17402" s="166"/>
    </row>
    <row r="17403">
      <c r="A17403" s="163" t="s">
        <v>222</v>
      </c>
      <c r="B17403" s="163"/>
      <c r="C17403" s="163"/>
      <c r="J17403" s="165"/>
      <c r="K17403" s="166"/>
      <c r="L17403" s="166"/>
    </row>
    <row r="17404">
      <c r="A17404" s="163" t="s">
        <v>222</v>
      </c>
      <c r="B17404" s="163"/>
      <c r="C17404" s="163"/>
      <c r="J17404" s="165"/>
      <c r="K17404" s="166"/>
      <c r="L17404" s="166"/>
    </row>
    <row r="17405">
      <c r="A17405" s="163" t="s">
        <v>222</v>
      </c>
      <c r="B17405" s="163"/>
      <c r="C17405" s="163"/>
      <c r="J17405" s="165"/>
      <c r="K17405" s="166"/>
      <c r="L17405" s="166"/>
    </row>
    <row r="17406">
      <c r="A17406" s="163" t="s">
        <v>222</v>
      </c>
      <c r="B17406" s="163"/>
      <c r="C17406" s="163"/>
      <c r="J17406" s="165"/>
      <c r="K17406" s="166"/>
      <c r="L17406" s="166"/>
    </row>
    <row r="17407">
      <c r="A17407" s="163" t="s">
        <v>222</v>
      </c>
      <c r="B17407" s="163"/>
      <c r="C17407" s="163"/>
      <c r="J17407" s="165"/>
      <c r="K17407" s="166"/>
      <c r="L17407" s="166"/>
    </row>
    <row r="17408">
      <c r="A17408" s="163" t="s">
        <v>222</v>
      </c>
      <c r="B17408" s="163"/>
      <c r="C17408" s="163"/>
      <c r="J17408" s="165"/>
      <c r="K17408" s="166"/>
      <c r="L17408" s="166"/>
    </row>
    <row r="17409">
      <c r="A17409" s="163" t="s">
        <v>222</v>
      </c>
      <c r="B17409" s="163"/>
      <c r="C17409" s="163"/>
      <c r="J17409" s="165"/>
      <c r="K17409" s="166"/>
      <c r="L17409" s="166"/>
    </row>
    <row r="17410">
      <c r="A17410" s="163" t="s">
        <v>222</v>
      </c>
      <c r="B17410" s="163"/>
      <c r="C17410" s="163"/>
      <c r="J17410" s="165"/>
      <c r="K17410" s="166"/>
      <c r="L17410" s="166"/>
    </row>
    <row r="17411">
      <c r="A17411" s="163" t="s">
        <v>222</v>
      </c>
      <c r="B17411" s="163"/>
      <c r="C17411" s="163"/>
      <c r="J17411" s="165"/>
      <c r="K17411" s="166"/>
      <c r="L17411" s="166"/>
    </row>
    <row r="17412">
      <c r="A17412" s="163" t="s">
        <v>222</v>
      </c>
      <c r="B17412" s="163"/>
      <c r="C17412" s="163"/>
      <c r="J17412" s="165"/>
      <c r="K17412" s="166"/>
      <c r="L17412" s="166"/>
    </row>
    <row r="17413">
      <c r="A17413" s="163" t="s">
        <v>222</v>
      </c>
      <c r="B17413" s="163"/>
      <c r="C17413" s="163"/>
      <c r="J17413" s="165"/>
      <c r="K17413" s="166"/>
      <c r="L17413" s="166"/>
    </row>
    <row r="17414">
      <c r="A17414" s="163" t="s">
        <v>222</v>
      </c>
      <c r="B17414" s="163"/>
      <c r="C17414" s="163"/>
      <c r="J17414" s="165"/>
      <c r="K17414" s="166"/>
      <c r="L17414" s="166"/>
    </row>
    <row r="17415">
      <c r="A17415" s="163" t="s">
        <v>222</v>
      </c>
      <c r="B17415" s="163"/>
      <c r="C17415" s="163"/>
      <c r="J17415" s="165"/>
      <c r="K17415" s="166"/>
      <c r="L17415" s="166"/>
    </row>
    <row r="17416">
      <c r="A17416" s="163" t="s">
        <v>222</v>
      </c>
      <c r="B17416" s="163"/>
      <c r="C17416" s="163"/>
      <c r="J17416" s="165"/>
      <c r="K17416" s="166"/>
      <c r="L17416" s="166"/>
    </row>
    <row r="17417">
      <c r="A17417" s="163" t="s">
        <v>222</v>
      </c>
      <c r="B17417" s="163"/>
      <c r="C17417" s="163"/>
      <c r="J17417" s="165"/>
      <c r="K17417" s="166"/>
      <c r="L17417" s="166"/>
    </row>
    <row r="17418">
      <c r="A17418" s="163" t="s">
        <v>222</v>
      </c>
      <c r="B17418" s="163"/>
      <c r="C17418" s="163"/>
      <c r="J17418" s="165"/>
      <c r="K17418" s="166"/>
      <c r="L17418" s="166"/>
    </row>
    <row r="17419">
      <c r="A17419" s="163" t="s">
        <v>222</v>
      </c>
      <c r="B17419" s="163"/>
      <c r="C17419" s="163"/>
      <c r="J17419" s="165"/>
      <c r="K17419" s="166"/>
      <c r="L17419" s="166"/>
    </row>
    <row r="17420">
      <c r="A17420" s="163" t="s">
        <v>222</v>
      </c>
      <c r="B17420" s="163"/>
      <c r="C17420" s="163"/>
      <c r="J17420" s="165"/>
      <c r="K17420" s="166"/>
      <c r="L17420" s="166"/>
    </row>
    <row r="17421">
      <c r="A17421" s="163" t="s">
        <v>222</v>
      </c>
      <c r="B17421" s="163"/>
      <c r="C17421" s="163"/>
      <c r="J17421" s="165"/>
      <c r="K17421" s="166"/>
      <c r="L17421" s="166"/>
    </row>
    <row r="17422">
      <c r="A17422" s="163" t="s">
        <v>222</v>
      </c>
      <c r="B17422" s="163"/>
      <c r="C17422" s="163"/>
      <c r="J17422" s="165"/>
      <c r="K17422" s="166"/>
      <c r="L17422" s="166"/>
    </row>
    <row r="17423">
      <c r="A17423" s="163" t="s">
        <v>222</v>
      </c>
      <c r="B17423" s="163"/>
      <c r="C17423" s="163"/>
      <c r="J17423" s="165"/>
      <c r="K17423" s="166"/>
      <c r="L17423" s="166"/>
    </row>
    <row r="17424">
      <c r="A17424" s="163" t="s">
        <v>222</v>
      </c>
      <c r="B17424" s="163"/>
      <c r="C17424" s="163"/>
      <c r="J17424" s="165"/>
      <c r="K17424" s="166"/>
      <c r="L17424" s="166"/>
    </row>
    <row r="17425">
      <c r="A17425" s="163" t="s">
        <v>222</v>
      </c>
      <c r="B17425" s="163"/>
      <c r="C17425" s="163"/>
      <c r="J17425" s="165"/>
      <c r="K17425" s="166"/>
      <c r="L17425" s="166"/>
    </row>
    <row r="17426">
      <c r="A17426" s="163" t="s">
        <v>222</v>
      </c>
      <c r="B17426" s="163"/>
      <c r="C17426" s="163"/>
      <c r="J17426" s="165"/>
      <c r="K17426" s="166"/>
      <c r="L17426" s="166"/>
    </row>
    <row r="17427">
      <c r="A17427" s="163" t="s">
        <v>222</v>
      </c>
      <c r="B17427" s="163"/>
      <c r="C17427" s="163"/>
      <c r="J17427" s="165"/>
      <c r="K17427" s="166"/>
      <c r="L17427" s="166"/>
    </row>
    <row r="17428">
      <c r="A17428" s="163" t="s">
        <v>222</v>
      </c>
      <c r="B17428" s="163"/>
      <c r="C17428" s="163"/>
      <c r="J17428" s="165"/>
      <c r="K17428" s="166"/>
      <c r="L17428" s="166"/>
    </row>
    <row r="17429">
      <c r="A17429" s="163" t="s">
        <v>222</v>
      </c>
      <c r="B17429" s="163"/>
      <c r="C17429" s="163"/>
      <c r="J17429" s="165"/>
      <c r="K17429" s="166"/>
      <c r="L17429" s="166"/>
    </row>
    <row r="17430">
      <c r="A17430" s="163" t="s">
        <v>222</v>
      </c>
      <c r="B17430" s="163"/>
      <c r="C17430" s="163"/>
      <c r="J17430" s="165"/>
      <c r="K17430" s="166"/>
      <c r="L17430" s="166"/>
    </row>
    <row r="17431">
      <c r="A17431" s="163" t="s">
        <v>222</v>
      </c>
      <c r="B17431" s="163"/>
      <c r="C17431" s="163"/>
      <c r="J17431" s="165"/>
      <c r="K17431" s="166"/>
      <c r="L17431" s="166"/>
    </row>
    <row r="17432">
      <c r="A17432" s="163" t="s">
        <v>222</v>
      </c>
      <c r="B17432" s="163"/>
      <c r="C17432" s="163"/>
      <c r="J17432" s="165"/>
      <c r="K17432" s="166"/>
      <c r="L17432" s="166"/>
    </row>
    <row r="17433">
      <c r="A17433" s="163" t="s">
        <v>222</v>
      </c>
      <c r="B17433" s="163"/>
      <c r="C17433" s="163"/>
      <c r="J17433" s="165"/>
      <c r="K17433" s="166"/>
      <c r="L17433" s="166"/>
    </row>
    <row r="17434">
      <c r="A17434" s="163" t="s">
        <v>222</v>
      </c>
      <c r="B17434" s="163"/>
      <c r="C17434" s="163"/>
      <c r="J17434" s="165"/>
      <c r="K17434" s="166"/>
      <c r="L17434" s="166"/>
    </row>
    <row r="17435">
      <c r="A17435" s="163" t="s">
        <v>222</v>
      </c>
      <c r="B17435" s="163"/>
      <c r="C17435" s="163"/>
      <c r="J17435" s="165"/>
      <c r="K17435" s="166"/>
      <c r="L17435" s="166"/>
    </row>
    <row r="17436">
      <c r="A17436" s="163" t="s">
        <v>222</v>
      </c>
      <c r="B17436" s="163"/>
      <c r="C17436" s="163"/>
      <c r="J17436" s="165"/>
      <c r="K17436" s="166"/>
      <c r="L17436" s="166"/>
    </row>
    <row r="17437">
      <c r="A17437" s="163" t="s">
        <v>222</v>
      </c>
      <c r="B17437" s="163"/>
      <c r="C17437" s="163"/>
      <c r="J17437" s="165"/>
      <c r="K17437" s="166"/>
      <c r="L17437" s="166"/>
    </row>
    <row r="17438">
      <c r="A17438" s="163" t="s">
        <v>222</v>
      </c>
      <c r="B17438" s="163"/>
      <c r="C17438" s="163"/>
      <c r="J17438" s="165"/>
      <c r="K17438" s="166"/>
      <c r="L17438" s="166"/>
    </row>
    <row r="17439">
      <c r="A17439" s="163" t="s">
        <v>222</v>
      </c>
      <c r="B17439" s="163"/>
      <c r="C17439" s="163"/>
      <c r="J17439" s="165"/>
      <c r="K17439" s="166"/>
      <c r="L17439" s="166"/>
    </row>
    <row r="17440">
      <c r="A17440" s="163" t="s">
        <v>222</v>
      </c>
      <c r="B17440" s="163"/>
      <c r="C17440" s="163"/>
      <c r="J17440" s="165"/>
      <c r="K17440" s="166"/>
      <c r="L17440" s="166"/>
    </row>
    <row r="17441">
      <c r="A17441" s="163" t="s">
        <v>222</v>
      </c>
      <c r="B17441" s="163"/>
      <c r="C17441" s="163"/>
      <c r="J17441" s="165"/>
      <c r="K17441" s="166"/>
      <c r="L17441" s="166"/>
    </row>
    <row r="17442">
      <c r="A17442" s="163" t="s">
        <v>222</v>
      </c>
      <c r="B17442" s="163"/>
      <c r="C17442" s="163"/>
      <c r="J17442" s="165"/>
      <c r="K17442" s="166"/>
      <c r="L17442" s="166"/>
    </row>
    <row r="17443">
      <c r="A17443" s="163" t="s">
        <v>222</v>
      </c>
      <c r="B17443" s="163"/>
      <c r="C17443" s="163"/>
      <c r="J17443" s="165"/>
      <c r="K17443" s="166"/>
      <c r="L17443" s="166"/>
    </row>
    <row r="17444">
      <c r="A17444" s="163" t="s">
        <v>222</v>
      </c>
      <c r="B17444" s="163"/>
      <c r="C17444" s="163"/>
      <c r="J17444" s="165"/>
      <c r="K17444" s="166"/>
      <c r="L17444" s="166"/>
    </row>
    <row r="17445">
      <c r="A17445" s="163" t="s">
        <v>222</v>
      </c>
      <c r="B17445" s="163"/>
      <c r="C17445" s="163"/>
      <c r="J17445" s="165"/>
      <c r="K17445" s="166"/>
      <c r="L17445" s="166"/>
    </row>
    <row r="17446">
      <c r="A17446" s="163" t="s">
        <v>222</v>
      </c>
      <c r="B17446" s="163"/>
      <c r="C17446" s="163"/>
      <c r="J17446" s="165"/>
      <c r="K17446" s="166"/>
      <c r="L17446" s="166"/>
    </row>
    <row r="17447">
      <c r="A17447" s="163" t="s">
        <v>222</v>
      </c>
      <c r="B17447" s="163"/>
      <c r="C17447" s="163"/>
      <c r="J17447" s="165"/>
      <c r="K17447" s="166"/>
      <c r="L17447" s="166"/>
    </row>
    <row r="17448">
      <c r="A17448" s="163" t="s">
        <v>222</v>
      </c>
      <c r="B17448" s="163"/>
      <c r="C17448" s="163"/>
      <c r="J17448" s="165"/>
      <c r="K17448" s="166"/>
      <c r="L17448" s="166"/>
    </row>
    <row r="17449">
      <c r="A17449" s="163" t="s">
        <v>222</v>
      </c>
      <c r="B17449" s="163"/>
      <c r="C17449" s="163"/>
      <c r="J17449" s="165"/>
      <c r="K17449" s="166"/>
      <c r="L17449" s="166"/>
    </row>
    <row r="17450">
      <c r="A17450" s="163" t="s">
        <v>222</v>
      </c>
      <c r="B17450" s="163"/>
      <c r="C17450" s="163"/>
      <c r="J17450" s="165"/>
      <c r="K17450" s="166"/>
      <c r="L17450" s="166"/>
    </row>
    <row r="17451">
      <c r="A17451" s="163" t="s">
        <v>222</v>
      </c>
      <c r="B17451" s="163"/>
      <c r="C17451" s="163"/>
      <c r="J17451" s="165"/>
      <c r="K17451" s="166"/>
      <c r="L17451" s="166"/>
    </row>
    <row r="17452">
      <c r="A17452" s="163" t="s">
        <v>222</v>
      </c>
      <c r="B17452" s="163"/>
      <c r="C17452" s="163"/>
      <c r="J17452" s="165"/>
      <c r="K17452" s="166"/>
      <c r="L17452" s="166"/>
    </row>
    <row r="17453">
      <c r="A17453" s="163" t="s">
        <v>222</v>
      </c>
      <c r="B17453" s="163"/>
      <c r="C17453" s="163"/>
      <c r="J17453" s="165"/>
      <c r="K17453" s="166"/>
      <c r="L17453" s="166"/>
    </row>
    <row r="17454">
      <c r="A17454" s="163" t="s">
        <v>222</v>
      </c>
      <c r="B17454" s="163"/>
      <c r="C17454" s="163"/>
      <c r="J17454" s="165"/>
      <c r="K17454" s="166"/>
      <c r="L17454" s="166"/>
    </row>
    <row r="17455">
      <c r="A17455" s="163" t="s">
        <v>222</v>
      </c>
      <c r="B17455" s="163"/>
      <c r="C17455" s="163"/>
      <c r="J17455" s="165"/>
      <c r="K17455" s="166"/>
      <c r="L17455" s="166"/>
    </row>
    <row r="17456">
      <c r="A17456" s="163" t="s">
        <v>222</v>
      </c>
      <c r="B17456" s="163"/>
      <c r="C17456" s="163"/>
      <c r="J17456" s="165"/>
      <c r="K17456" s="166"/>
      <c r="L17456" s="166"/>
    </row>
    <row r="17457">
      <c r="A17457" s="163" t="s">
        <v>222</v>
      </c>
      <c r="B17457" s="163"/>
      <c r="C17457" s="163"/>
      <c r="J17457" s="165"/>
      <c r="K17457" s="166"/>
      <c r="L17457" s="166"/>
    </row>
    <row r="17458">
      <c r="A17458" s="163" t="s">
        <v>222</v>
      </c>
      <c r="B17458" s="163"/>
      <c r="C17458" s="163"/>
      <c r="J17458" s="165"/>
      <c r="K17458" s="166"/>
      <c r="L17458" s="166"/>
    </row>
    <row r="17459">
      <c r="A17459" s="163" t="s">
        <v>222</v>
      </c>
      <c r="B17459" s="163"/>
      <c r="C17459" s="163"/>
      <c r="J17459" s="165"/>
      <c r="K17459" s="166"/>
      <c r="L17459" s="166"/>
    </row>
    <row r="17460">
      <c r="A17460" s="163" t="s">
        <v>222</v>
      </c>
      <c r="B17460" s="163"/>
      <c r="C17460" s="163"/>
      <c r="J17460" s="165"/>
      <c r="K17460" s="166"/>
      <c r="L17460" s="166"/>
    </row>
    <row r="17461">
      <c r="A17461" s="163" t="s">
        <v>222</v>
      </c>
      <c r="B17461" s="163"/>
      <c r="C17461" s="163"/>
      <c r="J17461" s="165"/>
      <c r="K17461" s="166"/>
      <c r="L17461" s="166"/>
    </row>
    <row r="17462">
      <c r="A17462" s="163" t="s">
        <v>222</v>
      </c>
      <c r="B17462" s="163"/>
      <c r="C17462" s="163"/>
      <c r="J17462" s="165"/>
      <c r="K17462" s="166"/>
      <c r="L17462" s="166"/>
    </row>
    <row r="17463">
      <c r="A17463" s="163" t="s">
        <v>222</v>
      </c>
      <c r="B17463" s="163"/>
      <c r="C17463" s="163"/>
      <c r="J17463" s="165"/>
      <c r="K17463" s="166"/>
      <c r="L17463" s="166"/>
    </row>
    <row r="17464">
      <c r="A17464" s="163" t="s">
        <v>222</v>
      </c>
      <c r="B17464" s="163"/>
      <c r="C17464" s="163"/>
      <c r="J17464" s="165"/>
      <c r="K17464" s="166"/>
      <c r="L17464" s="166"/>
    </row>
    <row r="17465">
      <c r="A17465" s="163" t="s">
        <v>222</v>
      </c>
      <c r="B17465" s="163"/>
      <c r="C17465" s="163"/>
      <c r="J17465" s="165"/>
      <c r="K17465" s="166"/>
      <c r="L17465" s="166"/>
    </row>
    <row r="17466">
      <c r="A17466" s="163" t="s">
        <v>222</v>
      </c>
      <c r="B17466" s="163"/>
      <c r="C17466" s="163"/>
      <c r="J17466" s="165"/>
      <c r="K17466" s="166"/>
      <c r="L17466" s="166"/>
    </row>
    <row r="17467">
      <c r="A17467" s="163" t="s">
        <v>222</v>
      </c>
      <c r="B17467" s="163"/>
      <c r="C17467" s="163"/>
      <c r="J17467" s="165"/>
      <c r="K17467" s="166"/>
      <c r="L17467" s="166"/>
    </row>
    <row r="17468">
      <c r="A17468" s="163" t="s">
        <v>222</v>
      </c>
      <c r="B17468" s="163"/>
      <c r="C17468" s="163"/>
      <c r="J17468" s="165"/>
      <c r="K17468" s="166"/>
      <c r="L17468" s="166"/>
    </row>
    <row r="17469">
      <c r="A17469" s="163" t="s">
        <v>222</v>
      </c>
      <c r="B17469" s="163"/>
      <c r="C17469" s="163"/>
      <c r="J17469" s="165"/>
      <c r="K17469" s="166"/>
      <c r="L17469" s="166"/>
    </row>
    <row r="17470">
      <c r="A17470" s="163" t="s">
        <v>222</v>
      </c>
      <c r="B17470" s="163"/>
      <c r="C17470" s="163"/>
      <c r="J17470" s="165"/>
      <c r="K17470" s="166"/>
      <c r="L17470" s="166"/>
    </row>
    <row r="17471">
      <c r="A17471" s="163" t="s">
        <v>222</v>
      </c>
      <c r="B17471" s="163"/>
      <c r="C17471" s="163"/>
      <c r="J17471" s="165"/>
      <c r="K17471" s="166"/>
      <c r="L17471" s="166"/>
    </row>
    <row r="17472">
      <c r="A17472" s="163" t="s">
        <v>222</v>
      </c>
      <c r="B17472" s="163"/>
      <c r="C17472" s="163"/>
      <c r="J17472" s="165"/>
      <c r="K17472" s="166"/>
      <c r="L17472" s="166"/>
    </row>
    <row r="17473">
      <c r="A17473" s="163" t="s">
        <v>222</v>
      </c>
      <c r="B17473" s="163"/>
      <c r="C17473" s="163"/>
      <c r="J17473" s="165"/>
      <c r="K17473" s="166"/>
      <c r="L17473" s="166"/>
    </row>
    <row r="17474">
      <c r="A17474" s="163" t="s">
        <v>222</v>
      </c>
      <c r="B17474" s="163"/>
      <c r="C17474" s="163"/>
      <c r="J17474" s="165"/>
      <c r="K17474" s="166"/>
      <c r="L17474" s="166"/>
    </row>
    <row r="17475">
      <c r="A17475" s="163" t="s">
        <v>222</v>
      </c>
      <c r="B17475" s="163"/>
      <c r="C17475" s="163"/>
      <c r="J17475" s="165"/>
      <c r="K17475" s="166"/>
      <c r="L17475" s="166"/>
    </row>
    <row r="17476">
      <c r="A17476" s="163" t="s">
        <v>222</v>
      </c>
      <c r="B17476" s="163"/>
      <c r="C17476" s="163"/>
      <c r="J17476" s="165"/>
      <c r="K17476" s="166"/>
      <c r="L17476" s="166"/>
    </row>
    <row r="17477">
      <c r="A17477" s="163" t="s">
        <v>222</v>
      </c>
      <c r="B17477" s="163"/>
      <c r="C17477" s="163"/>
      <c r="J17477" s="165"/>
      <c r="K17477" s="166"/>
      <c r="L17477" s="166"/>
    </row>
    <row r="17478">
      <c r="A17478" s="163" t="s">
        <v>222</v>
      </c>
      <c r="B17478" s="163"/>
      <c r="C17478" s="163"/>
      <c r="J17478" s="165"/>
      <c r="K17478" s="166"/>
      <c r="L17478" s="166"/>
    </row>
    <row r="17479">
      <c r="A17479" s="163" t="s">
        <v>222</v>
      </c>
      <c r="B17479" s="163"/>
      <c r="C17479" s="163"/>
      <c r="J17479" s="165"/>
      <c r="K17479" s="166"/>
      <c r="L17479" s="166"/>
    </row>
    <row r="17480">
      <c r="A17480" s="163" t="s">
        <v>222</v>
      </c>
      <c r="B17480" s="163"/>
      <c r="C17480" s="163"/>
      <c r="J17480" s="165"/>
      <c r="K17480" s="166"/>
      <c r="L17480" s="166"/>
    </row>
    <row r="17481">
      <c r="A17481" s="163" t="s">
        <v>222</v>
      </c>
      <c r="B17481" s="163"/>
      <c r="C17481" s="163"/>
      <c r="J17481" s="165"/>
      <c r="K17481" s="166"/>
      <c r="L17481" s="166"/>
    </row>
    <row r="17482">
      <c r="A17482" s="163" t="s">
        <v>222</v>
      </c>
      <c r="B17482" s="163"/>
      <c r="C17482" s="163"/>
      <c r="J17482" s="165"/>
      <c r="K17482" s="166"/>
      <c r="L17482" s="166"/>
    </row>
    <row r="17483">
      <c r="A17483" s="163" t="s">
        <v>222</v>
      </c>
      <c r="B17483" s="163"/>
      <c r="C17483" s="163"/>
      <c r="J17483" s="165"/>
      <c r="K17483" s="166"/>
      <c r="L17483" s="166"/>
    </row>
    <row r="17484">
      <c r="A17484" s="163" t="s">
        <v>222</v>
      </c>
      <c r="B17484" s="163"/>
      <c r="C17484" s="163"/>
      <c r="J17484" s="165"/>
      <c r="K17484" s="166"/>
      <c r="L17484" s="166"/>
    </row>
    <row r="17485">
      <c r="A17485" s="163" t="s">
        <v>222</v>
      </c>
      <c r="B17485" s="163"/>
      <c r="C17485" s="163"/>
      <c r="J17485" s="165"/>
      <c r="K17485" s="166"/>
      <c r="L17485" s="166"/>
    </row>
    <row r="17486">
      <c r="A17486" s="163" t="s">
        <v>222</v>
      </c>
      <c r="B17486" s="163"/>
      <c r="C17486" s="163"/>
      <c r="J17486" s="165"/>
      <c r="K17486" s="166"/>
      <c r="L17486" s="166"/>
    </row>
    <row r="17487">
      <c r="A17487" s="163" t="s">
        <v>222</v>
      </c>
      <c r="B17487" s="163"/>
      <c r="C17487" s="163"/>
      <c r="J17487" s="165"/>
      <c r="K17487" s="166"/>
      <c r="L17487" s="166"/>
    </row>
    <row r="17488">
      <c r="A17488" s="163" t="s">
        <v>222</v>
      </c>
      <c r="B17488" s="163"/>
      <c r="C17488" s="163"/>
      <c r="J17488" s="165"/>
      <c r="K17488" s="166"/>
      <c r="L17488" s="166"/>
    </row>
    <row r="17489">
      <c r="A17489" s="163" t="s">
        <v>222</v>
      </c>
      <c r="B17489" s="163"/>
      <c r="C17489" s="163"/>
      <c r="J17489" s="165"/>
      <c r="K17489" s="166"/>
      <c r="L17489" s="166"/>
    </row>
    <row r="17490">
      <c r="A17490" s="163" t="s">
        <v>222</v>
      </c>
      <c r="B17490" s="163"/>
      <c r="C17490" s="163"/>
      <c r="J17490" s="165"/>
      <c r="K17490" s="166"/>
      <c r="L17490" s="166"/>
    </row>
    <row r="17491">
      <c r="A17491" s="163" t="s">
        <v>222</v>
      </c>
      <c r="B17491" s="163"/>
      <c r="C17491" s="163"/>
      <c r="J17491" s="165"/>
      <c r="K17491" s="166"/>
      <c r="L17491" s="166"/>
    </row>
    <row r="17492">
      <c r="A17492" s="163" t="s">
        <v>222</v>
      </c>
      <c r="B17492" s="163"/>
      <c r="C17492" s="163"/>
      <c r="J17492" s="165"/>
      <c r="K17492" s="166"/>
      <c r="L17492" s="166"/>
    </row>
    <row r="17493">
      <c r="A17493" s="163" t="s">
        <v>222</v>
      </c>
      <c r="B17493" s="163"/>
      <c r="C17493" s="163"/>
      <c r="J17493" s="165"/>
      <c r="K17493" s="166"/>
      <c r="L17493" s="166"/>
    </row>
    <row r="17494">
      <c r="A17494" s="163" t="s">
        <v>222</v>
      </c>
      <c r="B17494" s="163"/>
      <c r="C17494" s="163"/>
      <c r="J17494" s="165"/>
      <c r="K17494" s="166"/>
      <c r="L17494" s="166"/>
    </row>
    <row r="17495">
      <c r="A17495" s="163" t="s">
        <v>222</v>
      </c>
      <c r="B17495" s="163"/>
      <c r="C17495" s="163"/>
      <c r="J17495" s="165"/>
      <c r="K17495" s="166"/>
      <c r="L17495" s="166"/>
    </row>
    <row r="17496">
      <c r="A17496" s="163" t="s">
        <v>222</v>
      </c>
      <c r="B17496" s="163"/>
      <c r="C17496" s="163"/>
      <c r="J17496" s="165"/>
      <c r="K17496" s="166"/>
      <c r="L17496" s="166"/>
    </row>
    <row r="17497">
      <c r="A17497" s="163" t="s">
        <v>222</v>
      </c>
      <c r="B17497" s="163"/>
      <c r="C17497" s="163"/>
      <c r="J17497" s="165"/>
      <c r="K17497" s="166"/>
      <c r="L17497" s="166"/>
    </row>
    <row r="17498">
      <c r="A17498" s="163" t="s">
        <v>222</v>
      </c>
      <c r="B17498" s="163"/>
      <c r="C17498" s="163"/>
      <c r="J17498" s="165"/>
      <c r="K17498" s="166"/>
      <c r="L17498" s="166"/>
    </row>
    <row r="17499">
      <c r="A17499" s="163" t="s">
        <v>222</v>
      </c>
      <c r="B17499" s="163"/>
      <c r="C17499" s="163"/>
      <c r="J17499" s="165"/>
      <c r="K17499" s="166"/>
      <c r="L17499" s="166"/>
    </row>
    <row r="17500">
      <c r="A17500" s="163" t="s">
        <v>222</v>
      </c>
      <c r="B17500" s="163"/>
      <c r="C17500" s="163"/>
      <c r="J17500" s="165"/>
      <c r="K17500" s="166"/>
      <c r="L17500" s="166"/>
    </row>
    <row r="17501">
      <c r="A17501" s="163" t="s">
        <v>222</v>
      </c>
      <c r="B17501" s="163"/>
      <c r="C17501" s="163"/>
      <c r="J17501" s="165"/>
      <c r="K17501" s="166"/>
      <c r="L17501" s="166"/>
    </row>
    <row r="17502">
      <c r="A17502" s="163" t="s">
        <v>222</v>
      </c>
      <c r="B17502" s="163"/>
      <c r="C17502" s="163"/>
      <c r="J17502" s="165"/>
      <c r="K17502" s="166"/>
      <c r="L17502" s="166"/>
    </row>
    <row r="17503">
      <c r="A17503" s="163" t="s">
        <v>222</v>
      </c>
      <c r="B17503" s="163"/>
      <c r="C17503" s="163"/>
      <c r="J17503" s="165"/>
      <c r="K17503" s="166"/>
      <c r="L17503" s="166"/>
    </row>
    <row r="17504">
      <c r="A17504" s="163" t="s">
        <v>222</v>
      </c>
      <c r="B17504" s="163"/>
      <c r="C17504" s="163"/>
      <c r="J17504" s="165"/>
      <c r="K17504" s="166"/>
      <c r="L17504" s="166"/>
    </row>
    <row r="17505">
      <c r="A17505" s="163" t="s">
        <v>222</v>
      </c>
      <c r="B17505" s="163"/>
      <c r="C17505" s="163"/>
      <c r="J17505" s="165"/>
      <c r="K17505" s="166"/>
      <c r="L17505" s="166"/>
    </row>
    <row r="17506">
      <c r="A17506" s="163" t="s">
        <v>222</v>
      </c>
      <c r="B17506" s="163"/>
      <c r="C17506" s="163"/>
      <c r="J17506" s="165"/>
      <c r="K17506" s="166"/>
      <c r="L17506" s="166"/>
    </row>
    <row r="17507">
      <c r="A17507" s="163" t="s">
        <v>222</v>
      </c>
      <c r="B17507" s="163"/>
      <c r="C17507" s="163"/>
      <c r="J17507" s="165"/>
      <c r="K17507" s="166"/>
      <c r="L17507" s="166"/>
    </row>
    <row r="17508">
      <c r="A17508" s="163" t="s">
        <v>222</v>
      </c>
      <c r="B17508" s="163"/>
      <c r="C17508" s="163"/>
      <c r="J17508" s="165"/>
      <c r="K17508" s="166"/>
      <c r="L17508" s="166"/>
    </row>
    <row r="17509">
      <c r="A17509" s="163" t="s">
        <v>222</v>
      </c>
      <c r="B17509" s="163"/>
      <c r="C17509" s="163"/>
      <c r="J17509" s="165"/>
      <c r="K17509" s="166"/>
      <c r="L17509" s="166"/>
    </row>
    <row r="17510">
      <c r="A17510" s="163" t="s">
        <v>222</v>
      </c>
      <c r="B17510" s="163"/>
      <c r="C17510" s="163"/>
      <c r="J17510" s="165"/>
      <c r="K17510" s="166"/>
      <c r="L17510" s="166"/>
    </row>
    <row r="17511">
      <c r="A17511" s="163" t="s">
        <v>222</v>
      </c>
      <c r="B17511" s="163"/>
      <c r="C17511" s="163"/>
      <c r="J17511" s="165"/>
      <c r="K17511" s="166"/>
      <c r="L17511" s="166"/>
    </row>
    <row r="17512">
      <c r="A17512" s="163" t="s">
        <v>222</v>
      </c>
      <c r="B17512" s="163"/>
      <c r="C17512" s="163"/>
      <c r="J17512" s="165"/>
      <c r="K17512" s="166"/>
      <c r="L17512" s="166"/>
    </row>
    <row r="17513">
      <c r="A17513" s="163" t="s">
        <v>222</v>
      </c>
      <c r="B17513" s="163"/>
      <c r="C17513" s="163"/>
      <c r="J17513" s="165"/>
      <c r="K17513" s="166"/>
      <c r="L17513" s="166"/>
    </row>
    <row r="17514">
      <c r="A17514" s="163" t="s">
        <v>222</v>
      </c>
      <c r="B17514" s="163"/>
      <c r="C17514" s="163"/>
      <c r="J17514" s="165"/>
      <c r="K17514" s="166"/>
      <c r="L17514" s="166"/>
    </row>
    <row r="17515">
      <c r="A17515" s="163" t="s">
        <v>222</v>
      </c>
      <c r="B17515" s="163"/>
      <c r="C17515" s="163"/>
      <c r="J17515" s="165"/>
      <c r="K17515" s="166"/>
      <c r="L17515" s="166"/>
    </row>
    <row r="17516">
      <c r="A17516" s="163" t="s">
        <v>222</v>
      </c>
      <c r="B17516" s="163"/>
      <c r="C17516" s="163"/>
      <c r="J17516" s="165"/>
      <c r="K17516" s="166"/>
      <c r="L17516" s="166"/>
    </row>
    <row r="17517">
      <c r="A17517" s="163" t="s">
        <v>222</v>
      </c>
      <c r="B17517" s="163"/>
      <c r="C17517" s="163"/>
      <c r="J17517" s="165"/>
      <c r="K17517" s="166"/>
      <c r="L17517" s="166"/>
    </row>
    <row r="17518">
      <c r="A17518" s="163" t="s">
        <v>222</v>
      </c>
      <c r="B17518" s="163"/>
      <c r="C17518" s="163"/>
      <c r="J17518" s="165"/>
      <c r="K17518" s="166"/>
      <c r="L17518" s="166"/>
    </row>
    <row r="17519">
      <c r="A17519" s="163" t="s">
        <v>222</v>
      </c>
      <c r="B17519" s="163"/>
      <c r="C17519" s="163"/>
      <c r="J17519" s="165"/>
      <c r="K17519" s="166"/>
      <c r="L17519" s="166"/>
    </row>
    <row r="17520">
      <c r="A17520" s="163" t="s">
        <v>222</v>
      </c>
      <c r="B17520" s="163"/>
      <c r="C17520" s="163"/>
      <c r="J17520" s="165"/>
      <c r="K17520" s="166"/>
      <c r="L17520" s="166"/>
    </row>
    <row r="17521">
      <c r="A17521" s="163" t="s">
        <v>222</v>
      </c>
      <c r="B17521" s="163"/>
      <c r="C17521" s="163"/>
      <c r="J17521" s="165"/>
      <c r="K17521" s="166"/>
      <c r="L17521" s="166"/>
    </row>
    <row r="17522">
      <c r="A17522" s="163" t="s">
        <v>222</v>
      </c>
      <c r="B17522" s="163"/>
      <c r="C17522" s="163"/>
      <c r="J17522" s="165"/>
      <c r="K17522" s="166"/>
      <c r="L17522" s="166"/>
    </row>
    <row r="17523">
      <c r="A17523" s="163" t="s">
        <v>222</v>
      </c>
      <c r="B17523" s="163"/>
      <c r="C17523" s="163"/>
      <c r="J17523" s="165"/>
      <c r="K17523" s="166"/>
      <c r="L17523" s="166"/>
    </row>
    <row r="17524">
      <c r="A17524" s="163" t="s">
        <v>222</v>
      </c>
      <c r="B17524" s="163"/>
      <c r="C17524" s="163"/>
      <c r="J17524" s="165"/>
      <c r="K17524" s="166"/>
      <c r="L17524" s="166"/>
    </row>
    <row r="17525">
      <c r="A17525" s="163" t="s">
        <v>222</v>
      </c>
      <c r="B17525" s="163"/>
      <c r="C17525" s="163"/>
      <c r="J17525" s="165"/>
      <c r="K17525" s="166"/>
      <c r="L17525" s="166"/>
    </row>
    <row r="17526">
      <c r="A17526" s="163" t="s">
        <v>222</v>
      </c>
      <c r="B17526" s="163"/>
      <c r="C17526" s="163"/>
      <c r="J17526" s="165"/>
      <c r="K17526" s="166"/>
      <c r="L17526" s="166"/>
    </row>
    <row r="17527">
      <c r="A17527" s="163" t="s">
        <v>222</v>
      </c>
      <c r="B17527" s="163"/>
      <c r="C17527" s="163"/>
      <c r="J17527" s="165"/>
      <c r="K17527" s="166"/>
      <c r="L17527" s="166"/>
    </row>
    <row r="17528">
      <c r="A17528" s="163" t="s">
        <v>222</v>
      </c>
      <c r="B17528" s="163"/>
      <c r="C17528" s="163"/>
      <c r="J17528" s="165"/>
      <c r="K17528" s="166"/>
      <c r="L17528" s="166"/>
    </row>
    <row r="17529">
      <c r="A17529" s="163" t="s">
        <v>222</v>
      </c>
      <c r="B17529" s="163"/>
      <c r="C17529" s="163"/>
      <c r="J17529" s="165"/>
      <c r="K17529" s="166"/>
      <c r="L17529" s="166"/>
    </row>
    <row r="17530">
      <c r="A17530" s="163" t="s">
        <v>222</v>
      </c>
      <c r="B17530" s="163"/>
      <c r="C17530" s="163"/>
      <c r="J17530" s="165"/>
      <c r="K17530" s="166"/>
      <c r="L17530" s="166"/>
    </row>
    <row r="17531">
      <c r="A17531" s="163" t="s">
        <v>222</v>
      </c>
      <c r="B17531" s="163"/>
      <c r="C17531" s="163"/>
      <c r="J17531" s="165"/>
      <c r="K17531" s="166"/>
      <c r="L17531" s="166"/>
    </row>
    <row r="17532">
      <c r="A17532" s="163" t="s">
        <v>222</v>
      </c>
      <c r="B17532" s="163"/>
      <c r="C17532" s="163"/>
      <c r="J17532" s="165"/>
      <c r="K17532" s="166"/>
      <c r="L17532" s="166"/>
    </row>
    <row r="17533">
      <c r="A17533" s="163" t="s">
        <v>222</v>
      </c>
      <c r="B17533" s="163"/>
      <c r="C17533" s="163"/>
      <c r="J17533" s="165"/>
      <c r="K17533" s="166"/>
      <c r="L17533" s="166"/>
    </row>
    <row r="17534">
      <c r="A17534" s="163" t="s">
        <v>222</v>
      </c>
      <c r="B17534" s="163"/>
      <c r="C17534" s="163"/>
      <c r="J17534" s="165"/>
      <c r="K17534" s="166"/>
      <c r="L17534" s="166"/>
    </row>
    <row r="17535">
      <c r="A17535" s="163" t="s">
        <v>222</v>
      </c>
      <c r="B17535" s="163"/>
      <c r="C17535" s="163"/>
      <c r="J17535" s="165"/>
      <c r="K17535" s="166"/>
      <c r="L17535" s="166"/>
    </row>
    <row r="17536">
      <c r="A17536" s="163" t="s">
        <v>222</v>
      </c>
      <c r="B17536" s="163"/>
      <c r="C17536" s="163"/>
      <c r="J17536" s="165"/>
      <c r="K17536" s="166"/>
      <c r="L17536" s="166"/>
    </row>
    <row r="17537">
      <c r="A17537" s="163" t="s">
        <v>222</v>
      </c>
      <c r="B17537" s="163"/>
      <c r="C17537" s="163"/>
      <c r="J17537" s="165"/>
      <c r="K17537" s="166"/>
      <c r="L17537" s="166"/>
    </row>
    <row r="17538">
      <c r="A17538" s="163" t="s">
        <v>222</v>
      </c>
      <c r="B17538" s="163"/>
      <c r="C17538" s="163"/>
      <c r="J17538" s="165"/>
      <c r="K17538" s="166"/>
      <c r="L17538" s="166"/>
    </row>
  </sheetData>
  <mergeCells count="3">
    <mergeCell ref="I1:L1"/>
    <mergeCell ref="I3:J3"/>
    <mergeCell ref="I9:L9"/>
  </mergeCell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4.29"/>
    <col customWidth="1" min="2" max="8" width="9.14"/>
    <col customWidth="1" min="9" max="9" width="14.29"/>
    <col customWidth="1" min="10" max="10" width="9.14"/>
    <col customWidth="1" min="11" max="11" width="20.86"/>
    <col customWidth="1" min="12" max="13" width="9.14"/>
    <col customWidth="1" min="14" max="14" width="20.86"/>
    <col customWidth="1" min="15" max="26" width="9.14"/>
  </cols>
  <sheetData>
    <row r="1" ht="13.5" customHeight="1">
      <c r="A1" s="167" t="s">
        <v>327</v>
      </c>
      <c r="B1" s="167"/>
      <c r="C1" s="3"/>
      <c r="D1" s="4"/>
      <c r="E1" s="3"/>
      <c r="F1" s="3"/>
      <c r="G1" s="3"/>
      <c r="H1" s="168"/>
      <c r="I1" s="169"/>
      <c r="J1" s="168"/>
      <c r="K1" s="3"/>
      <c r="L1" s="168"/>
      <c r="M1" s="168"/>
      <c r="N1" s="3"/>
      <c r="O1" s="167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/>
      <c r="B2" s="169"/>
      <c r="C2" s="3"/>
      <c r="D2" s="4"/>
      <c r="E2" s="3"/>
      <c r="F2" s="3"/>
      <c r="G2" s="3"/>
      <c r="H2" s="168"/>
      <c r="I2" s="169"/>
      <c r="J2" s="168"/>
      <c r="K2" s="3"/>
      <c r="L2" s="168"/>
      <c r="M2" s="16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170" t="s">
        <v>1</v>
      </c>
      <c r="B3" s="171" t="s">
        <v>2</v>
      </c>
      <c r="C3" s="170" t="s">
        <v>3</v>
      </c>
      <c r="D3" s="172" t="s">
        <v>309</v>
      </c>
      <c r="E3" s="170" t="s">
        <v>328</v>
      </c>
      <c r="F3" s="170" t="s">
        <v>6</v>
      </c>
      <c r="G3" s="170" t="s">
        <v>8</v>
      </c>
      <c r="H3" s="173" t="s">
        <v>9</v>
      </c>
      <c r="I3" s="171" t="s">
        <v>329</v>
      </c>
      <c r="J3" s="173" t="s">
        <v>330</v>
      </c>
      <c r="K3" s="170" t="s">
        <v>331</v>
      </c>
      <c r="L3" s="173" t="s">
        <v>332</v>
      </c>
      <c r="M3" s="173" t="s">
        <v>333</v>
      </c>
      <c r="N3" s="170" t="s">
        <v>334</v>
      </c>
      <c r="O3" s="170" t="s">
        <v>10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39"/>
      <c r="B4" s="174"/>
      <c r="C4" s="39"/>
      <c r="D4" s="40"/>
      <c r="E4" s="39"/>
      <c r="F4" s="39"/>
      <c r="G4" s="175"/>
      <c r="H4" s="176"/>
      <c r="I4" s="177"/>
      <c r="J4" s="176"/>
      <c r="K4" s="39"/>
      <c r="L4" s="176"/>
      <c r="M4" s="176"/>
      <c r="N4" s="39"/>
      <c r="O4" s="17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3.5" customHeight="1">
      <c r="A5" s="39"/>
      <c r="B5" s="174"/>
      <c r="C5" s="39"/>
      <c r="D5" s="40"/>
      <c r="E5" s="39"/>
      <c r="F5" s="39"/>
      <c r="G5" s="175"/>
      <c r="H5" s="176"/>
      <c r="I5" s="177"/>
      <c r="J5" s="176"/>
      <c r="K5" s="39"/>
      <c r="L5" s="176"/>
      <c r="M5" s="176"/>
      <c r="N5" s="39"/>
      <c r="O5" s="17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3.5" customHeight="1">
      <c r="A6" s="39"/>
      <c r="B6" s="174"/>
      <c r="C6" s="39"/>
      <c r="D6" s="40"/>
      <c r="E6" s="39"/>
      <c r="F6" s="39"/>
      <c r="G6" s="175"/>
      <c r="H6" s="176"/>
      <c r="I6" s="177"/>
      <c r="J6" s="176"/>
      <c r="K6" s="39"/>
      <c r="L6" s="176"/>
      <c r="M6" s="176"/>
      <c r="N6" s="39"/>
      <c r="O6" s="17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3.5" customHeight="1">
      <c r="A7" s="39"/>
      <c r="B7" s="174"/>
      <c r="C7" s="39"/>
      <c r="D7" s="40"/>
      <c r="E7" s="39"/>
      <c r="F7" s="39"/>
      <c r="G7" s="175"/>
      <c r="H7" s="176"/>
      <c r="I7" s="177"/>
      <c r="J7" s="176"/>
      <c r="K7" s="39"/>
      <c r="L7" s="176"/>
      <c r="M7" s="176"/>
      <c r="N7" s="39"/>
      <c r="O7" s="17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3.5" customHeight="1">
      <c r="A8" s="39"/>
      <c r="B8" s="174"/>
      <c r="C8" s="39"/>
      <c r="D8" s="40"/>
      <c r="E8" s="39"/>
      <c r="F8" s="39"/>
      <c r="G8" s="175"/>
      <c r="H8" s="176"/>
      <c r="I8" s="177"/>
      <c r="J8" s="176"/>
      <c r="K8" s="39"/>
      <c r="L8" s="176"/>
      <c r="M8" s="176"/>
      <c r="N8" s="39"/>
      <c r="O8" s="17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3.5" customHeight="1">
      <c r="A9" s="39"/>
      <c r="B9" s="174"/>
      <c r="C9" s="39"/>
      <c r="D9" s="40"/>
      <c r="E9" s="39"/>
      <c r="F9" s="39"/>
      <c r="G9" s="175"/>
      <c r="H9" s="176"/>
      <c r="I9" s="177"/>
      <c r="J9" s="176"/>
      <c r="K9" s="39"/>
      <c r="L9" s="176"/>
      <c r="M9" s="176"/>
      <c r="N9" s="39"/>
      <c r="O9" s="17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13.5" customHeight="1">
      <c r="A10" s="39"/>
      <c r="B10" s="174"/>
      <c r="C10" s="39"/>
      <c r="D10" s="40"/>
      <c r="E10" s="39"/>
      <c r="F10" s="39"/>
      <c r="G10" s="175"/>
      <c r="H10" s="176"/>
      <c r="I10" s="177"/>
      <c r="J10" s="176"/>
      <c r="K10" s="39"/>
      <c r="L10" s="176"/>
      <c r="M10" s="176"/>
      <c r="N10" s="39"/>
      <c r="O10" s="17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3.5" customHeight="1">
      <c r="A11" s="39"/>
      <c r="B11" s="174"/>
      <c r="C11" s="39"/>
      <c r="D11" s="40"/>
      <c r="E11" s="39"/>
      <c r="F11" s="39"/>
      <c r="G11" s="175"/>
      <c r="H11" s="176"/>
      <c r="I11" s="177"/>
      <c r="J11" s="176"/>
      <c r="K11" s="39"/>
      <c r="L11" s="176"/>
      <c r="M11" s="176"/>
      <c r="N11" s="39"/>
      <c r="O11" s="17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3.5" customHeight="1">
      <c r="A12" s="39"/>
      <c r="B12" s="174"/>
      <c r="C12" s="39"/>
      <c r="D12" s="40"/>
      <c r="E12" s="39"/>
      <c r="F12" s="39"/>
      <c r="G12" s="175"/>
      <c r="H12" s="176"/>
      <c r="I12" s="177"/>
      <c r="J12" s="176"/>
      <c r="K12" s="39"/>
      <c r="L12" s="176"/>
      <c r="M12" s="176"/>
      <c r="N12" s="39"/>
      <c r="O12" s="17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3.5" customHeight="1">
      <c r="A13" s="39"/>
      <c r="B13" s="174"/>
      <c r="C13" s="39"/>
      <c r="D13" s="40"/>
      <c r="E13" s="39"/>
      <c r="F13" s="39"/>
      <c r="G13" s="175"/>
      <c r="H13" s="176"/>
      <c r="I13" s="177"/>
      <c r="J13" s="176"/>
      <c r="K13" s="39"/>
      <c r="L13" s="176"/>
      <c r="M13" s="176"/>
      <c r="N13" s="39"/>
      <c r="O13" s="17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3.5" customHeight="1">
      <c r="A14" s="39"/>
      <c r="B14" s="174"/>
      <c r="C14" s="39"/>
      <c r="D14" s="40"/>
      <c r="E14" s="39"/>
      <c r="F14" s="39"/>
      <c r="G14" s="175"/>
      <c r="H14" s="176"/>
      <c r="I14" s="177"/>
      <c r="J14" s="176"/>
      <c r="K14" s="39"/>
      <c r="L14" s="176"/>
      <c r="M14" s="176"/>
      <c r="N14" s="39"/>
      <c r="O14" s="17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3.5" customHeight="1">
      <c r="A15" s="39"/>
      <c r="B15" s="174"/>
      <c r="C15" s="39"/>
      <c r="D15" s="40"/>
      <c r="E15" s="39"/>
      <c r="F15" s="39"/>
      <c r="G15" s="175"/>
      <c r="H15" s="176"/>
      <c r="I15" s="177"/>
      <c r="J15" s="176"/>
      <c r="K15" s="39"/>
      <c r="L15" s="176"/>
      <c r="M15" s="176"/>
      <c r="N15" s="39"/>
      <c r="O15" s="17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3.5" customHeight="1">
      <c r="A16" s="39"/>
      <c r="B16" s="174"/>
      <c r="C16" s="39"/>
      <c r="D16" s="40"/>
      <c r="E16" s="39"/>
      <c r="F16" s="39"/>
      <c r="G16" s="175"/>
      <c r="H16" s="176"/>
      <c r="I16" s="177"/>
      <c r="J16" s="176"/>
      <c r="K16" s="39"/>
      <c r="L16" s="176"/>
      <c r="M16" s="176"/>
      <c r="N16" s="39"/>
      <c r="O16" s="17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3.5" customHeight="1">
      <c r="A17" s="39"/>
      <c r="B17" s="174"/>
      <c r="C17" s="39"/>
      <c r="D17" s="40"/>
      <c r="E17" s="39"/>
      <c r="F17" s="39"/>
      <c r="G17" s="175"/>
      <c r="H17" s="176"/>
      <c r="I17" s="177"/>
      <c r="J17" s="176"/>
      <c r="K17" s="39"/>
      <c r="L17" s="176"/>
      <c r="M17" s="176"/>
      <c r="N17" s="39"/>
      <c r="O17" s="17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3.5" customHeight="1">
      <c r="A18" s="39"/>
      <c r="B18" s="174"/>
      <c r="C18" s="39"/>
      <c r="D18" s="40"/>
      <c r="E18" s="39"/>
      <c r="F18" s="39"/>
      <c r="G18" s="175"/>
      <c r="H18" s="176"/>
      <c r="I18" s="177"/>
      <c r="J18" s="176"/>
      <c r="K18" s="39"/>
      <c r="L18" s="176"/>
      <c r="M18" s="176"/>
      <c r="N18" s="39"/>
      <c r="O18" s="17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3.5" customHeight="1">
      <c r="A19" s="39"/>
      <c r="B19" s="174"/>
      <c r="C19" s="39"/>
      <c r="D19" s="40"/>
      <c r="E19" s="39"/>
      <c r="F19" s="39"/>
      <c r="G19" s="175"/>
      <c r="H19" s="176"/>
      <c r="I19" s="177"/>
      <c r="J19" s="176"/>
      <c r="K19" s="39"/>
      <c r="L19" s="176"/>
      <c r="M19" s="176"/>
      <c r="N19" s="39"/>
      <c r="O19" s="17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3.5" customHeight="1">
      <c r="A20" s="39"/>
      <c r="B20" s="174"/>
      <c r="C20" s="39"/>
      <c r="D20" s="40"/>
      <c r="E20" s="39"/>
      <c r="F20" s="39"/>
      <c r="G20" s="175"/>
      <c r="H20" s="176"/>
      <c r="I20" s="177"/>
      <c r="J20" s="176"/>
      <c r="K20" s="39"/>
      <c r="L20" s="176"/>
      <c r="M20" s="176"/>
      <c r="N20" s="39"/>
      <c r="O20" s="17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3.5" customHeight="1">
      <c r="A21" s="39"/>
      <c r="B21" s="174"/>
      <c r="C21" s="39"/>
      <c r="D21" s="40"/>
      <c r="E21" s="39"/>
      <c r="F21" s="39"/>
      <c r="G21" s="175"/>
      <c r="H21" s="176"/>
      <c r="I21" s="177"/>
      <c r="J21" s="176"/>
      <c r="K21" s="39"/>
      <c r="L21" s="176"/>
      <c r="M21" s="176"/>
      <c r="N21" s="39"/>
      <c r="O21" s="17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3.5" customHeight="1">
      <c r="A22" s="39"/>
      <c r="B22" s="174"/>
      <c r="C22" s="39"/>
      <c r="D22" s="40"/>
      <c r="E22" s="39"/>
      <c r="F22" s="39"/>
      <c r="G22" s="175"/>
      <c r="H22" s="176"/>
      <c r="I22" s="177"/>
      <c r="J22" s="176"/>
      <c r="K22" s="39"/>
      <c r="L22" s="176"/>
      <c r="M22" s="176"/>
      <c r="N22" s="39"/>
      <c r="O22" s="17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3.5" customHeight="1">
      <c r="A23" s="39"/>
      <c r="B23" s="174"/>
      <c r="C23" s="39"/>
      <c r="D23" s="40"/>
      <c r="E23" s="39"/>
      <c r="F23" s="39"/>
      <c r="G23" s="175"/>
      <c r="H23" s="176"/>
      <c r="I23" s="177"/>
      <c r="J23" s="176"/>
      <c r="K23" s="39"/>
      <c r="L23" s="176"/>
      <c r="M23" s="176"/>
      <c r="N23" s="39"/>
      <c r="O23" s="17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3.5" customHeight="1">
      <c r="A24" s="39"/>
      <c r="B24" s="174"/>
      <c r="C24" s="39"/>
      <c r="D24" s="40"/>
      <c r="E24" s="39"/>
      <c r="F24" s="39"/>
      <c r="G24" s="175"/>
      <c r="H24" s="176"/>
      <c r="I24" s="177"/>
      <c r="J24" s="176"/>
      <c r="K24" s="39"/>
      <c r="L24" s="176"/>
      <c r="M24" s="176"/>
      <c r="N24" s="39"/>
      <c r="O24" s="17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3.5" customHeight="1">
      <c r="A25" s="39"/>
      <c r="B25" s="174"/>
      <c r="C25" s="39"/>
      <c r="D25" s="40"/>
      <c r="E25" s="39"/>
      <c r="F25" s="39"/>
      <c r="G25" s="175"/>
      <c r="H25" s="176"/>
      <c r="I25" s="177"/>
      <c r="J25" s="176"/>
      <c r="K25" s="39"/>
      <c r="L25" s="176"/>
      <c r="M25" s="176"/>
      <c r="N25" s="39"/>
      <c r="O25" s="17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3.5" customHeight="1">
      <c r="A26" s="39"/>
      <c r="B26" s="174"/>
      <c r="C26" s="39"/>
      <c r="D26" s="40"/>
      <c r="E26" s="39"/>
      <c r="F26" s="39"/>
      <c r="G26" s="175"/>
      <c r="H26" s="176"/>
      <c r="I26" s="177"/>
      <c r="J26" s="176"/>
      <c r="K26" s="39"/>
      <c r="L26" s="176"/>
      <c r="M26" s="176"/>
      <c r="N26" s="39"/>
      <c r="O26" s="17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3.5" customHeight="1">
      <c r="A27" s="3"/>
      <c r="B27" s="169"/>
      <c r="C27" s="3"/>
      <c r="D27" s="4"/>
      <c r="E27" s="3"/>
      <c r="F27" s="3"/>
      <c r="G27" s="3"/>
      <c r="H27" s="168"/>
      <c r="I27" s="169"/>
      <c r="J27" s="168"/>
      <c r="K27" s="3"/>
      <c r="L27" s="168"/>
      <c r="M27" s="168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169"/>
      <c r="C28" s="3"/>
      <c r="D28" s="4"/>
      <c r="E28" s="3"/>
      <c r="F28" s="3"/>
      <c r="G28" s="3"/>
      <c r="H28" s="168"/>
      <c r="I28" s="169"/>
      <c r="J28" s="168"/>
      <c r="K28" s="3"/>
      <c r="L28" s="168"/>
      <c r="M28" s="168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169"/>
      <c r="C29" s="3"/>
      <c r="D29" s="4"/>
      <c r="E29" s="3"/>
      <c r="F29" s="3"/>
      <c r="G29" s="3"/>
      <c r="H29" s="168"/>
      <c r="I29" s="169"/>
      <c r="J29" s="168"/>
      <c r="K29" s="3"/>
      <c r="L29" s="168"/>
      <c r="M29" s="168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169"/>
      <c r="C30" s="3"/>
      <c r="D30" s="4"/>
      <c r="E30" s="3"/>
      <c r="F30" s="3"/>
      <c r="G30" s="3"/>
      <c r="H30" s="168"/>
      <c r="I30" s="169"/>
      <c r="J30" s="168"/>
      <c r="K30" s="3"/>
      <c r="L30" s="168"/>
      <c r="M30" s="168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169"/>
      <c r="C31" s="3"/>
      <c r="D31" s="4"/>
      <c r="E31" s="3"/>
      <c r="F31" s="3"/>
      <c r="G31" s="3"/>
      <c r="H31" s="168"/>
      <c r="I31" s="169"/>
      <c r="J31" s="168"/>
      <c r="K31" s="3"/>
      <c r="L31" s="168"/>
      <c r="M31" s="168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169"/>
      <c r="C32" s="3"/>
      <c r="D32" s="4"/>
      <c r="E32" s="3"/>
      <c r="F32" s="3"/>
      <c r="G32" s="3"/>
      <c r="H32" s="168"/>
      <c r="I32" s="169"/>
      <c r="J32" s="168"/>
      <c r="K32" s="3"/>
      <c r="L32" s="168"/>
      <c r="M32" s="168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169"/>
      <c r="C33" s="3"/>
      <c r="D33" s="4"/>
      <c r="E33" s="3"/>
      <c r="F33" s="3"/>
      <c r="G33" s="3"/>
      <c r="H33" s="168"/>
      <c r="I33" s="169"/>
      <c r="J33" s="168"/>
      <c r="K33" s="3"/>
      <c r="L33" s="168"/>
      <c r="M33" s="168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169"/>
      <c r="C34" s="3"/>
      <c r="D34" s="4"/>
      <c r="E34" s="3"/>
      <c r="F34" s="3"/>
      <c r="G34" s="3"/>
      <c r="H34" s="168"/>
      <c r="I34" s="169"/>
      <c r="J34" s="168"/>
      <c r="K34" s="3"/>
      <c r="L34" s="168"/>
      <c r="M34" s="168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169"/>
      <c r="C35" s="3"/>
      <c r="D35" s="4"/>
      <c r="E35" s="3"/>
      <c r="F35" s="3"/>
      <c r="G35" s="3"/>
      <c r="H35" s="168"/>
      <c r="I35" s="169"/>
      <c r="J35" s="168"/>
      <c r="K35" s="3"/>
      <c r="L35" s="168"/>
      <c r="M35" s="168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169"/>
      <c r="C36" s="3"/>
      <c r="D36" s="4"/>
      <c r="E36" s="3"/>
      <c r="F36" s="3"/>
      <c r="G36" s="3"/>
      <c r="H36" s="168"/>
      <c r="I36" s="169"/>
      <c r="J36" s="168"/>
      <c r="K36" s="3"/>
      <c r="L36" s="168"/>
      <c r="M36" s="168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169"/>
      <c r="C37" s="3"/>
      <c r="D37" s="4"/>
      <c r="E37" s="3"/>
      <c r="F37" s="3"/>
      <c r="G37" s="3"/>
      <c r="H37" s="168"/>
      <c r="I37" s="169"/>
      <c r="J37" s="168"/>
      <c r="K37" s="3"/>
      <c r="L37" s="168"/>
      <c r="M37" s="168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169"/>
      <c r="C38" s="3"/>
      <c r="D38" s="4"/>
      <c r="E38" s="3"/>
      <c r="F38" s="3"/>
      <c r="G38" s="3"/>
      <c r="H38" s="168"/>
      <c r="I38" s="169"/>
      <c r="J38" s="168"/>
      <c r="K38" s="3"/>
      <c r="L38" s="168"/>
      <c r="M38" s="168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169"/>
      <c r="C39" s="3"/>
      <c r="D39" s="4"/>
      <c r="E39" s="3"/>
      <c r="F39" s="3"/>
      <c r="G39" s="3"/>
      <c r="H39" s="168"/>
      <c r="I39" s="169"/>
      <c r="J39" s="168"/>
      <c r="K39" s="3"/>
      <c r="L39" s="168"/>
      <c r="M39" s="168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169"/>
      <c r="C40" s="3"/>
      <c r="D40" s="4"/>
      <c r="E40" s="3"/>
      <c r="F40" s="3"/>
      <c r="G40" s="3"/>
      <c r="H40" s="168"/>
      <c r="I40" s="169"/>
      <c r="J40" s="168"/>
      <c r="K40" s="3"/>
      <c r="L40" s="168"/>
      <c r="M40" s="168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169"/>
      <c r="C41" s="3"/>
      <c r="D41" s="4"/>
      <c r="E41" s="3"/>
      <c r="F41" s="3"/>
      <c r="G41" s="3"/>
      <c r="H41" s="168"/>
      <c r="I41" s="169"/>
      <c r="J41" s="168"/>
      <c r="K41" s="3"/>
      <c r="L41" s="168"/>
      <c r="M41" s="168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169"/>
      <c r="C42" s="3"/>
      <c r="D42" s="4"/>
      <c r="E42" s="3"/>
      <c r="F42" s="3"/>
      <c r="G42" s="3"/>
      <c r="H42" s="168"/>
      <c r="I42" s="169"/>
      <c r="J42" s="168"/>
      <c r="K42" s="3"/>
      <c r="L42" s="168"/>
      <c r="M42" s="168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169"/>
      <c r="C43" s="3"/>
      <c r="D43" s="4"/>
      <c r="E43" s="3"/>
      <c r="F43" s="3"/>
      <c r="G43" s="3"/>
      <c r="H43" s="168"/>
      <c r="I43" s="169"/>
      <c r="J43" s="168"/>
      <c r="K43" s="3"/>
      <c r="L43" s="168"/>
      <c r="M43" s="168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169"/>
      <c r="C44" s="3"/>
      <c r="D44" s="4"/>
      <c r="E44" s="3"/>
      <c r="F44" s="3"/>
      <c r="G44" s="3"/>
      <c r="H44" s="168"/>
      <c r="I44" s="169"/>
      <c r="J44" s="168"/>
      <c r="K44" s="3"/>
      <c r="L44" s="168"/>
      <c r="M44" s="168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169"/>
      <c r="C45" s="3"/>
      <c r="D45" s="4"/>
      <c r="E45" s="3"/>
      <c r="F45" s="3"/>
      <c r="G45" s="3"/>
      <c r="H45" s="168"/>
      <c r="I45" s="169"/>
      <c r="J45" s="168"/>
      <c r="K45" s="3"/>
      <c r="L45" s="168"/>
      <c r="M45" s="168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169"/>
      <c r="C46" s="3"/>
      <c r="D46" s="4"/>
      <c r="E46" s="3"/>
      <c r="F46" s="3"/>
      <c r="G46" s="3"/>
      <c r="H46" s="168"/>
      <c r="I46" s="169"/>
      <c r="J46" s="168"/>
      <c r="K46" s="3"/>
      <c r="L46" s="168"/>
      <c r="M46" s="168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169"/>
      <c r="C47" s="3"/>
      <c r="D47" s="4"/>
      <c r="E47" s="3"/>
      <c r="F47" s="3"/>
      <c r="G47" s="3"/>
      <c r="H47" s="168"/>
      <c r="I47" s="169"/>
      <c r="J47" s="168"/>
      <c r="K47" s="3"/>
      <c r="L47" s="168"/>
      <c r="M47" s="168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169"/>
      <c r="C48" s="3"/>
      <c r="D48" s="4"/>
      <c r="E48" s="3"/>
      <c r="F48" s="3"/>
      <c r="G48" s="3"/>
      <c r="H48" s="168"/>
      <c r="I48" s="169"/>
      <c r="J48" s="168"/>
      <c r="K48" s="3"/>
      <c r="L48" s="168"/>
      <c r="M48" s="168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169"/>
      <c r="C49" s="3"/>
      <c r="D49" s="4"/>
      <c r="E49" s="3"/>
      <c r="F49" s="3"/>
      <c r="G49" s="3"/>
      <c r="H49" s="168"/>
      <c r="I49" s="169"/>
      <c r="J49" s="168"/>
      <c r="K49" s="3"/>
      <c r="L49" s="168"/>
      <c r="M49" s="168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169"/>
      <c r="C50" s="3"/>
      <c r="D50" s="4"/>
      <c r="E50" s="3"/>
      <c r="F50" s="3"/>
      <c r="G50" s="3"/>
      <c r="H50" s="168"/>
      <c r="I50" s="169"/>
      <c r="J50" s="168"/>
      <c r="K50" s="3"/>
      <c r="L50" s="168"/>
      <c r="M50" s="168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169"/>
      <c r="C51" s="3"/>
      <c r="D51" s="4"/>
      <c r="E51" s="3"/>
      <c r="F51" s="3"/>
      <c r="G51" s="3"/>
      <c r="H51" s="168"/>
      <c r="I51" s="169"/>
      <c r="J51" s="168"/>
      <c r="K51" s="3"/>
      <c r="L51" s="168"/>
      <c r="M51" s="168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169"/>
      <c r="C52" s="3"/>
      <c r="D52" s="4"/>
      <c r="E52" s="3"/>
      <c r="F52" s="3"/>
      <c r="G52" s="3"/>
      <c r="H52" s="168"/>
      <c r="I52" s="169"/>
      <c r="J52" s="168"/>
      <c r="K52" s="3"/>
      <c r="L52" s="168"/>
      <c r="M52" s="168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169"/>
      <c r="C53" s="3"/>
      <c r="D53" s="4"/>
      <c r="E53" s="3"/>
      <c r="F53" s="3"/>
      <c r="G53" s="3"/>
      <c r="H53" s="168"/>
      <c r="I53" s="169"/>
      <c r="J53" s="168"/>
      <c r="K53" s="3"/>
      <c r="L53" s="168"/>
      <c r="M53" s="168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169"/>
      <c r="C54" s="3"/>
      <c r="D54" s="4"/>
      <c r="E54" s="3"/>
      <c r="F54" s="3"/>
      <c r="G54" s="3"/>
      <c r="H54" s="168"/>
      <c r="I54" s="169"/>
      <c r="J54" s="168"/>
      <c r="K54" s="3"/>
      <c r="L54" s="168"/>
      <c r="M54" s="168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169"/>
      <c r="C55" s="3"/>
      <c r="D55" s="4"/>
      <c r="E55" s="3"/>
      <c r="F55" s="3"/>
      <c r="G55" s="3"/>
      <c r="H55" s="168"/>
      <c r="I55" s="169"/>
      <c r="J55" s="168"/>
      <c r="K55" s="3"/>
      <c r="L55" s="168"/>
      <c r="M55" s="168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169"/>
      <c r="C56" s="3"/>
      <c r="D56" s="4"/>
      <c r="E56" s="3"/>
      <c r="F56" s="3"/>
      <c r="G56" s="3"/>
      <c r="H56" s="168"/>
      <c r="I56" s="169"/>
      <c r="J56" s="168"/>
      <c r="K56" s="3"/>
      <c r="L56" s="168"/>
      <c r="M56" s="168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169"/>
      <c r="C57" s="3"/>
      <c r="D57" s="4"/>
      <c r="E57" s="3"/>
      <c r="F57" s="3"/>
      <c r="G57" s="3"/>
      <c r="H57" s="168"/>
      <c r="I57" s="169"/>
      <c r="J57" s="168"/>
      <c r="K57" s="3"/>
      <c r="L57" s="168"/>
      <c r="M57" s="168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169"/>
      <c r="C58" s="3"/>
      <c r="D58" s="4"/>
      <c r="E58" s="3"/>
      <c r="F58" s="3"/>
      <c r="G58" s="3"/>
      <c r="H58" s="168"/>
      <c r="I58" s="169"/>
      <c r="J58" s="168"/>
      <c r="K58" s="3"/>
      <c r="L58" s="168"/>
      <c r="M58" s="168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169"/>
      <c r="C59" s="3"/>
      <c r="D59" s="4"/>
      <c r="E59" s="3"/>
      <c r="F59" s="3"/>
      <c r="G59" s="3"/>
      <c r="H59" s="168"/>
      <c r="I59" s="169"/>
      <c r="J59" s="168"/>
      <c r="K59" s="3"/>
      <c r="L59" s="168"/>
      <c r="M59" s="168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169"/>
      <c r="C60" s="3"/>
      <c r="D60" s="4"/>
      <c r="E60" s="3"/>
      <c r="F60" s="3"/>
      <c r="G60" s="3"/>
      <c r="H60" s="168"/>
      <c r="I60" s="169"/>
      <c r="J60" s="168"/>
      <c r="K60" s="3"/>
      <c r="L60" s="168"/>
      <c r="M60" s="168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169"/>
      <c r="C61" s="3"/>
      <c r="D61" s="4"/>
      <c r="E61" s="3"/>
      <c r="F61" s="3"/>
      <c r="G61" s="3"/>
      <c r="H61" s="168"/>
      <c r="I61" s="169"/>
      <c r="J61" s="168"/>
      <c r="K61" s="3"/>
      <c r="L61" s="168"/>
      <c r="M61" s="168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169"/>
      <c r="C62" s="3"/>
      <c r="D62" s="4"/>
      <c r="E62" s="3"/>
      <c r="F62" s="3"/>
      <c r="G62" s="3"/>
      <c r="H62" s="168"/>
      <c r="I62" s="169"/>
      <c r="J62" s="168"/>
      <c r="K62" s="3"/>
      <c r="L62" s="168"/>
      <c r="M62" s="168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169"/>
      <c r="C63" s="3"/>
      <c r="D63" s="4"/>
      <c r="E63" s="3"/>
      <c r="F63" s="3"/>
      <c r="G63" s="3"/>
      <c r="H63" s="168"/>
      <c r="I63" s="169"/>
      <c r="J63" s="168"/>
      <c r="K63" s="3"/>
      <c r="L63" s="168"/>
      <c r="M63" s="168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169"/>
      <c r="C64" s="3"/>
      <c r="D64" s="4"/>
      <c r="E64" s="3"/>
      <c r="F64" s="3"/>
      <c r="G64" s="3"/>
      <c r="H64" s="168"/>
      <c r="I64" s="169"/>
      <c r="J64" s="168"/>
      <c r="K64" s="3"/>
      <c r="L64" s="168"/>
      <c r="M64" s="168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169"/>
      <c r="C65" s="3"/>
      <c r="D65" s="4"/>
      <c r="E65" s="3"/>
      <c r="F65" s="3"/>
      <c r="G65" s="3"/>
      <c r="H65" s="168"/>
      <c r="I65" s="169"/>
      <c r="J65" s="168"/>
      <c r="K65" s="3"/>
      <c r="L65" s="168"/>
      <c r="M65" s="168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169"/>
      <c r="C66" s="3"/>
      <c r="D66" s="4"/>
      <c r="E66" s="3"/>
      <c r="F66" s="3"/>
      <c r="G66" s="3"/>
      <c r="H66" s="168"/>
      <c r="I66" s="169"/>
      <c r="J66" s="168"/>
      <c r="K66" s="3"/>
      <c r="L66" s="168"/>
      <c r="M66" s="168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169"/>
      <c r="C67" s="3"/>
      <c r="D67" s="4"/>
      <c r="E67" s="3"/>
      <c r="F67" s="3"/>
      <c r="G67" s="3"/>
      <c r="H67" s="168"/>
      <c r="I67" s="169"/>
      <c r="J67" s="168"/>
      <c r="K67" s="3"/>
      <c r="L67" s="168"/>
      <c r="M67" s="168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169"/>
      <c r="C68" s="3"/>
      <c r="D68" s="4"/>
      <c r="E68" s="3"/>
      <c r="F68" s="3"/>
      <c r="G68" s="3"/>
      <c r="H68" s="168"/>
      <c r="I68" s="169"/>
      <c r="J68" s="168"/>
      <c r="K68" s="3"/>
      <c r="L68" s="168"/>
      <c r="M68" s="168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169"/>
      <c r="C69" s="3"/>
      <c r="D69" s="4"/>
      <c r="E69" s="3"/>
      <c r="F69" s="3"/>
      <c r="G69" s="3"/>
      <c r="H69" s="168"/>
      <c r="I69" s="169"/>
      <c r="J69" s="168"/>
      <c r="K69" s="3"/>
      <c r="L69" s="168"/>
      <c r="M69" s="168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169"/>
      <c r="C70" s="3"/>
      <c r="D70" s="4"/>
      <c r="E70" s="3"/>
      <c r="F70" s="3"/>
      <c r="G70" s="3"/>
      <c r="H70" s="168"/>
      <c r="I70" s="169"/>
      <c r="J70" s="168"/>
      <c r="K70" s="3"/>
      <c r="L70" s="168"/>
      <c r="M70" s="168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169"/>
      <c r="C71" s="3"/>
      <c r="D71" s="4"/>
      <c r="E71" s="3"/>
      <c r="F71" s="3"/>
      <c r="G71" s="3"/>
      <c r="H71" s="168"/>
      <c r="I71" s="169"/>
      <c r="J71" s="168"/>
      <c r="K71" s="3"/>
      <c r="L71" s="168"/>
      <c r="M71" s="168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169"/>
      <c r="C72" s="3"/>
      <c r="D72" s="4"/>
      <c r="E72" s="3"/>
      <c r="F72" s="3"/>
      <c r="G72" s="3"/>
      <c r="H72" s="168"/>
      <c r="I72" s="169"/>
      <c r="J72" s="168"/>
      <c r="K72" s="3"/>
      <c r="L72" s="168"/>
      <c r="M72" s="168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169"/>
      <c r="C73" s="3"/>
      <c r="D73" s="4"/>
      <c r="E73" s="3"/>
      <c r="F73" s="3"/>
      <c r="G73" s="3"/>
      <c r="H73" s="168"/>
      <c r="I73" s="169"/>
      <c r="J73" s="168"/>
      <c r="K73" s="3"/>
      <c r="L73" s="168"/>
      <c r="M73" s="168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169"/>
      <c r="C74" s="3"/>
      <c r="D74" s="4"/>
      <c r="E74" s="3"/>
      <c r="F74" s="3"/>
      <c r="G74" s="3"/>
      <c r="H74" s="168"/>
      <c r="I74" s="169"/>
      <c r="J74" s="168"/>
      <c r="K74" s="3"/>
      <c r="L74" s="168"/>
      <c r="M74" s="168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169"/>
      <c r="C75" s="3"/>
      <c r="D75" s="4"/>
      <c r="E75" s="3"/>
      <c r="F75" s="3"/>
      <c r="G75" s="3"/>
      <c r="H75" s="168"/>
      <c r="I75" s="169"/>
      <c r="J75" s="168"/>
      <c r="K75" s="3"/>
      <c r="L75" s="168"/>
      <c r="M75" s="168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169"/>
      <c r="C76" s="3"/>
      <c r="D76" s="4"/>
      <c r="E76" s="3"/>
      <c r="F76" s="3"/>
      <c r="G76" s="3"/>
      <c r="H76" s="168"/>
      <c r="I76" s="169"/>
      <c r="J76" s="168"/>
      <c r="K76" s="3"/>
      <c r="L76" s="168"/>
      <c r="M76" s="168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169"/>
      <c r="C77" s="3"/>
      <c r="D77" s="4"/>
      <c r="E77" s="3"/>
      <c r="F77" s="3"/>
      <c r="G77" s="3"/>
      <c r="H77" s="168"/>
      <c r="I77" s="169"/>
      <c r="J77" s="168"/>
      <c r="K77" s="3"/>
      <c r="L77" s="168"/>
      <c r="M77" s="168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169"/>
      <c r="C78" s="3"/>
      <c r="D78" s="4"/>
      <c r="E78" s="3"/>
      <c r="F78" s="3"/>
      <c r="G78" s="3"/>
      <c r="H78" s="168"/>
      <c r="I78" s="169"/>
      <c r="J78" s="168"/>
      <c r="K78" s="3"/>
      <c r="L78" s="168"/>
      <c r="M78" s="168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169"/>
      <c r="C79" s="3"/>
      <c r="D79" s="4"/>
      <c r="E79" s="3"/>
      <c r="F79" s="3"/>
      <c r="G79" s="3"/>
      <c r="H79" s="168"/>
      <c r="I79" s="169"/>
      <c r="J79" s="168"/>
      <c r="K79" s="3"/>
      <c r="L79" s="168"/>
      <c r="M79" s="168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169"/>
      <c r="C80" s="3"/>
      <c r="D80" s="4"/>
      <c r="E80" s="3"/>
      <c r="F80" s="3"/>
      <c r="G80" s="3"/>
      <c r="H80" s="168"/>
      <c r="I80" s="169"/>
      <c r="J80" s="168"/>
      <c r="K80" s="3"/>
      <c r="L80" s="168"/>
      <c r="M80" s="168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169"/>
      <c r="C81" s="3"/>
      <c r="D81" s="4"/>
      <c r="E81" s="3"/>
      <c r="F81" s="3"/>
      <c r="G81" s="3"/>
      <c r="H81" s="168"/>
      <c r="I81" s="169"/>
      <c r="J81" s="168"/>
      <c r="K81" s="3"/>
      <c r="L81" s="168"/>
      <c r="M81" s="168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169"/>
      <c r="C82" s="3"/>
      <c r="D82" s="4"/>
      <c r="E82" s="3"/>
      <c r="F82" s="3"/>
      <c r="G82" s="3"/>
      <c r="H82" s="168"/>
      <c r="I82" s="169"/>
      <c r="J82" s="168"/>
      <c r="K82" s="3"/>
      <c r="L82" s="168"/>
      <c r="M82" s="168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169"/>
      <c r="C83" s="3"/>
      <c r="D83" s="4"/>
      <c r="E83" s="3"/>
      <c r="F83" s="3"/>
      <c r="G83" s="3"/>
      <c r="H83" s="168"/>
      <c r="I83" s="169"/>
      <c r="J83" s="168"/>
      <c r="K83" s="3"/>
      <c r="L83" s="168"/>
      <c r="M83" s="168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169"/>
      <c r="C84" s="3"/>
      <c r="D84" s="4"/>
      <c r="E84" s="3"/>
      <c r="F84" s="3"/>
      <c r="G84" s="3"/>
      <c r="H84" s="168"/>
      <c r="I84" s="169"/>
      <c r="J84" s="168"/>
      <c r="K84" s="3"/>
      <c r="L84" s="168"/>
      <c r="M84" s="168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169"/>
      <c r="C85" s="3"/>
      <c r="D85" s="4"/>
      <c r="E85" s="3"/>
      <c r="F85" s="3"/>
      <c r="G85" s="3"/>
      <c r="H85" s="168"/>
      <c r="I85" s="169"/>
      <c r="J85" s="168"/>
      <c r="K85" s="3"/>
      <c r="L85" s="168"/>
      <c r="M85" s="168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169"/>
      <c r="C86" s="3"/>
      <c r="D86" s="4"/>
      <c r="E86" s="3"/>
      <c r="F86" s="3"/>
      <c r="G86" s="3"/>
      <c r="H86" s="168"/>
      <c r="I86" s="169"/>
      <c r="J86" s="168"/>
      <c r="K86" s="3"/>
      <c r="L86" s="168"/>
      <c r="M86" s="168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169"/>
      <c r="C87" s="3"/>
      <c r="D87" s="4"/>
      <c r="E87" s="3"/>
      <c r="F87" s="3"/>
      <c r="G87" s="3"/>
      <c r="H87" s="168"/>
      <c r="I87" s="169"/>
      <c r="J87" s="168"/>
      <c r="K87" s="3"/>
      <c r="L87" s="168"/>
      <c r="M87" s="168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169"/>
      <c r="C88" s="3"/>
      <c r="D88" s="4"/>
      <c r="E88" s="3"/>
      <c r="F88" s="3"/>
      <c r="G88" s="3"/>
      <c r="H88" s="168"/>
      <c r="I88" s="169"/>
      <c r="J88" s="168"/>
      <c r="K88" s="3"/>
      <c r="L88" s="168"/>
      <c r="M88" s="168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169"/>
      <c r="C89" s="3"/>
      <c r="D89" s="4"/>
      <c r="E89" s="3"/>
      <c r="F89" s="3"/>
      <c r="G89" s="3"/>
      <c r="H89" s="168"/>
      <c r="I89" s="169"/>
      <c r="J89" s="168"/>
      <c r="K89" s="3"/>
      <c r="L89" s="168"/>
      <c r="M89" s="168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169"/>
      <c r="C90" s="3"/>
      <c r="D90" s="4"/>
      <c r="E90" s="3"/>
      <c r="F90" s="3"/>
      <c r="G90" s="3"/>
      <c r="H90" s="168"/>
      <c r="I90" s="169"/>
      <c r="J90" s="168"/>
      <c r="K90" s="3"/>
      <c r="L90" s="168"/>
      <c r="M90" s="168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169"/>
      <c r="C91" s="3"/>
      <c r="D91" s="4"/>
      <c r="E91" s="3"/>
      <c r="F91" s="3"/>
      <c r="G91" s="3"/>
      <c r="H91" s="168"/>
      <c r="I91" s="169"/>
      <c r="J91" s="168"/>
      <c r="K91" s="3"/>
      <c r="L91" s="168"/>
      <c r="M91" s="168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169"/>
      <c r="C92" s="3"/>
      <c r="D92" s="4"/>
      <c r="E92" s="3"/>
      <c r="F92" s="3"/>
      <c r="G92" s="3"/>
      <c r="H92" s="168"/>
      <c r="I92" s="169"/>
      <c r="J92" s="168"/>
      <c r="K92" s="3"/>
      <c r="L92" s="168"/>
      <c r="M92" s="168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169"/>
      <c r="C93" s="3"/>
      <c r="D93" s="4"/>
      <c r="E93" s="3"/>
      <c r="F93" s="3"/>
      <c r="G93" s="3"/>
      <c r="H93" s="168"/>
      <c r="I93" s="169"/>
      <c r="J93" s="168"/>
      <c r="K93" s="3"/>
      <c r="L93" s="168"/>
      <c r="M93" s="168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169"/>
      <c r="C94" s="3"/>
      <c r="D94" s="4"/>
      <c r="E94" s="3"/>
      <c r="F94" s="3"/>
      <c r="G94" s="3"/>
      <c r="H94" s="168"/>
      <c r="I94" s="169"/>
      <c r="J94" s="168"/>
      <c r="K94" s="3"/>
      <c r="L94" s="168"/>
      <c r="M94" s="168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169"/>
      <c r="C95" s="3"/>
      <c r="D95" s="4"/>
      <c r="E95" s="3"/>
      <c r="F95" s="3"/>
      <c r="G95" s="3"/>
      <c r="H95" s="168"/>
      <c r="I95" s="169"/>
      <c r="J95" s="168"/>
      <c r="K95" s="3"/>
      <c r="L95" s="168"/>
      <c r="M95" s="168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169"/>
      <c r="C96" s="3"/>
      <c r="D96" s="4"/>
      <c r="E96" s="3"/>
      <c r="F96" s="3"/>
      <c r="G96" s="3"/>
      <c r="H96" s="168"/>
      <c r="I96" s="169"/>
      <c r="J96" s="168"/>
      <c r="K96" s="3"/>
      <c r="L96" s="168"/>
      <c r="M96" s="168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169"/>
      <c r="C97" s="3"/>
      <c r="D97" s="4"/>
      <c r="E97" s="3"/>
      <c r="F97" s="3"/>
      <c r="G97" s="3"/>
      <c r="H97" s="168"/>
      <c r="I97" s="169"/>
      <c r="J97" s="168"/>
      <c r="K97" s="3"/>
      <c r="L97" s="168"/>
      <c r="M97" s="168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169"/>
      <c r="C98" s="3"/>
      <c r="D98" s="4"/>
      <c r="E98" s="3"/>
      <c r="F98" s="3"/>
      <c r="G98" s="3"/>
      <c r="H98" s="168"/>
      <c r="I98" s="169"/>
      <c r="J98" s="168"/>
      <c r="K98" s="3"/>
      <c r="L98" s="168"/>
      <c r="M98" s="168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169"/>
      <c r="C99" s="3"/>
      <c r="D99" s="4"/>
      <c r="E99" s="3"/>
      <c r="F99" s="3"/>
      <c r="G99" s="3"/>
      <c r="H99" s="168"/>
      <c r="I99" s="169"/>
      <c r="J99" s="168"/>
      <c r="K99" s="3"/>
      <c r="L99" s="168"/>
      <c r="M99" s="168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169"/>
      <c r="C100" s="3"/>
      <c r="D100" s="4"/>
      <c r="E100" s="3"/>
      <c r="F100" s="3"/>
      <c r="G100" s="3"/>
      <c r="H100" s="168"/>
      <c r="I100" s="169"/>
      <c r="J100" s="168"/>
      <c r="K100" s="3"/>
      <c r="L100" s="168"/>
      <c r="M100" s="168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169"/>
      <c r="C101" s="3"/>
      <c r="D101" s="4"/>
      <c r="E101" s="3"/>
      <c r="F101" s="3"/>
      <c r="G101" s="3"/>
      <c r="H101" s="168"/>
      <c r="I101" s="169"/>
      <c r="J101" s="168"/>
      <c r="K101" s="3"/>
      <c r="L101" s="168"/>
      <c r="M101" s="168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169"/>
      <c r="C102" s="3"/>
      <c r="D102" s="4"/>
      <c r="E102" s="3"/>
      <c r="F102" s="3"/>
      <c r="G102" s="3"/>
      <c r="H102" s="168"/>
      <c r="I102" s="169"/>
      <c r="J102" s="168"/>
      <c r="K102" s="3"/>
      <c r="L102" s="168"/>
      <c r="M102" s="168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169"/>
      <c r="C103" s="3"/>
      <c r="D103" s="4"/>
      <c r="E103" s="3"/>
      <c r="F103" s="3"/>
      <c r="G103" s="3"/>
      <c r="H103" s="168"/>
      <c r="I103" s="169"/>
      <c r="J103" s="168"/>
      <c r="K103" s="3"/>
      <c r="L103" s="168"/>
      <c r="M103" s="168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169"/>
      <c r="C104" s="3"/>
      <c r="D104" s="4"/>
      <c r="E104" s="3"/>
      <c r="F104" s="3"/>
      <c r="G104" s="3"/>
      <c r="H104" s="168"/>
      <c r="I104" s="169"/>
      <c r="J104" s="168"/>
      <c r="K104" s="3"/>
      <c r="L104" s="168"/>
      <c r="M104" s="168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169"/>
      <c r="C105" s="3"/>
      <c r="D105" s="4"/>
      <c r="E105" s="3"/>
      <c r="F105" s="3"/>
      <c r="G105" s="3"/>
      <c r="H105" s="168"/>
      <c r="I105" s="169"/>
      <c r="J105" s="168"/>
      <c r="K105" s="3"/>
      <c r="L105" s="168"/>
      <c r="M105" s="168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169"/>
      <c r="C106" s="3"/>
      <c r="D106" s="4"/>
      <c r="E106" s="3"/>
      <c r="F106" s="3"/>
      <c r="G106" s="3"/>
      <c r="H106" s="168"/>
      <c r="I106" s="169"/>
      <c r="J106" s="168"/>
      <c r="K106" s="3"/>
      <c r="L106" s="168"/>
      <c r="M106" s="168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169"/>
      <c r="C107" s="3"/>
      <c r="D107" s="4"/>
      <c r="E107" s="3"/>
      <c r="F107" s="3"/>
      <c r="G107" s="3"/>
      <c r="H107" s="168"/>
      <c r="I107" s="169"/>
      <c r="J107" s="168"/>
      <c r="K107" s="3"/>
      <c r="L107" s="168"/>
      <c r="M107" s="168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169"/>
      <c r="C108" s="3"/>
      <c r="D108" s="4"/>
      <c r="E108" s="3"/>
      <c r="F108" s="3"/>
      <c r="G108" s="3"/>
      <c r="H108" s="168"/>
      <c r="I108" s="169"/>
      <c r="J108" s="168"/>
      <c r="K108" s="3"/>
      <c r="L108" s="168"/>
      <c r="M108" s="168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169"/>
      <c r="C109" s="3"/>
      <c r="D109" s="4"/>
      <c r="E109" s="3"/>
      <c r="F109" s="3"/>
      <c r="G109" s="3"/>
      <c r="H109" s="168"/>
      <c r="I109" s="169"/>
      <c r="J109" s="168"/>
      <c r="K109" s="3"/>
      <c r="L109" s="168"/>
      <c r="M109" s="168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169"/>
      <c r="C110" s="3"/>
      <c r="D110" s="4"/>
      <c r="E110" s="3"/>
      <c r="F110" s="3"/>
      <c r="G110" s="3"/>
      <c r="H110" s="168"/>
      <c r="I110" s="169"/>
      <c r="J110" s="168"/>
      <c r="K110" s="3"/>
      <c r="L110" s="168"/>
      <c r="M110" s="168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169"/>
      <c r="C111" s="3"/>
      <c r="D111" s="4"/>
      <c r="E111" s="3"/>
      <c r="F111" s="3"/>
      <c r="G111" s="3"/>
      <c r="H111" s="168"/>
      <c r="I111" s="169"/>
      <c r="J111" s="168"/>
      <c r="K111" s="3"/>
      <c r="L111" s="168"/>
      <c r="M111" s="168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169"/>
      <c r="C112" s="3"/>
      <c r="D112" s="4"/>
      <c r="E112" s="3"/>
      <c r="F112" s="3"/>
      <c r="G112" s="3"/>
      <c r="H112" s="168"/>
      <c r="I112" s="169"/>
      <c r="J112" s="168"/>
      <c r="K112" s="3"/>
      <c r="L112" s="168"/>
      <c r="M112" s="168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169"/>
      <c r="C113" s="3"/>
      <c r="D113" s="4"/>
      <c r="E113" s="3"/>
      <c r="F113" s="3"/>
      <c r="G113" s="3"/>
      <c r="H113" s="168"/>
      <c r="I113" s="169"/>
      <c r="J113" s="168"/>
      <c r="K113" s="3"/>
      <c r="L113" s="168"/>
      <c r="M113" s="168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169"/>
      <c r="C114" s="3"/>
      <c r="D114" s="4"/>
      <c r="E114" s="3"/>
      <c r="F114" s="3"/>
      <c r="G114" s="3"/>
      <c r="H114" s="168"/>
      <c r="I114" s="169"/>
      <c r="J114" s="168"/>
      <c r="K114" s="3"/>
      <c r="L114" s="168"/>
      <c r="M114" s="168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169"/>
      <c r="C115" s="3"/>
      <c r="D115" s="4"/>
      <c r="E115" s="3"/>
      <c r="F115" s="3"/>
      <c r="G115" s="3"/>
      <c r="H115" s="168"/>
      <c r="I115" s="169"/>
      <c r="J115" s="168"/>
      <c r="K115" s="3"/>
      <c r="L115" s="168"/>
      <c r="M115" s="168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169"/>
      <c r="C116" s="3"/>
      <c r="D116" s="4"/>
      <c r="E116" s="3"/>
      <c r="F116" s="3"/>
      <c r="G116" s="3"/>
      <c r="H116" s="168"/>
      <c r="I116" s="169"/>
      <c r="J116" s="168"/>
      <c r="K116" s="3"/>
      <c r="L116" s="168"/>
      <c r="M116" s="168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169"/>
      <c r="C117" s="3"/>
      <c r="D117" s="4"/>
      <c r="E117" s="3"/>
      <c r="F117" s="3"/>
      <c r="G117" s="3"/>
      <c r="H117" s="168"/>
      <c r="I117" s="169"/>
      <c r="J117" s="168"/>
      <c r="K117" s="3"/>
      <c r="L117" s="168"/>
      <c r="M117" s="168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169"/>
      <c r="C118" s="3"/>
      <c r="D118" s="4"/>
      <c r="E118" s="3"/>
      <c r="F118" s="3"/>
      <c r="G118" s="3"/>
      <c r="H118" s="168"/>
      <c r="I118" s="169"/>
      <c r="J118" s="168"/>
      <c r="K118" s="3"/>
      <c r="L118" s="168"/>
      <c r="M118" s="168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169"/>
      <c r="C119" s="3"/>
      <c r="D119" s="4"/>
      <c r="E119" s="3"/>
      <c r="F119" s="3"/>
      <c r="G119" s="3"/>
      <c r="H119" s="168"/>
      <c r="I119" s="169"/>
      <c r="J119" s="168"/>
      <c r="K119" s="3"/>
      <c r="L119" s="168"/>
      <c r="M119" s="168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169"/>
      <c r="C120" s="3"/>
      <c r="D120" s="4"/>
      <c r="E120" s="3"/>
      <c r="F120" s="3"/>
      <c r="G120" s="3"/>
      <c r="H120" s="168"/>
      <c r="I120" s="169"/>
      <c r="J120" s="168"/>
      <c r="K120" s="3"/>
      <c r="L120" s="168"/>
      <c r="M120" s="168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169"/>
      <c r="C121" s="3"/>
      <c r="D121" s="4"/>
      <c r="E121" s="3"/>
      <c r="F121" s="3"/>
      <c r="G121" s="3"/>
      <c r="H121" s="168"/>
      <c r="I121" s="169"/>
      <c r="J121" s="168"/>
      <c r="K121" s="3"/>
      <c r="L121" s="168"/>
      <c r="M121" s="168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169"/>
      <c r="C122" s="3"/>
      <c r="D122" s="4"/>
      <c r="E122" s="3"/>
      <c r="F122" s="3"/>
      <c r="G122" s="3"/>
      <c r="H122" s="168"/>
      <c r="I122" s="169"/>
      <c r="J122" s="168"/>
      <c r="K122" s="3"/>
      <c r="L122" s="168"/>
      <c r="M122" s="168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169"/>
      <c r="C123" s="3"/>
      <c r="D123" s="4"/>
      <c r="E123" s="3"/>
      <c r="F123" s="3"/>
      <c r="G123" s="3"/>
      <c r="H123" s="168"/>
      <c r="I123" s="169"/>
      <c r="J123" s="168"/>
      <c r="K123" s="3"/>
      <c r="L123" s="168"/>
      <c r="M123" s="168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169"/>
      <c r="C124" s="3"/>
      <c r="D124" s="4"/>
      <c r="E124" s="3"/>
      <c r="F124" s="3"/>
      <c r="G124" s="3"/>
      <c r="H124" s="168"/>
      <c r="I124" s="169"/>
      <c r="J124" s="168"/>
      <c r="K124" s="3"/>
      <c r="L124" s="168"/>
      <c r="M124" s="168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169"/>
      <c r="C125" s="3"/>
      <c r="D125" s="4"/>
      <c r="E125" s="3"/>
      <c r="F125" s="3"/>
      <c r="G125" s="3"/>
      <c r="H125" s="168"/>
      <c r="I125" s="169"/>
      <c r="J125" s="168"/>
      <c r="K125" s="3"/>
      <c r="L125" s="168"/>
      <c r="M125" s="168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169"/>
      <c r="C126" s="3"/>
      <c r="D126" s="4"/>
      <c r="E126" s="3"/>
      <c r="F126" s="3"/>
      <c r="G126" s="3"/>
      <c r="H126" s="168"/>
      <c r="I126" s="169"/>
      <c r="J126" s="168"/>
      <c r="K126" s="3"/>
      <c r="L126" s="168"/>
      <c r="M126" s="168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169"/>
      <c r="C127" s="3"/>
      <c r="D127" s="4"/>
      <c r="E127" s="3"/>
      <c r="F127" s="3"/>
      <c r="G127" s="3"/>
      <c r="H127" s="168"/>
      <c r="I127" s="169"/>
      <c r="J127" s="168"/>
      <c r="K127" s="3"/>
      <c r="L127" s="168"/>
      <c r="M127" s="168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169"/>
      <c r="C128" s="3"/>
      <c r="D128" s="4"/>
      <c r="E128" s="3"/>
      <c r="F128" s="3"/>
      <c r="G128" s="3"/>
      <c r="H128" s="168"/>
      <c r="I128" s="169"/>
      <c r="J128" s="168"/>
      <c r="K128" s="3"/>
      <c r="L128" s="168"/>
      <c r="M128" s="168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169"/>
      <c r="C129" s="3"/>
      <c r="D129" s="4"/>
      <c r="E129" s="3"/>
      <c r="F129" s="3"/>
      <c r="G129" s="3"/>
      <c r="H129" s="168"/>
      <c r="I129" s="169"/>
      <c r="J129" s="168"/>
      <c r="K129" s="3"/>
      <c r="L129" s="168"/>
      <c r="M129" s="168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169"/>
      <c r="C130" s="3"/>
      <c r="D130" s="4"/>
      <c r="E130" s="3"/>
      <c r="F130" s="3"/>
      <c r="G130" s="3"/>
      <c r="H130" s="168"/>
      <c r="I130" s="169"/>
      <c r="J130" s="168"/>
      <c r="K130" s="3"/>
      <c r="L130" s="168"/>
      <c r="M130" s="168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169"/>
      <c r="C131" s="3"/>
      <c r="D131" s="4"/>
      <c r="E131" s="3"/>
      <c r="F131" s="3"/>
      <c r="G131" s="3"/>
      <c r="H131" s="168"/>
      <c r="I131" s="169"/>
      <c r="J131" s="168"/>
      <c r="K131" s="3"/>
      <c r="L131" s="168"/>
      <c r="M131" s="168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169"/>
      <c r="C132" s="3"/>
      <c r="D132" s="4"/>
      <c r="E132" s="3"/>
      <c r="F132" s="3"/>
      <c r="G132" s="3"/>
      <c r="H132" s="168"/>
      <c r="I132" s="169"/>
      <c r="J132" s="168"/>
      <c r="K132" s="3"/>
      <c r="L132" s="168"/>
      <c r="M132" s="168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169"/>
      <c r="C133" s="3"/>
      <c r="D133" s="4"/>
      <c r="E133" s="3"/>
      <c r="F133" s="3"/>
      <c r="G133" s="3"/>
      <c r="H133" s="168"/>
      <c r="I133" s="169"/>
      <c r="J133" s="168"/>
      <c r="K133" s="3"/>
      <c r="L133" s="168"/>
      <c r="M133" s="168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169"/>
      <c r="C134" s="3"/>
      <c r="D134" s="4"/>
      <c r="E134" s="3"/>
      <c r="F134" s="3"/>
      <c r="G134" s="3"/>
      <c r="H134" s="168"/>
      <c r="I134" s="169"/>
      <c r="J134" s="168"/>
      <c r="K134" s="3"/>
      <c r="L134" s="168"/>
      <c r="M134" s="168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169"/>
      <c r="C135" s="3"/>
      <c r="D135" s="4"/>
      <c r="E135" s="3"/>
      <c r="F135" s="3"/>
      <c r="G135" s="3"/>
      <c r="H135" s="168"/>
      <c r="I135" s="169"/>
      <c r="J135" s="168"/>
      <c r="K135" s="3"/>
      <c r="L135" s="168"/>
      <c r="M135" s="168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169"/>
      <c r="C136" s="3"/>
      <c r="D136" s="4"/>
      <c r="E136" s="3"/>
      <c r="F136" s="3"/>
      <c r="G136" s="3"/>
      <c r="H136" s="168"/>
      <c r="I136" s="169"/>
      <c r="J136" s="168"/>
      <c r="K136" s="3"/>
      <c r="L136" s="168"/>
      <c r="M136" s="168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169"/>
      <c r="C137" s="3"/>
      <c r="D137" s="4"/>
      <c r="E137" s="3"/>
      <c r="F137" s="3"/>
      <c r="G137" s="3"/>
      <c r="H137" s="168"/>
      <c r="I137" s="169"/>
      <c r="J137" s="168"/>
      <c r="K137" s="3"/>
      <c r="L137" s="168"/>
      <c r="M137" s="168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169"/>
      <c r="C138" s="3"/>
      <c r="D138" s="4"/>
      <c r="E138" s="3"/>
      <c r="F138" s="3"/>
      <c r="G138" s="3"/>
      <c r="H138" s="168"/>
      <c r="I138" s="169"/>
      <c r="J138" s="168"/>
      <c r="K138" s="3"/>
      <c r="L138" s="168"/>
      <c r="M138" s="168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169"/>
      <c r="C139" s="3"/>
      <c r="D139" s="4"/>
      <c r="E139" s="3"/>
      <c r="F139" s="3"/>
      <c r="G139" s="3"/>
      <c r="H139" s="168"/>
      <c r="I139" s="169"/>
      <c r="J139" s="168"/>
      <c r="K139" s="3"/>
      <c r="L139" s="168"/>
      <c r="M139" s="168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169"/>
      <c r="C140" s="3"/>
      <c r="D140" s="4"/>
      <c r="E140" s="3"/>
      <c r="F140" s="3"/>
      <c r="G140" s="3"/>
      <c r="H140" s="168"/>
      <c r="I140" s="169"/>
      <c r="J140" s="168"/>
      <c r="K140" s="3"/>
      <c r="L140" s="168"/>
      <c r="M140" s="168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169"/>
      <c r="C141" s="3"/>
      <c r="D141" s="4"/>
      <c r="E141" s="3"/>
      <c r="F141" s="3"/>
      <c r="G141" s="3"/>
      <c r="H141" s="168"/>
      <c r="I141" s="169"/>
      <c r="J141" s="168"/>
      <c r="K141" s="3"/>
      <c r="L141" s="168"/>
      <c r="M141" s="168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169"/>
      <c r="C142" s="3"/>
      <c r="D142" s="4"/>
      <c r="E142" s="3"/>
      <c r="F142" s="3"/>
      <c r="G142" s="3"/>
      <c r="H142" s="168"/>
      <c r="I142" s="169"/>
      <c r="J142" s="168"/>
      <c r="K142" s="3"/>
      <c r="L142" s="168"/>
      <c r="M142" s="168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169"/>
      <c r="C143" s="3"/>
      <c r="D143" s="4"/>
      <c r="E143" s="3"/>
      <c r="F143" s="3"/>
      <c r="G143" s="3"/>
      <c r="H143" s="168"/>
      <c r="I143" s="169"/>
      <c r="J143" s="168"/>
      <c r="K143" s="3"/>
      <c r="L143" s="168"/>
      <c r="M143" s="168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169"/>
      <c r="C144" s="3"/>
      <c r="D144" s="4"/>
      <c r="E144" s="3"/>
      <c r="F144" s="3"/>
      <c r="G144" s="3"/>
      <c r="H144" s="168"/>
      <c r="I144" s="169"/>
      <c r="J144" s="168"/>
      <c r="K144" s="3"/>
      <c r="L144" s="168"/>
      <c r="M144" s="168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169"/>
      <c r="C145" s="3"/>
      <c r="D145" s="4"/>
      <c r="E145" s="3"/>
      <c r="F145" s="3"/>
      <c r="G145" s="3"/>
      <c r="H145" s="168"/>
      <c r="I145" s="169"/>
      <c r="J145" s="168"/>
      <c r="K145" s="3"/>
      <c r="L145" s="168"/>
      <c r="M145" s="168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169"/>
      <c r="C146" s="3"/>
      <c r="D146" s="4"/>
      <c r="E146" s="3"/>
      <c r="F146" s="3"/>
      <c r="G146" s="3"/>
      <c r="H146" s="168"/>
      <c r="I146" s="169"/>
      <c r="J146" s="168"/>
      <c r="K146" s="3"/>
      <c r="L146" s="168"/>
      <c r="M146" s="168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169"/>
      <c r="C147" s="3"/>
      <c r="D147" s="4"/>
      <c r="E147" s="3"/>
      <c r="F147" s="3"/>
      <c r="G147" s="3"/>
      <c r="H147" s="168"/>
      <c r="I147" s="169"/>
      <c r="J147" s="168"/>
      <c r="K147" s="3"/>
      <c r="L147" s="168"/>
      <c r="M147" s="168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169"/>
      <c r="C148" s="3"/>
      <c r="D148" s="4"/>
      <c r="E148" s="3"/>
      <c r="F148" s="3"/>
      <c r="G148" s="3"/>
      <c r="H148" s="168"/>
      <c r="I148" s="169"/>
      <c r="J148" s="168"/>
      <c r="K148" s="3"/>
      <c r="L148" s="168"/>
      <c r="M148" s="168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169"/>
      <c r="C149" s="3"/>
      <c r="D149" s="4"/>
      <c r="E149" s="3"/>
      <c r="F149" s="3"/>
      <c r="G149" s="3"/>
      <c r="H149" s="168"/>
      <c r="I149" s="169"/>
      <c r="J149" s="168"/>
      <c r="K149" s="3"/>
      <c r="L149" s="168"/>
      <c r="M149" s="168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169"/>
      <c r="C150" s="3"/>
      <c r="D150" s="4"/>
      <c r="E150" s="3"/>
      <c r="F150" s="3"/>
      <c r="G150" s="3"/>
      <c r="H150" s="168"/>
      <c r="I150" s="169"/>
      <c r="J150" s="168"/>
      <c r="K150" s="3"/>
      <c r="L150" s="168"/>
      <c r="M150" s="168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169"/>
      <c r="C151" s="3"/>
      <c r="D151" s="4"/>
      <c r="E151" s="3"/>
      <c r="F151" s="3"/>
      <c r="G151" s="3"/>
      <c r="H151" s="168"/>
      <c r="I151" s="169"/>
      <c r="J151" s="168"/>
      <c r="K151" s="3"/>
      <c r="L151" s="168"/>
      <c r="M151" s="168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169"/>
      <c r="C152" s="3"/>
      <c r="D152" s="4"/>
      <c r="E152" s="3"/>
      <c r="F152" s="3"/>
      <c r="G152" s="3"/>
      <c r="H152" s="168"/>
      <c r="I152" s="169"/>
      <c r="J152" s="168"/>
      <c r="K152" s="3"/>
      <c r="L152" s="168"/>
      <c r="M152" s="168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169"/>
      <c r="C153" s="3"/>
      <c r="D153" s="4"/>
      <c r="E153" s="3"/>
      <c r="F153" s="3"/>
      <c r="G153" s="3"/>
      <c r="H153" s="168"/>
      <c r="I153" s="169"/>
      <c r="J153" s="168"/>
      <c r="K153" s="3"/>
      <c r="L153" s="168"/>
      <c r="M153" s="168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169"/>
      <c r="C154" s="3"/>
      <c r="D154" s="4"/>
      <c r="E154" s="3"/>
      <c r="F154" s="3"/>
      <c r="G154" s="3"/>
      <c r="H154" s="168"/>
      <c r="I154" s="169"/>
      <c r="J154" s="168"/>
      <c r="K154" s="3"/>
      <c r="L154" s="168"/>
      <c r="M154" s="168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169"/>
      <c r="C155" s="3"/>
      <c r="D155" s="4"/>
      <c r="E155" s="3"/>
      <c r="F155" s="3"/>
      <c r="G155" s="3"/>
      <c r="H155" s="168"/>
      <c r="I155" s="169"/>
      <c r="J155" s="168"/>
      <c r="K155" s="3"/>
      <c r="L155" s="168"/>
      <c r="M155" s="168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169"/>
      <c r="C156" s="3"/>
      <c r="D156" s="4"/>
      <c r="E156" s="3"/>
      <c r="F156" s="3"/>
      <c r="G156" s="3"/>
      <c r="H156" s="168"/>
      <c r="I156" s="169"/>
      <c r="J156" s="168"/>
      <c r="K156" s="3"/>
      <c r="L156" s="168"/>
      <c r="M156" s="168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169"/>
      <c r="C157" s="3"/>
      <c r="D157" s="4"/>
      <c r="E157" s="3"/>
      <c r="F157" s="3"/>
      <c r="G157" s="3"/>
      <c r="H157" s="168"/>
      <c r="I157" s="169"/>
      <c r="J157" s="168"/>
      <c r="K157" s="3"/>
      <c r="L157" s="168"/>
      <c r="M157" s="168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169"/>
      <c r="C158" s="3"/>
      <c r="D158" s="4"/>
      <c r="E158" s="3"/>
      <c r="F158" s="3"/>
      <c r="G158" s="3"/>
      <c r="H158" s="168"/>
      <c r="I158" s="169"/>
      <c r="J158" s="168"/>
      <c r="K158" s="3"/>
      <c r="L158" s="168"/>
      <c r="M158" s="168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169"/>
      <c r="C159" s="3"/>
      <c r="D159" s="4"/>
      <c r="E159" s="3"/>
      <c r="F159" s="3"/>
      <c r="G159" s="3"/>
      <c r="H159" s="168"/>
      <c r="I159" s="169"/>
      <c r="J159" s="168"/>
      <c r="K159" s="3"/>
      <c r="L159" s="168"/>
      <c r="M159" s="168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169"/>
      <c r="C160" s="3"/>
      <c r="D160" s="4"/>
      <c r="E160" s="3"/>
      <c r="F160" s="3"/>
      <c r="G160" s="3"/>
      <c r="H160" s="168"/>
      <c r="I160" s="169"/>
      <c r="J160" s="168"/>
      <c r="K160" s="3"/>
      <c r="L160" s="168"/>
      <c r="M160" s="168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169"/>
      <c r="C161" s="3"/>
      <c r="D161" s="4"/>
      <c r="E161" s="3"/>
      <c r="F161" s="3"/>
      <c r="G161" s="3"/>
      <c r="H161" s="168"/>
      <c r="I161" s="169"/>
      <c r="J161" s="168"/>
      <c r="K161" s="3"/>
      <c r="L161" s="168"/>
      <c r="M161" s="168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169"/>
      <c r="C162" s="3"/>
      <c r="D162" s="4"/>
      <c r="E162" s="3"/>
      <c r="F162" s="3"/>
      <c r="G162" s="3"/>
      <c r="H162" s="168"/>
      <c r="I162" s="169"/>
      <c r="J162" s="168"/>
      <c r="K162" s="3"/>
      <c r="L162" s="168"/>
      <c r="M162" s="168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169"/>
      <c r="C163" s="3"/>
      <c r="D163" s="4"/>
      <c r="E163" s="3"/>
      <c r="F163" s="3"/>
      <c r="G163" s="3"/>
      <c r="H163" s="168"/>
      <c r="I163" s="169"/>
      <c r="J163" s="168"/>
      <c r="K163" s="3"/>
      <c r="L163" s="168"/>
      <c r="M163" s="168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169"/>
      <c r="C164" s="3"/>
      <c r="D164" s="4"/>
      <c r="E164" s="3"/>
      <c r="F164" s="3"/>
      <c r="G164" s="3"/>
      <c r="H164" s="168"/>
      <c r="I164" s="169"/>
      <c r="J164" s="168"/>
      <c r="K164" s="3"/>
      <c r="L164" s="168"/>
      <c r="M164" s="168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169"/>
      <c r="C165" s="3"/>
      <c r="D165" s="4"/>
      <c r="E165" s="3"/>
      <c r="F165" s="3"/>
      <c r="G165" s="3"/>
      <c r="H165" s="168"/>
      <c r="I165" s="169"/>
      <c r="J165" s="168"/>
      <c r="K165" s="3"/>
      <c r="L165" s="168"/>
      <c r="M165" s="168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169"/>
      <c r="C166" s="3"/>
      <c r="D166" s="4"/>
      <c r="E166" s="3"/>
      <c r="F166" s="3"/>
      <c r="G166" s="3"/>
      <c r="H166" s="168"/>
      <c r="I166" s="169"/>
      <c r="J166" s="168"/>
      <c r="K166" s="3"/>
      <c r="L166" s="168"/>
      <c r="M166" s="168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169"/>
      <c r="C167" s="3"/>
      <c r="D167" s="4"/>
      <c r="E167" s="3"/>
      <c r="F167" s="3"/>
      <c r="G167" s="3"/>
      <c r="H167" s="168"/>
      <c r="I167" s="169"/>
      <c r="J167" s="168"/>
      <c r="K167" s="3"/>
      <c r="L167" s="168"/>
      <c r="M167" s="168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169"/>
      <c r="C168" s="3"/>
      <c r="D168" s="4"/>
      <c r="E168" s="3"/>
      <c r="F168" s="3"/>
      <c r="G168" s="3"/>
      <c r="H168" s="168"/>
      <c r="I168" s="169"/>
      <c r="J168" s="168"/>
      <c r="K168" s="3"/>
      <c r="L168" s="168"/>
      <c r="M168" s="168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169"/>
      <c r="C169" s="3"/>
      <c r="D169" s="4"/>
      <c r="E169" s="3"/>
      <c r="F169" s="3"/>
      <c r="G169" s="3"/>
      <c r="H169" s="168"/>
      <c r="I169" s="169"/>
      <c r="J169" s="168"/>
      <c r="K169" s="3"/>
      <c r="L169" s="168"/>
      <c r="M169" s="168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169"/>
      <c r="C170" s="3"/>
      <c r="D170" s="4"/>
      <c r="E170" s="3"/>
      <c r="F170" s="3"/>
      <c r="G170" s="3"/>
      <c r="H170" s="168"/>
      <c r="I170" s="169"/>
      <c r="J170" s="168"/>
      <c r="K170" s="3"/>
      <c r="L170" s="168"/>
      <c r="M170" s="168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169"/>
      <c r="C171" s="3"/>
      <c r="D171" s="4"/>
      <c r="E171" s="3"/>
      <c r="F171" s="3"/>
      <c r="G171" s="3"/>
      <c r="H171" s="168"/>
      <c r="I171" s="169"/>
      <c r="J171" s="168"/>
      <c r="K171" s="3"/>
      <c r="L171" s="168"/>
      <c r="M171" s="168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169"/>
      <c r="C172" s="3"/>
      <c r="D172" s="4"/>
      <c r="E172" s="3"/>
      <c r="F172" s="3"/>
      <c r="G172" s="3"/>
      <c r="H172" s="168"/>
      <c r="I172" s="169"/>
      <c r="J172" s="168"/>
      <c r="K172" s="3"/>
      <c r="L172" s="168"/>
      <c r="M172" s="168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169"/>
      <c r="C173" s="3"/>
      <c r="D173" s="4"/>
      <c r="E173" s="3"/>
      <c r="F173" s="3"/>
      <c r="G173" s="3"/>
      <c r="H173" s="168"/>
      <c r="I173" s="169"/>
      <c r="J173" s="168"/>
      <c r="K173" s="3"/>
      <c r="L173" s="168"/>
      <c r="M173" s="168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169"/>
      <c r="C174" s="3"/>
      <c r="D174" s="4"/>
      <c r="E174" s="3"/>
      <c r="F174" s="3"/>
      <c r="G174" s="3"/>
      <c r="H174" s="168"/>
      <c r="I174" s="169"/>
      <c r="J174" s="168"/>
      <c r="K174" s="3"/>
      <c r="L174" s="168"/>
      <c r="M174" s="168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169"/>
      <c r="C175" s="3"/>
      <c r="D175" s="4"/>
      <c r="E175" s="3"/>
      <c r="F175" s="3"/>
      <c r="G175" s="3"/>
      <c r="H175" s="168"/>
      <c r="I175" s="169"/>
      <c r="J175" s="168"/>
      <c r="K175" s="3"/>
      <c r="L175" s="168"/>
      <c r="M175" s="168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169"/>
      <c r="C176" s="3"/>
      <c r="D176" s="4"/>
      <c r="E176" s="3"/>
      <c r="F176" s="3"/>
      <c r="G176" s="3"/>
      <c r="H176" s="168"/>
      <c r="I176" s="169"/>
      <c r="J176" s="168"/>
      <c r="K176" s="3"/>
      <c r="L176" s="168"/>
      <c r="M176" s="168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169"/>
      <c r="C177" s="3"/>
      <c r="D177" s="4"/>
      <c r="E177" s="3"/>
      <c r="F177" s="3"/>
      <c r="G177" s="3"/>
      <c r="H177" s="168"/>
      <c r="I177" s="169"/>
      <c r="J177" s="168"/>
      <c r="K177" s="3"/>
      <c r="L177" s="168"/>
      <c r="M177" s="168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169"/>
      <c r="C178" s="3"/>
      <c r="D178" s="4"/>
      <c r="E178" s="3"/>
      <c r="F178" s="3"/>
      <c r="G178" s="3"/>
      <c r="H178" s="168"/>
      <c r="I178" s="169"/>
      <c r="J178" s="168"/>
      <c r="K178" s="3"/>
      <c r="L178" s="168"/>
      <c r="M178" s="168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169"/>
      <c r="C179" s="3"/>
      <c r="D179" s="4"/>
      <c r="E179" s="3"/>
      <c r="F179" s="3"/>
      <c r="G179" s="3"/>
      <c r="H179" s="168"/>
      <c r="I179" s="169"/>
      <c r="J179" s="168"/>
      <c r="K179" s="3"/>
      <c r="L179" s="168"/>
      <c r="M179" s="168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169"/>
      <c r="C180" s="3"/>
      <c r="D180" s="4"/>
      <c r="E180" s="3"/>
      <c r="F180" s="3"/>
      <c r="G180" s="3"/>
      <c r="H180" s="168"/>
      <c r="I180" s="169"/>
      <c r="J180" s="168"/>
      <c r="K180" s="3"/>
      <c r="L180" s="168"/>
      <c r="M180" s="168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169"/>
      <c r="C181" s="3"/>
      <c r="D181" s="4"/>
      <c r="E181" s="3"/>
      <c r="F181" s="3"/>
      <c r="G181" s="3"/>
      <c r="H181" s="168"/>
      <c r="I181" s="169"/>
      <c r="J181" s="168"/>
      <c r="K181" s="3"/>
      <c r="L181" s="168"/>
      <c r="M181" s="168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169"/>
      <c r="C182" s="3"/>
      <c r="D182" s="4"/>
      <c r="E182" s="3"/>
      <c r="F182" s="3"/>
      <c r="G182" s="3"/>
      <c r="H182" s="168"/>
      <c r="I182" s="169"/>
      <c r="J182" s="168"/>
      <c r="K182" s="3"/>
      <c r="L182" s="168"/>
      <c r="M182" s="168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169"/>
      <c r="C183" s="3"/>
      <c r="D183" s="4"/>
      <c r="E183" s="3"/>
      <c r="F183" s="3"/>
      <c r="G183" s="3"/>
      <c r="H183" s="168"/>
      <c r="I183" s="169"/>
      <c r="J183" s="168"/>
      <c r="K183" s="3"/>
      <c r="L183" s="168"/>
      <c r="M183" s="168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169"/>
      <c r="C184" s="3"/>
      <c r="D184" s="4"/>
      <c r="E184" s="3"/>
      <c r="F184" s="3"/>
      <c r="G184" s="3"/>
      <c r="H184" s="168"/>
      <c r="I184" s="169"/>
      <c r="J184" s="168"/>
      <c r="K184" s="3"/>
      <c r="L184" s="168"/>
      <c r="M184" s="168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169"/>
      <c r="C185" s="3"/>
      <c r="D185" s="4"/>
      <c r="E185" s="3"/>
      <c r="F185" s="3"/>
      <c r="G185" s="3"/>
      <c r="H185" s="168"/>
      <c r="I185" s="169"/>
      <c r="J185" s="168"/>
      <c r="K185" s="3"/>
      <c r="L185" s="168"/>
      <c r="M185" s="168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169"/>
      <c r="C186" s="3"/>
      <c r="D186" s="4"/>
      <c r="E186" s="3"/>
      <c r="F186" s="3"/>
      <c r="G186" s="3"/>
      <c r="H186" s="168"/>
      <c r="I186" s="169"/>
      <c r="J186" s="168"/>
      <c r="K186" s="3"/>
      <c r="L186" s="168"/>
      <c r="M186" s="168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169"/>
      <c r="C187" s="3"/>
      <c r="D187" s="4"/>
      <c r="E187" s="3"/>
      <c r="F187" s="3"/>
      <c r="G187" s="3"/>
      <c r="H187" s="168"/>
      <c r="I187" s="169"/>
      <c r="J187" s="168"/>
      <c r="K187" s="3"/>
      <c r="L187" s="168"/>
      <c r="M187" s="168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169"/>
      <c r="C188" s="3"/>
      <c r="D188" s="4"/>
      <c r="E188" s="3"/>
      <c r="F188" s="3"/>
      <c r="G188" s="3"/>
      <c r="H188" s="168"/>
      <c r="I188" s="169"/>
      <c r="J188" s="168"/>
      <c r="K188" s="3"/>
      <c r="L188" s="168"/>
      <c r="M188" s="168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169"/>
      <c r="C189" s="3"/>
      <c r="D189" s="4"/>
      <c r="E189" s="3"/>
      <c r="F189" s="3"/>
      <c r="G189" s="3"/>
      <c r="H189" s="168"/>
      <c r="I189" s="169"/>
      <c r="J189" s="168"/>
      <c r="K189" s="3"/>
      <c r="L189" s="168"/>
      <c r="M189" s="168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169"/>
      <c r="C190" s="3"/>
      <c r="D190" s="4"/>
      <c r="E190" s="3"/>
      <c r="F190" s="3"/>
      <c r="G190" s="3"/>
      <c r="H190" s="168"/>
      <c r="I190" s="169"/>
      <c r="J190" s="168"/>
      <c r="K190" s="3"/>
      <c r="L190" s="168"/>
      <c r="M190" s="168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169"/>
      <c r="C191" s="3"/>
      <c r="D191" s="4"/>
      <c r="E191" s="3"/>
      <c r="F191" s="3"/>
      <c r="G191" s="3"/>
      <c r="H191" s="168"/>
      <c r="I191" s="169"/>
      <c r="J191" s="168"/>
      <c r="K191" s="3"/>
      <c r="L191" s="168"/>
      <c r="M191" s="168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169"/>
      <c r="C192" s="3"/>
      <c r="D192" s="4"/>
      <c r="E192" s="3"/>
      <c r="F192" s="3"/>
      <c r="G192" s="3"/>
      <c r="H192" s="168"/>
      <c r="I192" s="169"/>
      <c r="J192" s="168"/>
      <c r="K192" s="3"/>
      <c r="L192" s="168"/>
      <c r="M192" s="168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169"/>
      <c r="C193" s="3"/>
      <c r="D193" s="4"/>
      <c r="E193" s="3"/>
      <c r="F193" s="3"/>
      <c r="G193" s="3"/>
      <c r="H193" s="168"/>
      <c r="I193" s="169"/>
      <c r="J193" s="168"/>
      <c r="K193" s="3"/>
      <c r="L193" s="168"/>
      <c r="M193" s="168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169"/>
      <c r="C194" s="3"/>
      <c r="D194" s="4"/>
      <c r="E194" s="3"/>
      <c r="F194" s="3"/>
      <c r="G194" s="3"/>
      <c r="H194" s="168"/>
      <c r="I194" s="169"/>
      <c r="J194" s="168"/>
      <c r="K194" s="3"/>
      <c r="L194" s="168"/>
      <c r="M194" s="168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169"/>
      <c r="C195" s="3"/>
      <c r="D195" s="4"/>
      <c r="E195" s="3"/>
      <c r="F195" s="3"/>
      <c r="G195" s="3"/>
      <c r="H195" s="168"/>
      <c r="I195" s="169"/>
      <c r="J195" s="168"/>
      <c r="K195" s="3"/>
      <c r="L195" s="168"/>
      <c r="M195" s="168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169"/>
      <c r="C196" s="3"/>
      <c r="D196" s="4"/>
      <c r="E196" s="3"/>
      <c r="F196" s="3"/>
      <c r="G196" s="3"/>
      <c r="H196" s="168"/>
      <c r="I196" s="169"/>
      <c r="J196" s="168"/>
      <c r="K196" s="3"/>
      <c r="L196" s="168"/>
      <c r="M196" s="168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169"/>
      <c r="C197" s="3"/>
      <c r="D197" s="4"/>
      <c r="E197" s="3"/>
      <c r="F197" s="3"/>
      <c r="G197" s="3"/>
      <c r="H197" s="168"/>
      <c r="I197" s="169"/>
      <c r="J197" s="168"/>
      <c r="K197" s="3"/>
      <c r="L197" s="168"/>
      <c r="M197" s="168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169"/>
      <c r="C198" s="3"/>
      <c r="D198" s="4"/>
      <c r="E198" s="3"/>
      <c r="F198" s="3"/>
      <c r="G198" s="3"/>
      <c r="H198" s="168"/>
      <c r="I198" s="169"/>
      <c r="J198" s="168"/>
      <c r="K198" s="3"/>
      <c r="L198" s="168"/>
      <c r="M198" s="168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169"/>
      <c r="C199" s="3"/>
      <c r="D199" s="4"/>
      <c r="E199" s="3"/>
      <c r="F199" s="3"/>
      <c r="G199" s="3"/>
      <c r="H199" s="168"/>
      <c r="I199" s="169"/>
      <c r="J199" s="168"/>
      <c r="K199" s="3"/>
      <c r="L199" s="168"/>
      <c r="M199" s="168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169"/>
      <c r="C200" s="3"/>
      <c r="D200" s="4"/>
      <c r="E200" s="3"/>
      <c r="F200" s="3"/>
      <c r="G200" s="3"/>
      <c r="H200" s="168"/>
      <c r="I200" s="169"/>
      <c r="J200" s="168"/>
      <c r="K200" s="3"/>
      <c r="L200" s="168"/>
      <c r="M200" s="168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169"/>
      <c r="C201" s="3"/>
      <c r="D201" s="4"/>
      <c r="E201" s="3"/>
      <c r="F201" s="3"/>
      <c r="G201" s="3"/>
      <c r="H201" s="168"/>
      <c r="I201" s="169"/>
      <c r="J201" s="168"/>
      <c r="K201" s="3"/>
      <c r="L201" s="168"/>
      <c r="M201" s="168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169"/>
      <c r="C202" s="3"/>
      <c r="D202" s="4"/>
      <c r="E202" s="3"/>
      <c r="F202" s="3"/>
      <c r="G202" s="3"/>
      <c r="H202" s="168"/>
      <c r="I202" s="169"/>
      <c r="J202" s="168"/>
      <c r="K202" s="3"/>
      <c r="L202" s="168"/>
      <c r="M202" s="168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169"/>
      <c r="C203" s="3"/>
      <c r="D203" s="4"/>
      <c r="E203" s="3"/>
      <c r="F203" s="3"/>
      <c r="G203" s="3"/>
      <c r="H203" s="168"/>
      <c r="I203" s="169"/>
      <c r="J203" s="168"/>
      <c r="K203" s="3"/>
      <c r="L203" s="168"/>
      <c r="M203" s="168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169"/>
      <c r="C204" s="3"/>
      <c r="D204" s="4"/>
      <c r="E204" s="3"/>
      <c r="F204" s="3"/>
      <c r="G204" s="3"/>
      <c r="H204" s="168"/>
      <c r="I204" s="169"/>
      <c r="J204" s="168"/>
      <c r="K204" s="3"/>
      <c r="L204" s="168"/>
      <c r="M204" s="168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169"/>
      <c r="C205" s="3"/>
      <c r="D205" s="4"/>
      <c r="E205" s="3"/>
      <c r="F205" s="3"/>
      <c r="G205" s="3"/>
      <c r="H205" s="168"/>
      <c r="I205" s="169"/>
      <c r="J205" s="168"/>
      <c r="K205" s="3"/>
      <c r="L205" s="168"/>
      <c r="M205" s="168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169"/>
      <c r="C206" s="3"/>
      <c r="D206" s="4"/>
      <c r="E206" s="3"/>
      <c r="F206" s="3"/>
      <c r="G206" s="3"/>
      <c r="H206" s="168"/>
      <c r="I206" s="169"/>
      <c r="J206" s="168"/>
      <c r="K206" s="3"/>
      <c r="L206" s="168"/>
      <c r="M206" s="168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169"/>
      <c r="C207" s="3"/>
      <c r="D207" s="4"/>
      <c r="E207" s="3"/>
      <c r="F207" s="3"/>
      <c r="G207" s="3"/>
      <c r="H207" s="168"/>
      <c r="I207" s="169"/>
      <c r="J207" s="168"/>
      <c r="K207" s="3"/>
      <c r="L207" s="168"/>
      <c r="M207" s="168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169"/>
      <c r="C208" s="3"/>
      <c r="D208" s="4"/>
      <c r="E208" s="3"/>
      <c r="F208" s="3"/>
      <c r="G208" s="3"/>
      <c r="H208" s="168"/>
      <c r="I208" s="169"/>
      <c r="J208" s="168"/>
      <c r="K208" s="3"/>
      <c r="L208" s="168"/>
      <c r="M208" s="168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169"/>
      <c r="C209" s="3"/>
      <c r="D209" s="4"/>
      <c r="E209" s="3"/>
      <c r="F209" s="3"/>
      <c r="G209" s="3"/>
      <c r="H209" s="168"/>
      <c r="I209" s="169"/>
      <c r="J209" s="168"/>
      <c r="K209" s="3"/>
      <c r="L209" s="168"/>
      <c r="M209" s="168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169"/>
      <c r="C210" s="3"/>
      <c r="D210" s="4"/>
      <c r="E210" s="3"/>
      <c r="F210" s="3"/>
      <c r="G210" s="3"/>
      <c r="H210" s="168"/>
      <c r="I210" s="169"/>
      <c r="J210" s="168"/>
      <c r="K210" s="3"/>
      <c r="L210" s="168"/>
      <c r="M210" s="168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169"/>
      <c r="C211" s="3"/>
      <c r="D211" s="4"/>
      <c r="E211" s="3"/>
      <c r="F211" s="3"/>
      <c r="G211" s="3"/>
      <c r="H211" s="168"/>
      <c r="I211" s="169"/>
      <c r="J211" s="168"/>
      <c r="K211" s="3"/>
      <c r="L211" s="168"/>
      <c r="M211" s="168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169"/>
      <c r="C212" s="3"/>
      <c r="D212" s="4"/>
      <c r="E212" s="3"/>
      <c r="F212" s="3"/>
      <c r="G212" s="3"/>
      <c r="H212" s="168"/>
      <c r="I212" s="169"/>
      <c r="J212" s="168"/>
      <c r="K212" s="3"/>
      <c r="L212" s="168"/>
      <c r="M212" s="168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169"/>
      <c r="C213" s="3"/>
      <c r="D213" s="4"/>
      <c r="E213" s="3"/>
      <c r="F213" s="3"/>
      <c r="G213" s="3"/>
      <c r="H213" s="168"/>
      <c r="I213" s="169"/>
      <c r="J213" s="168"/>
      <c r="K213" s="3"/>
      <c r="L213" s="168"/>
      <c r="M213" s="168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169"/>
      <c r="C214" s="3"/>
      <c r="D214" s="4"/>
      <c r="E214" s="3"/>
      <c r="F214" s="3"/>
      <c r="G214" s="3"/>
      <c r="H214" s="168"/>
      <c r="I214" s="169"/>
      <c r="J214" s="168"/>
      <c r="K214" s="3"/>
      <c r="L214" s="168"/>
      <c r="M214" s="168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169"/>
      <c r="C215" s="3"/>
      <c r="D215" s="4"/>
      <c r="E215" s="3"/>
      <c r="F215" s="3"/>
      <c r="G215" s="3"/>
      <c r="H215" s="168"/>
      <c r="I215" s="169"/>
      <c r="J215" s="168"/>
      <c r="K215" s="3"/>
      <c r="L215" s="168"/>
      <c r="M215" s="168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169"/>
      <c r="C216" s="3"/>
      <c r="D216" s="4"/>
      <c r="E216" s="3"/>
      <c r="F216" s="3"/>
      <c r="G216" s="3"/>
      <c r="H216" s="168"/>
      <c r="I216" s="169"/>
      <c r="J216" s="168"/>
      <c r="K216" s="3"/>
      <c r="L216" s="168"/>
      <c r="M216" s="168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169"/>
      <c r="C217" s="3"/>
      <c r="D217" s="4"/>
      <c r="E217" s="3"/>
      <c r="F217" s="3"/>
      <c r="G217" s="3"/>
      <c r="H217" s="168"/>
      <c r="I217" s="169"/>
      <c r="J217" s="168"/>
      <c r="K217" s="3"/>
      <c r="L217" s="168"/>
      <c r="M217" s="168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169"/>
      <c r="C218" s="3"/>
      <c r="D218" s="4"/>
      <c r="E218" s="3"/>
      <c r="F218" s="3"/>
      <c r="G218" s="3"/>
      <c r="H218" s="168"/>
      <c r="I218" s="169"/>
      <c r="J218" s="168"/>
      <c r="K218" s="3"/>
      <c r="L218" s="168"/>
      <c r="M218" s="168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169"/>
      <c r="C219" s="3"/>
      <c r="D219" s="4"/>
      <c r="E219" s="3"/>
      <c r="F219" s="3"/>
      <c r="G219" s="3"/>
      <c r="H219" s="168"/>
      <c r="I219" s="169"/>
      <c r="J219" s="168"/>
      <c r="K219" s="3"/>
      <c r="L219" s="168"/>
      <c r="M219" s="168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169"/>
      <c r="C220" s="3"/>
      <c r="D220" s="4"/>
      <c r="E220" s="3"/>
      <c r="F220" s="3"/>
      <c r="G220" s="3"/>
      <c r="H220" s="168"/>
      <c r="I220" s="169"/>
      <c r="J220" s="168"/>
      <c r="K220" s="3"/>
      <c r="L220" s="168"/>
      <c r="M220" s="168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169"/>
      <c r="C221" s="3"/>
      <c r="D221" s="4"/>
      <c r="E221" s="3"/>
      <c r="F221" s="3"/>
      <c r="G221" s="3"/>
      <c r="H221" s="168"/>
      <c r="I221" s="169"/>
      <c r="J221" s="168"/>
      <c r="K221" s="3"/>
      <c r="L221" s="168"/>
      <c r="M221" s="168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169"/>
      <c r="C222" s="3"/>
      <c r="D222" s="4"/>
      <c r="E222" s="3"/>
      <c r="F222" s="3"/>
      <c r="G222" s="3"/>
      <c r="H222" s="168"/>
      <c r="I222" s="169"/>
      <c r="J222" s="168"/>
      <c r="K222" s="3"/>
      <c r="L222" s="168"/>
      <c r="M222" s="168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169"/>
      <c r="C223" s="3"/>
      <c r="D223" s="4"/>
      <c r="E223" s="3"/>
      <c r="F223" s="3"/>
      <c r="G223" s="3"/>
      <c r="H223" s="168"/>
      <c r="I223" s="169"/>
      <c r="J223" s="168"/>
      <c r="K223" s="3"/>
      <c r="L223" s="168"/>
      <c r="M223" s="168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169"/>
      <c r="C224" s="3"/>
      <c r="D224" s="4"/>
      <c r="E224" s="3"/>
      <c r="F224" s="3"/>
      <c r="G224" s="3"/>
      <c r="H224" s="168"/>
      <c r="I224" s="169"/>
      <c r="J224" s="168"/>
      <c r="K224" s="3"/>
      <c r="L224" s="168"/>
      <c r="M224" s="168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169"/>
      <c r="C225" s="3"/>
      <c r="D225" s="4"/>
      <c r="E225" s="3"/>
      <c r="F225" s="3"/>
      <c r="G225" s="3"/>
      <c r="H225" s="168"/>
      <c r="I225" s="169"/>
      <c r="J225" s="168"/>
      <c r="K225" s="3"/>
      <c r="L225" s="168"/>
      <c r="M225" s="168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169"/>
      <c r="C226" s="3"/>
      <c r="D226" s="4"/>
      <c r="E226" s="3"/>
      <c r="F226" s="3"/>
      <c r="G226" s="3"/>
      <c r="H226" s="168"/>
      <c r="I226" s="169"/>
      <c r="J226" s="168"/>
      <c r="K226" s="3"/>
      <c r="L226" s="168"/>
      <c r="M226" s="168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169"/>
      <c r="C227" s="3"/>
      <c r="D227" s="4"/>
      <c r="E227" s="3"/>
      <c r="F227" s="3"/>
      <c r="G227" s="3"/>
      <c r="H227" s="168"/>
      <c r="I227" s="169"/>
      <c r="J227" s="168"/>
      <c r="K227" s="3"/>
      <c r="L227" s="168"/>
      <c r="M227" s="168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169"/>
      <c r="C228" s="3"/>
      <c r="D228" s="4"/>
      <c r="E228" s="3"/>
      <c r="F228" s="3"/>
      <c r="G228" s="3"/>
      <c r="H228" s="168"/>
      <c r="I228" s="169"/>
      <c r="J228" s="168"/>
      <c r="K228" s="3"/>
      <c r="L228" s="168"/>
      <c r="M228" s="168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169"/>
      <c r="C229" s="3"/>
      <c r="D229" s="4"/>
      <c r="E229" s="3"/>
      <c r="F229" s="3"/>
      <c r="G229" s="3"/>
      <c r="H229" s="168"/>
      <c r="I229" s="169"/>
      <c r="J229" s="168"/>
      <c r="K229" s="3"/>
      <c r="L229" s="168"/>
      <c r="M229" s="168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169"/>
      <c r="C230" s="3"/>
      <c r="D230" s="4"/>
      <c r="E230" s="3"/>
      <c r="F230" s="3"/>
      <c r="G230" s="3"/>
      <c r="H230" s="168"/>
      <c r="I230" s="169"/>
      <c r="J230" s="168"/>
      <c r="K230" s="3"/>
      <c r="L230" s="168"/>
      <c r="M230" s="168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169"/>
      <c r="C231" s="3"/>
      <c r="D231" s="4"/>
      <c r="E231" s="3"/>
      <c r="F231" s="3"/>
      <c r="G231" s="3"/>
      <c r="H231" s="168"/>
      <c r="I231" s="169"/>
      <c r="J231" s="168"/>
      <c r="K231" s="3"/>
      <c r="L231" s="168"/>
      <c r="M231" s="168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169"/>
      <c r="C232" s="3"/>
      <c r="D232" s="4"/>
      <c r="E232" s="3"/>
      <c r="F232" s="3"/>
      <c r="G232" s="3"/>
      <c r="H232" s="168"/>
      <c r="I232" s="169"/>
      <c r="J232" s="168"/>
      <c r="K232" s="3"/>
      <c r="L232" s="168"/>
      <c r="M232" s="168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169"/>
      <c r="C233" s="3"/>
      <c r="D233" s="4"/>
      <c r="E233" s="3"/>
      <c r="F233" s="3"/>
      <c r="G233" s="3"/>
      <c r="H233" s="168"/>
      <c r="I233" s="169"/>
      <c r="J233" s="168"/>
      <c r="K233" s="3"/>
      <c r="L233" s="168"/>
      <c r="M233" s="168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169"/>
      <c r="C234" s="3"/>
      <c r="D234" s="4"/>
      <c r="E234" s="3"/>
      <c r="F234" s="3"/>
      <c r="G234" s="3"/>
      <c r="H234" s="168"/>
      <c r="I234" s="169"/>
      <c r="J234" s="168"/>
      <c r="K234" s="3"/>
      <c r="L234" s="168"/>
      <c r="M234" s="168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169"/>
      <c r="C235" s="3"/>
      <c r="D235" s="4"/>
      <c r="E235" s="3"/>
      <c r="F235" s="3"/>
      <c r="G235" s="3"/>
      <c r="H235" s="168"/>
      <c r="I235" s="169"/>
      <c r="J235" s="168"/>
      <c r="K235" s="3"/>
      <c r="L235" s="168"/>
      <c r="M235" s="168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169"/>
      <c r="C236" s="3"/>
      <c r="D236" s="4"/>
      <c r="E236" s="3"/>
      <c r="F236" s="3"/>
      <c r="G236" s="3"/>
      <c r="H236" s="168"/>
      <c r="I236" s="169"/>
      <c r="J236" s="168"/>
      <c r="K236" s="3"/>
      <c r="L236" s="168"/>
      <c r="M236" s="168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169"/>
      <c r="C237" s="3"/>
      <c r="D237" s="4"/>
      <c r="E237" s="3"/>
      <c r="F237" s="3"/>
      <c r="G237" s="3"/>
      <c r="H237" s="168"/>
      <c r="I237" s="169"/>
      <c r="J237" s="168"/>
      <c r="K237" s="3"/>
      <c r="L237" s="168"/>
      <c r="M237" s="168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169"/>
      <c r="C238" s="3"/>
      <c r="D238" s="4"/>
      <c r="E238" s="3"/>
      <c r="F238" s="3"/>
      <c r="G238" s="3"/>
      <c r="H238" s="168"/>
      <c r="I238" s="169"/>
      <c r="J238" s="168"/>
      <c r="K238" s="3"/>
      <c r="L238" s="168"/>
      <c r="M238" s="168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169"/>
      <c r="C239" s="3"/>
      <c r="D239" s="4"/>
      <c r="E239" s="3"/>
      <c r="F239" s="3"/>
      <c r="G239" s="3"/>
      <c r="H239" s="168"/>
      <c r="I239" s="169"/>
      <c r="J239" s="168"/>
      <c r="K239" s="3"/>
      <c r="L239" s="168"/>
      <c r="M239" s="168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169"/>
      <c r="C240" s="3"/>
      <c r="D240" s="4"/>
      <c r="E240" s="3"/>
      <c r="F240" s="3"/>
      <c r="G240" s="3"/>
      <c r="H240" s="168"/>
      <c r="I240" s="169"/>
      <c r="J240" s="168"/>
      <c r="K240" s="3"/>
      <c r="L240" s="168"/>
      <c r="M240" s="168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169"/>
      <c r="C241" s="3"/>
      <c r="D241" s="4"/>
      <c r="E241" s="3"/>
      <c r="F241" s="3"/>
      <c r="G241" s="3"/>
      <c r="H241" s="168"/>
      <c r="I241" s="169"/>
      <c r="J241" s="168"/>
      <c r="K241" s="3"/>
      <c r="L241" s="168"/>
      <c r="M241" s="168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169"/>
      <c r="C242" s="3"/>
      <c r="D242" s="4"/>
      <c r="E242" s="3"/>
      <c r="F242" s="3"/>
      <c r="G242" s="3"/>
      <c r="H242" s="168"/>
      <c r="I242" s="169"/>
      <c r="J242" s="168"/>
      <c r="K242" s="3"/>
      <c r="L242" s="168"/>
      <c r="M242" s="168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169"/>
      <c r="C243" s="3"/>
      <c r="D243" s="4"/>
      <c r="E243" s="3"/>
      <c r="F243" s="3"/>
      <c r="G243" s="3"/>
      <c r="H243" s="168"/>
      <c r="I243" s="169"/>
      <c r="J243" s="168"/>
      <c r="K243" s="3"/>
      <c r="L243" s="168"/>
      <c r="M243" s="168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169"/>
      <c r="C244" s="3"/>
      <c r="D244" s="4"/>
      <c r="E244" s="3"/>
      <c r="F244" s="3"/>
      <c r="G244" s="3"/>
      <c r="H244" s="168"/>
      <c r="I244" s="169"/>
      <c r="J244" s="168"/>
      <c r="K244" s="3"/>
      <c r="L244" s="168"/>
      <c r="M244" s="168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169"/>
      <c r="C245" s="3"/>
      <c r="D245" s="4"/>
      <c r="E245" s="3"/>
      <c r="F245" s="3"/>
      <c r="G245" s="3"/>
      <c r="H245" s="168"/>
      <c r="I245" s="169"/>
      <c r="J245" s="168"/>
      <c r="K245" s="3"/>
      <c r="L245" s="168"/>
      <c r="M245" s="168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169"/>
      <c r="C246" s="3"/>
      <c r="D246" s="4"/>
      <c r="E246" s="3"/>
      <c r="F246" s="3"/>
      <c r="G246" s="3"/>
      <c r="H246" s="168"/>
      <c r="I246" s="169"/>
      <c r="J246" s="168"/>
      <c r="K246" s="3"/>
      <c r="L246" s="168"/>
      <c r="M246" s="168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169"/>
      <c r="C247" s="3"/>
      <c r="D247" s="4"/>
      <c r="E247" s="3"/>
      <c r="F247" s="3"/>
      <c r="G247" s="3"/>
      <c r="H247" s="168"/>
      <c r="I247" s="169"/>
      <c r="J247" s="168"/>
      <c r="K247" s="3"/>
      <c r="L247" s="168"/>
      <c r="M247" s="168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169"/>
      <c r="C248" s="3"/>
      <c r="D248" s="4"/>
      <c r="E248" s="3"/>
      <c r="F248" s="3"/>
      <c r="G248" s="3"/>
      <c r="H248" s="168"/>
      <c r="I248" s="169"/>
      <c r="J248" s="168"/>
      <c r="K248" s="3"/>
      <c r="L248" s="168"/>
      <c r="M248" s="168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169"/>
      <c r="C249" s="3"/>
      <c r="D249" s="4"/>
      <c r="E249" s="3"/>
      <c r="F249" s="3"/>
      <c r="G249" s="3"/>
      <c r="H249" s="168"/>
      <c r="I249" s="169"/>
      <c r="J249" s="168"/>
      <c r="K249" s="3"/>
      <c r="L249" s="168"/>
      <c r="M249" s="168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169"/>
      <c r="C250" s="3"/>
      <c r="D250" s="4"/>
      <c r="E250" s="3"/>
      <c r="F250" s="3"/>
      <c r="G250" s="3"/>
      <c r="H250" s="168"/>
      <c r="I250" s="169"/>
      <c r="J250" s="168"/>
      <c r="K250" s="3"/>
      <c r="L250" s="168"/>
      <c r="M250" s="168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169"/>
      <c r="C251" s="3"/>
      <c r="D251" s="4"/>
      <c r="E251" s="3"/>
      <c r="F251" s="3"/>
      <c r="G251" s="3"/>
      <c r="H251" s="168"/>
      <c r="I251" s="169"/>
      <c r="J251" s="168"/>
      <c r="K251" s="3"/>
      <c r="L251" s="168"/>
      <c r="M251" s="168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169"/>
      <c r="C252" s="3"/>
      <c r="D252" s="4"/>
      <c r="E252" s="3"/>
      <c r="F252" s="3"/>
      <c r="G252" s="3"/>
      <c r="H252" s="168"/>
      <c r="I252" s="169"/>
      <c r="J252" s="168"/>
      <c r="K252" s="3"/>
      <c r="L252" s="168"/>
      <c r="M252" s="168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169"/>
      <c r="C253" s="3"/>
      <c r="D253" s="4"/>
      <c r="E253" s="3"/>
      <c r="F253" s="3"/>
      <c r="G253" s="3"/>
      <c r="H253" s="168"/>
      <c r="I253" s="169"/>
      <c r="J253" s="168"/>
      <c r="K253" s="3"/>
      <c r="L253" s="168"/>
      <c r="M253" s="168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169"/>
      <c r="C254" s="3"/>
      <c r="D254" s="4"/>
      <c r="E254" s="3"/>
      <c r="F254" s="3"/>
      <c r="G254" s="3"/>
      <c r="H254" s="168"/>
      <c r="I254" s="169"/>
      <c r="J254" s="168"/>
      <c r="K254" s="3"/>
      <c r="L254" s="168"/>
      <c r="M254" s="168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169"/>
      <c r="C255" s="3"/>
      <c r="D255" s="4"/>
      <c r="E255" s="3"/>
      <c r="F255" s="3"/>
      <c r="G255" s="3"/>
      <c r="H255" s="168"/>
      <c r="I255" s="169"/>
      <c r="J255" s="168"/>
      <c r="K255" s="3"/>
      <c r="L255" s="168"/>
      <c r="M255" s="168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169"/>
      <c r="C256" s="3"/>
      <c r="D256" s="4"/>
      <c r="E256" s="3"/>
      <c r="F256" s="3"/>
      <c r="G256" s="3"/>
      <c r="H256" s="168"/>
      <c r="I256" s="169"/>
      <c r="J256" s="168"/>
      <c r="K256" s="3"/>
      <c r="L256" s="168"/>
      <c r="M256" s="168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169"/>
      <c r="C257" s="3"/>
      <c r="D257" s="4"/>
      <c r="E257" s="3"/>
      <c r="F257" s="3"/>
      <c r="G257" s="3"/>
      <c r="H257" s="168"/>
      <c r="I257" s="169"/>
      <c r="J257" s="168"/>
      <c r="K257" s="3"/>
      <c r="L257" s="168"/>
      <c r="M257" s="168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169"/>
      <c r="C258" s="3"/>
      <c r="D258" s="4"/>
      <c r="E258" s="3"/>
      <c r="F258" s="3"/>
      <c r="G258" s="3"/>
      <c r="H258" s="168"/>
      <c r="I258" s="169"/>
      <c r="J258" s="168"/>
      <c r="K258" s="3"/>
      <c r="L258" s="168"/>
      <c r="M258" s="168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169"/>
      <c r="C259" s="3"/>
      <c r="D259" s="4"/>
      <c r="E259" s="3"/>
      <c r="F259" s="3"/>
      <c r="G259" s="3"/>
      <c r="H259" s="168"/>
      <c r="I259" s="169"/>
      <c r="J259" s="168"/>
      <c r="K259" s="3"/>
      <c r="L259" s="168"/>
      <c r="M259" s="168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169"/>
      <c r="C260" s="3"/>
      <c r="D260" s="4"/>
      <c r="E260" s="3"/>
      <c r="F260" s="3"/>
      <c r="G260" s="3"/>
      <c r="H260" s="168"/>
      <c r="I260" s="169"/>
      <c r="J260" s="168"/>
      <c r="K260" s="3"/>
      <c r="L260" s="168"/>
      <c r="M260" s="168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169"/>
      <c r="C261" s="3"/>
      <c r="D261" s="4"/>
      <c r="E261" s="3"/>
      <c r="F261" s="3"/>
      <c r="G261" s="3"/>
      <c r="H261" s="168"/>
      <c r="I261" s="169"/>
      <c r="J261" s="168"/>
      <c r="K261" s="3"/>
      <c r="L261" s="168"/>
      <c r="M261" s="168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169"/>
      <c r="C262" s="3"/>
      <c r="D262" s="4"/>
      <c r="E262" s="3"/>
      <c r="F262" s="3"/>
      <c r="G262" s="3"/>
      <c r="H262" s="168"/>
      <c r="I262" s="169"/>
      <c r="J262" s="168"/>
      <c r="K262" s="3"/>
      <c r="L262" s="168"/>
      <c r="M262" s="168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169"/>
      <c r="C263" s="3"/>
      <c r="D263" s="4"/>
      <c r="E263" s="3"/>
      <c r="F263" s="3"/>
      <c r="G263" s="3"/>
      <c r="H263" s="168"/>
      <c r="I263" s="169"/>
      <c r="J263" s="168"/>
      <c r="K263" s="3"/>
      <c r="L263" s="168"/>
      <c r="M263" s="168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169"/>
      <c r="C264" s="3"/>
      <c r="D264" s="4"/>
      <c r="E264" s="3"/>
      <c r="F264" s="3"/>
      <c r="G264" s="3"/>
      <c r="H264" s="168"/>
      <c r="I264" s="169"/>
      <c r="J264" s="168"/>
      <c r="K264" s="3"/>
      <c r="L264" s="168"/>
      <c r="M264" s="168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169"/>
      <c r="C265" s="3"/>
      <c r="D265" s="4"/>
      <c r="E265" s="3"/>
      <c r="F265" s="3"/>
      <c r="G265" s="3"/>
      <c r="H265" s="168"/>
      <c r="I265" s="169"/>
      <c r="J265" s="168"/>
      <c r="K265" s="3"/>
      <c r="L265" s="168"/>
      <c r="M265" s="168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169"/>
      <c r="C266" s="3"/>
      <c r="D266" s="4"/>
      <c r="E266" s="3"/>
      <c r="F266" s="3"/>
      <c r="G266" s="3"/>
      <c r="H266" s="168"/>
      <c r="I266" s="169"/>
      <c r="J266" s="168"/>
      <c r="K266" s="3"/>
      <c r="L266" s="168"/>
      <c r="M266" s="168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169"/>
      <c r="C267" s="3"/>
      <c r="D267" s="4"/>
      <c r="E267" s="3"/>
      <c r="F267" s="3"/>
      <c r="G267" s="3"/>
      <c r="H267" s="168"/>
      <c r="I267" s="169"/>
      <c r="J267" s="168"/>
      <c r="K267" s="3"/>
      <c r="L267" s="168"/>
      <c r="M267" s="168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169"/>
      <c r="C268" s="3"/>
      <c r="D268" s="4"/>
      <c r="E268" s="3"/>
      <c r="F268" s="3"/>
      <c r="G268" s="3"/>
      <c r="H268" s="168"/>
      <c r="I268" s="169"/>
      <c r="J268" s="168"/>
      <c r="K268" s="3"/>
      <c r="L268" s="168"/>
      <c r="M268" s="168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169"/>
      <c r="C269" s="3"/>
      <c r="D269" s="4"/>
      <c r="E269" s="3"/>
      <c r="F269" s="3"/>
      <c r="G269" s="3"/>
      <c r="H269" s="168"/>
      <c r="I269" s="169"/>
      <c r="J269" s="168"/>
      <c r="K269" s="3"/>
      <c r="L269" s="168"/>
      <c r="M269" s="168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169"/>
      <c r="C270" s="3"/>
      <c r="D270" s="4"/>
      <c r="E270" s="3"/>
      <c r="F270" s="3"/>
      <c r="G270" s="3"/>
      <c r="H270" s="168"/>
      <c r="I270" s="169"/>
      <c r="J270" s="168"/>
      <c r="K270" s="3"/>
      <c r="L270" s="168"/>
      <c r="M270" s="168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169"/>
      <c r="C271" s="3"/>
      <c r="D271" s="4"/>
      <c r="E271" s="3"/>
      <c r="F271" s="3"/>
      <c r="G271" s="3"/>
      <c r="H271" s="168"/>
      <c r="I271" s="169"/>
      <c r="J271" s="168"/>
      <c r="K271" s="3"/>
      <c r="L271" s="168"/>
      <c r="M271" s="168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169"/>
      <c r="C272" s="3"/>
      <c r="D272" s="4"/>
      <c r="E272" s="3"/>
      <c r="F272" s="3"/>
      <c r="G272" s="3"/>
      <c r="H272" s="168"/>
      <c r="I272" s="169"/>
      <c r="J272" s="168"/>
      <c r="K272" s="3"/>
      <c r="L272" s="168"/>
      <c r="M272" s="168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169"/>
      <c r="C273" s="3"/>
      <c r="D273" s="4"/>
      <c r="E273" s="3"/>
      <c r="F273" s="3"/>
      <c r="G273" s="3"/>
      <c r="H273" s="168"/>
      <c r="I273" s="169"/>
      <c r="J273" s="168"/>
      <c r="K273" s="3"/>
      <c r="L273" s="168"/>
      <c r="M273" s="168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169"/>
      <c r="C274" s="3"/>
      <c r="D274" s="4"/>
      <c r="E274" s="3"/>
      <c r="F274" s="3"/>
      <c r="G274" s="3"/>
      <c r="H274" s="168"/>
      <c r="I274" s="169"/>
      <c r="J274" s="168"/>
      <c r="K274" s="3"/>
      <c r="L274" s="168"/>
      <c r="M274" s="168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169"/>
      <c r="C275" s="3"/>
      <c r="D275" s="4"/>
      <c r="E275" s="3"/>
      <c r="F275" s="3"/>
      <c r="G275" s="3"/>
      <c r="H275" s="168"/>
      <c r="I275" s="169"/>
      <c r="J275" s="168"/>
      <c r="K275" s="3"/>
      <c r="L275" s="168"/>
      <c r="M275" s="168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169"/>
      <c r="C276" s="3"/>
      <c r="D276" s="4"/>
      <c r="E276" s="3"/>
      <c r="F276" s="3"/>
      <c r="G276" s="3"/>
      <c r="H276" s="168"/>
      <c r="I276" s="169"/>
      <c r="J276" s="168"/>
      <c r="K276" s="3"/>
      <c r="L276" s="168"/>
      <c r="M276" s="168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169"/>
      <c r="C277" s="3"/>
      <c r="D277" s="4"/>
      <c r="E277" s="3"/>
      <c r="F277" s="3"/>
      <c r="G277" s="3"/>
      <c r="H277" s="168"/>
      <c r="I277" s="169"/>
      <c r="J277" s="168"/>
      <c r="K277" s="3"/>
      <c r="L277" s="168"/>
      <c r="M277" s="168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169"/>
      <c r="C278" s="3"/>
      <c r="D278" s="4"/>
      <c r="E278" s="3"/>
      <c r="F278" s="3"/>
      <c r="G278" s="3"/>
      <c r="H278" s="168"/>
      <c r="I278" s="169"/>
      <c r="J278" s="168"/>
      <c r="K278" s="3"/>
      <c r="L278" s="168"/>
      <c r="M278" s="168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169"/>
      <c r="C279" s="3"/>
      <c r="D279" s="4"/>
      <c r="E279" s="3"/>
      <c r="F279" s="3"/>
      <c r="G279" s="3"/>
      <c r="H279" s="168"/>
      <c r="I279" s="169"/>
      <c r="J279" s="168"/>
      <c r="K279" s="3"/>
      <c r="L279" s="168"/>
      <c r="M279" s="168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169"/>
      <c r="C280" s="3"/>
      <c r="D280" s="4"/>
      <c r="E280" s="3"/>
      <c r="F280" s="3"/>
      <c r="G280" s="3"/>
      <c r="H280" s="168"/>
      <c r="I280" s="169"/>
      <c r="J280" s="168"/>
      <c r="K280" s="3"/>
      <c r="L280" s="168"/>
      <c r="M280" s="168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169"/>
      <c r="C281" s="3"/>
      <c r="D281" s="4"/>
      <c r="E281" s="3"/>
      <c r="F281" s="3"/>
      <c r="G281" s="3"/>
      <c r="H281" s="168"/>
      <c r="I281" s="169"/>
      <c r="J281" s="168"/>
      <c r="K281" s="3"/>
      <c r="L281" s="168"/>
      <c r="M281" s="168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169"/>
      <c r="C282" s="3"/>
      <c r="D282" s="4"/>
      <c r="E282" s="3"/>
      <c r="F282" s="3"/>
      <c r="G282" s="3"/>
      <c r="H282" s="168"/>
      <c r="I282" s="169"/>
      <c r="J282" s="168"/>
      <c r="K282" s="3"/>
      <c r="L282" s="168"/>
      <c r="M282" s="168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169"/>
      <c r="C283" s="3"/>
      <c r="D283" s="4"/>
      <c r="E283" s="3"/>
      <c r="F283" s="3"/>
      <c r="G283" s="3"/>
      <c r="H283" s="168"/>
      <c r="I283" s="169"/>
      <c r="J283" s="168"/>
      <c r="K283" s="3"/>
      <c r="L283" s="168"/>
      <c r="M283" s="168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169"/>
      <c r="C284" s="3"/>
      <c r="D284" s="4"/>
      <c r="E284" s="3"/>
      <c r="F284" s="3"/>
      <c r="G284" s="3"/>
      <c r="H284" s="168"/>
      <c r="I284" s="169"/>
      <c r="J284" s="168"/>
      <c r="K284" s="3"/>
      <c r="L284" s="168"/>
      <c r="M284" s="168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169"/>
      <c r="C285" s="3"/>
      <c r="D285" s="4"/>
      <c r="E285" s="3"/>
      <c r="F285" s="3"/>
      <c r="G285" s="3"/>
      <c r="H285" s="168"/>
      <c r="I285" s="169"/>
      <c r="J285" s="168"/>
      <c r="K285" s="3"/>
      <c r="L285" s="168"/>
      <c r="M285" s="168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169"/>
      <c r="C286" s="3"/>
      <c r="D286" s="4"/>
      <c r="E286" s="3"/>
      <c r="F286" s="3"/>
      <c r="G286" s="3"/>
      <c r="H286" s="168"/>
      <c r="I286" s="169"/>
      <c r="J286" s="168"/>
      <c r="K286" s="3"/>
      <c r="L286" s="168"/>
      <c r="M286" s="168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169"/>
      <c r="C287" s="3"/>
      <c r="D287" s="4"/>
      <c r="E287" s="3"/>
      <c r="F287" s="3"/>
      <c r="G287" s="3"/>
      <c r="H287" s="168"/>
      <c r="I287" s="169"/>
      <c r="J287" s="168"/>
      <c r="K287" s="3"/>
      <c r="L287" s="168"/>
      <c r="M287" s="168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169"/>
      <c r="C288" s="3"/>
      <c r="D288" s="4"/>
      <c r="E288" s="3"/>
      <c r="F288" s="3"/>
      <c r="G288" s="3"/>
      <c r="H288" s="168"/>
      <c r="I288" s="169"/>
      <c r="J288" s="168"/>
      <c r="K288" s="3"/>
      <c r="L288" s="168"/>
      <c r="M288" s="168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169"/>
      <c r="C289" s="3"/>
      <c r="D289" s="4"/>
      <c r="E289" s="3"/>
      <c r="F289" s="3"/>
      <c r="G289" s="3"/>
      <c r="H289" s="168"/>
      <c r="I289" s="169"/>
      <c r="J289" s="168"/>
      <c r="K289" s="3"/>
      <c r="L289" s="168"/>
      <c r="M289" s="168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169"/>
      <c r="C290" s="3"/>
      <c r="D290" s="4"/>
      <c r="E290" s="3"/>
      <c r="F290" s="3"/>
      <c r="G290" s="3"/>
      <c r="H290" s="168"/>
      <c r="I290" s="169"/>
      <c r="J290" s="168"/>
      <c r="K290" s="3"/>
      <c r="L290" s="168"/>
      <c r="M290" s="168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169"/>
      <c r="C291" s="3"/>
      <c r="D291" s="4"/>
      <c r="E291" s="3"/>
      <c r="F291" s="3"/>
      <c r="G291" s="3"/>
      <c r="H291" s="168"/>
      <c r="I291" s="169"/>
      <c r="J291" s="168"/>
      <c r="K291" s="3"/>
      <c r="L291" s="168"/>
      <c r="M291" s="168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169"/>
      <c r="C292" s="3"/>
      <c r="D292" s="4"/>
      <c r="E292" s="3"/>
      <c r="F292" s="3"/>
      <c r="G292" s="3"/>
      <c r="H292" s="168"/>
      <c r="I292" s="169"/>
      <c r="J292" s="168"/>
      <c r="K292" s="3"/>
      <c r="L292" s="168"/>
      <c r="M292" s="168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169"/>
      <c r="C293" s="3"/>
      <c r="D293" s="4"/>
      <c r="E293" s="3"/>
      <c r="F293" s="3"/>
      <c r="G293" s="3"/>
      <c r="H293" s="168"/>
      <c r="I293" s="169"/>
      <c r="J293" s="168"/>
      <c r="K293" s="3"/>
      <c r="L293" s="168"/>
      <c r="M293" s="168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169"/>
      <c r="C294" s="3"/>
      <c r="D294" s="4"/>
      <c r="E294" s="3"/>
      <c r="F294" s="3"/>
      <c r="G294" s="3"/>
      <c r="H294" s="168"/>
      <c r="I294" s="169"/>
      <c r="J294" s="168"/>
      <c r="K294" s="3"/>
      <c r="L294" s="168"/>
      <c r="M294" s="168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169"/>
      <c r="C295" s="3"/>
      <c r="D295" s="4"/>
      <c r="E295" s="3"/>
      <c r="F295" s="3"/>
      <c r="G295" s="3"/>
      <c r="H295" s="168"/>
      <c r="I295" s="169"/>
      <c r="J295" s="168"/>
      <c r="K295" s="3"/>
      <c r="L295" s="168"/>
      <c r="M295" s="168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169"/>
      <c r="C296" s="3"/>
      <c r="D296" s="4"/>
      <c r="E296" s="3"/>
      <c r="F296" s="3"/>
      <c r="G296" s="3"/>
      <c r="H296" s="168"/>
      <c r="I296" s="169"/>
      <c r="J296" s="168"/>
      <c r="K296" s="3"/>
      <c r="L296" s="168"/>
      <c r="M296" s="168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169"/>
      <c r="C297" s="3"/>
      <c r="D297" s="4"/>
      <c r="E297" s="3"/>
      <c r="F297" s="3"/>
      <c r="G297" s="3"/>
      <c r="H297" s="168"/>
      <c r="I297" s="169"/>
      <c r="J297" s="168"/>
      <c r="K297" s="3"/>
      <c r="L297" s="168"/>
      <c r="M297" s="168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169"/>
      <c r="C298" s="3"/>
      <c r="D298" s="4"/>
      <c r="E298" s="3"/>
      <c r="F298" s="3"/>
      <c r="G298" s="3"/>
      <c r="H298" s="168"/>
      <c r="I298" s="169"/>
      <c r="J298" s="168"/>
      <c r="K298" s="3"/>
      <c r="L298" s="168"/>
      <c r="M298" s="168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169"/>
      <c r="C299" s="3"/>
      <c r="D299" s="4"/>
      <c r="E299" s="3"/>
      <c r="F299" s="3"/>
      <c r="G299" s="3"/>
      <c r="H299" s="168"/>
      <c r="I299" s="169"/>
      <c r="J299" s="168"/>
      <c r="K299" s="3"/>
      <c r="L299" s="168"/>
      <c r="M299" s="168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169"/>
      <c r="C300" s="3"/>
      <c r="D300" s="4"/>
      <c r="E300" s="3"/>
      <c r="F300" s="3"/>
      <c r="G300" s="3"/>
      <c r="H300" s="168"/>
      <c r="I300" s="169"/>
      <c r="J300" s="168"/>
      <c r="K300" s="3"/>
      <c r="L300" s="168"/>
      <c r="M300" s="168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169"/>
      <c r="C301" s="3"/>
      <c r="D301" s="4"/>
      <c r="E301" s="3"/>
      <c r="F301" s="3"/>
      <c r="G301" s="3"/>
      <c r="H301" s="168"/>
      <c r="I301" s="169"/>
      <c r="J301" s="168"/>
      <c r="K301" s="3"/>
      <c r="L301" s="168"/>
      <c r="M301" s="168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169"/>
      <c r="C302" s="3"/>
      <c r="D302" s="4"/>
      <c r="E302" s="3"/>
      <c r="F302" s="3"/>
      <c r="G302" s="3"/>
      <c r="H302" s="168"/>
      <c r="I302" s="169"/>
      <c r="J302" s="168"/>
      <c r="K302" s="3"/>
      <c r="L302" s="168"/>
      <c r="M302" s="168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169"/>
      <c r="C303" s="3"/>
      <c r="D303" s="4"/>
      <c r="E303" s="3"/>
      <c r="F303" s="3"/>
      <c r="G303" s="3"/>
      <c r="H303" s="168"/>
      <c r="I303" s="169"/>
      <c r="J303" s="168"/>
      <c r="K303" s="3"/>
      <c r="L303" s="168"/>
      <c r="M303" s="168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169"/>
      <c r="C304" s="3"/>
      <c r="D304" s="4"/>
      <c r="E304" s="3"/>
      <c r="F304" s="3"/>
      <c r="G304" s="3"/>
      <c r="H304" s="168"/>
      <c r="I304" s="169"/>
      <c r="J304" s="168"/>
      <c r="K304" s="3"/>
      <c r="L304" s="168"/>
      <c r="M304" s="168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169"/>
      <c r="C305" s="3"/>
      <c r="D305" s="4"/>
      <c r="E305" s="3"/>
      <c r="F305" s="3"/>
      <c r="G305" s="3"/>
      <c r="H305" s="168"/>
      <c r="I305" s="169"/>
      <c r="J305" s="168"/>
      <c r="K305" s="3"/>
      <c r="L305" s="168"/>
      <c r="M305" s="168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169"/>
      <c r="C306" s="3"/>
      <c r="D306" s="4"/>
      <c r="E306" s="3"/>
      <c r="F306" s="3"/>
      <c r="G306" s="3"/>
      <c r="H306" s="168"/>
      <c r="I306" s="169"/>
      <c r="J306" s="168"/>
      <c r="K306" s="3"/>
      <c r="L306" s="168"/>
      <c r="M306" s="168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169"/>
      <c r="C307" s="3"/>
      <c r="D307" s="4"/>
      <c r="E307" s="3"/>
      <c r="F307" s="3"/>
      <c r="G307" s="3"/>
      <c r="H307" s="168"/>
      <c r="I307" s="169"/>
      <c r="J307" s="168"/>
      <c r="K307" s="3"/>
      <c r="L307" s="168"/>
      <c r="M307" s="168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169"/>
      <c r="C308" s="3"/>
      <c r="D308" s="4"/>
      <c r="E308" s="3"/>
      <c r="F308" s="3"/>
      <c r="G308" s="3"/>
      <c r="H308" s="168"/>
      <c r="I308" s="169"/>
      <c r="J308" s="168"/>
      <c r="K308" s="3"/>
      <c r="L308" s="168"/>
      <c r="M308" s="168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169"/>
      <c r="C309" s="3"/>
      <c r="D309" s="4"/>
      <c r="E309" s="3"/>
      <c r="F309" s="3"/>
      <c r="G309" s="3"/>
      <c r="H309" s="168"/>
      <c r="I309" s="169"/>
      <c r="J309" s="168"/>
      <c r="K309" s="3"/>
      <c r="L309" s="168"/>
      <c r="M309" s="168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169"/>
      <c r="C310" s="3"/>
      <c r="D310" s="4"/>
      <c r="E310" s="3"/>
      <c r="F310" s="3"/>
      <c r="G310" s="3"/>
      <c r="H310" s="168"/>
      <c r="I310" s="169"/>
      <c r="J310" s="168"/>
      <c r="K310" s="3"/>
      <c r="L310" s="168"/>
      <c r="M310" s="168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169"/>
      <c r="C311" s="3"/>
      <c r="D311" s="4"/>
      <c r="E311" s="3"/>
      <c r="F311" s="3"/>
      <c r="G311" s="3"/>
      <c r="H311" s="168"/>
      <c r="I311" s="169"/>
      <c r="J311" s="168"/>
      <c r="K311" s="3"/>
      <c r="L311" s="168"/>
      <c r="M311" s="168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169"/>
      <c r="C312" s="3"/>
      <c r="D312" s="4"/>
      <c r="E312" s="3"/>
      <c r="F312" s="3"/>
      <c r="G312" s="3"/>
      <c r="H312" s="168"/>
      <c r="I312" s="169"/>
      <c r="J312" s="168"/>
      <c r="K312" s="3"/>
      <c r="L312" s="168"/>
      <c r="M312" s="168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169"/>
      <c r="C313" s="3"/>
      <c r="D313" s="4"/>
      <c r="E313" s="3"/>
      <c r="F313" s="3"/>
      <c r="G313" s="3"/>
      <c r="H313" s="168"/>
      <c r="I313" s="169"/>
      <c r="J313" s="168"/>
      <c r="K313" s="3"/>
      <c r="L313" s="168"/>
      <c r="M313" s="168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169"/>
      <c r="C314" s="3"/>
      <c r="D314" s="4"/>
      <c r="E314" s="3"/>
      <c r="F314" s="3"/>
      <c r="G314" s="3"/>
      <c r="H314" s="168"/>
      <c r="I314" s="169"/>
      <c r="J314" s="168"/>
      <c r="K314" s="3"/>
      <c r="L314" s="168"/>
      <c r="M314" s="168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169"/>
      <c r="C315" s="3"/>
      <c r="D315" s="4"/>
      <c r="E315" s="3"/>
      <c r="F315" s="3"/>
      <c r="G315" s="3"/>
      <c r="H315" s="168"/>
      <c r="I315" s="169"/>
      <c r="J315" s="168"/>
      <c r="K315" s="3"/>
      <c r="L315" s="168"/>
      <c r="M315" s="168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169"/>
      <c r="C316" s="3"/>
      <c r="D316" s="4"/>
      <c r="E316" s="3"/>
      <c r="F316" s="3"/>
      <c r="G316" s="3"/>
      <c r="H316" s="168"/>
      <c r="I316" s="169"/>
      <c r="J316" s="168"/>
      <c r="K316" s="3"/>
      <c r="L316" s="168"/>
      <c r="M316" s="168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169"/>
      <c r="C317" s="3"/>
      <c r="D317" s="4"/>
      <c r="E317" s="3"/>
      <c r="F317" s="3"/>
      <c r="G317" s="3"/>
      <c r="H317" s="168"/>
      <c r="I317" s="169"/>
      <c r="J317" s="168"/>
      <c r="K317" s="3"/>
      <c r="L317" s="168"/>
      <c r="M317" s="168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169"/>
      <c r="C318" s="3"/>
      <c r="D318" s="4"/>
      <c r="E318" s="3"/>
      <c r="F318" s="3"/>
      <c r="G318" s="3"/>
      <c r="H318" s="168"/>
      <c r="I318" s="169"/>
      <c r="J318" s="168"/>
      <c r="K318" s="3"/>
      <c r="L318" s="168"/>
      <c r="M318" s="168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169"/>
      <c r="C319" s="3"/>
      <c r="D319" s="4"/>
      <c r="E319" s="3"/>
      <c r="F319" s="3"/>
      <c r="G319" s="3"/>
      <c r="H319" s="168"/>
      <c r="I319" s="169"/>
      <c r="J319" s="168"/>
      <c r="K319" s="3"/>
      <c r="L319" s="168"/>
      <c r="M319" s="168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169"/>
      <c r="C320" s="3"/>
      <c r="D320" s="4"/>
      <c r="E320" s="3"/>
      <c r="F320" s="3"/>
      <c r="G320" s="3"/>
      <c r="H320" s="168"/>
      <c r="I320" s="169"/>
      <c r="J320" s="168"/>
      <c r="K320" s="3"/>
      <c r="L320" s="168"/>
      <c r="M320" s="168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169"/>
      <c r="C321" s="3"/>
      <c r="D321" s="4"/>
      <c r="E321" s="3"/>
      <c r="F321" s="3"/>
      <c r="G321" s="3"/>
      <c r="H321" s="168"/>
      <c r="I321" s="169"/>
      <c r="J321" s="168"/>
      <c r="K321" s="3"/>
      <c r="L321" s="168"/>
      <c r="M321" s="168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169"/>
      <c r="C322" s="3"/>
      <c r="D322" s="4"/>
      <c r="E322" s="3"/>
      <c r="F322" s="3"/>
      <c r="G322" s="3"/>
      <c r="H322" s="168"/>
      <c r="I322" s="169"/>
      <c r="J322" s="168"/>
      <c r="K322" s="3"/>
      <c r="L322" s="168"/>
      <c r="M322" s="168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169"/>
      <c r="C323" s="3"/>
      <c r="D323" s="4"/>
      <c r="E323" s="3"/>
      <c r="F323" s="3"/>
      <c r="G323" s="3"/>
      <c r="H323" s="168"/>
      <c r="I323" s="169"/>
      <c r="J323" s="168"/>
      <c r="K323" s="3"/>
      <c r="L323" s="168"/>
      <c r="M323" s="168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169"/>
      <c r="C324" s="3"/>
      <c r="D324" s="4"/>
      <c r="E324" s="3"/>
      <c r="F324" s="3"/>
      <c r="G324" s="3"/>
      <c r="H324" s="168"/>
      <c r="I324" s="169"/>
      <c r="J324" s="168"/>
      <c r="K324" s="3"/>
      <c r="L324" s="168"/>
      <c r="M324" s="168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169"/>
      <c r="C325" s="3"/>
      <c r="D325" s="4"/>
      <c r="E325" s="3"/>
      <c r="F325" s="3"/>
      <c r="G325" s="3"/>
      <c r="H325" s="168"/>
      <c r="I325" s="169"/>
      <c r="J325" s="168"/>
      <c r="K325" s="3"/>
      <c r="L325" s="168"/>
      <c r="M325" s="168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169"/>
      <c r="C326" s="3"/>
      <c r="D326" s="4"/>
      <c r="E326" s="3"/>
      <c r="F326" s="3"/>
      <c r="G326" s="3"/>
      <c r="H326" s="168"/>
      <c r="I326" s="169"/>
      <c r="J326" s="168"/>
      <c r="K326" s="3"/>
      <c r="L326" s="168"/>
      <c r="M326" s="168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169"/>
      <c r="C327" s="3"/>
      <c r="D327" s="4"/>
      <c r="E327" s="3"/>
      <c r="F327" s="3"/>
      <c r="G327" s="3"/>
      <c r="H327" s="168"/>
      <c r="I327" s="169"/>
      <c r="J327" s="168"/>
      <c r="K327" s="3"/>
      <c r="L327" s="168"/>
      <c r="M327" s="168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169"/>
      <c r="C328" s="3"/>
      <c r="D328" s="4"/>
      <c r="E328" s="3"/>
      <c r="F328" s="3"/>
      <c r="G328" s="3"/>
      <c r="H328" s="168"/>
      <c r="I328" s="169"/>
      <c r="J328" s="168"/>
      <c r="K328" s="3"/>
      <c r="L328" s="168"/>
      <c r="M328" s="168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169"/>
      <c r="C329" s="3"/>
      <c r="D329" s="4"/>
      <c r="E329" s="3"/>
      <c r="F329" s="3"/>
      <c r="G329" s="3"/>
      <c r="H329" s="168"/>
      <c r="I329" s="169"/>
      <c r="J329" s="168"/>
      <c r="K329" s="3"/>
      <c r="L329" s="168"/>
      <c r="M329" s="168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169"/>
      <c r="C330" s="3"/>
      <c r="D330" s="4"/>
      <c r="E330" s="3"/>
      <c r="F330" s="3"/>
      <c r="G330" s="3"/>
      <c r="H330" s="168"/>
      <c r="I330" s="169"/>
      <c r="J330" s="168"/>
      <c r="K330" s="3"/>
      <c r="L330" s="168"/>
      <c r="M330" s="168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169"/>
      <c r="C331" s="3"/>
      <c r="D331" s="4"/>
      <c r="E331" s="3"/>
      <c r="F331" s="3"/>
      <c r="G331" s="3"/>
      <c r="H331" s="168"/>
      <c r="I331" s="169"/>
      <c r="J331" s="168"/>
      <c r="K331" s="3"/>
      <c r="L331" s="168"/>
      <c r="M331" s="168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169"/>
      <c r="C332" s="3"/>
      <c r="D332" s="4"/>
      <c r="E332" s="3"/>
      <c r="F332" s="3"/>
      <c r="G332" s="3"/>
      <c r="H332" s="168"/>
      <c r="I332" s="169"/>
      <c r="J332" s="168"/>
      <c r="K332" s="3"/>
      <c r="L332" s="168"/>
      <c r="M332" s="168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169"/>
      <c r="C333" s="3"/>
      <c r="D333" s="4"/>
      <c r="E333" s="3"/>
      <c r="F333" s="3"/>
      <c r="G333" s="3"/>
      <c r="H333" s="168"/>
      <c r="I333" s="169"/>
      <c r="J333" s="168"/>
      <c r="K333" s="3"/>
      <c r="L333" s="168"/>
      <c r="M333" s="168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169"/>
      <c r="C334" s="3"/>
      <c r="D334" s="4"/>
      <c r="E334" s="3"/>
      <c r="F334" s="3"/>
      <c r="G334" s="3"/>
      <c r="H334" s="168"/>
      <c r="I334" s="169"/>
      <c r="J334" s="168"/>
      <c r="K334" s="3"/>
      <c r="L334" s="168"/>
      <c r="M334" s="168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169"/>
      <c r="C335" s="3"/>
      <c r="D335" s="4"/>
      <c r="E335" s="3"/>
      <c r="F335" s="3"/>
      <c r="G335" s="3"/>
      <c r="H335" s="168"/>
      <c r="I335" s="169"/>
      <c r="J335" s="168"/>
      <c r="K335" s="3"/>
      <c r="L335" s="168"/>
      <c r="M335" s="168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169"/>
      <c r="C336" s="3"/>
      <c r="D336" s="4"/>
      <c r="E336" s="3"/>
      <c r="F336" s="3"/>
      <c r="G336" s="3"/>
      <c r="H336" s="168"/>
      <c r="I336" s="169"/>
      <c r="J336" s="168"/>
      <c r="K336" s="3"/>
      <c r="L336" s="168"/>
      <c r="M336" s="168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169"/>
      <c r="C337" s="3"/>
      <c r="D337" s="4"/>
      <c r="E337" s="3"/>
      <c r="F337" s="3"/>
      <c r="G337" s="3"/>
      <c r="H337" s="168"/>
      <c r="I337" s="169"/>
      <c r="J337" s="168"/>
      <c r="K337" s="3"/>
      <c r="L337" s="168"/>
      <c r="M337" s="168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169"/>
      <c r="C338" s="3"/>
      <c r="D338" s="4"/>
      <c r="E338" s="3"/>
      <c r="F338" s="3"/>
      <c r="G338" s="3"/>
      <c r="H338" s="168"/>
      <c r="I338" s="169"/>
      <c r="J338" s="168"/>
      <c r="K338" s="3"/>
      <c r="L338" s="168"/>
      <c r="M338" s="168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169"/>
      <c r="C339" s="3"/>
      <c r="D339" s="4"/>
      <c r="E339" s="3"/>
      <c r="F339" s="3"/>
      <c r="G339" s="3"/>
      <c r="H339" s="168"/>
      <c r="I339" s="169"/>
      <c r="J339" s="168"/>
      <c r="K339" s="3"/>
      <c r="L339" s="168"/>
      <c r="M339" s="168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169"/>
      <c r="C340" s="3"/>
      <c r="D340" s="4"/>
      <c r="E340" s="3"/>
      <c r="F340" s="3"/>
      <c r="G340" s="3"/>
      <c r="H340" s="168"/>
      <c r="I340" s="169"/>
      <c r="J340" s="168"/>
      <c r="K340" s="3"/>
      <c r="L340" s="168"/>
      <c r="M340" s="168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169"/>
      <c r="C341" s="3"/>
      <c r="D341" s="4"/>
      <c r="E341" s="3"/>
      <c r="F341" s="3"/>
      <c r="G341" s="3"/>
      <c r="H341" s="168"/>
      <c r="I341" s="169"/>
      <c r="J341" s="168"/>
      <c r="K341" s="3"/>
      <c r="L341" s="168"/>
      <c r="M341" s="168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169"/>
      <c r="C342" s="3"/>
      <c r="D342" s="4"/>
      <c r="E342" s="3"/>
      <c r="F342" s="3"/>
      <c r="G342" s="3"/>
      <c r="H342" s="168"/>
      <c r="I342" s="169"/>
      <c r="J342" s="168"/>
      <c r="K342" s="3"/>
      <c r="L342" s="168"/>
      <c r="M342" s="168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169"/>
      <c r="C343" s="3"/>
      <c r="D343" s="4"/>
      <c r="E343" s="3"/>
      <c r="F343" s="3"/>
      <c r="G343" s="3"/>
      <c r="H343" s="168"/>
      <c r="I343" s="169"/>
      <c r="J343" s="168"/>
      <c r="K343" s="3"/>
      <c r="L343" s="168"/>
      <c r="M343" s="168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169"/>
      <c r="C344" s="3"/>
      <c r="D344" s="4"/>
      <c r="E344" s="3"/>
      <c r="F344" s="3"/>
      <c r="G344" s="3"/>
      <c r="H344" s="168"/>
      <c r="I344" s="169"/>
      <c r="J344" s="168"/>
      <c r="K344" s="3"/>
      <c r="L344" s="168"/>
      <c r="M344" s="168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169"/>
      <c r="C345" s="3"/>
      <c r="D345" s="4"/>
      <c r="E345" s="3"/>
      <c r="F345" s="3"/>
      <c r="G345" s="3"/>
      <c r="H345" s="168"/>
      <c r="I345" s="169"/>
      <c r="J345" s="168"/>
      <c r="K345" s="3"/>
      <c r="L345" s="168"/>
      <c r="M345" s="168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169"/>
      <c r="C346" s="3"/>
      <c r="D346" s="4"/>
      <c r="E346" s="3"/>
      <c r="F346" s="3"/>
      <c r="G346" s="3"/>
      <c r="H346" s="168"/>
      <c r="I346" s="169"/>
      <c r="J346" s="168"/>
      <c r="K346" s="3"/>
      <c r="L346" s="168"/>
      <c r="M346" s="168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169"/>
      <c r="C347" s="3"/>
      <c r="D347" s="4"/>
      <c r="E347" s="3"/>
      <c r="F347" s="3"/>
      <c r="G347" s="3"/>
      <c r="H347" s="168"/>
      <c r="I347" s="169"/>
      <c r="J347" s="168"/>
      <c r="K347" s="3"/>
      <c r="L347" s="168"/>
      <c r="M347" s="168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169"/>
      <c r="C348" s="3"/>
      <c r="D348" s="4"/>
      <c r="E348" s="3"/>
      <c r="F348" s="3"/>
      <c r="G348" s="3"/>
      <c r="H348" s="168"/>
      <c r="I348" s="169"/>
      <c r="J348" s="168"/>
      <c r="K348" s="3"/>
      <c r="L348" s="168"/>
      <c r="M348" s="168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169"/>
      <c r="C349" s="3"/>
      <c r="D349" s="4"/>
      <c r="E349" s="3"/>
      <c r="F349" s="3"/>
      <c r="G349" s="3"/>
      <c r="H349" s="168"/>
      <c r="I349" s="169"/>
      <c r="J349" s="168"/>
      <c r="K349" s="3"/>
      <c r="L349" s="168"/>
      <c r="M349" s="168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169"/>
      <c r="C350" s="3"/>
      <c r="D350" s="4"/>
      <c r="E350" s="3"/>
      <c r="F350" s="3"/>
      <c r="G350" s="3"/>
      <c r="H350" s="168"/>
      <c r="I350" s="169"/>
      <c r="J350" s="168"/>
      <c r="K350" s="3"/>
      <c r="L350" s="168"/>
      <c r="M350" s="168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169"/>
      <c r="C351" s="3"/>
      <c r="D351" s="4"/>
      <c r="E351" s="3"/>
      <c r="F351" s="3"/>
      <c r="G351" s="3"/>
      <c r="H351" s="168"/>
      <c r="I351" s="169"/>
      <c r="J351" s="168"/>
      <c r="K351" s="3"/>
      <c r="L351" s="168"/>
      <c r="M351" s="168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169"/>
      <c r="C352" s="3"/>
      <c r="D352" s="4"/>
      <c r="E352" s="3"/>
      <c r="F352" s="3"/>
      <c r="G352" s="3"/>
      <c r="H352" s="168"/>
      <c r="I352" s="169"/>
      <c r="J352" s="168"/>
      <c r="K352" s="3"/>
      <c r="L352" s="168"/>
      <c r="M352" s="168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169"/>
      <c r="C353" s="3"/>
      <c r="D353" s="4"/>
      <c r="E353" s="3"/>
      <c r="F353" s="3"/>
      <c r="G353" s="3"/>
      <c r="H353" s="168"/>
      <c r="I353" s="169"/>
      <c r="J353" s="168"/>
      <c r="K353" s="3"/>
      <c r="L353" s="168"/>
      <c r="M353" s="168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169"/>
      <c r="C354" s="3"/>
      <c r="D354" s="4"/>
      <c r="E354" s="3"/>
      <c r="F354" s="3"/>
      <c r="G354" s="3"/>
      <c r="H354" s="168"/>
      <c r="I354" s="169"/>
      <c r="J354" s="168"/>
      <c r="K354" s="3"/>
      <c r="L354" s="168"/>
      <c r="M354" s="168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169"/>
      <c r="C355" s="3"/>
      <c r="D355" s="4"/>
      <c r="E355" s="3"/>
      <c r="F355" s="3"/>
      <c r="G355" s="3"/>
      <c r="H355" s="168"/>
      <c r="I355" s="169"/>
      <c r="J355" s="168"/>
      <c r="K355" s="3"/>
      <c r="L355" s="168"/>
      <c r="M355" s="168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169"/>
      <c r="C356" s="3"/>
      <c r="D356" s="4"/>
      <c r="E356" s="3"/>
      <c r="F356" s="3"/>
      <c r="G356" s="3"/>
      <c r="H356" s="168"/>
      <c r="I356" s="169"/>
      <c r="J356" s="168"/>
      <c r="K356" s="3"/>
      <c r="L356" s="168"/>
      <c r="M356" s="168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169"/>
      <c r="C357" s="3"/>
      <c r="D357" s="4"/>
      <c r="E357" s="3"/>
      <c r="F357" s="3"/>
      <c r="G357" s="3"/>
      <c r="H357" s="168"/>
      <c r="I357" s="169"/>
      <c r="J357" s="168"/>
      <c r="K357" s="3"/>
      <c r="L357" s="168"/>
      <c r="M357" s="168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169"/>
      <c r="C358" s="3"/>
      <c r="D358" s="4"/>
      <c r="E358" s="3"/>
      <c r="F358" s="3"/>
      <c r="G358" s="3"/>
      <c r="H358" s="168"/>
      <c r="I358" s="169"/>
      <c r="J358" s="168"/>
      <c r="K358" s="3"/>
      <c r="L358" s="168"/>
      <c r="M358" s="168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169"/>
      <c r="C359" s="3"/>
      <c r="D359" s="4"/>
      <c r="E359" s="3"/>
      <c r="F359" s="3"/>
      <c r="G359" s="3"/>
      <c r="H359" s="168"/>
      <c r="I359" s="169"/>
      <c r="J359" s="168"/>
      <c r="K359" s="3"/>
      <c r="L359" s="168"/>
      <c r="M359" s="168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169"/>
      <c r="C360" s="3"/>
      <c r="D360" s="4"/>
      <c r="E360" s="3"/>
      <c r="F360" s="3"/>
      <c r="G360" s="3"/>
      <c r="H360" s="168"/>
      <c r="I360" s="169"/>
      <c r="J360" s="168"/>
      <c r="K360" s="3"/>
      <c r="L360" s="168"/>
      <c r="M360" s="168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169"/>
      <c r="C361" s="3"/>
      <c r="D361" s="4"/>
      <c r="E361" s="3"/>
      <c r="F361" s="3"/>
      <c r="G361" s="3"/>
      <c r="H361" s="168"/>
      <c r="I361" s="169"/>
      <c r="J361" s="168"/>
      <c r="K361" s="3"/>
      <c r="L361" s="168"/>
      <c r="M361" s="168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169"/>
      <c r="C362" s="3"/>
      <c r="D362" s="4"/>
      <c r="E362" s="3"/>
      <c r="F362" s="3"/>
      <c r="G362" s="3"/>
      <c r="H362" s="168"/>
      <c r="I362" s="169"/>
      <c r="J362" s="168"/>
      <c r="K362" s="3"/>
      <c r="L362" s="168"/>
      <c r="M362" s="168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169"/>
      <c r="C363" s="3"/>
      <c r="D363" s="4"/>
      <c r="E363" s="3"/>
      <c r="F363" s="3"/>
      <c r="G363" s="3"/>
      <c r="H363" s="168"/>
      <c r="I363" s="169"/>
      <c r="J363" s="168"/>
      <c r="K363" s="3"/>
      <c r="L363" s="168"/>
      <c r="M363" s="168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169"/>
      <c r="C364" s="3"/>
      <c r="D364" s="4"/>
      <c r="E364" s="3"/>
      <c r="F364" s="3"/>
      <c r="G364" s="3"/>
      <c r="H364" s="168"/>
      <c r="I364" s="169"/>
      <c r="J364" s="168"/>
      <c r="K364" s="3"/>
      <c r="L364" s="168"/>
      <c r="M364" s="168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169"/>
      <c r="C365" s="3"/>
      <c r="D365" s="4"/>
      <c r="E365" s="3"/>
      <c r="F365" s="3"/>
      <c r="G365" s="3"/>
      <c r="H365" s="168"/>
      <c r="I365" s="169"/>
      <c r="J365" s="168"/>
      <c r="K365" s="3"/>
      <c r="L365" s="168"/>
      <c r="M365" s="168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169"/>
      <c r="C366" s="3"/>
      <c r="D366" s="4"/>
      <c r="E366" s="3"/>
      <c r="F366" s="3"/>
      <c r="G366" s="3"/>
      <c r="H366" s="168"/>
      <c r="I366" s="169"/>
      <c r="J366" s="168"/>
      <c r="K366" s="3"/>
      <c r="L366" s="168"/>
      <c r="M366" s="168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169"/>
      <c r="C367" s="3"/>
      <c r="D367" s="4"/>
      <c r="E367" s="3"/>
      <c r="F367" s="3"/>
      <c r="G367" s="3"/>
      <c r="H367" s="168"/>
      <c r="I367" s="169"/>
      <c r="J367" s="168"/>
      <c r="K367" s="3"/>
      <c r="L367" s="168"/>
      <c r="M367" s="168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169"/>
      <c r="C368" s="3"/>
      <c r="D368" s="4"/>
      <c r="E368" s="3"/>
      <c r="F368" s="3"/>
      <c r="G368" s="3"/>
      <c r="H368" s="168"/>
      <c r="I368" s="169"/>
      <c r="J368" s="168"/>
      <c r="K368" s="3"/>
      <c r="L368" s="168"/>
      <c r="M368" s="168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169"/>
      <c r="C369" s="3"/>
      <c r="D369" s="4"/>
      <c r="E369" s="3"/>
      <c r="F369" s="3"/>
      <c r="G369" s="3"/>
      <c r="H369" s="168"/>
      <c r="I369" s="169"/>
      <c r="J369" s="168"/>
      <c r="K369" s="3"/>
      <c r="L369" s="168"/>
      <c r="M369" s="168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169"/>
      <c r="C370" s="3"/>
      <c r="D370" s="4"/>
      <c r="E370" s="3"/>
      <c r="F370" s="3"/>
      <c r="G370" s="3"/>
      <c r="H370" s="168"/>
      <c r="I370" s="169"/>
      <c r="J370" s="168"/>
      <c r="K370" s="3"/>
      <c r="L370" s="168"/>
      <c r="M370" s="168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169"/>
      <c r="C371" s="3"/>
      <c r="D371" s="4"/>
      <c r="E371" s="3"/>
      <c r="F371" s="3"/>
      <c r="G371" s="3"/>
      <c r="H371" s="168"/>
      <c r="I371" s="169"/>
      <c r="J371" s="168"/>
      <c r="K371" s="3"/>
      <c r="L371" s="168"/>
      <c r="M371" s="168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169"/>
      <c r="C372" s="3"/>
      <c r="D372" s="4"/>
      <c r="E372" s="3"/>
      <c r="F372" s="3"/>
      <c r="G372" s="3"/>
      <c r="H372" s="168"/>
      <c r="I372" s="169"/>
      <c r="J372" s="168"/>
      <c r="K372" s="3"/>
      <c r="L372" s="168"/>
      <c r="M372" s="168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169"/>
      <c r="C373" s="3"/>
      <c r="D373" s="4"/>
      <c r="E373" s="3"/>
      <c r="F373" s="3"/>
      <c r="G373" s="3"/>
      <c r="H373" s="168"/>
      <c r="I373" s="169"/>
      <c r="J373" s="168"/>
      <c r="K373" s="3"/>
      <c r="L373" s="168"/>
      <c r="M373" s="168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169"/>
      <c r="C374" s="3"/>
      <c r="D374" s="4"/>
      <c r="E374" s="3"/>
      <c r="F374" s="3"/>
      <c r="G374" s="3"/>
      <c r="H374" s="168"/>
      <c r="I374" s="169"/>
      <c r="J374" s="168"/>
      <c r="K374" s="3"/>
      <c r="L374" s="168"/>
      <c r="M374" s="168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169"/>
      <c r="C375" s="3"/>
      <c r="D375" s="4"/>
      <c r="E375" s="3"/>
      <c r="F375" s="3"/>
      <c r="G375" s="3"/>
      <c r="H375" s="168"/>
      <c r="I375" s="169"/>
      <c r="J375" s="168"/>
      <c r="K375" s="3"/>
      <c r="L375" s="168"/>
      <c r="M375" s="168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169"/>
      <c r="C376" s="3"/>
      <c r="D376" s="4"/>
      <c r="E376" s="3"/>
      <c r="F376" s="3"/>
      <c r="G376" s="3"/>
      <c r="H376" s="168"/>
      <c r="I376" s="169"/>
      <c r="J376" s="168"/>
      <c r="K376" s="3"/>
      <c r="L376" s="168"/>
      <c r="M376" s="168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169"/>
      <c r="C377" s="3"/>
      <c r="D377" s="4"/>
      <c r="E377" s="3"/>
      <c r="F377" s="3"/>
      <c r="G377" s="3"/>
      <c r="H377" s="168"/>
      <c r="I377" s="169"/>
      <c r="J377" s="168"/>
      <c r="K377" s="3"/>
      <c r="L377" s="168"/>
      <c r="M377" s="168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169"/>
      <c r="C378" s="3"/>
      <c r="D378" s="4"/>
      <c r="E378" s="3"/>
      <c r="F378" s="3"/>
      <c r="G378" s="3"/>
      <c r="H378" s="168"/>
      <c r="I378" s="169"/>
      <c r="J378" s="168"/>
      <c r="K378" s="3"/>
      <c r="L378" s="168"/>
      <c r="M378" s="168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169"/>
      <c r="C379" s="3"/>
      <c r="D379" s="4"/>
      <c r="E379" s="3"/>
      <c r="F379" s="3"/>
      <c r="G379" s="3"/>
      <c r="H379" s="168"/>
      <c r="I379" s="169"/>
      <c r="J379" s="168"/>
      <c r="K379" s="3"/>
      <c r="L379" s="168"/>
      <c r="M379" s="168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169"/>
      <c r="C380" s="3"/>
      <c r="D380" s="4"/>
      <c r="E380" s="3"/>
      <c r="F380" s="3"/>
      <c r="G380" s="3"/>
      <c r="H380" s="168"/>
      <c r="I380" s="169"/>
      <c r="J380" s="168"/>
      <c r="K380" s="3"/>
      <c r="L380" s="168"/>
      <c r="M380" s="168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169"/>
      <c r="C381" s="3"/>
      <c r="D381" s="4"/>
      <c r="E381" s="3"/>
      <c r="F381" s="3"/>
      <c r="G381" s="3"/>
      <c r="H381" s="168"/>
      <c r="I381" s="169"/>
      <c r="J381" s="168"/>
      <c r="K381" s="3"/>
      <c r="L381" s="168"/>
      <c r="M381" s="168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169"/>
      <c r="C382" s="3"/>
      <c r="D382" s="4"/>
      <c r="E382" s="3"/>
      <c r="F382" s="3"/>
      <c r="G382" s="3"/>
      <c r="H382" s="168"/>
      <c r="I382" s="169"/>
      <c r="J382" s="168"/>
      <c r="K382" s="3"/>
      <c r="L382" s="168"/>
      <c r="M382" s="168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169"/>
      <c r="C383" s="3"/>
      <c r="D383" s="4"/>
      <c r="E383" s="3"/>
      <c r="F383" s="3"/>
      <c r="G383" s="3"/>
      <c r="H383" s="168"/>
      <c r="I383" s="169"/>
      <c r="J383" s="168"/>
      <c r="K383" s="3"/>
      <c r="L383" s="168"/>
      <c r="M383" s="168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169"/>
      <c r="C384" s="3"/>
      <c r="D384" s="4"/>
      <c r="E384" s="3"/>
      <c r="F384" s="3"/>
      <c r="G384" s="3"/>
      <c r="H384" s="168"/>
      <c r="I384" s="169"/>
      <c r="J384" s="168"/>
      <c r="K384" s="3"/>
      <c r="L384" s="168"/>
      <c r="M384" s="168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169"/>
      <c r="C385" s="3"/>
      <c r="D385" s="4"/>
      <c r="E385" s="3"/>
      <c r="F385" s="3"/>
      <c r="G385" s="3"/>
      <c r="H385" s="168"/>
      <c r="I385" s="169"/>
      <c r="J385" s="168"/>
      <c r="K385" s="3"/>
      <c r="L385" s="168"/>
      <c r="M385" s="168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169"/>
      <c r="C386" s="3"/>
      <c r="D386" s="4"/>
      <c r="E386" s="3"/>
      <c r="F386" s="3"/>
      <c r="G386" s="3"/>
      <c r="H386" s="168"/>
      <c r="I386" s="169"/>
      <c r="J386" s="168"/>
      <c r="K386" s="3"/>
      <c r="L386" s="168"/>
      <c r="M386" s="168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169"/>
      <c r="C387" s="3"/>
      <c r="D387" s="4"/>
      <c r="E387" s="3"/>
      <c r="F387" s="3"/>
      <c r="G387" s="3"/>
      <c r="H387" s="168"/>
      <c r="I387" s="169"/>
      <c r="J387" s="168"/>
      <c r="K387" s="3"/>
      <c r="L387" s="168"/>
      <c r="M387" s="168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169"/>
      <c r="C388" s="3"/>
      <c r="D388" s="4"/>
      <c r="E388" s="3"/>
      <c r="F388" s="3"/>
      <c r="G388" s="3"/>
      <c r="H388" s="168"/>
      <c r="I388" s="169"/>
      <c r="J388" s="168"/>
      <c r="K388" s="3"/>
      <c r="L388" s="168"/>
      <c r="M388" s="168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169"/>
      <c r="C389" s="3"/>
      <c r="D389" s="4"/>
      <c r="E389" s="3"/>
      <c r="F389" s="3"/>
      <c r="G389" s="3"/>
      <c r="H389" s="168"/>
      <c r="I389" s="169"/>
      <c r="J389" s="168"/>
      <c r="K389" s="3"/>
      <c r="L389" s="168"/>
      <c r="M389" s="168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169"/>
      <c r="C390" s="3"/>
      <c r="D390" s="4"/>
      <c r="E390" s="3"/>
      <c r="F390" s="3"/>
      <c r="G390" s="3"/>
      <c r="H390" s="168"/>
      <c r="I390" s="169"/>
      <c r="J390" s="168"/>
      <c r="K390" s="3"/>
      <c r="L390" s="168"/>
      <c r="M390" s="168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169"/>
      <c r="C391" s="3"/>
      <c r="D391" s="4"/>
      <c r="E391" s="3"/>
      <c r="F391" s="3"/>
      <c r="G391" s="3"/>
      <c r="H391" s="168"/>
      <c r="I391" s="169"/>
      <c r="J391" s="168"/>
      <c r="K391" s="3"/>
      <c r="L391" s="168"/>
      <c r="M391" s="168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169"/>
      <c r="C392" s="3"/>
      <c r="D392" s="4"/>
      <c r="E392" s="3"/>
      <c r="F392" s="3"/>
      <c r="G392" s="3"/>
      <c r="H392" s="168"/>
      <c r="I392" s="169"/>
      <c r="J392" s="168"/>
      <c r="K392" s="3"/>
      <c r="L392" s="168"/>
      <c r="M392" s="168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169"/>
      <c r="C393" s="3"/>
      <c r="D393" s="4"/>
      <c r="E393" s="3"/>
      <c r="F393" s="3"/>
      <c r="G393" s="3"/>
      <c r="H393" s="168"/>
      <c r="I393" s="169"/>
      <c r="J393" s="168"/>
      <c r="K393" s="3"/>
      <c r="L393" s="168"/>
      <c r="M393" s="168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169"/>
      <c r="C394" s="3"/>
      <c r="D394" s="4"/>
      <c r="E394" s="3"/>
      <c r="F394" s="3"/>
      <c r="G394" s="3"/>
      <c r="H394" s="168"/>
      <c r="I394" s="169"/>
      <c r="J394" s="168"/>
      <c r="K394" s="3"/>
      <c r="L394" s="168"/>
      <c r="M394" s="168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169"/>
      <c r="C395" s="3"/>
      <c r="D395" s="4"/>
      <c r="E395" s="3"/>
      <c r="F395" s="3"/>
      <c r="G395" s="3"/>
      <c r="H395" s="168"/>
      <c r="I395" s="169"/>
      <c r="J395" s="168"/>
      <c r="K395" s="3"/>
      <c r="L395" s="168"/>
      <c r="M395" s="168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169"/>
      <c r="C396" s="3"/>
      <c r="D396" s="4"/>
      <c r="E396" s="3"/>
      <c r="F396" s="3"/>
      <c r="G396" s="3"/>
      <c r="H396" s="168"/>
      <c r="I396" s="169"/>
      <c r="J396" s="168"/>
      <c r="K396" s="3"/>
      <c r="L396" s="168"/>
      <c r="M396" s="168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169"/>
      <c r="C397" s="3"/>
      <c r="D397" s="4"/>
      <c r="E397" s="3"/>
      <c r="F397" s="3"/>
      <c r="G397" s="3"/>
      <c r="H397" s="168"/>
      <c r="I397" s="169"/>
      <c r="J397" s="168"/>
      <c r="K397" s="3"/>
      <c r="L397" s="168"/>
      <c r="M397" s="168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169"/>
      <c r="C398" s="3"/>
      <c r="D398" s="4"/>
      <c r="E398" s="3"/>
      <c r="F398" s="3"/>
      <c r="G398" s="3"/>
      <c r="H398" s="168"/>
      <c r="I398" s="169"/>
      <c r="J398" s="168"/>
      <c r="K398" s="3"/>
      <c r="L398" s="168"/>
      <c r="M398" s="168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169"/>
      <c r="C399" s="3"/>
      <c r="D399" s="4"/>
      <c r="E399" s="3"/>
      <c r="F399" s="3"/>
      <c r="G399" s="3"/>
      <c r="H399" s="168"/>
      <c r="I399" s="169"/>
      <c r="J399" s="168"/>
      <c r="K399" s="3"/>
      <c r="L399" s="168"/>
      <c r="M399" s="168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169"/>
      <c r="C400" s="3"/>
      <c r="D400" s="4"/>
      <c r="E400" s="3"/>
      <c r="F400" s="3"/>
      <c r="G400" s="3"/>
      <c r="H400" s="168"/>
      <c r="I400" s="169"/>
      <c r="J400" s="168"/>
      <c r="K400" s="3"/>
      <c r="L400" s="168"/>
      <c r="M400" s="168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169"/>
      <c r="C401" s="3"/>
      <c r="D401" s="4"/>
      <c r="E401" s="3"/>
      <c r="F401" s="3"/>
      <c r="G401" s="3"/>
      <c r="H401" s="168"/>
      <c r="I401" s="169"/>
      <c r="J401" s="168"/>
      <c r="K401" s="3"/>
      <c r="L401" s="168"/>
      <c r="M401" s="168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169"/>
      <c r="C402" s="3"/>
      <c r="D402" s="4"/>
      <c r="E402" s="3"/>
      <c r="F402" s="3"/>
      <c r="G402" s="3"/>
      <c r="H402" s="168"/>
      <c r="I402" s="169"/>
      <c r="J402" s="168"/>
      <c r="K402" s="3"/>
      <c r="L402" s="168"/>
      <c r="M402" s="168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169"/>
      <c r="C403" s="3"/>
      <c r="D403" s="4"/>
      <c r="E403" s="3"/>
      <c r="F403" s="3"/>
      <c r="G403" s="3"/>
      <c r="H403" s="168"/>
      <c r="I403" s="169"/>
      <c r="J403" s="168"/>
      <c r="K403" s="3"/>
      <c r="L403" s="168"/>
      <c r="M403" s="168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169"/>
      <c r="C404" s="3"/>
      <c r="D404" s="4"/>
      <c r="E404" s="3"/>
      <c r="F404" s="3"/>
      <c r="G404" s="3"/>
      <c r="H404" s="168"/>
      <c r="I404" s="169"/>
      <c r="J404" s="168"/>
      <c r="K404" s="3"/>
      <c r="L404" s="168"/>
      <c r="M404" s="168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169"/>
      <c r="C405" s="3"/>
      <c r="D405" s="4"/>
      <c r="E405" s="3"/>
      <c r="F405" s="3"/>
      <c r="G405" s="3"/>
      <c r="H405" s="168"/>
      <c r="I405" s="169"/>
      <c r="J405" s="168"/>
      <c r="K405" s="3"/>
      <c r="L405" s="168"/>
      <c r="M405" s="168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169"/>
      <c r="C406" s="3"/>
      <c r="D406" s="4"/>
      <c r="E406" s="3"/>
      <c r="F406" s="3"/>
      <c r="G406" s="3"/>
      <c r="H406" s="168"/>
      <c r="I406" s="169"/>
      <c r="J406" s="168"/>
      <c r="K406" s="3"/>
      <c r="L406" s="168"/>
      <c r="M406" s="168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169"/>
      <c r="C407" s="3"/>
      <c r="D407" s="4"/>
      <c r="E407" s="3"/>
      <c r="F407" s="3"/>
      <c r="G407" s="3"/>
      <c r="H407" s="168"/>
      <c r="I407" s="169"/>
      <c r="J407" s="168"/>
      <c r="K407" s="3"/>
      <c r="L407" s="168"/>
      <c r="M407" s="168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169"/>
      <c r="C408" s="3"/>
      <c r="D408" s="4"/>
      <c r="E408" s="3"/>
      <c r="F408" s="3"/>
      <c r="G408" s="3"/>
      <c r="H408" s="168"/>
      <c r="I408" s="169"/>
      <c r="J408" s="168"/>
      <c r="K408" s="3"/>
      <c r="L408" s="168"/>
      <c r="M408" s="168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169"/>
      <c r="C409" s="3"/>
      <c r="D409" s="4"/>
      <c r="E409" s="3"/>
      <c r="F409" s="3"/>
      <c r="G409" s="3"/>
      <c r="H409" s="168"/>
      <c r="I409" s="169"/>
      <c r="J409" s="168"/>
      <c r="K409" s="3"/>
      <c r="L409" s="168"/>
      <c r="M409" s="168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169"/>
      <c r="C410" s="3"/>
      <c r="D410" s="4"/>
      <c r="E410" s="3"/>
      <c r="F410" s="3"/>
      <c r="G410" s="3"/>
      <c r="H410" s="168"/>
      <c r="I410" s="169"/>
      <c r="J410" s="168"/>
      <c r="K410" s="3"/>
      <c r="L410" s="168"/>
      <c r="M410" s="168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169"/>
      <c r="C411" s="3"/>
      <c r="D411" s="4"/>
      <c r="E411" s="3"/>
      <c r="F411" s="3"/>
      <c r="G411" s="3"/>
      <c r="H411" s="168"/>
      <c r="I411" s="169"/>
      <c r="J411" s="168"/>
      <c r="K411" s="3"/>
      <c r="L411" s="168"/>
      <c r="M411" s="168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169"/>
      <c r="C412" s="3"/>
      <c r="D412" s="4"/>
      <c r="E412" s="3"/>
      <c r="F412" s="3"/>
      <c r="G412" s="3"/>
      <c r="H412" s="168"/>
      <c r="I412" s="169"/>
      <c r="J412" s="168"/>
      <c r="K412" s="3"/>
      <c r="L412" s="168"/>
      <c r="M412" s="168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169"/>
      <c r="C413" s="3"/>
      <c r="D413" s="4"/>
      <c r="E413" s="3"/>
      <c r="F413" s="3"/>
      <c r="G413" s="3"/>
      <c r="H413" s="168"/>
      <c r="I413" s="169"/>
      <c r="J413" s="168"/>
      <c r="K413" s="3"/>
      <c r="L413" s="168"/>
      <c r="M413" s="168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169"/>
      <c r="C414" s="3"/>
      <c r="D414" s="4"/>
      <c r="E414" s="3"/>
      <c r="F414" s="3"/>
      <c r="G414" s="3"/>
      <c r="H414" s="168"/>
      <c r="I414" s="169"/>
      <c r="J414" s="168"/>
      <c r="K414" s="3"/>
      <c r="L414" s="168"/>
      <c r="M414" s="168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169"/>
      <c r="C415" s="3"/>
      <c r="D415" s="4"/>
      <c r="E415" s="3"/>
      <c r="F415" s="3"/>
      <c r="G415" s="3"/>
      <c r="H415" s="168"/>
      <c r="I415" s="169"/>
      <c r="J415" s="168"/>
      <c r="K415" s="3"/>
      <c r="L415" s="168"/>
      <c r="M415" s="168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169"/>
      <c r="C416" s="3"/>
      <c r="D416" s="4"/>
      <c r="E416" s="3"/>
      <c r="F416" s="3"/>
      <c r="G416" s="3"/>
      <c r="H416" s="168"/>
      <c r="I416" s="169"/>
      <c r="J416" s="168"/>
      <c r="K416" s="3"/>
      <c r="L416" s="168"/>
      <c r="M416" s="168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169"/>
      <c r="C417" s="3"/>
      <c r="D417" s="4"/>
      <c r="E417" s="3"/>
      <c r="F417" s="3"/>
      <c r="G417" s="3"/>
      <c r="H417" s="168"/>
      <c r="I417" s="169"/>
      <c r="J417" s="168"/>
      <c r="K417" s="3"/>
      <c r="L417" s="168"/>
      <c r="M417" s="168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169"/>
      <c r="C418" s="3"/>
      <c r="D418" s="4"/>
      <c r="E418" s="3"/>
      <c r="F418" s="3"/>
      <c r="G418" s="3"/>
      <c r="H418" s="168"/>
      <c r="I418" s="169"/>
      <c r="J418" s="168"/>
      <c r="K418" s="3"/>
      <c r="L418" s="168"/>
      <c r="M418" s="168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169"/>
      <c r="C419" s="3"/>
      <c r="D419" s="4"/>
      <c r="E419" s="3"/>
      <c r="F419" s="3"/>
      <c r="G419" s="3"/>
      <c r="H419" s="168"/>
      <c r="I419" s="169"/>
      <c r="J419" s="168"/>
      <c r="K419" s="3"/>
      <c r="L419" s="168"/>
      <c r="M419" s="168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169"/>
      <c r="C420" s="3"/>
      <c r="D420" s="4"/>
      <c r="E420" s="3"/>
      <c r="F420" s="3"/>
      <c r="G420" s="3"/>
      <c r="H420" s="168"/>
      <c r="I420" s="169"/>
      <c r="J420" s="168"/>
      <c r="K420" s="3"/>
      <c r="L420" s="168"/>
      <c r="M420" s="168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169"/>
      <c r="C421" s="3"/>
      <c r="D421" s="4"/>
      <c r="E421" s="3"/>
      <c r="F421" s="3"/>
      <c r="G421" s="3"/>
      <c r="H421" s="168"/>
      <c r="I421" s="169"/>
      <c r="J421" s="168"/>
      <c r="K421" s="3"/>
      <c r="L421" s="168"/>
      <c r="M421" s="168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169"/>
      <c r="C422" s="3"/>
      <c r="D422" s="4"/>
      <c r="E422" s="3"/>
      <c r="F422" s="3"/>
      <c r="G422" s="3"/>
      <c r="H422" s="168"/>
      <c r="I422" s="169"/>
      <c r="J422" s="168"/>
      <c r="K422" s="3"/>
      <c r="L422" s="168"/>
      <c r="M422" s="168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169"/>
      <c r="C423" s="3"/>
      <c r="D423" s="4"/>
      <c r="E423" s="3"/>
      <c r="F423" s="3"/>
      <c r="G423" s="3"/>
      <c r="H423" s="168"/>
      <c r="I423" s="169"/>
      <c r="J423" s="168"/>
      <c r="K423" s="3"/>
      <c r="L423" s="168"/>
      <c r="M423" s="168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169"/>
      <c r="C424" s="3"/>
      <c r="D424" s="4"/>
      <c r="E424" s="3"/>
      <c r="F424" s="3"/>
      <c r="G424" s="3"/>
      <c r="H424" s="168"/>
      <c r="I424" s="169"/>
      <c r="J424" s="168"/>
      <c r="K424" s="3"/>
      <c r="L424" s="168"/>
      <c r="M424" s="168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169"/>
      <c r="C425" s="3"/>
      <c r="D425" s="4"/>
      <c r="E425" s="3"/>
      <c r="F425" s="3"/>
      <c r="G425" s="3"/>
      <c r="H425" s="168"/>
      <c r="I425" s="169"/>
      <c r="J425" s="168"/>
      <c r="K425" s="3"/>
      <c r="L425" s="168"/>
      <c r="M425" s="168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169"/>
      <c r="C426" s="3"/>
      <c r="D426" s="4"/>
      <c r="E426" s="3"/>
      <c r="F426" s="3"/>
      <c r="G426" s="3"/>
      <c r="H426" s="168"/>
      <c r="I426" s="169"/>
      <c r="J426" s="168"/>
      <c r="K426" s="3"/>
      <c r="L426" s="168"/>
      <c r="M426" s="168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169"/>
      <c r="C427" s="3"/>
      <c r="D427" s="4"/>
      <c r="E427" s="3"/>
      <c r="F427" s="3"/>
      <c r="G427" s="3"/>
      <c r="H427" s="168"/>
      <c r="I427" s="169"/>
      <c r="J427" s="168"/>
      <c r="K427" s="3"/>
      <c r="L427" s="168"/>
      <c r="M427" s="168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169"/>
      <c r="C428" s="3"/>
      <c r="D428" s="4"/>
      <c r="E428" s="3"/>
      <c r="F428" s="3"/>
      <c r="G428" s="3"/>
      <c r="H428" s="168"/>
      <c r="I428" s="169"/>
      <c r="J428" s="168"/>
      <c r="K428" s="3"/>
      <c r="L428" s="168"/>
      <c r="M428" s="168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169"/>
      <c r="C429" s="3"/>
      <c r="D429" s="4"/>
      <c r="E429" s="3"/>
      <c r="F429" s="3"/>
      <c r="G429" s="3"/>
      <c r="H429" s="168"/>
      <c r="I429" s="169"/>
      <c r="J429" s="168"/>
      <c r="K429" s="3"/>
      <c r="L429" s="168"/>
      <c r="M429" s="168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169"/>
      <c r="C430" s="3"/>
      <c r="D430" s="4"/>
      <c r="E430" s="3"/>
      <c r="F430" s="3"/>
      <c r="G430" s="3"/>
      <c r="H430" s="168"/>
      <c r="I430" s="169"/>
      <c r="J430" s="168"/>
      <c r="K430" s="3"/>
      <c r="L430" s="168"/>
      <c r="M430" s="168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169"/>
      <c r="C431" s="3"/>
      <c r="D431" s="4"/>
      <c r="E431" s="3"/>
      <c r="F431" s="3"/>
      <c r="G431" s="3"/>
      <c r="H431" s="168"/>
      <c r="I431" s="169"/>
      <c r="J431" s="168"/>
      <c r="K431" s="3"/>
      <c r="L431" s="168"/>
      <c r="M431" s="168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169"/>
      <c r="C432" s="3"/>
      <c r="D432" s="4"/>
      <c r="E432" s="3"/>
      <c r="F432" s="3"/>
      <c r="G432" s="3"/>
      <c r="H432" s="168"/>
      <c r="I432" s="169"/>
      <c r="J432" s="168"/>
      <c r="K432" s="3"/>
      <c r="L432" s="168"/>
      <c r="M432" s="168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169"/>
      <c r="C433" s="3"/>
      <c r="D433" s="4"/>
      <c r="E433" s="3"/>
      <c r="F433" s="3"/>
      <c r="G433" s="3"/>
      <c r="H433" s="168"/>
      <c r="I433" s="169"/>
      <c r="J433" s="168"/>
      <c r="K433" s="3"/>
      <c r="L433" s="168"/>
      <c r="M433" s="168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169"/>
      <c r="C434" s="3"/>
      <c r="D434" s="4"/>
      <c r="E434" s="3"/>
      <c r="F434" s="3"/>
      <c r="G434" s="3"/>
      <c r="H434" s="168"/>
      <c r="I434" s="169"/>
      <c r="J434" s="168"/>
      <c r="K434" s="3"/>
      <c r="L434" s="168"/>
      <c r="M434" s="168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169"/>
      <c r="C435" s="3"/>
      <c r="D435" s="4"/>
      <c r="E435" s="3"/>
      <c r="F435" s="3"/>
      <c r="G435" s="3"/>
      <c r="H435" s="168"/>
      <c r="I435" s="169"/>
      <c r="J435" s="168"/>
      <c r="K435" s="3"/>
      <c r="L435" s="168"/>
      <c r="M435" s="168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169"/>
      <c r="C436" s="3"/>
      <c r="D436" s="4"/>
      <c r="E436" s="3"/>
      <c r="F436" s="3"/>
      <c r="G436" s="3"/>
      <c r="H436" s="168"/>
      <c r="I436" s="169"/>
      <c r="J436" s="168"/>
      <c r="K436" s="3"/>
      <c r="L436" s="168"/>
      <c r="M436" s="168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169"/>
      <c r="C437" s="3"/>
      <c r="D437" s="4"/>
      <c r="E437" s="3"/>
      <c r="F437" s="3"/>
      <c r="G437" s="3"/>
      <c r="H437" s="168"/>
      <c r="I437" s="169"/>
      <c r="J437" s="168"/>
      <c r="K437" s="3"/>
      <c r="L437" s="168"/>
      <c r="M437" s="168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169"/>
      <c r="C438" s="3"/>
      <c r="D438" s="4"/>
      <c r="E438" s="3"/>
      <c r="F438" s="3"/>
      <c r="G438" s="3"/>
      <c r="H438" s="168"/>
      <c r="I438" s="169"/>
      <c r="J438" s="168"/>
      <c r="K438" s="3"/>
      <c r="L438" s="168"/>
      <c r="M438" s="168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169"/>
      <c r="C439" s="3"/>
      <c r="D439" s="4"/>
      <c r="E439" s="3"/>
      <c r="F439" s="3"/>
      <c r="G439" s="3"/>
      <c r="H439" s="168"/>
      <c r="I439" s="169"/>
      <c r="J439" s="168"/>
      <c r="K439" s="3"/>
      <c r="L439" s="168"/>
      <c r="M439" s="168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169"/>
      <c r="C440" s="3"/>
      <c r="D440" s="4"/>
      <c r="E440" s="3"/>
      <c r="F440" s="3"/>
      <c r="G440" s="3"/>
      <c r="H440" s="168"/>
      <c r="I440" s="169"/>
      <c r="J440" s="168"/>
      <c r="K440" s="3"/>
      <c r="L440" s="168"/>
      <c r="M440" s="168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169"/>
      <c r="C441" s="3"/>
      <c r="D441" s="4"/>
      <c r="E441" s="3"/>
      <c r="F441" s="3"/>
      <c r="G441" s="3"/>
      <c r="H441" s="168"/>
      <c r="I441" s="169"/>
      <c r="J441" s="168"/>
      <c r="K441" s="3"/>
      <c r="L441" s="168"/>
      <c r="M441" s="168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169"/>
      <c r="C442" s="3"/>
      <c r="D442" s="4"/>
      <c r="E442" s="3"/>
      <c r="F442" s="3"/>
      <c r="G442" s="3"/>
      <c r="H442" s="168"/>
      <c r="I442" s="169"/>
      <c r="J442" s="168"/>
      <c r="K442" s="3"/>
      <c r="L442" s="168"/>
      <c r="M442" s="168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169"/>
      <c r="C443" s="3"/>
      <c r="D443" s="4"/>
      <c r="E443" s="3"/>
      <c r="F443" s="3"/>
      <c r="G443" s="3"/>
      <c r="H443" s="168"/>
      <c r="I443" s="169"/>
      <c r="J443" s="168"/>
      <c r="K443" s="3"/>
      <c r="L443" s="168"/>
      <c r="M443" s="168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169"/>
      <c r="C444" s="3"/>
      <c r="D444" s="4"/>
      <c r="E444" s="3"/>
      <c r="F444" s="3"/>
      <c r="G444" s="3"/>
      <c r="H444" s="168"/>
      <c r="I444" s="169"/>
      <c r="J444" s="168"/>
      <c r="K444" s="3"/>
      <c r="L444" s="168"/>
      <c r="M444" s="168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169"/>
      <c r="C445" s="3"/>
      <c r="D445" s="4"/>
      <c r="E445" s="3"/>
      <c r="F445" s="3"/>
      <c r="G445" s="3"/>
      <c r="H445" s="168"/>
      <c r="I445" s="169"/>
      <c r="J445" s="168"/>
      <c r="K445" s="3"/>
      <c r="L445" s="168"/>
      <c r="M445" s="168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169"/>
      <c r="C446" s="3"/>
      <c r="D446" s="4"/>
      <c r="E446" s="3"/>
      <c r="F446" s="3"/>
      <c r="G446" s="3"/>
      <c r="H446" s="168"/>
      <c r="I446" s="169"/>
      <c r="J446" s="168"/>
      <c r="K446" s="3"/>
      <c r="L446" s="168"/>
      <c r="M446" s="168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169"/>
      <c r="C447" s="3"/>
      <c r="D447" s="4"/>
      <c r="E447" s="3"/>
      <c r="F447" s="3"/>
      <c r="G447" s="3"/>
      <c r="H447" s="168"/>
      <c r="I447" s="169"/>
      <c r="J447" s="168"/>
      <c r="K447" s="3"/>
      <c r="L447" s="168"/>
      <c r="M447" s="168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169"/>
      <c r="C448" s="3"/>
      <c r="D448" s="4"/>
      <c r="E448" s="3"/>
      <c r="F448" s="3"/>
      <c r="G448" s="3"/>
      <c r="H448" s="168"/>
      <c r="I448" s="169"/>
      <c r="J448" s="168"/>
      <c r="K448" s="3"/>
      <c r="L448" s="168"/>
      <c r="M448" s="168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169"/>
      <c r="C449" s="3"/>
      <c r="D449" s="4"/>
      <c r="E449" s="3"/>
      <c r="F449" s="3"/>
      <c r="G449" s="3"/>
      <c r="H449" s="168"/>
      <c r="I449" s="169"/>
      <c r="J449" s="168"/>
      <c r="K449" s="3"/>
      <c r="L449" s="168"/>
      <c r="M449" s="168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169"/>
      <c r="C450" s="3"/>
      <c r="D450" s="4"/>
      <c r="E450" s="3"/>
      <c r="F450" s="3"/>
      <c r="G450" s="3"/>
      <c r="H450" s="168"/>
      <c r="I450" s="169"/>
      <c r="J450" s="168"/>
      <c r="K450" s="3"/>
      <c r="L450" s="168"/>
      <c r="M450" s="168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169"/>
      <c r="C451" s="3"/>
      <c r="D451" s="4"/>
      <c r="E451" s="3"/>
      <c r="F451" s="3"/>
      <c r="G451" s="3"/>
      <c r="H451" s="168"/>
      <c r="I451" s="169"/>
      <c r="J451" s="168"/>
      <c r="K451" s="3"/>
      <c r="L451" s="168"/>
      <c r="M451" s="168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169"/>
      <c r="C452" s="3"/>
      <c r="D452" s="4"/>
      <c r="E452" s="3"/>
      <c r="F452" s="3"/>
      <c r="G452" s="3"/>
      <c r="H452" s="168"/>
      <c r="I452" s="169"/>
      <c r="J452" s="168"/>
      <c r="K452" s="3"/>
      <c r="L452" s="168"/>
      <c r="M452" s="168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169"/>
      <c r="C453" s="3"/>
      <c r="D453" s="4"/>
      <c r="E453" s="3"/>
      <c r="F453" s="3"/>
      <c r="G453" s="3"/>
      <c r="H453" s="168"/>
      <c r="I453" s="169"/>
      <c r="J453" s="168"/>
      <c r="K453" s="3"/>
      <c r="L453" s="168"/>
      <c r="M453" s="168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169"/>
      <c r="C454" s="3"/>
      <c r="D454" s="4"/>
      <c r="E454" s="3"/>
      <c r="F454" s="3"/>
      <c r="G454" s="3"/>
      <c r="H454" s="168"/>
      <c r="I454" s="169"/>
      <c r="J454" s="168"/>
      <c r="K454" s="3"/>
      <c r="L454" s="168"/>
      <c r="M454" s="168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169"/>
      <c r="C455" s="3"/>
      <c r="D455" s="4"/>
      <c r="E455" s="3"/>
      <c r="F455" s="3"/>
      <c r="G455" s="3"/>
      <c r="H455" s="168"/>
      <c r="I455" s="169"/>
      <c r="J455" s="168"/>
      <c r="K455" s="3"/>
      <c r="L455" s="168"/>
      <c r="M455" s="168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169"/>
      <c r="C456" s="3"/>
      <c r="D456" s="4"/>
      <c r="E456" s="3"/>
      <c r="F456" s="3"/>
      <c r="G456" s="3"/>
      <c r="H456" s="168"/>
      <c r="I456" s="169"/>
      <c r="J456" s="168"/>
      <c r="K456" s="3"/>
      <c r="L456" s="168"/>
      <c r="M456" s="168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169"/>
      <c r="C457" s="3"/>
      <c r="D457" s="4"/>
      <c r="E457" s="3"/>
      <c r="F457" s="3"/>
      <c r="G457" s="3"/>
      <c r="H457" s="168"/>
      <c r="I457" s="169"/>
      <c r="J457" s="168"/>
      <c r="K457" s="3"/>
      <c r="L457" s="168"/>
      <c r="M457" s="168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169"/>
      <c r="C458" s="3"/>
      <c r="D458" s="4"/>
      <c r="E458" s="3"/>
      <c r="F458" s="3"/>
      <c r="G458" s="3"/>
      <c r="H458" s="168"/>
      <c r="I458" s="169"/>
      <c r="J458" s="168"/>
      <c r="K458" s="3"/>
      <c r="L458" s="168"/>
      <c r="M458" s="168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169"/>
      <c r="C459" s="3"/>
      <c r="D459" s="4"/>
      <c r="E459" s="3"/>
      <c r="F459" s="3"/>
      <c r="G459" s="3"/>
      <c r="H459" s="168"/>
      <c r="I459" s="169"/>
      <c r="J459" s="168"/>
      <c r="K459" s="3"/>
      <c r="L459" s="168"/>
      <c r="M459" s="168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169"/>
      <c r="C460" s="3"/>
      <c r="D460" s="4"/>
      <c r="E460" s="3"/>
      <c r="F460" s="3"/>
      <c r="G460" s="3"/>
      <c r="H460" s="168"/>
      <c r="I460" s="169"/>
      <c r="J460" s="168"/>
      <c r="K460" s="3"/>
      <c r="L460" s="168"/>
      <c r="M460" s="168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169"/>
      <c r="C461" s="3"/>
      <c r="D461" s="4"/>
      <c r="E461" s="3"/>
      <c r="F461" s="3"/>
      <c r="G461" s="3"/>
      <c r="H461" s="168"/>
      <c r="I461" s="169"/>
      <c r="J461" s="168"/>
      <c r="K461" s="3"/>
      <c r="L461" s="168"/>
      <c r="M461" s="168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169"/>
      <c r="C462" s="3"/>
      <c r="D462" s="4"/>
      <c r="E462" s="3"/>
      <c r="F462" s="3"/>
      <c r="G462" s="3"/>
      <c r="H462" s="168"/>
      <c r="I462" s="169"/>
      <c r="J462" s="168"/>
      <c r="K462" s="3"/>
      <c r="L462" s="168"/>
      <c r="M462" s="168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169"/>
      <c r="C463" s="3"/>
      <c r="D463" s="4"/>
      <c r="E463" s="3"/>
      <c r="F463" s="3"/>
      <c r="G463" s="3"/>
      <c r="H463" s="168"/>
      <c r="I463" s="169"/>
      <c r="J463" s="168"/>
      <c r="K463" s="3"/>
      <c r="L463" s="168"/>
      <c r="M463" s="168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169"/>
      <c r="C464" s="3"/>
      <c r="D464" s="4"/>
      <c r="E464" s="3"/>
      <c r="F464" s="3"/>
      <c r="G464" s="3"/>
      <c r="H464" s="168"/>
      <c r="I464" s="169"/>
      <c r="J464" s="168"/>
      <c r="K464" s="3"/>
      <c r="L464" s="168"/>
      <c r="M464" s="168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169"/>
      <c r="C465" s="3"/>
      <c r="D465" s="4"/>
      <c r="E465" s="3"/>
      <c r="F465" s="3"/>
      <c r="G465" s="3"/>
      <c r="H465" s="168"/>
      <c r="I465" s="169"/>
      <c r="J465" s="168"/>
      <c r="K465" s="3"/>
      <c r="L465" s="168"/>
      <c r="M465" s="168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169"/>
      <c r="C466" s="3"/>
      <c r="D466" s="4"/>
      <c r="E466" s="3"/>
      <c r="F466" s="3"/>
      <c r="G466" s="3"/>
      <c r="H466" s="168"/>
      <c r="I466" s="169"/>
      <c r="J466" s="168"/>
      <c r="K466" s="3"/>
      <c r="L466" s="168"/>
      <c r="M466" s="168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169"/>
      <c r="C467" s="3"/>
      <c r="D467" s="4"/>
      <c r="E467" s="3"/>
      <c r="F467" s="3"/>
      <c r="G467" s="3"/>
      <c r="H467" s="168"/>
      <c r="I467" s="169"/>
      <c r="J467" s="168"/>
      <c r="K467" s="3"/>
      <c r="L467" s="168"/>
      <c r="M467" s="168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169"/>
      <c r="C468" s="3"/>
      <c r="D468" s="4"/>
      <c r="E468" s="3"/>
      <c r="F468" s="3"/>
      <c r="G468" s="3"/>
      <c r="H468" s="168"/>
      <c r="I468" s="169"/>
      <c r="J468" s="168"/>
      <c r="K468" s="3"/>
      <c r="L468" s="168"/>
      <c r="M468" s="168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169"/>
      <c r="C469" s="3"/>
      <c r="D469" s="4"/>
      <c r="E469" s="3"/>
      <c r="F469" s="3"/>
      <c r="G469" s="3"/>
      <c r="H469" s="168"/>
      <c r="I469" s="169"/>
      <c r="J469" s="168"/>
      <c r="K469" s="3"/>
      <c r="L469" s="168"/>
      <c r="M469" s="168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169"/>
      <c r="C470" s="3"/>
      <c r="D470" s="4"/>
      <c r="E470" s="3"/>
      <c r="F470" s="3"/>
      <c r="G470" s="3"/>
      <c r="H470" s="168"/>
      <c r="I470" s="169"/>
      <c r="J470" s="168"/>
      <c r="K470" s="3"/>
      <c r="L470" s="168"/>
      <c r="M470" s="168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169"/>
      <c r="C471" s="3"/>
      <c r="D471" s="4"/>
      <c r="E471" s="3"/>
      <c r="F471" s="3"/>
      <c r="G471" s="3"/>
      <c r="H471" s="168"/>
      <c r="I471" s="169"/>
      <c r="J471" s="168"/>
      <c r="K471" s="3"/>
      <c r="L471" s="168"/>
      <c r="M471" s="168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169"/>
      <c r="C472" s="3"/>
      <c r="D472" s="4"/>
      <c r="E472" s="3"/>
      <c r="F472" s="3"/>
      <c r="G472" s="3"/>
      <c r="H472" s="168"/>
      <c r="I472" s="169"/>
      <c r="J472" s="168"/>
      <c r="K472" s="3"/>
      <c r="L472" s="168"/>
      <c r="M472" s="168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169"/>
      <c r="C473" s="3"/>
      <c r="D473" s="4"/>
      <c r="E473" s="3"/>
      <c r="F473" s="3"/>
      <c r="G473" s="3"/>
      <c r="H473" s="168"/>
      <c r="I473" s="169"/>
      <c r="J473" s="168"/>
      <c r="K473" s="3"/>
      <c r="L473" s="168"/>
      <c r="M473" s="168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169"/>
      <c r="C474" s="3"/>
      <c r="D474" s="4"/>
      <c r="E474" s="3"/>
      <c r="F474" s="3"/>
      <c r="G474" s="3"/>
      <c r="H474" s="168"/>
      <c r="I474" s="169"/>
      <c r="J474" s="168"/>
      <c r="K474" s="3"/>
      <c r="L474" s="168"/>
      <c r="M474" s="168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169"/>
      <c r="C475" s="3"/>
      <c r="D475" s="4"/>
      <c r="E475" s="3"/>
      <c r="F475" s="3"/>
      <c r="G475" s="3"/>
      <c r="H475" s="168"/>
      <c r="I475" s="169"/>
      <c r="J475" s="168"/>
      <c r="K475" s="3"/>
      <c r="L475" s="168"/>
      <c r="M475" s="168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169"/>
      <c r="C476" s="3"/>
      <c r="D476" s="4"/>
      <c r="E476" s="3"/>
      <c r="F476" s="3"/>
      <c r="G476" s="3"/>
      <c r="H476" s="168"/>
      <c r="I476" s="169"/>
      <c r="J476" s="168"/>
      <c r="K476" s="3"/>
      <c r="L476" s="168"/>
      <c r="M476" s="168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169"/>
      <c r="C477" s="3"/>
      <c r="D477" s="4"/>
      <c r="E477" s="3"/>
      <c r="F477" s="3"/>
      <c r="G477" s="3"/>
      <c r="H477" s="168"/>
      <c r="I477" s="169"/>
      <c r="J477" s="168"/>
      <c r="K477" s="3"/>
      <c r="L477" s="168"/>
      <c r="M477" s="168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169"/>
      <c r="C478" s="3"/>
      <c r="D478" s="4"/>
      <c r="E478" s="3"/>
      <c r="F478" s="3"/>
      <c r="G478" s="3"/>
      <c r="H478" s="168"/>
      <c r="I478" s="169"/>
      <c r="J478" s="168"/>
      <c r="K478" s="3"/>
      <c r="L478" s="168"/>
      <c r="M478" s="168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169"/>
      <c r="C479" s="3"/>
      <c r="D479" s="4"/>
      <c r="E479" s="3"/>
      <c r="F479" s="3"/>
      <c r="G479" s="3"/>
      <c r="H479" s="168"/>
      <c r="I479" s="169"/>
      <c r="J479" s="168"/>
      <c r="K479" s="3"/>
      <c r="L479" s="168"/>
      <c r="M479" s="168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169"/>
      <c r="C480" s="3"/>
      <c r="D480" s="4"/>
      <c r="E480" s="3"/>
      <c r="F480" s="3"/>
      <c r="G480" s="3"/>
      <c r="H480" s="168"/>
      <c r="I480" s="169"/>
      <c r="J480" s="168"/>
      <c r="K480" s="3"/>
      <c r="L480" s="168"/>
      <c r="M480" s="168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169"/>
      <c r="C481" s="3"/>
      <c r="D481" s="4"/>
      <c r="E481" s="3"/>
      <c r="F481" s="3"/>
      <c r="G481" s="3"/>
      <c r="H481" s="168"/>
      <c r="I481" s="169"/>
      <c r="J481" s="168"/>
      <c r="K481" s="3"/>
      <c r="L481" s="168"/>
      <c r="M481" s="168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169"/>
      <c r="C482" s="3"/>
      <c r="D482" s="4"/>
      <c r="E482" s="3"/>
      <c r="F482" s="3"/>
      <c r="G482" s="3"/>
      <c r="H482" s="168"/>
      <c r="I482" s="169"/>
      <c r="J482" s="168"/>
      <c r="K482" s="3"/>
      <c r="L482" s="168"/>
      <c r="M482" s="168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169"/>
      <c r="C483" s="3"/>
      <c r="D483" s="4"/>
      <c r="E483" s="3"/>
      <c r="F483" s="3"/>
      <c r="G483" s="3"/>
      <c r="H483" s="168"/>
      <c r="I483" s="169"/>
      <c r="J483" s="168"/>
      <c r="K483" s="3"/>
      <c r="L483" s="168"/>
      <c r="M483" s="168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169"/>
      <c r="C484" s="3"/>
      <c r="D484" s="4"/>
      <c r="E484" s="3"/>
      <c r="F484" s="3"/>
      <c r="G484" s="3"/>
      <c r="H484" s="168"/>
      <c r="I484" s="169"/>
      <c r="J484" s="168"/>
      <c r="K484" s="3"/>
      <c r="L484" s="168"/>
      <c r="M484" s="168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169"/>
      <c r="C485" s="3"/>
      <c r="D485" s="4"/>
      <c r="E485" s="3"/>
      <c r="F485" s="3"/>
      <c r="G485" s="3"/>
      <c r="H485" s="168"/>
      <c r="I485" s="169"/>
      <c r="J485" s="168"/>
      <c r="K485" s="3"/>
      <c r="L485" s="168"/>
      <c r="M485" s="168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169"/>
      <c r="C486" s="3"/>
      <c r="D486" s="4"/>
      <c r="E486" s="3"/>
      <c r="F486" s="3"/>
      <c r="G486" s="3"/>
      <c r="H486" s="168"/>
      <c r="I486" s="169"/>
      <c r="J486" s="168"/>
      <c r="K486" s="3"/>
      <c r="L486" s="168"/>
      <c r="M486" s="168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169"/>
      <c r="C487" s="3"/>
      <c r="D487" s="4"/>
      <c r="E487" s="3"/>
      <c r="F487" s="3"/>
      <c r="G487" s="3"/>
      <c r="H487" s="168"/>
      <c r="I487" s="169"/>
      <c r="J487" s="168"/>
      <c r="K487" s="3"/>
      <c r="L487" s="168"/>
      <c r="M487" s="168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169"/>
      <c r="C488" s="3"/>
      <c r="D488" s="4"/>
      <c r="E488" s="3"/>
      <c r="F488" s="3"/>
      <c r="G488" s="3"/>
      <c r="H488" s="168"/>
      <c r="I488" s="169"/>
      <c r="J488" s="168"/>
      <c r="K488" s="3"/>
      <c r="L488" s="168"/>
      <c r="M488" s="168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169"/>
      <c r="C489" s="3"/>
      <c r="D489" s="4"/>
      <c r="E489" s="3"/>
      <c r="F489" s="3"/>
      <c r="G489" s="3"/>
      <c r="H489" s="168"/>
      <c r="I489" s="169"/>
      <c r="J489" s="168"/>
      <c r="K489" s="3"/>
      <c r="L489" s="168"/>
      <c r="M489" s="168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169"/>
      <c r="C490" s="3"/>
      <c r="D490" s="4"/>
      <c r="E490" s="3"/>
      <c r="F490" s="3"/>
      <c r="G490" s="3"/>
      <c r="H490" s="168"/>
      <c r="I490" s="169"/>
      <c r="J490" s="168"/>
      <c r="K490" s="3"/>
      <c r="L490" s="168"/>
      <c r="M490" s="168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169"/>
      <c r="C491" s="3"/>
      <c r="D491" s="4"/>
      <c r="E491" s="3"/>
      <c r="F491" s="3"/>
      <c r="G491" s="3"/>
      <c r="H491" s="168"/>
      <c r="I491" s="169"/>
      <c r="J491" s="168"/>
      <c r="K491" s="3"/>
      <c r="L491" s="168"/>
      <c r="M491" s="168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169"/>
      <c r="C492" s="3"/>
      <c r="D492" s="4"/>
      <c r="E492" s="3"/>
      <c r="F492" s="3"/>
      <c r="G492" s="3"/>
      <c r="H492" s="168"/>
      <c r="I492" s="169"/>
      <c r="J492" s="168"/>
      <c r="K492" s="3"/>
      <c r="L492" s="168"/>
      <c r="M492" s="168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169"/>
      <c r="C493" s="3"/>
      <c r="D493" s="4"/>
      <c r="E493" s="3"/>
      <c r="F493" s="3"/>
      <c r="G493" s="3"/>
      <c r="H493" s="168"/>
      <c r="I493" s="169"/>
      <c r="J493" s="168"/>
      <c r="K493" s="3"/>
      <c r="L493" s="168"/>
      <c r="M493" s="168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169"/>
      <c r="C494" s="3"/>
      <c r="D494" s="4"/>
      <c r="E494" s="3"/>
      <c r="F494" s="3"/>
      <c r="G494" s="3"/>
      <c r="H494" s="168"/>
      <c r="I494" s="169"/>
      <c r="J494" s="168"/>
      <c r="K494" s="3"/>
      <c r="L494" s="168"/>
      <c r="M494" s="168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169"/>
      <c r="C495" s="3"/>
      <c r="D495" s="4"/>
      <c r="E495" s="3"/>
      <c r="F495" s="3"/>
      <c r="G495" s="3"/>
      <c r="H495" s="168"/>
      <c r="I495" s="169"/>
      <c r="J495" s="168"/>
      <c r="K495" s="3"/>
      <c r="L495" s="168"/>
      <c r="M495" s="168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169"/>
      <c r="C496" s="3"/>
      <c r="D496" s="4"/>
      <c r="E496" s="3"/>
      <c r="F496" s="3"/>
      <c r="G496" s="3"/>
      <c r="H496" s="168"/>
      <c r="I496" s="169"/>
      <c r="J496" s="168"/>
      <c r="K496" s="3"/>
      <c r="L496" s="168"/>
      <c r="M496" s="168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169"/>
      <c r="C497" s="3"/>
      <c r="D497" s="4"/>
      <c r="E497" s="3"/>
      <c r="F497" s="3"/>
      <c r="G497" s="3"/>
      <c r="H497" s="168"/>
      <c r="I497" s="169"/>
      <c r="J497" s="168"/>
      <c r="K497" s="3"/>
      <c r="L497" s="168"/>
      <c r="M497" s="168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169"/>
      <c r="C498" s="3"/>
      <c r="D498" s="4"/>
      <c r="E498" s="3"/>
      <c r="F498" s="3"/>
      <c r="G498" s="3"/>
      <c r="H498" s="168"/>
      <c r="I498" s="169"/>
      <c r="J498" s="168"/>
      <c r="K498" s="3"/>
      <c r="L498" s="168"/>
      <c r="M498" s="168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169"/>
      <c r="C499" s="3"/>
      <c r="D499" s="4"/>
      <c r="E499" s="3"/>
      <c r="F499" s="3"/>
      <c r="G499" s="3"/>
      <c r="H499" s="168"/>
      <c r="I499" s="169"/>
      <c r="J499" s="168"/>
      <c r="K499" s="3"/>
      <c r="L499" s="168"/>
      <c r="M499" s="168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169"/>
      <c r="C500" s="3"/>
      <c r="D500" s="4"/>
      <c r="E500" s="3"/>
      <c r="F500" s="3"/>
      <c r="G500" s="3"/>
      <c r="H500" s="168"/>
      <c r="I500" s="169"/>
      <c r="J500" s="168"/>
      <c r="K500" s="3"/>
      <c r="L500" s="168"/>
      <c r="M500" s="168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169"/>
      <c r="C501" s="3"/>
      <c r="D501" s="4"/>
      <c r="E501" s="3"/>
      <c r="F501" s="3"/>
      <c r="G501" s="3"/>
      <c r="H501" s="168"/>
      <c r="I501" s="169"/>
      <c r="J501" s="168"/>
      <c r="K501" s="3"/>
      <c r="L501" s="168"/>
      <c r="M501" s="168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169"/>
      <c r="C502" s="3"/>
      <c r="D502" s="4"/>
      <c r="E502" s="3"/>
      <c r="F502" s="3"/>
      <c r="G502" s="3"/>
      <c r="H502" s="168"/>
      <c r="I502" s="169"/>
      <c r="J502" s="168"/>
      <c r="K502" s="3"/>
      <c r="L502" s="168"/>
      <c r="M502" s="168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169"/>
      <c r="C503" s="3"/>
      <c r="D503" s="4"/>
      <c r="E503" s="3"/>
      <c r="F503" s="3"/>
      <c r="G503" s="3"/>
      <c r="H503" s="168"/>
      <c r="I503" s="169"/>
      <c r="J503" s="168"/>
      <c r="K503" s="3"/>
      <c r="L503" s="168"/>
      <c r="M503" s="168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169"/>
      <c r="C504" s="3"/>
      <c r="D504" s="4"/>
      <c r="E504" s="3"/>
      <c r="F504" s="3"/>
      <c r="G504" s="3"/>
      <c r="H504" s="168"/>
      <c r="I504" s="169"/>
      <c r="J504" s="168"/>
      <c r="K504" s="3"/>
      <c r="L504" s="168"/>
      <c r="M504" s="168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169"/>
      <c r="C505" s="3"/>
      <c r="D505" s="4"/>
      <c r="E505" s="3"/>
      <c r="F505" s="3"/>
      <c r="G505" s="3"/>
      <c r="H505" s="168"/>
      <c r="I505" s="169"/>
      <c r="J505" s="168"/>
      <c r="K505" s="3"/>
      <c r="L505" s="168"/>
      <c r="M505" s="168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169"/>
      <c r="C506" s="3"/>
      <c r="D506" s="4"/>
      <c r="E506" s="3"/>
      <c r="F506" s="3"/>
      <c r="G506" s="3"/>
      <c r="H506" s="168"/>
      <c r="I506" s="169"/>
      <c r="J506" s="168"/>
      <c r="K506" s="3"/>
      <c r="L506" s="168"/>
      <c r="M506" s="168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169"/>
      <c r="C507" s="3"/>
      <c r="D507" s="4"/>
      <c r="E507" s="3"/>
      <c r="F507" s="3"/>
      <c r="G507" s="3"/>
      <c r="H507" s="168"/>
      <c r="I507" s="169"/>
      <c r="J507" s="168"/>
      <c r="K507" s="3"/>
      <c r="L507" s="168"/>
      <c r="M507" s="168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169"/>
      <c r="C508" s="3"/>
      <c r="D508" s="4"/>
      <c r="E508" s="3"/>
      <c r="F508" s="3"/>
      <c r="G508" s="3"/>
      <c r="H508" s="168"/>
      <c r="I508" s="169"/>
      <c r="J508" s="168"/>
      <c r="K508" s="3"/>
      <c r="L508" s="168"/>
      <c r="M508" s="168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169"/>
      <c r="C509" s="3"/>
      <c r="D509" s="4"/>
      <c r="E509" s="3"/>
      <c r="F509" s="3"/>
      <c r="G509" s="3"/>
      <c r="H509" s="168"/>
      <c r="I509" s="169"/>
      <c r="J509" s="168"/>
      <c r="K509" s="3"/>
      <c r="L509" s="168"/>
      <c r="M509" s="168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169"/>
      <c r="C510" s="3"/>
      <c r="D510" s="4"/>
      <c r="E510" s="3"/>
      <c r="F510" s="3"/>
      <c r="G510" s="3"/>
      <c r="H510" s="168"/>
      <c r="I510" s="169"/>
      <c r="J510" s="168"/>
      <c r="K510" s="3"/>
      <c r="L510" s="168"/>
      <c r="M510" s="168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169"/>
      <c r="C511" s="3"/>
      <c r="D511" s="4"/>
      <c r="E511" s="3"/>
      <c r="F511" s="3"/>
      <c r="G511" s="3"/>
      <c r="H511" s="168"/>
      <c r="I511" s="169"/>
      <c r="J511" s="168"/>
      <c r="K511" s="3"/>
      <c r="L511" s="168"/>
      <c r="M511" s="168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169"/>
      <c r="C512" s="3"/>
      <c r="D512" s="4"/>
      <c r="E512" s="3"/>
      <c r="F512" s="3"/>
      <c r="G512" s="3"/>
      <c r="H512" s="168"/>
      <c r="I512" s="169"/>
      <c r="J512" s="168"/>
      <c r="K512" s="3"/>
      <c r="L512" s="168"/>
      <c r="M512" s="168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169"/>
      <c r="C513" s="3"/>
      <c r="D513" s="4"/>
      <c r="E513" s="3"/>
      <c r="F513" s="3"/>
      <c r="G513" s="3"/>
      <c r="H513" s="168"/>
      <c r="I513" s="169"/>
      <c r="J513" s="168"/>
      <c r="K513" s="3"/>
      <c r="L513" s="168"/>
      <c r="M513" s="168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169"/>
      <c r="C514" s="3"/>
      <c r="D514" s="4"/>
      <c r="E514" s="3"/>
      <c r="F514" s="3"/>
      <c r="G514" s="3"/>
      <c r="H514" s="168"/>
      <c r="I514" s="169"/>
      <c r="J514" s="168"/>
      <c r="K514" s="3"/>
      <c r="L514" s="168"/>
      <c r="M514" s="168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169"/>
      <c r="C515" s="3"/>
      <c r="D515" s="4"/>
      <c r="E515" s="3"/>
      <c r="F515" s="3"/>
      <c r="G515" s="3"/>
      <c r="H515" s="168"/>
      <c r="I515" s="169"/>
      <c r="J515" s="168"/>
      <c r="K515" s="3"/>
      <c r="L515" s="168"/>
      <c r="M515" s="168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169"/>
      <c r="C516" s="3"/>
      <c r="D516" s="4"/>
      <c r="E516" s="3"/>
      <c r="F516" s="3"/>
      <c r="G516" s="3"/>
      <c r="H516" s="168"/>
      <c r="I516" s="169"/>
      <c r="J516" s="168"/>
      <c r="K516" s="3"/>
      <c r="L516" s="168"/>
      <c r="M516" s="168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169"/>
      <c r="C517" s="3"/>
      <c r="D517" s="4"/>
      <c r="E517" s="3"/>
      <c r="F517" s="3"/>
      <c r="G517" s="3"/>
      <c r="H517" s="168"/>
      <c r="I517" s="169"/>
      <c r="J517" s="168"/>
      <c r="K517" s="3"/>
      <c r="L517" s="168"/>
      <c r="M517" s="168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169"/>
      <c r="C518" s="3"/>
      <c r="D518" s="4"/>
      <c r="E518" s="3"/>
      <c r="F518" s="3"/>
      <c r="G518" s="3"/>
      <c r="H518" s="168"/>
      <c r="I518" s="169"/>
      <c r="J518" s="168"/>
      <c r="K518" s="3"/>
      <c r="L518" s="168"/>
      <c r="M518" s="168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169"/>
      <c r="C519" s="3"/>
      <c r="D519" s="4"/>
      <c r="E519" s="3"/>
      <c r="F519" s="3"/>
      <c r="G519" s="3"/>
      <c r="H519" s="168"/>
      <c r="I519" s="169"/>
      <c r="J519" s="168"/>
      <c r="K519" s="3"/>
      <c r="L519" s="168"/>
      <c r="M519" s="168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169"/>
      <c r="C520" s="3"/>
      <c r="D520" s="4"/>
      <c r="E520" s="3"/>
      <c r="F520" s="3"/>
      <c r="G520" s="3"/>
      <c r="H520" s="168"/>
      <c r="I520" s="169"/>
      <c r="J520" s="168"/>
      <c r="K520" s="3"/>
      <c r="L520" s="168"/>
      <c r="M520" s="168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169"/>
      <c r="C521" s="3"/>
      <c r="D521" s="4"/>
      <c r="E521" s="3"/>
      <c r="F521" s="3"/>
      <c r="G521" s="3"/>
      <c r="H521" s="168"/>
      <c r="I521" s="169"/>
      <c r="J521" s="168"/>
      <c r="K521" s="3"/>
      <c r="L521" s="168"/>
      <c r="M521" s="168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169"/>
      <c r="C522" s="3"/>
      <c r="D522" s="4"/>
      <c r="E522" s="3"/>
      <c r="F522" s="3"/>
      <c r="G522" s="3"/>
      <c r="H522" s="168"/>
      <c r="I522" s="169"/>
      <c r="J522" s="168"/>
      <c r="K522" s="3"/>
      <c r="L522" s="168"/>
      <c r="M522" s="168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169"/>
      <c r="C523" s="3"/>
      <c r="D523" s="4"/>
      <c r="E523" s="3"/>
      <c r="F523" s="3"/>
      <c r="G523" s="3"/>
      <c r="H523" s="168"/>
      <c r="I523" s="169"/>
      <c r="J523" s="168"/>
      <c r="K523" s="3"/>
      <c r="L523" s="168"/>
      <c r="M523" s="168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169"/>
      <c r="C524" s="3"/>
      <c r="D524" s="4"/>
      <c r="E524" s="3"/>
      <c r="F524" s="3"/>
      <c r="G524" s="3"/>
      <c r="H524" s="168"/>
      <c r="I524" s="169"/>
      <c r="J524" s="168"/>
      <c r="K524" s="3"/>
      <c r="L524" s="168"/>
      <c r="M524" s="168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169"/>
      <c r="C525" s="3"/>
      <c r="D525" s="4"/>
      <c r="E525" s="3"/>
      <c r="F525" s="3"/>
      <c r="G525" s="3"/>
      <c r="H525" s="168"/>
      <c r="I525" s="169"/>
      <c r="J525" s="168"/>
      <c r="K525" s="3"/>
      <c r="L525" s="168"/>
      <c r="M525" s="168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169"/>
      <c r="C526" s="3"/>
      <c r="D526" s="4"/>
      <c r="E526" s="3"/>
      <c r="F526" s="3"/>
      <c r="G526" s="3"/>
      <c r="H526" s="168"/>
      <c r="I526" s="169"/>
      <c r="J526" s="168"/>
      <c r="K526" s="3"/>
      <c r="L526" s="168"/>
      <c r="M526" s="168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169"/>
      <c r="C527" s="3"/>
      <c r="D527" s="4"/>
      <c r="E527" s="3"/>
      <c r="F527" s="3"/>
      <c r="G527" s="3"/>
      <c r="H527" s="168"/>
      <c r="I527" s="169"/>
      <c r="J527" s="168"/>
      <c r="K527" s="3"/>
      <c r="L527" s="168"/>
      <c r="M527" s="168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169"/>
      <c r="C528" s="3"/>
      <c r="D528" s="4"/>
      <c r="E528" s="3"/>
      <c r="F528" s="3"/>
      <c r="G528" s="3"/>
      <c r="H528" s="168"/>
      <c r="I528" s="169"/>
      <c r="J528" s="168"/>
      <c r="K528" s="3"/>
      <c r="L528" s="168"/>
      <c r="M528" s="168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169"/>
      <c r="C529" s="3"/>
      <c r="D529" s="4"/>
      <c r="E529" s="3"/>
      <c r="F529" s="3"/>
      <c r="G529" s="3"/>
      <c r="H529" s="168"/>
      <c r="I529" s="169"/>
      <c r="J529" s="168"/>
      <c r="K529" s="3"/>
      <c r="L529" s="168"/>
      <c r="M529" s="168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169"/>
      <c r="C530" s="3"/>
      <c r="D530" s="4"/>
      <c r="E530" s="3"/>
      <c r="F530" s="3"/>
      <c r="G530" s="3"/>
      <c r="H530" s="168"/>
      <c r="I530" s="169"/>
      <c r="J530" s="168"/>
      <c r="K530" s="3"/>
      <c r="L530" s="168"/>
      <c r="M530" s="168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169"/>
      <c r="C531" s="3"/>
      <c r="D531" s="4"/>
      <c r="E531" s="3"/>
      <c r="F531" s="3"/>
      <c r="G531" s="3"/>
      <c r="H531" s="168"/>
      <c r="I531" s="169"/>
      <c r="J531" s="168"/>
      <c r="K531" s="3"/>
      <c r="L531" s="168"/>
      <c r="M531" s="168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169"/>
      <c r="C532" s="3"/>
      <c r="D532" s="4"/>
      <c r="E532" s="3"/>
      <c r="F532" s="3"/>
      <c r="G532" s="3"/>
      <c r="H532" s="168"/>
      <c r="I532" s="169"/>
      <c r="J532" s="168"/>
      <c r="K532" s="3"/>
      <c r="L532" s="168"/>
      <c r="M532" s="168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169"/>
      <c r="C533" s="3"/>
      <c r="D533" s="4"/>
      <c r="E533" s="3"/>
      <c r="F533" s="3"/>
      <c r="G533" s="3"/>
      <c r="H533" s="168"/>
      <c r="I533" s="169"/>
      <c r="J533" s="168"/>
      <c r="K533" s="3"/>
      <c r="L533" s="168"/>
      <c r="M533" s="168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169"/>
      <c r="C534" s="3"/>
      <c r="D534" s="4"/>
      <c r="E534" s="3"/>
      <c r="F534" s="3"/>
      <c r="G534" s="3"/>
      <c r="H534" s="168"/>
      <c r="I534" s="169"/>
      <c r="J534" s="168"/>
      <c r="K534" s="3"/>
      <c r="L534" s="168"/>
      <c r="M534" s="168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169"/>
      <c r="C535" s="3"/>
      <c r="D535" s="4"/>
      <c r="E535" s="3"/>
      <c r="F535" s="3"/>
      <c r="G535" s="3"/>
      <c r="H535" s="168"/>
      <c r="I535" s="169"/>
      <c r="J535" s="168"/>
      <c r="K535" s="3"/>
      <c r="L535" s="168"/>
      <c r="M535" s="168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169"/>
      <c r="C536" s="3"/>
      <c r="D536" s="4"/>
      <c r="E536" s="3"/>
      <c r="F536" s="3"/>
      <c r="G536" s="3"/>
      <c r="H536" s="168"/>
      <c r="I536" s="169"/>
      <c r="J536" s="168"/>
      <c r="K536" s="3"/>
      <c r="L536" s="168"/>
      <c r="M536" s="168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169"/>
      <c r="C537" s="3"/>
      <c r="D537" s="4"/>
      <c r="E537" s="3"/>
      <c r="F537" s="3"/>
      <c r="G537" s="3"/>
      <c r="H537" s="168"/>
      <c r="I537" s="169"/>
      <c r="J537" s="168"/>
      <c r="K537" s="3"/>
      <c r="L537" s="168"/>
      <c r="M537" s="168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169"/>
      <c r="C538" s="3"/>
      <c r="D538" s="4"/>
      <c r="E538" s="3"/>
      <c r="F538" s="3"/>
      <c r="G538" s="3"/>
      <c r="H538" s="168"/>
      <c r="I538" s="169"/>
      <c r="J538" s="168"/>
      <c r="K538" s="3"/>
      <c r="L538" s="168"/>
      <c r="M538" s="168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169"/>
      <c r="C539" s="3"/>
      <c r="D539" s="4"/>
      <c r="E539" s="3"/>
      <c r="F539" s="3"/>
      <c r="G539" s="3"/>
      <c r="H539" s="168"/>
      <c r="I539" s="169"/>
      <c r="J539" s="168"/>
      <c r="K539" s="3"/>
      <c r="L539" s="168"/>
      <c r="M539" s="168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169"/>
      <c r="C540" s="3"/>
      <c r="D540" s="4"/>
      <c r="E540" s="3"/>
      <c r="F540" s="3"/>
      <c r="G540" s="3"/>
      <c r="H540" s="168"/>
      <c r="I540" s="169"/>
      <c r="J540" s="168"/>
      <c r="K540" s="3"/>
      <c r="L540" s="168"/>
      <c r="M540" s="168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169"/>
      <c r="C541" s="3"/>
      <c r="D541" s="4"/>
      <c r="E541" s="3"/>
      <c r="F541" s="3"/>
      <c r="G541" s="3"/>
      <c r="H541" s="168"/>
      <c r="I541" s="169"/>
      <c r="J541" s="168"/>
      <c r="K541" s="3"/>
      <c r="L541" s="168"/>
      <c r="M541" s="168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169"/>
      <c r="C542" s="3"/>
      <c r="D542" s="4"/>
      <c r="E542" s="3"/>
      <c r="F542" s="3"/>
      <c r="G542" s="3"/>
      <c r="H542" s="168"/>
      <c r="I542" s="169"/>
      <c r="J542" s="168"/>
      <c r="K542" s="3"/>
      <c r="L542" s="168"/>
      <c r="M542" s="168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169"/>
      <c r="C543" s="3"/>
      <c r="D543" s="4"/>
      <c r="E543" s="3"/>
      <c r="F543" s="3"/>
      <c r="G543" s="3"/>
      <c r="H543" s="168"/>
      <c r="I543" s="169"/>
      <c r="J543" s="168"/>
      <c r="K543" s="3"/>
      <c r="L543" s="168"/>
      <c r="M543" s="168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169"/>
      <c r="C544" s="3"/>
      <c r="D544" s="4"/>
      <c r="E544" s="3"/>
      <c r="F544" s="3"/>
      <c r="G544" s="3"/>
      <c r="H544" s="168"/>
      <c r="I544" s="169"/>
      <c r="J544" s="168"/>
      <c r="K544" s="3"/>
      <c r="L544" s="168"/>
      <c r="M544" s="168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169"/>
      <c r="C545" s="3"/>
      <c r="D545" s="4"/>
      <c r="E545" s="3"/>
      <c r="F545" s="3"/>
      <c r="G545" s="3"/>
      <c r="H545" s="168"/>
      <c r="I545" s="169"/>
      <c r="J545" s="168"/>
      <c r="K545" s="3"/>
      <c r="L545" s="168"/>
      <c r="M545" s="168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169"/>
      <c r="C546" s="3"/>
      <c r="D546" s="4"/>
      <c r="E546" s="3"/>
      <c r="F546" s="3"/>
      <c r="G546" s="3"/>
      <c r="H546" s="168"/>
      <c r="I546" s="169"/>
      <c r="J546" s="168"/>
      <c r="K546" s="3"/>
      <c r="L546" s="168"/>
      <c r="M546" s="168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169"/>
      <c r="C547" s="3"/>
      <c r="D547" s="4"/>
      <c r="E547" s="3"/>
      <c r="F547" s="3"/>
      <c r="G547" s="3"/>
      <c r="H547" s="168"/>
      <c r="I547" s="169"/>
      <c r="J547" s="168"/>
      <c r="K547" s="3"/>
      <c r="L547" s="168"/>
      <c r="M547" s="168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169"/>
      <c r="C548" s="3"/>
      <c r="D548" s="4"/>
      <c r="E548" s="3"/>
      <c r="F548" s="3"/>
      <c r="G548" s="3"/>
      <c r="H548" s="168"/>
      <c r="I548" s="169"/>
      <c r="J548" s="168"/>
      <c r="K548" s="3"/>
      <c r="L548" s="168"/>
      <c r="M548" s="168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169"/>
      <c r="C549" s="3"/>
      <c r="D549" s="4"/>
      <c r="E549" s="3"/>
      <c r="F549" s="3"/>
      <c r="G549" s="3"/>
      <c r="H549" s="168"/>
      <c r="I549" s="169"/>
      <c r="J549" s="168"/>
      <c r="K549" s="3"/>
      <c r="L549" s="168"/>
      <c r="M549" s="168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169"/>
      <c r="C550" s="3"/>
      <c r="D550" s="4"/>
      <c r="E550" s="3"/>
      <c r="F550" s="3"/>
      <c r="G550" s="3"/>
      <c r="H550" s="168"/>
      <c r="I550" s="169"/>
      <c r="J550" s="168"/>
      <c r="K550" s="3"/>
      <c r="L550" s="168"/>
      <c r="M550" s="168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169"/>
      <c r="C551" s="3"/>
      <c r="D551" s="4"/>
      <c r="E551" s="3"/>
      <c r="F551" s="3"/>
      <c r="G551" s="3"/>
      <c r="H551" s="168"/>
      <c r="I551" s="169"/>
      <c r="J551" s="168"/>
      <c r="K551" s="3"/>
      <c r="L551" s="168"/>
      <c r="M551" s="168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169"/>
      <c r="C552" s="3"/>
      <c r="D552" s="4"/>
      <c r="E552" s="3"/>
      <c r="F552" s="3"/>
      <c r="G552" s="3"/>
      <c r="H552" s="168"/>
      <c r="I552" s="169"/>
      <c r="J552" s="168"/>
      <c r="K552" s="3"/>
      <c r="L552" s="168"/>
      <c r="M552" s="168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169"/>
      <c r="C553" s="3"/>
      <c r="D553" s="4"/>
      <c r="E553" s="3"/>
      <c r="F553" s="3"/>
      <c r="G553" s="3"/>
      <c r="H553" s="168"/>
      <c r="I553" s="169"/>
      <c r="J553" s="168"/>
      <c r="K553" s="3"/>
      <c r="L553" s="168"/>
      <c r="M553" s="168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169"/>
      <c r="C554" s="3"/>
      <c r="D554" s="4"/>
      <c r="E554" s="3"/>
      <c r="F554" s="3"/>
      <c r="G554" s="3"/>
      <c r="H554" s="168"/>
      <c r="I554" s="169"/>
      <c r="J554" s="168"/>
      <c r="K554" s="3"/>
      <c r="L554" s="168"/>
      <c r="M554" s="168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169"/>
      <c r="C555" s="3"/>
      <c r="D555" s="4"/>
      <c r="E555" s="3"/>
      <c r="F555" s="3"/>
      <c r="G555" s="3"/>
      <c r="H555" s="168"/>
      <c r="I555" s="169"/>
      <c r="J555" s="168"/>
      <c r="K555" s="3"/>
      <c r="L555" s="168"/>
      <c r="M555" s="168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169"/>
      <c r="C556" s="3"/>
      <c r="D556" s="4"/>
      <c r="E556" s="3"/>
      <c r="F556" s="3"/>
      <c r="G556" s="3"/>
      <c r="H556" s="168"/>
      <c r="I556" s="169"/>
      <c r="J556" s="168"/>
      <c r="K556" s="3"/>
      <c r="L556" s="168"/>
      <c r="M556" s="168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169"/>
      <c r="C557" s="3"/>
      <c r="D557" s="4"/>
      <c r="E557" s="3"/>
      <c r="F557" s="3"/>
      <c r="G557" s="3"/>
      <c r="H557" s="168"/>
      <c r="I557" s="169"/>
      <c r="J557" s="168"/>
      <c r="K557" s="3"/>
      <c r="L557" s="168"/>
      <c r="M557" s="168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169"/>
      <c r="C558" s="3"/>
      <c r="D558" s="4"/>
      <c r="E558" s="3"/>
      <c r="F558" s="3"/>
      <c r="G558" s="3"/>
      <c r="H558" s="168"/>
      <c r="I558" s="169"/>
      <c r="J558" s="168"/>
      <c r="K558" s="3"/>
      <c r="L558" s="168"/>
      <c r="M558" s="168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169"/>
      <c r="C559" s="3"/>
      <c r="D559" s="4"/>
      <c r="E559" s="3"/>
      <c r="F559" s="3"/>
      <c r="G559" s="3"/>
      <c r="H559" s="168"/>
      <c r="I559" s="169"/>
      <c r="J559" s="168"/>
      <c r="K559" s="3"/>
      <c r="L559" s="168"/>
      <c r="M559" s="168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169"/>
      <c r="C560" s="3"/>
      <c r="D560" s="4"/>
      <c r="E560" s="3"/>
      <c r="F560" s="3"/>
      <c r="G560" s="3"/>
      <c r="H560" s="168"/>
      <c r="I560" s="169"/>
      <c r="J560" s="168"/>
      <c r="K560" s="3"/>
      <c r="L560" s="168"/>
      <c r="M560" s="168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169"/>
      <c r="C561" s="3"/>
      <c r="D561" s="4"/>
      <c r="E561" s="3"/>
      <c r="F561" s="3"/>
      <c r="G561" s="3"/>
      <c r="H561" s="168"/>
      <c r="I561" s="169"/>
      <c r="J561" s="168"/>
      <c r="K561" s="3"/>
      <c r="L561" s="168"/>
      <c r="M561" s="168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169"/>
      <c r="C562" s="3"/>
      <c r="D562" s="4"/>
      <c r="E562" s="3"/>
      <c r="F562" s="3"/>
      <c r="G562" s="3"/>
      <c r="H562" s="168"/>
      <c r="I562" s="169"/>
      <c r="J562" s="168"/>
      <c r="K562" s="3"/>
      <c r="L562" s="168"/>
      <c r="M562" s="168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169"/>
      <c r="C563" s="3"/>
      <c r="D563" s="4"/>
      <c r="E563" s="3"/>
      <c r="F563" s="3"/>
      <c r="G563" s="3"/>
      <c r="H563" s="168"/>
      <c r="I563" s="169"/>
      <c r="J563" s="168"/>
      <c r="K563" s="3"/>
      <c r="L563" s="168"/>
      <c r="M563" s="168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169"/>
      <c r="C564" s="3"/>
      <c r="D564" s="4"/>
      <c r="E564" s="3"/>
      <c r="F564" s="3"/>
      <c r="G564" s="3"/>
      <c r="H564" s="168"/>
      <c r="I564" s="169"/>
      <c r="J564" s="168"/>
      <c r="K564" s="3"/>
      <c r="L564" s="168"/>
      <c r="M564" s="168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169"/>
      <c r="C565" s="3"/>
      <c r="D565" s="4"/>
      <c r="E565" s="3"/>
      <c r="F565" s="3"/>
      <c r="G565" s="3"/>
      <c r="H565" s="168"/>
      <c r="I565" s="169"/>
      <c r="J565" s="168"/>
      <c r="K565" s="3"/>
      <c r="L565" s="168"/>
      <c r="M565" s="168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169"/>
      <c r="C566" s="3"/>
      <c r="D566" s="4"/>
      <c r="E566" s="3"/>
      <c r="F566" s="3"/>
      <c r="G566" s="3"/>
      <c r="H566" s="168"/>
      <c r="I566" s="169"/>
      <c r="J566" s="168"/>
      <c r="K566" s="3"/>
      <c r="L566" s="168"/>
      <c r="M566" s="168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169"/>
      <c r="C567" s="3"/>
      <c r="D567" s="4"/>
      <c r="E567" s="3"/>
      <c r="F567" s="3"/>
      <c r="G567" s="3"/>
      <c r="H567" s="168"/>
      <c r="I567" s="169"/>
      <c r="J567" s="168"/>
      <c r="K567" s="3"/>
      <c r="L567" s="168"/>
      <c r="M567" s="168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169"/>
      <c r="C568" s="3"/>
      <c r="D568" s="4"/>
      <c r="E568" s="3"/>
      <c r="F568" s="3"/>
      <c r="G568" s="3"/>
      <c r="H568" s="168"/>
      <c r="I568" s="169"/>
      <c r="J568" s="168"/>
      <c r="K568" s="3"/>
      <c r="L568" s="168"/>
      <c r="M568" s="168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169"/>
      <c r="C569" s="3"/>
      <c r="D569" s="4"/>
      <c r="E569" s="3"/>
      <c r="F569" s="3"/>
      <c r="G569" s="3"/>
      <c r="H569" s="168"/>
      <c r="I569" s="169"/>
      <c r="J569" s="168"/>
      <c r="K569" s="3"/>
      <c r="L569" s="168"/>
      <c r="M569" s="168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169"/>
      <c r="C570" s="3"/>
      <c r="D570" s="4"/>
      <c r="E570" s="3"/>
      <c r="F570" s="3"/>
      <c r="G570" s="3"/>
      <c r="H570" s="168"/>
      <c r="I570" s="169"/>
      <c r="J570" s="168"/>
      <c r="K570" s="3"/>
      <c r="L570" s="168"/>
      <c r="M570" s="168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169"/>
      <c r="C571" s="3"/>
      <c r="D571" s="4"/>
      <c r="E571" s="3"/>
      <c r="F571" s="3"/>
      <c r="G571" s="3"/>
      <c r="H571" s="168"/>
      <c r="I571" s="169"/>
      <c r="J571" s="168"/>
      <c r="K571" s="3"/>
      <c r="L571" s="168"/>
      <c r="M571" s="168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169"/>
      <c r="C572" s="3"/>
      <c r="D572" s="4"/>
      <c r="E572" s="3"/>
      <c r="F572" s="3"/>
      <c r="G572" s="3"/>
      <c r="H572" s="168"/>
      <c r="I572" s="169"/>
      <c r="J572" s="168"/>
      <c r="K572" s="3"/>
      <c r="L572" s="168"/>
      <c r="M572" s="168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169"/>
      <c r="C573" s="3"/>
      <c r="D573" s="4"/>
      <c r="E573" s="3"/>
      <c r="F573" s="3"/>
      <c r="G573" s="3"/>
      <c r="H573" s="168"/>
      <c r="I573" s="169"/>
      <c r="J573" s="168"/>
      <c r="K573" s="3"/>
      <c r="L573" s="168"/>
      <c r="M573" s="168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169"/>
      <c r="C574" s="3"/>
      <c r="D574" s="4"/>
      <c r="E574" s="3"/>
      <c r="F574" s="3"/>
      <c r="G574" s="3"/>
      <c r="H574" s="168"/>
      <c r="I574" s="169"/>
      <c r="J574" s="168"/>
      <c r="K574" s="3"/>
      <c r="L574" s="168"/>
      <c r="M574" s="168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169"/>
      <c r="C575" s="3"/>
      <c r="D575" s="4"/>
      <c r="E575" s="3"/>
      <c r="F575" s="3"/>
      <c r="G575" s="3"/>
      <c r="H575" s="168"/>
      <c r="I575" s="169"/>
      <c r="J575" s="168"/>
      <c r="K575" s="3"/>
      <c r="L575" s="168"/>
      <c r="M575" s="168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169"/>
      <c r="C576" s="3"/>
      <c r="D576" s="4"/>
      <c r="E576" s="3"/>
      <c r="F576" s="3"/>
      <c r="G576" s="3"/>
      <c r="H576" s="168"/>
      <c r="I576" s="169"/>
      <c r="J576" s="168"/>
      <c r="K576" s="3"/>
      <c r="L576" s="168"/>
      <c r="M576" s="168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169"/>
      <c r="C577" s="3"/>
      <c r="D577" s="4"/>
      <c r="E577" s="3"/>
      <c r="F577" s="3"/>
      <c r="G577" s="3"/>
      <c r="H577" s="168"/>
      <c r="I577" s="169"/>
      <c r="J577" s="168"/>
      <c r="K577" s="3"/>
      <c r="L577" s="168"/>
      <c r="M577" s="168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169"/>
      <c r="C578" s="3"/>
      <c r="D578" s="4"/>
      <c r="E578" s="3"/>
      <c r="F578" s="3"/>
      <c r="G578" s="3"/>
      <c r="H578" s="168"/>
      <c r="I578" s="169"/>
      <c r="J578" s="168"/>
      <c r="K578" s="3"/>
      <c r="L578" s="168"/>
      <c r="M578" s="168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169"/>
      <c r="C579" s="3"/>
      <c r="D579" s="4"/>
      <c r="E579" s="3"/>
      <c r="F579" s="3"/>
      <c r="G579" s="3"/>
      <c r="H579" s="168"/>
      <c r="I579" s="169"/>
      <c r="J579" s="168"/>
      <c r="K579" s="3"/>
      <c r="L579" s="168"/>
      <c r="M579" s="168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169"/>
      <c r="C580" s="3"/>
      <c r="D580" s="4"/>
      <c r="E580" s="3"/>
      <c r="F580" s="3"/>
      <c r="G580" s="3"/>
      <c r="H580" s="168"/>
      <c r="I580" s="169"/>
      <c r="J580" s="168"/>
      <c r="K580" s="3"/>
      <c r="L580" s="168"/>
      <c r="M580" s="168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169"/>
      <c r="C581" s="3"/>
      <c r="D581" s="4"/>
      <c r="E581" s="3"/>
      <c r="F581" s="3"/>
      <c r="G581" s="3"/>
      <c r="H581" s="168"/>
      <c r="I581" s="169"/>
      <c r="J581" s="168"/>
      <c r="K581" s="3"/>
      <c r="L581" s="168"/>
      <c r="M581" s="168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169"/>
      <c r="C582" s="3"/>
      <c r="D582" s="4"/>
      <c r="E582" s="3"/>
      <c r="F582" s="3"/>
      <c r="G582" s="3"/>
      <c r="H582" s="168"/>
      <c r="I582" s="169"/>
      <c r="J582" s="168"/>
      <c r="K582" s="3"/>
      <c r="L582" s="168"/>
      <c r="M582" s="168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169"/>
      <c r="C583" s="3"/>
      <c r="D583" s="4"/>
      <c r="E583" s="3"/>
      <c r="F583" s="3"/>
      <c r="G583" s="3"/>
      <c r="H583" s="168"/>
      <c r="I583" s="169"/>
      <c r="J583" s="168"/>
      <c r="K583" s="3"/>
      <c r="L583" s="168"/>
      <c r="M583" s="168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169"/>
      <c r="C584" s="3"/>
      <c r="D584" s="4"/>
      <c r="E584" s="3"/>
      <c r="F584" s="3"/>
      <c r="G584" s="3"/>
      <c r="H584" s="168"/>
      <c r="I584" s="169"/>
      <c r="J584" s="168"/>
      <c r="K584" s="3"/>
      <c r="L584" s="168"/>
      <c r="M584" s="168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169"/>
      <c r="C585" s="3"/>
      <c r="D585" s="4"/>
      <c r="E585" s="3"/>
      <c r="F585" s="3"/>
      <c r="G585" s="3"/>
      <c r="H585" s="168"/>
      <c r="I585" s="169"/>
      <c r="J585" s="168"/>
      <c r="K585" s="3"/>
      <c r="L585" s="168"/>
      <c r="M585" s="168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169"/>
      <c r="C586" s="3"/>
      <c r="D586" s="4"/>
      <c r="E586" s="3"/>
      <c r="F586" s="3"/>
      <c r="G586" s="3"/>
      <c r="H586" s="168"/>
      <c r="I586" s="169"/>
      <c r="J586" s="168"/>
      <c r="K586" s="3"/>
      <c r="L586" s="168"/>
      <c r="M586" s="168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169"/>
      <c r="C587" s="3"/>
      <c r="D587" s="4"/>
      <c r="E587" s="3"/>
      <c r="F587" s="3"/>
      <c r="G587" s="3"/>
      <c r="H587" s="168"/>
      <c r="I587" s="169"/>
      <c r="J587" s="168"/>
      <c r="K587" s="3"/>
      <c r="L587" s="168"/>
      <c r="M587" s="168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169"/>
      <c r="C588" s="3"/>
      <c r="D588" s="4"/>
      <c r="E588" s="3"/>
      <c r="F588" s="3"/>
      <c r="G588" s="3"/>
      <c r="H588" s="168"/>
      <c r="I588" s="169"/>
      <c r="J588" s="168"/>
      <c r="K588" s="3"/>
      <c r="L588" s="168"/>
      <c r="M588" s="168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169"/>
      <c r="C589" s="3"/>
      <c r="D589" s="4"/>
      <c r="E589" s="3"/>
      <c r="F589" s="3"/>
      <c r="G589" s="3"/>
      <c r="H589" s="168"/>
      <c r="I589" s="169"/>
      <c r="J589" s="168"/>
      <c r="K589" s="3"/>
      <c r="L589" s="168"/>
      <c r="M589" s="168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169"/>
      <c r="C590" s="3"/>
      <c r="D590" s="4"/>
      <c r="E590" s="3"/>
      <c r="F590" s="3"/>
      <c r="G590" s="3"/>
      <c r="H590" s="168"/>
      <c r="I590" s="169"/>
      <c r="J590" s="168"/>
      <c r="K590" s="3"/>
      <c r="L590" s="168"/>
      <c r="M590" s="168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169"/>
      <c r="C591" s="3"/>
      <c r="D591" s="4"/>
      <c r="E591" s="3"/>
      <c r="F591" s="3"/>
      <c r="G591" s="3"/>
      <c r="H591" s="168"/>
      <c r="I591" s="169"/>
      <c r="J591" s="168"/>
      <c r="K591" s="3"/>
      <c r="L591" s="168"/>
      <c r="M591" s="168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169"/>
      <c r="C592" s="3"/>
      <c r="D592" s="4"/>
      <c r="E592" s="3"/>
      <c r="F592" s="3"/>
      <c r="G592" s="3"/>
      <c r="H592" s="168"/>
      <c r="I592" s="169"/>
      <c r="J592" s="168"/>
      <c r="K592" s="3"/>
      <c r="L592" s="168"/>
      <c r="M592" s="168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169"/>
      <c r="C593" s="3"/>
      <c r="D593" s="4"/>
      <c r="E593" s="3"/>
      <c r="F593" s="3"/>
      <c r="G593" s="3"/>
      <c r="H593" s="168"/>
      <c r="I593" s="169"/>
      <c r="J593" s="168"/>
      <c r="K593" s="3"/>
      <c r="L593" s="168"/>
      <c r="M593" s="168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169"/>
      <c r="C594" s="3"/>
      <c r="D594" s="4"/>
      <c r="E594" s="3"/>
      <c r="F594" s="3"/>
      <c r="G594" s="3"/>
      <c r="H594" s="168"/>
      <c r="I594" s="169"/>
      <c r="J594" s="168"/>
      <c r="K594" s="3"/>
      <c r="L594" s="168"/>
      <c r="M594" s="168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169"/>
      <c r="C595" s="3"/>
      <c r="D595" s="4"/>
      <c r="E595" s="3"/>
      <c r="F595" s="3"/>
      <c r="G595" s="3"/>
      <c r="H595" s="168"/>
      <c r="I595" s="169"/>
      <c r="J595" s="168"/>
      <c r="K595" s="3"/>
      <c r="L595" s="168"/>
      <c r="M595" s="168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169"/>
      <c r="C596" s="3"/>
      <c r="D596" s="4"/>
      <c r="E596" s="3"/>
      <c r="F596" s="3"/>
      <c r="G596" s="3"/>
      <c r="H596" s="168"/>
      <c r="I596" s="169"/>
      <c r="J596" s="168"/>
      <c r="K596" s="3"/>
      <c r="L596" s="168"/>
      <c r="M596" s="168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169"/>
      <c r="C597" s="3"/>
      <c r="D597" s="4"/>
      <c r="E597" s="3"/>
      <c r="F597" s="3"/>
      <c r="G597" s="3"/>
      <c r="H597" s="168"/>
      <c r="I597" s="169"/>
      <c r="J597" s="168"/>
      <c r="K597" s="3"/>
      <c r="L597" s="168"/>
      <c r="M597" s="168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169"/>
      <c r="C598" s="3"/>
      <c r="D598" s="4"/>
      <c r="E598" s="3"/>
      <c r="F598" s="3"/>
      <c r="G598" s="3"/>
      <c r="H598" s="168"/>
      <c r="I598" s="169"/>
      <c r="J598" s="168"/>
      <c r="K598" s="3"/>
      <c r="L598" s="168"/>
      <c r="M598" s="168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169"/>
      <c r="C599" s="3"/>
      <c r="D599" s="4"/>
      <c r="E599" s="3"/>
      <c r="F599" s="3"/>
      <c r="G599" s="3"/>
      <c r="H599" s="168"/>
      <c r="I599" s="169"/>
      <c r="J599" s="168"/>
      <c r="K599" s="3"/>
      <c r="L599" s="168"/>
      <c r="M599" s="168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169"/>
      <c r="C600" s="3"/>
      <c r="D600" s="4"/>
      <c r="E600" s="3"/>
      <c r="F600" s="3"/>
      <c r="G600" s="3"/>
      <c r="H600" s="168"/>
      <c r="I600" s="169"/>
      <c r="J600" s="168"/>
      <c r="K600" s="3"/>
      <c r="L600" s="168"/>
      <c r="M600" s="168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169"/>
      <c r="C601" s="3"/>
      <c r="D601" s="4"/>
      <c r="E601" s="3"/>
      <c r="F601" s="3"/>
      <c r="G601" s="3"/>
      <c r="H601" s="168"/>
      <c r="I601" s="169"/>
      <c r="J601" s="168"/>
      <c r="K601" s="3"/>
      <c r="L601" s="168"/>
      <c r="M601" s="168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169"/>
      <c r="C602" s="3"/>
      <c r="D602" s="4"/>
      <c r="E602" s="3"/>
      <c r="F602" s="3"/>
      <c r="G602" s="3"/>
      <c r="H602" s="168"/>
      <c r="I602" s="169"/>
      <c r="J602" s="168"/>
      <c r="K602" s="3"/>
      <c r="L602" s="168"/>
      <c r="M602" s="168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169"/>
      <c r="C603" s="3"/>
      <c r="D603" s="4"/>
      <c r="E603" s="3"/>
      <c r="F603" s="3"/>
      <c r="G603" s="3"/>
      <c r="H603" s="168"/>
      <c r="I603" s="169"/>
      <c r="J603" s="168"/>
      <c r="K603" s="3"/>
      <c r="L603" s="168"/>
      <c r="M603" s="168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169"/>
      <c r="C604" s="3"/>
      <c r="D604" s="4"/>
      <c r="E604" s="3"/>
      <c r="F604" s="3"/>
      <c r="G604" s="3"/>
      <c r="H604" s="168"/>
      <c r="I604" s="169"/>
      <c r="J604" s="168"/>
      <c r="K604" s="3"/>
      <c r="L604" s="168"/>
      <c r="M604" s="168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169"/>
      <c r="C605" s="3"/>
      <c r="D605" s="4"/>
      <c r="E605" s="3"/>
      <c r="F605" s="3"/>
      <c r="G605" s="3"/>
      <c r="H605" s="168"/>
      <c r="I605" s="169"/>
      <c r="J605" s="168"/>
      <c r="K605" s="3"/>
      <c r="L605" s="168"/>
      <c r="M605" s="168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169"/>
      <c r="C606" s="3"/>
      <c r="D606" s="4"/>
      <c r="E606" s="3"/>
      <c r="F606" s="3"/>
      <c r="G606" s="3"/>
      <c r="H606" s="168"/>
      <c r="I606" s="169"/>
      <c r="J606" s="168"/>
      <c r="K606" s="3"/>
      <c r="L606" s="168"/>
      <c r="M606" s="168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169"/>
      <c r="C607" s="3"/>
      <c r="D607" s="4"/>
      <c r="E607" s="3"/>
      <c r="F607" s="3"/>
      <c r="G607" s="3"/>
      <c r="H607" s="168"/>
      <c r="I607" s="169"/>
      <c r="J607" s="168"/>
      <c r="K607" s="3"/>
      <c r="L607" s="168"/>
      <c r="M607" s="168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169"/>
      <c r="C608" s="3"/>
      <c r="D608" s="4"/>
      <c r="E608" s="3"/>
      <c r="F608" s="3"/>
      <c r="G608" s="3"/>
      <c r="H608" s="168"/>
      <c r="I608" s="169"/>
      <c r="J608" s="168"/>
      <c r="K608" s="3"/>
      <c r="L608" s="168"/>
      <c r="M608" s="168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169"/>
      <c r="C609" s="3"/>
      <c r="D609" s="4"/>
      <c r="E609" s="3"/>
      <c r="F609" s="3"/>
      <c r="G609" s="3"/>
      <c r="H609" s="168"/>
      <c r="I609" s="169"/>
      <c r="J609" s="168"/>
      <c r="K609" s="3"/>
      <c r="L609" s="168"/>
      <c r="M609" s="168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169"/>
      <c r="C610" s="3"/>
      <c r="D610" s="4"/>
      <c r="E610" s="3"/>
      <c r="F610" s="3"/>
      <c r="G610" s="3"/>
      <c r="H610" s="168"/>
      <c r="I610" s="169"/>
      <c r="J610" s="168"/>
      <c r="K610" s="3"/>
      <c r="L610" s="168"/>
      <c r="M610" s="168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169"/>
      <c r="C611" s="3"/>
      <c r="D611" s="4"/>
      <c r="E611" s="3"/>
      <c r="F611" s="3"/>
      <c r="G611" s="3"/>
      <c r="H611" s="168"/>
      <c r="I611" s="169"/>
      <c r="J611" s="168"/>
      <c r="K611" s="3"/>
      <c r="L611" s="168"/>
      <c r="M611" s="168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169"/>
      <c r="C612" s="3"/>
      <c r="D612" s="4"/>
      <c r="E612" s="3"/>
      <c r="F612" s="3"/>
      <c r="G612" s="3"/>
      <c r="H612" s="168"/>
      <c r="I612" s="169"/>
      <c r="J612" s="168"/>
      <c r="K612" s="3"/>
      <c r="L612" s="168"/>
      <c r="M612" s="168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169"/>
      <c r="C613" s="3"/>
      <c r="D613" s="4"/>
      <c r="E613" s="3"/>
      <c r="F613" s="3"/>
      <c r="G613" s="3"/>
      <c r="H613" s="168"/>
      <c r="I613" s="169"/>
      <c r="J613" s="168"/>
      <c r="K613" s="3"/>
      <c r="L613" s="168"/>
      <c r="M613" s="168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169"/>
      <c r="C614" s="3"/>
      <c r="D614" s="4"/>
      <c r="E614" s="3"/>
      <c r="F614" s="3"/>
      <c r="G614" s="3"/>
      <c r="H614" s="168"/>
      <c r="I614" s="169"/>
      <c r="J614" s="168"/>
      <c r="K614" s="3"/>
      <c r="L614" s="168"/>
      <c r="M614" s="168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169"/>
      <c r="C615" s="3"/>
      <c r="D615" s="4"/>
      <c r="E615" s="3"/>
      <c r="F615" s="3"/>
      <c r="G615" s="3"/>
      <c r="H615" s="168"/>
      <c r="I615" s="169"/>
      <c r="J615" s="168"/>
      <c r="K615" s="3"/>
      <c r="L615" s="168"/>
      <c r="M615" s="168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169"/>
      <c r="C616" s="3"/>
      <c r="D616" s="4"/>
      <c r="E616" s="3"/>
      <c r="F616" s="3"/>
      <c r="G616" s="3"/>
      <c r="H616" s="168"/>
      <c r="I616" s="169"/>
      <c r="J616" s="168"/>
      <c r="K616" s="3"/>
      <c r="L616" s="168"/>
      <c r="M616" s="168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169"/>
      <c r="C617" s="3"/>
      <c r="D617" s="4"/>
      <c r="E617" s="3"/>
      <c r="F617" s="3"/>
      <c r="G617" s="3"/>
      <c r="H617" s="168"/>
      <c r="I617" s="169"/>
      <c r="J617" s="168"/>
      <c r="K617" s="3"/>
      <c r="L617" s="168"/>
      <c r="M617" s="168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169"/>
      <c r="C618" s="3"/>
      <c r="D618" s="4"/>
      <c r="E618" s="3"/>
      <c r="F618" s="3"/>
      <c r="G618" s="3"/>
      <c r="H618" s="168"/>
      <c r="I618" s="169"/>
      <c r="J618" s="168"/>
      <c r="K618" s="3"/>
      <c r="L618" s="168"/>
      <c r="M618" s="168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169"/>
      <c r="C619" s="3"/>
      <c r="D619" s="4"/>
      <c r="E619" s="3"/>
      <c r="F619" s="3"/>
      <c r="G619" s="3"/>
      <c r="H619" s="168"/>
      <c r="I619" s="169"/>
      <c r="J619" s="168"/>
      <c r="K619" s="3"/>
      <c r="L619" s="168"/>
      <c r="M619" s="168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169"/>
      <c r="C620" s="3"/>
      <c r="D620" s="4"/>
      <c r="E620" s="3"/>
      <c r="F620" s="3"/>
      <c r="G620" s="3"/>
      <c r="H620" s="168"/>
      <c r="I620" s="169"/>
      <c r="J620" s="168"/>
      <c r="K620" s="3"/>
      <c r="L620" s="168"/>
      <c r="M620" s="168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169"/>
      <c r="C621" s="3"/>
      <c r="D621" s="4"/>
      <c r="E621" s="3"/>
      <c r="F621" s="3"/>
      <c r="G621" s="3"/>
      <c r="H621" s="168"/>
      <c r="I621" s="169"/>
      <c r="J621" s="168"/>
      <c r="K621" s="3"/>
      <c r="L621" s="168"/>
      <c r="M621" s="168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169"/>
      <c r="C622" s="3"/>
      <c r="D622" s="4"/>
      <c r="E622" s="3"/>
      <c r="F622" s="3"/>
      <c r="G622" s="3"/>
      <c r="H622" s="168"/>
      <c r="I622" s="169"/>
      <c r="J622" s="168"/>
      <c r="K622" s="3"/>
      <c r="L622" s="168"/>
      <c r="M622" s="168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169"/>
      <c r="C623" s="3"/>
      <c r="D623" s="4"/>
      <c r="E623" s="3"/>
      <c r="F623" s="3"/>
      <c r="G623" s="3"/>
      <c r="H623" s="168"/>
      <c r="I623" s="169"/>
      <c r="J623" s="168"/>
      <c r="K623" s="3"/>
      <c r="L623" s="168"/>
      <c r="M623" s="168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169"/>
      <c r="C624" s="3"/>
      <c r="D624" s="4"/>
      <c r="E624" s="3"/>
      <c r="F624" s="3"/>
      <c r="G624" s="3"/>
      <c r="H624" s="168"/>
      <c r="I624" s="169"/>
      <c r="J624" s="168"/>
      <c r="K624" s="3"/>
      <c r="L624" s="168"/>
      <c r="M624" s="168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169"/>
      <c r="C625" s="3"/>
      <c r="D625" s="4"/>
      <c r="E625" s="3"/>
      <c r="F625" s="3"/>
      <c r="G625" s="3"/>
      <c r="H625" s="168"/>
      <c r="I625" s="169"/>
      <c r="J625" s="168"/>
      <c r="K625" s="3"/>
      <c r="L625" s="168"/>
      <c r="M625" s="168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169"/>
      <c r="C626" s="3"/>
      <c r="D626" s="4"/>
      <c r="E626" s="3"/>
      <c r="F626" s="3"/>
      <c r="G626" s="3"/>
      <c r="H626" s="168"/>
      <c r="I626" s="169"/>
      <c r="J626" s="168"/>
      <c r="K626" s="3"/>
      <c r="L626" s="168"/>
      <c r="M626" s="168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169"/>
      <c r="C627" s="3"/>
      <c r="D627" s="4"/>
      <c r="E627" s="3"/>
      <c r="F627" s="3"/>
      <c r="G627" s="3"/>
      <c r="H627" s="168"/>
      <c r="I627" s="169"/>
      <c r="J627" s="168"/>
      <c r="K627" s="3"/>
      <c r="L627" s="168"/>
      <c r="M627" s="168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169"/>
      <c r="C628" s="3"/>
      <c r="D628" s="4"/>
      <c r="E628" s="3"/>
      <c r="F628" s="3"/>
      <c r="G628" s="3"/>
      <c r="H628" s="168"/>
      <c r="I628" s="169"/>
      <c r="J628" s="168"/>
      <c r="K628" s="3"/>
      <c r="L628" s="168"/>
      <c r="M628" s="168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169"/>
      <c r="C629" s="3"/>
      <c r="D629" s="4"/>
      <c r="E629" s="3"/>
      <c r="F629" s="3"/>
      <c r="G629" s="3"/>
      <c r="H629" s="168"/>
      <c r="I629" s="169"/>
      <c r="J629" s="168"/>
      <c r="K629" s="3"/>
      <c r="L629" s="168"/>
      <c r="M629" s="168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169"/>
      <c r="C630" s="3"/>
      <c r="D630" s="4"/>
      <c r="E630" s="3"/>
      <c r="F630" s="3"/>
      <c r="G630" s="3"/>
      <c r="H630" s="168"/>
      <c r="I630" s="169"/>
      <c r="J630" s="168"/>
      <c r="K630" s="3"/>
      <c r="L630" s="168"/>
      <c r="M630" s="168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169"/>
      <c r="C631" s="3"/>
      <c r="D631" s="4"/>
      <c r="E631" s="3"/>
      <c r="F631" s="3"/>
      <c r="G631" s="3"/>
      <c r="H631" s="168"/>
      <c r="I631" s="169"/>
      <c r="J631" s="168"/>
      <c r="K631" s="3"/>
      <c r="L631" s="168"/>
      <c r="M631" s="168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169"/>
      <c r="C632" s="3"/>
      <c r="D632" s="4"/>
      <c r="E632" s="3"/>
      <c r="F632" s="3"/>
      <c r="G632" s="3"/>
      <c r="H632" s="168"/>
      <c r="I632" s="169"/>
      <c r="J632" s="168"/>
      <c r="K632" s="3"/>
      <c r="L632" s="168"/>
      <c r="M632" s="168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169"/>
      <c r="C633" s="3"/>
      <c r="D633" s="4"/>
      <c r="E633" s="3"/>
      <c r="F633" s="3"/>
      <c r="G633" s="3"/>
      <c r="H633" s="168"/>
      <c r="I633" s="169"/>
      <c r="J633" s="168"/>
      <c r="K633" s="3"/>
      <c r="L633" s="168"/>
      <c r="M633" s="168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169"/>
      <c r="C634" s="3"/>
      <c r="D634" s="4"/>
      <c r="E634" s="3"/>
      <c r="F634" s="3"/>
      <c r="G634" s="3"/>
      <c r="H634" s="168"/>
      <c r="I634" s="169"/>
      <c r="J634" s="168"/>
      <c r="K634" s="3"/>
      <c r="L634" s="168"/>
      <c r="M634" s="168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169"/>
      <c r="C635" s="3"/>
      <c r="D635" s="4"/>
      <c r="E635" s="3"/>
      <c r="F635" s="3"/>
      <c r="G635" s="3"/>
      <c r="H635" s="168"/>
      <c r="I635" s="169"/>
      <c r="J635" s="168"/>
      <c r="K635" s="3"/>
      <c r="L635" s="168"/>
      <c r="M635" s="168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169"/>
      <c r="C636" s="3"/>
      <c r="D636" s="4"/>
      <c r="E636" s="3"/>
      <c r="F636" s="3"/>
      <c r="G636" s="3"/>
      <c r="H636" s="168"/>
      <c r="I636" s="169"/>
      <c r="J636" s="168"/>
      <c r="K636" s="3"/>
      <c r="L636" s="168"/>
      <c r="M636" s="168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169"/>
      <c r="C637" s="3"/>
      <c r="D637" s="4"/>
      <c r="E637" s="3"/>
      <c r="F637" s="3"/>
      <c r="G637" s="3"/>
      <c r="H637" s="168"/>
      <c r="I637" s="169"/>
      <c r="J637" s="168"/>
      <c r="K637" s="3"/>
      <c r="L637" s="168"/>
      <c r="M637" s="168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169"/>
      <c r="C638" s="3"/>
      <c r="D638" s="4"/>
      <c r="E638" s="3"/>
      <c r="F638" s="3"/>
      <c r="G638" s="3"/>
      <c r="H638" s="168"/>
      <c r="I638" s="169"/>
      <c r="J638" s="168"/>
      <c r="K638" s="3"/>
      <c r="L638" s="168"/>
      <c r="M638" s="168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169"/>
      <c r="C639" s="3"/>
      <c r="D639" s="4"/>
      <c r="E639" s="3"/>
      <c r="F639" s="3"/>
      <c r="G639" s="3"/>
      <c r="H639" s="168"/>
      <c r="I639" s="169"/>
      <c r="J639" s="168"/>
      <c r="K639" s="3"/>
      <c r="L639" s="168"/>
      <c r="M639" s="168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169"/>
      <c r="C640" s="3"/>
      <c r="D640" s="4"/>
      <c r="E640" s="3"/>
      <c r="F640" s="3"/>
      <c r="G640" s="3"/>
      <c r="H640" s="168"/>
      <c r="I640" s="169"/>
      <c r="J640" s="168"/>
      <c r="K640" s="3"/>
      <c r="L640" s="168"/>
      <c r="M640" s="168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169"/>
      <c r="C641" s="3"/>
      <c r="D641" s="4"/>
      <c r="E641" s="3"/>
      <c r="F641" s="3"/>
      <c r="G641" s="3"/>
      <c r="H641" s="168"/>
      <c r="I641" s="169"/>
      <c r="J641" s="168"/>
      <c r="K641" s="3"/>
      <c r="L641" s="168"/>
      <c r="M641" s="168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169"/>
      <c r="C642" s="3"/>
      <c r="D642" s="4"/>
      <c r="E642" s="3"/>
      <c r="F642" s="3"/>
      <c r="G642" s="3"/>
      <c r="H642" s="168"/>
      <c r="I642" s="169"/>
      <c r="J642" s="168"/>
      <c r="K642" s="3"/>
      <c r="L642" s="168"/>
      <c r="M642" s="168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169"/>
      <c r="C643" s="3"/>
      <c r="D643" s="4"/>
      <c r="E643" s="3"/>
      <c r="F643" s="3"/>
      <c r="G643" s="3"/>
      <c r="H643" s="168"/>
      <c r="I643" s="169"/>
      <c r="J643" s="168"/>
      <c r="K643" s="3"/>
      <c r="L643" s="168"/>
      <c r="M643" s="168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169"/>
      <c r="C644" s="3"/>
      <c r="D644" s="4"/>
      <c r="E644" s="3"/>
      <c r="F644" s="3"/>
      <c r="G644" s="3"/>
      <c r="H644" s="168"/>
      <c r="I644" s="169"/>
      <c r="J644" s="168"/>
      <c r="K644" s="3"/>
      <c r="L644" s="168"/>
      <c r="M644" s="168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169"/>
      <c r="C645" s="3"/>
      <c r="D645" s="4"/>
      <c r="E645" s="3"/>
      <c r="F645" s="3"/>
      <c r="G645" s="3"/>
      <c r="H645" s="168"/>
      <c r="I645" s="169"/>
      <c r="J645" s="168"/>
      <c r="K645" s="3"/>
      <c r="L645" s="168"/>
      <c r="M645" s="168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169"/>
      <c r="C646" s="3"/>
      <c r="D646" s="4"/>
      <c r="E646" s="3"/>
      <c r="F646" s="3"/>
      <c r="G646" s="3"/>
      <c r="H646" s="168"/>
      <c r="I646" s="169"/>
      <c r="J646" s="168"/>
      <c r="K646" s="3"/>
      <c r="L646" s="168"/>
      <c r="M646" s="168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169"/>
      <c r="C647" s="3"/>
      <c r="D647" s="4"/>
      <c r="E647" s="3"/>
      <c r="F647" s="3"/>
      <c r="G647" s="3"/>
      <c r="H647" s="168"/>
      <c r="I647" s="169"/>
      <c r="J647" s="168"/>
      <c r="K647" s="3"/>
      <c r="L647" s="168"/>
      <c r="M647" s="168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169"/>
      <c r="C648" s="3"/>
      <c r="D648" s="4"/>
      <c r="E648" s="3"/>
      <c r="F648" s="3"/>
      <c r="G648" s="3"/>
      <c r="H648" s="168"/>
      <c r="I648" s="169"/>
      <c r="J648" s="168"/>
      <c r="K648" s="3"/>
      <c r="L648" s="168"/>
      <c r="M648" s="168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169"/>
      <c r="C649" s="3"/>
      <c r="D649" s="4"/>
      <c r="E649" s="3"/>
      <c r="F649" s="3"/>
      <c r="G649" s="3"/>
      <c r="H649" s="168"/>
      <c r="I649" s="169"/>
      <c r="J649" s="168"/>
      <c r="K649" s="3"/>
      <c r="L649" s="168"/>
      <c r="M649" s="168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169"/>
      <c r="C650" s="3"/>
      <c r="D650" s="4"/>
      <c r="E650" s="3"/>
      <c r="F650" s="3"/>
      <c r="G650" s="3"/>
      <c r="H650" s="168"/>
      <c r="I650" s="169"/>
      <c r="J650" s="168"/>
      <c r="K650" s="3"/>
      <c r="L650" s="168"/>
      <c r="M650" s="168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169"/>
      <c r="C651" s="3"/>
      <c r="D651" s="4"/>
      <c r="E651" s="3"/>
      <c r="F651" s="3"/>
      <c r="G651" s="3"/>
      <c r="H651" s="168"/>
      <c r="I651" s="169"/>
      <c r="J651" s="168"/>
      <c r="K651" s="3"/>
      <c r="L651" s="168"/>
      <c r="M651" s="168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169"/>
      <c r="C652" s="3"/>
      <c r="D652" s="4"/>
      <c r="E652" s="3"/>
      <c r="F652" s="3"/>
      <c r="G652" s="3"/>
      <c r="H652" s="168"/>
      <c r="I652" s="169"/>
      <c r="J652" s="168"/>
      <c r="K652" s="3"/>
      <c r="L652" s="168"/>
      <c r="M652" s="168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169"/>
      <c r="C653" s="3"/>
      <c r="D653" s="4"/>
      <c r="E653" s="3"/>
      <c r="F653" s="3"/>
      <c r="G653" s="3"/>
      <c r="H653" s="168"/>
      <c r="I653" s="169"/>
      <c r="J653" s="168"/>
      <c r="K653" s="3"/>
      <c r="L653" s="168"/>
      <c r="M653" s="168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169"/>
      <c r="C654" s="3"/>
      <c r="D654" s="4"/>
      <c r="E654" s="3"/>
      <c r="F654" s="3"/>
      <c r="G654" s="3"/>
      <c r="H654" s="168"/>
      <c r="I654" s="169"/>
      <c r="J654" s="168"/>
      <c r="K654" s="3"/>
      <c r="L654" s="168"/>
      <c r="M654" s="168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169"/>
      <c r="C655" s="3"/>
      <c r="D655" s="4"/>
      <c r="E655" s="3"/>
      <c r="F655" s="3"/>
      <c r="G655" s="3"/>
      <c r="H655" s="168"/>
      <c r="I655" s="169"/>
      <c r="J655" s="168"/>
      <c r="K655" s="3"/>
      <c r="L655" s="168"/>
      <c r="M655" s="168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169"/>
      <c r="C656" s="3"/>
      <c r="D656" s="4"/>
      <c r="E656" s="3"/>
      <c r="F656" s="3"/>
      <c r="G656" s="3"/>
      <c r="H656" s="168"/>
      <c r="I656" s="169"/>
      <c r="J656" s="168"/>
      <c r="K656" s="3"/>
      <c r="L656" s="168"/>
      <c r="M656" s="168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169"/>
      <c r="C657" s="3"/>
      <c r="D657" s="4"/>
      <c r="E657" s="3"/>
      <c r="F657" s="3"/>
      <c r="G657" s="3"/>
      <c r="H657" s="168"/>
      <c r="I657" s="169"/>
      <c r="J657" s="168"/>
      <c r="K657" s="3"/>
      <c r="L657" s="168"/>
      <c r="M657" s="168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169"/>
      <c r="C658" s="3"/>
      <c r="D658" s="4"/>
      <c r="E658" s="3"/>
      <c r="F658" s="3"/>
      <c r="G658" s="3"/>
      <c r="H658" s="168"/>
      <c r="I658" s="169"/>
      <c r="J658" s="168"/>
      <c r="K658" s="3"/>
      <c r="L658" s="168"/>
      <c r="M658" s="168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169"/>
      <c r="C659" s="3"/>
      <c r="D659" s="4"/>
      <c r="E659" s="3"/>
      <c r="F659" s="3"/>
      <c r="G659" s="3"/>
      <c r="H659" s="168"/>
      <c r="I659" s="169"/>
      <c r="J659" s="168"/>
      <c r="K659" s="3"/>
      <c r="L659" s="168"/>
      <c r="M659" s="168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169"/>
      <c r="C660" s="3"/>
      <c r="D660" s="4"/>
      <c r="E660" s="3"/>
      <c r="F660" s="3"/>
      <c r="G660" s="3"/>
      <c r="H660" s="168"/>
      <c r="I660" s="169"/>
      <c r="J660" s="168"/>
      <c r="K660" s="3"/>
      <c r="L660" s="168"/>
      <c r="M660" s="168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169"/>
      <c r="C661" s="3"/>
      <c r="D661" s="4"/>
      <c r="E661" s="3"/>
      <c r="F661" s="3"/>
      <c r="G661" s="3"/>
      <c r="H661" s="168"/>
      <c r="I661" s="169"/>
      <c r="J661" s="168"/>
      <c r="K661" s="3"/>
      <c r="L661" s="168"/>
      <c r="M661" s="168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169"/>
      <c r="C662" s="3"/>
      <c r="D662" s="4"/>
      <c r="E662" s="3"/>
      <c r="F662" s="3"/>
      <c r="G662" s="3"/>
      <c r="H662" s="168"/>
      <c r="I662" s="169"/>
      <c r="J662" s="168"/>
      <c r="K662" s="3"/>
      <c r="L662" s="168"/>
      <c r="M662" s="168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169"/>
      <c r="C663" s="3"/>
      <c r="D663" s="4"/>
      <c r="E663" s="3"/>
      <c r="F663" s="3"/>
      <c r="G663" s="3"/>
      <c r="H663" s="168"/>
      <c r="I663" s="169"/>
      <c r="J663" s="168"/>
      <c r="K663" s="3"/>
      <c r="L663" s="168"/>
      <c r="M663" s="168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169"/>
      <c r="C664" s="3"/>
      <c r="D664" s="4"/>
      <c r="E664" s="3"/>
      <c r="F664" s="3"/>
      <c r="G664" s="3"/>
      <c r="H664" s="168"/>
      <c r="I664" s="169"/>
      <c r="J664" s="168"/>
      <c r="K664" s="3"/>
      <c r="L664" s="168"/>
      <c r="M664" s="168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169"/>
      <c r="C665" s="3"/>
      <c r="D665" s="4"/>
      <c r="E665" s="3"/>
      <c r="F665" s="3"/>
      <c r="G665" s="3"/>
      <c r="H665" s="168"/>
      <c r="I665" s="169"/>
      <c r="J665" s="168"/>
      <c r="K665" s="3"/>
      <c r="L665" s="168"/>
      <c r="M665" s="168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169"/>
      <c r="C666" s="3"/>
      <c r="D666" s="4"/>
      <c r="E666" s="3"/>
      <c r="F666" s="3"/>
      <c r="G666" s="3"/>
      <c r="H666" s="168"/>
      <c r="I666" s="169"/>
      <c r="J666" s="168"/>
      <c r="K666" s="3"/>
      <c r="L666" s="168"/>
      <c r="M666" s="168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169"/>
      <c r="C667" s="3"/>
      <c r="D667" s="4"/>
      <c r="E667" s="3"/>
      <c r="F667" s="3"/>
      <c r="G667" s="3"/>
      <c r="H667" s="168"/>
      <c r="I667" s="169"/>
      <c r="J667" s="168"/>
      <c r="K667" s="3"/>
      <c r="L667" s="168"/>
      <c r="M667" s="168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169"/>
      <c r="C668" s="3"/>
      <c r="D668" s="4"/>
      <c r="E668" s="3"/>
      <c r="F668" s="3"/>
      <c r="G668" s="3"/>
      <c r="H668" s="168"/>
      <c r="I668" s="169"/>
      <c r="J668" s="168"/>
      <c r="K668" s="3"/>
      <c r="L668" s="168"/>
      <c r="M668" s="168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169"/>
      <c r="C669" s="3"/>
      <c r="D669" s="4"/>
      <c r="E669" s="3"/>
      <c r="F669" s="3"/>
      <c r="G669" s="3"/>
      <c r="H669" s="168"/>
      <c r="I669" s="169"/>
      <c r="J669" s="168"/>
      <c r="K669" s="3"/>
      <c r="L669" s="168"/>
      <c r="M669" s="168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169"/>
      <c r="C670" s="3"/>
      <c r="D670" s="4"/>
      <c r="E670" s="3"/>
      <c r="F670" s="3"/>
      <c r="G670" s="3"/>
      <c r="H670" s="168"/>
      <c r="I670" s="169"/>
      <c r="J670" s="168"/>
      <c r="K670" s="3"/>
      <c r="L670" s="168"/>
      <c r="M670" s="168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169"/>
      <c r="C671" s="3"/>
      <c r="D671" s="4"/>
      <c r="E671" s="3"/>
      <c r="F671" s="3"/>
      <c r="G671" s="3"/>
      <c r="H671" s="168"/>
      <c r="I671" s="169"/>
      <c r="J671" s="168"/>
      <c r="K671" s="3"/>
      <c r="L671" s="168"/>
      <c r="M671" s="168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169"/>
      <c r="C672" s="3"/>
      <c r="D672" s="4"/>
      <c r="E672" s="3"/>
      <c r="F672" s="3"/>
      <c r="G672" s="3"/>
      <c r="H672" s="168"/>
      <c r="I672" s="169"/>
      <c r="J672" s="168"/>
      <c r="K672" s="3"/>
      <c r="L672" s="168"/>
      <c r="M672" s="168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169"/>
      <c r="C673" s="3"/>
      <c r="D673" s="4"/>
      <c r="E673" s="3"/>
      <c r="F673" s="3"/>
      <c r="G673" s="3"/>
      <c r="H673" s="168"/>
      <c r="I673" s="169"/>
      <c r="J673" s="168"/>
      <c r="K673" s="3"/>
      <c r="L673" s="168"/>
      <c r="M673" s="168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169"/>
      <c r="C674" s="3"/>
      <c r="D674" s="4"/>
      <c r="E674" s="3"/>
      <c r="F674" s="3"/>
      <c r="G674" s="3"/>
      <c r="H674" s="168"/>
      <c r="I674" s="169"/>
      <c r="J674" s="168"/>
      <c r="K674" s="3"/>
      <c r="L674" s="168"/>
      <c r="M674" s="168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169"/>
      <c r="C675" s="3"/>
      <c r="D675" s="4"/>
      <c r="E675" s="3"/>
      <c r="F675" s="3"/>
      <c r="G675" s="3"/>
      <c r="H675" s="168"/>
      <c r="I675" s="169"/>
      <c r="J675" s="168"/>
      <c r="K675" s="3"/>
      <c r="L675" s="168"/>
      <c r="M675" s="168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169"/>
      <c r="C676" s="3"/>
      <c r="D676" s="4"/>
      <c r="E676" s="3"/>
      <c r="F676" s="3"/>
      <c r="G676" s="3"/>
      <c r="H676" s="168"/>
      <c r="I676" s="169"/>
      <c r="J676" s="168"/>
      <c r="K676" s="3"/>
      <c r="L676" s="168"/>
      <c r="M676" s="168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169"/>
      <c r="C677" s="3"/>
      <c r="D677" s="4"/>
      <c r="E677" s="3"/>
      <c r="F677" s="3"/>
      <c r="G677" s="3"/>
      <c r="H677" s="168"/>
      <c r="I677" s="169"/>
      <c r="J677" s="168"/>
      <c r="K677" s="3"/>
      <c r="L677" s="168"/>
      <c r="M677" s="168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169"/>
      <c r="C678" s="3"/>
      <c r="D678" s="4"/>
      <c r="E678" s="3"/>
      <c r="F678" s="3"/>
      <c r="G678" s="3"/>
      <c r="H678" s="168"/>
      <c r="I678" s="169"/>
      <c r="J678" s="168"/>
      <c r="K678" s="3"/>
      <c r="L678" s="168"/>
      <c r="M678" s="168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169"/>
      <c r="C679" s="3"/>
      <c r="D679" s="4"/>
      <c r="E679" s="3"/>
      <c r="F679" s="3"/>
      <c r="G679" s="3"/>
      <c r="H679" s="168"/>
      <c r="I679" s="169"/>
      <c r="J679" s="168"/>
      <c r="K679" s="3"/>
      <c r="L679" s="168"/>
      <c r="M679" s="168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169"/>
      <c r="C680" s="3"/>
      <c r="D680" s="4"/>
      <c r="E680" s="3"/>
      <c r="F680" s="3"/>
      <c r="G680" s="3"/>
      <c r="H680" s="168"/>
      <c r="I680" s="169"/>
      <c r="J680" s="168"/>
      <c r="K680" s="3"/>
      <c r="L680" s="168"/>
      <c r="M680" s="168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169"/>
      <c r="C681" s="3"/>
      <c r="D681" s="4"/>
      <c r="E681" s="3"/>
      <c r="F681" s="3"/>
      <c r="G681" s="3"/>
      <c r="H681" s="168"/>
      <c r="I681" s="169"/>
      <c r="J681" s="168"/>
      <c r="K681" s="3"/>
      <c r="L681" s="168"/>
      <c r="M681" s="168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169"/>
      <c r="C682" s="3"/>
      <c r="D682" s="4"/>
      <c r="E682" s="3"/>
      <c r="F682" s="3"/>
      <c r="G682" s="3"/>
      <c r="H682" s="168"/>
      <c r="I682" s="169"/>
      <c r="J682" s="168"/>
      <c r="K682" s="3"/>
      <c r="L682" s="168"/>
      <c r="M682" s="168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169"/>
      <c r="C683" s="3"/>
      <c r="D683" s="4"/>
      <c r="E683" s="3"/>
      <c r="F683" s="3"/>
      <c r="G683" s="3"/>
      <c r="H683" s="168"/>
      <c r="I683" s="169"/>
      <c r="J683" s="168"/>
      <c r="K683" s="3"/>
      <c r="L683" s="168"/>
      <c r="M683" s="168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169"/>
      <c r="C684" s="3"/>
      <c r="D684" s="4"/>
      <c r="E684" s="3"/>
      <c r="F684" s="3"/>
      <c r="G684" s="3"/>
      <c r="H684" s="168"/>
      <c r="I684" s="169"/>
      <c r="J684" s="168"/>
      <c r="K684" s="3"/>
      <c r="L684" s="168"/>
      <c r="M684" s="168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169"/>
      <c r="C685" s="3"/>
      <c r="D685" s="4"/>
      <c r="E685" s="3"/>
      <c r="F685" s="3"/>
      <c r="G685" s="3"/>
      <c r="H685" s="168"/>
      <c r="I685" s="169"/>
      <c r="J685" s="168"/>
      <c r="K685" s="3"/>
      <c r="L685" s="168"/>
      <c r="M685" s="168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169"/>
      <c r="C686" s="3"/>
      <c r="D686" s="4"/>
      <c r="E686" s="3"/>
      <c r="F686" s="3"/>
      <c r="G686" s="3"/>
      <c r="H686" s="168"/>
      <c r="I686" s="169"/>
      <c r="J686" s="168"/>
      <c r="K686" s="3"/>
      <c r="L686" s="168"/>
      <c r="M686" s="168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169"/>
      <c r="C687" s="3"/>
      <c r="D687" s="4"/>
      <c r="E687" s="3"/>
      <c r="F687" s="3"/>
      <c r="G687" s="3"/>
      <c r="H687" s="168"/>
      <c r="I687" s="169"/>
      <c r="J687" s="168"/>
      <c r="K687" s="3"/>
      <c r="L687" s="168"/>
      <c r="M687" s="168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169"/>
      <c r="C688" s="3"/>
      <c r="D688" s="4"/>
      <c r="E688" s="3"/>
      <c r="F688" s="3"/>
      <c r="G688" s="3"/>
      <c r="H688" s="168"/>
      <c r="I688" s="169"/>
      <c r="J688" s="168"/>
      <c r="K688" s="3"/>
      <c r="L688" s="168"/>
      <c r="M688" s="168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169"/>
      <c r="C689" s="3"/>
      <c r="D689" s="4"/>
      <c r="E689" s="3"/>
      <c r="F689" s="3"/>
      <c r="G689" s="3"/>
      <c r="H689" s="168"/>
      <c r="I689" s="169"/>
      <c r="J689" s="168"/>
      <c r="K689" s="3"/>
      <c r="L689" s="168"/>
      <c r="M689" s="168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169"/>
      <c r="C690" s="3"/>
      <c r="D690" s="4"/>
      <c r="E690" s="3"/>
      <c r="F690" s="3"/>
      <c r="G690" s="3"/>
      <c r="H690" s="168"/>
      <c r="I690" s="169"/>
      <c r="J690" s="168"/>
      <c r="K690" s="3"/>
      <c r="L690" s="168"/>
      <c r="M690" s="168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169"/>
      <c r="C691" s="3"/>
      <c r="D691" s="4"/>
      <c r="E691" s="3"/>
      <c r="F691" s="3"/>
      <c r="G691" s="3"/>
      <c r="H691" s="168"/>
      <c r="I691" s="169"/>
      <c r="J691" s="168"/>
      <c r="K691" s="3"/>
      <c r="L691" s="168"/>
      <c r="M691" s="168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169"/>
      <c r="C692" s="3"/>
      <c r="D692" s="4"/>
      <c r="E692" s="3"/>
      <c r="F692" s="3"/>
      <c r="G692" s="3"/>
      <c r="H692" s="168"/>
      <c r="I692" s="169"/>
      <c r="J692" s="168"/>
      <c r="K692" s="3"/>
      <c r="L692" s="168"/>
      <c r="M692" s="168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169"/>
      <c r="C693" s="3"/>
      <c r="D693" s="4"/>
      <c r="E693" s="3"/>
      <c r="F693" s="3"/>
      <c r="G693" s="3"/>
      <c r="H693" s="168"/>
      <c r="I693" s="169"/>
      <c r="J693" s="168"/>
      <c r="K693" s="3"/>
      <c r="L693" s="168"/>
      <c r="M693" s="168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169"/>
      <c r="C694" s="3"/>
      <c r="D694" s="4"/>
      <c r="E694" s="3"/>
      <c r="F694" s="3"/>
      <c r="G694" s="3"/>
      <c r="H694" s="168"/>
      <c r="I694" s="169"/>
      <c r="J694" s="168"/>
      <c r="K694" s="3"/>
      <c r="L694" s="168"/>
      <c r="M694" s="168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169"/>
      <c r="C695" s="3"/>
      <c r="D695" s="4"/>
      <c r="E695" s="3"/>
      <c r="F695" s="3"/>
      <c r="G695" s="3"/>
      <c r="H695" s="168"/>
      <c r="I695" s="169"/>
      <c r="J695" s="168"/>
      <c r="K695" s="3"/>
      <c r="L695" s="168"/>
      <c r="M695" s="168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169"/>
      <c r="C696" s="3"/>
      <c r="D696" s="4"/>
      <c r="E696" s="3"/>
      <c r="F696" s="3"/>
      <c r="G696" s="3"/>
      <c r="H696" s="168"/>
      <c r="I696" s="169"/>
      <c r="J696" s="168"/>
      <c r="K696" s="3"/>
      <c r="L696" s="168"/>
      <c r="M696" s="168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169"/>
      <c r="C697" s="3"/>
      <c r="D697" s="4"/>
      <c r="E697" s="3"/>
      <c r="F697" s="3"/>
      <c r="G697" s="3"/>
      <c r="H697" s="168"/>
      <c r="I697" s="169"/>
      <c r="J697" s="168"/>
      <c r="K697" s="3"/>
      <c r="L697" s="168"/>
      <c r="M697" s="168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169"/>
      <c r="C698" s="3"/>
      <c r="D698" s="4"/>
      <c r="E698" s="3"/>
      <c r="F698" s="3"/>
      <c r="G698" s="3"/>
      <c r="H698" s="168"/>
      <c r="I698" s="169"/>
      <c r="J698" s="168"/>
      <c r="K698" s="3"/>
      <c r="L698" s="168"/>
      <c r="M698" s="168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169"/>
      <c r="C699" s="3"/>
      <c r="D699" s="4"/>
      <c r="E699" s="3"/>
      <c r="F699" s="3"/>
      <c r="G699" s="3"/>
      <c r="H699" s="168"/>
      <c r="I699" s="169"/>
      <c r="J699" s="168"/>
      <c r="K699" s="3"/>
      <c r="L699" s="168"/>
      <c r="M699" s="168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169"/>
      <c r="C700" s="3"/>
      <c r="D700" s="4"/>
      <c r="E700" s="3"/>
      <c r="F700" s="3"/>
      <c r="G700" s="3"/>
      <c r="H700" s="168"/>
      <c r="I700" s="169"/>
      <c r="J700" s="168"/>
      <c r="K700" s="3"/>
      <c r="L700" s="168"/>
      <c r="M700" s="168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169"/>
      <c r="C701" s="3"/>
      <c r="D701" s="4"/>
      <c r="E701" s="3"/>
      <c r="F701" s="3"/>
      <c r="G701" s="3"/>
      <c r="H701" s="168"/>
      <c r="I701" s="169"/>
      <c r="J701" s="168"/>
      <c r="K701" s="3"/>
      <c r="L701" s="168"/>
      <c r="M701" s="168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169"/>
      <c r="C702" s="3"/>
      <c r="D702" s="4"/>
      <c r="E702" s="3"/>
      <c r="F702" s="3"/>
      <c r="G702" s="3"/>
      <c r="H702" s="168"/>
      <c r="I702" s="169"/>
      <c r="J702" s="168"/>
      <c r="K702" s="3"/>
      <c r="L702" s="168"/>
      <c r="M702" s="168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169"/>
      <c r="C703" s="3"/>
      <c r="D703" s="4"/>
      <c r="E703" s="3"/>
      <c r="F703" s="3"/>
      <c r="G703" s="3"/>
      <c r="H703" s="168"/>
      <c r="I703" s="169"/>
      <c r="J703" s="168"/>
      <c r="K703" s="3"/>
      <c r="L703" s="168"/>
      <c r="M703" s="168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169"/>
      <c r="C704" s="3"/>
      <c r="D704" s="4"/>
      <c r="E704" s="3"/>
      <c r="F704" s="3"/>
      <c r="G704" s="3"/>
      <c r="H704" s="168"/>
      <c r="I704" s="169"/>
      <c r="J704" s="168"/>
      <c r="K704" s="3"/>
      <c r="L704" s="168"/>
      <c r="M704" s="168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169"/>
      <c r="C705" s="3"/>
      <c r="D705" s="4"/>
      <c r="E705" s="3"/>
      <c r="F705" s="3"/>
      <c r="G705" s="3"/>
      <c r="H705" s="168"/>
      <c r="I705" s="169"/>
      <c r="J705" s="168"/>
      <c r="K705" s="3"/>
      <c r="L705" s="168"/>
      <c r="M705" s="168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169"/>
      <c r="C706" s="3"/>
      <c r="D706" s="4"/>
      <c r="E706" s="3"/>
      <c r="F706" s="3"/>
      <c r="G706" s="3"/>
      <c r="H706" s="168"/>
      <c r="I706" s="169"/>
      <c r="J706" s="168"/>
      <c r="K706" s="3"/>
      <c r="L706" s="168"/>
      <c r="M706" s="168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169"/>
      <c r="C707" s="3"/>
      <c r="D707" s="4"/>
      <c r="E707" s="3"/>
      <c r="F707" s="3"/>
      <c r="G707" s="3"/>
      <c r="H707" s="168"/>
      <c r="I707" s="169"/>
      <c r="J707" s="168"/>
      <c r="K707" s="3"/>
      <c r="L707" s="168"/>
      <c r="M707" s="168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169"/>
      <c r="C708" s="3"/>
      <c r="D708" s="4"/>
      <c r="E708" s="3"/>
      <c r="F708" s="3"/>
      <c r="G708" s="3"/>
      <c r="H708" s="168"/>
      <c r="I708" s="169"/>
      <c r="J708" s="168"/>
      <c r="K708" s="3"/>
      <c r="L708" s="168"/>
      <c r="M708" s="168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169"/>
      <c r="C709" s="3"/>
      <c r="D709" s="4"/>
      <c r="E709" s="3"/>
      <c r="F709" s="3"/>
      <c r="G709" s="3"/>
      <c r="H709" s="168"/>
      <c r="I709" s="169"/>
      <c r="J709" s="168"/>
      <c r="K709" s="3"/>
      <c r="L709" s="168"/>
      <c r="M709" s="168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169"/>
      <c r="C710" s="3"/>
      <c r="D710" s="4"/>
      <c r="E710" s="3"/>
      <c r="F710" s="3"/>
      <c r="G710" s="3"/>
      <c r="H710" s="168"/>
      <c r="I710" s="169"/>
      <c r="J710" s="168"/>
      <c r="K710" s="3"/>
      <c r="L710" s="168"/>
      <c r="M710" s="168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169"/>
      <c r="C711" s="3"/>
      <c r="D711" s="4"/>
      <c r="E711" s="3"/>
      <c r="F711" s="3"/>
      <c r="G711" s="3"/>
      <c r="H711" s="168"/>
      <c r="I711" s="169"/>
      <c r="J711" s="168"/>
      <c r="K711" s="3"/>
      <c r="L711" s="168"/>
      <c r="M711" s="168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169"/>
      <c r="C712" s="3"/>
      <c r="D712" s="4"/>
      <c r="E712" s="3"/>
      <c r="F712" s="3"/>
      <c r="G712" s="3"/>
      <c r="H712" s="168"/>
      <c r="I712" s="169"/>
      <c r="J712" s="168"/>
      <c r="K712" s="3"/>
      <c r="L712" s="168"/>
      <c r="M712" s="168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169"/>
      <c r="C713" s="3"/>
      <c r="D713" s="4"/>
      <c r="E713" s="3"/>
      <c r="F713" s="3"/>
      <c r="G713" s="3"/>
      <c r="H713" s="168"/>
      <c r="I713" s="169"/>
      <c r="J713" s="168"/>
      <c r="K713" s="3"/>
      <c r="L713" s="168"/>
      <c r="M713" s="168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169"/>
      <c r="C714" s="3"/>
      <c r="D714" s="4"/>
      <c r="E714" s="3"/>
      <c r="F714" s="3"/>
      <c r="G714" s="3"/>
      <c r="H714" s="168"/>
      <c r="I714" s="169"/>
      <c r="J714" s="168"/>
      <c r="K714" s="3"/>
      <c r="L714" s="168"/>
      <c r="M714" s="168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169"/>
      <c r="C715" s="3"/>
      <c r="D715" s="4"/>
      <c r="E715" s="3"/>
      <c r="F715" s="3"/>
      <c r="G715" s="3"/>
      <c r="H715" s="168"/>
      <c r="I715" s="169"/>
      <c r="J715" s="168"/>
      <c r="K715" s="3"/>
      <c r="L715" s="168"/>
      <c r="M715" s="168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169"/>
      <c r="C716" s="3"/>
      <c r="D716" s="4"/>
      <c r="E716" s="3"/>
      <c r="F716" s="3"/>
      <c r="G716" s="3"/>
      <c r="H716" s="168"/>
      <c r="I716" s="169"/>
      <c r="J716" s="168"/>
      <c r="K716" s="3"/>
      <c r="L716" s="168"/>
      <c r="M716" s="168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169"/>
      <c r="C717" s="3"/>
      <c r="D717" s="4"/>
      <c r="E717" s="3"/>
      <c r="F717" s="3"/>
      <c r="G717" s="3"/>
      <c r="H717" s="168"/>
      <c r="I717" s="169"/>
      <c r="J717" s="168"/>
      <c r="K717" s="3"/>
      <c r="L717" s="168"/>
      <c r="M717" s="168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169"/>
      <c r="C718" s="3"/>
      <c r="D718" s="4"/>
      <c r="E718" s="3"/>
      <c r="F718" s="3"/>
      <c r="G718" s="3"/>
      <c r="H718" s="168"/>
      <c r="I718" s="169"/>
      <c r="J718" s="168"/>
      <c r="K718" s="3"/>
      <c r="L718" s="168"/>
      <c r="M718" s="168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169"/>
      <c r="C719" s="3"/>
      <c r="D719" s="4"/>
      <c r="E719" s="3"/>
      <c r="F719" s="3"/>
      <c r="G719" s="3"/>
      <c r="H719" s="168"/>
      <c r="I719" s="169"/>
      <c r="J719" s="168"/>
      <c r="K719" s="3"/>
      <c r="L719" s="168"/>
      <c r="M719" s="168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169"/>
      <c r="C720" s="3"/>
      <c r="D720" s="4"/>
      <c r="E720" s="3"/>
      <c r="F720" s="3"/>
      <c r="G720" s="3"/>
      <c r="H720" s="168"/>
      <c r="I720" s="169"/>
      <c r="J720" s="168"/>
      <c r="K720" s="3"/>
      <c r="L720" s="168"/>
      <c r="M720" s="168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169"/>
      <c r="C721" s="3"/>
      <c r="D721" s="4"/>
      <c r="E721" s="3"/>
      <c r="F721" s="3"/>
      <c r="G721" s="3"/>
      <c r="H721" s="168"/>
      <c r="I721" s="169"/>
      <c r="J721" s="168"/>
      <c r="K721" s="3"/>
      <c r="L721" s="168"/>
      <c r="M721" s="168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169"/>
      <c r="C722" s="3"/>
      <c r="D722" s="4"/>
      <c r="E722" s="3"/>
      <c r="F722" s="3"/>
      <c r="G722" s="3"/>
      <c r="H722" s="168"/>
      <c r="I722" s="169"/>
      <c r="J722" s="168"/>
      <c r="K722" s="3"/>
      <c r="L722" s="168"/>
      <c r="M722" s="168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169"/>
      <c r="C723" s="3"/>
      <c r="D723" s="4"/>
      <c r="E723" s="3"/>
      <c r="F723" s="3"/>
      <c r="G723" s="3"/>
      <c r="H723" s="168"/>
      <c r="I723" s="169"/>
      <c r="J723" s="168"/>
      <c r="K723" s="3"/>
      <c r="L723" s="168"/>
      <c r="M723" s="168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169"/>
      <c r="C724" s="3"/>
      <c r="D724" s="4"/>
      <c r="E724" s="3"/>
      <c r="F724" s="3"/>
      <c r="G724" s="3"/>
      <c r="H724" s="168"/>
      <c r="I724" s="169"/>
      <c r="J724" s="168"/>
      <c r="K724" s="3"/>
      <c r="L724" s="168"/>
      <c r="M724" s="168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169"/>
      <c r="C725" s="3"/>
      <c r="D725" s="4"/>
      <c r="E725" s="3"/>
      <c r="F725" s="3"/>
      <c r="G725" s="3"/>
      <c r="H725" s="168"/>
      <c r="I725" s="169"/>
      <c r="J725" s="168"/>
      <c r="K725" s="3"/>
      <c r="L725" s="168"/>
      <c r="M725" s="168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169"/>
      <c r="C726" s="3"/>
      <c r="D726" s="4"/>
      <c r="E726" s="3"/>
      <c r="F726" s="3"/>
      <c r="G726" s="3"/>
      <c r="H726" s="168"/>
      <c r="I726" s="169"/>
      <c r="J726" s="168"/>
      <c r="K726" s="3"/>
      <c r="L726" s="168"/>
      <c r="M726" s="168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169"/>
      <c r="C727" s="3"/>
      <c r="D727" s="4"/>
      <c r="E727" s="3"/>
      <c r="F727" s="3"/>
      <c r="G727" s="3"/>
      <c r="H727" s="168"/>
      <c r="I727" s="169"/>
      <c r="J727" s="168"/>
      <c r="K727" s="3"/>
      <c r="L727" s="168"/>
      <c r="M727" s="168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169"/>
      <c r="C728" s="3"/>
      <c r="D728" s="4"/>
      <c r="E728" s="3"/>
      <c r="F728" s="3"/>
      <c r="G728" s="3"/>
      <c r="H728" s="168"/>
      <c r="I728" s="169"/>
      <c r="J728" s="168"/>
      <c r="K728" s="3"/>
      <c r="L728" s="168"/>
      <c r="M728" s="168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169"/>
      <c r="C729" s="3"/>
      <c r="D729" s="4"/>
      <c r="E729" s="3"/>
      <c r="F729" s="3"/>
      <c r="G729" s="3"/>
      <c r="H729" s="168"/>
      <c r="I729" s="169"/>
      <c r="J729" s="168"/>
      <c r="K729" s="3"/>
      <c r="L729" s="168"/>
      <c r="M729" s="168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169"/>
      <c r="C730" s="3"/>
      <c r="D730" s="4"/>
      <c r="E730" s="3"/>
      <c r="F730" s="3"/>
      <c r="G730" s="3"/>
      <c r="H730" s="168"/>
      <c r="I730" s="169"/>
      <c r="J730" s="168"/>
      <c r="K730" s="3"/>
      <c r="L730" s="168"/>
      <c r="M730" s="168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169"/>
      <c r="C731" s="3"/>
      <c r="D731" s="4"/>
      <c r="E731" s="3"/>
      <c r="F731" s="3"/>
      <c r="G731" s="3"/>
      <c r="H731" s="168"/>
      <c r="I731" s="169"/>
      <c r="J731" s="168"/>
      <c r="K731" s="3"/>
      <c r="L731" s="168"/>
      <c r="M731" s="168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169"/>
      <c r="C732" s="3"/>
      <c r="D732" s="4"/>
      <c r="E732" s="3"/>
      <c r="F732" s="3"/>
      <c r="G732" s="3"/>
      <c r="H732" s="168"/>
      <c r="I732" s="169"/>
      <c r="J732" s="168"/>
      <c r="K732" s="3"/>
      <c r="L732" s="168"/>
      <c r="M732" s="168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169"/>
      <c r="C733" s="3"/>
      <c r="D733" s="4"/>
      <c r="E733" s="3"/>
      <c r="F733" s="3"/>
      <c r="G733" s="3"/>
      <c r="H733" s="168"/>
      <c r="I733" s="169"/>
      <c r="J733" s="168"/>
      <c r="K733" s="3"/>
      <c r="L733" s="168"/>
      <c r="M733" s="168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169"/>
      <c r="C734" s="3"/>
      <c r="D734" s="4"/>
      <c r="E734" s="3"/>
      <c r="F734" s="3"/>
      <c r="G734" s="3"/>
      <c r="H734" s="168"/>
      <c r="I734" s="169"/>
      <c r="J734" s="168"/>
      <c r="K734" s="3"/>
      <c r="L734" s="168"/>
      <c r="M734" s="168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169"/>
      <c r="C735" s="3"/>
      <c r="D735" s="4"/>
      <c r="E735" s="3"/>
      <c r="F735" s="3"/>
      <c r="G735" s="3"/>
      <c r="H735" s="168"/>
      <c r="I735" s="169"/>
      <c r="J735" s="168"/>
      <c r="K735" s="3"/>
      <c r="L735" s="168"/>
      <c r="M735" s="168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169"/>
      <c r="C736" s="3"/>
      <c r="D736" s="4"/>
      <c r="E736" s="3"/>
      <c r="F736" s="3"/>
      <c r="G736" s="3"/>
      <c r="H736" s="168"/>
      <c r="I736" s="169"/>
      <c r="J736" s="168"/>
      <c r="K736" s="3"/>
      <c r="L736" s="168"/>
      <c r="M736" s="168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169"/>
      <c r="C737" s="3"/>
      <c r="D737" s="4"/>
      <c r="E737" s="3"/>
      <c r="F737" s="3"/>
      <c r="G737" s="3"/>
      <c r="H737" s="168"/>
      <c r="I737" s="169"/>
      <c r="J737" s="168"/>
      <c r="K737" s="3"/>
      <c r="L737" s="168"/>
      <c r="M737" s="168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169"/>
      <c r="C738" s="3"/>
      <c r="D738" s="4"/>
      <c r="E738" s="3"/>
      <c r="F738" s="3"/>
      <c r="G738" s="3"/>
      <c r="H738" s="168"/>
      <c r="I738" s="169"/>
      <c r="J738" s="168"/>
      <c r="K738" s="3"/>
      <c r="L738" s="168"/>
      <c r="M738" s="168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169"/>
      <c r="C739" s="3"/>
      <c r="D739" s="4"/>
      <c r="E739" s="3"/>
      <c r="F739" s="3"/>
      <c r="G739" s="3"/>
      <c r="H739" s="168"/>
      <c r="I739" s="169"/>
      <c r="J739" s="168"/>
      <c r="K739" s="3"/>
      <c r="L739" s="168"/>
      <c r="M739" s="168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169"/>
      <c r="C740" s="3"/>
      <c r="D740" s="4"/>
      <c r="E740" s="3"/>
      <c r="F740" s="3"/>
      <c r="G740" s="3"/>
      <c r="H740" s="168"/>
      <c r="I740" s="169"/>
      <c r="J740" s="168"/>
      <c r="K740" s="3"/>
      <c r="L740" s="168"/>
      <c r="M740" s="168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169"/>
      <c r="C741" s="3"/>
      <c r="D741" s="4"/>
      <c r="E741" s="3"/>
      <c r="F741" s="3"/>
      <c r="G741" s="3"/>
      <c r="H741" s="168"/>
      <c r="I741" s="169"/>
      <c r="J741" s="168"/>
      <c r="K741" s="3"/>
      <c r="L741" s="168"/>
      <c r="M741" s="168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169"/>
      <c r="C742" s="3"/>
      <c r="D742" s="4"/>
      <c r="E742" s="3"/>
      <c r="F742" s="3"/>
      <c r="G742" s="3"/>
      <c r="H742" s="168"/>
      <c r="I742" s="169"/>
      <c r="J742" s="168"/>
      <c r="K742" s="3"/>
      <c r="L742" s="168"/>
      <c r="M742" s="168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169"/>
      <c r="C743" s="3"/>
      <c r="D743" s="4"/>
      <c r="E743" s="3"/>
      <c r="F743" s="3"/>
      <c r="G743" s="3"/>
      <c r="H743" s="168"/>
      <c r="I743" s="169"/>
      <c r="J743" s="168"/>
      <c r="K743" s="3"/>
      <c r="L743" s="168"/>
      <c r="M743" s="168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169"/>
      <c r="C744" s="3"/>
      <c r="D744" s="4"/>
      <c r="E744" s="3"/>
      <c r="F744" s="3"/>
      <c r="G744" s="3"/>
      <c r="H744" s="168"/>
      <c r="I744" s="169"/>
      <c r="J744" s="168"/>
      <c r="K744" s="3"/>
      <c r="L744" s="168"/>
      <c r="M744" s="168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169"/>
      <c r="C745" s="3"/>
      <c r="D745" s="4"/>
      <c r="E745" s="3"/>
      <c r="F745" s="3"/>
      <c r="G745" s="3"/>
      <c r="H745" s="168"/>
      <c r="I745" s="169"/>
      <c r="J745" s="168"/>
      <c r="K745" s="3"/>
      <c r="L745" s="168"/>
      <c r="M745" s="168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169"/>
      <c r="C746" s="3"/>
      <c r="D746" s="4"/>
      <c r="E746" s="3"/>
      <c r="F746" s="3"/>
      <c r="G746" s="3"/>
      <c r="H746" s="168"/>
      <c r="I746" s="169"/>
      <c r="J746" s="168"/>
      <c r="K746" s="3"/>
      <c r="L746" s="168"/>
      <c r="M746" s="168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169"/>
      <c r="C747" s="3"/>
      <c r="D747" s="4"/>
      <c r="E747" s="3"/>
      <c r="F747" s="3"/>
      <c r="G747" s="3"/>
      <c r="H747" s="168"/>
      <c r="I747" s="169"/>
      <c r="J747" s="168"/>
      <c r="K747" s="3"/>
      <c r="L747" s="168"/>
      <c r="M747" s="168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169"/>
      <c r="C748" s="3"/>
      <c r="D748" s="4"/>
      <c r="E748" s="3"/>
      <c r="F748" s="3"/>
      <c r="G748" s="3"/>
      <c r="H748" s="168"/>
      <c r="I748" s="169"/>
      <c r="J748" s="168"/>
      <c r="K748" s="3"/>
      <c r="L748" s="168"/>
      <c r="M748" s="168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169"/>
      <c r="C749" s="3"/>
      <c r="D749" s="4"/>
      <c r="E749" s="3"/>
      <c r="F749" s="3"/>
      <c r="G749" s="3"/>
      <c r="H749" s="168"/>
      <c r="I749" s="169"/>
      <c r="J749" s="168"/>
      <c r="K749" s="3"/>
      <c r="L749" s="168"/>
      <c r="M749" s="168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169"/>
      <c r="C750" s="3"/>
      <c r="D750" s="4"/>
      <c r="E750" s="3"/>
      <c r="F750" s="3"/>
      <c r="G750" s="3"/>
      <c r="H750" s="168"/>
      <c r="I750" s="169"/>
      <c r="J750" s="168"/>
      <c r="K750" s="3"/>
      <c r="L750" s="168"/>
      <c r="M750" s="168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169"/>
      <c r="C751" s="3"/>
      <c r="D751" s="4"/>
      <c r="E751" s="3"/>
      <c r="F751" s="3"/>
      <c r="G751" s="3"/>
      <c r="H751" s="168"/>
      <c r="I751" s="169"/>
      <c r="J751" s="168"/>
      <c r="K751" s="3"/>
      <c r="L751" s="168"/>
      <c r="M751" s="168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169"/>
      <c r="C752" s="3"/>
      <c r="D752" s="4"/>
      <c r="E752" s="3"/>
      <c r="F752" s="3"/>
      <c r="G752" s="3"/>
      <c r="H752" s="168"/>
      <c r="I752" s="169"/>
      <c r="J752" s="168"/>
      <c r="K752" s="3"/>
      <c r="L752" s="168"/>
      <c r="M752" s="168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169"/>
      <c r="C753" s="3"/>
      <c r="D753" s="4"/>
      <c r="E753" s="3"/>
      <c r="F753" s="3"/>
      <c r="G753" s="3"/>
      <c r="H753" s="168"/>
      <c r="I753" s="169"/>
      <c r="J753" s="168"/>
      <c r="K753" s="3"/>
      <c r="L753" s="168"/>
      <c r="M753" s="168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169"/>
      <c r="C754" s="3"/>
      <c r="D754" s="4"/>
      <c r="E754" s="3"/>
      <c r="F754" s="3"/>
      <c r="G754" s="3"/>
      <c r="H754" s="168"/>
      <c r="I754" s="169"/>
      <c r="J754" s="168"/>
      <c r="K754" s="3"/>
      <c r="L754" s="168"/>
      <c r="M754" s="168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169"/>
      <c r="C755" s="3"/>
      <c r="D755" s="4"/>
      <c r="E755" s="3"/>
      <c r="F755" s="3"/>
      <c r="G755" s="3"/>
      <c r="H755" s="168"/>
      <c r="I755" s="169"/>
      <c r="J755" s="168"/>
      <c r="K755" s="3"/>
      <c r="L755" s="168"/>
      <c r="M755" s="168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169"/>
      <c r="C756" s="3"/>
      <c r="D756" s="4"/>
      <c r="E756" s="3"/>
      <c r="F756" s="3"/>
      <c r="G756" s="3"/>
      <c r="H756" s="168"/>
      <c r="I756" s="169"/>
      <c r="J756" s="168"/>
      <c r="K756" s="3"/>
      <c r="L756" s="168"/>
      <c r="M756" s="168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169"/>
      <c r="C757" s="3"/>
      <c r="D757" s="4"/>
      <c r="E757" s="3"/>
      <c r="F757" s="3"/>
      <c r="G757" s="3"/>
      <c r="H757" s="168"/>
      <c r="I757" s="169"/>
      <c r="J757" s="168"/>
      <c r="K757" s="3"/>
      <c r="L757" s="168"/>
      <c r="M757" s="168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169"/>
      <c r="C758" s="3"/>
      <c r="D758" s="4"/>
      <c r="E758" s="3"/>
      <c r="F758" s="3"/>
      <c r="G758" s="3"/>
      <c r="H758" s="168"/>
      <c r="I758" s="169"/>
      <c r="J758" s="168"/>
      <c r="K758" s="3"/>
      <c r="L758" s="168"/>
      <c r="M758" s="168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169"/>
      <c r="C759" s="3"/>
      <c r="D759" s="4"/>
      <c r="E759" s="3"/>
      <c r="F759" s="3"/>
      <c r="G759" s="3"/>
      <c r="H759" s="168"/>
      <c r="I759" s="169"/>
      <c r="J759" s="168"/>
      <c r="K759" s="3"/>
      <c r="L759" s="168"/>
      <c r="M759" s="168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169"/>
      <c r="C760" s="3"/>
      <c r="D760" s="4"/>
      <c r="E760" s="3"/>
      <c r="F760" s="3"/>
      <c r="G760" s="3"/>
      <c r="H760" s="168"/>
      <c r="I760" s="169"/>
      <c r="J760" s="168"/>
      <c r="K760" s="3"/>
      <c r="L760" s="168"/>
      <c r="M760" s="168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169"/>
      <c r="C761" s="3"/>
      <c r="D761" s="4"/>
      <c r="E761" s="3"/>
      <c r="F761" s="3"/>
      <c r="G761" s="3"/>
      <c r="H761" s="168"/>
      <c r="I761" s="169"/>
      <c r="J761" s="168"/>
      <c r="K761" s="3"/>
      <c r="L761" s="168"/>
      <c r="M761" s="168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169"/>
      <c r="C762" s="3"/>
      <c r="D762" s="4"/>
      <c r="E762" s="3"/>
      <c r="F762" s="3"/>
      <c r="G762" s="3"/>
      <c r="H762" s="168"/>
      <c r="I762" s="169"/>
      <c r="J762" s="168"/>
      <c r="K762" s="3"/>
      <c r="L762" s="168"/>
      <c r="M762" s="168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169"/>
      <c r="C763" s="3"/>
      <c r="D763" s="4"/>
      <c r="E763" s="3"/>
      <c r="F763" s="3"/>
      <c r="G763" s="3"/>
      <c r="H763" s="168"/>
      <c r="I763" s="169"/>
      <c r="J763" s="168"/>
      <c r="K763" s="3"/>
      <c r="L763" s="168"/>
      <c r="M763" s="168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169"/>
      <c r="C764" s="3"/>
      <c r="D764" s="4"/>
      <c r="E764" s="3"/>
      <c r="F764" s="3"/>
      <c r="G764" s="3"/>
      <c r="H764" s="168"/>
      <c r="I764" s="169"/>
      <c r="J764" s="168"/>
      <c r="K764" s="3"/>
      <c r="L764" s="168"/>
      <c r="M764" s="168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169"/>
      <c r="C765" s="3"/>
      <c r="D765" s="4"/>
      <c r="E765" s="3"/>
      <c r="F765" s="3"/>
      <c r="G765" s="3"/>
      <c r="H765" s="168"/>
      <c r="I765" s="169"/>
      <c r="J765" s="168"/>
      <c r="K765" s="3"/>
      <c r="L765" s="168"/>
      <c r="M765" s="168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169"/>
      <c r="C766" s="3"/>
      <c r="D766" s="4"/>
      <c r="E766" s="3"/>
      <c r="F766" s="3"/>
      <c r="G766" s="3"/>
      <c r="H766" s="168"/>
      <c r="I766" s="169"/>
      <c r="J766" s="168"/>
      <c r="K766" s="3"/>
      <c r="L766" s="168"/>
      <c r="M766" s="168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169"/>
      <c r="C767" s="3"/>
      <c r="D767" s="4"/>
      <c r="E767" s="3"/>
      <c r="F767" s="3"/>
      <c r="G767" s="3"/>
      <c r="H767" s="168"/>
      <c r="I767" s="169"/>
      <c r="J767" s="168"/>
      <c r="K767" s="3"/>
      <c r="L767" s="168"/>
      <c r="M767" s="168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169"/>
      <c r="C768" s="3"/>
      <c r="D768" s="4"/>
      <c r="E768" s="3"/>
      <c r="F768" s="3"/>
      <c r="G768" s="3"/>
      <c r="H768" s="168"/>
      <c r="I768" s="169"/>
      <c r="J768" s="168"/>
      <c r="K768" s="3"/>
      <c r="L768" s="168"/>
      <c r="M768" s="168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169"/>
      <c r="C769" s="3"/>
      <c r="D769" s="4"/>
      <c r="E769" s="3"/>
      <c r="F769" s="3"/>
      <c r="G769" s="3"/>
      <c r="H769" s="168"/>
      <c r="I769" s="169"/>
      <c r="J769" s="168"/>
      <c r="K769" s="3"/>
      <c r="L769" s="168"/>
      <c r="M769" s="168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169"/>
      <c r="C770" s="3"/>
      <c r="D770" s="4"/>
      <c r="E770" s="3"/>
      <c r="F770" s="3"/>
      <c r="G770" s="3"/>
      <c r="H770" s="168"/>
      <c r="I770" s="169"/>
      <c r="J770" s="168"/>
      <c r="K770" s="3"/>
      <c r="L770" s="168"/>
      <c r="M770" s="168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169"/>
      <c r="C771" s="3"/>
      <c r="D771" s="4"/>
      <c r="E771" s="3"/>
      <c r="F771" s="3"/>
      <c r="G771" s="3"/>
      <c r="H771" s="168"/>
      <c r="I771" s="169"/>
      <c r="J771" s="168"/>
      <c r="K771" s="3"/>
      <c r="L771" s="168"/>
      <c r="M771" s="168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169"/>
      <c r="C772" s="3"/>
      <c r="D772" s="4"/>
      <c r="E772" s="3"/>
      <c r="F772" s="3"/>
      <c r="G772" s="3"/>
      <c r="H772" s="168"/>
      <c r="I772" s="169"/>
      <c r="J772" s="168"/>
      <c r="K772" s="3"/>
      <c r="L772" s="168"/>
      <c r="M772" s="168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169"/>
      <c r="C773" s="3"/>
      <c r="D773" s="4"/>
      <c r="E773" s="3"/>
      <c r="F773" s="3"/>
      <c r="G773" s="3"/>
      <c r="H773" s="168"/>
      <c r="I773" s="169"/>
      <c r="J773" s="168"/>
      <c r="K773" s="3"/>
      <c r="L773" s="168"/>
      <c r="M773" s="168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169"/>
      <c r="C774" s="3"/>
      <c r="D774" s="4"/>
      <c r="E774" s="3"/>
      <c r="F774" s="3"/>
      <c r="G774" s="3"/>
      <c r="H774" s="168"/>
      <c r="I774" s="169"/>
      <c r="J774" s="168"/>
      <c r="K774" s="3"/>
      <c r="L774" s="168"/>
      <c r="M774" s="168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169"/>
      <c r="C775" s="3"/>
      <c r="D775" s="4"/>
      <c r="E775" s="3"/>
      <c r="F775" s="3"/>
      <c r="G775" s="3"/>
      <c r="H775" s="168"/>
      <c r="I775" s="169"/>
      <c r="J775" s="168"/>
      <c r="K775" s="3"/>
      <c r="L775" s="168"/>
      <c r="M775" s="168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169"/>
      <c r="C776" s="3"/>
      <c r="D776" s="4"/>
      <c r="E776" s="3"/>
      <c r="F776" s="3"/>
      <c r="G776" s="3"/>
      <c r="H776" s="168"/>
      <c r="I776" s="169"/>
      <c r="J776" s="168"/>
      <c r="K776" s="3"/>
      <c r="L776" s="168"/>
      <c r="M776" s="168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169"/>
      <c r="C777" s="3"/>
      <c r="D777" s="4"/>
      <c r="E777" s="3"/>
      <c r="F777" s="3"/>
      <c r="G777" s="3"/>
      <c r="H777" s="168"/>
      <c r="I777" s="169"/>
      <c r="J777" s="168"/>
      <c r="K777" s="3"/>
      <c r="L777" s="168"/>
      <c r="M777" s="168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169"/>
      <c r="C778" s="3"/>
      <c r="D778" s="4"/>
      <c r="E778" s="3"/>
      <c r="F778" s="3"/>
      <c r="G778" s="3"/>
      <c r="H778" s="168"/>
      <c r="I778" s="169"/>
      <c r="J778" s="168"/>
      <c r="K778" s="3"/>
      <c r="L778" s="168"/>
      <c r="M778" s="168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169"/>
      <c r="C779" s="3"/>
      <c r="D779" s="4"/>
      <c r="E779" s="3"/>
      <c r="F779" s="3"/>
      <c r="G779" s="3"/>
      <c r="H779" s="168"/>
      <c r="I779" s="169"/>
      <c r="J779" s="168"/>
      <c r="K779" s="3"/>
      <c r="L779" s="168"/>
      <c r="M779" s="168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169"/>
      <c r="C780" s="3"/>
      <c r="D780" s="4"/>
      <c r="E780" s="3"/>
      <c r="F780" s="3"/>
      <c r="G780" s="3"/>
      <c r="H780" s="168"/>
      <c r="I780" s="169"/>
      <c r="J780" s="168"/>
      <c r="K780" s="3"/>
      <c r="L780" s="168"/>
      <c r="M780" s="168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169"/>
      <c r="C781" s="3"/>
      <c r="D781" s="4"/>
      <c r="E781" s="3"/>
      <c r="F781" s="3"/>
      <c r="G781" s="3"/>
      <c r="H781" s="168"/>
      <c r="I781" s="169"/>
      <c r="J781" s="168"/>
      <c r="K781" s="3"/>
      <c r="L781" s="168"/>
      <c r="M781" s="168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169"/>
      <c r="C782" s="3"/>
      <c r="D782" s="4"/>
      <c r="E782" s="3"/>
      <c r="F782" s="3"/>
      <c r="G782" s="3"/>
      <c r="H782" s="168"/>
      <c r="I782" s="169"/>
      <c r="J782" s="168"/>
      <c r="K782" s="3"/>
      <c r="L782" s="168"/>
      <c r="M782" s="168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169"/>
      <c r="C783" s="3"/>
      <c r="D783" s="4"/>
      <c r="E783" s="3"/>
      <c r="F783" s="3"/>
      <c r="G783" s="3"/>
      <c r="H783" s="168"/>
      <c r="I783" s="169"/>
      <c r="J783" s="168"/>
      <c r="K783" s="3"/>
      <c r="L783" s="168"/>
      <c r="M783" s="168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169"/>
      <c r="C784" s="3"/>
      <c r="D784" s="4"/>
      <c r="E784" s="3"/>
      <c r="F784" s="3"/>
      <c r="G784" s="3"/>
      <c r="H784" s="168"/>
      <c r="I784" s="169"/>
      <c r="J784" s="168"/>
      <c r="K784" s="3"/>
      <c r="L784" s="168"/>
      <c r="M784" s="168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169"/>
      <c r="C785" s="3"/>
      <c r="D785" s="4"/>
      <c r="E785" s="3"/>
      <c r="F785" s="3"/>
      <c r="G785" s="3"/>
      <c r="H785" s="168"/>
      <c r="I785" s="169"/>
      <c r="J785" s="168"/>
      <c r="K785" s="3"/>
      <c r="L785" s="168"/>
      <c r="M785" s="168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169"/>
      <c r="C786" s="3"/>
      <c r="D786" s="4"/>
      <c r="E786" s="3"/>
      <c r="F786" s="3"/>
      <c r="G786" s="3"/>
      <c r="H786" s="168"/>
      <c r="I786" s="169"/>
      <c r="J786" s="168"/>
      <c r="K786" s="3"/>
      <c r="L786" s="168"/>
      <c r="M786" s="168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169"/>
      <c r="C787" s="3"/>
      <c r="D787" s="4"/>
      <c r="E787" s="3"/>
      <c r="F787" s="3"/>
      <c r="G787" s="3"/>
      <c r="H787" s="168"/>
      <c r="I787" s="169"/>
      <c r="J787" s="168"/>
      <c r="K787" s="3"/>
      <c r="L787" s="168"/>
      <c r="M787" s="168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169"/>
      <c r="C788" s="3"/>
      <c r="D788" s="4"/>
      <c r="E788" s="3"/>
      <c r="F788" s="3"/>
      <c r="G788" s="3"/>
      <c r="H788" s="168"/>
      <c r="I788" s="169"/>
      <c r="J788" s="168"/>
      <c r="K788" s="3"/>
      <c r="L788" s="168"/>
      <c r="M788" s="168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169"/>
      <c r="C789" s="3"/>
      <c r="D789" s="4"/>
      <c r="E789" s="3"/>
      <c r="F789" s="3"/>
      <c r="G789" s="3"/>
      <c r="H789" s="168"/>
      <c r="I789" s="169"/>
      <c r="J789" s="168"/>
      <c r="K789" s="3"/>
      <c r="L789" s="168"/>
      <c r="M789" s="168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169"/>
      <c r="C790" s="3"/>
      <c r="D790" s="4"/>
      <c r="E790" s="3"/>
      <c r="F790" s="3"/>
      <c r="G790" s="3"/>
      <c r="H790" s="168"/>
      <c r="I790" s="169"/>
      <c r="J790" s="168"/>
      <c r="K790" s="3"/>
      <c r="L790" s="168"/>
      <c r="M790" s="168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169"/>
      <c r="C791" s="3"/>
      <c r="D791" s="4"/>
      <c r="E791" s="3"/>
      <c r="F791" s="3"/>
      <c r="G791" s="3"/>
      <c r="H791" s="168"/>
      <c r="I791" s="169"/>
      <c r="J791" s="168"/>
      <c r="K791" s="3"/>
      <c r="L791" s="168"/>
      <c r="M791" s="168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169"/>
      <c r="C792" s="3"/>
      <c r="D792" s="4"/>
      <c r="E792" s="3"/>
      <c r="F792" s="3"/>
      <c r="G792" s="3"/>
      <c r="H792" s="168"/>
      <c r="I792" s="169"/>
      <c r="J792" s="168"/>
      <c r="K792" s="3"/>
      <c r="L792" s="168"/>
      <c r="M792" s="168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169"/>
      <c r="C793" s="3"/>
      <c r="D793" s="4"/>
      <c r="E793" s="3"/>
      <c r="F793" s="3"/>
      <c r="G793" s="3"/>
      <c r="H793" s="168"/>
      <c r="I793" s="169"/>
      <c r="J793" s="168"/>
      <c r="K793" s="3"/>
      <c r="L793" s="168"/>
      <c r="M793" s="168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169"/>
      <c r="C794" s="3"/>
      <c r="D794" s="4"/>
      <c r="E794" s="3"/>
      <c r="F794" s="3"/>
      <c r="G794" s="3"/>
      <c r="H794" s="168"/>
      <c r="I794" s="169"/>
      <c r="J794" s="168"/>
      <c r="K794" s="3"/>
      <c r="L794" s="168"/>
      <c r="M794" s="168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169"/>
      <c r="C795" s="3"/>
      <c r="D795" s="4"/>
      <c r="E795" s="3"/>
      <c r="F795" s="3"/>
      <c r="G795" s="3"/>
      <c r="H795" s="168"/>
      <c r="I795" s="169"/>
      <c r="J795" s="168"/>
      <c r="K795" s="3"/>
      <c r="L795" s="168"/>
      <c r="M795" s="168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169"/>
      <c r="C796" s="3"/>
      <c r="D796" s="4"/>
      <c r="E796" s="3"/>
      <c r="F796" s="3"/>
      <c r="G796" s="3"/>
      <c r="H796" s="168"/>
      <c r="I796" s="169"/>
      <c r="J796" s="168"/>
      <c r="K796" s="3"/>
      <c r="L796" s="168"/>
      <c r="M796" s="168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169"/>
      <c r="C797" s="3"/>
      <c r="D797" s="4"/>
      <c r="E797" s="3"/>
      <c r="F797" s="3"/>
      <c r="G797" s="3"/>
      <c r="H797" s="168"/>
      <c r="I797" s="169"/>
      <c r="J797" s="168"/>
      <c r="K797" s="3"/>
      <c r="L797" s="168"/>
      <c r="M797" s="168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169"/>
      <c r="C798" s="3"/>
      <c r="D798" s="4"/>
      <c r="E798" s="3"/>
      <c r="F798" s="3"/>
      <c r="G798" s="3"/>
      <c r="H798" s="168"/>
      <c r="I798" s="169"/>
      <c r="J798" s="168"/>
      <c r="K798" s="3"/>
      <c r="L798" s="168"/>
      <c r="M798" s="168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169"/>
      <c r="C799" s="3"/>
      <c r="D799" s="4"/>
      <c r="E799" s="3"/>
      <c r="F799" s="3"/>
      <c r="G799" s="3"/>
      <c r="H799" s="168"/>
      <c r="I799" s="169"/>
      <c r="J799" s="168"/>
      <c r="K799" s="3"/>
      <c r="L799" s="168"/>
      <c r="M799" s="168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169"/>
      <c r="C800" s="3"/>
      <c r="D800" s="4"/>
      <c r="E800" s="3"/>
      <c r="F800" s="3"/>
      <c r="G800" s="3"/>
      <c r="H800" s="168"/>
      <c r="I800" s="169"/>
      <c r="J800" s="168"/>
      <c r="K800" s="3"/>
      <c r="L800" s="168"/>
      <c r="M800" s="168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169"/>
      <c r="C801" s="3"/>
      <c r="D801" s="4"/>
      <c r="E801" s="3"/>
      <c r="F801" s="3"/>
      <c r="G801" s="3"/>
      <c r="H801" s="168"/>
      <c r="I801" s="169"/>
      <c r="J801" s="168"/>
      <c r="K801" s="3"/>
      <c r="L801" s="168"/>
      <c r="M801" s="168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169"/>
      <c r="C802" s="3"/>
      <c r="D802" s="4"/>
      <c r="E802" s="3"/>
      <c r="F802" s="3"/>
      <c r="G802" s="3"/>
      <c r="H802" s="168"/>
      <c r="I802" s="169"/>
      <c r="J802" s="168"/>
      <c r="K802" s="3"/>
      <c r="L802" s="168"/>
      <c r="M802" s="168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169"/>
      <c r="C803" s="3"/>
      <c r="D803" s="4"/>
      <c r="E803" s="3"/>
      <c r="F803" s="3"/>
      <c r="G803" s="3"/>
      <c r="H803" s="168"/>
      <c r="I803" s="169"/>
      <c r="J803" s="168"/>
      <c r="K803" s="3"/>
      <c r="L803" s="168"/>
      <c r="M803" s="168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169"/>
      <c r="C804" s="3"/>
      <c r="D804" s="4"/>
      <c r="E804" s="3"/>
      <c r="F804" s="3"/>
      <c r="G804" s="3"/>
      <c r="H804" s="168"/>
      <c r="I804" s="169"/>
      <c r="J804" s="168"/>
      <c r="K804" s="3"/>
      <c r="L804" s="168"/>
      <c r="M804" s="168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169"/>
      <c r="C805" s="3"/>
      <c r="D805" s="4"/>
      <c r="E805" s="3"/>
      <c r="F805" s="3"/>
      <c r="G805" s="3"/>
      <c r="H805" s="168"/>
      <c r="I805" s="169"/>
      <c r="J805" s="168"/>
      <c r="K805" s="3"/>
      <c r="L805" s="168"/>
      <c r="M805" s="168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169"/>
      <c r="C806" s="3"/>
      <c r="D806" s="4"/>
      <c r="E806" s="3"/>
      <c r="F806" s="3"/>
      <c r="G806" s="3"/>
      <c r="H806" s="168"/>
      <c r="I806" s="169"/>
      <c r="J806" s="168"/>
      <c r="K806" s="3"/>
      <c r="L806" s="168"/>
      <c r="M806" s="168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169"/>
      <c r="C807" s="3"/>
      <c r="D807" s="4"/>
      <c r="E807" s="3"/>
      <c r="F807" s="3"/>
      <c r="G807" s="3"/>
      <c r="H807" s="168"/>
      <c r="I807" s="169"/>
      <c r="J807" s="168"/>
      <c r="K807" s="3"/>
      <c r="L807" s="168"/>
      <c r="M807" s="168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169"/>
      <c r="C808" s="3"/>
      <c r="D808" s="4"/>
      <c r="E808" s="3"/>
      <c r="F808" s="3"/>
      <c r="G808" s="3"/>
      <c r="H808" s="168"/>
      <c r="I808" s="169"/>
      <c r="J808" s="168"/>
      <c r="K808" s="3"/>
      <c r="L808" s="168"/>
      <c r="M808" s="168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169"/>
      <c r="C809" s="3"/>
      <c r="D809" s="4"/>
      <c r="E809" s="3"/>
      <c r="F809" s="3"/>
      <c r="G809" s="3"/>
      <c r="H809" s="168"/>
      <c r="I809" s="169"/>
      <c r="J809" s="168"/>
      <c r="K809" s="3"/>
      <c r="L809" s="168"/>
      <c r="M809" s="168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169"/>
      <c r="C810" s="3"/>
      <c r="D810" s="4"/>
      <c r="E810" s="3"/>
      <c r="F810" s="3"/>
      <c r="G810" s="3"/>
      <c r="H810" s="168"/>
      <c r="I810" s="169"/>
      <c r="J810" s="168"/>
      <c r="K810" s="3"/>
      <c r="L810" s="168"/>
      <c r="M810" s="168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169"/>
      <c r="C811" s="3"/>
      <c r="D811" s="4"/>
      <c r="E811" s="3"/>
      <c r="F811" s="3"/>
      <c r="G811" s="3"/>
      <c r="H811" s="168"/>
      <c r="I811" s="169"/>
      <c r="J811" s="168"/>
      <c r="K811" s="3"/>
      <c r="L811" s="168"/>
      <c r="M811" s="168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169"/>
      <c r="C812" s="3"/>
      <c r="D812" s="4"/>
      <c r="E812" s="3"/>
      <c r="F812" s="3"/>
      <c r="G812" s="3"/>
      <c r="H812" s="168"/>
      <c r="I812" s="169"/>
      <c r="J812" s="168"/>
      <c r="K812" s="3"/>
      <c r="L812" s="168"/>
      <c r="M812" s="168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169"/>
      <c r="C813" s="3"/>
      <c r="D813" s="4"/>
      <c r="E813" s="3"/>
      <c r="F813" s="3"/>
      <c r="G813" s="3"/>
      <c r="H813" s="168"/>
      <c r="I813" s="169"/>
      <c r="J813" s="168"/>
      <c r="K813" s="3"/>
      <c r="L813" s="168"/>
      <c r="M813" s="168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169"/>
      <c r="C814" s="3"/>
      <c r="D814" s="4"/>
      <c r="E814" s="3"/>
      <c r="F814" s="3"/>
      <c r="G814" s="3"/>
      <c r="H814" s="168"/>
      <c r="I814" s="169"/>
      <c r="J814" s="168"/>
      <c r="K814" s="3"/>
      <c r="L814" s="168"/>
      <c r="M814" s="168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169"/>
      <c r="C815" s="3"/>
      <c r="D815" s="4"/>
      <c r="E815" s="3"/>
      <c r="F815" s="3"/>
      <c r="G815" s="3"/>
      <c r="H815" s="168"/>
      <c r="I815" s="169"/>
      <c r="J815" s="168"/>
      <c r="K815" s="3"/>
      <c r="L815" s="168"/>
      <c r="M815" s="168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169"/>
      <c r="C816" s="3"/>
      <c r="D816" s="4"/>
      <c r="E816" s="3"/>
      <c r="F816" s="3"/>
      <c r="G816" s="3"/>
      <c r="H816" s="168"/>
      <c r="I816" s="169"/>
      <c r="J816" s="168"/>
      <c r="K816" s="3"/>
      <c r="L816" s="168"/>
      <c r="M816" s="168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169"/>
      <c r="C817" s="3"/>
      <c r="D817" s="4"/>
      <c r="E817" s="3"/>
      <c r="F817" s="3"/>
      <c r="G817" s="3"/>
      <c r="H817" s="168"/>
      <c r="I817" s="169"/>
      <c r="J817" s="168"/>
      <c r="K817" s="3"/>
      <c r="L817" s="168"/>
      <c r="M817" s="168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169"/>
      <c r="C818" s="3"/>
      <c r="D818" s="4"/>
      <c r="E818" s="3"/>
      <c r="F818" s="3"/>
      <c r="G818" s="3"/>
      <c r="H818" s="168"/>
      <c r="I818" s="169"/>
      <c r="J818" s="168"/>
      <c r="K818" s="3"/>
      <c r="L818" s="168"/>
      <c r="M818" s="168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169"/>
      <c r="C819" s="3"/>
      <c r="D819" s="4"/>
      <c r="E819" s="3"/>
      <c r="F819" s="3"/>
      <c r="G819" s="3"/>
      <c r="H819" s="168"/>
      <c r="I819" s="169"/>
      <c r="J819" s="168"/>
      <c r="K819" s="3"/>
      <c r="L819" s="168"/>
      <c r="M819" s="168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169"/>
      <c r="C820" s="3"/>
      <c r="D820" s="4"/>
      <c r="E820" s="3"/>
      <c r="F820" s="3"/>
      <c r="G820" s="3"/>
      <c r="H820" s="168"/>
      <c r="I820" s="169"/>
      <c r="J820" s="168"/>
      <c r="K820" s="3"/>
      <c r="L820" s="168"/>
      <c r="M820" s="168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169"/>
      <c r="C821" s="3"/>
      <c r="D821" s="4"/>
      <c r="E821" s="3"/>
      <c r="F821" s="3"/>
      <c r="G821" s="3"/>
      <c r="H821" s="168"/>
      <c r="I821" s="169"/>
      <c r="J821" s="168"/>
      <c r="K821" s="3"/>
      <c r="L821" s="168"/>
      <c r="M821" s="168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169"/>
      <c r="C822" s="3"/>
      <c r="D822" s="4"/>
      <c r="E822" s="3"/>
      <c r="F822" s="3"/>
      <c r="G822" s="3"/>
      <c r="H822" s="168"/>
      <c r="I822" s="169"/>
      <c r="J822" s="168"/>
      <c r="K822" s="3"/>
      <c r="L822" s="168"/>
      <c r="M822" s="168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169"/>
      <c r="C823" s="3"/>
      <c r="D823" s="4"/>
      <c r="E823" s="3"/>
      <c r="F823" s="3"/>
      <c r="G823" s="3"/>
      <c r="H823" s="168"/>
      <c r="I823" s="169"/>
      <c r="J823" s="168"/>
      <c r="K823" s="3"/>
      <c r="L823" s="168"/>
      <c r="M823" s="168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169"/>
      <c r="C824" s="3"/>
      <c r="D824" s="4"/>
      <c r="E824" s="3"/>
      <c r="F824" s="3"/>
      <c r="G824" s="3"/>
      <c r="H824" s="168"/>
      <c r="I824" s="169"/>
      <c r="J824" s="168"/>
      <c r="K824" s="3"/>
      <c r="L824" s="168"/>
      <c r="M824" s="168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169"/>
      <c r="C825" s="3"/>
      <c r="D825" s="4"/>
      <c r="E825" s="3"/>
      <c r="F825" s="3"/>
      <c r="G825" s="3"/>
      <c r="H825" s="168"/>
      <c r="I825" s="169"/>
      <c r="J825" s="168"/>
      <c r="K825" s="3"/>
      <c r="L825" s="168"/>
      <c r="M825" s="168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169"/>
      <c r="C826" s="3"/>
      <c r="D826" s="4"/>
      <c r="E826" s="3"/>
      <c r="F826" s="3"/>
      <c r="G826" s="3"/>
      <c r="H826" s="168"/>
      <c r="I826" s="169"/>
      <c r="J826" s="168"/>
      <c r="K826" s="3"/>
      <c r="L826" s="168"/>
      <c r="M826" s="168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169"/>
      <c r="C827" s="3"/>
      <c r="D827" s="4"/>
      <c r="E827" s="3"/>
      <c r="F827" s="3"/>
      <c r="G827" s="3"/>
      <c r="H827" s="168"/>
      <c r="I827" s="169"/>
      <c r="J827" s="168"/>
      <c r="K827" s="3"/>
      <c r="L827" s="168"/>
      <c r="M827" s="168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169"/>
      <c r="C828" s="3"/>
      <c r="D828" s="4"/>
      <c r="E828" s="3"/>
      <c r="F828" s="3"/>
      <c r="G828" s="3"/>
      <c r="H828" s="168"/>
      <c r="I828" s="169"/>
      <c r="J828" s="168"/>
      <c r="K828" s="3"/>
      <c r="L828" s="168"/>
      <c r="M828" s="168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169"/>
      <c r="C829" s="3"/>
      <c r="D829" s="4"/>
      <c r="E829" s="3"/>
      <c r="F829" s="3"/>
      <c r="G829" s="3"/>
      <c r="H829" s="168"/>
      <c r="I829" s="169"/>
      <c r="J829" s="168"/>
      <c r="K829" s="3"/>
      <c r="L829" s="168"/>
      <c r="M829" s="168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169"/>
      <c r="C830" s="3"/>
      <c r="D830" s="4"/>
      <c r="E830" s="3"/>
      <c r="F830" s="3"/>
      <c r="G830" s="3"/>
      <c r="H830" s="168"/>
      <c r="I830" s="169"/>
      <c r="J830" s="168"/>
      <c r="K830" s="3"/>
      <c r="L830" s="168"/>
      <c r="M830" s="168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169"/>
      <c r="C831" s="3"/>
      <c r="D831" s="4"/>
      <c r="E831" s="3"/>
      <c r="F831" s="3"/>
      <c r="G831" s="3"/>
      <c r="H831" s="168"/>
      <c r="I831" s="169"/>
      <c r="J831" s="168"/>
      <c r="K831" s="3"/>
      <c r="L831" s="168"/>
      <c r="M831" s="168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169"/>
      <c r="C832" s="3"/>
      <c r="D832" s="4"/>
      <c r="E832" s="3"/>
      <c r="F832" s="3"/>
      <c r="G832" s="3"/>
      <c r="H832" s="168"/>
      <c r="I832" s="169"/>
      <c r="J832" s="168"/>
      <c r="K832" s="3"/>
      <c r="L832" s="168"/>
      <c r="M832" s="168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169"/>
      <c r="C833" s="3"/>
      <c r="D833" s="4"/>
      <c r="E833" s="3"/>
      <c r="F833" s="3"/>
      <c r="G833" s="3"/>
      <c r="H833" s="168"/>
      <c r="I833" s="169"/>
      <c r="J833" s="168"/>
      <c r="K833" s="3"/>
      <c r="L833" s="168"/>
      <c r="M833" s="168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169"/>
      <c r="C834" s="3"/>
      <c r="D834" s="4"/>
      <c r="E834" s="3"/>
      <c r="F834" s="3"/>
      <c r="G834" s="3"/>
      <c r="H834" s="168"/>
      <c r="I834" s="169"/>
      <c r="J834" s="168"/>
      <c r="K834" s="3"/>
      <c r="L834" s="168"/>
      <c r="M834" s="168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169"/>
      <c r="C835" s="3"/>
      <c r="D835" s="4"/>
      <c r="E835" s="3"/>
      <c r="F835" s="3"/>
      <c r="G835" s="3"/>
      <c r="H835" s="168"/>
      <c r="I835" s="169"/>
      <c r="J835" s="168"/>
      <c r="K835" s="3"/>
      <c r="L835" s="168"/>
      <c r="M835" s="168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169"/>
      <c r="C836" s="3"/>
      <c r="D836" s="4"/>
      <c r="E836" s="3"/>
      <c r="F836" s="3"/>
      <c r="G836" s="3"/>
      <c r="H836" s="168"/>
      <c r="I836" s="169"/>
      <c r="J836" s="168"/>
      <c r="K836" s="3"/>
      <c r="L836" s="168"/>
      <c r="M836" s="168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169"/>
      <c r="C837" s="3"/>
      <c r="D837" s="4"/>
      <c r="E837" s="3"/>
      <c r="F837" s="3"/>
      <c r="G837" s="3"/>
      <c r="H837" s="168"/>
      <c r="I837" s="169"/>
      <c r="J837" s="168"/>
      <c r="K837" s="3"/>
      <c r="L837" s="168"/>
      <c r="M837" s="168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169"/>
      <c r="C838" s="3"/>
      <c r="D838" s="4"/>
      <c r="E838" s="3"/>
      <c r="F838" s="3"/>
      <c r="G838" s="3"/>
      <c r="H838" s="168"/>
      <c r="I838" s="169"/>
      <c r="J838" s="168"/>
      <c r="K838" s="3"/>
      <c r="L838" s="168"/>
      <c r="M838" s="168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169"/>
      <c r="C839" s="3"/>
      <c r="D839" s="4"/>
      <c r="E839" s="3"/>
      <c r="F839" s="3"/>
      <c r="G839" s="3"/>
      <c r="H839" s="168"/>
      <c r="I839" s="169"/>
      <c r="J839" s="168"/>
      <c r="K839" s="3"/>
      <c r="L839" s="168"/>
      <c r="M839" s="168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169"/>
      <c r="C840" s="3"/>
      <c r="D840" s="4"/>
      <c r="E840" s="3"/>
      <c r="F840" s="3"/>
      <c r="G840" s="3"/>
      <c r="H840" s="168"/>
      <c r="I840" s="169"/>
      <c r="J840" s="168"/>
      <c r="K840" s="3"/>
      <c r="L840" s="168"/>
      <c r="M840" s="168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169"/>
      <c r="C841" s="3"/>
      <c r="D841" s="4"/>
      <c r="E841" s="3"/>
      <c r="F841" s="3"/>
      <c r="G841" s="3"/>
      <c r="H841" s="168"/>
      <c r="I841" s="169"/>
      <c r="J841" s="168"/>
      <c r="K841" s="3"/>
      <c r="L841" s="168"/>
      <c r="M841" s="168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169"/>
      <c r="C842" s="3"/>
      <c r="D842" s="4"/>
      <c r="E842" s="3"/>
      <c r="F842" s="3"/>
      <c r="G842" s="3"/>
      <c r="H842" s="168"/>
      <c r="I842" s="169"/>
      <c r="J842" s="168"/>
      <c r="K842" s="3"/>
      <c r="L842" s="168"/>
      <c r="M842" s="168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169"/>
      <c r="C843" s="3"/>
      <c r="D843" s="4"/>
      <c r="E843" s="3"/>
      <c r="F843" s="3"/>
      <c r="G843" s="3"/>
      <c r="H843" s="168"/>
      <c r="I843" s="169"/>
      <c r="J843" s="168"/>
      <c r="K843" s="3"/>
      <c r="L843" s="168"/>
      <c r="M843" s="168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169"/>
      <c r="C844" s="3"/>
      <c r="D844" s="4"/>
      <c r="E844" s="3"/>
      <c r="F844" s="3"/>
      <c r="G844" s="3"/>
      <c r="H844" s="168"/>
      <c r="I844" s="169"/>
      <c r="J844" s="168"/>
      <c r="K844" s="3"/>
      <c r="L844" s="168"/>
      <c r="M844" s="168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169"/>
      <c r="C845" s="3"/>
      <c r="D845" s="4"/>
      <c r="E845" s="3"/>
      <c r="F845" s="3"/>
      <c r="G845" s="3"/>
      <c r="H845" s="168"/>
      <c r="I845" s="169"/>
      <c r="J845" s="168"/>
      <c r="K845" s="3"/>
      <c r="L845" s="168"/>
      <c r="M845" s="168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169"/>
      <c r="C846" s="3"/>
      <c r="D846" s="4"/>
      <c r="E846" s="3"/>
      <c r="F846" s="3"/>
      <c r="G846" s="3"/>
      <c r="H846" s="168"/>
      <c r="I846" s="169"/>
      <c r="J846" s="168"/>
      <c r="K846" s="3"/>
      <c r="L846" s="168"/>
      <c r="M846" s="168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169"/>
      <c r="C847" s="3"/>
      <c r="D847" s="4"/>
      <c r="E847" s="3"/>
      <c r="F847" s="3"/>
      <c r="G847" s="3"/>
      <c r="H847" s="168"/>
      <c r="I847" s="169"/>
      <c r="J847" s="168"/>
      <c r="K847" s="3"/>
      <c r="L847" s="168"/>
      <c r="M847" s="168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169"/>
      <c r="C848" s="3"/>
      <c r="D848" s="4"/>
      <c r="E848" s="3"/>
      <c r="F848" s="3"/>
      <c r="G848" s="3"/>
      <c r="H848" s="168"/>
      <c r="I848" s="169"/>
      <c r="J848" s="168"/>
      <c r="K848" s="3"/>
      <c r="L848" s="168"/>
      <c r="M848" s="168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169"/>
      <c r="C849" s="3"/>
      <c r="D849" s="4"/>
      <c r="E849" s="3"/>
      <c r="F849" s="3"/>
      <c r="G849" s="3"/>
      <c r="H849" s="168"/>
      <c r="I849" s="169"/>
      <c r="J849" s="168"/>
      <c r="K849" s="3"/>
      <c r="L849" s="168"/>
      <c r="M849" s="168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169"/>
      <c r="C850" s="3"/>
      <c r="D850" s="4"/>
      <c r="E850" s="3"/>
      <c r="F850" s="3"/>
      <c r="G850" s="3"/>
      <c r="H850" s="168"/>
      <c r="I850" s="169"/>
      <c r="J850" s="168"/>
      <c r="K850" s="3"/>
      <c r="L850" s="168"/>
      <c r="M850" s="168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169"/>
      <c r="C851" s="3"/>
      <c r="D851" s="4"/>
      <c r="E851" s="3"/>
      <c r="F851" s="3"/>
      <c r="G851" s="3"/>
      <c r="H851" s="168"/>
      <c r="I851" s="169"/>
      <c r="J851" s="168"/>
      <c r="K851" s="3"/>
      <c r="L851" s="168"/>
      <c r="M851" s="168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169"/>
      <c r="C852" s="3"/>
      <c r="D852" s="4"/>
      <c r="E852" s="3"/>
      <c r="F852" s="3"/>
      <c r="G852" s="3"/>
      <c r="H852" s="168"/>
      <c r="I852" s="169"/>
      <c r="J852" s="168"/>
      <c r="K852" s="3"/>
      <c r="L852" s="168"/>
      <c r="M852" s="168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169"/>
      <c r="C853" s="3"/>
      <c r="D853" s="4"/>
      <c r="E853" s="3"/>
      <c r="F853" s="3"/>
      <c r="G853" s="3"/>
      <c r="H853" s="168"/>
      <c r="I853" s="169"/>
      <c r="J853" s="168"/>
      <c r="K853" s="3"/>
      <c r="L853" s="168"/>
      <c r="M853" s="168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169"/>
      <c r="C854" s="3"/>
      <c r="D854" s="4"/>
      <c r="E854" s="3"/>
      <c r="F854" s="3"/>
      <c r="G854" s="3"/>
      <c r="H854" s="168"/>
      <c r="I854" s="169"/>
      <c r="J854" s="168"/>
      <c r="K854" s="3"/>
      <c r="L854" s="168"/>
      <c r="M854" s="168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169"/>
      <c r="C855" s="3"/>
      <c r="D855" s="4"/>
      <c r="E855" s="3"/>
      <c r="F855" s="3"/>
      <c r="G855" s="3"/>
      <c r="H855" s="168"/>
      <c r="I855" s="169"/>
      <c r="J855" s="168"/>
      <c r="K855" s="3"/>
      <c r="L855" s="168"/>
      <c r="M855" s="168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169"/>
      <c r="C856" s="3"/>
      <c r="D856" s="4"/>
      <c r="E856" s="3"/>
      <c r="F856" s="3"/>
      <c r="G856" s="3"/>
      <c r="H856" s="168"/>
      <c r="I856" s="169"/>
      <c r="J856" s="168"/>
      <c r="K856" s="3"/>
      <c r="L856" s="168"/>
      <c r="M856" s="168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169"/>
      <c r="C857" s="3"/>
      <c r="D857" s="4"/>
      <c r="E857" s="3"/>
      <c r="F857" s="3"/>
      <c r="G857" s="3"/>
      <c r="H857" s="168"/>
      <c r="I857" s="169"/>
      <c r="J857" s="168"/>
      <c r="K857" s="3"/>
      <c r="L857" s="168"/>
      <c r="M857" s="168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169"/>
      <c r="C858" s="3"/>
      <c r="D858" s="4"/>
      <c r="E858" s="3"/>
      <c r="F858" s="3"/>
      <c r="G858" s="3"/>
      <c r="H858" s="168"/>
      <c r="I858" s="169"/>
      <c r="J858" s="168"/>
      <c r="K858" s="3"/>
      <c r="L858" s="168"/>
      <c r="M858" s="168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169"/>
      <c r="C859" s="3"/>
      <c r="D859" s="4"/>
      <c r="E859" s="3"/>
      <c r="F859" s="3"/>
      <c r="G859" s="3"/>
      <c r="H859" s="168"/>
      <c r="I859" s="169"/>
      <c r="J859" s="168"/>
      <c r="K859" s="3"/>
      <c r="L859" s="168"/>
      <c r="M859" s="168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169"/>
      <c r="C860" s="3"/>
      <c r="D860" s="4"/>
      <c r="E860" s="3"/>
      <c r="F860" s="3"/>
      <c r="G860" s="3"/>
      <c r="H860" s="168"/>
      <c r="I860" s="169"/>
      <c r="J860" s="168"/>
      <c r="K860" s="3"/>
      <c r="L860" s="168"/>
      <c r="M860" s="168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169"/>
      <c r="C861" s="3"/>
      <c r="D861" s="4"/>
      <c r="E861" s="3"/>
      <c r="F861" s="3"/>
      <c r="G861" s="3"/>
      <c r="H861" s="168"/>
      <c r="I861" s="169"/>
      <c r="J861" s="168"/>
      <c r="K861" s="3"/>
      <c r="L861" s="168"/>
      <c r="M861" s="168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169"/>
      <c r="C862" s="3"/>
      <c r="D862" s="4"/>
      <c r="E862" s="3"/>
      <c r="F862" s="3"/>
      <c r="G862" s="3"/>
      <c r="H862" s="168"/>
      <c r="I862" s="169"/>
      <c r="J862" s="168"/>
      <c r="K862" s="3"/>
      <c r="L862" s="168"/>
      <c r="M862" s="168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169"/>
      <c r="C863" s="3"/>
      <c r="D863" s="4"/>
      <c r="E863" s="3"/>
      <c r="F863" s="3"/>
      <c r="G863" s="3"/>
      <c r="H863" s="168"/>
      <c r="I863" s="169"/>
      <c r="J863" s="168"/>
      <c r="K863" s="3"/>
      <c r="L863" s="168"/>
      <c r="M863" s="168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169"/>
      <c r="C864" s="3"/>
      <c r="D864" s="4"/>
      <c r="E864" s="3"/>
      <c r="F864" s="3"/>
      <c r="G864" s="3"/>
      <c r="H864" s="168"/>
      <c r="I864" s="169"/>
      <c r="J864" s="168"/>
      <c r="K864" s="3"/>
      <c r="L864" s="168"/>
      <c r="M864" s="168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169"/>
      <c r="C865" s="3"/>
      <c r="D865" s="4"/>
      <c r="E865" s="3"/>
      <c r="F865" s="3"/>
      <c r="G865" s="3"/>
      <c r="H865" s="168"/>
      <c r="I865" s="169"/>
      <c r="J865" s="168"/>
      <c r="K865" s="3"/>
      <c r="L865" s="168"/>
      <c r="M865" s="168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169"/>
      <c r="C866" s="3"/>
      <c r="D866" s="4"/>
      <c r="E866" s="3"/>
      <c r="F866" s="3"/>
      <c r="G866" s="3"/>
      <c r="H866" s="168"/>
      <c r="I866" s="169"/>
      <c r="J866" s="168"/>
      <c r="K866" s="3"/>
      <c r="L866" s="168"/>
      <c r="M866" s="168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169"/>
      <c r="C867" s="3"/>
      <c r="D867" s="4"/>
      <c r="E867" s="3"/>
      <c r="F867" s="3"/>
      <c r="G867" s="3"/>
      <c r="H867" s="168"/>
      <c r="I867" s="169"/>
      <c r="J867" s="168"/>
      <c r="K867" s="3"/>
      <c r="L867" s="168"/>
      <c r="M867" s="168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169"/>
      <c r="C868" s="3"/>
      <c r="D868" s="4"/>
      <c r="E868" s="3"/>
      <c r="F868" s="3"/>
      <c r="G868" s="3"/>
      <c r="H868" s="168"/>
      <c r="I868" s="169"/>
      <c r="J868" s="168"/>
      <c r="K868" s="3"/>
      <c r="L868" s="168"/>
      <c r="M868" s="168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169"/>
      <c r="C869" s="3"/>
      <c r="D869" s="4"/>
      <c r="E869" s="3"/>
      <c r="F869" s="3"/>
      <c r="G869" s="3"/>
      <c r="H869" s="168"/>
      <c r="I869" s="169"/>
      <c r="J869" s="168"/>
      <c r="K869" s="3"/>
      <c r="L869" s="168"/>
      <c r="M869" s="168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169"/>
      <c r="C870" s="3"/>
      <c r="D870" s="4"/>
      <c r="E870" s="3"/>
      <c r="F870" s="3"/>
      <c r="G870" s="3"/>
      <c r="H870" s="168"/>
      <c r="I870" s="169"/>
      <c r="J870" s="168"/>
      <c r="K870" s="3"/>
      <c r="L870" s="168"/>
      <c r="M870" s="168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169"/>
      <c r="C871" s="3"/>
      <c r="D871" s="4"/>
      <c r="E871" s="3"/>
      <c r="F871" s="3"/>
      <c r="G871" s="3"/>
      <c r="H871" s="168"/>
      <c r="I871" s="169"/>
      <c r="J871" s="168"/>
      <c r="K871" s="3"/>
      <c r="L871" s="168"/>
      <c r="M871" s="168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169"/>
      <c r="C872" s="3"/>
      <c r="D872" s="4"/>
      <c r="E872" s="3"/>
      <c r="F872" s="3"/>
      <c r="G872" s="3"/>
      <c r="H872" s="168"/>
      <c r="I872" s="169"/>
      <c r="J872" s="168"/>
      <c r="K872" s="3"/>
      <c r="L872" s="168"/>
      <c r="M872" s="168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169"/>
      <c r="C873" s="3"/>
      <c r="D873" s="4"/>
      <c r="E873" s="3"/>
      <c r="F873" s="3"/>
      <c r="G873" s="3"/>
      <c r="H873" s="168"/>
      <c r="I873" s="169"/>
      <c r="J873" s="168"/>
      <c r="K873" s="3"/>
      <c r="L873" s="168"/>
      <c r="M873" s="168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169"/>
      <c r="C874" s="3"/>
      <c r="D874" s="4"/>
      <c r="E874" s="3"/>
      <c r="F874" s="3"/>
      <c r="G874" s="3"/>
      <c r="H874" s="168"/>
      <c r="I874" s="169"/>
      <c r="J874" s="168"/>
      <c r="K874" s="3"/>
      <c r="L874" s="168"/>
      <c r="M874" s="168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169"/>
      <c r="C875" s="3"/>
      <c r="D875" s="4"/>
      <c r="E875" s="3"/>
      <c r="F875" s="3"/>
      <c r="G875" s="3"/>
      <c r="H875" s="168"/>
      <c r="I875" s="169"/>
      <c r="J875" s="168"/>
      <c r="K875" s="3"/>
      <c r="L875" s="168"/>
      <c r="M875" s="168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169"/>
      <c r="C876" s="3"/>
      <c r="D876" s="4"/>
      <c r="E876" s="3"/>
      <c r="F876" s="3"/>
      <c r="G876" s="3"/>
      <c r="H876" s="168"/>
      <c r="I876" s="169"/>
      <c r="J876" s="168"/>
      <c r="K876" s="3"/>
      <c r="L876" s="168"/>
      <c r="M876" s="168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169"/>
      <c r="C877" s="3"/>
      <c r="D877" s="4"/>
      <c r="E877" s="3"/>
      <c r="F877" s="3"/>
      <c r="G877" s="3"/>
      <c r="H877" s="168"/>
      <c r="I877" s="169"/>
      <c r="J877" s="168"/>
      <c r="K877" s="3"/>
      <c r="L877" s="168"/>
      <c r="M877" s="168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169"/>
      <c r="C878" s="3"/>
      <c r="D878" s="4"/>
      <c r="E878" s="3"/>
      <c r="F878" s="3"/>
      <c r="G878" s="3"/>
      <c r="H878" s="168"/>
      <c r="I878" s="169"/>
      <c r="J878" s="168"/>
      <c r="K878" s="3"/>
      <c r="L878" s="168"/>
      <c r="M878" s="168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169"/>
      <c r="C879" s="3"/>
      <c r="D879" s="4"/>
      <c r="E879" s="3"/>
      <c r="F879" s="3"/>
      <c r="G879" s="3"/>
      <c r="H879" s="168"/>
      <c r="I879" s="169"/>
      <c r="J879" s="168"/>
      <c r="K879" s="3"/>
      <c r="L879" s="168"/>
      <c r="M879" s="168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169"/>
      <c r="C880" s="3"/>
      <c r="D880" s="4"/>
      <c r="E880" s="3"/>
      <c r="F880" s="3"/>
      <c r="G880" s="3"/>
      <c r="H880" s="168"/>
      <c r="I880" s="169"/>
      <c r="J880" s="168"/>
      <c r="K880" s="3"/>
      <c r="L880" s="168"/>
      <c r="M880" s="168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169"/>
      <c r="C881" s="3"/>
      <c r="D881" s="4"/>
      <c r="E881" s="3"/>
      <c r="F881" s="3"/>
      <c r="G881" s="3"/>
      <c r="H881" s="168"/>
      <c r="I881" s="169"/>
      <c r="J881" s="168"/>
      <c r="K881" s="3"/>
      <c r="L881" s="168"/>
      <c r="M881" s="168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169"/>
      <c r="C882" s="3"/>
      <c r="D882" s="4"/>
      <c r="E882" s="3"/>
      <c r="F882" s="3"/>
      <c r="G882" s="3"/>
      <c r="H882" s="168"/>
      <c r="I882" s="169"/>
      <c r="J882" s="168"/>
      <c r="K882" s="3"/>
      <c r="L882" s="168"/>
      <c r="M882" s="168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169"/>
      <c r="C883" s="3"/>
      <c r="D883" s="4"/>
      <c r="E883" s="3"/>
      <c r="F883" s="3"/>
      <c r="G883" s="3"/>
      <c r="H883" s="168"/>
      <c r="I883" s="169"/>
      <c r="J883" s="168"/>
      <c r="K883" s="3"/>
      <c r="L883" s="168"/>
      <c r="M883" s="168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169"/>
      <c r="C884" s="3"/>
      <c r="D884" s="4"/>
      <c r="E884" s="3"/>
      <c r="F884" s="3"/>
      <c r="G884" s="3"/>
      <c r="H884" s="168"/>
      <c r="I884" s="169"/>
      <c r="J884" s="168"/>
      <c r="K884" s="3"/>
      <c r="L884" s="168"/>
      <c r="M884" s="168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169"/>
      <c r="C885" s="3"/>
      <c r="D885" s="4"/>
      <c r="E885" s="3"/>
      <c r="F885" s="3"/>
      <c r="G885" s="3"/>
      <c r="H885" s="168"/>
      <c r="I885" s="169"/>
      <c r="J885" s="168"/>
      <c r="K885" s="3"/>
      <c r="L885" s="168"/>
      <c r="M885" s="168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169"/>
      <c r="C886" s="3"/>
      <c r="D886" s="4"/>
      <c r="E886" s="3"/>
      <c r="F886" s="3"/>
      <c r="G886" s="3"/>
      <c r="H886" s="168"/>
      <c r="I886" s="169"/>
      <c r="J886" s="168"/>
      <c r="K886" s="3"/>
      <c r="L886" s="168"/>
      <c r="M886" s="168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169"/>
      <c r="C887" s="3"/>
      <c r="D887" s="4"/>
      <c r="E887" s="3"/>
      <c r="F887" s="3"/>
      <c r="G887" s="3"/>
      <c r="H887" s="168"/>
      <c r="I887" s="169"/>
      <c r="J887" s="168"/>
      <c r="K887" s="3"/>
      <c r="L887" s="168"/>
      <c r="M887" s="168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169"/>
      <c r="C888" s="3"/>
      <c r="D888" s="4"/>
      <c r="E888" s="3"/>
      <c r="F888" s="3"/>
      <c r="G888" s="3"/>
      <c r="H888" s="168"/>
      <c r="I888" s="169"/>
      <c r="J888" s="168"/>
      <c r="K888" s="3"/>
      <c r="L888" s="168"/>
      <c r="M888" s="168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169"/>
      <c r="C889" s="3"/>
      <c r="D889" s="4"/>
      <c r="E889" s="3"/>
      <c r="F889" s="3"/>
      <c r="G889" s="3"/>
      <c r="H889" s="168"/>
      <c r="I889" s="169"/>
      <c r="J889" s="168"/>
      <c r="K889" s="3"/>
      <c r="L889" s="168"/>
      <c r="M889" s="168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169"/>
      <c r="C890" s="3"/>
      <c r="D890" s="4"/>
      <c r="E890" s="3"/>
      <c r="F890" s="3"/>
      <c r="G890" s="3"/>
      <c r="H890" s="168"/>
      <c r="I890" s="169"/>
      <c r="J890" s="168"/>
      <c r="K890" s="3"/>
      <c r="L890" s="168"/>
      <c r="M890" s="168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169"/>
      <c r="C891" s="3"/>
      <c r="D891" s="4"/>
      <c r="E891" s="3"/>
      <c r="F891" s="3"/>
      <c r="G891" s="3"/>
      <c r="H891" s="168"/>
      <c r="I891" s="169"/>
      <c r="J891" s="168"/>
      <c r="K891" s="3"/>
      <c r="L891" s="168"/>
      <c r="M891" s="168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169"/>
      <c r="C892" s="3"/>
      <c r="D892" s="4"/>
      <c r="E892" s="3"/>
      <c r="F892" s="3"/>
      <c r="G892" s="3"/>
      <c r="H892" s="168"/>
      <c r="I892" s="169"/>
      <c r="J892" s="168"/>
      <c r="K892" s="3"/>
      <c r="L892" s="168"/>
      <c r="M892" s="168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169"/>
      <c r="C893" s="3"/>
      <c r="D893" s="4"/>
      <c r="E893" s="3"/>
      <c r="F893" s="3"/>
      <c r="G893" s="3"/>
      <c r="H893" s="168"/>
      <c r="I893" s="169"/>
      <c r="J893" s="168"/>
      <c r="K893" s="3"/>
      <c r="L893" s="168"/>
      <c r="M893" s="168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169"/>
      <c r="C894" s="3"/>
      <c r="D894" s="4"/>
      <c r="E894" s="3"/>
      <c r="F894" s="3"/>
      <c r="G894" s="3"/>
      <c r="H894" s="168"/>
      <c r="I894" s="169"/>
      <c r="J894" s="168"/>
      <c r="K894" s="3"/>
      <c r="L894" s="168"/>
      <c r="M894" s="168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169"/>
      <c r="C895" s="3"/>
      <c r="D895" s="4"/>
      <c r="E895" s="3"/>
      <c r="F895" s="3"/>
      <c r="G895" s="3"/>
      <c r="H895" s="168"/>
      <c r="I895" s="169"/>
      <c r="J895" s="168"/>
      <c r="K895" s="3"/>
      <c r="L895" s="168"/>
      <c r="M895" s="168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169"/>
      <c r="C896" s="3"/>
      <c r="D896" s="4"/>
      <c r="E896" s="3"/>
      <c r="F896" s="3"/>
      <c r="G896" s="3"/>
      <c r="H896" s="168"/>
      <c r="I896" s="169"/>
      <c r="J896" s="168"/>
      <c r="K896" s="3"/>
      <c r="L896" s="168"/>
      <c r="M896" s="168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169"/>
      <c r="C897" s="3"/>
      <c r="D897" s="4"/>
      <c r="E897" s="3"/>
      <c r="F897" s="3"/>
      <c r="G897" s="3"/>
      <c r="H897" s="168"/>
      <c r="I897" s="169"/>
      <c r="J897" s="168"/>
      <c r="K897" s="3"/>
      <c r="L897" s="168"/>
      <c r="M897" s="168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169"/>
      <c r="C898" s="3"/>
      <c r="D898" s="4"/>
      <c r="E898" s="3"/>
      <c r="F898" s="3"/>
      <c r="G898" s="3"/>
      <c r="H898" s="168"/>
      <c r="I898" s="169"/>
      <c r="J898" s="168"/>
      <c r="K898" s="3"/>
      <c r="L898" s="168"/>
      <c r="M898" s="168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169"/>
      <c r="C899" s="3"/>
      <c r="D899" s="4"/>
      <c r="E899" s="3"/>
      <c r="F899" s="3"/>
      <c r="G899" s="3"/>
      <c r="H899" s="168"/>
      <c r="I899" s="169"/>
      <c r="J899" s="168"/>
      <c r="K899" s="3"/>
      <c r="L899" s="168"/>
      <c r="M899" s="168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169"/>
      <c r="C900" s="3"/>
      <c r="D900" s="4"/>
      <c r="E900" s="3"/>
      <c r="F900" s="3"/>
      <c r="G900" s="3"/>
      <c r="H900" s="168"/>
      <c r="I900" s="169"/>
      <c r="J900" s="168"/>
      <c r="K900" s="3"/>
      <c r="L900" s="168"/>
      <c r="M900" s="168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169"/>
      <c r="C901" s="3"/>
      <c r="D901" s="4"/>
      <c r="E901" s="3"/>
      <c r="F901" s="3"/>
      <c r="G901" s="3"/>
      <c r="H901" s="168"/>
      <c r="I901" s="169"/>
      <c r="J901" s="168"/>
      <c r="K901" s="3"/>
      <c r="L901" s="168"/>
      <c r="M901" s="168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169"/>
      <c r="C902" s="3"/>
      <c r="D902" s="4"/>
      <c r="E902" s="3"/>
      <c r="F902" s="3"/>
      <c r="G902" s="3"/>
      <c r="H902" s="168"/>
      <c r="I902" s="169"/>
      <c r="J902" s="168"/>
      <c r="K902" s="3"/>
      <c r="L902" s="168"/>
      <c r="M902" s="168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169"/>
      <c r="C903" s="3"/>
      <c r="D903" s="4"/>
      <c r="E903" s="3"/>
      <c r="F903" s="3"/>
      <c r="G903" s="3"/>
      <c r="H903" s="168"/>
      <c r="I903" s="169"/>
      <c r="J903" s="168"/>
      <c r="K903" s="3"/>
      <c r="L903" s="168"/>
      <c r="M903" s="168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169"/>
      <c r="C904" s="3"/>
      <c r="D904" s="4"/>
      <c r="E904" s="3"/>
      <c r="F904" s="3"/>
      <c r="G904" s="3"/>
      <c r="H904" s="168"/>
      <c r="I904" s="169"/>
      <c r="J904" s="168"/>
      <c r="K904" s="3"/>
      <c r="L904" s="168"/>
      <c r="M904" s="168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169"/>
      <c r="C905" s="3"/>
      <c r="D905" s="4"/>
      <c r="E905" s="3"/>
      <c r="F905" s="3"/>
      <c r="G905" s="3"/>
      <c r="H905" s="168"/>
      <c r="I905" s="169"/>
      <c r="J905" s="168"/>
      <c r="K905" s="3"/>
      <c r="L905" s="168"/>
      <c r="M905" s="168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169"/>
      <c r="C906" s="3"/>
      <c r="D906" s="4"/>
      <c r="E906" s="3"/>
      <c r="F906" s="3"/>
      <c r="G906" s="3"/>
      <c r="H906" s="168"/>
      <c r="I906" s="169"/>
      <c r="J906" s="168"/>
      <c r="K906" s="3"/>
      <c r="L906" s="168"/>
      <c r="M906" s="168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169"/>
      <c r="C907" s="3"/>
      <c r="D907" s="4"/>
      <c r="E907" s="3"/>
      <c r="F907" s="3"/>
      <c r="G907" s="3"/>
      <c r="H907" s="168"/>
      <c r="I907" s="169"/>
      <c r="J907" s="168"/>
      <c r="K907" s="3"/>
      <c r="L907" s="168"/>
      <c r="M907" s="168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169"/>
      <c r="C908" s="3"/>
      <c r="D908" s="4"/>
      <c r="E908" s="3"/>
      <c r="F908" s="3"/>
      <c r="G908" s="3"/>
      <c r="H908" s="168"/>
      <c r="I908" s="169"/>
      <c r="J908" s="168"/>
      <c r="K908" s="3"/>
      <c r="L908" s="168"/>
      <c r="M908" s="168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169"/>
      <c r="C909" s="3"/>
      <c r="D909" s="4"/>
      <c r="E909" s="3"/>
      <c r="F909" s="3"/>
      <c r="G909" s="3"/>
      <c r="H909" s="168"/>
      <c r="I909" s="169"/>
      <c r="J909" s="168"/>
      <c r="K909" s="3"/>
      <c r="L909" s="168"/>
      <c r="M909" s="168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169"/>
      <c r="C910" s="3"/>
      <c r="D910" s="4"/>
      <c r="E910" s="3"/>
      <c r="F910" s="3"/>
      <c r="G910" s="3"/>
      <c r="H910" s="168"/>
      <c r="I910" s="169"/>
      <c r="J910" s="168"/>
      <c r="K910" s="3"/>
      <c r="L910" s="168"/>
      <c r="M910" s="168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169"/>
      <c r="C911" s="3"/>
      <c r="D911" s="4"/>
      <c r="E911" s="3"/>
      <c r="F911" s="3"/>
      <c r="G911" s="3"/>
      <c r="H911" s="168"/>
      <c r="I911" s="169"/>
      <c r="J911" s="168"/>
      <c r="K911" s="3"/>
      <c r="L911" s="168"/>
      <c r="M911" s="168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169"/>
      <c r="C912" s="3"/>
      <c r="D912" s="4"/>
      <c r="E912" s="3"/>
      <c r="F912" s="3"/>
      <c r="G912" s="3"/>
      <c r="H912" s="168"/>
      <c r="I912" s="169"/>
      <c r="J912" s="168"/>
      <c r="K912" s="3"/>
      <c r="L912" s="168"/>
      <c r="M912" s="168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169"/>
      <c r="C913" s="3"/>
      <c r="D913" s="4"/>
      <c r="E913" s="3"/>
      <c r="F913" s="3"/>
      <c r="G913" s="3"/>
      <c r="H913" s="168"/>
      <c r="I913" s="169"/>
      <c r="J913" s="168"/>
      <c r="K913" s="3"/>
      <c r="L913" s="168"/>
      <c r="M913" s="168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169"/>
      <c r="C914" s="3"/>
      <c r="D914" s="4"/>
      <c r="E914" s="3"/>
      <c r="F914" s="3"/>
      <c r="G914" s="3"/>
      <c r="H914" s="168"/>
      <c r="I914" s="169"/>
      <c r="J914" s="168"/>
      <c r="K914" s="3"/>
      <c r="L914" s="168"/>
      <c r="M914" s="168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169"/>
      <c r="C915" s="3"/>
      <c r="D915" s="4"/>
      <c r="E915" s="3"/>
      <c r="F915" s="3"/>
      <c r="G915" s="3"/>
      <c r="H915" s="168"/>
      <c r="I915" s="169"/>
      <c r="J915" s="168"/>
      <c r="K915" s="3"/>
      <c r="L915" s="168"/>
      <c r="M915" s="168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169"/>
      <c r="C916" s="3"/>
      <c r="D916" s="4"/>
      <c r="E916" s="3"/>
      <c r="F916" s="3"/>
      <c r="G916" s="3"/>
      <c r="H916" s="168"/>
      <c r="I916" s="169"/>
      <c r="J916" s="168"/>
      <c r="K916" s="3"/>
      <c r="L916" s="168"/>
      <c r="M916" s="168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169"/>
      <c r="C917" s="3"/>
      <c r="D917" s="4"/>
      <c r="E917" s="3"/>
      <c r="F917" s="3"/>
      <c r="G917" s="3"/>
      <c r="H917" s="168"/>
      <c r="I917" s="169"/>
      <c r="J917" s="168"/>
      <c r="K917" s="3"/>
      <c r="L917" s="168"/>
      <c r="M917" s="168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169"/>
      <c r="C918" s="3"/>
      <c r="D918" s="4"/>
      <c r="E918" s="3"/>
      <c r="F918" s="3"/>
      <c r="G918" s="3"/>
      <c r="H918" s="168"/>
      <c r="I918" s="169"/>
      <c r="J918" s="168"/>
      <c r="K918" s="3"/>
      <c r="L918" s="168"/>
      <c r="M918" s="168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169"/>
      <c r="C919" s="3"/>
      <c r="D919" s="4"/>
      <c r="E919" s="3"/>
      <c r="F919" s="3"/>
      <c r="G919" s="3"/>
      <c r="H919" s="168"/>
      <c r="I919" s="169"/>
      <c r="J919" s="168"/>
      <c r="K919" s="3"/>
      <c r="L919" s="168"/>
      <c r="M919" s="168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169"/>
      <c r="C920" s="3"/>
      <c r="D920" s="4"/>
      <c r="E920" s="3"/>
      <c r="F920" s="3"/>
      <c r="G920" s="3"/>
      <c r="H920" s="168"/>
      <c r="I920" s="169"/>
      <c r="J920" s="168"/>
      <c r="K920" s="3"/>
      <c r="L920" s="168"/>
      <c r="M920" s="168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169"/>
      <c r="C921" s="3"/>
      <c r="D921" s="4"/>
      <c r="E921" s="3"/>
      <c r="F921" s="3"/>
      <c r="G921" s="3"/>
      <c r="H921" s="168"/>
      <c r="I921" s="169"/>
      <c r="J921" s="168"/>
      <c r="K921" s="3"/>
      <c r="L921" s="168"/>
      <c r="M921" s="168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169"/>
      <c r="C922" s="3"/>
      <c r="D922" s="4"/>
      <c r="E922" s="3"/>
      <c r="F922" s="3"/>
      <c r="G922" s="3"/>
      <c r="H922" s="168"/>
      <c r="I922" s="169"/>
      <c r="J922" s="168"/>
      <c r="K922" s="3"/>
      <c r="L922" s="168"/>
      <c r="M922" s="168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169"/>
      <c r="C923" s="3"/>
      <c r="D923" s="4"/>
      <c r="E923" s="3"/>
      <c r="F923" s="3"/>
      <c r="G923" s="3"/>
      <c r="H923" s="168"/>
      <c r="I923" s="169"/>
      <c r="J923" s="168"/>
      <c r="K923" s="3"/>
      <c r="L923" s="168"/>
      <c r="M923" s="168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169"/>
      <c r="C924" s="3"/>
      <c r="D924" s="4"/>
      <c r="E924" s="3"/>
      <c r="F924" s="3"/>
      <c r="G924" s="3"/>
      <c r="H924" s="168"/>
      <c r="I924" s="169"/>
      <c r="J924" s="168"/>
      <c r="K924" s="3"/>
      <c r="L924" s="168"/>
      <c r="M924" s="168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169"/>
      <c r="C925" s="3"/>
      <c r="D925" s="4"/>
      <c r="E925" s="3"/>
      <c r="F925" s="3"/>
      <c r="G925" s="3"/>
      <c r="H925" s="168"/>
      <c r="I925" s="169"/>
      <c r="J925" s="168"/>
      <c r="K925" s="3"/>
      <c r="L925" s="168"/>
      <c r="M925" s="168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169"/>
      <c r="C926" s="3"/>
      <c r="D926" s="4"/>
      <c r="E926" s="3"/>
      <c r="F926" s="3"/>
      <c r="G926" s="3"/>
      <c r="H926" s="168"/>
      <c r="I926" s="169"/>
      <c r="J926" s="168"/>
      <c r="K926" s="3"/>
      <c r="L926" s="168"/>
      <c r="M926" s="168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169"/>
      <c r="C927" s="3"/>
      <c r="D927" s="4"/>
      <c r="E927" s="3"/>
      <c r="F927" s="3"/>
      <c r="G927" s="3"/>
      <c r="H927" s="168"/>
      <c r="I927" s="169"/>
      <c r="J927" s="168"/>
      <c r="K927" s="3"/>
      <c r="L927" s="168"/>
      <c r="M927" s="168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169"/>
      <c r="C928" s="3"/>
      <c r="D928" s="4"/>
      <c r="E928" s="3"/>
      <c r="F928" s="3"/>
      <c r="G928" s="3"/>
      <c r="H928" s="168"/>
      <c r="I928" s="169"/>
      <c r="J928" s="168"/>
      <c r="K928" s="3"/>
      <c r="L928" s="168"/>
      <c r="M928" s="168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169"/>
      <c r="C929" s="3"/>
      <c r="D929" s="4"/>
      <c r="E929" s="3"/>
      <c r="F929" s="3"/>
      <c r="G929" s="3"/>
      <c r="H929" s="168"/>
      <c r="I929" s="169"/>
      <c r="J929" s="168"/>
      <c r="K929" s="3"/>
      <c r="L929" s="168"/>
      <c r="M929" s="168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169"/>
      <c r="C930" s="3"/>
      <c r="D930" s="4"/>
      <c r="E930" s="3"/>
      <c r="F930" s="3"/>
      <c r="G930" s="3"/>
      <c r="H930" s="168"/>
      <c r="I930" s="169"/>
      <c r="J930" s="168"/>
      <c r="K930" s="3"/>
      <c r="L930" s="168"/>
      <c r="M930" s="168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169"/>
      <c r="C931" s="3"/>
      <c r="D931" s="4"/>
      <c r="E931" s="3"/>
      <c r="F931" s="3"/>
      <c r="G931" s="3"/>
      <c r="H931" s="168"/>
      <c r="I931" s="169"/>
      <c r="J931" s="168"/>
      <c r="K931" s="3"/>
      <c r="L931" s="168"/>
      <c r="M931" s="168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169"/>
      <c r="C932" s="3"/>
      <c r="D932" s="4"/>
      <c r="E932" s="3"/>
      <c r="F932" s="3"/>
      <c r="G932" s="3"/>
      <c r="H932" s="168"/>
      <c r="I932" s="169"/>
      <c r="J932" s="168"/>
      <c r="K932" s="3"/>
      <c r="L932" s="168"/>
      <c r="M932" s="168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169"/>
      <c r="C933" s="3"/>
      <c r="D933" s="4"/>
      <c r="E933" s="3"/>
      <c r="F933" s="3"/>
      <c r="G933" s="3"/>
      <c r="H933" s="168"/>
      <c r="I933" s="169"/>
      <c r="J933" s="168"/>
      <c r="K933" s="3"/>
      <c r="L933" s="168"/>
      <c r="M933" s="168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169"/>
      <c r="C934" s="3"/>
      <c r="D934" s="4"/>
      <c r="E934" s="3"/>
      <c r="F934" s="3"/>
      <c r="G934" s="3"/>
      <c r="H934" s="168"/>
      <c r="I934" s="169"/>
      <c r="J934" s="168"/>
      <c r="K934" s="3"/>
      <c r="L934" s="168"/>
      <c r="M934" s="168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169"/>
      <c r="C935" s="3"/>
      <c r="D935" s="4"/>
      <c r="E935" s="3"/>
      <c r="F935" s="3"/>
      <c r="G935" s="3"/>
      <c r="H935" s="168"/>
      <c r="I935" s="169"/>
      <c r="J935" s="168"/>
      <c r="K935" s="3"/>
      <c r="L935" s="168"/>
      <c r="M935" s="168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169"/>
      <c r="C936" s="3"/>
      <c r="D936" s="4"/>
      <c r="E936" s="3"/>
      <c r="F936" s="3"/>
      <c r="G936" s="3"/>
      <c r="H936" s="168"/>
      <c r="I936" s="169"/>
      <c r="J936" s="168"/>
      <c r="K936" s="3"/>
      <c r="L936" s="168"/>
      <c r="M936" s="168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169"/>
      <c r="C937" s="3"/>
      <c r="D937" s="4"/>
      <c r="E937" s="3"/>
      <c r="F937" s="3"/>
      <c r="G937" s="3"/>
      <c r="H937" s="168"/>
      <c r="I937" s="169"/>
      <c r="J937" s="168"/>
      <c r="K937" s="3"/>
      <c r="L937" s="168"/>
      <c r="M937" s="168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169"/>
      <c r="C938" s="3"/>
      <c r="D938" s="4"/>
      <c r="E938" s="3"/>
      <c r="F938" s="3"/>
      <c r="G938" s="3"/>
      <c r="H938" s="168"/>
      <c r="I938" s="169"/>
      <c r="J938" s="168"/>
      <c r="K938" s="3"/>
      <c r="L938" s="168"/>
      <c r="M938" s="168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169"/>
      <c r="C939" s="3"/>
      <c r="D939" s="4"/>
      <c r="E939" s="3"/>
      <c r="F939" s="3"/>
      <c r="G939" s="3"/>
      <c r="H939" s="168"/>
      <c r="I939" s="169"/>
      <c r="J939" s="168"/>
      <c r="K939" s="3"/>
      <c r="L939" s="168"/>
      <c r="M939" s="168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169"/>
      <c r="C940" s="3"/>
      <c r="D940" s="4"/>
      <c r="E940" s="3"/>
      <c r="F940" s="3"/>
      <c r="G940" s="3"/>
      <c r="H940" s="168"/>
      <c r="I940" s="169"/>
      <c r="J940" s="168"/>
      <c r="K940" s="3"/>
      <c r="L940" s="168"/>
      <c r="M940" s="168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169"/>
      <c r="C941" s="3"/>
      <c r="D941" s="4"/>
      <c r="E941" s="3"/>
      <c r="F941" s="3"/>
      <c r="G941" s="3"/>
      <c r="H941" s="168"/>
      <c r="I941" s="169"/>
      <c r="J941" s="168"/>
      <c r="K941" s="3"/>
      <c r="L941" s="168"/>
      <c r="M941" s="168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169"/>
      <c r="C942" s="3"/>
      <c r="D942" s="4"/>
      <c r="E942" s="3"/>
      <c r="F942" s="3"/>
      <c r="G942" s="3"/>
      <c r="H942" s="168"/>
      <c r="I942" s="169"/>
      <c r="J942" s="168"/>
      <c r="K942" s="3"/>
      <c r="L942" s="168"/>
      <c r="M942" s="168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169"/>
      <c r="C943" s="3"/>
      <c r="D943" s="4"/>
      <c r="E943" s="3"/>
      <c r="F943" s="3"/>
      <c r="G943" s="3"/>
      <c r="H943" s="168"/>
      <c r="I943" s="169"/>
      <c r="J943" s="168"/>
      <c r="K943" s="3"/>
      <c r="L943" s="168"/>
      <c r="M943" s="168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169"/>
      <c r="C944" s="3"/>
      <c r="D944" s="4"/>
      <c r="E944" s="3"/>
      <c r="F944" s="3"/>
      <c r="G944" s="3"/>
      <c r="H944" s="168"/>
      <c r="I944" s="169"/>
      <c r="J944" s="168"/>
      <c r="K944" s="3"/>
      <c r="L944" s="168"/>
      <c r="M944" s="168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169"/>
      <c r="C945" s="3"/>
      <c r="D945" s="4"/>
      <c r="E945" s="3"/>
      <c r="F945" s="3"/>
      <c r="G945" s="3"/>
      <c r="H945" s="168"/>
      <c r="I945" s="169"/>
      <c r="J945" s="168"/>
      <c r="K945" s="3"/>
      <c r="L945" s="168"/>
      <c r="M945" s="168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169"/>
      <c r="C946" s="3"/>
      <c r="D946" s="4"/>
      <c r="E946" s="3"/>
      <c r="F946" s="3"/>
      <c r="G946" s="3"/>
      <c r="H946" s="168"/>
      <c r="I946" s="169"/>
      <c r="J946" s="168"/>
      <c r="K946" s="3"/>
      <c r="L946" s="168"/>
      <c r="M946" s="168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169"/>
      <c r="C947" s="3"/>
      <c r="D947" s="4"/>
      <c r="E947" s="3"/>
      <c r="F947" s="3"/>
      <c r="G947" s="3"/>
      <c r="H947" s="168"/>
      <c r="I947" s="169"/>
      <c r="J947" s="168"/>
      <c r="K947" s="3"/>
      <c r="L947" s="168"/>
      <c r="M947" s="168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169"/>
      <c r="C948" s="3"/>
      <c r="D948" s="4"/>
      <c r="E948" s="3"/>
      <c r="F948" s="3"/>
      <c r="G948" s="3"/>
      <c r="H948" s="168"/>
      <c r="I948" s="169"/>
      <c r="J948" s="168"/>
      <c r="K948" s="3"/>
      <c r="L948" s="168"/>
      <c r="M948" s="168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169"/>
      <c r="C949" s="3"/>
      <c r="D949" s="4"/>
      <c r="E949" s="3"/>
      <c r="F949" s="3"/>
      <c r="G949" s="3"/>
      <c r="H949" s="168"/>
      <c r="I949" s="169"/>
      <c r="J949" s="168"/>
      <c r="K949" s="3"/>
      <c r="L949" s="168"/>
      <c r="M949" s="168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169"/>
      <c r="C950" s="3"/>
      <c r="D950" s="4"/>
      <c r="E950" s="3"/>
      <c r="F950" s="3"/>
      <c r="G950" s="3"/>
      <c r="H950" s="168"/>
      <c r="I950" s="169"/>
      <c r="J950" s="168"/>
      <c r="K950" s="3"/>
      <c r="L950" s="168"/>
      <c r="M950" s="168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169"/>
      <c r="C951" s="3"/>
      <c r="D951" s="4"/>
      <c r="E951" s="3"/>
      <c r="F951" s="3"/>
      <c r="G951" s="3"/>
      <c r="H951" s="168"/>
      <c r="I951" s="169"/>
      <c r="J951" s="168"/>
      <c r="K951" s="3"/>
      <c r="L951" s="168"/>
      <c r="M951" s="168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169"/>
      <c r="C952" s="3"/>
      <c r="D952" s="4"/>
      <c r="E952" s="3"/>
      <c r="F952" s="3"/>
      <c r="G952" s="3"/>
      <c r="H952" s="168"/>
      <c r="I952" s="169"/>
      <c r="J952" s="168"/>
      <c r="K952" s="3"/>
      <c r="L952" s="168"/>
      <c r="M952" s="168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169"/>
      <c r="C953" s="3"/>
      <c r="D953" s="4"/>
      <c r="E953" s="3"/>
      <c r="F953" s="3"/>
      <c r="G953" s="3"/>
      <c r="H953" s="168"/>
      <c r="I953" s="169"/>
      <c r="J953" s="168"/>
      <c r="K953" s="3"/>
      <c r="L953" s="168"/>
      <c r="M953" s="168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169"/>
      <c r="C954" s="3"/>
      <c r="D954" s="4"/>
      <c r="E954" s="3"/>
      <c r="F954" s="3"/>
      <c r="G954" s="3"/>
      <c r="H954" s="168"/>
      <c r="I954" s="169"/>
      <c r="J954" s="168"/>
      <c r="K954" s="3"/>
      <c r="L954" s="168"/>
      <c r="M954" s="168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169"/>
      <c r="C955" s="3"/>
      <c r="D955" s="4"/>
      <c r="E955" s="3"/>
      <c r="F955" s="3"/>
      <c r="G955" s="3"/>
      <c r="H955" s="168"/>
      <c r="I955" s="169"/>
      <c r="J955" s="168"/>
      <c r="K955" s="3"/>
      <c r="L955" s="168"/>
      <c r="M955" s="168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169"/>
      <c r="C956" s="3"/>
      <c r="D956" s="4"/>
      <c r="E956" s="3"/>
      <c r="F956" s="3"/>
      <c r="G956" s="3"/>
      <c r="H956" s="168"/>
      <c r="I956" s="169"/>
      <c r="J956" s="168"/>
      <c r="K956" s="3"/>
      <c r="L956" s="168"/>
      <c r="M956" s="168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169"/>
      <c r="C957" s="3"/>
      <c r="D957" s="4"/>
      <c r="E957" s="3"/>
      <c r="F957" s="3"/>
      <c r="G957" s="3"/>
      <c r="H957" s="168"/>
      <c r="I957" s="169"/>
      <c r="J957" s="168"/>
      <c r="K957" s="3"/>
      <c r="L957" s="168"/>
      <c r="M957" s="168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169"/>
      <c r="C958" s="3"/>
      <c r="D958" s="4"/>
      <c r="E958" s="3"/>
      <c r="F958" s="3"/>
      <c r="G958" s="3"/>
      <c r="H958" s="168"/>
      <c r="I958" s="169"/>
      <c r="J958" s="168"/>
      <c r="K958" s="3"/>
      <c r="L958" s="168"/>
      <c r="M958" s="168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169"/>
      <c r="C959" s="3"/>
      <c r="D959" s="4"/>
      <c r="E959" s="3"/>
      <c r="F959" s="3"/>
      <c r="G959" s="3"/>
      <c r="H959" s="168"/>
      <c r="I959" s="169"/>
      <c r="J959" s="168"/>
      <c r="K959" s="3"/>
      <c r="L959" s="168"/>
      <c r="M959" s="168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169"/>
      <c r="C960" s="3"/>
      <c r="D960" s="4"/>
      <c r="E960" s="3"/>
      <c r="F960" s="3"/>
      <c r="G960" s="3"/>
      <c r="H960" s="168"/>
      <c r="I960" s="169"/>
      <c r="J960" s="168"/>
      <c r="K960" s="3"/>
      <c r="L960" s="168"/>
      <c r="M960" s="168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169"/>
      <c r="C961" s="3"/>
      <c r="D961" s="4"/>
      <c r="E961" s="3"/>
      <c r="F961" s="3"/>
      <c r="G961" s="3"/>
      <c r="H961" s="168"/>
      <c r="I961" s="169"/>
      <c r="J961" s="168"/>
      <c r="K961" s="3"/>
      <c r="L961" s="168"/>
      <c r="M961" s="168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169"/>
      <c r="C962" s="3"/>
      <c r="D962" s="4"/>
      <c r="E962" s="3"/>
      <c r="F962" s="3"/>
      <c r="G962" s="3"/>
      <c r="H962" s="168"/>
      <c r="I962" s="169"/>
      <c r="J962" s="168"/>
      <c r="K962" s="3"/>
      <c r="L962" s="168"/>
      <c r="M962" s="168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169"/>
      <c r="C963" s="3"/>
      <c r="D963" s="4"/>
      <c r="E963" s="3"/>
      <c r="F963" s="3"/>
      <c r="G963" s="3"/>
      <c r="H963" s="168"/>
      <c r="I963" s="169"/>
      <c r="J963" s="168"/>
      <c r="K963" s="3"/>
      <c r="L963" s="168"/>
      <c r="M963" s="168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169"/>
      <c r="C964" s="3"/>
      <c r="D964" s="4"/>
      <c r="E964" s="3"/>
      <c r="F964" s="3"/>
      <c r="G964" s="3"/>
      <c r="H964" s="168"/>
      <c r="I964" s="169"/>
      <c r="J964" s="168"/>
      <c r="K964" s="3"/>
      <c r="L964" s="168"/>
      <c r="M964" s="168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169"/>
      <c r="C965" s="3"/>
      <c r="D965" s="4"/>
      <c r="E965" s="3"/>
      <c r="F965" s="3"/>
      <c r="G965" s="3"/>
      <c r="H965" s="168"/>
      <c r="I965" s="169"/>
      <c r="J965" s="168"/>
      <c r="K965" s="3"/>
      <c r="L965" s="168"/>
      <c r="M965" s="168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169"/>
      <c r="C966" s="3"/>
      <c r="D966" s="4"/>
      <c r="E966" s="3"/>
      <c r="F966" s="3"/>
      <c r="G966" s="3"/>
      <c r="H966" s="168"/>
      <c r="I966" s="169"/>
      <c r="J966" s="168"/>
      <c r="K966" s="3"/>
      <c r="L966" s="168"/>
      <c r="M966" s="168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169"/>
      <c r="C967" s="3"/>
      <c r="D967" s="4"/>
      <c r="E967" s="3"/>
      <c r="F967" s="3"/>
      <c r="G967" s="3"/>
      <c r="H967" s="168"/>
      <c r="I967" s="169"/>
      <c r="J967" s="168"/>
      <c r="K967" s="3"/>
      <c r="L967" s="168"/>
      <c r="M967" s="168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169"/>
      <c r="C968" s="3"/>
      <c r="D968" s="4"/>
      <c r="E968" s="3"/>
      <c r="F968" s="3"/>
      <c r="G968" s="3"/>
      <c r="H968" s="168"/>
      <c r="I968" s="169"/>
      <c r="J968" s="168"/>
      <c r="K968" s="3"/>
      <c r="L968" s="168"/>
      <c r="M968" s="168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169"/>
      <c r="C969" s="3"/>
      <c r="D969" s="4"/>
      <c r="E969" s="3"/>
      <c r="F969" s="3"/>
      <c r="G969" s="3"/>
      <c r="H969" s="168"/>
      <c r="I969" s="169"/>
      <c r="J969" s="168"/>
      <c r="K969" s="3"/>
      <c r="L969" s="168"/>
      <c r="M969" s="168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169"/>
      <c r="C970" s="3"/>
      <c r="D970" s="4"/>
      <c r="E970" s="3"/>
      <c r="F970" s="3"/>
      <c r="G970" s="3"/>
      <c r="H970" s="168"/>
      <c r="I970" s="169"/>
      <c r="J970" s="168"/>
      <c r="K970" s="3"/>
      <c r="L970" s="168"/>
      <c r="M970" s="168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169"/>
      <c r="C971" s="3"/>
      <c r="D971" s="4"/>
      <c r="E971" s="3"/>
      <c r="F971" s="3"/>
      <c r="G971" s="3"/>
      <c r="H971" s="168"/>
      <c r="I971" s="169"/>
      <c r="J971" s="168"/>
      <c r="K971" s="3"/>
      <c r="L971" s="168"/>
      <c r="M971" s="168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169"/>
      <c r="C972" s="3"/>
      <c r="D972" s="4"/>
      <c r="E972" s="3"/>
      <c r="F972" s="3"/>
      <c r="G972" s="3"/>
      <c r="H972" s="168"/>
      <c r="I972" s="169"/>
      <c r="J972" s="168"/>
      <c r="K972" s="3"/>
      <c r="L972" s="168"/>
      <c r="M972" s="168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169"/>
      <c r="C973" s="3"/>
      <c r="D973" s="4"/>
      <c r="E973" s="3"/>
      <c r="F973" s="3"/>
      <c r="G973" s="3"/>
      <c r="H973" s="168"/>
      <c r="I973" s="169"/>
      <c r="J973" s="168"/>
      <c r="K973" s="3"/>
      <c r="L973" s="168"/>
      <c r="M973" s="168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169"/>
      <c r="C974" s="3"/>
      <c r="D974" s="4"/>
      <c r="E974" s="3"/>
      <c r="F974" s="3"/>
      <c r="G974" s="3"/>
      <c r="H974" s="168"/>
      <c r="I974" s="169"/>
      <c r="J974" s="168"/>
      <c r="K974" s="3"/>
      <c r="L974" s="168"/>
      <c r="M974" s="168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169"/>
      <c r="C975" s="3"/>
      <c r="D975" s="4"/>
      <c r="E975" s="3"/>
      <c r="F975" s="3"/>
      <c r="G975" s="3"/>
      <c r="H975" s="168"/>
      <c r="I975" s="169"/>
      <c r="J975" s="168"/>
      <c r="K975" s="3"/>
      <c r="L975" s="168"/>
      <c r="M975" s="168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169"/>
      <c r="C976" s="3"/>
      <c r="D976" s="4"/>
      <c r="E976" s="3"/>
      <c r="F976" s="3"/>
      <c r="G976" s="3"/>
      <c r="H976" s="168"/>
      <c r="I976" s="169"/>
      <c r="J976" s="168"/>
      <c r="K976" s="3"/>
      <c r="L976" s="168"/>
      <c r="M976" s="168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169"/>
      <c r="C977" s="3"/>
      <c r="D977" s="4"/>
      <c r="E977" s="3"/>
      <c r="F977" s="3"/>
      <c r="G977" s="3"/>
      <c r="H977" s="168"/>
      <c r="I977" s="169"/>
      <c r="J977" s="168"/>
      <c r="K977" s="3"/>
      <c r="L977" s="168"/>
      <c r="M977" s="168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169"/>
      <c r="C978" s="3"/>
      <c r="D978" s="4"/>
      <c r="E978" s="3"/>
      <c r="F978" s="3"/>
      <c r="G978" s="3"/>
      <c r="H978" s="168"/>
      <c r="I978" s="169"/>
      <c r="J978" s="168"/>
      <c r="K978" s="3"/>
      <c r="L978" s="168"/>
      <c r="M978" s="168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169"/>
      <c r="C979" s="3"/>
      <c r="D979" s="4"/>
      <c r="E979" s="3"/>
      <c r="F979" s="3"/>
      <c r="G979" s="3"/>
      <c r="H979" s="168"/>
      <c r="I979" s="169"/>
      <c r="J979" s="168"/>
      <c r="K979" s="3"/>
      <c r="L979" s="168"/>
      <c r="M979" s="168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169"/>
      <c r="C980" s="3"/>
      <c r="D980" s="4"/>
      <c r="E980" s="3"/>
      <c r="F980" s="3"/>
      <c r="G980" s="3"/>
      <c r="H980" s="168"/>
      <c r="I980" s="169"/>
      <c r="J980" s="168"/>
      <c r="K980" s="3"/>
      <c r="L980" s="168"/>
      <c r="M980" s="168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169"/>
      <c r="C981" s="3"/>
      <c r="D981" s="4"/>
      <c r="E981" s="3"/>
      <c r="F981" s="3"/>
      <c r="G981" s="3"/>
      <c r="H981" s="168"/>
      <c r="I981" s="169"/>
      <c r="J981" s="168"/>
      <c r="K981" s="3"/>
      <c r="L981" s="168"/>
      <c r="M981" s="168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169"/>
      <c r="C982" s="3"/>
      <c r="D982" s="4"/>
      <c r="E982" s="3"/>
      <c r="F982" s="3"/>
      <c r="G982" s="3"/>
      <c r="H982" s="168"/>
      <c r="I982" s="169"/>
      <c r="J982" s="168"/>
      <c r="K982" s="3"/>
      <c r="L982" s="168"/>
      <c r="M982" s="168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169"/>
      <c r="C983" s="3"/>
      <c r="D983" s="4"/>
      <c r="E983" s="3"/>
      <c r="F983" s="3"/>
      <c r="G983" s="3"/>
      <c r="H983" s="168"/>
      <c r="I983" s="169"/>
      <c r="J983" s="168"/>
      <c r="K983" s="3"/>
      <c r="L983" s="168"/>
      <c r="M983" s="168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169"/>
      <c r="C984" s="3"/>
      <c r="D984" s="4"/>
      <c r="E984" s="3"/>
      <c r="F984" s="3"/>
      <c r="G984" s="3"/>
      <c r="H984" s="168"/>
      <c r="I984" s="169"/>
      <c r="J984" s="168"/>
      <c r="K984" s="3"/>
      <c r="L984" s="168"/>
      <c r="M984" s="168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169"/>
      <c r="C985" s="3"/>
      <c r="D985" s="4"/>
      <c r="E985" s="3"/>
      <c r="F985" s="3"/>
      <c r="G985" s="3"/>
      <c r="H985" s="168"/>
      <c r="I985" s="169"/>
      <c r="J985" s="168"/>
      <c r="K985" s="3"/>
      <c r="L985" s="168"/>
      <c r="M985" s="168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169"/>
      <c r="C986" s="3"/>
      <c r="D986" s="4"/>
      <c r="E986" s="3"/>
      <c r="F986" s="3"/>
      <c r="G986" s="3"/>
      <c r="H986" s="168"/>
      <c r="I986" s="169"/>
      <c r="J986" s="168"/>
      <c r="K986" s="3"/>
      <c r="L986" s="168"/>
      <c r="M986" s="168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169"/>
      <c r="C987" s="3"/>
      <c r="D987" s="4"/>
      <c r="E987" s="3"/>
      <c r="F987" s="3"/>
      <c r="G987" s="3"/>
      <c r="H987" s="168"/>
      <c r="I987" s="169"/>
      <c r="J987" s="168"/>
      <c r="K987" s="3"/>
      <c r="L987" s="168"/>
      <c r="M987" s="168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169"/>
      <c r="C988" s="3"/>
      <c r="D988" s="4"/>
      <c r="E988" s="3"/>
      <c r="F988" s="3"/>
      <c r="G988" s="3"/>
      <c r="H988" s="168"/>
      <c r="I988" s="169"/>
      <c r="J988" s="168"/>
      <c r="K988" s="3"/>
      <c r="L988" s="168"/>
      <c r="M988" s="168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169"/>
      <c r="C989" s="3"/>
      <c r="D989" s="4"/>
      <c r="E989" s="3"/>
      <c r="F989" s="3"/>
      <c r="G989" s="3"/>
      <c r="H989" s="168"/>
      <c r="I989" s="169"/>
      <c r="J989" s="168"/>
      <c r="K989" s="3"/>
      <c r="L989" s="168"/>
      <c r="M989" s="168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169"/>
      <c r="C990" s="3"/>
      <c r="D990" s="4"/>
      <c r="E990" s="3"/>
      <c r="F990" s="3"/>
      <c r="G990" s="3"/>
      <c r="H990" s="168"/>
      <c r="I990" s="169"/>
      <c r="J990" s="168"/>
      <c r="K990" s="3"/>
      <c r="L990" s="168"/>
      <c r="M990" s="168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169"/>
      <c r="C991" s="3"/>
      <c r="D991" s="4"/>
      <c r="E991" s="3"/>
      <c r="F991" s="3"/>
      <c r="G991" s="3"/>
      <c r="H991" s="168"/>
      <c r="I991" s="169"/>
      <c r="J991" s="168"/>
      <c r="K991" s="3"/>
      <c r="L991" s="168"/>
      <c r="M991" s="168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169"/>
      <c r="C992" s="3"/>
      <c r="D992" s="4"/>
      <c r="E992" s="3"/>
      <c r="F992" s="3"/>
      <c r="G992" s="3"/>
      <c r="H992" s="168"/>
      <c r="I992" s="169"/>
      <c r="J992" s="168"/>
      <c r="K992" s="3"/>
      <c r="L992" s="168"/>
      <c r="M992" s="168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169"/>
      <c r="C993" s="3"/>
      <c r="D993" s="4"/>
      <c r="E993" s="3"/>
      <c r="F993" s="3"/>
      <c r="G993" s="3"/>
      <c r="H993" s="168"/>
      <c r="I993" s="169"/>
      <c r="J993" s="168"/>
      <c r="K993" s="3"/>
      <c r="L993" s="168"/>
      <c r="M993" s="168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169"/>
      <c r="C994" s="3"/>
      <c r="D994" s="4"/>
      <c r="E994" s="3"/>
      <c r="F994" s="3"/>
      <c r="G994" s="3"/>
      <c r="H994" s="168"/>
      <c r="I994" s="169"/>
      <c r="J994" s="168"/>
      <c r="K994" s="3"/>
      <c r="L994" s="168"/>
      <c r="M994" s="168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169"/>
      <c r="C995" s="3"/>
      <c r="D995" s="4"/>
      <c r="E995" s="3"/>
      <c r="F995" s="3"/>
      <c r="G995" s="3"/>
      <c r="H995" s="168"/>
      <c r="I995" s="169"/>
      <c r="J995" s="168"/>
      <c r="K995" s="3"/>
      <c r="L995" s="168"/>
      <c r="M995" s="168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169"/>
      <c r="C996" s="3"/>
      <c r="D996" s="4"/>
      <c r="E996" s="3"/>
      <c r="F996" s="3"/>
      <c r="G996" s="3"/>
      <c r="H996" s="168"/>
      <c r="I996" s="169"/>
      <c r="J996" s="168"/>
      <c r="K996" s="3"/>
      <c r="L996" s="168"/>
      <c r="M996" s="168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169"/>
      <c r="C997" s="3"/>
      <c r="D997" s="4"/>
      <c r="E997" s="3"/>
      <c r="F997" s="3"/>
      <c r="G997" s="3"/>
      <c r="H997" s="168"/>
      <c r="I997" s="169"/>
      <c r="J997" s="168"/>
      <c r="K997" s="3"/>
      <c r="L997" s="168"/>
      <c r="M997" s="168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169"/>
      <c r="C998" s="3"/>
      <c r="D998" s="4"/>
      <c r="E998" s="3"/>
      <c r="F998" s="3"/>
      <c r="G998" s="3"/>
      <c r="H998" s="168"/>
      <c r="I998" s="169"/>
      <c r="J998" s="168"/>
      <c r="K998" s="3"/>
      <c r="L998" s="168"/>
      <c r="M998" s="168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169"/>
      <c r="C999" s="3"/>
      <c r="D999" s="4"/>
      <c r="E999" s="3"/>
      <c r="F999" s="3"/>
      <c r="G999" s="3"/>
      <c r="H999" s="168"/>
      <c r="I999" s="169"/>
      <c r="J999" s="168"/>
      <c r="K999" s="3"/>
      <c r="L999" s="168"/>
      <c r="M999" s="168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169"/>
      <c r="C1000" s="3"/>
      <c r="D1000" s="4"/>
      <c r="E1000" s="3"/>
      <c r="F1000" s="3"/>
      <c r="G1000" s="3"/>
      <c r="H1000" s="168"/>
      <c r="I1000" s="169"/>
      <c r="J1000" s="168"/>
      <c r="K1000" s="3"/>
      <c r="L1000" s="168"/>
      <c r="M1000" s="168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B$3:$N$17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2022-02-24T13:15:34Z</dcterms:created>
  <dc:creator>Admin</dc:creator>
</cp:coreProperties>
</file>