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F:\BRE\THÔNG TIN ADMIN 27.5\10. BRE BCONS HOME\"/>
    </mc:Choice>
  </mc:AlternateContent>
  <xr:revisionPtr revIDLastSave="0" documentId="13_ncr:1_{28A5FCB0-A72F-4F07-8B57-8D5EB1BAFAB5}" xr6:coauthVersionLast="47" xr6:coauthVersionMax="47" xr10:uidLastSave="{00000000-0000-0000-0000-000000000000}"/>
  <bookViews>
    <workbookView showSheetTabs="0" xWindow="-50" yWindow="-50" windowWidth="19300" windowHeight="10180" xr2:uid="{00000000-000D-0000-FFFF-FFFF00000000}"/>
  </bookViews>
  <sheets>
    <sheet name="PMG" sheetId="13" r:id="rId1"/>
    <sheet name="PMG T03 SLK" sheetId="14" state="hidden" r:id="rId2"/>
  </sheets>
  <externalReferences>
    <externalReference r:id="rId3"/>
    <externalReference r:id="rId4"/>
  </externalReferences>
  <definedNames>
    <definedName name="_xlnm._FilterDatabase" localSheetId="0" hidden="1">PMG!$A$23:$N$26</definedName>
    <definedName name="_xlnm._FilterDatabase" localSheetId="1" hidden="1">'PMG T03 SLK'!$A$25:$M$258</definedName>
    <definedName name="_xlnm.Print_Area" localSheetId="0">PMG!$A$1:$L$36</definedName>
    <definedName name="_xlnm.Print_Area" localSheetId="1">'PMG T03 SLK'!$A$1:$M$272</definedName>
    <definedName name="_xlnm.Print_Titles" localSheetId="0">PMG!$23:$23</definedName>
    <definedName name="_xlnm.Print_Titles" localSheetId="1">'PMG T03 SLK'!$25:$25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5" i="13" l="1"/>
  <c r="M25" i="13"/>
  <c r="N25" i="13"/>
  <c r="A24" i="13" l="1"/>
  <c r="E24" i="13"/>
  <c r="J24" i="13" s="1"/>
  <c r="J25" i="13" l="1"/>
  <c r="E25" i="13"/>
  <c r="I24" i="13"/>
  <c r="K24" i="13" s="1"/>
  <c r="K25" i="13" l="1"/>
  <c r="O26" i="13" s="1"/>
  <c r="G24" i="13"/>
  <c r="I25" i="13"/>
  <c r="O24" i="13"/>
  <c r="P24" i="13" s="1"/>
  <c r="G25" i="13" l="1"/>
  <c r="H24" i="13"/>
  <c r="E27" i="13"/>
  <c r="O25" i="13"/>
  <c r="P25" i="13"/>
  <c r="J44" i="14"/>
  <c r="H25" i="13" l="1"/>
  <c r="J136" i="14"/>
  <c r="J91" i="14"/>
  <c r="K22" i="14"/>
  <c r="K21" i="14" s="1"/>
  <c r="L256" i="14"/>
  <c r="I256" i="14"/>
  <c r="K256" i="14" s="1"/>
  <c r="L255" i="14"/>
  <c r="I255" i="14"/>
  <c r="K255" i="14" s="1"/>
  <c r="L254" i="14"/>
  <c r="I254" i="14"/>
  <c r="G254" i="14" s="1"/>
  <c r="H254" i="14" s="1"/>
  <c r="L253" i="14"/>
  <c r="I253" i="14"/>
  <c r="K253" i="14" s="1"/>
  <c r="L252" i="14"/>
  <c r="I252" i="14"/>
  <c r="K252" i="14" s="1"/>
  <c r="L251" i="14"/>
  <c r="I251" i="14"/>
  <c r="K251" i="14" s="1"/>
  <c r="L250" i="14"/>
  <c r="I250" i="14"/>
  <c r="G250" i="14" s="1"/>
  <c r="H250" i="14" s="1"/>
  <c r="L249" i="14"/>
  <c r="I249" i="14"/>
  <c r="K249" i="14" s="1"/>
  <c r="L248" i="14"/>
  <c r="I248" i="14"/>
  <c r="K248" i="14" s="1"/>
  <c r="L247" i="14"/>
  <c r="I247" i="14"/>
  <c r="K247" i="14" s="1"/>
  <c r="L246" i="14"/>
  <c r="I246" i="14"/>
  <c r="G246" i="14" s="1"/>
  <c r="H246" i="14" s="1"/>
  <c r="L245" i="14"/>
  <c r="I245" i="14"/>
  <c r="K245" i="14" s="1"/>
  <c r="L244" i="14"/>
  <c r="I244" i="14"/>
  <c r="K244" i="14" s="1"/>
  <c r="L243" i="14"/>
  <c r="I243" i="14"/>
  <c r="K243" i="14" s="1"/>
  <c r="L242" i="14"/>
  <c r="I242" i="14"/>
  <c r="G242" i="14" s="1"/>
  <c r="H242" i="14" s="1"/>
  <c r="L241" i="14"/>
  <c r="I241" i="14"/>
  <c r="K241" i="14" s="1"/>
  <c r="L240" i="14"/>
  <c r="I240" i="14"/>
  <c r="K240" i="14" s="1"/>
  <c r="L239" i="14"/>
  <c r="I239" i="14"/>
  <c r="K239" i="14" s="1"/>
  <c r="L238" i="14"/>
  <c r="I238" i="14"/>
  <c r="G238" i="14" s="1"/>
  <c r="H238" i="14" s="1"/>
  <c r="L237" i="14"/>
  <c r="I237" i="14"/>
  <c r="K237" i="14" s="1"/>
  <c r="L236" i="14"/>
  <c r="I236" i="14"/>
  <c r="K236" i="14" s="1"/>
  <c r="L235" i="14"/>
  <c r="I235" i="14"/>
  <c r="K235" i="14" s="1"/>
  <c r="L234" i="14"/>
  <c r="I234" i="14"/>
  <c r="G234" i="14" s="1"/>
  <c r="H234" i="14" s="1"/>
  <c r="L233" i="14"/>
  <c r="I233" i="14"/>
  <c r="K233" i="14" s="1"/>
  <c r="L232" i="14"/>
  <c r="I232" i="14"/>
  <c r="K232" i="14" s="1"/>
  <c r="L231" i="14"/>
  <c r="I231" i="14"/>
  <c r="K231" i="14" s="1"/>
  <c r="L230" i="14"/>
  <c r="I230" i="14"/>
  <c r="G230" i="14" s="1"/>
  <c r="H230" i="14" s="1"/>
  <c r="L229" i="14"/>
  <c r="I229" i="14"/>
  <c r="K229" i="14" s="1"/>
  <c r="L228" i="14"/>
  <c r="I228" i="14"/>
  <c r="K228" i="14" s="1"/>
  <c r="L227" i="14"/>
  <c r="I227" i="14"/>
  <c r="K227" i="14" s="1"/>
  <c r="L226" i="14"/>
  <c r="I226" i="14"/>
  <c r="G226" i="14" s="1"/>
  <c r="H226" i="14" s="1"/>
  <c r="L225" i="14"/>
  <c r="I225" i="14"/>
  <c r="K225" i="14" s="1"/>
  <c r="L224" i="14"/>
  <c r="I224" i="14"/>
  <c r="K224" i="14" s="1"/>
  <c r="L223" i="14"/>
  <c r="I223" i="14"/>
  <c r="K223" i="14" s="1"/>
  <c r="L222" i="14"/>
  <c r="I222" i="14"/>
  <c r="K222" i="14" s="1"/>
  <c r="L221" i="14"/>
  <c r="I221" i="14"/>
  <c r="K221" i="14" s="1"/>
  <c r="L220" i="14"/>
  <c r="I220" i="14"/>
  <c r="K220" i="14" s="1"/>
  <c r="L219" i="14"/>
  <c r="I219" i="14"/>
  <c r="K219" i="14" s="1"/>
  <c r="L218" i="14"/>
  <c r="I218" i="14"/>
  <c r="G218" i="14" s="1"/>
  <c r="H218" i="14" s="1"/>
  <c r="L217" i="14"/>
  <c r="I217" i="14"/>
  <c r="K217" i="14" s="1"/>
  <c r="L216" i="14"/>
  <c r="I216" i="14"/>
  <c r="K216" i="14" s="1"/>
  <c r="L215" i="14"/>
  <c r="I215" i="14"/>
  <c r="K215" i="14" s="1"/>
  <c r="L214" i="14"/>
  <c r="I214" i="14"/>
  <c r="G214" i="14" s="1"/>
  <c r="H214" i="14" s="1"/>
  <c r="L213" i="14"/>
  <c r="I213" i="14"/>
  <c r="K213" i="14" s="1"/>
  <c r="L212" i="14"/>
  <c r="I212" i="14"/>
  <c r="K212" i="14" s="1"/>
  <c r="L211" i="14"/>
  <c r="I211" i="14"/>
  <c r="K211" i="14" s="1"/>
  <c r="L210" i="14"/>
  <c r="I210" i="14"/>
  <c r="G210" i="14" s="1"/>
  <c r="H210" i="14" s="1"/>
  <c r="L209" i="14"/>
  <c r="I209" i="14"/>
  <c r="K209" i="14" s="1"/>
  <c r="L208" i="14"/>
  <c r="I208" i="14"/>
  <c r="K208" i="14" s="1"/>
  <c r="L207" i="14"/>
  <c r="I207" i="14"/>
  <c r="K207" i="14" s="1"/>
  <c r="L206" i="14"/>
  <c r="I206" i="14"/>
  <c r="K206" i="14" s="1"/>
  <c r="L205" i="14"/>
  <c r="I205" i="14"/>
  <c r="K205" i="14" s="1"/>
  <c r="L204" i="14"/>
  <c r="I204" i="14"/>
  <c r="K204" i="14" s="1"/>
  <c r="L203" i="14"/>
  <c r="I203" i="14"/>
  <c r="K203" i="14" s="1"/>
  <c r="L202" i="14"/>
  <c r="I202" i="14"/>
  <c r="K202" i="14" s="1"/>
  <c r="L201" i="14"/>
  <c r="I201" i="14"/>
  <c r="K201" i="14" s="1"/>
  <c r="L200" i="14"/>
  <c r="I200" i="14"/>
  <c r="K200" i="14" s="1"/>
  <c r="L199" i="14"/>
  <c r="I199" i="14"/>
  <c r="K199" i="14" s="1"/>
  <c r="L198" i="14"/>
  <c r="I198" i="14"/>
  <c r="K198" i="14" s="1"/>
  <c r="L197" i="14"/>
  <c r="I197" i="14"/>
  <c r="K197" i="14" s="1"/>
  <c r="L196" i="14"/>
  <c r="I196" i="14"/>
  <c r="K196" i="14" s="1"/>
  <c r="L195" i="14"/>
  <c r="I195" i="14"/>
  <c r="K195" i="14" s="1"/>
  <c r="L194" i="14"/>
  <c r="I194" i="14"/>
  <c r="K194" i="14" s="1"/>
  <c r="L193" i="14"/>
  <c r="I193" i="14"/>
  <c r="K193" i="14" s="1"/>
  <c r="L192" i="14"/>
  <c r="I192" i="14"/>
  <c r="K192" i="14" s="1"/>
  <c r="L191" i="14"/>
  <c r="I191" i="14"/>
  <c r="K191" i="14" s="1"/>
  <c r="L190" i="14"/>
  <c r="I190" i="14"/>
  <c r="K190" i="14" s="1"/>
  <c r="L189" i="14"/>
  <c r="I189" i="14"/>
  <c r="K189" i="14" s="1"/>
  <c r="L188" i="14"/>
  <c r="I188" i="14"/>
  <c r="K188" i="14" s="1"/>
  <c r="L187" i="14"/>
  <c r="I187" i="14"/>
  <c r="K187" i="14" s="1"/>
  <c r="L186" i="14"/>
  <c r="I186" i="14"/>
  <c r="K186" i="14" s="1"/>
  <c r="L185" i="14"/>
  <c r="I185" i="14"/>
  <c r="K185" i="14" s="1"/>
  <c r="L184" i="14"/>
  <c r="I184" i="14"/>
  <c r="K184" i="14" s="1"/>
  <c r="L183" i="14"/>
  <c r="I183" i="14"/>
  <c r="K183" i="14" s="1"/>
  <c r="L182" i="14"/>
  <c r="I182" i="14"/>
  <c r="K182" i="14" s="1"/>
  <c r="L181" i="14"/>
  <c r="I181" i="14"/>
  <c r="K181" i="14" s="1"/>
  <c r="L180" i="14"/>
  <c r="I180" i="14"/>
  <c r="K180" i="14" s="1"/>
  <c r="L179" i="14"/>
  <c r="I179" i="14"/>
  <c r="K179" i="14" s="1"/>
  <c r="L178" i="14"/>
  <c r="I178" i="14"/>
  <c r="K178" i="14" s="1"/>
  <c r="L177" i="14"/>
  <c r="I177" i="14"/>
  <c r="K177" i="14" s="1"/>
  <c r="L176" i="14"/>
  <c r="I176" i="14"/>
  <c r="K176" i="14" s="1"/>
  <c r="L175" i="14"/>
  <c r="I175" i="14"/>
  <c r="K175" i="14" s="1"/>
  <c r="L174" i="14"/>
  <c r="I174" i="14"/>
  <c r="K174" i="14" s="1"/>
  <c r="L173" i="14"/>
  <c r="I173" i="14"/>
  <c r="K173" i="14" s="1"/>
  <c r="L172" i="14"/>
  <c r="I172" i="14"/>
  <c r="K172" i="14" s="1"/>
  <c r="G172" i="14"/>
  <c r="L171" i="14"/>
  <c r="I171" i="14"/>
  <c r="K171" i="14" s="1"/>
  <c r="L170" i="14"/>
  <c r="I170" i="14"/>
  <c r="K170" i="14" s="1"/>
  <c r="L169" i="14"/>
  <c r="I169" i="14"/>
  <c r="K169" i="14" s="1"/>
  <c r="L168" i="14"/>
  <c r="I168" i="14"/>
  <c r="K168" i="14" s="1"/>
  <c r="L167" i="14"/>
  <c r="I167" i="14"/>
  <c r="K167" i="14" s="1"/>
  <c r="L166" i="14"/>
  <c r="I166" i="14"/>
  <c r="K166" i="14" s="1"/>
  <c r="L165" i="14"/>
  <c r="I165" i="14"/>
  <c r="K165" i="14" s="1"/>
  <c r="L164" i="14"/>
  <c r="I164" i="14"/>
  <c r="K164" i="14" s="1"/>
  <c r="L163" i="14"/>
  <c r="I163" i="14"/>
  <c r="K163" i="14" s="1"/>
  <c r="L162" i="14"/>
  <c r="I162" i="14"/>
  <c r="K162" i="14" s="1"/>
  <c r="L161" i="14"/>
  <c r="I161" i="14"/>
  <c r="K161" i="14" s="1"/>
  <c r="L160" i="14"/>
  <c r="I160" i="14"/>
  <c r="K160" i="14" s="1"/>
  <c r="L159" i="14"/>
  <c r="I159" i="14"/>
  <c r="K159" i="14" s="1"/>
  <c r="L158" i="14"/>
  <c r="I158" i="14"/>
  <c r="G158" i="14" s="1"/>
  <c r="H158" i="14" s="1"/>
  <c r="L157" i="14"/>
  <c r="I157" i="14"/>
  <c r="K157" i="14" s="1"/>
  <c r="L156" i="14"/>
  <c r="I156" i="14"/>
  <c r="K156" i="14" s="1"/>
  <c r="L155" i="14"/>
  <c r="I155" i="14"/>
  <c r="K155" i="14" s="1"/>
  <c r="L154" i="14"/>
  <c r="I154" i="14"/>
  <c r="G154" i="14" s="1"/>
  <c r="H154" i="14" s="1"/>
  <c r="L153" i="14"/>
  <c r="I153" i="14"/>
  <c r="K153" i="14" s="1"/>
  <c r="L152" i="14"/>
  <c r="I152" i="14"/>
  <c r="K152" i="14" s="1"/>
  <c r="L151" i="14"/>
  <c r="I151" i="14"/>
  <c r="K151" i="14" s="1"/>
  <c r="L150" i="14"/>
  <c r="I150" i="14"/>
  <c r="K150" i="14" s="1"/>
  <c r="L149" i="14"/>
  <c r="I149" i="14"/>
  <c r="K149" i="14" s="1"/>
  <c r="L148" i="14"/>
  <c r="I148" i="14"/>
  <c r="G148" i="14" s="1"/>
  <c r="L147" i="14"/>
  <c r="I147" i="14"/>
  <c r="K147" i="14" s="1"/>
  <c r="L146" i="14"/>
  <c r="I146" i="14"/>
  <c r="K146" i="14" s="1"/>
  <c r="L145" i="14"/>
  <c r="I145" i="14"/>
  <c r="K145" i="14" s="1"/>
  <c r="L144" i="14"/>
  <c r="I144" i="14"/>
  <c r="G144" i="14" s="1"/>
  <c r="L143" i="14"/>
  <c r="I143" i="14"/>
  <c r="K143" i="14" s="1"/>
  <c r="L142" i="14"/>
  <c r="I142" i="14"/>
  <c r="K142" i="14" s="1"/>
  <c r="L141" i="14"/>
  <c r="I141" i="14"/>
  <c r="K141" i="14" s="1"/>
  <c r="L140" i="14"/>
  <c r="I140" i="14"/>
  <c r="G140" i="14" s="1"/>
  <c r="L139" i="14"/>
  <c r="I139" i="14"/>
  <c r="K139" i="14" s="1"/>
  <c r="L138" i="14"/>
  <c r="I138" i="14"/>
  <c r="K138" i="14" s="1"/>
  <c r="L137" i="14"/>
  <c r="I137" i="14"/>
  <c r="K137" i="14" s="1"/>
  <c r="L136" i="14"/>
  <c r="I136" i="14"/>
  <c r="G136" i="14" s="1"/>
  <c r="L135" i="14"/>
  <c r="I135" i="14"/>
  <c r="K135" i="14" s="1"/>
  <c r="L134" i="14"/>
  <c r="I134" i="14"/>
  <c r="K134" i="14" s="1"/>
  <c r="L133" i="14"/>
  <c r="I133" i="14"/>
  <c r="K133" i="14" s="1"/>
  <c r="L132" i="14"/>
  <c r="I132" i="14"/>
  <c r="G132" i="14" s="1"/>
  <c r="L131" i="14"/>
  <c r="I131" i="14"/>
  <c r="K131" i="14" s="1"/>
  <c r="L130" i="14"/>
  <c r="I130" i="14"/>
  <c r="K130" i="14" s="1"/>
  <c r="L129" i="14"/>
  <c r="I129" i="14"/>
  <c r="K129" i="14" s="1"/>
  <c r="L128" i="14"/>
  <c r="I128" i="14"/>
  <c r="G128" i="14" s="1"/>
  <c r="L127" i="14"/>
  <c r="I127" i="14"/>
  <c r="K127" i="14" s="1"/>
  <c r="L126" i="14"/>
  <c r="I126" i="14"/>
  <c r="K126" i="14" s="1"/>
  <c r="L125" i="14"/>
  <c r="I125" i="14"/>
  <c r="K125" i="14" s="1"/>
  <c r="L124" i="14"/>
  <c r="I124" i="14"/>
  <c r="G124" i="14" s="1"/>
  <c r="L123" i="14"/>
  <c r="I123" i="14"/>
  <c r="K123" i="14" s="1"/>
  <c r="L122" i="14"/>
  <c r="I122" i="14"/>
  <c r="K122" i="14" s="1"/>
  <c r="L121" i="14"/>
  <c r="I121" i="14"/>
  <c r="K121" i="14" s="1"/>
  <c r="L120" i="14"/>
  <c r="I120" i="14"/>
  <c r="G120" i="14" s="1"/>
  <c r="L119" i="14"/>
  <c r="I119" i="14"/>
  <c r="K119" i="14" s="1"/>
  <c r="L118" i="14"/>
  <c r="I118" i="14"/>
  <c r="K118" i="14" s="1"/>
  <c r="L117" i="14"/>
  <c r="I117" i="14"/>
  <c r="K117" i="14" s="1"/>
  <c r="L116" i="14"/>
  <c r="I116" i="14"/>
  <c r="G116" i="14" s="1"/>
  <c r="L115" i="14"/>
  <c r="I115" i="14"/>
  <c r="K115" i="14" s="1"/>
  <c r="L114" i="14"/>
  <c r="I114" i="14"/>
  <c r="K114" i="14" s="1"/>
  <c r="L113" i="14"/>
  <c r="I113" i="14"/>
  <c r="K113" i="14" s="1"/>
  <c r="L112" i="14"/>
  <c r="I112" i="14"/>
  <c r="G112" i="14" s="1"/>
  <c r="L111" i="14"/>
  <c r="I111" i="14"/>
  <c r="K111" i="14" s="1"/>
  <c r="L110" i="14"/>
  <c r="I110" i="14"/>
  <c r="K110" i="14" s="1"/>
  <c r="L109" i="14"/>
  <c r="I109" i="14"/>
  <c r="K109" i="14" s="1"/>
  <c r="L108" i="14"/>
  <c r="I108" i="14"/>
  <c r="G108" i="14" s="1"/>
  <c r="L107" i="14"/>
  <c r="I107" i="14"/>
  <c r="K107" i="14" s="1"/>
  <c r="L106" i="14"/>
  <c r="I106" i="14"/>
  <c r="K106" i="14" s="1"/>
  <c r="L105" i="14"/>
  <c r="I105" i="14"/>
  <c r="K105" i="14" s="1"/>
  <c r="L104" i="14"/>
  <c r="I104" i="14"/>
  <c r="G104" i="14" s="1"/>
  <c r="L103" i="14"/>
  <c r="I103" i="14"/>
  <c r="K103" i="14" s="1"/>
  <c r="L102" i="14"/>
  <c r="I102" i="14"/>
  <c r="K102" i="14" s="1"/>
  <c r="L101" i="14"/>
  <c r="I101" i="14"/>
  <c r="K101" i="14" s="1"/>
  <c r="L100" i="14"/>
  <c r="I100" i="14"/>
  <c r="G100" i="14" s="1"/>
  <c r="L99" i="14"/>
  <c r="I99" i="14"/>
  <c r="K99" i="14" s="1"/>
  <c r="L98" i="14"/>
  <c r="I98" i="14"/>
  <c r="K98" i="14" s="1"/>
  <c r="L97" i="14"/>
  <c r="I97" i="14"/>
  <c r="K97" i="14" s="1"/>
  <c r="L96" i="14"/>
  <c r="I96" i="14"/>
  <c r="G96" i="14" s="1"/>
  <c r="L95" i="14"/>
  <c r="I95" i="14"/>
  <c r="K95" i="14" s="1"/>
  <c r="L94" i="14"/>
  <c r="I94" i="14"/>
  <c r="K94" i="14" s="1"/>
  <c r="L93" i="14"/>
  <c r="I93" i="14"/>
  <c r="K93" i="14" s="1"/>
  <c r="L92" i="14"/>
  <c r="I92" i="14"/>
  <c r="G92" i="14" s="1"/>
  <c r="L91" i="14"/>
  <c r="I91" i="14"/>
  <c r="L90" i="14"/>
  <c r="I90" i="14"/>
  <c r="K90" i="14" s="1"/>
  <c r="L89" i="14"/>
  <c r="I89" i="14"/>
  <c r="K89" i="14" s="1"/>
  <c r="L88" i="14"/>
  <c r="I88" i="14"/>
  <c r="G88" i="14" s="1"/>
  <c r="L87" i="14"/>
  <c r="I87" i="14"/>
  <c r="K87" i="14" s="1"/>
  <c r="L86" i="14"/>
  <c r="I86" i="14"/>
  <c r="K86" i="14" s="1"/>
  <c r="L85" i="14"/>
  <c r="I85" i="14"/>
  <c r="K85" i="14" s="1"/>
  <c r="L84" i="14"/>
  <c r="I84" i="14"/>
  <c r="G84" i="14" s="1"/>
  <c r="L83" i="14"/>
  <c r="I83" i="14"/>
  <c r="K83" i="14" s="1"/>
  <c r="L82" i="14"/>
  <c r="I82" i="14"/>
  <c r="K82" i="14" s="1"/>
  <c r="L81" i="14"/>
  <c r="I81" i="14"/>
  <c r="K81" i="14" s="1"/>
  <c r="L80" i="14"/>
  <c r="I80" i="14"/>
  <c r="G80" i="14" s="1"/>
  <c r="L79" i="14"/>
  <c r="I79" i="14"/>
  <c r="K79" i="14" s="1"/>
  <c r="L78" i="14"/>
  <c r="I78" i="14"/>
  <c r="K78" i="14" s="1"/>
  <c r="L77" i="14"/>
  <c r="I77" i="14"/>
  <c r="K77" i="14" s="1"/>
  <c r="L76" i="14"/>
  <c r="I76" i="14"/>
  <c r="L75" i="14"/>
  <c r="I75" i="14"/>
  <c r="K75" i="14" s="1"/>
  <c r="L74" i="14"/>
  <c r="I74" i="14"/>
  <c r="K74" i="14" s="1"/>
  <c r="L73" i="14"/>
  <c r="I73" i="14"/>
  <c r="K73" i="14" s="1"/>
  <c r="L72" i="14"/>
  <c r="I72" i="14"/>
  <c r="G72" i="14" s="1"/>
  <c r="L71" i="14"/>
  <c r="I71" i="14"/>
  <c r="K71" i="14" s="1"/>
  <c r="L70" i="14"/>
  <c r="I70" i="14"/>
  <c r="K70" i="14" s="1"/>
  <c r="L69" i="14"/>
  <c r="I69" i="14"/>
  <c r="K69" i="14" s="1"/>
  <c r="L68" i="14"/>
  <c r="I68" i="14"/>
  <c r="G68" i="14" s="1"/>
  <c r="L67" i="14"/>
  <c r="I67" i="14"/>
  <c r="K67" i="14" s="1"/>
  <c r="L66" i="14"/>
  <c r="I66" i="14"/>
  <c r="K66" i="14" s="1"/>
  <c r="L65" i="14"/>
  <c r="I65" i="14"/>
  <c r="K65" i="14" s="1"/>
  <c r="L64" i="14"/>
  <c r="I64" i="14"/>
  <c r="G64" i="14" s="1"/>
  <c r="L63" i="14"/>
  <c r="I63" i="14"/>
  <c r="K63" i="14" s="1"/>
  <c r="L62" i="14"/>
  <c r="I62" i="14"/>
  <c r="K62" i="14" s="1"/>
  <c r="L61" i="14"/>
  <c r="I61" i="14"/>
  <c r="K61" i="14" s="1"/>
  <c r="L60" i="14"/>
  <c r="I60" i="14"/>
  <c r="G60" i="14" s="1"/>
  <c r="L59" i="14"/>
  <c r="I59" i="14"/>
  <c r="K59" i="14" s="1"/>
  <c r="L58" i="14"/>
  <c r="I58" i="14"/>
  <c r="K58" i="14" s="1"/>
  <c r="L57" i="14"/>
  <c r="I57" i="14"/>
  <c r="K57" i="14" s="1"/>
  <c r="L56" i="14"/>
  <c r="I56" i="14"/>
  <c r="L55" i="14"/>
  <c r="I55" i="14"/>
  <c r="K55" i="14" s="1"/>
  <c r="L54" i="14"/>
  <c r="I54" i="14"/>
  <c r="K54" i="14" s="1"/>
  <c r="L53" i="14"/>
  <c r="I53" i="14"/>
  <c r="K53" i="14" s="1"/>
  <c r="L52" i="14"/>
  <c r="I52" i="14"/>
  <c r="G52" i="14" s="1"/>
  <c r="L51" i="14"/>
  <c r="I51" i="14"/>
  <c r="K51" i="14" s="1"/>
  <c r="L50" i="14"/>
  <c r="I50" i="14"/>
  <c r="K50" i="14" s="1"/>
  <c r="L49" i="14"/>
  <c r="I49" i="14"/>
  <c r="K49" i="14" s="1"/>
  <c r="L48" i="14"/>
  <c r="I48" i="14"/>
  <c r="G48" i="14" s="1"/>
  <c r="L47" i="14"/>
  <c r="I47" i="14"/>
  <c r="K47" i="14" s="1"/>
  <c r="L46" i="14"/>
  <c r="I46" i="14"/>
  <c r="K46" i="14" s="1"/>
  <c r="L45" i="14"/>
  <c r="I45" i="14"/>
  <c r="K45" i="14" s="1"/>
  <c r="L44" i="14"/>
  <c r="I44" i="14"/>
  <c r="G44" i="14" s="1"/>
  <c r="L43" i="14"/>
  <c r="I43" i="14"/>
  <c r="K43" i="14" s="1"/>
  <c r="L42" i="14"/>
  <c r="I42" i="14"/>
  <c r="K42" i="14" s="1"/>
  <c r="L41" i="14"/>
  <c r="I41" i="14"/>
  <c r="K41" i="14" s="1"/>
  <c r="L40" i="14"/>
  <c r="I40" i="14"/>
  <c r="G40" i="14" s="1"/>
  <c r="L39" i="14"/>
  <c r="I39" i="14"/>
  <c r="K39" i="14" s="1"/>
  <c r="L38" i="14"/>
  <c r="I38" i="14"/>
  <c r="K38" i="14" s="1"/>
  <c r="L37" i="14"/>
  <c r="I37" i="14"/>
  <c r="K37" i="14" s="1"/>
  <c r="L36" i="14"/>
  <c r="I36" i="14"/>
  <c r="J35" i="14"/>
  <c r="E35" i="14"/>
  <c r="N35" i="14" s="1"/>
  <c r="L34" i="14"/>
  <c r="I34" i="14"/>
  <c r="L33" i="14"/>
  <c r="I33" i="14"/>
  <c r="G33" i="14" s="1"/>
  <c r="L32" i="14"/>
  <c r="I32" i="14"/>
  <c r="K32" i="14" s="1"/>
  <c r="L31" i="14"/>
  <c r="I31" i="14"/>
  <c r="K31" i="14" s="1"/>
  <c r="L30" i="14"/>
  <c r="I30" i="14"/>
  <c r="L29" i="14"/>
  <c r="I29" i="14"/>
  <c r="G29" i="14" s="1"/>
  <c r="L28" i="14"/>
  <c r="I28" i="14"/>
  <c r="K28" i="14" s="1"/>
  <c r="L27" i="14"/>
  <c r="I27" i="14"/>
  <c r="K27" i="14" s="1"/>
  <c r="J26" i="14"/>
  <c r="E26" i="14"/>
  <c r="G228" i="14" l="1"/>
  <c r="G243" i="14"/>
  <c r="H243" i="14" s="1"/>
  <c r="G231" i="14"/>
  <c r="H231" i="14" s="1"/>
  <c r="G194" i="14"/>
  <c r="H194" i="14" s="1"/>
  <c r="G200" i="14"/>
  <c r="H200" i="14" s="1"/>
  <c r="G143" i="14"/>
  <c r="H143" i="14" s="1"/>
  <c r="G212" i="14"/>
  <c r="H212" i="14" s="1"/>
  <c r="G51" i="14"/>
  <c r="H51" i="14" s="1"/>
  <c r="G156" i="14"/>
  <c r="H156" i="14" s="1"/>
  <c r="G204" i="14"/>
  <c r="H204" i="14" s="1"/>
  <c r="G188" i="14"/>
  <c r="G79" i="14"/>
  <c r="G184" i="14"/>
  <c r="H184" i="14" s="1"/>
  <c r="G236" i="14"/>
  <c r="H236" i="14" s="1"/>
  <c r="K158" i="14"/>
  <c r="G220" i="14"/>
  <c r="H220" i="14" s="1"/>
  <c r="G28" i="14"/>
  <c r="H28" i="14" s="1"/>
  <c r="G39" i="14"/>
  <c r="H39" i="14" s="1"/>
  <c r="G180" i="14"/>
  <c r="H180" i="14" s="1"/>
  <c r="G196" i="14"/>
  <c r="H196" i="14" s="1"/>
  <c r="G211" i="14"/>
  <c r="H211" i="14" s="1"/>
  <c r="G164" i="14"/>
  <c r="H164" i="14" s="1"/>
  <c r="G244" i="14"/>
  <c r="H244" i="14" s="1"/>
  <c r="G115" i="14"/>
  <c r="H115" i="14" s="1"/>
  <c r="G203" i="14"/>
  <c r="H203" i="14" s="1"/>
  <c r="G208" i="14"/>
  <c r="H208" i="14" s="1"/>
  <c r="G256" i="14"/>
  <c r="H256" i="14" s="1"/>
  <c r="G219" i="14"/>
  <c r="H219" i="14" s="1"/>
  <c r="G235" i="14"/>
  <c r="H235" i="14" s="1"/>
  <c r="G71" i="14"/>
  <c r="H71" i="14" s="1"/>
  <c r="G252" i="14"/>
  <c r="H252" i="14" s="1"/>
  <c r="G135" i="14"/>
  <c r="H135" i="14" s="1"/>
  <c r="G152" i="14"/>
  <c r="H152" i="14" s="1"/>
  <c r="G168" i="14"/>
  <c r="H168" i="14" s="1"/>
  <c r="K210" i="14"/>
  <c r="K91" i="14"/>
  <c r="G95" i="14"/>
  <c r="H95" i="14" s="1"/>
  <c r="G167" i="14"/>
  <c r="H167" i="14" s="1"/>
  <c r="G202" i="14"/>
  <c r="H202" i="14" s="1"/>
  <c r="G99" i="14"/>
  <c r="H99" i="14" s="1"/>
  <c r="G163" i="14"/>
  <c r="H163" i="14" s="1"/>
  <c r="G32" i="14"/>
  <c r="H32" i="14" s="1"/>
  <c r="G192" i="14"/>
  <c r="H192" i="14" s="1"/>
  <c r="K234" i="14"/>
  <c r="G67" i="14"/>
  <c r="H67" i="14" s="1"/>
  <c r="G75" i="14"/>
  <c r="H75" i="14" s="1"/>
  <c r="O35" i="14"/>
  <c r="K246" i="14"/>
  <c r="G59" i="14"/>
  <c r="H59" i="14" s="1"/>
  <c r="G206" i="14"/>
  <c r="H206" i="14" s="1"/>
  <c r="K250" i="14"/>
  <c r="G47" i="14"/>
  <c r="H47" i="14" s="1"/>
  <c r="G55" i="14"/>
  <c r="H55" i="14" s="1"/>
  <c r="G191" i="14"/>
  <c r="H191" i="14" s="1"/>
  <c r="G199" i="14"/>
  <c r="H199" i="14" s="1"/>
  <c r="G251" i="14"/>
  <c r="H251" i="14" s="1"/>
  <c r="G151" i="14"/>
  <c r="H151" i="14" s="1"/>
  <c r="K214" i="14"/>
  <c r="K230" i="14"/>
  <c r="K238" i="14"/>
  <c r="G127" i="14"/>
  <c r="H127" i="14" s="1"/>
  <c r="G176" i="14"/>
  <c r="H176" i="14" s="1"/>
  <c r="G216" i="14"/>
  <c r="H216" i="14" s="1"/>
  <c r="G224" i="14"/>
  <c r="H224" i="14" s="1"/>
  <c r="G239" i="14"/>
  <c r="H239" i="14" s="1"/>
  <c r="G160" i="14"/>
  <c r="H160" i="14" s="1"/>
  <c r="G232" i="14"/>
  <c r="H232" i="14" s="1"/>
  <c r="G240" i="14"/>
  <c r="H240" i="14" s="1"/>
  <c r="G247" i="14"/>
  <c r="H247" i="14" s="1"/>
  <c r="K254" i="14"/>
  <c r="K154" i="14"/>
  <c r="G255" i="14"/>
  <c r="H255" i="14" s="1"/>
  <c r="K242" i="14"/>
  <c r="G147" i="14"/>
  <c r="H147" i="14" s="1"/>
  <c r="K218" i="14"/>
  <c r="K226" i="14"/>
  <c r="G248" i="14"/>
  <c r="H248" i="14" s="1"/>
  <c r="G91" i="14"/>
  <c r="I35" i="14"/>
  <c r="N26" i="14"/>
  <c r="E257" i="14"/>
  <c r="G107" i="14"/>
  <c r="H107" i="14" s="1"/>
  <c r="J257" i="14"/>
  <c r="J24" i="14" s="1"/>
  <c r="K92" i="14"/>
  <c r="H92" i="14"/>
  <c r="K128" i="14"/>
  <c r="H128" i="14"/>
  <c r="G171" i="14"/>
  <c r="H171" i="14" s="1"/>
  <c r="K56" i="14"/>
  <c r="K44" i="14"/>
  <c r="H44" i="14"/>
  <c r="K84" i="14"/>
  <c r="H84" i="14"/>
  <c r="G27" i="14"/>
  <c r="H27" i="14" s="1"/>
  <c r="I26" i="14"/>
  <c r="K33" i="14"/>
  <c r="H33" i="14"/>
  <c r="K52" i="14"/>
  <c r="H52" i="14"/>
  <c r="K72" i="14"/>
  <c r="H72" i="14"/>
  <c r="H79" i="14"/>
  <c r="K100" i="14"/>
  <c r="H100" i="14"/>
  <c r="K136" i="14"/>
  <c r="H136" i="14"/>
  <c r="G179" i="14"/>
  <c r="H179" i="14" s="1"/>
  <c r="G207" i="14"/>
  <c r="H207" i="14" s="1"/>
  <c r="G227" i="14"/>
  <c r="H227" i="14" s="1"/>
  <c r="K64" i="14"/>
  <c r="H64" i="14"/>
  <c r="G123" i="14"/>
  <c r="H123" i="14" s="1"/>
  <c r="K76" i="14"/>
  <c r="K148" i="14"/>
  <c r="H148" i="14"/>
  <c r="K34" i="14"/>
  <c r="G34" i="14"/>
  <c r="H34" i="14" s="1"/>
  <c r="G87" i="14"/>
  <c r="H87" i="14" s="1"/>
  <c r="K108" i="14"/>
  <c r="H108" i="14"/>
  <c r="K144" i="14"/>
  <c r="H144" i="14"/>
  <c r="G187" i="14"/>
  <c r="H187" i="14" s="1"/>
  <c r="K40" i="14"/>
  <c r="H40" i="14"/>
  <c r="K60" i="14"/>
  <c r="H60" i="14"/>
  <c r="K80" i="14"/>
  <c r="H80" i="14"/>
  <c r="K116" i="14"/>
  <c r="H116" i="14"/>
  <c r="G131" i="14"/>
  <c r="H131" i="14" s="1"/>
  <c r="G159" i="14"/>
  <c r="H159" i="14" s="1"/>
  <c r="G195" i="14"/>
  <c r="H195" i="14" s="1"/>
  <c r="G215" i="14"/>
  <c r="H215" i="14" s="1"/>
  <c r="G103" i="14"/>
  <c r="H103" i="14" s="1"/>
  <c r="K124" i="14"/>
  <c r="H124" i="14"/>
  <c r="G139" i="14"/>
  <c r="H139" i="14" s="1"/>
  <c r="K88" i="14"/>
  <c r="H88" i="14"/>
  <c r="K48" i="14"/>
  <c r="H48" i="14"/>
  <c r="G111" i="14"/>
  <c r="H111" i="14" s="1"/>
  <c r="G223" i="14"/>
  <c r="H223" i="14" s="1"/>
  <c r="K29" i="14"/>
  <c r="H29" i="14"/>
  <c r="K68" i="14"/>
  <c r="H68" i="14"/>
  <c r="K96" i="14"/>
  <c r="H96" i="14"/>
  <c r="K132" i="14"/>
  <c r="H132" i="14"/>
  <c r="G175" i="14"/>
  <c r="H175" i="14" s="1"/>
  <c r="G31" i="14"/>
  <c r="H31" i="14" s="1"/>
  <c r="K36" i="14"/>
  <c r="K120" i="14"/>
  <c r="H120" i="14"/>
  <c r="K30" i="14"/>
  <c r="G30" i="14"/>
  <c r="H30" i="14" s="1"/>
  <c r="G119" i="14"/>
  <c r="H119" i="14" s="1"/>
  <c r="K112" i="14"/>
  <c r="H112" i="14"/>
  <c r="G36" i="14"/>
  <c r="H36" i="14" s="1"/>
  <c r="G43" i="14"/>
  <c r="H43" i="14" s="1"/>
  <c r="G56" i="14"/>
  <c r="H56" i="14" s="1"/>
  <c r="G63" i="14"/>
  <c r="H63" i="14" s="1"/>
  <c r="G76" i="14"/>
  <c r="H76" i="14" s="1"/>
  <c r="G83" i="14"/>
  <c r="H83" i="14" s="1"/>
  <c r="K104" i="14"/>
  <c r="H104" i="14"/>
  <c r="K140" i="14"/>
  <c r="H140" i="14"/>
  <c r="G155" i="14"/>
  <c r="H155" i="14" s="1"/>
  <c r="G183" i="14"/>
  <c r="H183" i="14" s="1"/>
  <c r="H172" i="14"/>
  <c r="H188" i="14"/>
  <c r="H228" i="14"/>
  <c r="G37" i="14"/>
  <c r="H37" i="14" s="1"/>
  <c r="G41" i="14"/>
  <c r="H41" i="14" s="1"/>
  <c r="G45" i="14"/>
  <c r="H45" i="14" s="1"/>
  <c r="G49" i="14"/>
  <c r="H49" i="14" s="1"/>
  <c r="G53" i="14"/>
  <c r="H53" i="14" s="1"/>
  <c r="G57" i="14"/>
  <c r="H57" i="14" s="1"/>
  <c r="G61" i="14"/>
  <c r="H61" i="14" s="1"/>
  <c r="G65" i="14"/>
  <c r="H65" i="14" s="1"/>
  <c r="G69" i="14"/>
  <c r="H69" i="14" s="1"/>
  <c r="G73" i="14"/>
  <c r="H73" i="14" s="1"/>
  <c r="G77" i="14"/>
  <c r="H77" i="14" s="1"/>
  <c r="G81" i="14"/>
  <c r="H81" i="14" s="1"/>
  <c r="G85" i="14"/>
  <c r="H85" i="14" s="1"/>
  <c r="G89" i="14"/>
  <c r="H89" i="14" s="1"/>
  <c r="G93" i="14"/>
  <c r="H93" i="14" s="1"/>
  <c r="G97" i="14"/>
  <c r="H97" i="14" s="1"/>
  <c r="G101" i="14"/>
  <c r="H101" i="14" s="1"/>
  <c r="G105" i="14"/>
  <c r="H105" i="14" s="1"/>
  <c r="G109" i="14"/>
  <c r="H109" i="14" s="1"/>
  <c r="G113" i="14"/>
  <c r="H113" i="14" s="1"/>
  <c r="G117" i="14"/>
  <c r="H117" i="14" s="1"/>
  <c r="G121" i="14"/>
  <c r="H121" i="14" s="1"/>
  <c r="G125" i="14"/>
  <c r="H125" i="14" s="1"/>
  <c r="G129" i="14"/>
  <c r="H129" i="14" s="1"/>
  <c r="G133" i="14"/>
  <c r="H133" i="14" s="1"/>
  <c r="G137" i="14"/>
  <c r="H137" i="14" s="1"/>
  <c r="G141" i="14"/>
  <c r="H141" i="14" s="1"/>
  <c r="G145" i="14"/>
  <c r="H145" i="14" s="1"/>
  <c r="G149" i="14"/>
  <c r="H149" i="14" s="1"/>
  <c r="G153" i="14"/>
  <c r="H153" i="14" s="1"/>
  <c r="G157" i="14"/>
  <c r="H157" i="14" s="1"/>
  <c r="G161" i="14"/>
  <c r="H161" i="14" s="1"/>
  <c r="G165" i="14"/>
  <c r="H165" i="14" s="1"/>
  <c r="G169" i="14"/>
  <c r="H169" i="14" s="1"/>
  <c r="G173" i="14"/>
  <c r="H173" i="14" s="1"/>
  <c r="G177" i="14"/>
  <c r="H177" i="14" s="1"/>
  <c r="G181" i="14"/>
  <c r="H181" i="14" s="1"/>
  <c r="G185" i="14"/>
  <c r="H185" i="14" s="1"/>
  <c r="G189" i="14"/>
  <c r="H189" i="14" s="1"/>
  <c r="G193" i="14"/>
  <c r="H193" i="14" s="1"/>
  <c r="G197" i="14"/>
  <c r="H197" i="14" s="1"/>
  <c r="G201" i="14"/>
  <c r="H201" i="14" s="1"/>
  <c r="G205" i="14"/>
  <c r="H205" i="14" s="1"/>
  <c r="G209" i="14"/>
  <c r="H209" i="14" s="1"/>
  <c r="G213" i="14"/>
  <c r="H213" i="14" s="1"/>
  <c r="G217" i="14"/>
  <c r="H217" i="14" s="1"/>
  <c r="G221" i="14"/>
  <c r="H221" i="14" s="1"/>
  <c r="G225" i="14"/>
  <c r="H225" i="14" s="1"/>
  <c r="G229" i="14"/>
  <c r="H229" i="14" s="1"/>
  <c r="G233" i="14"/>
  <c r="H233" i="14" s="1"/>
  <c r="G237" i="14"/>
  <c r="H237" i="14" s="1"/>
  <c r="G241" i="14"/>
  <c r="H241" i="14" s="1"/>
  <c r="G245" i="14"/>
  <c r="H245" i="14" s="1"/>
  <c r="G249" i="14"/>
  <c r="H249" i="14" s="1"/>
  <c r="G253" i="14"/>
  <c r="H253" i="14" s="1"/>
  <c r="G38" i="14"/>
  <c r="H38" i="14" s="1"/>
  <c r="G42" i="14"/>
  <c r="H42" i="14" s="1"/>
  <c r="G46" i="14"/>
  <c r="H46" i="14" s="1"/>
  <c r="G50" i="14"/>
  <c r="H50" i="14" s="1"/>
  <c r="G54" i="14"/>
  <c r="H54" i="14" s="1"/>
  <c r="G58" i="14"/>
  <c r="H58" i="14" s="1"/>
  <c r="G62" i="14"/>
  <c r="H62" i="14" s="1"/>
  <c r="G66" i="14"/>
  <c r="H66" i="14" s="1"/>
  <c r="G70" i="14"/>
  <c r="H70" i="14" s="1"/>
  <c r="G74" i="14"/>
  <c r="H74" i="14" s="1"/>
  <c r="G78" i="14"/>
  <c r="H78" i="14" s="1"/>
  <c r="G82" i="14"/>
  <c r="H82" i="14" s="1"/>
  <c r="G86" i="14"/>
  <c r="H86" i="14" s="1"/>
  <c r="G90" i="14"/>
  <c r="H90" i="14" s="1"/>
  <c r="G94" i="14"/>
  <c r="H94" i="14" s="1"/>
  <c r="G98" i="14"/>
  <c r="H98" i="14" s="1"/>
  <c r="G102" i="14"/>
  <c r="H102" i="14" s="1"/>
  <c r="G106" i="14"/>
  <c r="H106" i="14" s="1"/>
  <c r="G110" i="14"/>
  <c r="H110" i="14" s="1"/>
  <c r="G114" i="14"/>
  <c r="H114" i="14" s="1"/>
  <c r="G118" i="14"/>
  <c r="H118" i="14" s="1"/>
  <c r="G122" i="14"/>
  <c r="H122" i="14" s="1"/>
  <c r="G126" i="14"/>
  <c r="H126" i="14" s="1"/>
  <c r="G130" i="14"/>
  <c r="H130" i="14" s="1"/>
  <c r="G134" i="14"/>
  <c r="H134" i="14" s="1"/>
  <c r="G138" i="14"/>
  <c r="H138" i="14" s="1"/>
  <c r="G142" i="14"/>
  <c r="H142" i="14" s="1"/>
  <c r="G146" i="14"/>
  <c r="H146" i="14" s="1"/>
  <c r="G150" i="14"/>
  <c r="H150" i="14" s="1"/>
  <c r="G162" i="14"/>
  <c r="H162" i="14" s="1"/>
  <c r="G166" i="14"/>
  <c r="H166" i="14" s="1"/>
  <c r="G170" i="14"/>
  <c r="H170" i="14" s="1"/>
  <c r="G174" i="14"/>
  <c r="H174" i="14" s="1"/>
  <c r="G178" i="14"/>
  <c r="H178" i="14" s="1"/>
  <c r="G182" i="14"/>
  <c r="H182" i="14" s="1"/>
  <c r="G186" i="14"/>
  <c r="H186" i="14" s="1"/>
  <c r="G190" i="14"/>
  <c r="H190" i="14" s="1"/>
  <c r="G198" i="14"/>
  <c r="H198" i="14" s="1"/>
  <c r="G222" i="14"/>
  <c r="H222" i="14" s="1"/>
  <c r="K26" i="14" l="1"/>
  <c r="O26" i="14" s="1"/>
  <c r="H91" i="14"/>
  <c r="H35" i="14" s="1"/>
  <c r="I257" i="14"/>
  <c r="I24" i="14" s="1"/>
  <c r="H26" i="14"/>
  <c r="K35" i="14"/>
  <c r="G35" i="14"/>
  <c r="G26" i="14"/>
  <c r="K257" i="14" l="1"/>
  <c r="N257" i="14" s="1"/>
  <c r="G24" i="14"/>
  <c r="H257" i="14"/>
  <c r="H24" i="14" s="1"/>
  <c r="G257" i="14"/>
  <c r="C261" i="14" a="1"/>
  <c r="D260" i="14" l="1"/>
  <c r="K24" i="14"/>
  <c r="C261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<sst xmlns="http://schemas.openxmlformats.org/spreadsheetml/2006/main" count="595" uniqueCount="331">
  <si>
    <t>STT</t>
  </si>
  <si>
    <t>Sau khi thống kê quá trình thực hiện công tác bán hàng, chúng tôi cùng thống nhất thực hiện Bảng đối chiếu phí môi giới chi tiết như sau:</t>
  </si>
  <si>
    <t>TỔNG GIÁ (CHƯA VAT)</t>
  </si>
  <si>
    <t>10% VAT</t>
  </si>
  <si>
    <t>*Phí môi giới được tính trên giá bán căn hộ chưa thuế giá trị gia tăng và phí bảo trì.</t>
  </si>
  <si>
    <t>ĐẠI DIỆN BÊN B</t>
  </si>
  <si>
    <t>MÃ CĂN</t>
  </si>
  <si>
    <t xml:space="preserve">Tổng số tiền Bên A phải trả cho Bên B là: </t>
  </si>
  <si>
    <t>ĐẠI DIỆN BÊN A</t>
  </si>
  <si>
    <t>CỘNG HÒA XÃ HỘI CHỦ NGHĨA VIỆT NAM</t>
  </si>
  <si>
    <t>Độc Lập - Tự Do - Hạnh Phúc</t>
  </si>
  <si>
    <t>DIỆN TÍCH THÔNG THỦY</t>
  </si>
  <si>
    <t>ĐƠN GIÁ THÔNG THỦY</t>
  </si>
  <si>
    <t>Tổng số tiền bằng chữ:</t>
  </si>
  <si>
    <t>Bảng đối chiếu được thành lập 04 bản, Bên A giữ 02 bản, bên B giữ 02 bản.</t>
  </si>
  <si>
    <t>KHỐI TCKD</t>
  </si>
  <si>
    <t>CÔNG TY CỔ PHẦN BẤT ĐỘNG SẢN BCONS LAND (Sau đây gọi tắt là Bên A)</t>
  </si>
  <si>
    <t>CÔNG TY CỔ PHẦN DỊCH VỤ BẤT ĐỘNG SẢN SAO VIỆT (Sau đây gọi tắt là Bên B)</t>
  </si>
  <si>
    <t>% PHÍ MÔI GIỚI</t>
  </si>
  <si>
    <t>TỔNG
PHÍ MÔI GIỚI</t>
  </si>
  <si>
    <t>GĐ3</t>
  </si>
  <si>
    <t>GIAI ĐOẠN</t>
  </si>
  <si>
    <t>TỔNG PHÍ
(CHƯA VAT)</t>
  </si>
  <si>
    <t>TỔNG PHÍ MG ĐÃ THANH TOÁN
(BAO GỒM VAT)</t>
  </si>
  <si>
    <t>TỔNG PHÍ MG THANH TOÁN ĐỢT NÀY
(BAO GỒM VAT)</t>
  </si>
  <si>
    <t>Theo Giấy Ủy quyền số 22/UQ-BLAND ngày 16/12/2024</t>
  </si>
  <si>
    <t>GĐ1</t>
  </si>
  <si>
    <t>GHI CHÚ</t>
  </si>
  <si>
    <t>GĐ2</t>
  </si>
  <si>
    <t>- Hôm nay, ngày         tháng          năm 2025, hai bên chúng tôi gồm:</t>
  </si>
  <si>
    <t>Địa chỉ: 167 Nguyễn Phúc Nguyên, Phường 9, Quận 3, TP.HCM</t>
  </si>
  <si>
    <t>CÔNG TY CPDV BĐS SAO VIỆT</t>
  </si>
  <si>
    <t>Trụ sở tại:</t>
  </si>
  <si>
    <t>Đại diện:</t>
  </si>
  <si>
    <t>Điện thoại:</t>
  </si>
  <si>
    <t>Mã số thuế:</t>
  </si>
  <si>
    <t>176/1-176/3 Đường Nguyễn Văn Thương, Phường 25, Quận Bình Thạnh​, Thành phố Hồ Chí Minh</t>
  </si>
  <si>
    <t>Ông LÊ VŨ LINH</t>
  </si>
  <si>
    <t>(028) 3512 9632</t>
  </si>
  <si>
    <t>0315702852</t>
  </si>
  <si>
    <t>Chức vụ:</t>
  </si>
  <si>
    <t>Phó Giám đốc Khối Tài chính Kinh doanh</t>
  </si>
  <si>
    <t>167 Nguyễn Phúc Nguyên, Phường 9, Quận 3, TP Hồ Chí Minh</t>
  </si>
  <si>
    <t xml:space="preserve">Bà PHẠM THỊ PHƯƠNG THẢO        </t>
  </si>
  <si>
    <t xml:space="preserve">(028) 3930 3439               </t>
  </si>
  <si>
    <t>0311971727</t>
  </si>
  <si>
    <t>Tổng Giám đốc</t>
  </si>
  <si>
    <t>đồng</t>
  </si>
  <si>
    <t>- Căn cứ Hợp đồng môi giới bất động sản số 04/HĐMG-BLAND ký ngày 15/07/2024 giữa Công ty Cổ Phần Bất động sản Bcons Land và Công Ty Cổ Phần Dịch Vụ BĐS Sao Việt</t>
  </si>
  <si>
    <t>- Căn cứ các phụ lục đính kèm theo Hợp đồng môi giới bất động sản số: 04/HĐMG-BLAND</t>
  </si>
  <si>
    <t>B1.05.07</t>
  </si>
  <si>
    <t>B1.05.09</t>
  </si>
  <si>
    <t>B1.05.10</t>
  </si>
  <si>
    <t>B1.06.02</t>
  </si>
  <si>
    <t>B1.06.03</t>
  </si>
  <si>
    <t>B1.06.12</t>
  </si>
  <si>
    <t>B1.07.07</t>
  </si>
  <si>
    <t>B1.07.09</t>
  </si>
  <si>
    <t>B1.07.10</t>
  </si>
  <si>
    <t>B1.08.12</t>
  </si>
  <si>
    <t>B1.09.08</t>
  </si>
  <si>
    <t>B1.09.09</t>
  </si>
  <si>
    <t>B1.10.05</t>
  </si>
  <si>
    <t>B1.10.06</t>
  </si>
  <si>
    <t>B1.10.07</t>
  </si>
  <si>
    <t>B1.10.09</t>
  </si>
  <si>
    <t>B1.10.10</t>
  </si>
  <si>
    <t>B1.12.07</t>
  </si>
  <si>
    <t>B1.12a.06</t>
  </si>
  <si>
    <t>B1.12a.07</t>
  </si>
  <si>
    <t>B1.12a.10</t>
  </si>
  <si>
    <t>B1.14.12</t>
  </si>
  <si>
    <t>B1.15.06</t>
  </si>
  <si>
    <t>B1.15.08</t>
  </si>
  <si>
    <t>B1.15.11</t>
  </si>
  <si>
    <t>B1.16.07</t>
  </si>
  <si>
    <t>B1.16.09</t>
  </si>
  <si>
    <t>B1.18.07</t>
  </si>
  <si>
    <t>B1.18.09</t>
  </si>
  <si>
    <t>B1.19.09</t>
  </si>
  <si>
    <t>B1.19.12</t>
  </si>
  <si>
    <t>B1.20.12</t>
  </si>
  <si>
    <t>B1.21.06</t>
  </si>
  <si>
    <t>B1.21.07</t>
  </si>
  <si>
    <t>B1.21.08</t>
  </si>
  <si>
    <t>B1.21.09</t>
  </si>
  <si>
    <t>B1.21.10</t>
  </si>
  <si>
    <t>B1.23.06</t>
  </si>
  <si>
    <t>B1.23.07</t>
  </si>
  <si>
    <t>B1.23.12</t>
  </si>
  <si>
    <t>B1.24.10</t>
  </si>
  <si>
    <t>B1.25.09</t>
  </si>
  <si>
    <t>B1.25.10</t>
  </si>
  <si>
    <t>B1.26.12</t>
  </si>
  <si>
    <t>B1.27.07</t>
  </si>
  <si>
    <t>B1.27.08</t>
  </si>
  <si>
    <t>B2.02.11</t>
  </si>
  <si>
    <t>B2.03.10</t>
  </si>
  <si>
    <t>B2.03.11</t>
  </si>
  <si>
    <t>B2.03.12</t>
  </si>
  <si>
    <t>B2.05.05</t>
  </si>
  <si>
    <t>B2.05.09</t>
  </si>
  <si>
    <t>B2.06.13</t>
  </si>
  <si>
    <t>B2.06.16</t>
  </si>
  <si>
    <t>B2.06.18</t>
  </si>
  <si>
    <t>B2.07.03</t>
  </si>
  <si>
    <t>B2.07.08</t>
  </si>
  <si>
    <t>B2.08.05</t>
  </si>
  <si>
    <t>B2.08.08</t>
  </si>
  <si>
    <t>B2.08.09</t>
  </si>
  <si>
    <t>B2.08.10</t>
  </si>
  <si>
    <t>B2.08.11</t>
  </si>
  <si>
    <t>B2.08.12</t>
  </si>
  <si>
    <t>B2.08.13</t>
  </si>
  <si>
    <t>B2.08.14</t>
  </si>
  <si>
    <t>B2.08.16</t>
  </si>
  <si>
    <t>B2.08.18</t>
  </si>
  <si>
    <t>B2.08.21</t>
  </si>
  <si>
    <t>B2.09.08</t>
  </si>
  <si>
    <t>B2.10.05</t>
  </si>
  <si>
    <t>B2.10.08</t>
  </si>
  <si>
    <t>B2.10.20</t>
  </si>
  <si>
    <t>B2.10.21</t>
  </si>
  <si>
    <t>B2.11.05</t>
  </si>
  <si>
    <t>B2.11.09</t>
  </si>
  <si>
    <t>B2.11.20</t>
  </si>
  <si>
    <t>B2.12.19</t>
  </si>
  <si>
    <t>B2.12a.01</t>
  </si>
  <si>
    <t>B2.12a.05</t>
  </si>
  <si>
    <t>B2.12a.08</t>
  </si>
  <si>
    <t>B2.12a.09</t>
  </si>
  <si>
    <t>B2.12a.21</t>
  </si>
  <si>
    <t>B2.14.05</t>
  </si>
  <si>
    <t>B2.14.08</t>
  </si>
  <si>
    <t>B2.14.17</t>
  </si>
  <si>
    <t>B2.16.11</t>
  </si>
  <si>
    <t>B2.16.13</t>
  </si>
  <si>
    <t>B2.16.16</t>
  </si>
  <si>
    <t>B2.16.17</t>
  </si>
  <si>
    <t>B2.16.18</t>
  </si>
  <si>
    <t>B2.16.19</t>
  </si>
  <si>
    <t>B2.17.04</t>
  </si>
  <si>
    <t>B2.17.05</t>
  </si>
  <si>
    <t>B2.19.11</t>
  </si>
  <si>
    <t>B2.19.16</t>
  </si>
  <si>
    <t>B2.19.17</t>
  </si>
  <si>
    <t>B2.19.18</t>
  </si>
  <si>
    <t>B2.19.19</t>
  </si>
  <si>
    <t>B2.20.13</t>
  </si>
  <si>
    <t>B2.20.15</t>
  </si>
  <si>
    <t>B2.20.18</t>
  </si>
  <si>
    <t>B2.20.20</t>
  </si>
  <si>
    <t>B2.20.22</t>
  </si>
  <si>
    <t>B2.22.17</t>
  </si>
  <si>
    <t>B2.22.18</t>
  </si>
  <si>
    <t>B2.23.11</t>
  </si>
  <si>
    <t>B2.23.17</t>
  </si>
  <si>
    <t>B2.24.02</t>
  </si>
  <si>
    <t>B2.24.03</t>
  </si>
  <si>
    <t>B2.24.05</t>
  </si>
  <si>
    <t>B2.24.20</t>
  </si>
  <si>
    <t>B2.24.21</t>
  </si>
  <si>
    <t>B2.24.22</t>
  </si>
  <si>
    <t>B2.25.01</t>
  </si>
  <si>
    <t>B2.25.03</t>
  </si>
  <si>
    <t>B2.25.05</t>
  </si>
  <si>
    <t>B2.25.08</t>
  </si>
  <si>
    <t>B2.25.11</t>
  </si>
  <si>
    <t>B2.25.15</t>
  </si>
  <si>
    <t>B2.25.17</t>
  </si>
  <si>
    <t>B2.25.19</t>
  </si>
  <si>
    <t>B2.25.21</t>
  </si>
  <si>
    <t>B2.27.03</t>
  </si>
  <si>
    <t>B2.27.08</t>
  </si>
  <si>
    <t>B2.27.11</t>
  </si>
  <si>
    <t>B2.27.13</t>
  </si>
  <si>
    <t>B2.27.14</t>
  </si>
  <si>
    <t>B2.27.17</t>
  </si>
  <si>
    <t>B2.27.20</t>
  </si>
  <si>
    <t>B2.27.21</t>
  </si>
  <si>
    <t>B1.03a.02</t>
  </si>
  <si>
    <t>B1.05.02</t>
  </si>
  <si>
    <t>B1.05.06</t>
  </si>
  <si>
    <t>B1.08.11</t>
  </si>
  <si>
    <t>B1.12a.11</t>
  </si>
  <si>
    <t>B1.15.05</t>
  </si>
  <si>
    <t>B1.16.10</t>
  </si>
  <si>
    <t>B1.18.06</t>
  </si>
  <si>
    <t>B1.18.11</t>
  </si>
  <si>
    <t>B1.19.10</t>
  </si>
  <si>
    <t>B1.23.05</t>
  </si>
  <si>
    <t>B1.23.08</t>
  </si>
  <si>
    <t>B1.24.06</t>
  </si>
  <si>
    <t>B1.25.06</t>
  </si>
  <si>
    <t>B1.27.06</t>
  </si>
  <si>
    <t>B1.14.03</t>
  </si>
  <si>
    <t>B1.14.11</t>
  </si>
  <si>
    <t>B1.20.11</t>
  </si>
  <si>
    <t>B2.06.12</t>
  </si>
  <si>
    <t>B2.07.01</t>
  </si>
  <si>
    <t>B2.11.01</t>
  </si>
  <si>
    <t>B2.12.13</t>
  </si>
  <si>
    <t>B2.12.17</t>
  </si>
  <si>
    <t>B2.20.19</t>
  </si>
  <si>
    <t>B2.27.01</t>
  </si>
  <si>
    <t>B2.03.15</t>
  </si>
  <si>
    <t>B2.03a.10</t>
  </si>
  <si>
    <t>B2.03a.11</t>
  </si>
  <si>
    <t>B2.05.04</t>
  </si>
  <si>
    <t>B2.05.06</t>
  </si>
  <si>
    <t>B2.06.01</t>
  </si>
  <si>
    <t>B2.07.05</t>
  </si>
  <si>
    <t>B2.07.14</t>
  </si>
  <si>
    <t>B2.08.02</t>
  </si>
  <si>
    <t>B2.09.01</t>
  </si>
  <si>
    <t>B2.09.04</t>
  </si>
  <si>
    <t>B2.09.05</t>
  </si>
  <si>
    <t>B2.09.09</t>
  </si>
  <si>
    <t>B2.09.10</t>
  </si>
  <si>
    <t>B2.09.18</t>
  </si>
  <si>
    <t>B2.10.01</t>
  </si>
  <si>
    <t>B2.11.07</t>
  </si>
  <si>
    <t>B2.12.10</t>
  </si>
  <si>
    <t>B2.12.12</t>
  </si>
  <si>
    <t>B2.12.15</t>
  </si>
  <si>
    <t>B2.14.01</t>
  </si>
  <si>
    <t>B2.14.09</t>
  </si>
  <si>
    <t>B2.15.01</t>
  </si>
  <si>
    <t>B2.15.03</t>
  </si>
  <si>
    <t>B2.15.08</t>
  </si>
  <si>
    <t>B2.15.19</t>
  </si>
  <si>
    <t>B2.15.21</t>
  </si>
  <si>
    <t>B2.15.22</t>
  </si>
  <si>
    <t>B2.17.02</t>
  </si>
  <si>
    <t>B2.17.20</t>
  </si>
  <si>
    <t>B2.18.02</t>
  </si>
  <si>
    <t>B2.18.03</t>
  </si>
  <si>
    <t>B2.18.15</t>
  </si>
  <si>
    <t>B2.18.18</t>
  </si>
  <si>
    <t>B2.20.03</t>
  </si>
  <si>
    <t>B2.20.06</t>
  </si>
  <si>
    <t>B2.21.11</t>
  </si>
  <si>
    <t>B2.21.13</t>
  </si>
  <si>
    <t>B2.21.15</t>
  </si>
  <si>
    <t>B2.21.18</t>
  </si>
  <si>
    <t>B2.23.13</t>
  </si>
  <si>
    <t>B2.23.14</t>
  </si>
  <si>
    <t>B2.23.18</t>
  </si>
  <si>
    <t>B2.26.02</t>
  </si>
  <si>
    <t>B2.26.05</t>
  </si>
  <si>
    <t>B2.26.08</t>
  </si>
  <si>
    <t>B2.27.04</t>
  </si>
  <si>
    <t>B2.27.05</t>
  </si>
  <si>
    <t>B1.06.11</t>
  </si>
  <si>
    <t>B2.03.13</t>
  </si>
  <si>
    <t>B1.15.04</t>
  </si>
  <si>
    <t>B2.02.13</t>
  </si>
  <si>
    <t>B2.11.03</t>
  </si>
  <si>
    <t>B2.27.02</t>
  </si>
  <si>
    <t>B2.17.01</t>
  </si>
  <si>
    <t>B2.17.21</t>
  </si>
  <si>
    <t>B2.20.01</t>
  </si>
  <si>
    <t>B2.20.02</t>
  </si>
  <si>
    <t>B2.03a.17</t>
  </si>
  <si>
    <t>B2.09.03</t>
  </si>
  <si>
    <t>B2.18.19</t>
  </si>
  <si>
    <t>B1.07.05</t>
  </si>
  <si>
    <t>B1.09.02</t>
  </si>
  <si>
    <t>B1.25.08</t>
  </si>
  <si>
    <t>B2.05.20</t>
  </si>
  <si>
    <t>B2.08.03</t>
  </si>
  <si>
    <t>B2.08.04</t>
  </si>
  <si>
    <t>B2.08.17</t>
  </si>
  <si>
    <t>B2.16.14</t>
  </si>
  <si>
    <t>B2.25.04</t>
  </si>
  <si>
    <t>B2.25.14</t>
  </si>
  <si>
    <t>B2.27.15</t>
  </si>
  <si>
    <t>B2.09.20</t>
  </si>
  <si>
    <t>B2.05.21</t>
  </si>
  <si>
    <t>I. Phí môi giới 4%:</t>
  </si>
  <si>
    <t>II. Phí môi giới 6%:</t>
  </si>
  <si>
    <t>Tổng phí môi giới (I+II):</t>
  </si>
  <si>
    <t xml:space="preserve"> </t>
  </si>
  <si>
    <t>KẾ TOÁN</t>
  </si>
  <si>
    <t xml:space="preserve">CÔNG TY CỔ PHẦN DỊCH VỤ BẤT ĐỘNG SẢN SAO VIỆT </t>
  </si>
  <si>
    <t>LÊ VŨ LINH</t>
  </si>
  <si>
    <t>NGUYỄN THANH XUÂN</t>
  </si>
  <si>
    <t>PHẠM THỊ PHƯƠNG THẢO</t>
  </si>
  <si>
    <t>BẢNG ĐỐI CHIẾU PHÍ MÔI GIỚI DỰ ÁN BCONS CITY - THÁP GREEN EMERALD
Số: 009/BBĐC-BLAND-SV</t>
  </si>
  <si>
    <t>B1.06.13</t>
  </si>
  <si>
    <t>B2.19.13</t>
  </si>
  <si>
    <t>B2.23.05</t>
  </si>
  <si>
    <t>Tổng phí môi giới:</t>
  </si>
  <si>
    <t>CÔNG TY CỔ PHẦN BẤT ĐỘNG SẢN BCONS HOMES</t>
  </si>
  <si>
    <t>0314635755</t>
  </si>
  <si>
    <t>Số 176/1-176/3 Đường Nguyễn Văn Thương, Phường Thạnh Mỹ Tây, Thành Phố Hồ Chí Minh</t>
  </si>
  <si>
    <t>ĐỖ THANH BÌNH</t>
  </si>
  <si>
    <t xml:space="preserve">MÃ CĂN </t>
  </si>
  <si>
    <t>TỔNG GTCH (CHƯA VAT)</t>
  </si>
  <si>
    <t>VAT</t>
  </si>
  <si>
    <t>TỔNG PHÍ MÔI GIỚI (CHƯA VAT)</t>
  </si>
  <si>
    <t>TỔNG PHÍ MÔI GIỚI (CHƯA VAT) ĐỢT NÀY</t>
  </si>
  <si>
    <t>VAT 
ĐỢT NÀY</t>
  </si>
  <si>
    <t>TỔNG PHÍ MÔI GIỚI (CÓ VAT)</t>
  </si>
  <si>
    <t>TỔNG PHÍ MÔI GIỚI (CÓ VAT) 
ĐÃ THANH TOÁN</t>
  </si>
  <si>
    <t>TỔNG PHÍ MÔI GIỚI (CÓ VAT) ĐỢT NÀY</t>
  </si>
  <si>
    <t xml:space="preserve">KẾ TOÁN SÀN </t>
  </si>
  <si>
    <t>GD1</t>
  </si>
  <si>
    <t>GIAI ĐOẠN</t>
  </si>
  <si>
    <t>PTTT</t>
  </si>
  <si>
    <t>ADMIN CHECK</t>
  </si>
  <si>
    <t>A.10.10</t>
  </si>
  <si>
    <t>03a</t>
  </si>
  <si>
    <t>CÔNG TY TNHH SÀN GIAO DỊCH BẤT ĐỘNG SẢN BRE</t>
  </si>
  <si>
    <t>Địa chỉ: 65/6 Nguyễn Xí, Phường Bình Thạnh, Thành Phố Hồ Chí Minh</t>
  </si>
  <si>
    <t>- Căn cứ Hợp đồng môi giới bất động sản số 03/2025/HĐLKMG/BCT2 ký ngày 05/10/2025, các phụ lục đính kèm giữa Công ty Cổ phần Bất động sản Bcons Homes và Công ty TNHH Sàn giao dịch bất động sản BRE</t>
  </si>
  <si>
    <t xml:space="preserve">                                             </t>
  </si>
  <si>
    <t>CÔNG TY CỔ PHẦN BẤT ĐỘNG SẢN BCONS HOMES (Sau đây gọi tắt là Bên A)</t>
  </si>
  <si>
    <t>Ông ĐỖ THANH BÌNH</t>
  </si>
  <si>
    <t>028 3512 9632</t>
  </si>
  <si>
    <t>CÔNG TY TNHH SÀN GIAO DỊCH BẤT ĐỘNG SẢN BRE (Sau đây gọi tắt là Bên B)</t>
  </si>
  <si>
    <t>65/6 Nguyễn Xí, Phường Bình Thạnh, Thành Phố Hồ Chí Minh</t>
  </si>
  <si>
    <t>Ông ĐOÀN LÊ BÁCH</t>
  </si>
  <si>
    <t>0967863970</t>
  </si>
  <si>
    <t>0318622404</t>
  </si>
  <si>
    <t xml:space="preserve"> ĐẠI DIỆN BÊN B</t>
  </si>
  <si>
    <t>ĐOÀN LÊ BÁCH</t>
  </si>
  <si>
    <r>
      <t xml:space="preserve">BẢNG ĐỐI CHIẾU PHÍ MÔI GIỚI DỰ ÁN BCONS CITY - THÁP GREEN DIAMOND
</t>
    </r>
    <r>
      <rPr>
        <b/>
        <sz val="14"/>
        <rFont val="Times New Roman"/>
        <family val="1"/>
      </rPr>
      <t>Số: 003/BBĐC-BHM-BRE</t>
    </r>
  </si>
  <si>
    <t>- Hôm nay, ngày 31 tháng 05 năm 2026, hai bên chúng tôi gồm:</t>
  </si>
  <si>
    <t>Đợt 3 2,5%_lũy tiến 5,5%</t>
  </si>
  <si>
    <t xml:space="preserve">Sáu mươi lăm triệu một trăm linh năm nghìn một trăm chín mươi ba đồng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</si>
</sst>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_ * #,##0_ ;_ * \-#,##0_ ;_ * &quot;-&quot;??_ ;_ @_ "/>
    <numFmt numFmtId="167" formatCode="dd\-mm\-yyyy"/>
    <numFmt numFmtId="168" formatCode="0.0%"/>
    <numFmt numFmtId="169" formatCode="0.000%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.VnTime"/>
      <family val="2"/>
    </font>
    <font>
      <sz val="10"/>
      <name val="VNI-Times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8"/>
      <name val="Times New Roman"/>
      <family val="1"/>
    </font>
    <font>
      <b/>
      <sz val="13"/>
      <name val="Times New Roman"/>
      <family val="1"/>
    </font>
    <font>
      <b/>
      <i/>
      <sz val="13"/>
      <name val="Times New Roman"/>
      <family val="1"/>
    </font>
    <font>
      <i/>
      <sz val="13"/>
      <name val="Times New Roman"/>
      <family val="1"/>
    </font>
    <font>
      <sz val="13"/>
      <name val="Times New Roman"/>
      <family val="1"/>
    </font>
    <font>
      <b/>
      <i/>
      <sz val="12"/>
      <name val="Times New Roman"/>
      <family val="1"/>
    </font>
    <font>
      <b/>
      <i/>
      <sz val="11.5"/>
      <name val="Times New Roman"/>
      <family val="1"/>
    </font>
    <font>
      <b/>
      <sz val="13"/>
      <color theme="1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b/>
      <i/>
      <sz val="14"/>
      <name val="Times New Roman"/>
      <family val="1"/>
    </font>
    <font>
      <i/>
      <sz val="14"/>
      <name val="Times New Roman"/>
      <family val="1"/>
    </font>
    <font>
      <sz val="13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3"/>
      <color theme="1"/>
      <name val="Calibri"/>
      <family val="2"/>
      <charset val="163"/>
      <scheme val="minor"/>
    </font>
    <font>
      <sz val="12"/>
      <color theme="1"/>
      <name val="Calibri"/>
      <family val="2"/>
      <charset val="163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3" fillId="0" borderId="0"/>
    <xf numFmtId="0" fontId="1" fillId="0" borderId="0"/>
  </cellStyleXfs>
  <cellXfs count="138">
    <xf numFmtId="0" fontId="0" fillId="0" borderId="0" xfId="0"/>
    <xf numFmtId="165" fontId="4" fillId="0" borderId="0" xfId="1" applyNumberFormat="1" applyFont="1" applyFill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5" fontId="5" fillId="0" borderId="0" xfId="1" applyNumberFormat="1" applyFont="1" applyFill="1" applyAlignment="1">
      <alignment vertical="center"/>
    </xf>
    <xf numFmtId="165" fontId="6" fillId="0" borderId="0" xfId="1" applyNumberFormat="1" applyFont="1" applyFill="1" applyAlignment="1">
      <alignment horizontal="center" vertical="center" wrapText="1"/>
    </xf>
    <xf numFmtId="165" fontId="5" fillId="0" borderId="0" xfId="1" applyNumberFormat="1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7" fillId="0" borderId="1" xfId="1" applyNumberFormat="1" applyFont="1" applyBorder="1" applyAlignment="1">
      <alignment horizontal="center" vertical="center"/>
    </xf>
    <xf numFmtId="165" fontId="5" fillId="0" borderId="1" xfId="1" applyNumberFormat="1" applyFont="1" applyFill="1" applyBorder="1" applyAlignment="1">
      <alignment vertical="center"/>
    </xf>
    <xf numFmtId="165" fontId="4" fillId="0" borderId="0" xfId="1" applyNumberFormat="1" applyFont="1" applyFill="1" applyAlignment="1">
      <alignment horizontal="left" vertical="center"/>
    </xf>
    <xf numFmtId="165" fontId="4" fillId="0" borderId="0" xfId="0" applyNumberFormat="1" applyFont="1" applyAlignment="1">
      <alignment vertical="center"/>
    </xf>
    <xf numFmtId="165" fontId="6" fillId="0" borderId="0" xfId="1" applyNumberFormat="1" applyFont="1" applyFill="1" applyAlignment="1">
      <alignment horizontal="left" vertical="center"/>
    </xf>
    <xf numFmtId="165" fontId="5" fillId="0" borderId="0" xfId="1" quotePrefix="1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164" fontId="4" fillId="0" borderId="0" xfId="1" applyFont="1" applyFill="1" applyAlignment="1">
      <alignment horizontal="center" vertical="center"/>
    </xf>
    <xf numFmtId="168" fontId="5" fillId="0" borderId="0" xfId="2" applyNumberFormat="1" applyFont="1" applyFill="1" applyAlignment="1">
      <alignment vertical="center"/>
    </xf>
    <xf numFmtId="168" fontId="4" fillId="0" borderId="0" xfId="2" applyNumberFormat="1" applyFont="1" applyFill="1" applyAlignment="1">
      <alignment vertical="center"/>
    </xf>
    <xf numFmtId="168" fontId="5" fillId="0" borderId="0" xfId="2" applyNumberFormat="1" applyFont="1" applyFill="1" applyAlignment="1">
      <alignment horizontal="center" vertical="center"/>
    </xf>
    <xf numFmtId="168" fontId="5" fillId="0" borderId="1" xfId="2" applyNumberFormat="1" applyFont="1" applyFill="1" applyBorder="1" applyAlignment="1">
      <alignment horizontal="center" vertical="center"/>
    </xf>
    <xf numFmtId="164" fontId="5" fillId="0" borderId="0" xfId="1" applyFont="1" applyFill="1" applyAlignment="1">
      <alignment horizontal="center" vertical="center"/>
    </xf>
    <xf numFmtId="165" fontId="7" fillId="0" borderId="1" xfId="1" applyNumberFormat="1" applyFont="1" applyFill="1" applyBorder="1" applyAlignment="1">
      <alignment vertical="center"/>
    </xf>
    <xf numFmtId="165" fontId="4" fillId="0" borderId="0" xfId="1" applyNumberFormat="1" applyFont="1" applyFill="1" applyAlignment="1">
      <alignment horizontal="center" vertical="center"/>
    </xf>
    <xf numFmtId="165" fontId="7" fillId="0" borderId="0" xfId="1" applyNumberFormat="1" applyFont="1" applyFill="1" applyAlignment="1">
      <alignment vertical="center"/>
    </xf>
    <xf numFmtId="169" fontId="7" fillId="0" borderId="0" xfId="2" applyNumberFormat="1" applyFont="1" applyFill="1" applyAlignment="1">
      <alignment vertical="center"/>
    </xf>
    <xf numFmtId="165" fontId="5" fillId="0" borderId="0" xfId="1" applyNumberFormat="1" applyFont="1" applyFill="1" applyAlignment="1">
      <alignment vertical="center" wrapText="1"/>
    </xf>
    <xf numFmtId="0" fontId="8" fillId="0" borderId="1" xfId="0" quotePrefix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horizontal="center" vertical="center" wrapText="1"/>
    </xf>
    <xf numFmtId="168" fontId="4" fillId="2" borderId="1" xfId="2" applyNumberFormat="1" applyFont="1" applyFill="1" applyBorder="1" applyAlignment="1">
      <alignment horizontal="center" vertical="center" wrapText="1"/>
    </xf>
    <xf numFmtId="165" fontId="10" fillId="0" borderId="0" xfId="1" applyNumberFormat="1" applyFont="1" applyFill="1" applyAlignment="1">
      <alignment horizontal="center" vertical="center"/>
    </xf>
    <xf numFmtId="0" fontId="1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165" fontId="13" fillId="0" borderId="0" xfId="1" applyNumberFormat="1" applyFont="1" applyFill="1" applyAlignment="1">
      <alignment vertical="center" wrapText="1"/>
    </xf>
    <xf numFmtId="164" fontId="10" fillId="0" borderId="0" xfId="1" applyFont="1" applyFill="1" applyAlignment="1">
      <alignment horizontal="center" vertical="center"/>
    </xf>
    <xf numFmtId="168" fontId="10" fillId="0" borderId="0" xfId="2" applyNumberFormat="1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165" fontId="10" fillId="0" borderId="0" xfId="1" applyNumberFormat="1" applyFont="1" applyFill="1" applyAlignment="1">
      <alignment vertical="center"/>
    </xf>
    <xf numFmtId="168" fontId="11" fillId="0" borderId="0" xfId="2" applyNumberFormat="1" applyFont="1" applyFill="1" applyAlignment="1">
      <alignment vertical="center"/>
    </xf>
    <xf numFmtId="165" fontId="12" fillId="0" borderId="0" xfId="1" applyNumberFormat="1" applyFont="1" applyFill="1" applyAlignment="1">
      <alignment horizontal="left" vertical="center"/>
    </xf>
    <xf numFmtId="168" fontId="10" fillId="0" borderId="0" xfId="2" applyNumberFormat="1" applyFont="1" applyFill="1" applyAlignment="1">
      <alignment vertical="center"/>
    </xf>
    <xf numFmtId="167" fontId="6" fillId="0" borderId="0" xfId="3" applyNumberFormat="1" applyFont="1" applyFill="1" applyAlignment="1">
      <alignment horizontal="left" vertical="center" wrapText="1"/>
    </xf>
    <xf numFmtId="9" fontId="6" fillId="0" borderId="0" xfId="2" applyFont="1" applyFill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165" fontId="6" fillId="0" borderId="0" xfId="1" applyNumberFormat="1" applyFont="1" applyFill="1" applyAlignment="1">
      <alignment vertical="center" wrapText="1"/>
    </xf>
    <xf numFmtId="0" fontId="5" fillId="0" borderId="0" xfId="0" quotePrefix="1" applyFont="1" applyAlignment="1">
      <alignment vertical="center"/>
    </xf>
    <xf numFmtId="167" fontId="5" fillId="0" borderId="0" xfId="0" applyNumberFormat="1" applyFont="1" applyAlignment="1">
      <alignment vertical="center"/>
    </xf>
    <xf numFmtId="167" fontId="4" fillId="0" borderId="0" xfId="0" applyNumberFormat="1" applyFont="1" applyAlignment="1">
      <alignment vertical="center"/>
    </xf>
    <xf numFmtId="9" fontId="7" fillId="0" borderId="0" xfId="2" applyFont="1" applyFill="1" applyAlignment="1">
      <alignment vertical="center"/>
    </xf>
    <xf numFmtId="0" fontId="7" fillId="0" borderId="0" xfId="0" applyFont="1" applyAlignment="1">
      <alignment vertical="center"/>
    </xf>
    <xf numFmtId="165" fontId="7" fillId="0" borderId="0" xfId="1" applyNumberFormat="1" applyFont="1" applyFill="1" applyAlignment="1">
      <alignment vertical="center" shrinkToFit="1"/>
    </xf>
    <xf numFmtId="0" fontId="5" fillId="0" borderId="0" xfId="0" quotePrefix="1" applyFont="1" applyAlignment="1">
      <alignment horizontal="left" vertical="center"/>
    </xf>
    <xf numFmtId="0" fontId="6" fillId="0" borderId="0" xfId="0" applyFont="1" applyAlignment="1">
      <alignment vertical="center"/>
    </xf>
    <xf numFmtId="0" fontId="15" fillId="0" borderId="0" xfId="0" quotePrefix="1" applyFont="1" applyAlignment="1">
      <alignment horizontal="left" vertical="center"/>
    </xf>
    <xf numFmtId="0" fontId="16" fillId="0" borderId="0" xfId="6" applyFont="1" applyAlignment="1">
      <alignment horizontal="center" vertical="center"/>
    </xf>
    <xf numFmtId="9" fontId="5" fillId="0" borderId="1" xfId="2" applyFont="1" applyFill="1" applyBorder="1" applyAlignment="1">
      <alignment horizontal="center" vertical="center"/>
    </xf>
    <xf numFmtId="168" fontId="5" fillId="0" borderId="1" xfId="2" applyNumberFormat="1" applyFont="1" applyFill="1" applyBorder="1" applyAlignment="1">
      <alignment vertical="center"/>
    </xf>
    <xf numFmtId="167" fontId="7" fillId="0" borderId="0" xfId="0" quotePrefix="1" applyNumberFormat="1" applyFont="1" applyAlignment="1">
      <alignment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164" fontId="17" fillId="0" borderId="0" xfId="1" applyFont="1" applyFill="1" applyAlignment="1">
      <alignment horizontal="center" vertical="center"/>
    </xf>
    <xf numFmtId="165" fontId="17" fillId="0" borderId="0" xfId="1" applyNumberFormat="1" applyFont="1" applyFill="1" applyAlignment="1">
      <alignment vertical="center"/>
    </xf>
    <xf numFmtId="168" fontId="19" fillId="0" borderId="0" xfId="2" applyNumberFormat="1" applyFont="1" applyFill="1" applyAlignment="1">
      <alignment vertical="center"/>
    </xf>
    <xf numFmtId="165" fontId="20" fillId="0" borderId="0" xfId="1" applyNumberFormat="1" applyFont="1" applyFill="1" applyAlignment="1">
      <alignment horizontal="left" vertical="center"/>
    </xf>
    <xf numFmtId="165" fontId="18" fillId="0" borderId="0" xfId="1" quotePrefix="1" applyNumberFormat="1" applyFont="1" applyFill="1" applyAlignment="1">
      <alignment horizontal="center" vertical="center"/>
    </xf>
    <xf numFmtId="165" fontId="18" fillId="0" borderId="0" xfId="1" applyNumberFormat="1" applyFont="1" applyFill="1" applyAlignment="1">
      <alignment horizontal="center" vertical="center"/>
    </xf>
    <xf numFmtId="165" fontId="18" fillId="0" borderId="0" xfId="1" applyNumberFormat="1" applyFont="1" applyFill="1" applyAlignment="1">
      <alignment vertical="center"/>
    </xf>
    <xf numFmtId="0" fontId="17" fillId="0" borderId="0" xfId="0" applyFont="1" applyAlignment="1">
      <alignment vertical="center"/>
    </xf>
    <xf numFmtId="164" fontId="17" fillId="0" borderId="0" xfId="1" applyFont="1" applyFill="1" applyAlignment="1">
      <alignment horizontal="left" vertical="center"/>
    </xf>
    <xf numFmtId="167" fontId="8" fillId="0" borderId="0" xfId="0" applyNumberFormat="1" applyFont="1" applyAlignment="1">
      <alignment vertical="center"/>
    </xf>
    <xf numFmtId="164" fontId="7" fillId="0" borderId="1" xfId="1" applyFont="1" applyBorder="1" applyAlignment="1">
      <alignment horizontal="center" vertical="center"/>
    </xf>
    <xf numFmtId="164" fontId="6" fillId="0" borderId="0" xfId="1" applyFont="1" applyFill="1" applyAlignment="1">
      <alignment horizontal="center" vertical="center" wrapText="1"/>
    </xf>
    <xf numFmtId="164" fontId="5" fillId="0" borderId="0" xfId="1" quotePrefix="1" applyFont="1" applyAlignment="1">
      <alignment horizontal="center" vertical="center"/>
    </xf>
    <xf numFmtId="164" fontId="6" fillId="0" borderId="0" xfId="1" applyFont="1" applyAlignment="1">
      <alignment horizontal="center" vertical="center"/>
    </xf>
    <xf numFmtId="164" fontId="13" fillId="0" borderId="0" xfId="1" applyFont="1" applyFill="1" applyAlignment="1">
      <alignment horizontal="center" vertical="center" wrapText="1"/>
    </xf>
    <xf numFmtId="164" fontId="20" fillId="0" borderId="0" xfId="1" applyFont="1" applyFill="1" applyAlignment="1">
      <alignment horizontal="left" vertical="center"/>
    </xf>
    <xf numFmtId="49" fontId="17" fillId="0" borderId="0" xfId="0" applyNumberFormat="1" applyFont="1" applyAlignment="1">
      <alignment horizontal="center" vertical="center"/>
    </xf>
    <xf numFmtId="165" fontId="17" fillId="0" borderId="0" xfId="1" applyNumberFormat="1" applyFont="1" applyFill="1" applyAlignment="1">
      <alignment horizontal="center" vertical="center"/>
    </xf>
    <xf numFmtId="168" fontId="18" fillId="0" borderId="0" xfId="2" applyNumberFormat="1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164" fontId="18" fillId="0" borderId="0" xfId="1" applyFont="1" applyFill="1" applyAlignment="1">
      <alignment horizontal="center" vertical="center"/>
    </xf>
    <xf numFmtId="165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68" fontId="17" fillId="0" borderId="0" xfId="2" applyNumberFormat="1" applyFont="1" applyFill="1" applyAlignment="1">
      <alignment vertical="center"/>
    </xf>
    <xf numFmtId="165" fontId="0" fillId="0" borderId="0" xfId="0" applyNumberFormat="1"/>
    <xf numFmtId="165" fontId="13" fillId="0" borderId="0" xfId="1" applyNumberFormat="1" applyFont="1" applyFill="1" applyAlignment="1">
      <alignment vertical="center"/>
    </xf>
    <xf numFmtId="0" fontId="21" fillId="0" borderId="0" xfId="0" applyFont="1"/>
    <xf numFmtId="0" fontId="13" fillId="0" borderId="0" xfId="0" quotePrefix="1" applyFont="1" applyAlignment="1">
      <alignment vertical="center"/>
    </xf>
    <xf numFmtId="165" fontId="13" fillId="0" borderId="0" xfId="1" quotePrefix="1" applyNumberFormat="1" applyFont="1" applyFill="1" applyAlignment="1">
      <alignment horizontal="center" vertical="center"/>
    </xf>
    <xf numFmtId="165" fontId="13" fillId="0" borderId="0" xfId="1" applyNumberFormat="1" applyFont="1" applyFill="1" applyAlignment="1">
      <alignment horizontal="center" vertical="center"/>
    </xf>
    <xf numFmtId="164" fontId="12" fillId="0" borderId="0" xfId="1" applyFont="1" applyFill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164" fontId="4" fillId="3" borderId="1" xfId="1" applyFont="1" applyFill="1" applyBorder="1" applyAlignment="1">
      <alignment horizontal="center" vertical="center" wrapText="1"/>
    </xf>
    <xf numFmtId="165" fontId="4" fillId="3" borderId="1" xfId="1" applyNumberFormat="1" applyFont="1" applyFill="1" applyBorder="1" applyAlignment="1">
      <alignment horizontal="center" vertical="center" wrapText="1"/>
    </xf>
    <xf numFmtId="168" fontId="4" fillId="3" borderId="1" xfId="2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5" fontId="5" fillId="0" borderId="0" xfId="1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9" fillId="0" borderId="0" xfId="0" applyFont="1" applyAlignment="1">
      <alignment vertical="center" wrapText="1"/>
    </xf>
    <xf numFmtId="0" fontId="22" fillId="0" borderId="1" xfId="0" applyFont="1" applyBorder="1" applyAlignment="1">
      <alignment horizontal="center" vertical="center"/>
    </xf>
    <xf numFmtId="165" fontId="4" fillId="4" borderId="1" xfId="1" applyNumberFormat="1" applyFont="1" applyFill="1" applyBorder="1" applyAlignment="1" applyProtection="1">
      <alignment horizontal="center" vertical="center" wrapText="1"/>
    </xf>
    <xf numFmtId="165" fontId="16" fillId="0" borderId="0" xfId="0" applyNumberFormat="1" applyFont="1" applyAlignment="1">
      <alignment horizontal="center" vertical="center"/>
    </xf>
    <xf numFmtId="165" fontId="0" fillId="0" borderId="0" xfId="1" applyNumberFormat="1" applyFont="1"/>
    <xf numFmtId="3" fontId="16" fillId="0" borderId="0" xfId="0" applyNumberFormat="1" applyFont="1" applyAlignment="1">
      <alignment vertical="center"/>
    </xf>
    <xf numFmtId="0" fontId="23" fillId="0" borderId="0" xfId="0" applyFont="1"/>
    <xf numFmtId="0" fontId="5" fillId="0" borderId="0" xfId="0" applyFont="1" applyAlignment="1">
      <alignment vertical="center" wrapText="1"/>
    </xf>
    <xf numFmtId="164" fontId="5" fillId="0" borderId="0" xfId="1" applyFont="1" applyFill="1" applyAlignment="1">
      <alignment horizontal="center" vertical="center" wrapText="1"/>
    </xf>
    <xf numFmtId="167" fontId="5" fillId="0" borderId="0" xfId="0" quotePrefix="1" applyNumberFormat="1" applyFont="1" applyAlignment="1">
      <alignment vertical="center"/>
    </xf>
    <xf numFmtId="0" fontId="24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12" fillId="0" borderId="0" xfId="0" quotePrefix="1" applyFont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164" fontId="4" fillId="0" borderId="0" xfId="1" applyFont="1" applyFill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 wrapText="1"/>
    </xf>
    <xf numFmtId="0" fontId="12" fillId="0" borderId="0" xfId="0" quotePrefix="1" applyFont="1" applyAlignment="1">
      <alignment horizontal="left" vertical="center" wrapText="1"/>
    </xf>
    <xf numFmtId="165" fontId="4" fillId="0" borderId="0" xfId="1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165" fontId="10" fillId="0" borderId="0" xfId="1" applyNumberFormat="1" applyFont="1" applyFill="1" applyAlignment="1">
      <alignment horizontal="center" vertical="center"/>
    </xf>
    <xf numFmtId="164" fontId="17" fillId="0" borderId="0" xfId="1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165" fontId="17" fillId="0" borderId="0" xfId="1" applyNumberFormat="1" applyFont="1" applyFill="1" applyAlignment="1">
      <alignment horizontal="center" vertical="center"/>
    </xf>
  </cellXfs>
  <cellStyles count="7">
    <cellStyle name="Comma" xfId="1" builtinId="3"/>
    <cellStyle name="Comma 2 2" xfId="4" xr:uid="{00000000-0005-0000-0000-000001000000}"/>
    <cellStyle name="Dấu phẩy 3" xfId="3" xr:uid="{00000000-0005-0000-0000-000002000000}"/>
    <cellStyle name="Normal" xfId="0" builtinId="0"/>
    <cellStyle name="Normal 3" xfId="5" xr:uid="{00000000-0005-0000-0000-000004000000}"/>
    <cellStyle name="Normal 6" xfId="6" xr:uid="{00000000-0005-0000-0000-000005000000}"/>
    <cellStyle name="Percent" xfId="2" builtinId="5"/>
  </cellStyles>
  <dxfs count="3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008000"/>
      </font>
    </dxf>
    <dxf>
      <font>
        <b/>
        <i val="0"/>
        <color rgb="FFFF0066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8000"/>
      </font>
    </dxf>
    <dxf>
      <font>
        <b/>
        <i val="0"/>
        <color rgb="FF0000FF"/>
      </font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6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008000"/>
      </font>
    </dxf>
    <dxf>
      <font>
        <b/>
        <i val="0"/>
        <color rgb="FFFF0066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893075</xdr:colOff>
      <xdr:row>2</xdr:row>
      <xdr:rowOff>23813</xdr:rowOff>
    </xdr:from>
    <xdr:to>
      <xdr:col>10</xdr:col>
      <xdr:colOff>476982</xdr:colOff>
      <xdr:row>2</xdr:row>
      <xdr:rowOff>23813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88934D1-8110-465F-9995-0B277D7DC47D}"/>
            </a:ext>
          </a:extLst>
        </xdr:cNvPr>
        <xdr:cNvCxnSpPr/>
      </xdr:nvCxnSpPr>
      <xdr:spPr>
        <a:xfrm>
          <a:off x="9048856" y="500063"/>
          <a:ext cx="229853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0c12cec4e77e1ffa/Ng&#226;n%20%5eM%20Ph&#250;c/003.In%20H&#272;MB_Th&#225;p%20Green%20Emerald/BCTE%20-%20TTKH%20IN%20H&#272;MB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Program%20Files%20(x86)/VnToolsExcel/VnTools-Excel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IN HĐMB"/>
      <sheetName val="Giá"/>
      <sheetName val="GiáPT9"/>
    </sheetNames>
    <sheetDataSet>
      <sheetData sheetId="0" refreshError="1"/>
      <sheetData sheetId="1" refreshError="1">
        <row r="1">
          <cell r="I1" t="str">
            <v>Mã căn</v>
          </cell>
          <cell r="J1" t="str">
            <v>Khách hàng cọc</v>
          </cell>
          <cell r="K1" t="str">
            <v>Văn phòng cọc</v>
          </cell>
          <cell r="L1" t="str">
            <v>Sàn cọc</v>
          </cell>
          <cell r="M1" t="str">
            <v>Phòng cọc</v>
          </cell>
          <cell r="N1" t="str">
            <v>NVKD cọc</v>
          </cell>
          <cell r="O1" t="str">
            <v>Khách hàng HDDC</v>
          </cell>
          <cell r="P1" t="str">
            <v>Văn phòng hiện tại</v>
          </cell>
          <cell r="Q1" t="str">
            <v>Sàn hiện tại</v>
          </cell>
          <cell r="R1" t="str">
            <v>Phòng hiện tại</v>
          </cell>
          <cell r="S1" t="str">
            <v>NVKD hiện tại</v>
          </cell>
          <cell r="T1" t="str">
            <v>Test tên KH</v>
          </cell>
          <cell r="U1" t="str">
            <v>PTTT in TTĐC</v>
          </cell>
          <cell r="V1" t="str">
            <v>PTTT in HĐMB</v>
          </cell>
          <cell r="W1" t="str">
            <v>Số lượng người đứng tên</v>
          </cell>
          <cell r="X1" t="str">
            <v>Tên khách hàng 1 (Người đại diện Công ty)</v>
          </cell>
        </row>
        <row r="2">
          <cell r="I2" t="str">
            <v>B1.03a.01</v>
          </cell>
          <cell r="J2" t="e">
            <v>#N/A</v>
          </cell>
          <cell r="K2" t="e">
            <v>#N/A</v>
          </cell>
          <cell r="L2" t="e">
            <v>#N/A</v>
          </cell>
          <cell r="M2" t="e">
            <v>#N/A</v>
          </cell>
          <cell r="N2" t="e">
            <v>#N/A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 t="b">
            <v>1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</row>
        <row r="3">
          <cell r="I3" t="str">
            <v>B1.03a.02</v>
          </cell>
          <cell r="J3" t="str">
            <v>TÔ VIỆT HÀ</v>
          </cell>
          <cell r="K3" t="str">
            <v>Quận 3</v>
          </cell>
          <cell r="L3" t="str">
            <v>Kỳ Long</v>
          </cell>
          <cell r="M3" t="str">
            <v>Văn Tuyên</v>
          </cell>
          <cell r="N3" t="str">
            <v>Trần Thị Thùy Dung</v>
          </cell>
          <cell r="O3" t="str">
            <v>TÔ VIỆT HÀ</v>
          </cell>
          <cell r="P3" t="str">
            <v>Quận 3</v>
          </cell>
          <cell r="Q3" t="str">
            <v>Kỳ Long</v>
          </cell>
          <cell r="R3" t="str">
            <v>Văn Tuyên</v>
          </cell>
          <cell r="S3" t="str">
            <v>Trần Thị Thùy Dung</v>
          </cell>
          <cell r="T3" t="b">
            <v>1</v>
          </cell>
          <cell r="U3" t="str">
            <v>PTTT 01b</v>
          </cell>
          <cell r="V3" t="str">
            <v>PTTT 01b</v>
          </cell>
          <cell r="W3" t="str">
            <v>1 người</v>
          </cell>
          <cell r="X3" t="str">
            <v>TÔ VIỆT HÀ</v>
          </cell>
        </row>
        <row r="4">
          <cell r="I4" t="str">
            <v>B1.03a.03</v>
          </cell>
          <cell r="J4" t="str">
            <v>GIANG MINH VƯƠNG</v>
          </cell>
          <cell r="K4" t="str">
            <v>Bình Thạnh</v>
          </cell>
          <cell r="L4" t="str">
            <v>Thanh Hà</v>
          </cell>
          <cell r="M4" t="str">
            <v>Đức Đồng</v>
          </cell>
          <cell r="N4" t="str">
            <v>Trần Minh Phúc</v>
          </cell>
          <cell r="O4" t="str">
            <v>GIANG MINH VƯƠNG</v>
          </cell>
          <cell r="P4" t="str">
            <v>Bình Thạnh</v>
          </cell>
          <cell r="Q4" t="str">
            <v>Thanh Hà</v>
          </cell>
          <cell r="R4" t="str">
            <v>Đức Đồng</v>
          </cell>
          <cell r="S4" t="str">
            <v>Trần Minh Phúc</v>
          </cell>
          <cell r="T4" t="b">
            <v>1</v>
          </cell>
          <cell r="U4" t="str">
            <v>PTTT 01b</v>
          </cell>
          <cell r="V4" t="str">
            <v>PTTT 01b</v>
          </cell>
          <cell r="W4" t="str">
            <v>1 người</v>
          </cell>
          <cell r="X4" t="str">
            <v>GIANG MINH VƯƠNG</v>
          </cell>
        </row>
        <row r="5">
          <cell r="I5" t="str">
            <v>B1.03a.04</v>
          </cell>
          <cell r="J5" t="str">
            <v>BÙI MẠNH TIẾN</v>
          </cell>
          <cell r="K5" t="str">
            <v>Bình Thạnh</v>
          </cell>
          <cell r="L5" t="str">
            <v>Ngọc Linh</v>
          </cell>
          <cell r="M5" t="str">
            <v>Phạm Vĩ</v>
          </cell>
          <cell r="N5" t="str">
            <v>Phan Thanh Liêm</v>
          </cell>
          <cell r="O5">
            <v>0</v>
          </cell>
          <cell r="P5" t="str">
            <v>Bình Thạnh</v>
          </cell>
          <cell r="Q5" t="str">
            <v>Ngọc Linh</v>
          </cell>
          <cell r="R5" t="str">
            <v>Phạm Vĩ</v>
          </cell>
          <cell r="S5" t="str">
            <v>Phan Thanh Liêm</v>
          </cell>
          <cell r="T5" t="b">
            <v>0</v>
          </cell>
          <cell r="U5">
            <v>0</v>
          </cell>
          <cell r="V5" t="str">
            <v>PTTT 09c</v>
          </cell>
          <cell r="W5" t="str">
            <v>1 người</v>
          </cell>
          <cell r="X5" t="str">
            <v>BÙI MẠNH TIẾN</v>
          </cell>
        </row>
        <row r="6">
          <cell r="I6" t="str">
            <v>B1.03a.11</v>
          </cell>
          <cell r="J6" t="str">
            <v>NGUYỄN HIỆP VĨNH PHÚ</v>
          </cell>
          <cell r="K6" t="str">
            <v>Bình Thạnh</v>
          </cell>
          <cell r="L6" t="str">
            <v>Thanh Hà</v>
          </cell>
          <cell r="M6" t="str">
            <v>Như Ngọc</v>
          </cell>
          <cell r="N6" t="str">
            <v>Phùng Tấn Hiệp</v>
          </cell>
          <cell r="O6">
            <v>0</v>
          </cell>
          <cell r="P6" t="str">
            <v>Bình Thạnh</v>
          </cell>
          <cell r="Q6" t="str">
            <v>Thanh Hà</v>
          </cell>
          <cell r="R6" t="str">
            <v>Như Ngọc</v>
          </cell>
          <cell r="S6" t="str">
            <v>Phùng Tấn Hiệp</v>
          </cell>
          <cell r="T6" t="b">
            <v>0</v>
          </cell>
          <cell r="U6">
            <v>0</v>
          </cell>
          <cell r="V6" t="str">
            <v>PTTT 09c</v>
          </cell>
          <cell r="W6" t="str">
            <v>1 người</v>
          </cell>
          <cell r="X6" t="str">
            <v>NGUYỄN HIỆP VĨNH PHÚ</v>
          </cell>
        </row>
        <row r="7">
          <cell r="I7" t="str">
            <v>B1.03a.12</v>
          </cell>
          <cell r="J7" t="str">
            <v>NGUYỄN HOÀI NHI</v>
          </cell>
          <cell r="K7" t="str">
            <v>Quận 3</v>
          </cell>
          <cell r="L7" t="str">
            <v>Kỳ Long</v>
          </cell>
          <cell r="M7" t="str">
            <v>Phi Thoại</v>
          </cell>
          <cell r="N7" t="str">
            <v>Nguyễn Hoài Nhi</v>
          </cell>
          <cell r="O7" t="str">
            <v>VŨ HÀ MINH KHÁNH</v>
          </cell>
          <cell r="P7" t="str">
            <v>Quận 3</v>
          </cell>
          <cell r="Q7" t="str">
            <v>Kỳ Long</v>
          </cell>
          <cell r="R7" t="str">
            <v>Văn Tuyên</v>
          </cell>
          <cell r="S7" t="str">
            <v>Vũ Đình Đồng</v>
          </cell>
          <cell r="T7" t="b">
            <v>0</v>
          </cell>
          <cell r="U7" t="str">
            <v>PTTT 01a</v>
          </cell>
          <cell r="V7" t="str">
            <v>PTTT 04a</v>
          </cell>
          <cell r="W7" t="str">
            <v>1 người</v>
          </cell>
          <cell r="X7" t="str">
            <v>NGUYỄN THỊ THANH TÚ</v>
          </cell>
        </row>
        <row r="8">
          <cell r="I8" t="str">
            <v>B1.03a.13</v>
          </cell>
          <cell r="J8" t="str">
            <v>???</v>
          </cell>
          <cell r="K8" t="str">
            <v>???</v>
          </cell>
          <cell r="L8" t="str">
            <v>???</v>
          </cell>
          <cell r="M8" t="str">
            <v>???</v>
          </cell>
          <cell r="N8" t="str">
            <v>???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b">
            <v>1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</row>
        <row r="9">
          <cell r="I9" t="str">
            <v>B1.05.01</v>
          </cell>
          <cell r="J9" t="str">
            <v>???</v>
          </cell>
          <cell r="K9" t="str">
            <v>???</v>
          </cell>
          <cell r="L9" t="str">
            <v>???</v>
          </cell>
          <cell r="M9" t="str">
            <v>???</v>
          </cell>
          <cell r="N9" t="str">
            <v>???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b">
            <v>1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</row>
        <row r="10">
          <cell r="I10" t="str">
            <v>B1.05.02</v>
          </cell>
          <cell r="J10" t="str">
            <v>NGUYỄN THỊ KIM NGỌC</v>
          </cell>
          <cell r="K10" t="str">
            <v>Quận 3</v>
          </cell>
          <cell r="L10" t="str">
            <v>Thanh Tuấn</v>
          </cell>
          <cell r="M10" t="str">
            <v>Anh Tài</v>
          </cell>
          <cell r="N10" t="str">
            <v>Nguyễn Văn Toàn</v>
          </cell>
          <cell r="O10" t="str">
            <v>NGUYỄN THỊ KIM NGỌC</v>
          </cell>
          <cell r="P10" t="str">
            <v>Quận 3</v>
          </cell>
          <cell r="Q10" t="str">
            <v>Thanh Tuấn</v>
          </cell>
          <cell r="R10" t="str">
            <v>Anh Tài</v>
          </cell>
          <cell r="S10" t="str">
            <v>Nguyễn Văn Toàn</v>
          </cell>
          <cell r="T10" t="b">
            <v>1</v>
          </cell>
          <cell r="U10" t="str">
            <v>PTTT 03b</v>
          </cell>
          <cell r="V10" t="str">
            <v>PTTT 03b</v>
          </cell>
          <cell r="W10" t="str">
            <v>1 người</v>
          </cell>
          <cell r="X10" t="str">
            <v>NGUYỄN THỊ KIM NGỌC</v>
          </cell>
        </row>
        <row r="11">
          <cell r="I11" t="str">
            <v>B1.05.03</v>
          </cell>
          <cell r="J11" t="str">
            <v>BÙI THỊ HUYỀN</v>
          </cell>
          <cell r="K11" t="str">
            <v>Quận 3</v>
          </cell>
          <cell r="L11" t="str">
            <v>Huỳnh Nhân</v>
          </cell>
          <cell r="M11" t="str">
            <v>Tấn Long</v>
          </cell>
          <cell r="N11" t="str">
            <v>Thái Thị Thanh Tâm</v>
          </cell>
          <cell r="O11" t="str">
            <v>BÙI THỊ HUYỀN</v>
          </cell>
          <cell r="P11" t="str">
            <v>Quận 3</v>
          </cell>
          <cell r="Q11" t="str">
            <v>Huỳnh Nhân</v>
          </cell>
          <cell r="R11" t="str">
            <v>Tấn Long</v>
          </cell>
          <cell r="S11" t="str">
            <v>Thái Thị Thanh Tâm</v>
          </cell>
          <cell r="T11" t="b">
            <v>1</v>
          </cell>
          <cell r="U11" t="str">
            <v>PTTT 06b</v>
          </cell>
          <cell r="V11" t="str">
            <v>PTTT 06b</v>
          </cell>
          <cell r="W11" t="str">
            <v>1 người</v>
          </cell>
          <cell r="X11" t="str">
            <v>BÙI THỊ HUYỀN</v>
          </cell>
        </row>
        <row r="12">
          <cell r="I12" t="str">
            <v>B1.05.04</v>
          </cell>
          <cell r="J12" t="e">
            <v>#N/A</v>
          </cell>
          <cell r="K12" t="e">
            <v>#N/A</v>
          </cell>
          <cell r="L12" t="e">
            <v>#N/A</v>
          </cell>
          <cell r="M12" t="e">
            <v>#N/A</v>
          </cell>
          <cell r="N12" t="e">
            <v>#N/A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b">
            <v>1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</row>
        <row r="13">
          <cell r="I13" t="str">
            <v>B1.05.05</v>
          </cell>
          <cell r="J13" t="str">
            <v>NGUYỄN THÀNH VINH</v>
          </cell>
          <cell r="K13" t="str">
            <v>Quận 3</v>
          </cell>
          <cell r="L13" t="str">
            <v>Thanh Tuấn</v>
          </cell>
          <cell r="M13" t="str">
            <v>Anh Tài</v>
          </cell>
          <cell r="N13" t="str">
            <v>Nguyễn Thu Thảo</v>
          </cell>
          <cell r="O13" t="str">
            <v>PHAN THỊ MINH HUỆ</v>
          </cell>
          <cell r="P13" t="str">
            <v>Quận 3</v>
          </cell>
          <cell r="Q13" t="str">
            <v>Thanh Tuấn</v>
          </cell>
          <cell r="R13" t="str">
            <v>Anh Tài</v>
          </cell>
          <cell r="S13" t="str">
            <v>Nguyễn Thu Thảo</v>
          </cell>
          <cell r="T13" t="b">
            <v>0</v>
          </cell>
          <cell r="U13">
            <v>0</v>
          </cell>
          <cell r="V13" t="str">
            <v>PTTT 09c</v>
          </cell>
          <cell r="W13" t="str">
            <v>1 người</v>
          </cell>
          <cell r="X13" t="str">
            <v>NGUYỄN THÀNH VINH</v>
          </cell>
        </row>
        <row r="14">
          <cell r="I14" t="str">
            <v>B1.05.06</v>
          </cell>
          <cell r="J14" t="str">
            <v>BÙI MINH THANH ĐAN</v>
          </cell>
          <cell r="K14" t="str">
            <v>Bình Thạnh</v>
          </cell>
          <cell r="L14" t="str">
            <v>Thanh Hà</v>
          </cell>
          <cell r="M14" t="str">
            <v>Đức Đồng</v>
          </cell>
          <cell r="N14" t="str">
            <v>Nguyễn Thành Văn</v>
          </cell>
          <cell r="O14" t="str">
            <v>BÙI MINH THANH ĐAN</v>
          </cell>
          <cell r="P14" t="str">
            <v>Bình Thạnh</v>
          </cell>
          <cell r="Q14" t="str">
            <v>Thanh Hà</v>
          </cell>
          <cell r="R14" t="str">
            <v>Đức Đồng</v>
          </cell>
          <cell r="S14" t="str">
            <v>Nguyễn Thành Văn</v>
          </cell>
          <cell r="T14" t="b">
            <v>1</v>
          </cell>
          <cell r="U14" t="str">
            <v>PTTT 04b</v>
          </cell>
          <cell r="V14" t="str">
            <v>PTTT 04b</v>
          </cell>
          <cell r="W14" t="str">
            <v>2 người</v>
          </cell>
          <cell r="X14" t="str">
            <v>BÙI MINH THANH ĐAN</v>
          </cell>
        </row>
        <row r="15">
          <cell r="I15" t="str">
            <v>B1.05.07</v>
          </cell>
          <cell r="J15" t="str">
            <v>BẠCH THỊ KIM THƠ</v>
          </cell>
          <cell r="K15" t="str">
            <v>Quận 3</v>
          </cell>
          <cell r="L15" t="str">
            <v>Thế Hiển</v>
          </cell>
          <cell r="M15" t="str">
            <v>Văn Tùng</v>
          </cell>
          <cell r="N15" t="str">
            <v>Phạm Anh Tuấn</v>
          </cell>
          <cell r="O15" t="str">
            <v>BẠCH THỊ KIM THƠ</v>
          </cell>
          <cell r="P15" t="str">
            <v>Quận 3</v>
          </cell>
          <cell r="Q15" t="str">
            <v>Thế Hiển</v>
          </cell>
          <cell r="R15" t="str">
            <v>Văn Tùng</v>
          </cell>
          <cell r="S15" t="str">
            <v>Phạm Anh Tuấn</v>
          </cell>
          <cell r="T15" t="b">
            <v>1</v>
          </cell>
          <cell r="U15" t="str">
            <v>PTTT 01a</v>
          </cell>
          <cell r="V15" t="str">
            <v>PTTT 01a</v>
          </cell>
          <cell r="W15" t="str">
            <v>1 người</v>
          </cell>
          <cell r="X15" t="str">
            <v>BẠCH THỊ KIM THƠ</v>
          </cell>
        </row>
        <row r="16">
          <cell r="I16" t="str">
            <v>B1.05.08</v>
          </cell>
          <cell r="J16" t="e">
            <v>#N/A</v>
          </cell>
          <cell r="K16" t="e">
            <v>#N/A</v>
          </cell>
          <cell r="L16" t="e">
            <v>#N/A</v>
          </cell>
          <cell r="M16" t="e">
            <v>#N/A</v>
          </cell>
          <cell r="N16" t="e">
            <v>#N/A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b">
            <v>1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</row>
        <row r="17">
          <cell r="I17" t="str">
            <v>B1.05.09</v>
          </cell>
          <cell r="J17" t="str">
            <v>NGUYỄN HỮU NGHỊ</v>
          </cell>
          <cell r="K17" t="str">
            <v>Bình Thạnh</v>
          </cell>
          <cell r="L17" t="str">
            <v>Thanh Hà</v>
          </cell>
          <cell r="M17" t="str">
            <v>Như Ngọc</v>
          </cell>
          <cell r="N17" t="str">
            <v>Cao Văn Bình</v>
          </cell>
          <cell r="O17" t="str">
            <v>NGUYỄN HỮU NGHỊ</v>
          </cell>
          <cell r="P17" t="str">
            <v>Bình Thạnh</v>
          </cell>
          <cell r="Q17" t="str">
            <v>Thanh Hà</v>
          </cell>
          <cell r="R17" t="str">
            <v>Như Ngọc</v>
          </cell>
          <cell r="S17" t="str">
            <v>Cao Văn Bình</v>
          </cell>
          <cell r="T17" t="b">
            <v>1</v>
          </cell>
          <cell r="U17" t="str">
            <v>PTTT 01a</v>
          </cell>
          <cell r="V17" t="str">
            <v>PTTT 01a</v>
          </cell>
          <cell r="W17" t="str">
            <v>1 người</v>
          </cell>
          <cell r="X17" t="str">
            <v>NGUYỄN HỮU NGHỊ</v>
          </cell>
        </row>
        <row r="18">
          <cell r="I18" t="str">
            <v>B1.05.10</v>
          </cell>
          <cell r="J18" t="str">
            <v>LÊ THANH HIỀN</v>
          </cell>
          <cell r="K18" t="str">
            <v>Quận 3</v>
          </cell>
          <cell r="L18" t="str">
            <v>Thanh Tuấn</v>
          </cell>
          <cell r="M18" t="str">
            <v>Tuấn Vương</v>
          </cell>
          <cell r="N18" t="str">
            <v>Nguyễn Việt Hoàng</v>
          </cell>
          <cell r="O18" t="str">
            <v>LÊ THANH HIỀN</v>
          </cell>
          <cell r="P18" t="str">
            <v>Quận 3</v>
          </cell>
          <cell r="Q18" t="str">
            <v>Thanh Tuấn</v>
          </cell>
          <cell r="R18" t="str">
            <v>Tuấn Vương</v>
          </cell>
          <cell r="S18" t="str">
            <v>Nguyễn Việt Hoàng</v>
          </cell>
          <cell r="T18" t="b">
            <v>1</v>
          </cell>
          <cell r="U18" t="str">
            <v>PTTT 01a</v>
          </cell>
          <cell r="V18" t="str">
            <v>PTTT 01a</v>
          </cell>
          <cell r="W18" t="str">
            <v>1 người</v>
          </cell>
          <cell r="X18" t="str">
            <v>LÊ THANH HIỀN</v>
          </cell>
        </row>
        <row r="19">
          <cell r="I19" t="str">
            <v>B1.05.11</v>
          </cell>
          <cell r="J19" t="str">
            <v>BÙI MẠNH TIẾN</v>
          </cell>
          <cell r="K19" t="str">
            <v>Bình Thạnh</v>
          </cell>
          <cell r="L19" t="str">
            <v>Ngọc Linh</v>
          </cell>
          <cell r="M19" t="str">
            <v>Lưu Thông</v>
          </cell>
          <cell r="N19" t="str">
            <v>Phan Thanh Liêm</v>
          </cell>
          <cell r="O19" t="str">
            <v>BÙI MẠNH TIẾN</v>
          </cell>
          <cell r="P19" t="str">
            <v>Bình Thạnh</v>
          </cell>
          <cell r="Q19" t="str">
            <v>Ngọc Linh</v>
          </cell>
          <cell r="R19" t="str">
            <v>Lưu Thông</v>
          </cell>
          <cell r="S19" t="str">
            <v>Phan Thanh Liêm</v>
          </cell>
          <cell r="T19" t="b">
            <v>1</v>
          </cell>
          <cell r="U19" t="str">
            <v>PTTT 01b</v>
          </cell>
          <cell r="V19" t="str">
            <v>PTTT 01b</v>
          </cell>
          <cell r="W19" t="str">
            <v>1 người</v>
          </cell>
          <cell r="X19" t="str">
            <v>BÙI MẠNH TIẾN</v>
          </cell>
        </row>
        <row r="20">
          <cell r="I20" t="str">
            <v>B1.05.12</v>
          </cell>
          <cell r="J20" t="str">
            <v>PHAN BÁ HÙNG</v>
          </cell>
          <cell r="K20" t="str">
            <v>Bình Thạnh</v>
          </cell>
          <cell r="L20" t="str">
            <v>Thanh Hà</v>
          </cell>
          <cell r="M20" t="str">
            <v>Đức Đồng</v>
          </cell>
          <cell r="N20" t="str">
            <v>Nguyễn Thành Văn</v>
          </cell>
          <cell r="O20" t="str">
            <v>PHAN BÁ HÙNG</v>
          </cell>
          <cell r="P20" t="str">
            <v>Bình Thạnh</v>
          </cell>
          <cell r="Q20" t="str">
            <v>Thanh Hà</v>
          </cell>
          <cell r="R20" t="str">
            <v>Đức Đồng</v>
          </cell>
          <cell r="S20" t="str">
            <v>Nguyễn Thành Văn</v>
          </cell>
          <cell r="T20" t="b">
            <v>1</v>
          </cell>
          <cell r="U20" t="str">
            <v>PTTT 01a</v>
          </cell>
          <cell r="V20" t="str">
            <v>PTTT 01a</v>
          </cell>
          <cell r="W20" t="str">
            <v>1 người</v>
          </cell>
          <cell r="X20" t="str">
            <v>PHAN BÁ HÙNG</v>
          </cell>
        </row>
        <row r="21">
          <cell r="I21" t="str">
            <v>B1.05.13</v>
          </cell>
          <cell r="J21" t="str">
            <v>TRẦN THỊ MAI UYÊN</v>
          </cell>
          <cell r="K21" t="str">
            <v>Bình Thạnh</v>
          </cell>
          <cell r="L21" t="str">
            <v>Lê Mai</v>
          </cell>
          <cell r="M21" t="str">
            <v>Ly Ly</v>
          </cell>
          <cell r="N21" t="str">
            <v>Hoàng Thị Ly Ly</v>
          </cell>
          <cell r="O21">
            <v>0</v>
          </cell>
          <cell r="P21" t="str">
            <v>Bình Thạnh</v>
          </cell>
          <cell r="Q21" t="str">
            <v>Lê Mai</v>
          </cell>
          <cell r="R21" t="str">
            <v>Ly Ly</v>
          </cell>
          <cell r="S21" t="str">
            <v>Hoàng Thị Ly Ly</v>
          </cell>
          <cell r="T21" t="b">
            <v>0</v>
          </cell>
          <cell r="U21">
            <v>0</v>
          </cell>
          <cell r="V21" t="str">
            <v>PTTT 06c</v>
          </cell>
          <cell r="W21" t="str">
            <v>1 người</v>
          </cell>
          <cell r="X21" t="str">
            <v>TRẦN THỊ MAI UYÊN</v>
          </cell>
        </row>
        <row r="22">
          <cell r="I22" t="str">
            <v>B1.06.01</v>
          </cell>
          <cell r="J22" t="e">
            <v>#N/A</v>
          </cell>
          <cell r="K22" t="e">
            <v>#N/A</v>
          </cell>
          <cell r="L22" t="e">
            <v>#N/A</v>
          </cell>
          <cell r="M22" t="e">
            <v>#N/A</v>
          </cell>
          <cell r="N22" t="e">
            <v>#N/A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b">
            <v>1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3">
          <cell r="I23" t="str">
            <v>B1.06.02</v>
          </cell>
          <cell r="J23" t="str">
            <v>BÙI XUÂN DIỆU</v>
          </cell>
          <cell r="K23" t="str">
            <v>Quận 3</v>
          </cell>
          <cell r="L23" t="str">
            <v>Thế Hiển</v>
          </cell>
          <cell r="M23" t="str">
            <v>Văn Tùng</v>
          </cell>
          <cell r="N23" t="str">
            <v>Bùi Thanh Tân</v>
          </cell>
          <cell r="O23" t="str">
            <v>BÙI XUÂN DIỆU</v>
          </cell>
          <cell r="P23" t="str">
            <v>Quận 3</v>
          </cell>
          <cell r="Q23" t="str">
            <v>Thế Hiển</v>
          </cell>
          <cell r="R23" t="str">
            <v>Văn Tùng</v>
          </cell>
          <cell r="S23" t="str">
            <v>Bùi Thanh Tân</v>
          </cell>
          <cell r="T23" t="b">
            <v>1</v>
          </cell>
          <cell r="U23" t="str">
            <v>PTTT 03a</v>
          </cell>
          <cell r="V23" t="str">
            <v>PTTT 03a</v>
          </cell>
          <cell r="W23" t="str">
            <v>2 người</v>
          </cell>
          <cell r="X23" t="str">
            <v>BÙI XUÂN DIỆU</v>
          </cell>
        </row>
        <row r="24">
          <cell r="I24" t="str">
            <v>B1.06.03</v>
          </cell>
          <cell r="J24" t="str">
            <v>LÊ THỊ QUỲNH TRÂM</v>
          </cell>
          <cell r="K24" t="str">
            <v>Quận 3</v>
          </cell>
          <cell r="L24" t="str">
            <v>Kỳ Long</v>
          </cell>
          <cell r="M24" t="str">
            <v>Văn Tuyên</v>
          </cell>
          <cell r="N24" t="str">
            <v>Đồng Thị Hằng</v>
          </cell>
          <cell r="O24" t="str">
            <v>LÊ THỊ QUỲNH TRÂM</v>
          </cell>
          <cell r="P24" t="str">
            <v>Quận 3</v>
          </cell>
          <cell r="Q24" t="str">
            <v>Kỳ Long</v>
          </cell>
          <cell r="R24" t="str">
            <v>Văn Tuyên</v>
          </cell>
          <cell r="S24" t="str">
            <v>Đồng Thị Hằng</v>
          </cell>
          <cell r="T24" t="b">
            <v>1</v>
          </cell>
          <cell r="U24" t="str">
            <v>PTTT 03a</v>
          </cell>
          <cell r="V24" t="str">
            <v>PTTT 03a</v>
          </cell>
          <cell r="W24" t="str">
            <v>1 người</v>
          </cell>
          <cell r="X24" t="str">
            <v>LÊ THỊ QUỲNH TRÂM</v>
          </cell>
        </row>
        <row r="25">
          <cell r="I25" t="str">
            <v>B1.06.04</v>
          </cell>
          <cell r="J25" t="str">
            <v>NGUYỄN THANH SƠN</v>
          </cell>
          <cell r="K25" t="str">
            <v>Bình Thạnh</v>
          </cell>
          <cell r="L25" t="str">
            <v>Lê Mai</v>
          </cell>
          <cell r="M25" t="str">
            <v>Ly Ly</v>
          </cell>
          <cell r="N25" t="str">
            <v>Ngô Thanh Thảo</v>
          </cell>
          <cell r="O25">
            <v>0</v>
          </cell>
          <cell r="P25" t="str">
            <v>Bình Thạnh</v>
          </cell>
          <cell r="Q25" t="str">
            <v>Lê Mai</v>
          </cell>
          <cell r="R25" t="str">
            <v>Ly Ly</v>
          </cell>
          <cell r="S25" t="str">
            <v>Ngô Thanh Thảo</v>
          </cell>
          <cell r="T25" t="b">
            <v>0</v>
          </cell>
          <cell r="U25">
            <v>0</v>
          </cell>
          <cell r="V25" t="str">
            <v>PTTT 09c</v>
          </cell>
          <cell r="W25" t="str">
            <v>1 người</v>
          </cell>
          <cell r="X25" t="str">
            <v>NGUYỄN QUANG SƠN</v>
          </cell>
        </row>
        <row r="26">
          <cell r="I26" t="str">
            <v>B1.06.11</v>
          </cell>
          <cell r="J26" t="str">
            <v>TRẦN NGỌC KIM NGÂN</v>
          </cell>
          <cell r="K26" t="str">
            <v>Bình Thạnh</v>
          </cell>
          <cell r="L26" t="str">
            <v>Thanh Hà</v>
          </cell>
          <cell r="M26" t="str">
            <v>Đức Đồng</v>
          </cell>
          <cell r="N26" t="str">
            <v>Nguyễn Thành Văn</v>
          </cell>
          <cell r="O26">
            <v>0</v>
          </cell>
          <cell r="P26" t="str">
            <v>Bình Thạnh</v>
          </cell>
          <cell r="Q26" t="str">
            <v>Thanh Hà</v>
          </cell>
          <cell r="R26" t="str">
            <v>Đức Đồng</v>
          </cell>
          <cell r="S26" t="str">
            <v>Nguyễn Thành Văn</v>
          </cell>
          <cell r="T26" t="b">
            <v>0</v>
          </cell>
          <cell r="U26">
            <v>0</v>
          </cell>
          <cell r="V26" t="str">
            <v>PTTT 04c</v>
          </cell>
          <cell r="W26" t="str">
            <v>1 người</v>
          </cell>
          <cell r="X26" t="str">
            <v>TRẦN NGỌC KIM NGÂN</v>
          </cell>
        </row>
        <row r="27">
          <cell r="I27" t="str">
            <v>B1.06.12</v>
          </cell>
          <cell r="J27" t="str">
            <v>NGUYỄN THẾ NGỌC LINH</v>
          </cell>
          <cell r="K27" t="str">
            <v>Bình Thạnh</v>
          </cell>
          <cell r="L27" t="str">
            <v>Ngọc Linh</v>
          </cell>
          <cell r="M27" t="str">
            <v>Phạm Vĩ</v>
          </cell>
          <cell r="N27" t="str">
            <v>Phạm Vĩ</v>
          </cell>
          <cell r="O27" t="str">
            <v>NGUYỄN THẾ KHƯƠNG</v>
          </cell>
          <cell r="P27" t="str">
            <v>Bình Thạnh</v>
          </cell>
          <cell r="Q27" t="str">
            <v>Ngọc Linh</v>
          </cell>
          <cell r="R27" t="str">
            <v>Phạm Vĩ</v>
          </cell>
          <cell r="S27" t="str">
            <v>Phạm Vĩ</v>
          </cell>
          <cell r="T27" t="b">
            <v>1</v>
          </cell>
          <cell r="U27" t="str">
            <v>PTTT 03a</v>
          </cell>
          <cell r="V27" t="str">
            <v>PTTT 03a</v>
          </cell>
          <cell r="W27" t="str">
            <v>1 người</v>
          </cell>
          <cell r="X27" t="str">
            <v>NGUYỄN THẾ KHƯƠNG</v>
          </cell>
        </row>
        <row r="28">
          <cell r="I28" t="str">
            <v>B1.06.13</v>
          </cell>
          <cell r="J28" t="str">
            <v>BÙI THỊ KIM CHÂU</v>
          </cell>
          <cell r="K28" t="str">
            <v>Sàn liên kết</v>
          </cell>
          <cell r="L28" t="str">
            <v>Bcons Homes</v>
          </cell>
          <cell r="M28" t="str">
            <v>Bcons Homes</v>
          </cell>
          <cell r="N28">
            <v>0</v>
          </cell>
          <cell r="O28" t="str">
            <v>HOÀNG ĐINH THẾ QUY</v>
          </cell>
          <cell r="P28" t="str">
            <v>Sàn liên kết</v>
          </cell>
          <cell r="Q28" t="str">
            <v>Bcons Homes</v>
          </cell>
          <cell r="R28" t="str">
            <v>Bcons Homes</v>
          </cell>
          <cell r="S28">
            <v>0</v>
          </cell>
          <cell r="T28" t="b">
            <v>1</v>
          </cell>
          <cell r="U28" t="str">
            <v>PTTT 01a</v>
          </cell>
          <cell r="V28" t="str">
            <v>PTTT 01a</v>
          </cell>
          <cell r="W28" t="str">
            <v>2 người</v>
          </cell>
          <cell r="X28" t="str">
            <v>HOÀNG ĐINH THẾ QUY</v>
          </cell>
        </row>
        <row r="29">
          <cell r="I29" t="str">
            <v>B1.07.05</v>
          </cell>
          <cell r="J29" t="str">
            <v>PHẠM TRUNG THÀNH</v>
          </cell>
          <cell r="K29" t="str">
            <v>Bình Thạnh</v>
          </cell>
          <cell r="L29" t="str">
            <v>Lê Mai</v>
          </cell>
          <cell r="M29" t="str">
            <v>Phương Thúy</v>
          </cell>
          <cell r="N29" t="str">
            <v>Bùi Sỹ Bừng</v>
          </cell>
          <cell r="O29">
            <v>0</v>
          </cell>
          <cell r="P29" t="str">
            <v>Bình Thạnh</v>
          </cell>
          <cell r="Q29" t="str">
            <v>Lê Mai</v>
          </cell>
          <cell r="R29" t="str">
            <v>Phương Thúy</v>
          </cell>
          <cell r="S29">
            <v>0</v>
          </cell>
          <cell r="T29" t="b">
            <v>0</v>
          </cell>
          <cell r="U29">
            <v>0</v>
          </cell>
          <cell r="V29" t="str">
            <v>PTTT 09c</v>
          </cell>
          <cell r="W29" t="str">
            <v>1 người</v>
          </cell>
          <cell r="X29" t="str">
            <v>PHẠM TRUNG THÀNH</v>
          </cell>
        </row>
        <row r="30">
          <cell r="I30" t="str">
            <v>B1.07.06</v>
          </cell>
          <cell r="J30" t="str">
            <v>NGUYỄN THỊ KIỀU CHINH</v>
          </cell>
          <cell r="K30" t="str">
            <v>Bình Thạnh</v>
          </cell>
          <cell r="L30" t="str">
            <v>Lê Mai</v>
          </cell>
          <cell r="M30" t="str">
            <v>Ly Ly</v>
          </cell>
          <cell r="N30" t="str">
            <v>Đặng Trung Nhân</v>
          </cell>
          <cell r="O30">
            <v>0</v>
          </cell>
          <cell r="P30" t="str">
            <v>Bình Thạnh</v>
          </cell>
          <cell r="Q30" t="str">
            <v>Lê Mai</v>
          </cell>
          <cell r="R30" t="str">
            <v>Ly Ly</v>
          </cell>
          <cell r="S30" t="str">
            <v>Đặng Trung Nhân</v>
          </cell>
          <cell r="T30" t="b">
            <v>0</v>
          </cell>
          <cell r="U30">
            <v>0</v>
          </cell>
          <cell r="V30" t="str">
            <v>PTTT 04c</v>
          </cell>
          <cell r="W30" t="str">
            <v>1 người</v>
          </cell>
          <cell r="X30" t="str">
            <v>NGUYỄN THỊ KIỀU CHINH</v>
          </cell>
        </row>
        <row r="31">
          <cell r="I31" t="str">
            <v>B1.07.07</v>
          </cell>
          <cell r="J31" t="str">
            <v>HUỲNH NHẤT VƯƠNG</v>
          </cell>
          <cell r="K31" t="str">
            <v>Quận 3</v>
          </cell>
          <cell r="L31" t="str">
            <v>Thanh Tuấn</v>
          </cell>
          <cell r="M31" t="str">
            <v>Tuấn Vương</v>
          </cell>
          <cell r="N31" t="str">
            <v>Huỳnh Nhất Vương</v>
          </cell>
          <cell r="O31" t="str">
            <v>ĐINH CÔNG HOÀNG</v>
          </cell>
          <cell r="P31" t="str">
            <v>Quận 3</v>
          </cell>
          <cell r="Q31" t="str">
            <v>Thanh Tuấn</v>
          </cell>
          <cell r="R31" t="str">
            <v>Tuấn Vương</v>
          </cell>
          <cell r="S31" t="str">
            <v>Huỳnh Nhất Vương</v>
          </cell>
          <cell r="T31" t="b">
            <v>0</v>
          </cell>
          <cell r="U31" t="str">
            <v>PTTT 01a</v>
          </cell>
          <cell r="V31" t="str">
            <v>PTTT 01a</v>
          </cell>
          <cell r="W31" t="str">
            <v>2 người</v>
          </cell>
          <cell r="X31" t="str">
            <v>NGUYỄN HOÀNG KHƯƠNG</v>
          </cell>
        </row>
        <row r="32">
          <cell r="I32" t="str">
            <v>B1.07.08</v>
          </cell>
          <cell r="J32" t="str">
            <v>???</v>
          </cell>
          <cell r="K32" t="str">
            <v>???</v>
          </cell>
          <cell r="L32" t="str">
            <v>???</v>
          </cell>
          <cell r="M32" t="str">
            <v>???</v>
          </cell>
          <cell r="N32" t="str">
            <v>???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b">
            <v>1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</row>
        <row r="33">
          <cell r="I33" t="str">
            <v>B1.07.09</v>
          </cell>
          <cell r="J33" t="str">
            <v>PHẠM HUY HÙNG</v>
          </cell>
          <cell r="K33" t="str">
            <v>Bình Thạnh</v>
          </cell>
          <cell r="L33" t="str">
            <v>Lê Mai</v>
          </cell>
          <cell r="M33" t="str">
            <v>Ly Ly</v>
          </cell>
          <cell r="N33" t="str">
            <v>Võ Thế Hậu</v>
          </cell>
          <cell r="O33" t="str">
            <v>PHẠM HUY HÙNG</v>
          </cell>
          <cell r="P33" t="str">
            <v>Bình Thạnh</v>
          </cell>
          <cell r="Q33" t="str">
            <v>Lê Mai</v>
          </cell>
          <cell r="R33" t="str">
            <v>Ly Ly</v>
          </cell>
          <cell r="S33" t="str">
            <v>Võ Thế Hậu</v>
          </cell>
          <cell r="T33" t="b">
            <v>1</v>
          </cell>
          <cell r="U33" t="str">
            <v>PTTT 01a</v>
          </cell>
          <cell r="V33" t="str">
            <v>PTTT 01a</v>
          </cell>
          <cell r="W33" t="str">
            <v>1 người</v>
          </cell>
          <cell r="X33" t="str">
            <v>PHẠM HUY HÙNG</v>
          </cell>
        </row>
        <row r="34">
          <cell r="I34" t="str">
            <v>B1.07.10</v>
          </cell>
          <cell r="J34" t="str">
            <v>NGUYỄN THỊ KIM QUYÊN</v>
          </cell>
          <cell r="K34" t="str">
            <v>Sàn liên kết</v>
          </cell>
          <cell r="L34" t="str">
            <v>Bcons Homes</v>
          </cell>
          <cell r="M34" t="str">
            <v>Bcons Homes</v>
          </cell>
          <cell r="N34">
            <v>0</v>
          </cell>
          <cell r="O34" t="str">
            <v>NGUYỄN THỊ KIM QUYÊN</v>
          </cell>
          <cell r="P34" t="str">
            <v>Sàn liên kết</v>
          </cell>
          <cell r="Q34" t="str">
            <v>Bcons Homes</v>
          </cell>
          <cell r="R34" t="str">
            <v>Bcons Homes</v>
          </cell>
          <cell r="S34">
            <v>0</v>
          </cell>
          <cell r="T34" t="b">
            <v>1</v>
          </cell>
          <cell r="U34" t="str">
            <v>PTTT 01a</v>
          </cell>
          <cell r="V34" t="str">
            <v>PTTT 01a</v>
          </cell>
          <cell r="W34" t="str">
            <v>2 người</v>
          </cell>
          <cell r="X34" t="str">
            <v>NGUYỄN THỊ KIM QUYÊN</v>
          </cell>
        </row>
        <row r="35">
          <cell r="I35" t="str">
            <v>B1.08.01</v>
          </cell>
          <cell r="J35" t="str">
            <v>TRỊNH NGỌC TUYẾT</v>
          </cell>
          <cell r="K35" t="str">
            <v>Quận 3</v>
          </cell>
          <cell r="L35" t="str">
            <v>Thanh Tuấn</v>
          </cell>
          <cell r="M35" t="str">
            <v>Thanh Liêm</v>
          </cell>
          <cell r="N35" t="str">
            <v>Nguyễn Triêm Định</v>
          </cell>
          <cell r="O35" t="str">
            <v>TRỊNH NGỌC TUYẾT</v>
          </cell>
          <cell r="P35" t="str">
            <v>Quận 3</v>
          </cell>
          <cell r="Q35" t="str">
            <v>Thanh Tuấn</v>
          </cell>
          <cell r="R35" t="str">
            <v>Thanh Liêm</v>
          </cell>
          <cell r="S35" t="str">
            <v>Nguyễn Triêm Định</v>
          </cell>
          <cell r="T35" t="b">
            <v>1</v>
          </cell>
          <cell r="U35" t="str">
            <v>PTTT 01a</v>
          </cell>
          <cell r="V35" t="str">
            <v>PTTT 01a</v>
          </cell>
          <cell r="W35" t="str">
            <v>1 người</v>
          </cell>
          <cell r="X35" t="str">
            <v>TRỊNH NGỌC TUYẾT</v>
          </cell>
        </row>
        <row r="36">
          <cell r="I36" t="str">
            <v>B1.08.02</v>
          </cell>
          <cell r="J36" t="str">
            <v>LÂM LƯU NGUYỆT</v>
          </cell>
          <cell r="K36" t="str">
            <v>Quận 3</v>
          </cell>
          <cell r="L36" t="str">
            <v>Thế Hiển</v>
          </cell>
          <cell r="M36" t="str">
            <v>Văn Tùng</v>
          </cell>
          <cell r="N36" t="str">
            <v>Phan Thiện Quí</v>
          </cell>
          <cell r="O36" t="str">
            <v>LÂM LƯU NGUYỆT</v>
          </cell>
          <cell r="P36" t="str">
            <v>Quận 3</v>
          </cell>
          <cell r="Q36" t="str">
            <v>Thế Hiển</v>
          </cell>
          <cell r="R36" t="str">
            <v>Văn Tùng</v>
          </cell>
          <cell r="S36" t="str">
            <v>Phan Thiện Quí</v>
          </cell>
          <cell r="T36" t="b">
            <v>1</v>
          </cell>
          <cell r="U36" t="str">
            <v>PTTT 03a</v>
          </cell>
          <cell r="V36" t="str">
            <v>PTTT 03a</v>
          </cell>
          <cell r="W36" t="str">
            <v>1 người</v>
          </cell>
          <cell r="X36" t="str">
            <v>LÂM LƯU NGUYỆT</v>
          </cell>
        </row>
        <row r="37">
          <cell r="I37" t="str">
            <v>B1.08.03</v>
          </cell>
          <cell r="J37" t="str">
            <v>THÁI LÊ ANH PHONG</v>
          </cell>
          <cell r="K37" t="str">
            <v>Quận 3</v>
          </cell>
          <cell r="L37" t="str">
            <v>Thanh Tuấn</v>
          </cell>
          <cell r="M37" t="str">
            <v>Duy Nhật</v>
          </cell>
          <cell r="N37" t="str">
            <v>Nguyễn Thị Thùy Ngân</v>
          </cell>
          <cell r="O37" t="str">
            <v>THÁI LÊ ANH PHONG</v>
          </cell>
          <cell r="P37" t="str">
            <v>Quận 3</v>
          </cell>
          <cell r="Q37" t="str">
            <v>Thanh Tuấn</v>
          </cell>
          <cell r="R37" t="str">
            <v>Duy Nhật</v>
          </cell>
          <cell r="S37" t="str">
            <v>Nguyễn Thị Thùy Ngân</v>
          </cell>
          <cell r="T37" t="b">
            <v>1</v>
          </cell>
          <cell r="U37" t="str">
            <v>PTTT 02a</v>
          </cell>
          <cell r="V37" t="str">
            <v>PTTT 02a</v>
          </cell>
          <cell r="W37" t="str">
            <v>1 người</v>
          </cell>
          <cell r="X37" t="str">
            <v>THÁI LÊ ANH PHONG</v>
          </cell>
        </row>
        <row r="38">
          <cell r="I38" t="str">
            <v>B1.08.04</v>
          </cell>
          <cell r="J38" t="str">
            <v>TRẦN THỊ THANH TÂM</v>
          </cell>
          <cell r="K38" t="str">
            <v>Quận 3</v>
          </cell>
          <cell r="L38" t="str">
            <v>Thế Hiển</v>
          </cell>
          <cell r="M38" t="str">
            <v>Văn Tùng</v>
          </cell>
          <cell r="N38" t="str">
            <v>Trần Văn Quốc</v>
          </cell>
          <cell r="O38" t="str">
            <v>TRẦN HỮU THANH THIÊN</v>
          </cell>
          <cell r="P38" t="str">
            <v>Quận 3</v>
          </cell>
          <cell r="Q38" t="str">
            <v>Thế Hiển</v>
          </cell>
          <cell r="R38" t="str">
            <v>Văn Tùng</v>
          </cell>
          <cell r="S38" t="str">
            <v>Trần Văn Quốc</v>
          </cell>
          <cell r="T38" t="b">
            <v>1</v>
          </cell>
          <cell r="U38" t="str">
            <v>PTTT 01a</v>
          </cell>
          <cell r="V38" t="str">
            <v>PTTT 01a</v>
          </cell>
          <cell r="W38" t="str">
            <v>1 người</v>
          </cell>
          <cell r="X38" t="str">
            <v>TRẦN HỮU THANH THIÊN</v>
          </cell>
        </row>
        <row r="39">
          <cell r="I39" t="str">
            <v>B1.08.11</v>
          </cell>
          <cell r="J39" t="str">
            <v>VÕ THỊ HIẾU</v>
          </cell>
          <cell r="K39" t="str">
            <v>Bình Thạnh</v>
          </cell>
          <cell r="L39" t="str">
            <v>Thanh Hà</v>
          </cell>
          <cell r="M39" t="str">
            <v>Đức Đồng</v>
          </cell>
          <cell r="N39" t="str">
            <v>Phạm Đức Đồng</v>
          </cell>
          <cell r="O39" t="str">
            <v>VÕ THỊ HIẾU</v>
          </cell>
          <cell r="P39" t="str">
            <v>Bình Thạnh</v>
          </cell>
          <cell r="Q39" t="str">
            <v>Thanh Hà</v>
          </cell>
          <cell r="R39" t="str">
            <v>Đức Đồng</v>
          </cell>
          <cell r="S39" t="str">
            <v>Phạm Đức Đồng</v>
          </cell>
          <cell r="T39" t="b">
            <v>1</v>
          </cell>
          <cell r="U39" t="str">
            <v>PTTT 04b</v>
          </cell>
          <cell r="V39" t="str">
            <v>PTTT 04b</v>
          </cell>
          <cell r="W39" t="str">
            <v>1 người</v>
          </cell>
          <cell r="X39" t="str">
            <v>VÕ THỊ HIẾU</v>
          </cell>
        </row>
        <row r="40">
          <cell r="I40" t="str">
            <v>B1.08.12</v>
          </cell>
          <cell r="J40" t="str">
            <v>HỒ THỊ KIM QUYÊN</v>
          </cell>
          <cell r="K40" t="str">
            <v>Quận 3</v>
          </cell>
          <cell r="L40" t="str">
            <v>Thanh Tuấn</v>
          </cell>
          <cell r="M40" t="str">
            <v>Tuấn Vương</v>
          </cell>
          <cell r="N40" t="str">
            <v>Võ Thị Thiên Ngân</v>
          </cell>
          <cell r="O40" t="str">
            <v>TẠ THỊ VÂN QUỲNH</v>
          </cell>
          <cell r="P40" t="str">
            <v>Quận 3</v>
          </cell>
          <cell r="Q40" t="str">
            <v>Thanh Tuấn</v>
          </cell>
          <cell r="R40" t="str">
            <v>Tuấn Vương</v>
          </cell>
          <cell r="S40" t="str">
            <v>Võ Thị Thiên Ngân</v>
          </cell>
          <cell r="T40" t="b">
            <v>1</v>
          </cell>
          <cell r="U40" t="str">
            <v>PTTT 01a</v>
          </cell>
          <cell r="V40" t="str">
            <v>PTTT 01a</v>
          </cell>
          <cell r="W40" t="str">
            <v>1 người</v>
          </cell>
          <cell r="X40" t="str">
            <v>TẠ THỊ VÂN QUỲNH</v>
          </cell>
        </row>
        <row r="41">
          <cell r="I41" t="str">
            <v>B1.08.13</v>
          </cell>
          <cell r="J41" t="e">
            <v>#N/A</v>
          </cell>
          <cell r="K41" t="e">
            <v>#N/A</v>
          </cell>
          <cell r="L41" t="e">
            <v>#N/A</v>
          </cell>
          <cell r="M41" t="e">
            <v>#N/A</v>
          </cell>
          <cell r="N41" t="e">
            <v>#N/A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b">
            <v>1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</row>
        <row r="42">
          <cell r="I42" t="str">
            <v>B1.09.01</v>
          </cell>
          <cell r="J42" t="e">
            <v>#N/A</v>
          </cell>
          <cell r="K42" t="e">
            <v>#N/A</v>
          </cell>
          <cell r="L42" t="e">
            <v>#N/A</v>
          </cell>
          <cell r="M42" t="e">
            <v>#N/A</v>
          </cell>
          <cell r="N42" t="e">
            <v>#N/A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b">
            <v>1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</row>
        <row r="43">
          <cell r="I43" t="str">
            <v>B1.09.02</v>
          </cell>
          <cell r="J43" t="str">
            <v>BÙI HỒNG LÊ</v>
          </cell>
          <cell r="K43" t="str">
            <v>Quận 3</v>
          </cell>
          <cell r="L43" t="str">
            <v>Thanh Tuấn</v>
          </cell>
          <cell r="M43" t="str">
            <v>Anh Tài</v>
          </cell>
          <cell r="N43" t="str">
            <v>Nguyễn Văn Vũ</v>
          </cell>
          <cell r="O43" t="str">
            <v>BÙI HỒNG LÊ</v>
          </cell>
          <cell r="P43" t="str">
            <v>Quận 3</v>
          </cell>
          <cell r="Q43" t="str">
            <v>Thanh Tuấn</v>
          </cell>
          <cell r="R43" t="str">
            <v>Anh Tài</v>
          </cell>
          <cell r="S43" t="str">
            <v>Nguyễn Văn Vũ</v>
          </cell>
          <cell r="T43" t="b">
            <v>1</v>
          </cell>
          <cell r="U43">
            <v>0</v>
          </cell>
          <cell r="V43" t="str">
            <v>PTTT 04b</v>
          </cell>
          <cell r="W43" t="str">
            <v>1 người</v>
          </cell>
          <cell r="X43" t="str">
            <v>BÙI HỒNG LÊ</v>
          </cell>
        </row>
        <row r="44">
          <cell r="I44" t="str">
            <v>B1.09.03</v>
          </cell>
          <cell r="J44" t="str">
            <v>CHUNG BÍCH HỒNG</v>
          </cell>
          <cell r="K44" t="str">
            <v>Quận 3</v>
          </cell>
          <cell r="L44" t="str">
            <v>Thế Hiển</v>
          </cell>
          <cell r="M44" t="str">
            <v>Văn Tùng</v>
          </cell>
          <cell r="N44" t="str">
            <v>Trần Văn Vũ</v>
          </cell>
          <cell r="O44" t="str">
            <v>CHUNG BÍCH HỒNG</v>
          </cell>
          <cell r="P44" t="str">
            <v>Quận 3</v>
          </cell>
          <cell r="Q44" t="str">
            <v>Thế Hiển</v>
          </cell>
          <cell r="R44" t="str">
            <v>Văn Tùng</v>
          </cell>
          <cell r="S44">
            <v>0</v>
          </cell>
          <cell r="T44" t="b">
            <v>1</v>
          </cell>
          <cell r="U44" t="str">
            <v>PTTT 03b</v>
          </cell>
          <cell r="V44" t="str">
            <v>PTTT 03b</v>
          </cell>
          <cell r="W44" t="str">
            <v>1 người</v>
          </cell>
          <cell r="X44" t="str">
            <v>CHUNG BÍCH HỒNG</v>
          </cell>
        </row>
        <row r="45">
          <cell r="I45" t="str">
            <v>B1.09.04</v>
          </cell>
          <cell r="J45" t="str">
            <v>PHƯƠNG THỊ MAI HOA</v>
          </cell>
          <cell r="K45" t="str">
            <v>Bình Thạnh</v>
          </cell>
          <cell r="L45" t="str">
            <v>Ngọc Linh</v>
          </cell>
          <cell r="M45" t="str">
            <v>Thanh Đức</v>
          </cell>
          <cell r="N45" t="str">
            <v>Phan Xuân Thưởng</v>
          </cell>
          <cell r="O45">
            <v>0</v>
          </cell>
          <cell r="P45" t="str">
            <v>Bình Thạnh</v>
          </cell>
          <cell r="Q45" t="str">
            <v>Ngọc Linh</v>
          </cell>
          <cell r="R45" t="str">
            <v>Thanh Đức</v>
          </cell>
          <cell r="S45" t="str">
            <v>Phan Xuân Thưởng</v>
          </cell>
          <cell r="T45" t="b">
            <v>0</v>
          </cell>
          <cell r="U45">
            <v>0</v>
          </cell>
          <cell r="V45" t="str">
            <v>PTTT 09c</v>
          </cell>
          <cell r="W45" t="str">
            <v>1 người</v>
          </cell>
          <cell r="X45" t="str">
            <v>PHƯƠNG THỊ MAI HOA</v>
          </cell>
        </row>
        <row r="46">
          <cell r="I46" t="str">
            <v>B1.09.05</v>
          </cell>
          <cell r="J46" t="str">
            <v>ĐẶNG NGUYÊN SƠN</v>
          </cell>
          <cell r="K46" t="str">
            <v>Bình Thạnh</v>
          </cell>
          <cell r="L46" t="str">
            <v>Ngọc Linh</v>
          </cell>
          <cell r="M46" t="str">
            <v>Đình Ban</v>
          </cell>
          <cell r="N46" t="str">
            <v>Phan Thị Ngọc Hiếu</v>
          </cell>
          <cell r="O46" t="str">
            <v>ĐẶNG NGUYÊN SƠN</v>
          </cell>
          <cell r="P46" t="str">
            <v>Bình Thạnh</v>
          </cell>
          <cell r="Q46" t="str">
            <v>Ngọc Linh</v>
          </cell>
          <cell r="R46" t="str">
            <v>Quốc Tuấn</v>
          </cell>
          <cell r="S46" t="str">
            <v>Nguyễn Văn Hoàng</v>
          </cell>
          <cell r="T46" t="b">
            <v>0</v>
          </cell>
          <cell r="U46" t="str">
            <v>PTTT 01a</v>
          </cell>
          <cell r="V46" t="str">
            <v>PTTT 01a</v>
          </cell>
          <cell r="W46" t="str">
            <v>1 người</v>
          </cell>
          <cell r="X46" t="str">
            <v>TRẦN CÔNG THÀNH</v>
          </cell>
        </row>
        <row r="47">
          <cell r="I47" t="str">
            <v>B1.09.06</v>
          </cell>
          <cell r="J47" t="str">
            <v>VÕ HUY QUỐC</v>
          </cell>
          <cell r="K47" t="str">
            <v>Bình Thạnh</v>
          </cell>
          <cell r="L47" t="str">
            <v>Thanh Hà</v>
          </cell>
          <cell r="M47" t="str">
            <v>Đức Đồng</v>
          </cell>
          <cell r="N47" t="str">
            <v>Nguyễn Trung Kiên</v>
          </cell>
          <cell r="O47" t="str">
            <v>VÕ HUY QUỐC</v>
          </cell>
          <cell r="P47" t="str">
            <v>Bình Thạnh</v>
          </cell>
          <cell r="Q47" t="str">
            <v>Thanh Hà</v>
          </cell>
          <cell r="R47" t="str">
            <v>Đức Đồng</v>
          </cell>
          <cell r="S47" t="str">
            <v>Nguyễn Trung Kiên</v>
          </cell>
          <cell r="T47" t="b">
            <v>1</v>
          </cell>
          <cell r="U47" t="str">
            <v>PTTT 01a</v>
          </cell>
          <cell r="V47" t="str">
            <v>PTTT 01a</v>
          </cell>
          <cell r="W47" t="str">
            <v>1 người</v>
          </cell>
          <cell r="X47" t="str">
            <v>VÕ HUY QUỐC</v>
          </cell>
        </row>
        <row r="48">
          <cell r="I48" t="str">
            <v>B1.09.07</v>
          </cell>
          <cell r="J48" t="str">
            <v>PHAN THÀNH BINH</v>
          </cell>
          <cell r="K48" t="str">
            <v>Quận 3</v>
          </cell>
          <cell r="L48" t="str">
            <v>Kỳ Long</v>
          </cell>
          <cell r="M48" t="str">
            <v>Phi Thoại</v>
          </cell>
          <cell r="N48" t="str">
            <v>Phan Thành Binh</v>
          </cell>
          <cell r="O48" t="str">
            <v>NGUYỄN NGỌC PHƯƠNG DUNG</v>
          </cell>
          <cell r="P48" t="str">
            <v>Quận 3</v>
          </cell>
          <cell r="Q48" t="str">
            <v>Kỳ Long</v>
          </cell>
          <cell r="R48" t="str">
            <v>Phi Thoại</v>
          </cell>
          <cell r="S48" t="str">
            <v>Phan Thành Binh</v>
          </cell>
          <cell r="T48" t="b">
            <v>1</v>
          </cell>
          <cell r="U48" t="str">
            <v>PTTT 01a</v>
          </cell>
          <cell r="V48" t="str">
            <v>PTTT 01a</v>
          </cell>
          <cell r="W48" t="str">
            <v>1 người</v>
          </cell>
          <cell r="X48" t="str">
            <v>NGUYỄN NGỌC PHƯƠNG DUNG</v>
          </cell>
        </row>
        <row r="49">
          <cell r="I49" t="str">
            <v>B1.09.08</v>
          </cell>
          <cell r="J49" t="str">
            <v>NGUYỄN THỊ KHÁNH LY</v>
          </cell>
          <cell r="K49" t="str">
            <v>Bình Thạnh</v>
          </cell>
          <cell r="L49" t="str">
            <v>Ngọc Linh</v>
          </cell>
          <cell r="M49" t="str">
            <v>Phạm Vĩ</v>
          </cell>
          <cell r="N49" t="str">
            <v>Lê Văn Thông</v>
          </cell>
          <cell r="O49" t="str">
            <v>NGUYỄN THỊ KHÁNH LY</v>
          </cell>
          <cell r="P49" t="str">
            <v>Bình Thạnh</v>
          </cell>
          <cell r="Q49" t="str">
            <v>Ngọc Linh</v>
          </cell>
          <cell r="R49" t="str">
            <v>Phạm Vĩ</v>
          </cell>
          <cell r="S49" t="str">
            <v>Lê Văn Thông</v>
          </cell>
          <cell r="T49" t="b">
            <v>1</v>
          </cell>
          <cell r="U49" t="str">
            <v>PTTT 01a</v>
          </cell>
          <cell r="V49" t="str">
            <v>PTTT 01a</v>
          </cell>
          <cell r="W49" t="str">
            <v>1 người</v>
          </cell>
          <cell r="X49" t="str">
            <v>NGUYỄN THỊ KHÁNH LY</v>
          </cell>
        </row>
        <row r="50">
          <cell r="I50" t="str">
            <v>B1.09.09</v>
          </cell>
          <cell r="J50" t="str">
            <v>ĐOÀN THANH TÙNG</v>
          </cell>
          <cell r="K50" t="str">
            <v>Bình Thạnh</v>
          </cell>
          <cell r="L50" t="str">
            <v>Thanh Hà</v>
          </cell>
          <cell r="M50" t="str">
            <v>Đức Đồng</v>
          </cell>
          <cell r="N50" t="str">
            <v>Nguyễn Ngọc Anh Thư</v>
          </cell>
          <cell r="O50" t="str">
            <v>ĐOÀN THANH TÙNG</v>
          </cell>
          <cell r="P50" t="str">
            <v>Bình Thạnh</v>
          </cell>
          <cell r="Q50" t="str">
            <v>Thanh Hà</v>
          </cell>
          <cell r="R50" t="str">
            <v>Đức Đồng</v>
          </cell>
          <cell r="S50" t="str">
            <v>Nguyễn Ngọc Anh Thư</v>
          </cell>
          <cell r="T50" t="b">
            <v>1</v>
          </cell>
          <cell r="U50" t="str">
            <v>PTTT 01a</v>
          </cell>
          <cell r="V50" t="str">
            <v>PTTT 01a</v>
          </cell>
          <cell r="W50" t="str">
            <v>1 người</v>
          </cell>
          <cell r="X50" t="str">
            <v>ĐOÀN THANH TÙNG</v>
          </cell>
        </row>
        <row r="51">
          <cell r="I51" t="str">
            <v>B1.09.10</v>
          </cell>
          <cell r="J51" t="str">
            <v>TẠ XUÂN QUANG</v>
          </cell>
          <cell r="K51" t="str">
            <v>Quận 3</v>
          </cell>
          <cell r="L51" t="str">
            <v>Thanh Tuấn</v>
          </cell>
          <cell r="M51" t="str">
            <v>Tuấn Vương</v>
          </cell>
          <cell r="N51" t="str">
            <v>Nguyễn Việt Hoàng</v>
          </cell>
          <cell r="O51" t="str">
            <v>TẠ XUÂN QUANG</v>
          </cell>
          <cell r="P51" t="str">
            <v>Quận 3</v>
          </cell>
          <cell r="Q51" t="str">
            <v>Thanh Tuấn</v>
          </cell>
          <cell r="R51" t="str">
            <v>Tuấn Vương</v>
          </cell>
          <cell r="S51" t="str">
            <v>Nguyễn Việt Hoàng</v>
          </cell>
          <cell r="T51" t="b">
            <v>1</v>
          </cell>
          <cell r="U51" t="str">
            <v>PTTT 03a</v>
          </cell>
          <cell r="V51" t="str">
            <v>PTTT 03a</v>
          </cell>
          <cell r="W51" t="str">
            <v>1 người</v>
          </cell>
          <cell r="X51" t="str">
            <v>TẠ XUÂN QUANG</v>
          </cell>
        </row>
        <row r="52">
          <cell r="I52" t="str">
            <v>B1.09.11</v>
          </cell>
          <cell r="J52" t="str">
            <v>NGUYỄN THỊ PHƯƠNG</v>
          </cell>
          <cell r="K52" t="str">
            <v>Quận 3</v>
          </cell>
          <cell r="L52" t="str">
            <v>Thế Hiển</v>
          </cell>
          <cell r="M52" t="str">
            <v>Văn Tùng</v>
          </cell>
          <cell r="N52" t="str">
            <v>Trần Thị Kim Yên</v>
          </cell>
          <cell r="O52" t="str">
            <v>NGUYỄN THỊ PHƯƠNG</v>
          </cell>
          <cell r="P52" t="str">
            <v>Quận 3</v>
          </cell>
          <cell r="Q52" t="str">
            <v>Thế Hiển</v>
          </cell>
          <cell r="R52" t="str">
            <v>Văn Tùng</v>
          </cell>
          <cell r="S52" t="str">
            <v>Trần Thị Kiêm Yên</v>
          </cell>
          <cell r="T52" t="b">
            <v>1</v>
          </cell>
          <cell r="U52" t="str">
            <v>PTTT 04b</v>
          </cell>
          <cell r="V52" t="str">
            <v>PTTT 04b</v>
          </cell>
          <cell r="W52" t="str">
            <v>1 người</v>
          </cell>
          <cell r="X52" t="str">
            <v>NGUYỄN THỊ PHƯƠNG</v>
          </cell>
        </row>
        <row r="53">
          <cell r="I53" t="str">
            <v>B1.09.12</v>
          </cell>
          <cell r="J53" t="str">
            <v>TSẰN CHIẾU NGÀN</v>
          </cell>
          <cell r="K53" t="str">
            <v>Quận 3</v>
          </cell>
          <cell r="L53" t="str">
            <v>Thanh Tuấn</v>
          </cell>
          <cell r="M53" t="str">
            <v>Duy Nhật</v>
          </cell>
          <cell r="N53" t="str">
            <v>Tsằn Chiếu Ngàn</v>
          </cell>
          <cell r="O53" t="str">
            <v>NGUYỄN THỊ DIỆP ANH</v>
          </cell>
          <cell r="P53" t="str">
            <v>Quận 3</v>
          </cell>
          <cell r="Q53" t="str">
            <v>Thanh Tuấn</v>
          </cell>
          <cell r="R53" t="str">
            <v>Duy Nhật</v>
          </cell>
          <cell r="S53" t="str">
            <v>Tsằn Chiếu Ngàn</v>
          </cell>
          <cell r="T53" t="b">
            <v>1</v>
          </cell>
          <cell r="U53" t="str">
            <v>PTTT 01a</v>
          </cell>
          <cell r="V53" t="str">
            <v>PTTT 01a</v>
          </cell>
          <cell r="W53" t="str">
            <v>1 người</v>
          </cell>
          <cell r="X53" t="str">
            <v>NGUYỄN THỊ DIỆP ANH</v>
          </cell>
        </row>
        <row r="54">
          <cell r="I54" t="str">
            <v>B1.09.13</v>
          </cell>
          <cell r="J54" t="str">
            <v>???</v>
          </cell>
          <cell r="K54" t="str">
            <v>???</v>
          </cell>
          <cell r="L54" t="str">
            <v>???</v>
          </cell>
          <cell r="M54" t="str">
            <v>???</v>
          </cell>
          <cell r="N54" t="str">
            <v>???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 t="b">
            <v>1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</row>
        <row r="55">
          <cell r="I55" t="str">
            <v>B1.10.05</v>
          </cell>
          <cell r="J55" t="str">
            <v>NGUYỄN THỊ LINH</v>
          </cell>
          <cell r="K55" t="str">
            <v>Quận 3</v>
          </cell>
          <cell r="L55" t="str">
            <v>Kỳ Long</v>
          </cell>
          <cell r="M55" t="str">
            <v>Văn Tuyên</v>
          </cell>
          <cell r="N55" t="str">
            <v>Đồng Thị Hằng</v>
          </cell>
          <cell r="O55" t="str">
            <v>NGUYỄN THỊ LINH</v>
          </cell>
          <cell r="P55" t="str">
            <v>Quận 3</v>
          </cell>
          <cell r="Q55" t="str">
            <v>Kỳ Long</v>
          </cell>
          <cell r="R55" t="str">
            <v>Văn Tuyên</v>
          </cell>
          <cell r="S55" t="str">
            <v>Đồng Thị Hằng</v>
          </cell>
          <cell r="T55" t="b">
            <v>1</v>
          </cell>
          <cell r="U55" t="str">
            <v>PTTT 01a</v>
          </cell>
          <cell r="V55" t="str">
            <v>PTTT 04a</v>
          </cell>
          <cell r="W55" t="str">
            <v>1 người</v>
          </cell>
          <cell r="X55" t="str">
            <v>NGUYỄN THỊ LINH</v>
          </cell>
        </row>
        <row r="56">
          <cell r="I56" t="str">
            <v>B1.10.06</v>
          </cell>
          <cell r="J56" t="str">
            <v>TRẦN ANH NGUYÊN</v>
          </cell>
          <cell r="K56" t="str">
            <v>Quận 3</v>
          </cell>
          <cell r="L56" t="str">
            <v>Thế Hiển</v>
          </cell>
          <cell r="M56" t="str">
            <v>Văn Tùng</v>
          </cell>
          <cell r="N56" t="str">
            <v>Phan Thiện Quí</v>
          </cell>
          <cell r="O56" t="str">
            <v>NGUYỄN THỊ HOÀI NAM</v>
          </cell>
          <cell r="P56" t="str">
            <v>Quận 3</v>
          </cell>
          <cell r="Q56" t="str">
            <v>Thế Hiển</v>
          </cell>
          <cell r="R56" t="str">
            <v>Văn Tùng</v>
          </cell>
          <cell r="S56" t="str">
            <v>Phan Thiện Quí</v>
          </cell>
          <cell r="T56" t="b">
            <v>1</v>
          </cell>
          <cell r="U56" t="str">
            <v>PTTT 03a</v>
          </cell>
          <cell r="V56" t="str">
            <v>PTTT 03a</v>
          </cell>
          <cell r="W56" t="str">
            <v>1 người</v>
          </cell>
          <cell r="X56" t="str">
            <v>NGUYỄN THỊ HOÀI NAM</v>
          </cell>
        </row>
        <row r="57">
          <cell r="I57" t="str">
            <v>B1.10.07</v>
          </cell>
          <cell r="J57" t="str">
            <v>PHẠM THỊ PHƯỢNG</v>
          </cell>
          <cell r="K57" t="str">
            <v>Quận 3</v>
          </cell>
          <cell r="L57" t="str">
            <v>Thanh Tuấn</v>
          </cell>
          <cell r="M57" t="str">
            <v>Tuấn Vương</v>
          </cell>
          <cell r="N57" t="str">
            <v>Trần Hoàng Việt</v>
          </cell>
          <cell r="O57" t="str">
            <v>LẠI VĂN HANH</v>
          </cell>
          <cell r="P57" t="str">
            <v>Quận 3</v>
          </cell>
          <cell r="Q57" t="str">
            <v>Thanh Tuấn</v>
          </cell>
          <cell r="R57" t="str">
            <v>Tuấn Vương</v>
          </cell>
          <cell r="S57" t="str">
            <v>Trần Hoàng Việt</v>
          </cell>
          <cell r="T57" t="b">
            <v>1</v>
          </cell>
          <cell r="U57" t="str">
            <v>PTTT 03a</v>
          </cell>
          <cell r="V57" t="str">
            <v>PTTT 03a</v>
          </cell>
          <cell r="W57" t="str">
            <v>1 người</v>
          </cell>
          <cell r="X57" t="str">
            <v>LẠI VĂN HANH</v>
          </cell>
        </row>
        <row r="58">
          <cell r="I58" t="str">
            <v>B1.10.08</v>
          </cell>
          <cell r="J58" t="str">
            <v>HỒ THỊ PHÚ BÌNH</v>
          </cell>
          <cell r="K58" t="str">
            <v>Bình Thạnh</v>
          </cell>
          <cell r="L58" t="str">
            <v>Thanh Hà</v>
          </cell>
          <cell r="M58" t="str">
            <v>Đức Đồng</v>
          </cell>
          <cell r="N58" t="str">
            <v>Võ Văn Thuận</v>
          </cell>
          <cell r="O58" t="str">
            <v>MÃ TRÍ MINH QUÂN</v>
          </cell>
          <cell r="P58" t="str">
            <v>Bình Thạnh</v>
          </cell>
          <cell r="Q58" t="str">
            <v>Thanh Hà</v>
          </cell>
          <cell r="R58" t="str">
            <v>Đức Đồng</v>
          </cell>
          <cell r="S58" t="str">
            <v>Võ Văn Thuận</v>
          </cell>
          <cell r="T58" t="b">
            <v>1</v>
          </cell>
          <cell r="U58" t="str">
            <v>PTTT 01a</v>
          </cell>
          <cell r="V58" t="str">
            <v>PTTT 01a</v>
          </cell>
          <cell r="W58" t="str">
            <v>1 người</v>
          </cell>
          <cell r="X58" t="str">
            <v>MÃ TRÍ MINH QUÂN</v>
          </cell>
        </row>
        <row r="59">
          <cell r="I59" t="str">
            <v>B1.10.09</v>
          </cell>
          <cell r="J59" t="str">
            <v>ĐOÀN THANH TÙNG</v>
          </cell>
          <cell r="K59" t="str">
            <v>Bình Thạnh</v>
          </cell>
          <cell r="L59" t="str">
            <v>Thanh Hà</v>
          </cell>
          <cell r="M59" t="str">
            <v>Đức Đồng</v>
          </cell>
          <cell r="N59" t="str">
            <v>Nguyễn Ngọc Anh Thư</v>
          </cell>
          <cell r="O59" t="str">
            <v>ĐOÀN THANH TÙNG</v>
          </cell>
          <cell r="P59" t="str">
            <v>Bình Thạnh</v>
          </cell>
          <cell r="Q59" t="str">
            <v>Thanh Hà</v>
          </cell>
          <cell r="R59" t="str">
            <v>Đức Đồng</v>
          </cell>
          <cell r="S59" t="str">
            <v>Nguyễn Ngọc Anh Thư</v>
          </cell>
          <cell r="T59" t="b">
            <v>1</v>
          </cell>
          <cell r="U59" t="str">
            <v>PTTT 01a</v>
          </cell>
          <cell r="V59" t="str">
            <v>PTTT 01a</v>
          </cell>
          <cell r="W59" t="str">
            <v>1 người</v>
          </cell>
          <cell r="X59" t="str">
            <v>ĐOÀN THANH TÙNG</v>
          </cell>
        </row>
        <row r="60">
          <cell r="I60" t="str">
            <v>B1.10.10</v>
          </cell>
          <cell r="J60" t="str">
            <v>HÀ QUỐC DƯƠNG</v>
          </cell>
          <cell r="K60" t="str">
            <v>Bình Thạnh</v>
          </cell>
          <cell r="L60" t="str">
            <v>Lê Mai</v>
          </cell>
          <cell r="M60" t="str">
            <v>Ly Ly</v>
          </cell>
          <cell r="N60" t="str">
            <v>Võ Thế Hậu</v>
          </cell>
          <cell r="O60" t="str">
            <v>HÀ QUỐC DƯƠNG</v>
          </cell>
          <cell r="P60" t="str">
            <v>Bình Thạnh</v>
          </cell>
          <cell r="Q60" t="str">
            <v>Lê Mai</v>
          </cell>
          <cell r="R60" t="str">
            <v>Ly Ly</v>
          </cell>
          <cell r="S60" t="str">
            <v>Võ Thế Hậu</v>
          </cell>
          <cell r="T60" t="b">
            <v>1</v>
          </cell>
          <cell r="U60" t="str">
            <v>PTTT 03a</v>
          </cell>
          <cell r="V60" t="str">
            <v>PTTT 03a</v>
          </cell>
          <cell r="W60" t="str">
            <v>2 người</v>
          </cell>
          <cell r="X60" t="str">
            <v>HÀ QUỐC DƯƠNG</v>
          </cell>
        </row>
        <row r="61">
          <cell r="I61" t="str">
            <v>B1.11.01</v>
          </cell>
          <cell r="J61" t="str">
            <v>NGUYỄN NHẬT QUANG</v>
          </cell>
          <cell r="K61" t="str">
            <v>Quận 3</v>
          </cell>
          <cell r="L61" t="str">
            <v>Hoài Dương</v>
          </cell>
          <cell r="M61" t="str">
            <v>Văn Tình</v>
          </cell>
          <cell r="N61" t="str">
            <v>Nguyễn Thị Quế Trâm</v>
          </cell>
          <cell r="O61">
            <v>0</v>
          </cell>
          <cell r="P61" t="str">
            <v>Quận 3</v>
          </cell>
          <cell r="Q61" t="str">
            <v>Hoài Dương</v>
          </cell>
          <cell r="R61" t="str">
            <v>Văn Tình</v>
          </cell>
          <cell r="S61" t="str">
            <v>Nguyễn Thị Quế Trâm</v>
          </cell>
          <cell r="T61" t="b">
            <v>0</v>
          </cell>
          <cell r="U61">
            <v>0</v>
          </cell>
          <cell r="V61" t="str">
            <v>PTTT 09c</v>
          </cell>
          <cell r="W61" t="str">
            <v>1 người</v>
          </cell>
          <cell r="X61" t="str">
            <v>NGUYỄN NHẬT QUANG</v>
          </cell>
        </row>
        <row r="62">
          <cell r="I62" t="str">
            <v>B1.11.02</v>
          </cell>
          <cell r="J62" t="str">
            <v>NGUYỄN TÀI DIỆP</v>
          </cell>
          <cell r="K62" t="str">
            <v>Bình Thạnh</v>
          </cell>
          <cell r="L62" t="str">
            <v>Lê Mai</v>
          </cell>
          <cell r="M62" t="str">
            <v>Ly Ly</v>
          </cell>
          <cell r="N62" t="str">
            <v>Võ Thế Hậu</v>
          </cell>
          <cell r="O62">
            <v>0</v>
          </cell>
          <cell r="P62" t="str">
            <v>Bình Thạnh</v>
          </cell>
          <cell r="Q62" t="str">
            <v>Lê Mai</v>
          </cell>
          <cell r="R62" t="str">
            <v>Ly Ly</v>
          </cell>
          <cell r="S62" t="str">
            <v>Võ Thế Hậu</v>
          </cell>
          <cell r="T62" t="b">
            <v>0</v>
          </cell>
          <cell r="U62">
            <v>0</v>
          </cell>
          <cell r="V62" t="str">
            <v>PTTT 08c</v>
          </cell>
          <cell r="W62" t="str">
            <v>1 người</v>
          </cell>
          <cell r="X62" t="str">
            <v>NGUYỄN TÀI DIỆP</v>
          </cell>
        </row>
        <row r="63">
          <cell r="I63" t="str">
            <v>B1.11.03</v>
          </cell>
          <cell r="J63" t="str">
            <v>NGUYỄN THỊ THU</v>
          </cell>
          <cell r="K63" t="str">
            <v>Bình Thạnh</v>
          </cell>
          <cell r="L63" t="str">
            <v>Thanh Hà</v>
          </cell>
          <cell r="M63" t="str">
            <v>Đức Đồng</v>
          </cell>
          <cell r="N63" t="str">
            <v>Trần Minh Phúc</v>
          </cell>
          <cell r="O63" t="str">
            <v>TRẦN THỊ THẢO PHƯƠNG</v>
          </cell>
          <cell r="P63" t="str">
            <v>Bình Thạnh</v>
          </cell>
          <cell r="Q63" t="str">
            <v>Thanh Hà</v>
          </cell>
          <cell r="R63" t="str">
            <v>Đức Đồng</v>
          </cell>
          <cell r="S63" t="str">
            <v>Trần Minh Phúc</v>
          </cell>
          <cell r="T63" t="b">
            <v>1</v>
          </cell>
          <cell r="U63" t="str">
            <v>PTTT 04b</v>
          </cell>
          <cell r="V63" t="str">
            <v>PTTT 04b</v>
          </cell>
          <cell r="W63" t="str">
            <v>1 người</v>
          </cell>
          <cell r="X63" t="str">
            <v>TRẦN THỊ THẢO PHƯƠNG</v>
          </cell>
        </row>
        <row r="64">
          <cell r="I64" t="str">
            <v>B1.11.04</v>
          </cell>
          <cell r="J64" t="str">
            <v>VŨ THỊ NHUẦN</v>
          </cell>
          <cell r="K64" t="str">
            <v>Bình Thạnh</v>
          </cell>
          <cell r="L64" t="str">
            <v>Lê Mai</v>
          </cell>
          <cell r="M64" t="str">
            <v>Ly Ly</v>
          </cell>
          <cell r="N64" t="str">
            <v>Nguyễn Đăng Khôi</v>
          </cell>
          <cell r="O64">
            <v>0</v>
          </cell>
          <cell r="P64" t="str">
            <v>Bình Thạnh</v>
          </cell>
          <cell r="Q64" t="str">
            <v>Lê Mai</v>
          </cell>
          <cell r="R64" t="str">
            <v>Ly Ly</v>
          </cell>
          <cell r="S64" t="str">
            <v>Nguyễn Đăng Khôi</v>
          </cell>
          <cell r="T64" t="b">
            <v>0</v>
          </cell>
          <cell r="U64">
            <v>0</v>
          </cell>
          <cell r="V64" t="str">
            <v>PTTT 09c</v>
          </cell>
          <cell r="W64" t="str">
            <v>1 người</v>
          </cell>
          <cell r="X64" t="str">
            <v>VŨ THỊ NHUẦN</v>
          </cell>
        </row>
        <row r="65">
          <cell r="I65" t="str">
            <v>B1.11.11</v>
          </cell>
          <cell r="J65" t="str">
            <v>???</v>
          </cell>
          <cell r="K65" t="str">
            <v>???</v>
          </cell>
          <cell r="L65" t="str">
            <v>???</v>
          </cell>
          <cell r="M65" t="str">
            <v>???</v>
          </cell>
          <cell r="N65" t="str">
            <v>???</v>
          </cell>
          <cell r="O65" t="str">
            <v>NGUYỄN THỊ THÙY DƯƠNG</v>
          </cell>
          <cell r="P65" t="str">
            <v>Bình Thạnh</v>
          </cell>
          <cell r="Q65" t="str">
            <v>Lê Mai</v>
          </cell>
          <cell r="R65" t="str">
            <v>Ly Ly</v>
          </cell>
          <cell r="S65" t="str">
            <v>Đặng Trung Nhân</v>
          </cell>
          <cell r="T65" t="b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</row>
        <row r="66">
          <cell r="I66" t="str">
            <v>B1.11.12</v>
          </cell>
          <cell r="J66" t="str">
            <v>LÂM QUỐC TUẤN</v>
          </cell>
          <cell r="K66" t="str">
            <v>Quận 3</v>
          </cell>
          <cell r="L66" t="str">
            <v>Thế Hiển</v>
          </cell>
          <cell r="M66" t="str">
            <v>Văn Tùng</v>
          </cell>
          <cell r="N66" t="str">
            <v>Châu Thị Mộng Trinh</v>
          </cell>
          <cell r="O66" t="str">
            <v>LÂM QUỐC TUẤN</v>
          </cell>
          <cell r="P66" t="str">
            <v>Quận 3</v>
          </cell>
          <cell r="Q66" t="str">
            <v>Thế Hiển</v>
          </cell>
          <cell r="R66" t="str">
            <v>Văn Tùng</v>
          </cell>
          <cell r="S66" t="str">
            <v>Châu Thị Mộng Trinh</v>
          </cell>
          <cell r="T66" t="b">
            <v>1</v>
          </cell>
          <cell r="U66" t="str">
            <v>PTTT 03a</v>
          </cell>
          <cell r="V66" t="str">
            <v>PTTT 03a</v>
          </cell>
          <cell r="W66" t="str">
            <v>1 người</v>
          </cell>
          <cell r="X66" t="str">
            <v>LÂM QUỐC TUẤN</v>
          </cell>
        </row>
        <row r="67">
          <cell r="I67" t="str">
            <v>B1.11.13</v>
          </cell>
          <cell r="J67" t="str">
            <v>???</v>
          </cell>
          <cell r="K67" t="str">
            <v>???</v>
          </cell>
          <cell r="L67" t="str">
            <v>???</v>
          </cell>
          <cell r="M67" t="str">
            <v>???</v>
          </cell>
          <cell r="N67" t="str">
            <v>???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 t="b">
            <v>1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</row>
        <row r="68">
          <cell r="I68" t="str">
            <v>B1.12.05</v>
          </cell>
          <cell r="J68" t="str">
            <v>NGÔ KHẮC YÊN</v>
          </cell>
          <cell r="K68" t="str">
            <v>Quận 3</v>
          </cell>
          <cell r="L68" t="str">
            <v>Thế Hiển</v>
          </cell>
          <cell r="M68" t="str">
            <v>Văn Tùng</v>
          </cell>
          <cell r="N68" t="str">
            <v>Châu Thị Mộng Trinh</v>
          </cell>
          <cell r="O68" t="str">
            <v>NGÔ KHẮC YÊN</v>
          </cell>
          <cell r="P68" t="str">
            <v>Quận 3</v>
          </cell>
          <cell r="Q68" t="str">
            <v>Thế Hiển</v>
          </cell>
          <cell r="R68" t="str">
            <v>Văn Tùng</v>
          </cell>
          <cell r="S68" t="str">
            <v>Châu Thị Mộng Trinh</v>
          </cell>
          <cell r="T68" t="b">
            <v>1</v>
          </cell>
          <cell r="U68" t="str">
            <v>PTTT 01b</v>
          </cell>
          <cell r="V68" t="str">
            <v>PTTT 01b</v>
          </cell>
          <cell r="W68" t="str">
            <v>1 người</v>
          </cell>
          <cell r="X68" t="str">
            <v>NGÔ KHẮC YÊN</v>
          </cell>
        </row>
        <row r="69">
          <cell r="I69" t="str">
            <v>B1.12.07</v>
          </cell>
          <cell r="J69" t="str">
            <v>NGUYỄN MINH HOÀNG</v>
          </cell>
          <cell r="K69" t="str">
            <v>Bình Thạnh</v>
          </cell>
          <cell r="L69" t="str">
            <v>Ngọc Linh</v>
          </cell>
          <cell r="M69" t="str">
            <v>Đình Ban</v>
          </cell>
          <cell r="N69" t="str">
            <v>Lê Thị Bích Tiên</v>
          </cell>
          <cell r="O69" t="str">
            <v>NGUYỄN MINH HOÀNG</v>
          </cell>
          <cell r="P69" t="str">
            <v>Bình Thạnh</v>
          </cell>
          <cell r="Q69" t="str">
            <v>Ngọc Linh</v>
          </cell>
          <cell r="R69" t="str">
            <v>Đình Ban</v>
          </cell>
          <cell r="S69" t="str">
            <v>Lê Thị Bích Tiên</v>
          </cell>
          <cell r="T69" t="b">
            <v>1</v>
          </cell>
          <cell r="U69" t="str">
            <v>PTTT 03a</v>
          </cell>
          <cell r="V69" t="str">
            <v>PTTT 03a</v>
          </cell>
          <cell r="W69" t="str">
            <v>1 người</v>
          </cell>
          <cell r="X69" t="str">
            <v>NGUYỄN MINH HOÀNG</v>
          </cell>
        </row>
        <row r="70">
          <cell r="I70" t="str">
            <v>B1.12.08</v>
          </cell>
          <cell r="J70" t="str">
            <v>LÊ THỊ MINH HẰNG</v>
          </cell>
          <cell r="K70" t="str">
            <v>Quận 3</v>
          </cell>
          <cell r="L70" t="str">
            <v>Thanh Tuấn</v>
          </cell>
          <cell r="M70" t="str">
            <v>Duy Nhật</v>
          </cell>
          <cell r="N70" t="str">
            <v>Võ Hồng Phúc</v>
          </cell>
          <cell r="O70" t="str">
            <v>LÊ THỊ MINH HẰNG</v>
          </cell>
          <cell r="P70" t="str">
            <v>Quận 3</v>
          </cell>
          <cell r="Q70" t="str">
            <v>Thanh Tuấn</v>
          </cell>
          <cell r="R70" t="str">
            <v>Duy Nhật</v>
          </cell>
          <cell r="S70" t="str">
            <v>Võ Hồng Phúc</v>
          </cell>
          <cell r="T70" t="b">
            <v>1</v>
          </cell>
          <cell r="U70" t="str">
            <v>PTTT 01a</v>
          </cell>
          <cell r="V70" t="str">
            <v>PTTT 01a</v>
          </cell>
          <cell r="W70" t="str">
            <v>1 người</v>
          </cell>
          <cell r="X70" t="str">
            <v>LÊ THỊ MINH HẰNG</v>
          </cell>
        </row>
        <row r="71">
          <cell r="I71" t="str">
            <v>B1.12.09</v>
          </cell>
          <cell r="J71" t="str">
            <v>PHẠM VĂN NGUYÊN</v>
          </cell>
          <cell r="K71" t="str">
            <v>Bình Thạnh</v>
          </cell>
          <cell r="L71" t="str">
            <v>Thanh Hà</v>
          </cell>
          <cell r="M71" t="str">
            <v>Như Ngọc</v>
          </cell>
          <cell r="N71" t="str">
            <v>Nguyễn Xuân Tuấn Sang</v>
          </cell>
          <cell r="O71" t="str">
            <v>PHẠM VĂN NGUYÊN</v>
          </cell>
          <cell r="P71" t="str">
            <v>Bình Thạnh</v>
          </cell>
          <cell r="Q71" t="str">
            <v>Thanh Hà</v>
          </cell>
          <cell r="R71" t="str">
            <v>Như Ngọc</v>
          </cell>
          <cell r="S71" t="str">
            <v>Nguyễn Xuân Tuấn Sang</v>
          </cell>
          <cell r="T71" t="b">
            <v>1</v>
          </cell>
          <cell r="U71" t="str">
            <v>PTTT 01a</v>
          </cell>
          <cell r="V71" t="str">
            <v>PTTT 01a</v>
          </cell>
          <cell r="W71" t="str">
            <v>2 người</v>
          </cell>
          <cell r="X71" t="str">
            <v>PHẠM VĂN NGUYÊN</v>
          </cell>
        </row>
        <row r="72">
          <cell r="I72" t="str">
            <v>B1.12.10</v>
          </cell>
          <cell r="J72" t="str">
            <v>BÙI THỊ MỸ LANH</v>
          </cell>
          <cell r="K72" t="str">
            <v>Quận 3</v>
          </cell>
          <cell r="L72" t="str">
            <v>Kỳ Long</v>
          </cell>
          <cell r="M72" t="str">
            <v>Phi Thoại</v>
          </cell>
          <cell r="N72" t="str">
            <v>Đỗ Phi Thoại</v>
          </cell>
          <cell r="O72" t="str">
            <v>BÙI THỊ MỸ LANH</v>
          </cell>
          <cell r="P72" t="str">
            <v>Quận 3</v>
          </cell>
          <cell r="Q72" t="str">
            <v>Kỳ Long</v>
          </cell>
          <cell r="R72" t="str">
            <v>Phi Thoại</v>
          </cell>
          <cell r="S72" t="str">
            <v>Đỗ Phi Thoại</v>
          </cell>
          <cell r="T72" t="b">
            <v>1</v>
          </cell>
          <cell r="U72" t="str">
            <v>PTTT 01a</v>
          </cell>
          <cell r="V72" t="str">
            <v>PTTT 01a</v>
          </cell>
          <cell r="W72" t="str">
            <v>1 người</v>
          </cell>
          <cell r="X72" t="str">
            <v>BÙI THỊ MỸ LANH</v>
          </cell>
        </row>
        <row r="73">
          <cell r="I73" t="str">
            <v>B1.12a.01</v>
          </cell>
          <cell r="J73" t="str">
            <v>VÒNG CẢNH VẰN</v>
          </cell>
          <cell r="K73" t="str">
            <v>Bình Thạnh</v>
          </cell>
          <cell r="L73" t="str">
            <v>Ngọc Linh</v>
          </cell>
          <cell r="M73" t="str">
            <v>Thanh Đức</v>
          </cell>
          <cell r="N73" t="str">
            <v>Phạm Thị Như Ngọc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 t="b">
            <v>1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</row>
        <row r="74">
          <cell r="I74" t="str">
            <v>B1.12a.02</v>
          </cell>
          <cell r="J74" t="e">
            <v>#N/A</v>
          </cell>
          <cell r="K74" t="e">
            <v>#N/A</v>
          </cell>
          <cell r="L74" t="e">
            <v>#N/A</v>
          </cell>
          <cell r="M74" t="e">
            <v>#N/A</v>
          </cell>
          <cell r="N74" t="e">
            <v>#N/A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 t="b">
            <v>1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</row>
        <row r="75">
          <cell r="I75" t="str">
            <v>B1.12a.03</v>
          </cell>
          <cell r="J75" t="str">
            <v>NGUYỄN NGỌC PHƯƠNG DUNG</v>
          </cell>
          <cell r="K75" t="str">
            <v>Bình Thạnh</v>
          </cell>
          <cell r="L75" t="str">
            <v>Thanh Hà</v>
          </cell>
          <cell r="M75" t="str">
            <v>Đức Đồng</v>
          </cell>
          <cell r="N75" t="str">
            <v>Nguyễn Trung Kiên</v>
          </cell>
          <cell r="O75" t="str">
            <v>NGUYỄN NGỌC PHƯƠNG DUNG</v>
          </cell>
          <cell r="P75" t="str">
            <v>Bình Thạnh</v>
          </cell>
          <cell r="Q75" t="str">
            <v>Thanh Hà</v>
          </cell>
          <cell r="R75" t="str">
            <v>Đức Đồng</v>
          </cell>
          <cell r="S75" t="str">
            <v>Nguyễn Trung Kiên</v>
          </cell>
          <cell r="T75" t="b">
            <v>1</v>
          </cell>
          <cell r="U75" t="str">
            <v>PTTT 04b</v>
          </cell>
          <cell r="V75" t="str">
            <v>PTTT 04b</v>
          </cell>
          <cell r="W75" t="str">
            <v>1 người</v>
          </cell>
          <cell r="X75" t="str">
            <v>NGUYỄN NGỌC PHƯƠNG DUNG</v>
          </cell>
        </row>
        <row r="76">
          <cell r="I76" t="str">
            <v>B1.12a.04</v>
          </cell>
          <cell r="J76" t="str">
            <v>NGUYỄN THẾ ĐẮC</v>
          </cell>
          <cell r="K76" t="str">
            <v>Bình Thạnh</v>
          </cell>
          <cell r="L76" t="str">
            <v>Lê Mai</v>
          </cell>
          <cell r="M76" t="str">
            <v>Ly Ly</v>
          </cell>
          <cell r="N76" t="str">
            <v>Ngô Thanh Thảo</v>
          </cell>
          <cell r="O76">
            <v>0</v>
          </cell>
          <cell r="P76" t="str">
            <v>Bình Thạnh</v>
          </cell>
          <cell r="Q76" t="str">
            <v>Lê Mai</v>
          </cell>
          <cell r="R76" t="str">
            <v>Ly Ly</v>
          </cell>
          <cell r="S76" t="str">
            <v>Ngô Thanh Thảo</v>
          </cell>
          <cell r="T76" t="b">
            <v>0</v>
          </cell>
          <cell r="U76">
            <v>0</v>
          </cell>
          <cell r="V76" t="str">
            <v>PTTT 09c</v>
          </cell>
          <cell r="W76" t="str">
            <v>1 người</v>
          </cell>
          <cell r="X76" t="str">
            <v>NGUYỄN THẾ ĐẮC</v>
          </cell>
        </row>
        <row r="77">
          <cell r="I77" t="str">
            <v>B1.12a.05</v>
          </cell>
          <cell r="J77" t="str">
            <v>PHÙNG KIM THÀNH</v>
          </cell>
          <cell r="K77" t="str">
            <v>Bình Thạnh</v>
          </cell>
          <cell r="L77" t="str">
            <v>Thanh Hà</v>
          </cell>
          <cell r="M77" t="str">
            <v>Đức Đồng</v>
          </cell>
          <cell r="N77" t="str">
            <v>Nguyễn Ngọc Anh Thư</v>
          </cell>
          <cell r="O77">
            <v>0</v>
          </cell>
          <cell r="P77" t="str">
            <v>Bình Thạnh</v>
          </cell>
          <cell r="Q77" t="str">
            <v>Thanh Hà</v>
          </cell>
          <cell r="R77" t="str">
            <v>Đức Đồng</v>
          </cell>
          <cell r="S77" t="str">
            <v>Nguyễn Ngọc Anh Thư</v>
          </cell>
          <cell r="T77" t="b">
            <v>0</v>
          </cell>
          <cell r="U77">
            <v>0</v>
          </cell>
          <cell r="V77" t="str">
            <v>PTTT 04c</v>
          </cell>
          <cell r="W77" t="str">
            <v>1 người</v>
          </cell>
          <cell r="X77" t="str">
            <v>TRIỆU NGỌC QUẾ</v>
          </cell>
        </row>
        <row r="78">
          <cell r="I78" t="str">
            <v>B1.12a.06</v>
          </cell>
          <cell r="J78" t="str">
            <v>ĐOÀN THỊ MỸ TRANG</v>
          </cell>
          <cell r="K78" t="str">
            <v>Bình Thạnh</v>
          </cell>
          <cell r="L78" t="str">
            <v>Thanh Hà</v>
          </cell>
          <cell r="M78" t="str">
            <v>Đức Đồng</v>
          </cell>
          <cell r="N78" t="str">
            <v>Trần Minh Phúc</v>
          </cell>
          <cell r="O78" t="str">
            <v>ĐOÀN THỊ MỸ TRANG</v>
          </cell>
          <cell r="P78" t="str">
            <v>Bình Thạnh</v>
          </cell>
          <cell r="Q78" t="str">
            <v>Thanh Hà</v>
          </cell>
          <cell r="R78" t="str">
            <v>Đức Đồng</v>
          </cell>
          <cell r="S78" t="str">
            <v>Trần Minh Phúc</v>
          </cell>
          <cell r="T78" t="b">
            <v>1</v>
          </cell>
          <cell r="U78" t="str">
            <v>PTTT 01a</v>
          </cell>
          <cell r="V78" t="str">
            <v>PTTT 01a</v>
          </cell>
          <cell r="W78" t="str">
            <v>1 người</v>
          </cell>
          <cell r="X78" t="str">
            <v>ĐOÀN THỊ MỸ TRANG</v>
          </cell>
        </row>
        <row r="79">
          <cell r="I79" t="str">
            <v>B1.12a.07</v>
          </cell>
          <cell r="J79" t="str">
            <v>LÊ QUANG HUY</v>
          </cell>
          <cell r="K79" t="str">
            <v>Quận 3</v>
          </cell>
          <cell r="L79" t="str">
            <v>Kỳ Long</v>
          </cell>
          <cell r="M79" t="str">
            <v>Văn Tuyên</v>
          </cell>
          <cell r="N79" t="str">
            <v>Đồng Thị Hằng</v>
          </cell>
          <cell r="O79" t="str">
            <v>PHÙNG THẾ KHANH</v>
          </cell>
          <cell r="P79" t="str">
            <v>Quận 3</v>
          </cell>
          <cell r="Q79" t="str">
            <v>Kỳ Long</v>
          </cell>
          <cell r="R79" t="str">
            <v>Văn Tuyên</v>
          </cell>
          <cell r="S79" t="str">
            <v>Đồng Thị Hằng</v>
          </cell>
          <cell r="T79" t="b">
            <v>1</v>
          </cell>
          <cell r="U79" t="str">
            <v>PTTT 01a</v>
          </cell>
          <cell r="V79" t="str">
            <v>PTTT 04a</v>
          </cell>
          <cell r="W79" t="str">
            <v>1 người</v>
          </cell>
          <cell r="X79" t="str">
            <v>PHÙNG THẾ KHANH</v>
          </cell>
        </row>
        <row r="80">
          <cell r="I80" t="str">
            <v>B1.12a.08</v>
          </cell>
          <cell r="J80" t="str">
            <v>ĐINH THỊ ÁNH QUYÊN</v>
          </cell>
          <cell r="K80" t="str">
            <v>Bình Thạnh</v>
          </cell>
          <cell r="L80" t="str">
            <v>Lê Mai</v>
          </cell>
          <cell r="M80" t="str">
            <v>Ly Ly</v>
          </cell>
          <cell r="N80" t="str">
            <v>Huỳnh Anh Duy</v>
          </cell>
          <cell r="O80" t="str">
            <v>ĐINH THỊ ÁNH QUYÊN</v>
          </cell>
          <cell r="P80" t="str">
            <v>Bình Thạnh</v>
          </cell>
          <cell r="Q80" t="str">
            <v>Lê Mai</v>
          </cell>
          <cell r="R80" t="str">
            <v>Ly Ly</v>
          </cell>
          <cell r="S80" t="str">
            <v>Huỳnh Anh Duy</v>
          </cell>
          <cell r="T80" t="b">
            <v>1</v>
          </cell>
          <cell r="U80" t="str">
            <v>PTTT 01a</v>
          </cell>
          <cell r="V80" t="str">
            <v>PTTT 01a</v>
          </cell>
          <cell r="W80" t="str">
            <v>1 người</v>
          </cell>
          <cell r="X80" t="str">
            <v>ĐINH THỊ ÁNH QUYÊN</v>
          </cell>
        </row>
        <row r="81">
          <cell r="I81" t="str">
            <v>B1.12a.09</v>
          </cell>
          <cell r="J81" t="str">
            <v>PHẠM HOÀNG BẢO TRÂM</v>
          </cell>
          <cell r="K81" t="str">
            <v>Bình Thạnh</v>
          </cell>
          <cell r="L81" t="str">
            <v>Thanh Hà</v>
          </cell>
          <cell r="M81" t="str">
            <v>Đức Đồng</v>
          </cell>
          <cell r="N81" t="str">
            <v>Nguyễn Ngọc Anh Thư</v>
          </cell>
          <cell r="O81" t="str">
            <v>PHẠM HOÀNG BẢO TRÂM</v>
          </cell>
          <cell r="P81" t="str">
            <v>Bình Thạnh</v>
          </cell>
          <cell r="Q81" t="str">
            <v>Thanh Hà</v>
          </cell>
          <cell r="R81" t="str">
            <v>Đức Đồng</v>
          </cell>
          <cell r="S81" t="str">
            <v>Nguyễn Ngọc Anh Thư</v>
          </cell>
          <cell r="T81" t="b">
            <v>1</v>
          </cell>
          <cell r="U81" t="str">
            <v>PTTT 03a</v>
          </cell>
          <cell r="V81" t="str">
            <v>PTTT 01a</v>
          </cell>
          <cell r="W81" t="str">
            <v>2 người</v>
          </cell>
          <cell r="X81" t="str">
            <v>PHẠM HOÀNG BẢO TRÂM</v>
          </cell>
        </row>
        <row r="82">
          <cell r="I82" t="str">
            <v>B1.12a.10</v>
          </cell>
          <cell r="J82" t="str">
            <v>NGUYỄN NGỌC TRỊNH</v>
          </cell>
          <cell r="K82" t="str">
            <v>Bình Thạnh</v>
          </cell>
          <cell r="L82" t="str">
            <v>Lê Mai</v>
          </cell>
          <cell r="M82" t="str">
            <v>Ly Ly</v>
          </cell>
          <cell r="N82" t="str">
            <v>Vũ Đình Thịnh</v>
          </cell>
          <cell r="O82" t="str">
            <v>NGUYỄN NGỌC TRỊNH</v>
          </cell>
          <cell r="P82" t="str">
            <v>Bình Thạnh</v>
          </cell>
          <cell r="Q82" t="str">
            <v>Lê Mai</v>
          </cell>
          <cell r="R82" t="str">
            <v>Ly Ly</v>
          </cell>
          <cell r="S82" t="str">
            <v>Vũ Đình Thịnh</v>
          </cell>
          <cell r="T82" t="b">
            <v>1</v>
          </cell>
          <cell r="U82" t="str">
            <v>PTTT 03a</v>
          </cell>
          <cell r="V82" t="str">
            <v>PTTT 03a</v>
          </cell>
          <cell r="W82" t="str">
            <v>2 người</v>
          </cell>
          <cell r="X82" t="str">
            <v>NGUYỄN NGỌC TRỊNH</v>
          </cell>
        </row>
        <row r="83">
          <cell r="I83" t="str">
            <v>B1.12a.11</v>
          </cell>
          <cell r="J83" t="str">
            <v>NGUYỄN VĂN HẠNH</v>
          </cell>
          <cell r="K83" t="str">
            <v>Bình Thạnh</v>
          </cell>
          <cell r="L83" t="str">
            <v>Ngọc Linh</v>
          </cell>
          <cell r="M83" t="str">
            <v>Phạm Vĩ</v>
          </cell>
          <cell r="N83" t="str">
            <v>Lê Nho Khánh</v>
          </cell>
          <cell r="O83" t="str">
            <v>NGUYỄN VĂN HẠNH</v>
          </cell>
          <cell r="P83" t="str">
            <v>Bình Thạnh</v>
          </cell>
          <cell r="Q83" t="str">
            <v>Ngọc Linh</v>
          </cell>
          <cell r="R83" t="str">
            <v>Phạm Vĩ</v>
          </cell>
          <cell r="S83" t="str">
            <v>Lê Nho Khánh</v>
          </cell>
          <cell r="T83" t="b">
            <v>1</v>
          </cell>
          <cell r="U83" t="str">
            <v>PTTT 04b</v>
          </cell>
          <cell r="V83" t="str">
            <v>PTTT 04b</v>
          </cell>
          <cell r="W83" t="str">
            <v>1 người</v>
          </cell>
          <cell r="X83" t="str">
            <v>NGUYỄN VĂN HẠNH</v>
          </cell>
        </row>
        <row r="84">
          <cell r="I84" t="str">
            <v>B1.12a.12</v>
          </cell>
          <cell r="J84" t="str">
            <v>ĐỒNG THỊ HẰNG</v>
          </cell>
          <cell r="K84" t="str">
            <v>Quận 3</v>
          </cell>
          <cell r="L84" t="str">
            <v>Kỳ Long</v>
          </cell>
          <cell r="M84" t="str">
            <v>Văn Tuyên</v>
          </cell>
          <cell r="N84" t="str">
            <v>Đồng Thị Hằng</v>
          </cell>
          <cell r="O84" t="str">
            <v>LÊ BÁ VIỆT</v>
          </cell>
          <cell r="P84" t="str">
            <v>Quận 3</v>
          </cell>
          <cell r="Q84" t="str">
            <v>Kỳ Long</v>
          </cell>
          <cell r="R84" t="str">
            <v>Văn Tuyên</v>
          </cell>
          <cell r="S84" t="str">
            <v>Đồng Thị Hằng</v>
          </cell>
          <cell r="T84" t="b">
            <v>1</v>
          </cell>
          <cell r="U84" t="str">
            <v>PTTT 01a</v>
          </cell>
          <cell r="V84" t="str">
            <v>PTTT 01a</v>
          </cell>
          <cell r="W84" t="str">
            <v>1 người</v>
          </cell>
          <cell r="X84" t="str">
            <v>LÊ BÁ VIỆT</v>
          </cell>
        </row>
        <row r="85">
          <cell r="I85" t="str">
            <v>B1.12a.13</v>
          </cell>
          <cell r="J85" t="str">
            <v>???</v>
          </cell>
          <cell r="K85" t="str">
            <v>???</v>
          </cell>
          <cell r="L85" t="str">
            <v>???</v>
          </cell>
          <cell r="M85" t="str">
            <v>???</v>
          </cell>
          <cell r="N85" t="str">
            <v>???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 t="b">
            <v>1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</row>
        <row r="86">
          <cell r="I86" t="str">
            <v>B1.14.01</v>
          </cell>
          <cell r="J86" t="str">
            <v>NGUYỄN VĂN NẾT</v>
          </cell>
          <cell r="K86" t="str">
            <v>Bình Thạnh</v>
          </cell>
          <cell r="L86" t="str">
            <v>Thanh Hà</v>
          </cell>
          <cell r="M86" t="str">
            <v>Như Ngọc</v>
          </cell>
          <cell r="N86" t="str">
            <v>Cao Văn Bình</v>
          </cell>
          <cell r="O86">
            <v>0</v>
          </cell>
          <cell r="P86" t="str">
            <v>Bình Thạnh</v>
          </cell>
          <cell r="Q86" t="str">
            <v>Thanh Hà</v>
          </cell>
          <cell r="R86" t="str">
            <v>Như Ngọc</v>
          </cell>
          <cell r="S86" t="str">
            <v>Cao Văn Bình</v>
          </cell>
          <cell r="T86" t="b">
            <v>0</v>
          </cell>
          <cell r="U86">
            <v>0</v>
          </cell>
          <cell r="V86" t="str">
            <v>PTTT 09c</v>
          </cell>
          <cell r="W86" t="str">
            <v>1 người</v>
          </cell>
          <cell r="X86" t="str">
            <v>LÊ THỊ PHƯƠNG LAN</v>
          </cell>
        </row>
        <row r="87">
          <cell r="I87" t="str">
            <v>B1.14.02</v>
          </cell>
          <cell r="J87" t="str">
            <v>LÊ HỒNG VÂN</v>
          </cell>
          <cell r="K87" t="str">
            <v>Bình Thạnh</v>
          </cell>
          <cell r="L87" t="str">
            <v>Lê Mai</v>
          </cell>
          <cell r="M87" t="str">
            <v>Ly Ly</v>
          </cell>
          <cell r="N87" t="str">
            <v>Ngô Thanh Thảo</v>
          </cell>
          <cell r="O87">
            <v>0</v>
          </cell>
          <cell r="P87" t="str">
            <v>Bình Thạnh</v>
          </cell>
          <cell r="Q87" t="str">
            <v>Lê Mai</v>
          </cell>
          <cell r="R87" t="str">
            <v>Ly Ly</v>
          </cell>
          <cell r="S87" t="str">
            <v>Ngô Thanh Thảo</v>
          </cell>
          <cell r="T87" t="b">
            <v>0</v>
          </cell>
          <cell r="U87">
            <v>0</v>
          </cell>
          <cell r="V87" t="str">
            <v>PTTT 09c</v>
          </cell>
          <cell r="W87" t="str">
            <v>1 người</v>
          </cell>
          <cell r="X87" t="str">
            <v>LÊ HỒNG VÂN</v>
          </cell>
        </row>
        <row r="88">
          <cell r="I88" t="str">
            <v>B1.14.03</v>
          </cell>
          <cell r="J88" t="str">
            <v>PHAN ĐỨC NGHĨA</v>
          </cell>
          <cell r="K88" t="str">
            <v>Quận 3</v>
          </cell>
          <cell r="L88" t="str">
            <v>Kỳ Long</v>
          </cell>
          <cell r="M88" t="str">
            <v>Phi Thoại</v>
          </cell>
          <cell r="N88" t="str">
            <v>Phạm Thị Thương</v>
          </cell>
          <cell r="O88" t="str">
            <v>PHAN ĐỨC NGHĨA</v>
          </cell>
          <cell r="P88" t="str">
            <v>Quận 3</v>
          </cell>
          <cell r="Q88" t="str">
            <v>Kỳ Long</v>
          </cell>
          <cell r="R88" t="str">
            <v>Phi Thoại</v>
          </cell>
          <cell r="S88" t="str">
            <v>Phạm Thị Thương</v>
          </cell>
          <cell r="T88" t="b">
            <v>1</v>
          </cell>
          <cell r="U88" t="str">
            <v>PTTT 04c</v>
          </cell>
          <cell r="V88" t="str">
            <v>PTTT 04c</v>
          </cell>
          <cell r="W88" t="str">
            <v>2 người</v>
          </cell>
          <cell r="X88" t="str">
            <v>PHAN ĐỨC NGHĨA</v>
          </cell>
        </row>
        <row r="89">
          <cell r="I89" t="str">
            <v>B1.14.04</v>
          </cell>
          <cell r="J89" t="e">
            <v>#N/A</v>
          </cell>
          <cell r="K89" t="e">
            <v>#N/A</v>
          </cell>
          <cell r="L89" t="e">
            <v>#N/A</v>
          </cell>
          <cell r="M89" t="e">
            <v>#N/A</v>
          </cell>
          <cell r="N89" t="e">
            <v>#N/A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 t="b">
            <v>1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</row>
        <row r="90">
          <cell r="I90" t="str">
            <v>B1.14.11</v>
          </cell>
          <cell r="J90" t="str">
            <v>NGUYỄN HOÀI THANH</v>
          </cell>
          <cell r="K90" t="str">
            <v>Bình Thạnh</v>
          </cell>
          <cell r="L90" t="str">
            <v>Thanh Hà</v>
          </cell>
          <cell r="M90" t="str">
            <v>Đức Đồng</v>
          </cell>
          <cell r="N90" t="str">
            <v>Nguyễn Ngọc Anh Thư</v>
          </cell>
          <cell r="O90" t="str">
            <v>NGUYỄN HOÀI THANH</v>
          </cell>
          <cell r="P90" t="str">
            <v>Bình Thạnh</v>
          </cell>
          <cell r="Q90" t="str">
            <v>Thanh Hà</v>
          </cell>
          <cell r="R90" t="str">
            <v>Đức Đồng</v>
          </cell>
          <cell r="S90" t="str">
            <v>Nguyễn Ngọc Anh Thư</v>
          </cell>
          <cell r="T90" t="b">
            <v>1</v>
          </cell>
          <cell r="U90" t="str">
            <v>PTTT 04c</v>
          </cell>
          <cell r="V90" t="str">
            <v>PTTT 04c</v>
          </cell>
          <cell r="W90" t="str">
            <v>2 người</v>
          </cell>
          <cell r="X90" t="str">
            <v>NGUYỄN HOÀI THANH</v>
          </cell>
        </row>
        <row r="91">
          <cell r="I91" t="str">
            <v>B1.14.12</v>
          </cell>
          <cell r="J91" t="str">
            <v>NGÔ NGỌC TRÂM</v>
          </cell>
          <cell r="K91" t="str">
            <v>Quận 3</v>
          </cell>
          <cell r="L91" t="str">
            <v>Thanh Tuấn</v>
          </cell>
          <cell r="M91" t="str">
            <v>Anh Tài</v>
          </cell>
          <cell r="N91" t="str">
            <v>Nguyễn Văn Toàn</v>
          </cell>
          <cell r="O91" t="str">
            <v>NGUYỄN THỊ NGỌC GIÀU</v>
          </cell>
          <cell r="P91" t="str">
            <v>Quận 3</v>
          </cell>
          <cell r="Q91" t="str">
            <v>Thanh Tuấn</v>
          </cell>
          <cell r="R91" t="str">
            <v>Anh Tài</v>
          </cell>
          <cell r="S91" t="str">
            <v>Nguyễn Văn Toàn</v>
          </cell>
          <cell r="T91" t="b">
            <v>1</v>
          </cell>
          <cell r="U91" t="str">
            <v>PTTT 01a</v>
          </cell>
          <cell r="V91" t="str">
            <v>PTTT 01a</v>
          </cell>
          <cell r="W91" t="str">
            <v>1 người</v>
          </cell>
          <cell r="X91" t="str">
            <v>NGUYỄN THỊ NGỌC GIÀU</v>
          </cell>
        </row>
        <row r="92">
          <cell r="I92" t="str">
            <v>B1.14.13</v>
          </cell>
          <cell r="J92" t="str">
            <v>???</v>
          </cell>
          <cell r="K92" t="str">
            <v>???</v>
          </cell>
          <cell r="L92" t="str">
            <v>???</v>
          </cell>
          <cell r="M92" t="str">
            <v>???</v>
          </cell>
          <cell r="N92" t="str">
            <v>???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 t="b">
            <v>1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</row>
        <row r="93">
          <cell r="I93" t="str">
            <v>B1.15.01</v>
          </cell>
          <cell r="J93" t="str">
            <v>???</v>
          </cell>
          <cell r="K93" t="str">
            <v>???</v>
          </cell>
          <cell r="L93" t="str">
            <v>???</v>
          </cell>
          <cell r="M93" t="str">
            <v>???</v>
          </cell>
          <cell r="N93" t="str">
            <v>???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 t="b">
            <v>1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</row>
        <row r="94">
          <cell r="I94" t="str">
            <v>B1.15.02</v>
          </cell>
          <cell r="J94" t="str">
            <v>NGUYỄN QUANG HÀ</v>
          </cell>
          <cell r="K94" t="str">
            <v>Bình Thạnh</v>
          </cell>
          <cell r="L94" t="str">
            <v>Ngọc Linh</v>
          </cell>
          <cell r="M94" t="str">
            <v>Phạm Vĩ</v>
          </cell>
          <cell r="N94" t="str">
            <v>Lê Văn Thông</v>
          </cell>
          <cell r="O94">
            <v>0</v>
          </cell>
          <cell r="P94" t="str">
            <v>Bình Thạnh</v>
          </cell>
          <cell r="Q94" t="str">
            <v>Ngọc Linh</v>
          </cell>
          <cell r="R94" t="str">
            <v>Phạm Vĩ</v>
          </cell>
          <cell r="S94" t="str">
            <v>Lê Văn Thông</v>
          </cell>
          <cell r="T94" t="b">
            <v>0</v>
          </cell>
          <cell r="U94">
            <v>0</v>
          </cell>
          <cell r="V94" t="str">
            <v>PTTT 09c</v>
          </cell>
          <cell r="W94" t="str">
            <v>1 người</v>
          </cell>
          <cell r="X94" t="str">
            <v>NGUYỄN QUANG HÀ</v>
          </cell>
        </row>
        <row r="95">
          <cell r="I95" t="str">
            <v>B1.15.03</v>
          </cell>
          <cell r="J95" t="str">
            <v>NGUYỄN THỊ MINH THƯ</v>
          </cell>
          <cell r="K95" t="str">
            <v>Quận 3</v>
          </cell>
          <cell r="L95" t="str">
            <v>Kỳ Long</v>
          </cell>
          <cell r="M95" t="str">
            <v>Văn Tuyên</v>
          </cell>
          <cell r="N95" t="str">
            <v>Đồng Thị Hằng</v>
          </cell>
          <cell r="O95" t="str">
            <v>NGUYỄN THỊ MINH THƯ</v>
          </cell>
          <cell r="P95" t="str">
            <v>Quận 3</v>
          </cell>
          <cell r="Q95" t="str">
            <v>Kỳ Long</v>
          </cell>
          <cell r="R95" t="str">
            <v>Văn Tuyên</v>
          </cell>
          <cell r="S95" t="str">
            <v>Đồng Thị Hằng</v>
          </cell>
          <cell r="T95" t="b">
            <v>1</v>
          </cell>
          <cell r="U95" t="str">
            <v>PTTT 01b</v>
          </cell>
          <cell r="V95" t="str">
            <v>PTTT 04b</v>
          </cell>
          <cell r="W95" t="str">
            <v>1 người</v>
          </cell>
          <cell r="X95" t="str">
            <v>NGUYỄN THỊ MINH THƯ</v>
          </cell>
        </row>
        <row r="96">
          <cell r="I96" t="str">
            <v>B1.15.04</v>
          </cell>
          <cell r="J96" t="str">
            <v>NGUYỄN HUY LỄ</v>
          </cell>
          <cell r="K96" t="str">
            <v>Bình Thạnh</v>
          </cell>
          <cell r="L96" t="str">
            <v>Lê Mai</v>
          </cell>
          <cell r="M96" t="str">
            <v>Ly Ly</v>
          </cell>
          <cell r="N96" t="str">
            <v>Đặng Trung Nhân</v>
          </cell>
          <cell r="O96" t="str">
            <v>LƯU MINH KIỆT</v>
          </cell>
          <cell r="P96" t="str">
            <v>Bình Thạnh</v>
          </cell>
          <cell r="Q96" t="str">
            <v>Lê Mai</v>
          </cell>
          <cell r="R96" t="str">
            <v>Ly Ly</v>
          </cell>
          <cell r="S96">
            <v>0</v>
          </cell>
          <cell r="T96" t="b">
            <v>0</v>
          </cell>
          <cell r="U96">
            <v>0</v>
          </cell>
          <cell r="V96" t="str">
            <v>PTTT 09c</v>
          </cell>
          <cell r="W96" t="str">
            <v>2 người</v>
          </cell>
          <cell r="X96" t="str">
            <v>NGUYỄN HUY LỄ</v>
          </cell>
        </row>
        <row r="97">
          <cell r="I97" t="str">
            <v>B1.15.05</v>
          </cell>
          <cell r="J97" t="str">
            <v>PHAN THỊ ANH PHƯƠNG</v>
          </cell>
          <cell r="K97" t="str">
            <v>Quận 3</v>
          </cell>
          <cell r="L97" t="str">
            <v>Thế Hiển</v>
          </cell>
          <cell r="M97" t="str">
            <v>Văn Tùng</v>
          </cell>
          <cell r="N97" t="str">
            <v>Lý Thanh Tân</v>
          </cell>
          <cell r="O97" t="str">
            <v>PHAN THỊ ANH PHƯƠNG</v>
          </cell>
          <cell r="P97" t="str">
            <v>Quận 3</v>
          </cell>
          <cell r="Q97" t="str">
            <v>Thế Hiển</v>
          </cell>
          <cell r="R97" t="str">
            <v>Văn Tùng</v>
          </cell>
          <cell r="S97" t="str">
            <v>Lý Thanh Tân</v>
          </cell>
          <cell r="T97" t="b">
            <v>1</v>
          </cell>
          <cell r="U97" t="str">
            <v>PTTT 01b</v>
          </cell>
          <cell r="V97" t="str">
            <v>PTTT 01b</v>
          </cell>
          <cell r="W97" t="str">
            <v>1 người</v>
          </cell>
          <cell r="X97" t="str">
            <v>PHAN THỊ ANH PHƯƠNG</v>
          </cell>
        </row>
        <row r="98">
          <cell r="I98" t="str">
            <v>B1.15.06</v>
          </cell>
          <cell r="J98" t="str">
            <v>ĐẶNG THỊ TOÁN</v>
          </cell>
          <cell r="K98" t="str">
            <v>Bình Thạnh</v>
          </cell>
          <cell r="L98" t="str">
            <v>Ngọc Linh</v>
          </cell>
          <cell r="M98" t="str">
            <v>Phạm Vĩ</v>
          </cell>
          <cell r="N98" t="str">
            <v>Nguyễn Thạch Y Vân</v>
          </cell>
          <cell r="O98" t="str">
            <v>ĐẶNG THỊ TOÁN</v>
          </cell>
          <cell r="P98" t="str">
            <v>Bình Thạnh</v>
          </cell>
          <cell r="Q98" t="str">
            <v>Ngọc Linh</v>
          </cell>
          <cell r="R98" t="str">
            <v>Phạm Vĩ</v>
          </cell>
          <cell r="S98" t="str">
            <v>Nguyễn Thạch Y Vân</v>
          </cell>
          <cell r="T98" t="b">
            <v>1</v>
          </cell>
          <cell r="U98" t="str">
            <v>PTTT 03a</v>
          </cell>
          <cell r="V98" t="str">
            <v>PTTT 03a</v>
          </cell>
          <cell r="W98" t="str">
            <v>1 người</v>
          </cell>
          <cell r="X98" t="str">
            <v>ĐẶNG THỊ TOÁN</v>
          </cell>
        </row>
        <row r="99">
          <cell r="I99" t="str">
            <v>B1.15.07</v>
          </cell>
          <cell r="J99" t="str">
            <v>VŨ HOÀNG THIỆN</v>
          </cell>
          <cell r="K99" t="str">
            <v>Quận 3</v>
          </cell>
          <cell r="L99" t="str">
            <v>Huỳnh Nhân</v>
          </cell>
          <cell r="M99" t="str">
            <v>Tấn Long</v>
          </cell>
          <cell r="N99" t="str">
            <v>Thái Thị Thanh Tâm</v>
          </cell>
          <cell r="O99" t="str">
            <v>VÕ TRỌNG HIẾU</v>
          </cell>
          <cell r="P99" t="str">
            <v>Quận 3</v>
          </cell>
          <cell r="Q99" t="str">
            <v>Huỳnh Nhân</v>
          </cell>
          <cell r="R99" t="str">
            <v>Tấn Long</v>
          </cell>
          <cell r="S99" t="str">
            <v>Thái Thị Thanh Tâm</v>
          </cell>
          <cell r="T99" t="b">
            <v>0</v>
          </cell>
          <cell r="U99" t="str">
            <v>PTTT 03a</v>
          </cell>
          <cell r="V99" t="str">
            <v>PTTT 04a</v>
          </cell>
          <cell r="W99" t="str">
            <v>2 người</v>
          </cell>
          <cell r="X99" t="str">
            <v>LÊ THỊ NGA</v>
          </cell>
        </row>
        <row r="100">
          <cell r="I100" t="str">
            <v>B1.15.08</v>
          </cell>
          <cell r="J100" t="str">
            <v>CHUNG BÍCH HỒNG</v>
          </cell>
          <cell r="K100" t="str">
            <v>Quận 3</v>
          </cell>
          <cell r="L100" t="str">
            <v>Thế Hiển</v>
          </cell>
          <cell r="M100" t="str">
            <v>Văn Tùng</v>
          </cell>
          <cell r="N100" t="str">
            <v>Trần Thị Kim Yên</v>
          </cell>
          <cell r="O100" t="str">
            <v>CHUNG BÍCH HỒNG</v>
          </cell>
          <cell r="P100" t="str">
            <v>Quận 3</v>
          </cell>
          <cell r="Q100" t="str">
            <v>Thế Hiển</v>
          </cell>
          <cell r="R100" t="str">
            <v>Văn Tùng</v>
          </cell>
          <cell r="S100" t="str">
            <v>Trần Thị Kim Yên</v>
          </cell>
          <cell r="T100" t="b">
            <v>1</v>
          </cell>
          <cell r="U100" t="str">
            <v>PTTT 01a</v>
          </cell>
          <cell r="V100" t="str">
            <v>PTTT 01a</v>
          </cell>
          <cell r="W100" t="str">
            <v>1 người</v>
          </cell>
          <cell r="X100" t="str">
            <v>CHUNG BÍCH HỒNG</v>
          </cell>
        </row>
        <row r="101">
          <cell r="I101" t="str">
            <v>B1.15.09</v>
          </cell>
          <cell r="J101" t="str">
            <v>NGUYỄN MẠNH CẦM</v>
          </cell>
          <cell r="K101" t="str">
            <v>Bình Thạnh</v>
          </cell>
          <cell r="L101" t="str">
            <v>Ngọc Linh</v>
          </cell>
          <cell r="M101" t="str">
            <v>Phạm Vĩ</v>
          </cell>
          <cell r="N101" t="str">
            <v>Nguyễn Văn Hà</v>
          </cell>
          <cell r="O101" t="str">
            <v>NGUYỄN MẠNH CẦM</v>
          </cell>
          <cell r="P101" t="str">
            <v>Bình Thạnh</v>
          </cell>
          <cell r="Q101" t="str">
            <v>Ngọc Linh</v>
          </cell>
          <cell r="R101" t="str">
            <v>Phạm Vĩ</v>
          </cell>
          <cell r="S101" t="str">
            <v>Nguyễn Văn Hà</v>
          </cell>
          <cell r="T101" t="b">
            <v>1</v>
          </cell>
          <cell r="U101" t="str">
            <v>PTTT 03a</v>
          </cell>
          <cell r="V101" t="str">
            <v>PTTT 03a</v>
          </cell>
          <cell r="W101" t="str">
            <v>1 người</v>
          </cell>
          <cell r="X101" t="str">
            <v>NGUYỄN MẠNH CẦM</v>
          </cell>
        </row>
        <row r="102">
          <cell r="I102" t="str">
            <v>B1.15.10</v>
          </cell>
          <cell r="J102" t="str">
            <v>NGUYỄN THỊ MỸ PHỤNG</v>
          </cell>
          <cell r="K102" t="str">
            <v>Quận 3</v>
          </cell>
          <cell r="L102" t="str">
            <v>Huỳnh Nhân</v>
          </cell>
          <cell r="M102" t="str">
            <v>Huỳnh Nhân</v>
          </cell>
          <cell r="N102" t="str">
            <v>Nguyễn Minh Khánh</v>
          </cell>
          <cell r="O102" t="str">
            <v>NGUYỄN THỊ MỸ PHỤNG</v>
          </cell>
          <cell r="P102" t="str">
            <v>Quận 3</v>
          </cell>
          <cell r="Q102" t="str">
            <v>Huỳnh Nhân</v>
          </cell>
          <cell r="R102" t="str">
            <v>Huỳnh Nhân</v>
          </cell>
          <cell r="S102" t="str">
            <v>Nguyễn Minh Khánh</v>
          </cell>
          <cell r="T102" t="b">
            <v>1</v>
          </cell>
          <cell r="U102" t="str">
            <v>PTTT 01a</v>
          </cell>
          <cell r="V102" t="str">
            <v>PTTT 01a</v>
          </cell>
          <cell r="W102" t="str">
            <v>1 người</v>
          </cell>
          <cell r="X102" t="str">
            <v>NGUYỄN THỊ MỸ PHỤNG</v>
          </cell>
        </row>
        <row r="103">
          <cell r="I103" t="str">
            <v>B1.15.11</v>
          </cell>
          <cell r="J103" t="str">
            <v>LƯƠNG BÁ TOÀN</v>
          </cell>
          <cell r="K103" t="str">
            <v>Bình Thạnh</v>
          </cell>
          <cell r="L103" t="str">
            <v>Thanh Hà</v>
          </cell>
          <cell r="M103" t="str">
            <v>Đức Đồng</v>
          </cell>
          <cell r="N103" t="str">
            <v>Nguyễn Trung Kiên</v>
          </cell>
          <cell r="O103" t="str">
            <v>LƯƠNG BÁ TOÀN</v>
          </cell>
          <cell r="P103" t="str">
            <v>Bình Thạnh</v>
          </cell>
          <cell r="Q103" t="str">
            <v>Thanh Hà</v>
          </cell>
          <cell r="R103" t="str">
            <v>Đức Đồng</v>
          </cell>
          <cell r="S103" t="str">
            <v>Nguyễn Trung Kiên</v>
          </cell>
          <cell r="T103" t="b">
            <v>1</v>
          </cell>
          <cell r="U103" t="str">
            <v>PTTT 01a</v>
          </cell>
          <cell r="V103" t="str">
            <v>PTTT 01a</v>
          </cell>
          <cell r="W103" t="str">
            <v>1 người</v>
          </cell>
          <cell r="X103" t="str">
            <v>LƯƠNG BÁ TOÀN</v>
          </cell>
        </row>
        <row r="104">
          <cell r="I104" t="str">
            <v>B1.15.12</v>
          </cell>
          <cell r="J104" t="str">
            <v>NGUYỄN THỊ ĐẢM</v>
          </cell>
          <cell r="K104" t="str">
            <v>Quận 3</v>
          </cell>
          <cell r="L104" t="str">
            <v>Thế Hiển</v>
          </cell>
          <cell r="M104" t="str">
            <v>Văn Tùng</v>
          </cell>
          <cell r="N104" t="str">
            <v>Lý Thanh Tân</v>
          </cell>
          <cell r="O104" t="str">
            <v>NGUYỄN THỊ ĐẢM</v>
          </cell>
          <cell r="P104" t="str">
            <v>Quận 3</v>
          </cell>
          <cell r="Q104" t="str">
            <v>Thế Hiển</v>
          </cell>
          <cell r="R104" t="str">
            <v>Văn Tùng</v>
          </cell>
          <cell r="S104" t="str">
            <v>Lý Thanh Tân</v>
          </cell>
          <cell r="T104" t="b">
            <v>1</v>
          </cell>
          <cell r="U104" t="str">
            <v>PTTT 01a</v>
          </cell>
          <cell r="V104" t="str">
            <v>PTTT 01a</v>
          </cell>
          <cell r="W104" t="str">
            <v>1 người</v>
          </cell>
          <cell r="X104" t="str">
            <v>NGUYỄN THỊ ĐẢM</v>
          </cell>
        </row>
        <row r="105">
          <cell r="I105" t="str">
            <v>B1.15.13</v>
          </cell>
          <cell r="J105" t="str">
            <v>???</v>
          </cell>
          <cell r="K105" t="str">
            <v>???</v>
          </cell>
          <cell r="L105" t="str">
            <v>???</v>
          </cell>
          <cell r="M105" t="str">
            <v>???</v>
          </cell>
          <cell r="N105" t="str">
            <v>???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 t="b">
            <v>1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</row>
        <row r="106">
          <cell r="I106" t="str">
            <v>B1.16.05</v>
          </cell>
          <cell r="J106" t="str">
            <v>LÊ SƠN MINH TRÍ</v>
          </cell>
          <cell r="K106" t="str">
            <v>Quận 3</v>
          </cell>
          <cell r="L106" t="str">
            <v>Thanh Tuấn</v>
          </cell>
          <cell r="M106" t="str">
            <v>Thanh Liêm</v>
          </cell>
          <cell r="N106" t="str">
            <v>Hoàng Văn Trung</v>
          </cell>
          <cell r="O106" t="str">
            <v>LÊ SƠN MINH TRÍ</v>
          </cell>
          <cell r="P106" t="str">
            <v>Quận 3</v>
          </cell>
          <cell r="Q106" t="str">
            <v>Thanh Tuấn</v>
          </cell>
          <cell r="R106" t="str">
            <v>Thanh Liêm</v>
          </cell>
          <cell r="S106" t="str">
            <v>Hoàng Văn Trung</v>
          </cell>
          <cell r="T106" t="b">
            <v>1</v>
          </cell>
          <cell r="U106" t="str">
            <v>PTTT 04b</v>
          </cell>
          <cell r="V106" t="str">
            <v>PTTT 04b</v>
          </cell>
          <cell r="W106" t="str">
            <v>2 người</v>
          </cell>
          <cell r="X106" t="str">
            <v>LÊ SƠN MINH TRÍ</v>
          </cell>
        </row>
        <row r="107">
          <cell r="I107" t="str">
            <v>B1.16.06</v>
          </cell>
          <cell r="J107" t="str">
            <v>TRẦN ANH TRINH</v>
          </cell>
          <cell r="K107" t="str">
            <v>Quận 3</v>
          </cell>
          <cell r="L107" t="str">
            <v>Thế Hiển</v>
          </cell>
          <cell r="M107" t="str">
            <v>Văn Tùng</v>
          </cell>
          <cell r="N107" t="str">
            <v>Lý Thanh Tân</v>
          </cell>
          <cell r="O107" t="str">
            <v>TRẦN ANH TRINH</v>
          </cell>
          <cell r="P107" t="str">
            <v>Quận 3</v>
          </cell>
          <cell r="Q107" t="str">
            <v>Thế Hiển</v>
          </cell>
          <cell r="R107" t="str">
            <v>Văn Tùng</v>
          </cell>
          <cell r="S107" t="str">
            <v>Lý Thanh Tân</v>
          </cell>
          <cell r="T107" t="b">
            <v>1</v>
          </cell>
          <cell r="U107" t="str">
            <v>PTTT 01a</v>
          </cell>
          <cell r="V107" t="str">
            <v>PTTT 01a</v>
          </cell>
          <cell r="W107" t="str">
            <v>1 người</v>
          </cell>
          <cell r="X107" t="str">
            <v>TRẦN ANH TRINH</v>
          </cell>
        </row>
        <row r="108">
          <cell r="I108" t="str">
            <v>B1.16.07</v>
          </cell>
          <cell r="J108" t="str">
            <v>TRẦN PHAN MINH</v>
          </cell>
          <cell r="K108" t="str">
            <v>Quận 3</v>
          </cell>
          <cell r="L108" t="str">
            <v>Kỳ Long</v>
          </cell>
          <cell r="M108" t="str">
            <v>Phi Thoại</v>
          </cell>
          <cell r="N108" t="str">
            <v>Đỗ Phi Thoại</v>
          </cell>
          <cell r="O108" t="str">
            <v>TRẦN PHAN MINH</v>
          </cell>
          <cell r="P108" t="str">
            <v>Quận 3</v>
          </cell>
          <cell r="Q108" t="str">
            <v>Kỳ Long</v>
          </cell>
          <cell r="R108" t="str">
            <v>Phi Thoại</v>
          </cell>
          <cell r="S108" t="str">
            <v>Nguyễn Hoài Nhi</v>
          </cell>
          <cell r="T108" t="b">
            <v>1</v>
          </cell>
          <cell r="U108" t="str">
            <v>PTTT 01a</v>
          </cell>
          <cell r="V108" t="str">
            <v>PTTT 01a</v>
          </cell>
          <cell r="W108" t="str">
            <v>1 người</v>
          </cell>
          <cell r="X108" t="str">
            <v>TRẦN PHAN MINH</v>
          </cell>
        </row>
        <row r="109">
          <cell r="I109" t="str">
            <v>B1.16.08</v>
          </cell>
          <cell r="J109" t="str">
            <v>NGUYỄN THỊ LOAN</v>
          </cell>
          <cell r="K109" t="str">
            <v>Quận 3</v>
          </cell>
          <cell r="L109" t="str">
            <v>Thanh Tuấn</v>
          </cell>
          <cell r="M109" t="str">
            <v>Thanh Liêm</v>
          </cell>
          <cell r="N109" t="str">
            <v>Lê Thị Anh Hiền</v>
          </cell>
          <cell r="O109" t="str">
            <v>NGUYỄN THỊ LOAN</v>
          </cell>
          <cell r="P109" t="str">
            <v>Quận 3</v>
          </cell>
          <cell r="Q109" t="str">
            <v>Thanh Tuấn</v>
          </cell>
          <cell r="R109" t="str">
            <v>Thanh Liêm</v>
          </cell>
          <cell r="S109" t="str">
            <v>Lê Thị Anh Hiền</v>
          </cell>
          <cell r="T109" t="b">
            <v>1</v>
          </cell>
          <cell r="U109" t="str">
            <v>PTTT 01a</v>
          </cell>
          <cell r="V109" t="str">
            <v>PTTT 01a</v>
          </cell>
          <cell r="W109" t="str">
            <v>1 người</v>
          </cell>
          <cell r="X109" t="str">
            <v>NGUYỄN THỊ LOAN</v>
          </cell>
        </row>
        <row r="110">
          <cell r="I110" t="str">
            <v>B1.16.09</v>
          </cell>
          <cell r="J110" t="str">
            <v>MAI VĂN QUYẾT</v>
          </cell>
          <cell r="K110" t="str">
            <v>Quận 3</v>
          </cell>
          <cell r="L110" t="str">
            <v>Thanh Tuấn</v>
          </cell>
          <cell r="M110" t="str">
            <v>Anh Tài</v>
          </cell>
          <cell r="N110" t="str">
            <v>Nguyễn Văn Toàn</v>
          </cell>
          <cell r="O110" t="str">
            <v>MAI VĂN QUYẾT</v>
          </cell>
          <cell r="P110" t="str">
            <v>Quận 3</v>
          </cell>
          <cell r="Q110" t="str">
            <v>Thanh Tuấn</v>
          </cell>
          <cell r="R110" t="str">
            <v>Anh Tài</v>
          </cell>
          <cell r="S110" t="str">
            <v>Nguyễn Văn Toàn</v>
          </cell>
          <cell r="T110" t="b">
            <v>1</v>
          </cell>
          <cell r="U110" t="str">
            <v>PTTT 01a</v>
          </cell>
          <cell r="V110" t="str">
            <v>PTTT 01a</v>
          </cell>
          <cell r="W110" t="str">
            <v>1 người</v>
          </cell>
          <cell r="X110" t="str">
            <v>MAI VĂN QUYẾT</v>
          </cell>
        </row>
        <row r="111">
          <cell r="I111" t="str">
            <v>B1.16.10</v>
          </cell>
          <cell r="J111" t="str">
            <v>PHAN THỊ ANH PHƯƠNG</v>
          </cell>
          <cell r="K111" t="str">
            <v>Quận 3</v>
          </cell>
          <cell r="L111" t="str">
            <v>Thế Hiển</v>
          </cell>
          <cell r="M111" t="str">
            <v>Văn Tùng</v>
          </cell>
          <cell r="N111" t="str">
            <v>Bùi Thanh Tân</v>
          </cell>
          <cell r="O111" t="str">
            <v>PHAN THỊ ANH PHƯƠNG</v>
          </cell>
          <cell r="P111" t="str">
            <v>Quận 3</v>
          </cell>
          <cell r="Q111" t="str">
            <v>Thế Hiển</v>
          </cell>
          <cell r="R111" t="str">
            <v>Văn Tùng</v>
          </cell>
          <cell r="S111" t="str">
            <v>Bùi Thanh Tân</v>
          </cell>
          <cell r="T111" t="b">
            <v>1</v>
          </cell>
          <cell r="U111" t="str">
            <v>PTTT 01b</v>
          </cell>
          <cell r="V111" t="str">
            <v>PTTT 01b</v>
          </cell>
          <cell r="W111" t="str">
            <v>1 người</v>
          </cell>
          <cell r="X111" t="str">
            <v>PHAN THỊ ANH PHƯƠNG</v>
          </cell>
        </row>
        <row r="112">
          <cell r="I112" t="str">
            <v>B1.17.01</v>
          </cell>
          <cell r="J112" t="str">
            <v>???</v>
          </cell>
          <cell r="K112" t="str">
            <v>???</v>
          </cell>
          <cell r="L112" t="str">
            <v>???</v>
          </cell>
          <cell r="M112" t="str">
            <v>???</v>
          </cell>
          <cell r="N112" t="str">
            <v>???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 t="b">
            <v>1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</row>
        <row r="113">
          <cell r="I113" t="str">
            <v>B1.17.02</v>
          </cell>
          <cell r="J113" t="e">
            <v>#N/A</v>
          </cell>
          <cell r="K113" t="e">
            <v>#N/A</v>
          </cell>
          <cell r="L113" t="e">
            <v>#N/A</v>
          </cell>
          <cell r="M113" t="e">
            <v>#N/A</v>
          </cell>
          <cell r="N113" t="e">
            <v>#N/A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 t="b">
            <v>1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</row>
        <row r="114">
          <cell r="I114" t="str">
            <v>B1.17.03</v>
          </cell>
          <cell r="J114" t="str">
            <v>PHẠM HƯƠNG LIÊN</v>
          </cell>
          <cell r="K114" t="str">
            <v>Bình Thạnh</v>
          </cell>
          <cell r="L114" t="str">
            <v>Thanh Hà</v>
          </cell>
          <cell r="M114" t="str">
            <v>Như Ngọc</v>
          </cell>
          <cell r="N114" t="str">
            <v>Trần Hoàng Đạt</v>
          </cell>
          <cell r="O114">
            <v>0</v>
          </cell>
          <cell r="P114" t="str">
            <v>Bình Thạnh</v>
          </cell>
          <cell r="Q114" t="str">
            <v>Thanh Hà</v>
          </cell>
          <cell r="R114" t="str">
            <v>Như Ngọc</v>
          </cell>
          <cell r="S114" t="str">
            <v>Trần Hoàng Đạt</v>
          </cell>
          <cell r="T114" t="b">
            <v>0</v>
          </cell>
          <cell r="U114">
            <v>0</v>
          </cell>
          <cell r="V114" t="str">
            <v>PTTT 09c</v>
          </cell>
          <cell r="W114" t="str">
            <v>1 người</v>
          </cell>
          <cell r="X114" t="str">
            <v>PHẠM HƯƠNG LIÊN</v>
          </cell>
        </row>
        <row r="115">
          <cell r="I115" t="str">
            <v>B1.17.04</v>
          </cell>
          <cell r="J115" t="str">
            <v>NGUYỄN HỮU HÙNG</v>
          </cell>
          <cell r="K115" t="str">
            <v>Sàn liên kết</v>
          </cell>
          <cell r="L115" t="str">
            <v>Bcons PS</v>
          </cell>
          <cell r="M115" t="str">
            <v>Bcons PS</v>
          </cell>
          <cell r="N115">
            <v>0</v>
          </cell>
          <cell r="O115">
            <v>0</v>
          </cell>
          <cell r="P115" t="str">
            <v>Sàn liên kết</v>
          </cell>
          <cell r="Q115" t="str">
            <v>Bcons PS</v>
          </cell>
          <cell r="R115" t="str">
            <v>Bcons PS</v>
          </cell>
          <cell r="S115">
            <v>0</v>
          </cell>
          <cell r="T115" t="b">
            <v>0</v>
          </cell>
          <cell r="U115">
            <v>0</v>
          </cell>
          <cell r="V115" t="str">
            <v>PTTT 08c</v>
          </cell>
          <cell r="W115" t="str">
            <v>1 người</v>
          </cell>
          <cell r="X115" t="str">
            <v>NGUYỄN HỮU HÙNG</v>
          </cell>
        </row>
        <row r="116">
          <cell r="I116" t="str">
            <v>B1.17.11</v>
          </cell>
          <cell r="J116" t="str">
            <v>PHẠM DIỄM NGỌC</v>
          </cell>
          <cell r="K116" t="str">
            <v>Bình Thạnh</v>
          </cell>
          <cell r="L116" t="str">
            <v>Lê Mai</v>
          </cell>
          <cell r="M116" t="str">
            <v>Ly Ly</v>
          </cell>
          <cell r="N116" t="str">
            <v>Võ Thế Hậu</v>
          </cell>
          <cell r="O116" t="str">
            <v>PHẠM DIỄM NGỌC</v>
          </cell>
          <cell r="P116" t="str">
            <v>Bình Thạnh</v>
          </cell>
          <cell r="Q116" t="str">
            <v>Lê Mai</v>
          </cell>
          <cell r="R116" t="str">
            <v>Ly Ly</v>
          </cell>
          <cell r="S116" t="str">
            <v>Võ Thế Hậu</v>
          </cell>
          <cell r="T116" t="b">
            <v>1</v>
          </cell>
          <cell r="U116" t="str">
            <v>PTTT 06b</v>
          </cell>
          <cell r="V116" t="str">
            <v>PTTT 04b</v>
          </cell>
          <cell r="W116" t="str">
            <v>1 người</v>
          </cell>
          <cell r="X116" t="str">
            <v>PHẠM DIỄM NGỌC</v>
          </cell>
        </row>
        <row r="117">
          <cell r="I117" t="str">
            <v>B1.17.12</v>
          </cell>
          <cell r="J117" t="str">
            <v>TRẦN NGỌC TUẤN</v>
          </cell>
          <cell r="K117" t="str">
            <v>Quận 3</v>
          </cell>
          <cell r="L117" t="str">
            <v>Kỳ Long</v>
          </cell>
          <cell r="M117" t="str">
            <v>Văn Tuyên</v>
          </cell>
          <cell r="N117" t="str">
            <v>Cao Văn Hậu</v>
          </cell>
          <cell r="O117" t="str">
            <v>TRẦN NGỌC TUẤN</v>
          </cell>
          <cell r="P117" t="str">
            <v>Quận 3</v>
          </cell>
          <cell r="Q117" t="str">
            <v>Kỳ Long</v>
          </cell>
          <cell r="R117" t="str">
            <v>Văn Tuyên</v>
          </cell>
          <cell r="S117" t="str">
            <v>Cao Văn Hậu</v>
          </cell>
          <cell r="T117" t="b">
            <v>1</v>
          </cell>
          <cell r="U117" t="str">
            <v>PTTT 01a</v>
          </cell>
          <cell r="V117" t="str">
            <v>PTTT 01a</v>
          </cell>
          <cell r="W117" t="str">
            <v>1 người</v>
          </cell>
          <cell r="X117" t="str">
            <v>TRẦN NGỌC TUẤN</v>
          </cell>
        </row>
        <row r="118">
          <cell r="I118" t="str">
            <v>B1.17.13</v>
          </cell>
          <cell r="J118" t="str">
            <v>???</v>
          </cell>
          <cell r="K118" t="str">
            <v>???</v>
          </cell>
          <cell r="L118" t="str">
            <v>???</v>
          </cell>
          <cell r="M118" t="str">
            <v>???</v>
          </cell>
          <cell r="N118" t="str">
            <v>???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 t="b">
            <v>1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</row>
        <row r="119">
          <cell r="I119" t="str">
            <v>B1.18.01</v>
          </cell>
          <cell r="J119" t="str">
            <v>CHUNG VĂN HOÀNG</v>
          </cell>
          <cell r="K119" t="str">
            <v>Quận 3</v>
          </cell>
          <cell r="L119" t="str">
            <v>Kỳ Long</v>
          </cell>
          <cell r="M119" t="str">
            <v>Đình Bằng</v>
          </cell>
          <cell r="N119" t="str">
            <v>Bùi Đức Hiền</v>
          </cell>
          <cell r="O119">
            <v>0</v>
          </cell>
          <cell r="P119" t="str">
            <v>Quận 3</v>
          </cell>
          <cell r="Q119" t="str">
            <v>Kỳ Long</v>
          </cell>
          <cell r="R119" t="str">
            <v>Đình Bằng</v>
          </cell>
          <cell r="S119" t="str">
            <v>Bùi Đức Hiền</v>
          </cell>
          <cell r="T119" t="b">
            <v>0</v>
          </cell>
          <cell r="U119">
            <v>0</v>
          </cell>
          <cell r="V119" t="str">
            <v>PTTT 08d</v>
          </cell>
          <cell r="W119" t="str">
            <v>1 người</v>
          </cell>
          <cell r="X119" t="str">
            <v>CHUNG VĂN HOÀNG</v>
          </cell>
        </row>
        <row r="120">
          <cell r="I120" t="str">
            <v>B1.18.02</v>
          </cell>
          <cell r="J120" t="str">
            <v>HUỲNH TIẾN ĐẠT</v>
          </cell>
          <cell r="K120" t="str">
            <v>Bình Thạnh</v>
          </cell>
          <cell r="L120" t="str">
            <v>Ngọc Linh</v>
          </cell>
          <cell r="M120" t="str">
            <v>Lưu Thông</v>
          </cell>
          <cell r="N120" t="str">
            <v>Trần Hồng Quân</v>
          </cell>
          <cell r="O120" t="str">
            <v>HUỲNH TIẾN ĐẠT</v>
          </cell>
          <cell r="P120" t="str">
            <v>Bình Thạnh</v>
          </cell>
          <cell r="Q120" t="str">
            <v>Ngọc Linh</v>
          </cell>
          <cell r="R120" t="str">
            <v>Lưu Thông</v>
          </cell>
          <cell r="S120" t="str">
            <v>Trần Hồng Quân</v>
          </cell>
          <cell r="T120" t="b">
            <v>1</v>
          </cell>
          <cell r="U120" t="str">
            <v>PTTT 06c</v>
          </cell>
          <cell r="V120" t="str">
            <v>PTTT 06c</v>
          </cell>
          <cell r="W120" t="str">
            <v>2 người</v>
          </cell>
          <cell r="X120" t="str">
            <v>HUỲNH TIẾN ĐẠT</v>
          </cell>
        </row>
        <row r="121">
          <cell r="I121" t="str">
            <v>B1.18.03</v>
          </cell>
          <cell r="J121" t="str">
            <v>VŨ MINH HÀ</v>
          </cell>
          <cell r="K121" t="str">
            <v>Quận 3</v>
          </cell>
          <cell r="L121" t="str">
            <v>Thanh Tuấn</v>
          </cell>
          <cell r="M121" t="str">
            <v>Thanh Liêm</v>
          </cell>
          <cell r="N121" t="str">
            <v>Hoàng Văn Trung</v>
          </cell>
          <cell r="O121">
            <v>0</v>
          </cell>
          <cell r="P121" t="str">
            <v>Quận 3</v>
          </cell>
          <cell r="Q121" t="str">
            <v>Thanh Tuấn</v>
          </cell>
          <cell r="R121" t="str">
            <v>Thanh Liêm</v>
          </cell>
          <cell r="S121" t="str">
            <v>Hoàng Văn Trung</v>
          </cell>
          <cell r="T121" t="b">
            <v>0</v>
          </cell>
          <cell r="U121">
            <v>0</v>
          </cell>
          <cell r="V121" t="str">
            <v>PTTT 09c</v>
          </cell>
          <cell r="W121" t="str">
            <v>1 người</v>
          </cell>
          <cell r="X121" t="str">
            <v>VŨ MINH HÀ</v>
          </cell>
        </row>
        <row r="122">
          <cell r="I122" t="str">
            <v>B1.18.04</v>
          </cell>
          <cell r="J122" t="str">
            <v>???</v>
          </cell>
          <cell r="K122" t="str">
            <v>???</v>
          </cell>
          <cell r="L122" t="str">
            <v>???</v>
          </cell>
          <cell r="M122" t="str">
            <v>???</v>
          </cell>
          <cell r="N122" t="str">
            <v>???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 t="b">
            <v>1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</row>
        <row r="123">
          <cell r="I123" t="str">
            <v>B1.18.05</v>
          </cell>
          <cell r="J123" t="str">
            <v>ĐOÀN VŨ TRƯỜNG</v>
          </cell>
          <cell r="K123" t="str">
            <v>Bình Thạnh</v>
          </cell>
          <cell r="L123" t="str">
            <v>Ngọc Linh</v>
          </cell>
          <cell r="M123" t="str">
            <v>Quốc Tuấn</v>
          </cell>
          <cell r="N123" t="str">
            <v>Nguyễn Tấn Lai</v>
          </cell>
          <cell r="O123" t="str">
            <v>ĐOÀN VŨ TRƯỜNG</v>
          </cell>
          <cell r="P123" t="str">
            <v>Bình Thạnh</v>
          </cell>
          <cell r="Q123" t="str">
            <v>Ngọc Linh</v>
          </cell>
          <cell r="R123" t="str">
            <v>Quốc Tuấn</v>
          </cell>
          <cell r="S123" t="str">
            <v>Nguyễn Tấn Lai</v>
          </cell>
          <cell r="T123" t="b">
            <v>1</v>
          </cell>
          <cell r="U123" t="str">
            <v>PTTT 01a</v>
          </cell>
          <cell r="V123" t="str">
            <v>PTTT 01a</v>
          </cell>
          <cell r="W123" t="str">
            <v>1 người</v>
          </cell>
          <cell r="X123" t="str">
            <v>ĐOÀN VŨ TRƯỜNG</v>
          </cell>
        </row>
        <row r="124">
          <cell r="I124" t="str">
            <v>B1.18.06</v>
          </cell>
          <cell r="J124" t="str">
            <v>LÊ THANH NHÀN</v>
          </cell>
          <cell r="K124" t="str">
            <v>Quận 3</v>
          </cell>
          <cell r="L124" t="str">
            <v>Thanh Tuấn</v>
          </cell>
          <cell r="M124" t="str">
            <v>Thanh Liêm</v>
          </cell>
          <cell r="N124" t="str">
            <v>Trần Quốc Việt</v>
          </cell>
          <cell r="O124" t="str">
            <v>LÊ THANH NHÀN</v>
          </cell>
          <cell r="P124" t="str">
            <v>Quận 3</v>
          </cell>
          <cell r="Q124" t="str">
            <v>Thanh Tuấn</v>
          </cell>
          <cell r="R124" t="str">
            <v>Thanh Liêm</v>
          </cell>
          <cell r="S124" t="str">
            <v>Trần Quốc Việt</v>
          </cell>
          <cell r="T124" t="b">
            <v>1</v>
          </cell>
          <cell r="U124" t="str">
            <v>PTTT 01b</v>
          </cell>
          <cell r="V124" t="str">
            <v>PTTT 01b</v>
          </cell>
          <cell r="W124" t="str">
            <v>1 người</v>
          </cell>
          <cell r="X124" t="str">
            <v>LÊ THANH NHÀN</v>
          </cell>
        </row>
        <row r="125">
          <cell r="I125" t="str">
            <v>B1.18.07</v>
          </cell>
          <cell r="J125" t="str">
            <v>NGUYỄN THỊ HOÀNG NHẬT</v>
          </cell>
          <cell r="K125" t="str">
            <v>Quận 3</v>
          </cell>
          <cell r="L125" t="str">
            <v>Thanh Tuấn</v>
          </cell>
          <cell r="M125" t="str">
            <v>Hữu Thạnh</v>
          </cell>
          <cell r="N125" t="str">
            <v>Nguyễn Thanh Hưng</v>
          </cell>
          <cell r="O125" t="str">
            <v>PHẠM THỊ HƯỜNG</v>
          </cell>
          <cell r="P125" t="str">
            <v>Quận 3</v>
          </cell>
          <cell r="Q125" t="str">
            <v>Thanh Tuấn</v>
          </cell>
          <cell r="R125" t="str">
            <v>Tuấn Vương</v>
          </cell>
          <cell r="S125">
            <v>0</v>
          </cell>
          <cell r="T125" t="b">
            <v>1</v>
          </cell>
          <cell r="U125" t="str">
            <v>PTTT 01a</v>
          </cell>
          <cell r="V125" t="str">
            <v>PTTT 01a</v>
          </cell>
          <cell r="W125" t="str">
            <v>1 người</v>
          </cell>
          <cell r="X125" t="str">
            <v>PHẠM THỊ HƯỜNG</v>
          </cell>
        </row>
        <row r="126">
          <cell r="I126" t="str">
            <v>B1.18.08</v>
          </cell>
          <cell r="J126" t="str">
            <v>NGUYỄN THÀNH TÀI</v>
          </cell>
          <cell r="K126" t="str">
            <v>Bình Thạnh</v>
          </cell>
          <cell r="L126" t="str">
            <v>Thanh Hà</v>
          </cell>
          <cell r="M126" t="str">
            <v>Đức Đồng</v>
          </cell>
          <cell r="N126" t="str">
            <v>Nguyễn Ngọc Anh Thư</v>
          </cell>
          <cell r="O126" t="str">
            <v>NGUYỄN THÀNH TÀI</v>
          </cell>
          <cell r="P126" t="str">
            <v>Bình Thạnh</v>
          </cell>
          <cell r="Q126" t="str">
            <v>Thanh Hà</v>
          </cell>
          <cell r="R126" t="str">
            <v>Đức Đồng</v>
          </cell>
          <cell r="S126" t="str">
            <v>Nguyễn Ngọc Anh Thư</v>
          </cell>
          <cell r="T126" t="b">
            <v>1</v>
          </cell>
          <cell r="U126" t="str">
            <v>PTTT 01a</v>
          </cell>
          <cell r="V126" t="str">
            <v>PTTT 01a</v>
          </cell>
          <cell r="W126" t="str">
            <v>2 người</v>
          </cell>
          <cell r="X126" t="str">
            <v>NGUYỄN THÀNH TÀI</v>
          </cell>
        </row>
        <row r="127">
          <cell r="I127" t="str">
            <v>B1.18.09</v>
          </cell>
          <cell r="J127" t="str">
            <v>NGUYỄN TUẤN CẢNH</v>
          </cell>
          <cell r="K127" t="str">
            <v>Bình Thạnh</v>
          </cell>
          <cell r="L127" t="str">
            <v>Thanh Hà</v>
          </cell>
          <cell r="M127" t="str">
            <v>Đức Đồng</v>
          </cell>
          <cell r="N127" t="str">
            <v>Trần Minh Phúc</v>
          </cell>
          <cell r="O127" t="str">
            <v>NGUYỄN TUẤN CẢNH</v>
          </cell>
          <cell r="P127" t="str">
            <v>Bình Thạnh</v>
          </cell>
          <cell r="Q127" t="str">
            <v>Thanh Hà</v>
          </cell>
          <cell r="R127" t="str">
            <v>Đức Đồng</v>
          </cell>
          <cell r="S127" t="str">
            <v>Trần Minh Phúc</v>
          </cell>
          <cell r="T127" t="b">
            <v>1</v>
          </cell>
          <cell r="U127" t="str">
            <v>PTTT 01a</v>
          </cell>
          <cell r="V127" t="str">
            <v>PTTT 01a</v>
          </cell>
          <cell r="W127" t="str">
            <v>1 người</v>
          </cell>
          <cell r="X127" t="str">
            <v>NGUYỄN TUẤN CẢNH</v>
          </cell>
        </row>
        <row r="128">
          <cell r="I128" t="str">
            <v>B1.18.10</v>
          </cell>
          <cell r="J128" t="str">
            <v>TRẦN THỊ THÙY DUNG</v>
          </cell>
          <cell r="K128" t="str">
            <v>Quận 3</v>
          </cell>
          <cell r="L128" t="str">
            <v>Huỳnh Nhân</v>
          </cell>
          <cell r="M128" t="str">
            <v>Tấn Long</v>
          </cell>
          <cell r="N128" t="str">
            <v>Trịnh Hoàng Phát</v>
          </cell>
          <cell r="O128" t="str">
            <v>TRẦN THỊ THÙY DUNG</v>
          </cell>
          <cell r="P128" t="str">
            <v>Quận 3</v>
          </cell>
          <cell r="Q128" t="str">
            <v>Huỳnh Nhân</v>
          </cell>
          <cell r="R128" t="str">
            <v>Tấn Long</v>
          </cell>
          <cell r="S128" t="str">
            <v>Trịnh Hoàng Phát</v>
          </cell>
          <cell r="T128" t="b">
            <v>1</v>
          </cell>
          <cell r="U128" t="str">
            <v>PTTT 01a</v>
          </cell>
          <cell r="V128" t="str">
            <v>PTTT 01a</v>
          </cell>
          <cell r="W128" t="str">
            <v>1 người</v>
          </cell>
          <cell r="X128" t="str">
            <v>TRẦN THỊ THÙY DUNG</v>
          </cell>
        </row>
        <row r="129">
          <cell r="I129" t="str">
            <v>B1.18.11</v>
          </cell>
          <cell r="J129" t="str">
            <v>NGUYỄN THỊ HOA</v>
          </cell>
          <cell r="K129" t="str">
            <v>Bình Thạnh</v>
          </cell>
          <cell r="L129" t="str">
            <v>Thanh Hà</v>
          </cell>
          <cell r="M129" t="str">
            <v>Đức Đồng</v>
          </cell>
          <cell r="N129" t="str">
            <v>Nguyễn Thành Văn</v>
          </cell>
          <cell r="O129" t="str">
            <v>NGUYỄN THỊ HOA</v>
          </cell>
          <cell r="P129" t="str">
            <v>Bình Thạnh</v>
          </cell>
          <cell r="Q129" t="str">
            <v>Thanh Hà</v>
          </cell>
          <cell r="R129" t="str">
            <v>Đức Đồng</v>
          </cell>
          <cell r="S129" t="str">
            <v>Nguyễn Thành Văn</v>
          </cell>
          <cell r="T129" t="b">
            <v>1</v>
          </cell>
          <cell r="U129" t="str">
            <v>PTTT 04b</v>
          </cell>
          <cell r="V129" t="str">
            <v>PTTT 04b</v>
          </cell>
          <cell r="W129" t="str">
            <v>1 người</v>
          </cell>
          <cell r="X129" t="str">
            <v>NGUYỄN THỊ HOA</v>
          </cell>
        </row>
        <row r="130">
          <cell r="I130" t="str">
            <v>B1.18.12</v>
          </cell>
          <cell r="J130" t="str">
            <v>LƯU HÙNG</v>
          </cell>
          <cell r="K130" t="str">
            <v>Bình Thạnh</v>
          </cell>
          <cell r="L130" t="str">
            <v>Lê Mai</v>
          </cell>
          <cell r="M130" t="str">
            <v>Khoa Huân</v>
          </cell>
          <cell r="N130" t="str">
            <v>Nguyễn Phi Hùng</v>
          </cell>
          <cell r="O130" t="str">
            <v>NGUYỄN VĂN NHẬT</v>
          </cell>
          <cell r="P130" t="str">
            <v>Bình Thạnh</v>
          </cell>
          <cell r="Q130" t="str">
            <v>Lê Mai</v>
          </cell>
          <cell r="R130" t="str">
            <v>Khoa Huân</v>
          </cell>
          <cell r="S130" t="str">
            <v>Nguyễn Phi Hùng</v>
          </cell>
          <cell r="T130" t="b">
            <v>1</v>
          </cell>
          <cell r="U130" t="str">
            <v>PTTT 02a</v>
          </cell>
          <cell r="V130" t="str">
            <v>PTTT 02a</v>
          </cell>
          <cell r="W130" t="str">
            <v>1 người</v>
          </cell>
          <cell r="X130" t="str">
            <v>NGUYỄN VĂN NHẬT</v>
          </cell>
        </row>
        <row r="131">
          <cell r="I131" t="str">
            <v>B1.18.13</v>
          </cell>
          <cell r="J131" t="e">
            <v>#N/A</v>
          </cell>
          <cell r="K131" t="e">
            <v>#N/A</v>
          </cell>
          <cell r="L131" t="e">
            <v>#N/A</v>
          </cell>
          <cell r="M131" t="e">
            <v>#N/A</v>
          </cell>
          <cell r="N131" t="e">
            <v>#N/A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 t="b">
            <v>1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</row>
        <row r="132">
          <cell r="I132" t="str">
            <v>B1.19.01</v>
          </cell>
          <cell r="J132" t="str">
            <v>???</v>
          </cell>
          <cell r="K132" t="str">
            <v>???</v>
          </cell>
          <cell r="L132" t="str">
            <v>???</v>
          </cell>
          <cell r="M132" t="str">
            <v>???</v>
          </cell>
          <cell r="N132" t="str">
            <v>???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 t="b">
            <v>1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</row>
        <row r="133">
          <cell r="I133" t="str">
            <v>B1.19.02</v>
          </cell>
          <cell r="J133" t="str">
            <v>VŨ THỊ LAN</v>
          </cell>
          <cell r="K133" t="str">
            <v>Quận 3</v>
          </cell>
          <cell r="L133" t="str">
            <v>Thanh Tuấn</v>
          </cell>
          <cell r="M133" t="str">
            <v>Thanh Liêm</v>
          </cell>
          <cell r="N133" t="str">
            <v>Nguyễn Triêm Định</v>
          </cell>
          <cell r="O133" t="str">
            <v>HỒ SĨ AN</v>
          </cell>
          <cell r="P133" t="str">
            <v>Quận 3</v>
          </cell>
          <cell r="Q133" t="str">
            <v>Thanh Tuấn</v>
          </cell>
          <cell r="R133" t="str">
            <v>Thanh Liêm</v>
          </cell>
          <cell r="S133" t="str">
            <v>Nguyễn Triêm Định</v>
          </cell>
          <cell r="T133" t="b">
            <v>0</v>
          </cell>
          <cell r="U133">
            <v>0</v>
          </cell>
          <cell r="V133" t="str">
            <v>PTTT 09c</v>
          </cell>
          <cell r="W133" t="str">
            <v>1 người</v>
          </cell>
          <cell r="X133" t="str">
            <v>VŨ THỊ LAN</v>
          </cell>
        </row>
        <row r="134">
          <cell r="I134" t="str">
            <v>B1.19.03</v>
          </cell>
          <cell r="J134" t="str">
            <v>ĐỖ THỊ BÍCH NGA</v>
          </cell>
          <cell r="K134" t="str">
            <v>Quận 3</v>
          </cell>
          <cell r="L134" t="str">
            <v>Văn Tùng</v>
          </cell>
          <cell r="M134" t="str">
            <v>Trinh Trinh</v>
          </cell>
          <cell r="N134" t="str">
            <v>Lý Thanh Tân</v>
          </cell>
          <cell r="O134">
            <v>0</v>
          </cell>
          <cell r="P134" t="str">
            <v>Quận 3</v>
          </cell>
          <cell r="Q134" t="str">
            <v>Văn Tùng</v>
          </cell>
          <cell r="R134" t="str">
            <v>Trinh Trinh</v>
          </cell>
          <cell r="S134">
            <v>0</v>
          </cell>
          <cell r="T134" t="b">
            <v>0</v>
          </cell>
          <cell r="U134">
            <v>0</v>
          </cell>
          <cell r="V134" t="str">
            <v>PTTT 08c</v>
          </cell>
          <cell r="W134" t="str">
            <v>1 người</v>
          </cell>
          <cell r="X134" t="str">
            <v>ĐỖ THỊ BÍCH NGA</v>
          </cell>
        </row>
        <row r="135">
          <cell r="I135" t="str">
            <v>B1.19.04</v>
          </cell>
          <cell r="J135" t="str">
            <v>NGÔ DƯƠNG TRÚC LY</v>
          </cell>
          <cell r="K135" t="str">
            <v>Bình Thạnh</v>
          </cell>
          <cell r="L135" t="str">
            <v>Ngọc Linh</v>
          </cell>
          <cell r="M135" t="str">
            <v>Thanh Đức</v>
          </cell>
          <cell r="N135" t="str">
            <v>Phan Xuân Thưởng</v>
          </cell>
          <cell r="O135">
            <v>0</v>
          </cell>
          <cell r="P135" t="str">
            <v>Bình Thạnh</v>
          </cell>
          <cell r="Q135" t="str">
            <v>Ngọc Linh</v>
          </cell>
          <cell r="R135" t="str">
            <v>Thanh Đức</v>
          </cell>
          <cell r="S135" t="str">
            <v>Phan Xuân Thưởng</v>
          </cell>
          <cell r="T135" t="b">
            <v>0</v>
          </cell>
          <cell r="U135">
            <v>0</v>
          </cell>
          <cell r="V135" t="str">
            <v>PTTT 09c</v>
          </cell>
          <cell r="W135" t="str">
            <v>1 người</v>
          </cell>
          <cell r="X135" t="str">
            <v>NGÔ DƯƠNG TRÚC LY</v>
          </cell>
        </row>
        <row r="136">
          <cell r="I136" t="str">
            <v>B1.19.05</v>
          </cell>
          <cell r="J136" t="str">
            <v>NGUYỄN HỮU TOÀN</v>
          </cell>
          <cell r="K136" t="str">
            <v>Bình Thạnh</v>
          </cell>
          <cell r="L136" t="str">
            <v>Thanh Hà</v>
          </cell>
          <cell r="M136" t="str">
            <v>Đức Đồng</v>
          </cell>
          <cell r="N136" t="str">
            <v>Nguyễn Tiến Lộc</v>
          </cell>
          <cell r="O136" t="str">
            <v>NGUYỄN HỮU TOÀN</v>
          </cell>
          <cell r="P136" t="str">
            <v>Bình Thạnh</v>
          </cell>
          <cell r="Q136" t="str">
            <v>Thanh Hà</v>
          </cell>
          <cell r="R136" t="str">
            <v>Đức Đồng</v>
          </cell>
          <cell r="S136" t="str">
            <v>Nguyễn Tiến Lộc</v>
          </cell>
          <cell r="T136" t="b">
            <v>1</v>
          </cell>
          <cell r="U136" t="str">
            <v>PTTT 04b</v>
          </cell>
          <cell r="V136" t="str">
            <v>PTTT 04b</v>
          </cell>
          <cell r="W136" t="str">
            <v>2 người</v>
          </cell>
          <cell r="X136" t="str">
            <v>NGUYỄN HỮU TOÀN</v>
          </cell>
        </row>
        <row r="137">
          <cell r="I137" t="str">
            <v>B1.19.06</v>
          </cell>
          <cell r="J137" t="str">
            <v>VŨ MỘNG MINH THƯ</v>
          </cell>
          <cell r="K137" t="str">
            <v>Bình Thạnh</v>
          </cell>
          <cell r="L137" t="str">
            <v>Lê Mai</v>
          </cell>
          <cell r="M137" t="str">
            <v>Nguyễn Thanh</v>
          </cell>
          <cell r="N137" t="str">
            <v>Nguyễn Trọng Phương</v>
          </cell>
          <cell r="O137" t="str">
            <v>VŨ MỘNG MINH THƯ</v>
          </cell>
          <cell r="P137" t="str">
            <v>Bình Thạnh</v>
          </cell>
          <cell r="Q137" t="str">
            <v>Lê Mai</v>
          </cell>
          <cell r="R137" t="str">
            <v>Nguyễn Thanh</v>
          </cell>
          <cell r="S137" t="str">
            <v>Nguyễn Trọng Phương</v>
          </cell>
          <cell r="T137" t="b">
            <v>1</v>
          </cell>
          <cell r="U137" t="str">
            <v>PTTT 02a</v>
          </cell>
          <cell r="V137" t="str">
            <v>PTTT 02a</v>
          </cell>
          <cell r="W137" t="str">
            <v>1 người</v>
          </cell>
          <cell r="X137" t="str">
            <v>VŨ MỘNG MINH THƯ</v>
          </cell>
        </row>
        <row r="138">
          <cell r="I138" t="str">
            <v>B1.19.07</v>
          </cell>
          <cell r="J138" t="str">
            <v>HOÀNG HẢI HÀ</v>
          </cell>
          <cell r="K138" t="str">
            <v>Quận 3</v>
          </cell>
          <cell r="L138" t="str">
            <v>Thanh Tuấn</v>
          </cell>
          <cell r="M138" t="str">
            <v>Thanh Liêm</v>
          </cell>
          <cell r="N138" t="str">
            <v>Nguyễn Thị Yến Nương</v>
          </cell>
          <cell r="O138" t="str">
            <v>HOÀNG HẢI HÀ</v>
          </cell>
          <cell r="P138" t="str">
            <v>Quận 3</v>
          </cell>
          <cell r="Q138" t="str">
            <v>Thanh Tuấn</v>
          </cell>
          <cell r="R138" t="str">
            <v>Thanh Liêm</v>
          </cell>
          <cell r="S138" t="str">
            <v>Nguyễn Thị Yến Nương</v>
          </cell>
          <cell r="T138" t="b">
            <v>1</v>
          </cell>
          <cell r="U138" t="str">
            <v>PTTT 01a</v>
          </cell>
          <cell r="V138" t="str">
            <v>PTTT 01a</v>
          </cell>
          <cell r="W138" t="str">
            <v>1 người</v>
          </cell>
          <cell r="X138" t="str">
            <v>HOÀNG HẢI HÀ</v>
          </cell>
        </row>
        <row r="139">
          <cell r="I139" t="str">
            <v>B1.19.08</v>
          </cell>
          <cell r="J139" t="str">
            <v>NGUYỄN THỊ THÙY DUNG</v>
          </cell>
          <cell r="K139" t="str">
            <v>Bình Thạnh</v>
          </cell>
          <cell r="L139" t="str">
            <v>Thanh Hà</v>
          </cell>
          <cell r="M139" t="str">
            <v>Như Ngọc</v>
          </cell>
          <cell r="N139" t="str">
            <v>Phùng Tấn Hiệp</v>
          </cell>
          <cell r="O139" t="str">
            <v>NGUYỄN THỊ THÙY DUNG</v>
          </cell>
          <cell r="P139" t="str">
            <v>Bình Thạnh</v>
          </cell>
          <cell r="Q139" t="str">
            <v>Thanh Hà</v>
          </cell>
          <cell r="R139" t="str">
            <v>Như Ngọc</v>
          </cell>
          <cell r="S139" t="str">
            <v>Phùng Tấn Hiệp</v>
          </cell>
          <cell r="T139" t="b">
            <v>1</v>
          </cell>
          <cell r="U139" t="str">
            <v>PTTT 01a</v>
          </cell>
          <cell r="V139" t="str">
            <v>PTTT 01a</v>
          </cell>
          <cell r="W139" t="str">
            <v>1 người</v>
          </cell>
          <cell r="X139" t="str">
            <v>NGUYỄN THỊ THÙY DUNG</v>
          </cell>
        </row>
        <row r="140">
          <cell r="I140" t="str">
            <v>B1.19.09</v>
          </cell>
          <cell r="J140" t="str">
            <v>HỒ THỊ PHÚ BÌNH</v>
          </cell>
          <cell r="K140" t="str">
            <v>Bình Thạnh</v>
          </cell>
          <cell r="L140" t="str">
            <v>Thanh Hà</v>
          </cell>
          <cell r="M140" t="str">
            <v>Đức Đồng</v>
          </cell>
          <cell r="N140" t="str">
            <v>Nguyễn Ngọc Anh Thư</v>
          </cell>
          <cell r="O140" t="str">
            <v>HỒ THỊ PHÚ BÌNH</v>
          </cell>
          <cell r="P140" t="str">
            <v>Bình Thạnh</v>
          </cell>
          <cell r="Q140" t="str">
            <v>Thanh Hà</v>
          </cell>
          <cell r="R140" t="str">
            <v>Đức Đồng</v>
          </cell>
          <cell r="S140" t="str">
            <v>Nguyễn Ngọc Anh Thư</v>
          </cell>
          <cell r="T140" t="b">
            <v>1</v>
          </cell>
          <cell r="U140" t="str">
            <v>PTTT 01a</v>
          </cell>
          <cell r="V140" t="str">
            <v>PTTT 01a</v>
          </cell>
          <cell r="W140" t="str">
            <v>1 người</v>
          </cell>
          <cell r="X140" t="str">
            <v>HỒ THỊ PHÚ BÌNH</v>
          </cell>
        </row>
        <row r="141">
          <cell r="I141" t="str">
            <v>B1.19.10</v>
          </cell>
          <cell r="J141" t="str">
            <v>HỒ BÍCH VÂN</v>
          </cell>
          <cell r="K141" t="str">
            <v>Bình Thạnh</v>
          </cell>
          <cell r="L141" t="str">
            <v>Thanh Hà</v>
          </cell>
          <cell r="M141" t="str">
            <v>Đức Đồng</v>
          </cell>
          <cell r="N141" t="str">
            <v>Nguyễn Trung Kiên</v>
          </cell>
          <cell r="O141" t="str">
            <v>HỒ BÍCH VÂN</v>
          </cell>
          <cell r="P141" t="str">
            <v>Bình Thạnh</v>
          </cell>
          <cell r="Q141" t="str">
            <v>Thanh Hà</v>
          </cell>
          <cell r="R141" t="str">
            <v>Đức Đồng</v>
          </cell>
          <cell r="S141" t="str">
            <v>Nguyễn Trung Kiên</v>
          </cell>
          <cell r="T141" t="b">
            <v>1</v>
          </cell>
          <cell r="U141" t="str">
            <v>PTTT 01b</v>
          </cell>
          <cell r="V141" t="str">
            <v>PTTT 01b</v>
          </cell>
          <cell r="W141" t="str">
            <v>1 người</v>
          </cell>
          <cell r="X141" t="str">
            <v>HỒ BÍCH VÂN</v>
          </cell>
        </row>
        <row r="142">
          <cell r="I142" t="str">
            <v>B1.19.11</v>
          </cell>
          <cell r="J142" t="str">
            <v>LÊ NGỌC TRINH</v>
          </cell>
          <cell r="K142" t="str">
            <v>Quận 3</v>
          </cell>
          <cell r="L142" t="str">
            <v>Thanh Tuấn</v>
          </cell>
          <cell r="M142" t="str">
            <v>Thanh Liêm</v>
          </cell>
          <cell r="N142" t="str">
            <v>Trần Quốc Việt</v>
          </cell>
          <cell r="O142" t="str">
            <v>LÊ NGỌC TRINH</v>
          </cell>
          <cell r="P142" t="str">
            <v>Quận 3</v>
          </cell>
          <cell r="Q142" t="str">
            <v>Thanh Tuấn</v>
          </cell>
          <cell r="R142" t="str">
            <v>Thanh Liêm</v>
          </cell>
          <cell r="S142" t="str">
            <v>Trần Quốc Việt</v>
          </cell>
          <cell r="T142" t="b">
            <v>1</v>
          </cell>
          <cell r="U142" t="str">
            <v>PTTT 04b</v>
          </cell>
          <cell r="V142" t="str">
            <v>PTTT 04b</v>
          </cell>
          <cell r="W142" t="str">
            <v>1 người</v>
          </cell>
          <cell r="X142" t="str">
            <v>LÊ NGỌC TRINH</v>
          </cell>
        </row>
        <row r="143">
          <cell r="I143" t="str">
            <v>B1.19.12</v>
          </cell>
          <cell r="J143" t="str">
            <v>BÙI ĐỨC THỌ</v>
          </cell>
          <cell r="K143" t="str">
            <v>Bình Thạnh</v>
          </cell>
          <cell r="L143" t="str">
            <v>Lê Mai</v>
          </cell>
          <cell r="M143" t="str">
            <v>Khoa Huân</v>
          </cell>
          <cell r="N143" t="str">
            <v>Hoàng Thị Thanh Trúc</v>
          </cell>
          <cell r="O143" t="str">
            <v>BÙI ĐỨC THỌ</v>
          </cell>
          <cell r="P143" t="str">
            <v>Bình Thạnh</v>
          </cell>
          <cell r="Q143" t="str">
            <v>Lê Mai</v>
          </cell>
          <cell r="R143" t="str">
            <v>Khoa Huân</v>
          </cell>
          <cell r="S143" t="str">
            <v>Hoàng Thị Thanh Trúc</v>
          </cell>
          <cell r="T143" t="b">
            <v>1</v>
          </cell>
          <cell r="U143" t="str">
            <v>PTTT 03a</v>
          </cell>
          <cell r="V143" t="str">
            <v>PTTT 03a</v>
          </cell>
          <cell r="W143" t="str">
            <v>2 người</v>
          </cell>
          <cell r="X143" t="str">
            <v>BÙI ĐỨC THỌ</v>
          </cell>
        </row>
        <row r="144">
          <cell r="I144" t="str">
            <v>B1.19.13</v>
          </cell>
          <cell r="J144" t="str">
            <v>???</v>
          </cell>
          <cell r="K144" t="str">
            <v>???</v>
          </cell>
          <cell r="L144" t="str">
            <v>???</v>
          </cell>
          <cell r="M144" t="str">
            <v>???</v>
          </cell>
          <cell r="N144" t="str">
            <v>???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 t="b">
            <v>1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</row>
        <row r="145">
          <cell r="I145" t="str">
            <v>B1.20.01</v>
          </cell>
          <cell r="J145" t="str">
            <v>???</v>
          </cell>
          <cell r="K145" t="str">
            <v>???</v>
          </cell>
          <cell r="L145" t="str">
            <v>???</v>
          </cell>
          <cell r="M145" t="str">
            <v>???</v>
          </cell>
          <cell r="N145" t="str">
            <v>???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 t="b">
            <v>1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</row>
        <row r="146">
          <cell r="I146" t="str">
            <v>B1.20.02</v>
          </cell>
          <cell r="J146" t="e">
            <v>#N/A</v>
          </cell>
          <cell r="K146" t="e">
            <v>#N/A</v>
          </cell>
          <cell r="L146" t="e">
            <v>#N/A</v>
          </cell>
          <cell r="M146" t="e">
            <v>#N/A</v>
          </cell>
          <cell r="N146" t="e">
            <v>#N/A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 t="b">
            <v>1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</row>
        <row r="147">
          <cell r="I147" t="str">
            <v>B1.20.03</v>
          </cell>
          <cell r="J147" t="str">
            <v>NGUYỄN THỊ HỒNG OANH</v>
          </cell>
          <cell r="K147" t="str">
            <v>Quận 3</v>
          </cell>
          <cell r="L147" t="str">
            <v>Văn Tùng</v>
          </cell>
          <cell r="M147" t="str">
            <v>Trinh Trinh</v>
          </cell>
          <cell r="N147" t="str">
            <v>Lý Thanh Tân</v>
          </cell>
          <cell r="O147">
            <v>0</v>
          </cell>
          <cell r="P147" t="str">
            <v>Quận 3</v>
          </cell>
          <cell r="Q147" t="str">
            <v>Văn Tùng</v>
          </cell>
          <cell r="R147" t="str">
            <v>Trinh Trinh</v>
          </cell>
          <cell r="S147" t="str">
            <v>Lý Thanh Tân</v>
          </cell>
          <cell r="T147" t="b">
            <v>0</v>
          </cell>
          <cell r="U147">
            <v>0</v>
          </cell>
          <cell r="V147" t="str">
            <v>PTTT 08c</v>
          </cell>
          <cell r="W147" t="str">
            <v>1 người</v>
          </cell>
          <cell r="X147" t="str">
            <v>NGUYỄN THỊ HỒNG OANH</v>
          </cell>
        </row>
        <row r="148">
          <cell r="I148" t="str">
            <v>B1.20.04</v>
          </cell>
          <cell r="J148" t="str">
            <v>NGÔ DƯƠNG TRÚC LY</v>
          </cell>
          <cell r="K148" t="str">
            <v>Bình Thạnh</v>
          </cell>
          <cell r="L148" t="str">
            <v>Ngọc Linh</v>
          </cell>
          <cell r="M148" t="str">
            <v>Thanh Đức</v>
          </cell>
          <cell r="N148" t="str">
            <v>Phan Xuân Thưởng</v>
          </cell>
          <cell r="O148">
            <v>0</v>
          </cell>
          <cell r="P148" t="str">
            <v>Bình Thạnh</v>
          </cell>
          <cell r="Q148" t="str">
            <v>Ngọc Linh</v>
          </cell>
          <cell r="R148" t="str">
            <v>Thanh Đức</v>
          </cell>
          <cell r="S148" t="str">
            <v>Phan Xuân Thưởng</v>
          </cell>
          <cell r="T148" t="b">
            <v>0</v>
          </cell>
          <cell r="U148">
            <v>0</v>
          </cell>
          <cell r="V148" t="str">
            <v>PTTT 09c</v>
          </cell>
          <cell r="W148" t="str">
            <v>1 người</v>
          </cell>
          <cell r="X148" t="str">
            <v>NGÔ DƯƠNG TRÚC LY</v>
          </cell>
        </row>
        <row r="149">
          <cell r="I149" t="str">
            <v>B1.20.11</v>
          </cell>
          <cell r="J149" t="str">
            <v>TRỊNH THỊ NGUYỆT</v>
          </cell>
          <cell r="K149" t="str">
            <v>Quận 3</v>
          </cell>
          <cell r="L149" t="str">
            <v>Thế Hiển</v>
          </cell>
          <cell r="M149" t="str">
            <v>Văn Tùng</v>
          </cell>
          <cell r="N149" t="str">
            <v>Trần Văn Quốc</v>
          </cell>
          <cell r="O149" t="str">
            <v>TRỊNH THỊ NGUYỆT</v>
          </cell>
          <cell r="P149" t="str">
            <v>Quận 3</v>
          </cell>
          <cell r="Q149" t="str">
            <v>Thế Hiển</v>
          </cell>
          <cell r="R149" t="str">
            <v>Văn Tùng</v>
          </cell>
          <cell r="S149" t="str">
            <v>Trần Văn Quốc</v>
          </cell>
          <cell r="T149" t="b">
            <v>1</v>
          </cell>
          <cell r="U149" t="str">
            <v>PTTT 04c</v>
          </cell>
          <cell r="V149" t="str">
            <v>PTTT 04c</v>
          </cell>
          <cell r="W149" t="str">
            <v>1 người</v>
          </cell>
          <cell r="X149" t="str">
            <v>TRỊNH THỊ NGUYỆT</v>
          </cell>
        </row>
        <row r="150">
          <cell r="I150" t="str">
            <v>B1.20.12</v>
          </cell>
          <cell r="J150" t="str">
            <v>HUỲNH THÀNH TÍN</v>
          </cell>
          <cell r="K150" t="str">
            <v>Quận 3</v>
          </cell>
          <cell r="L150" t="str">
            <v>Thanh Tuấn</v>
          </cell>
          <cell r="M150" t="str">
            <v>Tuấn Vương</v>
          </cell>
          <cell r="N150" t="str">
            <v>Huỳnh Thành Tín</v>
          </cell>
          <cell r="O150" t="str">
            <v>LÊ ANH OANH PHƯƠNG</v>
          </cell>
          <cell r="P150" t="str">
            <v>Quận 3</v>
          </cell>
          <cell r="Q150" t="str">
            <v>Thanh Tuấn</v>
          </cell>
          <cell r="R150" t="str">
            <v>Tuấn Vương</v>
          </cell>
          <cell r="S150" t="str">
            <v>Huỳnh Thành Tín</v>
          </cell>
          <cell r="T150" t="b">
            <v>1</v>
          </cell>
          <cell r="U150" t="str">
            <v>PTTT 01a</v>
          </cell>
          <cell r="V150" t="str">
            <v>PTTT 01a</v>
          </cell>
          <cell r="W150" t="str">
            <v>1 người</v>
          </cell>
          <cell r="X150" t="str">
            <v>LÊ ANH OANH PHƯƠNG</v>
          </cell>
        </row>
        <row r="151">
          <cell r="I151" t="str">
            <v>B1.20.13</v>
          </cell>
          <cell r="J151" t="str">
            <v>???</v>
          </cell>
          <cell r="K151" t="str">
            <v>???</v>
          </cell>
          <cell r="L151" t="str">
            <v>???</v>
          </cell>
          <cell r="M151" t="str">
            <v>???</v>
          </cell>
          <cell r="N151" t="str">
            <v>???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 t="b">
            <v>1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</row>
        <row r="152">
          <cell r="I152" t="str">
            <v>B1.21.06</v>
          </cell>
          <cell r="J152" t="str">
            <v>PHẠM THỊ PHƯƠNG YẾN</v>
          </cell>
          <cell r="K152" t="str">
            <v>Bình Thạnh</v>
          </cell>
          <cell r="L152" t="str">
            <v>Lê Mai</v>
          </cell>
          <cell r="M152" t="str">
            <v>Ly Ly</v>
          </cell>
          <cell r="N152" t="str">
            <v>Hoàng Thị Ly Ly</v>
          </cell>
          <cell r="O152" t="str">
            <v>PHẠM THỊ PHƯƠNG YẾN</v>
          </cell>
          <cell r="P152" t="str">
            <v>Bình Thạnh</v>
          </cell>
          <cell r="Q152" t="str">
            <v>Lê Mai</v>
          </cell>
          <cell r="R152" t="str">
            <v>Ly Ly</v>
          </cell>
          <cell r="S152" t="str">
            <v>Hoàng Thị Ly Ly</v>
          </cell>
          <cell r="T152" t="b">
            <v>1</v>
          </cell>
          <cell r="U152" t="str">
            <v>PTTT 03a</v>
          </cell>
          <cell r="V152" t="str">
            <v>PTTT 01a</v>
          </cell>
          <cell r="W152" t="str">
            <v>1 người</v>
          </cell>
          <cell r="X152" t="str">
            <v>PHẠM THỊ PHƯƠNG YẾN</v>
          </cell>
        </row>
        <row r="153">
          <cell r="I153" t="str">
            <v>B1.21.07</v>
          </cell>
          <cell r="J153" t="str">
            <v>NGUYỄN VĂN TOÀN</v>
          </cell>
          <cell r="K153" t="str">
            <v>Quận 3</v>
          </cell>
          <cell r="L153" t="str">
            <v>Thanh Tuấn</v>
          </cell>
          <cell r="M153" t="str">
            <v>Anh Tài</v>
          </cell>
          <cell r="N153" t="str">
            <v>Nguyễn Văn Toàn</v>
          </cell>
          <cell r="O153" t="str">
            <v>NGUYỄN THỊ YẾN</v>
          </cell>
          <cell r="P153" t="str">
            <v>Quận 3</v>
          </cell>
          <cell r="Q153" t="str">
            <v>Thanh Tuấn</v>
          </cell>
          <cell r="R153" t="str">
            <v>Anh Tài</v>
          </cell>
          <cell r="S153" t="str">
            <v>Nguyễn Văn Toàn</v>
          </cell>
          <cell r="T153" t="b">
            <v>1</v>
          </cell>
          <cell r="U153" t="str">
            <v>PTTT 01a</v>
          </cell>
          <cell r="V153" t="str">
            <v>PTTT 01a</v>
          </cell>
          <cell r="W153" t="str">
            <v>1 người</v>
          </cell>
          <cell r="X153" t="str">
            <v>NGUYỄN THỊ YẾN</v>
          </cell>
        </row>
        <row r="154">
          <cell r="I154" t="str">
            <v>B1.21.08</v>
          </cell>
          <cell r="J154" t="str">
            <v>VŨ THỊ THANH</v>
          </cell>
          <cell r="K154" t="str">
            <v>Bình Thạnh</v>
          </cell>
          <cell r="L154" t="str">
            <v>Ngọc Linh</v>
          </cell>
          <cell r="M154" t="str">
            <v>Phạm Vĩ</v>
          </cell>
          <cell r="N154" t="str">
            <v>Lê Văn Thông</v>
          </cell>
          <cell r="O154" t="str">
            <v>VŨ THỊ THANH</v>
          </cell>
          <cell r="P154" t="str">
            <v>Bình Thạnh</v>
          </cell>
          <cell r="Q154" t="str">
            <v>Ngọc Linh</v>
          </cell>
          <cell r="R154" t="str">
            <v>Phạm Vĩ</v>
          </cell>
          <cell r="S154" t="str">
            <v>Lê Văn Thông</v>
          </cell>
          <cell r="T154" t="b">
            <v>1</v>
          </cell>
          <cell r="U154" t="str">
            <v>PTTT 03a</v>
          </cell>
          <cell r="V154" t="str">
            <v>PTTT 03a</v>
          </cell>
          <cell r="W154" t="str">
            <v>1 người</v>
          </cell>
          <cell r="X154" t="str">
            <v>VŨ THỊ THANH</v>
          </cell>
        </row>
        <row r="155">
          <cell r="I155" t="str">
            <v>B1.21.09</v>
          </cell>
          <cell r="J155" t="str">
            <v>NGUYỄN NGỌC MINH TRÂM</v>
          </cell>
          <cell r="K155" t="str">
            <v>Bình Thạnh</v>
          </cell>
          <cell r="L155" t="str">
            <v>Lê Mai</v>
          </cell>
          <cell r="M155" t="str">
            <v>Ly Ly</v>
          </cell>
          <cell r="N155" t="str">
            <v>Nguyễn Đăng Khôi</v>
          </cell>
          <cell r="O155" t="str">
            <v>NGUYỄN NGỌC MINH TRÂM</v>
          </cell>
          <cell r="P155" t="str">
            <v>Bình Thạnh</v>
          </cell>
          <cell r="Q155" t="str">
            <v>Lê Mai</v>
          </cell>
          <cell r="R155" t="str">
            <v>Ly Ly</v>
          </cell>
          <cell r="S155" t="str">
            <v>Nguyễn Đăng Khôi</v>
          </cell>
          <cell r="T155" t="b">
            <v>1</v>
          </cell>
          <cell r="U155" t="str">
            <v>PTTT 01a</v>
          </cell>
          <cell r="V155" t="str">
            <v>PTTT 01a</v>
          </cell>
          <cell r="W155" t="str">
            <v>1 người</v>
          </cell>
          <cell r="X155" t="str">
            <v>NGUYỄN NGỌC MINH TRÂM</v>
          </cell>
        </row>
        <row r="156">
          <cell r="I156" t="str">
            <v>B1.21.10</v>
          </cell>
          <cell r="J156" t="str">
            <v>LÊ HẢI PHONG</v>
          </cell>
          <cell r="K156" t="str">
            <v>Quận 3</v>
          </cell>
          <cell r="L156" t="str">
            <v>Thanh Tuấn</v>
          </cell>
          <cell r="M156" t="str">
            <v>Anh Tài</v>
          </cell>
          <cell r="N156" t="str">
            <v>Nguyễn Văn Vũ</v>
          </cell>
          <cell r="O156" t="str">
            <v>LÊ HẢI PHONG</v>
          </cell>
          <cell r="P156" t="str">
            <v>Quận 3</v>
          </cell>
          <cell r="Q156" t="str">
            <v>Thanh Tuấn</v>
          </cell>
          <cell r="R156" t="str">
            <v>Anh Tài</v>
          </cell>
          <cell r="S156" t="str">
            <v>Nguyễn Văn Vũ</v>
          </cell>
          <cell r="T156" t="b">
            <v>1</v>
          </cell>
          <cell r="U156" t="str">
            <v>PTTT 01a</v>
          </cell>
          <cell r="V156" t="str">
            <v>PTTT 01a</v>
          </cell>
          <cell r="W156" t="str">
            <v>1 người</v>
          </cell>
          <cell r="X156" t="str">
            <v>LÊ HẢI PHONG</v>
          </cell>
        </row>
        <row r="157">
          <cell r="I157" t="str">
            <v>B1.22.01</v>
          </cell>
          <cell r="J157" t="str">
            <v>PHẠM VĂN VÀNG</v>
          </cell>
          <cell r="K157" t="str">
            <v>Bình Thạnh</v>
          </cell>
          <cell r="L157" t="str">
            <v>Ngọc Linh</v>
          </cell>
          <cell r="M157" t="str">
            <v>Phạm Vĩ</v>
          </cell>
          <cell r="N157" t="str">
            <v>Phan Thanh Liêm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 t="b">
            <v>1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</row>
        <row r="158">
          <cell r="I158" t="str">
            <v>B1.22.02</v>
          </cell>
          <cell r="J158" t="str">
            <v>HUỲNH THANH HẢI</v>
          </cell>
          <cell r="K158" t="str">
            <v>Bình Thạnh</v>
          </cell>
          <cell r="L158" t="str">
            <v>Ngọc Linh</v>
          </cell>
          <cell r="M158" t="str">
            <v>Phạm Vĩ</v>
          </cell>
          <cell r="N158" t="str">
            <v>Phan Thanh Liêm</v>
          </cell>
          <cell r="O158">
            <v>0</v>
          </cell>
          <cell r="P158" t="str">
            <v>Bình Thạnh</v>
          </cell>
          <cell r="Q158" t="str">
            <v>Ngọc Linh</v>
          </cell>
          <cell r="R158" t="str">
            <v>Phạm Vĩ</v>
          </cell>
          <cell r="S158" t="str">
            <v>Phan Thanh Liêm</v>
          </cell>
          <cell r="T158" t="b">
            <v>0</v>
          </cell>
          <cell r="U158">
            <v>0</v>
          </cell>
          <cell r="V158" t="str">
            <v>PTTT 09c</v>
          </cell>
          <cell r="W158" t="str">
            <v>1 người</v>
          </cell>
          <cell r="X158" t="str">
            <v>LƯƠNG THỊ KIM HOA</v>
          </cell>
        </row>
        <row r="159">
          <cell r="I159" t="str">
            <v>B1.22.03</v>
          </cell>
          <cell r="J159" t="str">
            <v>ĐỖ NGUYÊN HỢP</v>
          </cell>
          <cell r="K159" t="str">
            <v>Bình Thạnh</v>
          </cell>
          <cell r="L159" t="str">
            <v>Lê Mai</v>
          </cell>
          <cell r="M159" t="str">
            <v>Phương Thúy</v>
          </cell>
          <cell r="N159" t="str">
            <v>Phạm Thị Yến Nhàn</v>
          </cell>
          <cell r="O159">
            <v>0</v>
          </cell>
          <cell r="P159" t="str">
            <v>Bình Thạnh</v>
          </cell>
          <cell r="Q159" t="str">
            <v>Lê Mai</v>
          </cell>
          <cell r="R159" t="str">
            <v>Phương Thúy</v>
          </cell>
          <cell r="S159" t="str">
            <v>Phạm Thị Yến Nhàn</v>
          </cell>
          <cell r="T159" t="b">
            <v>0</v>
          </cell>
          <cell r="U159">
            <v>0</v>
          </cell>
          <cell r="V159" t="str">
            <v>PTTT 09c</v>
          </cell>
          <cell r="W159" t="str">
            <v>1 người</v>
          </cell>
          <cell r="X159" t="str">
            <v>ĐỖ NGUYÊN HỢP</v>
          </cell>
        </row>
        <row r="160">
          <cell r="I160" t="str">
            <v>B1.22.04</v>
          </cell>
          <cell r="J160" t="str">
            <v>???</v>
          </cell>
          <cell r="K160" t="str">
            <v>???</v>
          </cell>
          <cell r="L160" t="str">
            <v>???</v>
          </cell>
          <cell r="M160" t="str">
            <v>???</v>
          </cell>
          <cell r="N160" t="str">
            <v>???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 t="b">
            <v>1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</row>
        <row r="161">
          <cell r="I161" t="str">
            <v>B1.22.07</v>
          </cell>
          <cell r="J161" t="str">
            <v>VÕ VĂN CHÂU</v>
          </cell>
          <cell r="K161" t="str">
            <v>Bình Thạnh</v>
          </cell>
          <cell r="L161" t="str">
            <v>Ngọc Linh</v>
          </cell>
          <cell r="M161" t="str">
            <v>Đình Ban</v>
          </cell>
          <cell r="N161" t="str">
            <v>Lê Thị Thanh Hằng</v>
          </cell>
          <cell r="O161" t="str">
            <v>VÕ VĂN CHÂU</v>
          </cell>
          <cell r="P161" t="str">
            <v>Bình Thạnh</v>
          </cell>
          <cell r="Q161" t="str">
            <v>Ngọc Linh</v>
          </cell>
          <cell r="R161" t="str">
            <v>Đình Ban</v>
          </cell>
          <cell r="S161" t="str">
            <v>Lê Thị Thanh Hằng</v>
          </cell>
          <cell r="T161" t="b">
            <v>1</v>
          </cell>
          <cell r="U161" t="str">
            <v>PTTT 01a</v>
          </cell>
          <cell r="V161" t="str">
            <v>PTTT 01a</v>
          </cell>
          <cell r="W161" t="str">
            <v>1 người</v>
          </cell>
          <cell r="X161" t="str">
            <v>VÕ VĂN CHÂU</v>
          </cell>
        </row>
        <row r="162">
          <cell r="I162" t="str">
            <v>B1.22.11</v>
          </cell>
          <cell r="J162" t="e">
            <v>#N/A</v>
          </cell>
          <cell r="K162" t="e">
            <v>#N/A</v>
          </cell>
          <cell r="L162" t="e">
            <v>#N/A</v>
          </cell>
          <cell r="M162" t="e">
            <v>#N/A</v>
          </cell>
          <cell r="N162" t="e">
            <v>#N/A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 t="b">
            <v>1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</row>
        <row r="163">
          <cell r="I163" t="str">
            <v>B1.22.12</v>
          </cell>
          <cell r="J163" t="str">
            <v>HUỲNH PHẠM BÌNH MINH</v>
          </cell>
          <cell r="K163" t="str">
            <v>Quận 3</v>
          </cell>
          <cell r="L163" t="str">
            <v>Thế Hiển</v>
          </cell>
          <cell r="M163" t="str">
            <v>Văn Tùng</v>
          </cell>
          <cell r="N163" t="str">
            <v>Châu Thị Mộng Trinh</v>
          </cell>
          <cell r="O163" t="str">
            <v>HUỲNH PHẠM BÌNH MINH</v>
          </cell>
          <cell r="P163" t="str">
            <v>Quận 3</v>
          </cell>
          <cell r="Q163" t="str">
            <v>Thế Hiển</v>
          </cell>
          <cell r="R163" t="str">
            <v>Văn Tùng</v>
          </cell>
          <cell r="S163" t="str">
            <v>Châu Thị Mộng Trinh</v>
          </cell>
          <cell r="T163" t="b">
            <v>1</v>
          </cell>
          <cell r="U163" t="str">
            <v>PTTT 01a</v>
          </cell>
          <cell r="V163" t="str">
            <v>PTTT 01a</v>
          </cell>
          <cell r="W163" t="str">
            <v>1 người</v>
          </cell>
          <cell r="X163" t="str">
            <v>HUỲNH PHẠM BÌNH MINH</v>
          </cell>
        </row>
        <row r="164">
          <cell r="I164" t="str">
            <v>B1.22.13</v>
          </cell>
          <cell r="J164">
            <v>0</v>
          </cell>
          <cell r="K164" t="str">
            <v>Quận 3</v>
          </cell>
          <cell r="L164" t="str">
            <v>Văn Tùng</v>
          </cell>
          <cell r="M164" t="str">
            <v>Trinh Trinh</v>
          </cell>
          <cell r="N164" t="str">
            <v>Lý Thanh Tân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 t="b">
            <v>1</v>
          </cell>
          <cell r="U164">
            <v>0</v>
          </cell>
          <cell r="V164" t="str">
            <v>PTTT 09d</v>
          </cell>
          <cell r="W164" t="str">
            <v>1 người</v>
          </cell>
          <cell r="X164" t="str">
            <v>NGUYỄN NGỌC HÀ</v>
          </cell>
        </row>
        <row r="165">
          <cell r="I165" t="str">
            <v>B1.23.01</v>
          </cell>
          <cell r="J165" t="str">
            <v>TRẦN THANH SƠN</v>
          </cell>
          <cell r="K165" t="str">
            <v>Quận 3</v>
          </cell>
          <cell r="L165" t="str">
            <v>Thanh Tuấn</v>
          </cell>
          <cell r="M165" t="str">
            <v>Anh Tài</v>
          </cell>
          <cell r="N165" t="str">
            <v>Nguyễn Văn Toàn</v>
          </cell>
          <cell r="O165">
            <v>0</v>
          </cell>
          <cell r="P165" t="str">
            <v>Quận 3</v>
          </cell>
          <cell r="Q165" t="str">
            <v>Thanh Tuấn</v>
          </cell>
          <cell r="R165" t="str">
            <v>Anh Tài</v>
          </cell>
          <cell r="S165" t="str">
            <v>Nguyễn Văn Toàn</v>
          </cell>
          <cell r="T165" t="b">
            <v>0</v>
          </cell>
          <cell r="U165">
            <v>0</v>
          </cell>
          <cell r="V165" t="str">
            <v>PTTT 09d</v>
          </cell>
          <cell r="W165" t="str">
            <v>2 người</v>
          </cell>
          <cell r="X165" t="str">
            <v>TRẦN THANH SƠN</v>
          </cell>
        </row>
        <row r="166">
          <cell r="I166" t="str">
            <v>B1.23.02</v>
          </cell>
          <cell r="J166" t="e">
            <v>#N/A</v>
          </cell>
          <cell r="K166" t="e">
            <v>#N/A</v>
          </cell>
          <cell r="L166" t="e">
            <v>#N/A</v>
          </cell>
          <cell r="M166" t="e">
            <v>#N/A</v>
          </cell>
          <cell r="N166" t="e">
            <v>#N/A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 t="b">
            <v>1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</row>
        <row r="167">
          <cell r="I167" t="str">
            <v>B1.23.03</v>
          </cell>
          <cell r="J167" t="str">
            <v>BÙI THỊ THANH THÚY</v>
          </cell>
          <cell r="K167" t="str">
            <v>Bình Thạnh</v>
          </cell>
          <cell r="L167" t="str">
            <v>Lê Mai</v>
          </cell>
          <cell r="M167" t="str">
            <v>Phương Thúy</v>
          </cell>
          <cell r="N167" t="str">
            <v>Huỳnh Thị Hồng Phượng</v>
          </cell>
          <cell r="O167">
            <v>0</v>
          </cell>
          <cell r="P167" t="str">
            <v>Bình Thạnh</v>
          </cell>
          <cell r="Q167" t="str">
            <v>Lê Mai</v>
          </cell>
          <cell r="R167" t="str">
            <v>Phương Thúy</v>
          </cell>
          <cell r="S167" t="str">
            <v>Huỳnh Thị Hồng Phượng</v>
          </cell>
          <cell r="T167" t="b">
            <v>0</v>
          </cell>
          <cell r="U167">
            <v>0</v>
          </cell>
          <cell r="V167" t="str">
            <v>PTTT 09c</v>
          </cell>
          <cell r="W167" t="str">
            <v>1 người</v>
          </cell>
          <cell r="X167" t="str">
            <v>BÙI THỊ THANH THÚY</v>
          </cell>
        </row>
        <row r="168">
          <cell r="I168" t="str">
            <v>B1.23.04</v>
          </cell>
          <cell r="J168" t="str">
            <v>LỮ ĐÌNH QUÂN</v>
          </cell>
          <cell r="K168" t="str">
            <v>Bình Thạnh</v>
          </cell>
          <cell r="L168" t="str">
            <v>Thanh Hà</v>
          </cell>
          <cell r="M168" t="str">
            <v>Như Ngọc</v>
          </cell>
          <cell r="N168" t="str">
            <v>Phùng Tấn Hiệp</v>
          </cell>
          <cell r="O168">
            <v>0</v>
          </cell>
          <cell r="P168" t="str">
            <v>Bình Thạnh</v>
          </cell>
          <cell r="Q168" t="str">
            <v>Thanh Hà</v>
          </cell>
          <cell r="R168" t="str">
            <v>Như Ngọc</v>
          </cell>
          <cell r="S168" t="str">
            <v>Phùng Tấn Hiệp</v>
          </cell>
          <cell r="T168" t="b">
            <v>0</v>
          </cell>
          <cell r="U168">
            <v>0</v>
          </cell>
          <cell r="V168" t="str">
            <v>PTTT 09c</v>
          </cell>
          <cell r="W168" t="str">
            <v>1 người</v>
          </cell>
          <cell r="X168" t="str">
            <v>LỮ ĐÌNH QUÂN</v>
          </cell>
        </row>
        <row r="169">
          <cell r="I169" t="str">
            <v>B1.23.05</v>
          </cell>
          <cell r="J169" t="str">
            <v>HOÀNG LÊ QUANG</v>
          </cell>
          <cell r="K169" t="str">
            <v>Bình Thạnh</v>
          </cell>
          <cell r="L169" t="str">
            <v>Thanh Hà</v>
          </cell>
          <cell r="M169" t="str">
            <v>Đức Đồng</v>
          </cell>
          <cell r="N169" t="str">
            <v>Nguyễn Ngọc Anh Thư</v>
          </cell>
          <cell r="O169" t="str">
            <v>HOÀNG LÊ QUANG</v>
          </cell>
          <cell r="P169" t="str">
            <v>Bình Thạnh</v>
          </cell>
          <cell r="Q169" t="str">
            <v>Thanh Hà</v>
          </cell>
          <cell r="R169" t="str">
            <v>Đức Đồng</v>
          </cell>
          <cell r="S169" t="str">
            <v>Nguyễn Ngọc Anh Thư</v>
          </cell>
          <cell r="T169" t="b">
            <v>1</v>
          </cell>
          <cell r="U169" t="str">
            <v>PTTT 04b</v>
          </cell>
          <cell r="V169" t="str">
            <v>PTTT 04b</v>
          </cell>
          <cell r="W169" t="str">
            <v>1 người</v>
          </cell>
          <cell r="X169" t="str">
            <v>HOÀNG LÊ QUANG</v>
          </cell>
        </row>
        <row r="170">
          <cell r="I170" t="str">
            <v>B1.23.06</v>
          </cell>
          <cell r="J170" t="str">
            <v>HÀ THỊ DUNG</v>
          </cell>
          <cell r="K170" t="str">
            <v>Bình Thạnh</v>
          </cell>
          <cell r="L170" t="str">
            <v>Ngọc Linh</v>
          </cell>
          <cell r="M170" t="str">
            <v>Đình Ban</v>
          </cell>
          <cell r="N170" t="str">
            <v>Lộc Sinh Ngọc Tâm</v>
          </cell>
          <cell r="O170" t="str">
            <v>HÀ THỊ DUNG</v>
          </cell>
          <cell r="P170" t="str">
            <v>Bình Thạnh</v>
          </cell>
          <cell r="Q170" t="str">
            <v>Ngọc Linh</v>
          </cell>
          <cell r="R170" t="str">
            <v>Đình Ban</v>
          </cell>
          <cell r="S170" t="str">
            <v>Lộc Sinh Ngọc Tâm</v>
          </cell>
          <cell r="T170" t="b">
            <v>1</v>
          </cell>
          <cell r="U170" t="str">
            <v>PTTT 03a</v>
          </cell>
          <cell r="V170" t="str">
            <v>PTTT 03a</v>
          </cell>
          <cell r="W170" t="str">
            <v>1 người</v>
          </cell>
          <cell r="X170" t="str">
            <v>HÀ THỊ DUNG</v>
          </cell>
        </row>
        <row r="171">
          <cell r="I171" t="str">
            <v>B1.23.07</v>
          </cell>
          <cell r="J171" t="str">
            <v>NGUYỄN THỊ BÍCH TUYỀN</v>
          </cell>
          <cell r="K171" t="str">
            <v>Quận 3</v>
          </cell>
          <cell r="L171" t="str">
            <v>Thanh Tuấn</v>
          </cell>
          <cell r="M171" t="str">
            <v>Anh Tài</v>
          </cell>
          <cell r="N171" t="str">
            <v>Nguyễn Thu Thảo</v>
          </cell>
          <cell r="O171" t="str">
            <v>HUỲNH THỊ KIM LOAN</v>
          </cell>
          <cell r="P171" t="str">
            <v>Quận 3</v>
          </cell>
          <cell r="Q171" t="str">
            <v>Thanh Tuấn</v>
          </cell>
          <cell r="R171" t="str">
            <v>Anh Tài</v>
          </cell>
          <cell r="S171" t="str">
            <v>Nguyễn Thu Thảo</v>
          </cell>
          <cell r="T171" t="b">
            <v>1</v>
          </cell>
          <cell r="U171" t="str">
            <v>PTTT 03a</v>
          </cell>
          <cell r="V171" t="str">
            <v>PTTT 03a</v>
          </cell>
          <cell r="W171" t="str">
            <v>1 người</v>
          </cell>
          <cell r="X171" t="str">
            <v>HUỲNH THỊ KIM LOAN</v>
          </cell>
        </row>
        <row r="172">
          <cell r="I172" t="str">
            <v>B1.23.08</v>
          </cell>
          <cell r="J172" t="str">
            <v>NGUYỄN THỊ MINH CHI</v>
          </cell>
          <cell r="K172" t="str">
            <v>Bình Thạnh</v>
          </cell>
          <cell r="L172" t="str">
            <v>Thanh Hà</v>
          </cell>
          <cell r="M172" t="str">
            <v>Đức Đồng</v>
          </cell>
          <cell r="N172" t="str">
            <v>Trần Thị Minh Giang</v>
          </cell>
          <cell r="O172" t="str">
            <v>NGUYỄN THỊ MINH CHI</v>
          </cell>
          <cell r="P172" t="str">
            <v>Bình Thạnh</v>
          </cell>
          <cell r="Q172" t="str">
            <v>Thanh Hà</v>
          </cell>
          <cell r="R172" t="str">
            <v>Đức Đồng</v>
          </cell>
          <cell r="S172" t="str">
            <v>Trần Thị Minh Giang</v>
          </cell>
          <cell r="T172" t="b">
            <v>1</v>
          </cell>
          <cell r="U172" t="str">
            <v>PTTT 04b</v>
          </cell>
          <cell r="V172" t="str">
            <v>PTTT 04b</v>
          </cell>
          <cell r="W172" t="str">
            <v>1 người</v>
          </cell>
          <cell r="X172" t="str">
            <v>NGUYỄN THỊ MINH CHI</v>
          </cell>
        </row>
        <row r="173">
          <cell r="I173" t="str">
            <v>B1.23.09</v>
          </cell>
          <cell r="J173" t="str">
            <v>VÕ THỊ TỐ NGA</v>
          </cell>
          <cell r="K173" t="str">
            <v>Quận 3</v>
          </cell>
          <cell r="L173" t="str">
            <v>Thế Hiển</v>
          </cell>
          <cell r="M173" t="str">
            <v>Văn Tùng</v>
          </cell>
          <cell r="N173" t="str">
            <v>Trần Văn Vũ</v>
          </cell>
          <cell r="O173" t="str">
            <v>VÕ THỊ TỐ NGA</v>
          </cell>
          <cell r="P173" t="str">
            <v>Quận 3</v>
          </cell>
          <cell r="Q173" t="str">
            <v>Thế Hiển</v>
          </cell>
          <cell r="R173" t="str">
            <v>Văn Tùng</v>
          </cell>
          <cell r="S173" t="str">
            <v>Trần Văn Vũ</v>
          </cell>
          <cell r="T173" t="b">
            <v>1</v>
          </cell>
          <cell r="U173" t="str">
            <v>PTTT 01a</v>
          </cell>
          <cell r="V173" t="str">
            <v>PTTT 04a</v>
          </cell>
          <cell r="W173" t="str">
            <v>1 người</v>
          </cell>
          <cell r="X173" t="str">
            <v>VÕ THỊ TỐ NGA</v>
          </cell>
        </row>
        <row r="174">
          <cell r="I174" t="str">
            <v>B1.23.10</v>
          </cell>
          <cell r="J174" t="str">
            <v>NGUYỄN ĐỨC DUY</v>
          </cell>
          <cell r="K174" t="str">
            <v>Bình Thạnh</v>
          </cell>
          <cell r="L174" t="str">
            <v>Thanh Hà</v>
          </cell>
          <cell r="M174" t="str">
            <v>Như Ngọc</v>
          </cell>
          <cell r="N174" t="str">
            <v>Phùng Tấn Hiệp</v>
          </cell>
          <cell r="O174" t="str">
            <v>NGUYỄN ĐỨC DUY</v>
          </cell>
          <cell r="P174" t="str">
            <v>Bình Thạnh</v>
          </cell>
          <cell r="Q174" t="str">
            <v>Thanh Hà</v>
          </cell>
          <cell r="R174" t="str">
            <v>Như Ngọc</v>
          </cell>
          <cell r="S174" t="str">
            <v>Phùng Tấn Hiệp</v>
          </cell>
          <cell r="T174" t="b">
            <v>1</v>
          </cell>
          <cell r="U174" t="str">
            <v>PTTT 01b</v>
          </cell>
          <cell r="V174" t="str">
            <v>PTTT 01b</v>
          </cell>
          <cell r="W174" t="str">
            <v>1 người</v>
          </cell>
          <cell r="X174" t="str">
            <v>NGUYỄN ĐỨC DUY</v>
          </cell>
        </row>
        <row r="175">
          <cell r="I175" t="str">
            <v>B1.23.11</v>
          </cell>
          <cell r="J175" t="str">
            <v>ĐỖ THỊ MINH</v>
          </cell>
          <cell r="K175" t="str">
            <v>Bình Thạnh</v>
          </cell>
          <cell r="L175" t="str">
            <v>Ngọc Linh</v>
          </cell>
          <cell r="M175" t="str">
            <v>Phạm Vĩ</v>
          </cell>
          <cell r="N175" t="str">
            <v>Nguyễn Văn Hà</v>
          </cell>
          <cell r="O175">
            <v>0</v>
          </cell>
          <cell r="P175" t="str">
            <v>Bình Thạnh</v>
          </cell>
          <cell r="Q175" t="str">
            <v>Ngọc Linh</v>
          </cell>
          <cell r="R175" t="str">
            <v>Phạm Vĩ</v>
          </cell>
          <cell r="S175" t="str">
            <v>Nguyễn Văn Hà</v>
          </cell>
          <cell r="T175" t="b">
            <v>0</v>
          </cell>
          <cell r="U175">
            <v>0</v>
          </cell>
          <cell r="V175" t="str">
            <v>PTTT 09c</v>
          </cell>
          <cell r="W175" t="str">
            <v>1 người</v>
          </cell>
          <cell r="X175" t="str">
            <v>ĐỖ THỊ MINH</v>
          </cell>
        </row>
        <row r="176">
          <cell r="I176" t="str">
            <v>B1.23.12</v>
          </cell>
          <cell r="J176" t="str">
            <v>NGUYỄN THỊ KIỀU</v>
          </cell>
          <cell r="K176" t="str">
            <v>Bình Thạnh</v>
          </cell>
          <cell r="L176" t="str">
            <v>Ngọc Linh</v>
          </cell>
          <cell r="M176" t="str">
            <v>Thanh Đức</v>
          </cell>
          <cell r="N176" t="str">
            <v>Đào Anh Trí</v>
          </cell>
          <cell r="O176" t="str">
            <v>NGUYỄN THỊ KIỀU</v>
          </cell>
          <cell r="P176" t="str">
            <v>Bình Thạnh</v>
          </cell>
          <cell r="Q176" t="str">
            <v>Ngọc Linh</v>
          </cell>
          <cell r="R176" t="str">
            <v>Thanh Đức</v>
          </cell>
          <cell r="S176" t="str">
            <v>Đào Anh Trí</v>
          </cell>
          <cell r="T176" t="b">
            <v>0</v>
          </cell>
          <cell r="U176" t="str">
            <v>PTTT 01a</v>
          </cell>
          <cell r="V176" t="str">
            <v>PTTT 01a</v>
          </cell>
          <cell r="W176" t="str">
            <v>1 người</v>
          </cell>
          <cell r="X176" t="str">
            <v>NGUYỄN THỊ THU LAN</v>
          </cell>
        </row>
        <row r="177">
          <cell r="I177" t="str">
            <v>B1.23.13</v>
          </cell>
          <cell r="J177" t="str">
            <v>???</v>
          </cell>
          <cell r="K177" t="str">
            <v>???</v>
          </cell>
          <cell r="L177" t="str">
            <v>???</v>
          </cell>
          <cell r="M177" t="str">
            <v>???</v>
          </cell>
          <cell r="N177" t="str">
            <v>???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 t="b">
            <v>1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</row>
        <row r="178">
          <cell r="I178" t="str">
            <v>B1.24.05</v>
          </cell>
          <cell r="J178" t="str">
            <v>NGUYỄN THỊ THU</v>
          </cell>
          <cell r="K178" t="str">
            <v>Bình Thạnh</v>
          </cell>
          <cell r="L178" t="str">
            <v>Thanh Hà</v>
          </cell>
          <cell r="M178" t="str">
            <v>Đức Đồng</v>
          </cell>
          <cell r="N178" t="str">
            <v>Phạm Đức Đồng</v>
          </cell>
          <cell r="O178" t="str">
            <v>TRẦN THỊ PHƯƠNG THẢO</v>
          </cell>
          <cell r="P178" t="str">
            <v>Bình Thạnh</v>
          </cell>
          <cell r="Q178" t="str">
            <v>Thanh Hà</v>
          </cell>
          <cell r="R178" t="str">
            <v>Đức Đồng</v>
          </cell>
          <cell r="S178" t="str">
            <v>Phạm Đức Đồng</v>
          </cell>
          <cell r="T178" t="b">
            <v>1</v>
          </cell>
          <cell r="U178" t="str">
            <v>PTTT 04b</v>
          </cell>
          <cell r="V178" t="str">
            <v>PTTT 04b</v>
          </cell>
          <cell r="W178" t="str">
            <v>1 người</v>
          </cell>
          <cell r="X178" t="str">
            <v>TRẦN THỊ PHƯƠNG THẢO</v>
          </cell>
        </row>
        <row r="179">
          <cell r="I179" t="str">
            <v>B1.24.06</v>
          </cell>
          <cell r="J179" t="str">
            <v>TRẦN THỊ HUYỀN TRANG</v>
          </cell>
          <cell r="K179" t="str">
            <v>Bình Thạnh</v>
          </cell>
          <cell r="L179" t="str">
            <v>Thanh Hà</v>
          </cell>
          <cell r="M179" t="str">
            <v>Đức Đồng</v>
          </cell>
          <cell r="N179" t="str">
            <v>Nguyễn Ngọc Anh Thư</v>
          </cell>
          <cell r="O179" t="str">
            <v>TRẦN THỊ HUYỀN TRANG</v>
          </cell>
          <cell r="P179" t="str">
            <v>Bình Thạnh</v>
          </cell>
          <cell r="Q179" t="str">
            <v>Thanh Hà</v>
          </cell>
          <cell r="R179" t="str">
            <v>Đức Đồng</v>
          </cell>
          <cell r="S179" t="str">
            <v>Nguyễn Ngọc Anh Thư</v>
          </cell>
          <cell r="T179" t="b">
            <v>1</v>
          </cell>
          <cell r="U179" t="str">
            <v>PTTT 01b</v>
          </cell>
          <cell r="V179" t="str">
            <v>PTTT 01b</v>
          </cell>
          <cell r="W179" t="str">
            <v>1 người</v>
          </cell>
          <cell r="X179" t="str">
            <v>TRẦN THỊ HUYỀN TRANG</v>
          </cell>
        </row>
        <row r="180">
          <cell r="I180" t="str">
            <v>B1.24.07</v>
          </cell>
          <cell r="J180" t="str">
            <v>HUỲNH THỊ TƯỜNG VI</v>
          </cell>
          <cell r="K180" t="str">
            <v>Quận 3</v>
          </cell>
          <cell r="L180" t="str">
            <v>Thế Hiển</v>
          </cell>
          <cell r="M180" t="str">
            <v>Văn Tùng</v>
          </cell>
          <cell r="N180" t="str">
            <v>Lý Thanh Tân</v>
          </cell>
          <cell r="O180" t="str">
            <v>HUỲNH THỊ TƯỜNG VI</v>
          </cell>
          <cell r="P180" t="str">
            <v>Quận 3</v>
          </cell>
          <cell r="Q180" t="str">
            <v>Thế Hiển</v>
          </cell>
          <cell r="R180" t="str">
            <v>Văn Tùng</v>
          </cell>
          <cell r="S180" t="str">
            <v>Lý Thanh Tân</v>
          </cell>
          <cell r="T180" t="b">
            <v>1</v>
          </cell>
          <cell r="U180" t="str">
            <v>PTTT 01a</v>
          </cell>
          <cell r="V180" t="str">
            <v>PTTT 01a</v>
          </cell>
          <cell r="W180" t="str">
            <v>1 người</v>
          </cell>
          <cell r="X180" t="str">
            <v>HUỲNH THỊ TƯỜNG VI</v>
          </cell>
        </row>
        <row r="181">
          <cell r="I181" t="str">
            <v>B1.24.08</v>
          </cell>
          <cell r="J181" t="str">
            <v>VÕ HOÀNG NAM TRÂN</v>
          </cell>
          <cell r="K181" t="str">
            <v>Quận 3</v>
          </cell>
          <cell r="L181" t="str">
            <v>Thế Hiển</v>
          </cell>
          <cell r="M181" t="str">
            <v>Văn Tùng</v>
          </cell>
          <cell r="N181" t="str">
            <v>Trần Văn Vũ</v>
          </cell>
          <cell r="O181" t="str">
            <v>VÕ HOÀNG NAM TRÂN</v>
          </cell>
          <cell r="P181" t="str">
            <v>Bình Thạnh</v>
          </cell>
          <cell r="Q181" t="str">
            <v>Thế Hiển</v>
          </cell>
          <cell r="R181" t="str">
            <v>Văn Tùng</v>
          </cell>
          <cell r="S181" t="str">
            <v>Trần Văn Vũ</v>
          </cell>
          <cell r="T181" t="b">
            <v>0</v>
          </cell>
          <cell r="U181" t="str">
            <v>PTTT 04b</v>
          </cell>
          <cell r="V181" t="str">
            <v>PTTT 04b</v>
          </cell>
          <cell r="W181" t="str">
            <v>2 người</v>
          </cell>
          <cell r="X181" t="str">
            <v>ĐẶNG NGỌC THUẬN</v>
          </cell>
        </row>
        <row r="182">
          <cell r="I182" t="str">
            <v>B1.24.09</v>
          </cell>
          <cell r="J182" t="str">
            <v>VÕ THANH HẬU</v>
          </cell>
          <cell r="K182" t="str">
            <v>Bình Thạnh</v>
          </cell>
          <cell r="L182" t="str">
            <v>Thanh Hà</v>
          </cell>
          <cell r="M182" t="str">
            <v>Đức Đồng</v>
          </cell>
          <cell r="N182" t="str">
            <v>Nguyễn Ngọc Anh Thư</v>
          </cell>
          <cell r="O182" t="str">
            <v>VÕ THANH HẬU</v>
          </cell>
          <cell r="P182" t="str">
            <v>Bình Thạnh</v>
          </cell>
          <cell r="Q182" t="str">
            <v>Thanh Hà</v>
          </cell>
          <cell r="R182" t="str">
            <v>Đức Đồng</v>
          </cell>
          <cell r="S182" t="str">
            <v>Nguyễn Ngọc Anh Thư</v>
          </cell>
          <cell r="T182" t="b">
            <v>1</v>
          </cell>
          <cell r="U182" t="str">
            <v>PTTT 01a</v>
          </cell>
          <cell r="V182" t="str">
            <v>PTTT 01a</v>
          </cell>
          <cell r="W182" t="str">
            <v>2 người</v>
          </cell>
          <cell r="X182" t="str">
            <v>VÕ THANH HẬU</v>
          </cell>
        </row>
        <row r="183">
          <cell r="I183" t="str">
            <v>B1.24.10</v>
          </cell>
          <cell r="J183" t="str">
            <v>CHÂU MINH NGA</v>
          </cell>
          <cell r="K183" t="str">
            <v>Quận 3</v>
          </cell>
          <cell r="L183" t="str">
            <v>Thanh Tuấn</v>
          </cell>
          <cell r="M183" t="str">
            <v>Duy Nhật</v>
          </cell>
          <cell r="N183" t="str">
            <v>Đậu Huy Hoàng</v>
          </cell>
          <cell r="O183" t="str">
            <v>CHÂU MINH NGA</v>
          </cell>
          <cell r="P183" t="str">
            <v>Quận 3</v>
          </cell>
          <cell r="Q183" t="str">
            <v>Thanh Tuấn</v>
          </cell>
          <cell r="R183" t="str">
            <v>Duy Nhật</v>
          </cell>
          <cell r="S183" t="str">
            <v>Đậu Huy Hoàng</v>
          </cell>
          <cell r="T183" t="b">
            <v>1</v>
          </cell>
          <cell r="U183" t="str">
            <v>PTTT 01a</v>
          </cell>
          <cell r="V183" t="str">
            <v>PTTT 01a</v>
          </cell>
          <cell r="W183" t="str">
            <v>1 người</v>
          </cell>
          <cell r="X183" t="str">
            <v>CHÂU MINH NGA</v>
          </cell>
        </row>
        <row r="184">
          <cell r="I184" t="str">
            <v>B1.25.05</v>
          </cell>
          <cell r="J184" t="str">
            <v>NGUYỄN THỊ HẢI VÂN</v>
          </cell>
          <cell r="K184" t="str">
            <v>Bình Thạnh</v>
          </cell>
          <cell r="L184" t="str">
            <v>Thanh Hà</v>
          </cell>
          <cell r="M184" t="str">
            <v>Đức Đồng</v>
          </cell>
          <cell r="N184" t="str">
            <v>Võ Văn Thuận</v>
          </cell>
          <cell r="O184" t="str">
            <v>NGUYỄN HỮU TOÀN</v>
          </cell>
          <cell r="P184" t="str">
            <v>Bình Thạnh</v>
          </cell>
          <cell r="Q184" t="str">
            <v>Thanh Hà</v>
          </cell>
          <cell r="R184" t="str">
            <v>Đức Đồng</v>
          </cell>
          <cell r="S184" t="str">
            <v>Võ Văn Thuận</v>
          </cell>
          <cell r="T184" t="b">
            <v>1</v>
          </cell>
          <cell r="U184" t="str">
            <v>PTTT 04b</v>
          </cell>
          <cell r="V184" t="str">
            <v>PTTT 04b</v>
          </cell>
          <cell r="W184" t="str">
            <v>2 người</v>
          </cell>
          <cell r="X184" t="str">
            <v>NGUYỄN HỮU TOÀN</v>
          </cell>
        </row>
        <row r="185">
          <cell r="I185" t="str">
            <v>B1.25.06</v>
          </cell>
          <cell r="J185" t="str">
            <v>LÊ THỊ THÙY DUNG</v>
          </cell>
          <cell r="K185" t="str">
            <v>Bình Thạnh</v>
          </cell>
          <cell r="L185" t="str">
            <v>Ngọc Linh</v>
          </cell>
          <cell r="M185" t="str">
            <v>Thanh Đức</v>
          </cell>
          <cell r="N185" t="str">
            <v>Trần Nhựt Thư</v>
          </cell>
          <cell r="O185" t="str">
            <v>ĐẶNG THỊ HỒNG LOAN</v>
          </cell>
          <cell r="P185" t="str">
            <v>Bình Thạnh</v>
          </cell>
          <cell r="Q185" t="str">
            <v>Ngọc Linh</v>
          </cell>
          <cell r="R185" t="str">
            <v>Thanh Đức</v>
          </cell>
          <cell r="S185" t="str">
            <v>Trần Nhựt Thư</v>
          </cell>
          <cell r="T185" t="b">
            <v>1</v>
          </cell>
          <cell r="U185" t="str">
            <v>PTTT 01b</v>
          </cell>
          <cell r="V185" t="str">
            <v>PTTT 01b</v>
          </cell>
          <cell r="W185" t="str">
            <v>2 người</v>
          </cell>
          <cell r="X185" t="str">
            <v>ĐẶNG THỊ HỒNG LOAN</v>
          </cell>
        </row>
        <row r="186">
          <cell r="I186" t="str">
            <v>B1.25.07</v>
          </cell>
          <cell r="J186" t="str">
            <v>HUỲNH THỊ HOÀI DUYÊN</v>
          </cell>
          <cell r="K186" t="str">
            <v>Quận 3</v>
          </cell>
          <cell r="L186" t="str">
            <v>Thanh Tuấn</v>
          </cell>
          <cell r="M186" t="str">
            <v>Tuấn Vương</v>
          </cell>
          <cell r="N186" t="str">
            <v>Huỳnh Thị Hoài Duyên</v>
          </cell>
          <cell r="O186" t="str">
            <v>PHẠM MINH HOÀI</v>
          </cell>
          <cell r="P186" t="str">
            <v>Quận 3</v>
          </cell>
          <cell r="Q186" t="str">
            <v>Thanh Tuấn</v>
          </cell>
          <cell r="R186" t="str">
            <v>Tuấn Vương</v>
          </cell>
          <cell r="S186" t="str">
            <v>Huỳnh Thị Hoài Duyên</v>
          </cell>
          <cell r="T186" t="b">
            <v>1</v>
          </cell>
          <cell r="U186" t="str">
            <v>PTTT 01a</v>
          </cell>
          <cell r="V186" t="str">
            <v>PTTT 01a</v>
          </cell>
          <cell r="W186" t="str">
            <v>1 người</v>
          </cell>
          <cell r="X186" t="str">
            <v>PHẠM MINH HOÀI</v>
          </cell>
        </row>
        <row r="187">
          <cell r="I187" t="str">
            <v>B1.25.08</v>
          </cell>
          <cell r="J187" t="str">
            <v>NGUYỄN HOÀN</v>
          </cell>
          <cell r="K187" t="str">
            <v>Bình Thạnh</v>
          </cell>
          <cell r="L187" t="str">
            <v>Thanh Hà</v>
          </cell>
          <cell r="M187" t="str">
            <v>Đức Đồng</v>
          </cell>
          <cell r="N187" t="str">
            <v>Nguyễn Trung Kiên</v>
          </cell>
          <cell r="O187">
            <v>0</v>
          </cell>
          <cell r="P187" t="str">
            <v>Bình Thạnh</v>
          </cell>
          <cell r="Q187" t="str">
            <v>Thanh Hà</v>
          </cell>
          <cell r="R187" t="str">
            <v>Đức Đồng</v>
          </cell>
          <cell r="S187" t="str">
            <v>Nguyễn Trung Kiên</v>
          </cell>
          <cell r="T187" t="b">
            <v>0</v>
          </cell>
          <cell r="U187">
            <v>0</v>
          </cell>
          <cell r="V187" t="str">
            <v>PTTT 09c</v>
          </cell>
          <cell r="W187" t="str">
            <v>1 người</v>
          </cell>
          <cell r="X187" t="str">
            <v>NGUYỄN HOÀN</v>
          </cell>
        </row>
        <row r="188">
          <cell r="I188" t="str">
            <v>B1.25.09</v>
          </cell>
          <cell r="J188" t="str">
            <v>NGUYỄN THANH HÙNG</v>
          </cell>
          <cell r="K188" t="str">
            <v>Bình Thạnh</v>
          </cell>
          <cell r="L188" t="str">
            <v>Thanh Hà</v>
          </cell>
          <cell r="M188" t="str">
            <v>Như Ngọc</v>
          </cell>
          <cell r="N188" t="str">
            <v>Nguyễn Xuân Tuấn Sang</v>
          </cell>
          <cell r="O188" t="str">
            <v>ĐẶNG THỊ MIỀN</v>
          </cell>
          <cell r="P188" t="str">
            <v>Bình Thạnh</v>
          </cell>
          <cell r="Q188" t="str">
            <v>Thanh Hà</v>
          </cell>
          <cell r="R188" t="str">
            <v>Như Ngọc</v>
          </cell>
          <cell r="S188" t="str">
            <v>Nguyễn Xuân Tuấn Sang</v>
          </cell>
          <cell r="T188" t="b">
            <v>1</v>
          </cell>
          <cell r="U188" t="str">
            <v>PTTT 03a</v>
          </cell>
          <cell r="V188" t="str">
            <v>PTTT 01a</v>
          </cell>
          <cell r="W188" t="str">
            <v>1 người</v>
          </cell>
          <cell r="X188" t="str">
            <v>ĐẶNG THỊ MIỀN</v>
          </cell>
        </row>
        <row r="189">
          <cell r="I189" t="str">
            <v>B1.25.10</v>
          </cell>
          <cell r="J189" t="str">
            <v>PHẠM NGUYỄN PHƯƠNG TÂM</v>
          </cell>
          <cell r="K189" t="str">
            <v>Bình Thạnh</v>
          </cell>
          <cell r="L189" t="str">
            <v>Lê Mai</v>
          </cell>
          <cell r="M189" t="str">
            <v>Ly Ly</v>
          </cell>
          <cell r="N189" t="str">
            <v>Vũ Đình Thịnh</v>
          </cell>
          <cell r="O189" t="str">
            <v>PHẠM NGUYỄN PHƯƠNG TÂM</v>
          </cell>
          <cell r="P189" t="str">
            <v>Bình Thạnh</v>
          </cell>
          <cell r="Q189" t="str">
            <v>Lê Mai</v>
          </cell>
          <cell r="R189" t="str">
            <v>Ly Ly</v>
          </cell>
          <cell r="S189" t="str">
            <v>Vũ Đình Thịnh</v>
          </cell>
          <cell r="T189" t="b">
            <v>1</v>
          </cell>
          <cell r="U189" t="str">
            <v>PTTT 03a</v>
          </cell>
          <cell r="V189" t="str">
            <v>PTTT 03a</v>
          </cell>
          <cell r="W189" t="str">
            <v>1 người</v>
          </cell>
          <cell r="X189" t="str">
            <v>PHẠM NGUYỄN PHƯƠNG TÂM</v>
          </cell>
        </row>
        <row r="190">
          <cell r="I190" t="str">
            <v>B1.26.01</v>
          </cell>
          <cell r="J190" t="e">
            <v>#N/A</v>
          </cell>
          <cell r="K190" t="e">
            <v>#N/A</v>
          </cell>
          <cell r="L190" t="e">
            <v>#N/A</v>
          </cell>
          <cell r="M190" t="e">
            <v>#N/A</v>
          </cell>
          <cell r="N190" t="e">
            <v>#N/A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 t="b">
            <v>1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</row>
        <row r="191">
          <cell r="I191" t="str">
            <v>B1.26.02</v>
          </cell>
          <cell r="J191" t="str">
            <v>THÂN HUỲNH VĨNH BẢO</v>
          </cell>
          <cell r="K191" t="str">
            <v>Quận 3</v>
          </cell>
          <cell r="L191" t="str">
            <v>Thanh Tuấn</v>
          </cell>
          <cell r="M191" t="str">
            <v>Thanh Liêm</v>
          </cell>
          <cell r="N191" t="str">
            <v>Nguyễn Triêm Định</v>
          </cell>
          <cell r="O191">
            <v>0</v>
          </cell>
          <cell r="P191" t="str">
            <v>Quận 3</v>
          </cell>
          <cell r="Q191" t="str">
            <v>Thanh Tuấn</v>
          </cell>
          <cell r="R191" t="str">
            <v>Thanh Liêm</v>
          </cell>
          <cell r="S191" t="str">
            <v>Nguyễn Triêm Định</v>
          </cell>
          <cell r="T191" t="b">
            <v>0</v>
          </cell>
          <cell r="U191">
            <v>0</v>
          </cell>
          <cell r="V191" t="str">
            <v>PTTT 09c</v>
          </cell>
          <cell r="W191" t="str">
            <v>1 người</v>
          </cell>
          <cell r="X191" t="str">
            <v>THÂN HUỲNH VĨNH BẢO</v>
          </cell>
        </row>
        <row r="192">
          <cell r="I192" t="str">
            <v>B1.26.03</v>
          </cell>
          <cell r="J192" t="str">
            <v>LẠI THỊ MỸ DUNG</v>
          </cell>
          <cell r="K192" t="str">
            <v>Bình Thạnh</v>
          </cell>
          <cell r="L192" t="str">
            <v>Lê Mai</v>
          </cell>
          <cell r="M192" t="str">
            <v>Phương Thúy</v>
          </cell>
          <cell r="N192" t="str">
            <v>Bùi Thanh Sang</v>
          </cell>
          <cell r="O192">
            <v>0</v>
          </cell>
          <cell r="P192" t="str">
            <v>Bình Thạnh</v>
          </cell>
          <cell r="Q192" t="str">
            <v>Lê Mai</v>
          </cell>
          <cell r="R192" t="str">
            <v>Phương Thúy</v>
          </cell>
          <cell r="S192" t="str">
            <v>Bùi Thanh Sang</v>
          </cell>
          <cell r="T192" t="b">
            <v>0</v>
          </cell>
          <cell r="U192">
            <v>0</v>
          </cell>
          <cell r="V192" t="str">
            <v>PTTT 09c</v>
          </cell>
          <cell r="W192" t="str">
            <v>1 người</v>
          </cell>
          <cell r="X192" t="str">
            <v>LẠI THỊ MỸ DUNG</v>
          </cell>
        </row>
        <row r="193">
          <cell r="I193" t="str">
            <v>B1.26.04</v>
          </cell>
          <cell r="J193" t="str">
            <v>PHAN TRUNG HÂN</v>
          </cell>
          <cell r="K193" t="str">
            <v>Bình Thạnh</v>
          </cell>
          <cell r="L193" t="str">
            <v>Thanh Hà</v>
          </cell>
          <cell r="M193" t="str">
            <v>Đức Đồng</v>
          </cell>
          <cell r="N193" t="str">
            <v>Trần Thị Minh Giang</v>
          </cell>
          <cell r="O193">
            <v>0</v>
          </cell>
          <cell r="P193" t="str">
            <v>Bình Thạnh</v>
          </cell>
          <cell r="Q193" t="str">
            <v>Thanh Hà</v>
          </cell>
          <cell r="R193" t="str">
            <v>Đức Đồng</v>
          </cell>
          <cell r="S193">
            <v>0</v>
          </cell>
          <cell r="T193" t="b">
            <v>0</v>
          </cell>
          <cell r="U193">
            <v>0</v>
          </cell>
          <cell r="V193" t="str">
            <v>PTTT 09d</v>
          </cell>
          <cell r="W193" t="str">
            <v>1 người</v>
          </cell>
          <cell r="X193" t="str">
            <v>PHẠM TRUNG HÂN</v>
          </cell>
        </row>
        <row r="194">
          <cell r="I194" t="str">
            <v>B1.26.11</v>
          </cell>
          <cell r="J194" t="str">
            <v>NGUYỄN THÀNH LONG</v>
          </cell>
          <cell r="K194" t="str">
            <v>Huỳnh Châu</v>
          </cell>
          <cell r="L194" t="str">
            <v>Tấn Phước</v>
          </cell>
          <cell r="M194" t="str">
            <v>Đắc Hải</v>
          </cell>
          <cell r="N194" t="str">
            <v>Lại Vũ Quỳnh Hương</v>
          </cell>
          <cell r="O194">
            <v>0</v>
          </cell>
          <cell r="P194" t="str">
            <v>Huỳnh Châu</v>
          </cell>
          <cell r="Q194" t="str">
            <v>Tấn Phước</v>
          </cell>
          <cell r="R194" t="str">
            <v>Đắc Hải</v>
          </cell>
          <cell r="S194" t="str">
            <v>Lại Vũ Quỳnh Hương</v>
          </cell>
          <cell r="T194" t="b">
            <v>0</v>
          </cell>
          <cell r="U194">
            <v>0</v>
          </cell>
          <cell r="V194" t="str">
            <v>PTTT 09c</v>
          </cell>
          <cell r="W194" t="str">
            <v>1 người</v>
          </cell>
          <cell r="X194" t="str">
            <v>NGUYỄN THÀNH LONG</v>
          </cell>
        </row>
        <row r="195">
          <cell r="I195" t="str">
            <v>B1.26.12</v>
          </cell>
          <cell r="J195" t="str">
            <v>TRẦN PHÚC THỊNH</v>
          </cell>
          <cell r="K195" t="str">
            <v>Bình Thạnh</v>
          </cell>
          <cell r="L195" t="str">
            <v>Lê Mai</v>
          </cell>
          <cell r="M195" t="str">
            <v>Ly Ly</v>
          </cell>
          <cell r="N195" t="str">
            <v>Nguyễn Tuấn Tú</v>
          </cell>
          <cell r="O195" t="str">
            <v>TRẦN PHÚC THỊNH</v>
          </cell>
          <cell r="P195" t="str">
            <v>Bình Thạnh</v>
          </cell>
          <cell r="Q195" t="str">
            <v>Lê Mai</v>
          </cell>
          <cell r="R195" t="str">
            <v>Ly Ly</v>
          </cell>
          <cell r="S195" t="str">
            <v>Trần Tuấn Tú</v>
          </cell>
          <cell r="T195" t="b">
            <v>1</v>
          </cell>
          <cell r="U195" t="str">
            <v>PTTT 01a</v>
          </cell>
          <cell r="V195" t="str">
            <v>PTTT 01a</v>
          </cell>
          <cell r="W195" t="str">
            <v>1 người</v>
          </cell>
          <cell r="X195" t="str">
            <v>TRẦN PHÚC THỊNH</v>
          </cell>
        </row>
        <row r="196">
          <cell r="I196" t="str">
            <v>B1.26.13</v>
          </cell>
          <cell r="J196" t="str">
            <v>???</v>
          </cell>
          <cell r="K196" t="str">
            <v>???</v>
          </cell>
          <cell r="L196" t="str">
            <v>???</v>
          </cell>
          <cell r="M196" t="str">
            <v>???</v>
          </cell>
          <cell r="N196" t="str">
            <v>???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 t="b">
            <v>1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</row>
        <row r="197">
          <cell r="I197" t="str">
            <v>B1.27.05</v>
          </cell>
          <cell r="J197" t="str">
            <v>VŨ XUÂN THÙY</v>
          </cell>
          <cell r="K197" t="str">
            <v>Quận 3</v>
          </cell>
          <cell r="L197" t="str">
            <v>Thanh Tuấn</v>
          </cell>
          <cell r="M197" t="str">
            <v>Thanh Liêm</v>
          </cell>
          <cell r="N197" t="str">
            <v>Nguyễn Triêm Định</v>
          </cell>
          <cell r="O197" t="str">
            <v>VŨ XUÂN THUỲ</v>
          </cell>
          <cell r="P197" t="str">
            <v>Quận 3</v>
          </cell>
          <cell r="Q197" t="str">
            <v>Thanh Tuấn</v>
          </cell>
          <cell r="R197" t="str">
            <v>Thanh Liêm</v>
          </cell>
          <cell r="S197" t="str">
            <v>Nguyễn Triêm Định</v>
          </cell>
          <cell r="T197" t="b">
            <v>1</v>
          </cell>
          <cell r="U197" t="str">
            <v>PTTT 04b</v>
          </cell>
          <cell r="V197" t="str">
            <v>PTTT 04b</v>
          </cell>
          <cell r="W197" t="str">
            <v>1 người</v>
          </cell>
          <cell r="X197" t="str">
            <v>VŨ XUÂN THUỲ</v>
          </cell>
        </row>
        <row r="198">
          <cell r="I198" t="str">
            <v>B1.27.06</v>
          </cell>
          <cell r="J198" t="str">
            <v>NGUYỄN MINH TUẤN</v>
          </cell>
          <cell r="K198" t="str">
            <v>Bình Thạnh</v>
          </cell>
          <cell r="L198" t="str">
            <v>Lê Mai</v>
          </cell>
          <cell r="M198" t="str">
            <v>Nguyễn Thanh</v>
          </cell>
          <cell r="N198" t="str">
            <v>Nguyễn Trọng Phương</v>
          </cell>
          <cell r="O198" t="str">
            <v>NGUYỄN MINH TUẤN</v>
          </cell>
          <cell r="P198" t="str">
            <v>Bình Thạnh</v>
          </cell>
          <cell r="Q198" t="str">
            <v>Lê Mai</v>
          </cell>
          <cell r="R198" t="str">
            <v>Nguyễn Thanh</v>
          </cell>
          <cell r="S198" t="str">
            <v>Nguyễn Trọng Phương</v>
          </cell>
          <cell r="T198" t="b">
            <v>1</v>
          </cell>
          <cell r="U198" t="str">
            <v>PTTT 06b</v>
          </cell>
          <cell r="V198" t="str">
            <v>PTTT 06b</v>
          </cell>
          <cell r="W198" t="str">
            <v>1 người</v>
          </cell>
          <cell r="X198" t="str">
            <v>NGUYỄN MINH TUẤN</v>
          </cell>
        </row>
        <row r="199">
          <cell r="I199" t="str">
            <v>B1.27.07</v>
          </cell>
          <cell r="J199" t="str">
            <v>NGUYỄN THỊ HUỆ</v>
          </cell>
          <cell r="K199" t="str">
            <v>Quận 3</v>
          </cell>
          <cell r="L199" t="str">
            <v>Kỳ Long</v>
          </cell>
          <cell r="M199" t="str">
            <v>Phi Thoại</v>
          </cell>
          <cell r="N199" t="str">
            <v>Phạm Thị Thương</v>
          </cell>
          <cell r="O199" t="str">
            <v>NGUYỄN THỊ HUỆ</v>
          </cell>
          <cell r="P199" t="str">
            <v>Quận 3</v>
          </cell>
          <cell r="Q199" t="str">
            <v>Kỳ Long</v>
          </cell>
          <cell r="R199" t="str">
            <v>Phi Thoại</v>
          </cell>
          <cell r="S199" t="str">
            <v>Phạm Thị Thương</v>
          </cell>
          <cell r="T199" t="b">
            <v>0</v>
          </cell>
          <cell r="U199" t="str">
            <v>PTTT 01a</v>
          </cell>
          <cell r="V199" t="str">
            <v>PTTT 04a</v>
          </cell>
          <cell r="W199" t="str">
            <v>1 người</v>
          </cell>
          <cell r="X199" t="str">
            <v>NGUYỄN THỊ MƠ</v>
          </cell>
        </row>
        <row r="200">
          <cell r="I200" t="str">
            <v>B1.27.08</v>
          </cell>
          <cell r="J200" t="str">
            <v>NGUYỄN NHUẬN</v>
          </cell>
          <cell r="K200" t="str">
            <v>Quận 3</v>
          </cell>
          <cell r="L200" t="str">
            <v>Thanh Tuấn</v>
          </cell>
          <cell r="M200" t="str">
            <v>Anh Tài</v>
          </cell>
          <cell r="N200" t="str">
            <v>Hồ Nhật Linh</v>
          </cell>
          <cell r="O200" t="str">
            <v>NGUYỄN NHUẬN</v>
          </cell>
          <cell r="P200" t="str">
            <v>Quận 3</v>
          </cell>
          <cell r="Q200" t="str">
            <v>Thanh Tuấn</v>
          </cell>
          <cell r="R200" t="str">
            <v>Anh Tài</v>
          </cell>
          <cell r="S200" t="str">
            <v>Hồ Nhật Linh</v>
          </cell>
          <cell r="T200" t="b">
            <v>1</v>
          </cell>
          <cell r="U200" t="str">
            <v>PTTT 03a</v>
          </cell>
          <cell r="V200" t="str">
            <v>PTTT 03a</v>
          </cell>
          <cell r="W200" t="str">
            <v>1 người</v>
          </cell>
          <cell r="X200" t="str">
            <v>NGUYỄN NHUẬN</v>
          </cell>
        </row>
        <row r="201">
          <cell r="I201" t="str">
            <v>B1.27.09</v>
          </cell>
          <cell r="J201" t="str">
            <v>TRẦN PHƯƠNG THÚY</v>
          </cell>
          <cell r="K201" t="str">
            <v>Bình Thạnh</v>
          </cell>
          <cell r="L201" t="str">
            <v>Lê Mai</v>
          </cell>
          <cell r="M201" t="str">
            <v>Nguyễn Thanh</v>
          </cell>
          <cell r="N201" t="str">
            <v>Ngô Thanh Thảo</v>
          </cell>
          <cell r="O201" t="str">
            <v>TRẦN PHƯƠNG THÚY</v>
          </cell>
          <cell r="P201" t="str">
            <v>Bình Thạnh</v>
          </cell>
          <cell r="Q201" t="str">
            <v>Lê Mai</v>
          </cell>
          <cell r="R201" t="str">
            <v>Nguyễn Thanh</v>
          </cell>
          <cell r="S201" t="str">
            <v>Ngô Thanh Thảo</v>
          </cell>
          <cell r="T201" t="b">
            <v>1</v>
          </cell>
          <cell r="U201" t="str">
            <v>PTTT 01a</v>
          </cell>
          <cell r="V201" t="str">
            <v>PTTT 01a</v>
          </cell>
          <cell r="W201" t="str">
            <v>1 người</v>
          </cell>
          <cell r="X201" t="str">
            <v>TRẦN PHƯƠNG THÚY</v>
          </cell>
        </row>
        <row r="202">
          <cell r="I202" t="str">
            <v>B1.27.10</v>
          </cell>
          <cell r="J202" t="str">
            <v>LÊ THỊ NGỌC THANH</v>
          </cell>
          <cell r="K202" t="str">
            <v>Quận 3</v>
          </cell>
          <cell r="L202" t="str">
            <v>Thanh Tuấn</v>
          </cell>
          <cell r="M202" t="str">
            <v>Tuấn Vương</v>
          </cell>
          <cell r="N202" t="str">
            <v>Huỳnh Nhất Vương</v>
          </cell>
          <cell r="O202" t="str">
            <v>LÊ THỊ NGỌC THANH</v>
          </cell>
          <cell r="P202" t="str">
            <v>Quận 3</v>
          </cell>
          <cell r="Q202" t="str">
            <v>Thanh Tuấn</v>
          </cell>
          <cell r="R202" t="str">
            <v>Tuấn Vương</v>
          </cell>
          <cell r="S202" t="str">
            <v>Huỳnh Nhất Vương</v>
          </cell>
          <cell r="T202" t="b">
            <v>1</v>
          </cell>
          <cell r="U202" t="str">
            <v>PTTT 04c</v>
          </cell>
          <cell r="V202" t="str">
            <v>PTTT 04c</v>
          </cell>
          <cell r="W202" t="str">
            <v>1 người</v>
          </cell>
          <cell r="X202" t="str">
            <v>LÊ THỊ NGỌC THANH</v>
          </cell>
        </row>
        <row r="203">
          <cell r="I203" t="str">
            <v>B2.02.09</v>
          </cell>
          <cell r="J203" t="str">
            <v>NGUYỄN THANH HÙNG</v>
          </cell>
          <cell r="K203" t="str">
            <v>Bình Thạnh</v>
          </cell>
          <cell r="L203" t="str">
            <v>Thanh Hà</v>
          </cell>
          <cell r="M203" t="str">
            <v>Như Ngọc</v>
          </cell>
          <cell r="N203" t="str">
            <v>Nguyễn Anh Thư</v>
          </cell>
          <cell r="O203">
            <v>0</v>
          </cell>
          <cell r="P203" t="str">
            <v>Bình Thạnh</v>
          </cell>
          <cell r="Q203" t="str">
            <v>Thanh Hà</v>
          </cell>
          <cell r="R203" t="str">
            <v>Như Ngọc</v>
          </cell>
          <cell r="S203" t="str">
            <v>Phùng Tấn Hiệp</v>
          </cell>
          <cell r="T203" t="b">
            <v>0</v>
          </cell>
          <cell r="U203">
            <v>0</v>
          </cell>
          <cell r="V203" t="str">
            <v>PTTT 09c</v>
          </cell>
          <cell r="W203" t="str">
            <v>1 người</v>
          </cell>
          <cell r="X203" t="str">
            <v>HÀN THANH SƠN</v>
          </cell>
        </row>
        <row r="204">
          <cell r="I204" t="str">
            <v>B2.02.11</v>
          </cell>
          <cell r="J204" t="str">
            <v>LÊ THỊ QUỲNH NHƯ</v>
          </cell>
          <cell r="K204" t="str">
            <v>Bình Thạnh</v>
          </cell>
          <cell r="L204" t="str">
            <v>Ngọc Linh</v>
          </cell>
          <cell r="M204" t="str">
            <v>Thanh Đức</v>
          </cell>
          <cell r="N204" t="str">
            <v>Trần Nhựt Thư</v>
          </cell>
          <cell r="O204" t="str">
            <v>NGUYỄN VĂN KIM</v>
          </cell>
          <cell r="P204" t="str">
            <v>Bình Thạnh</v>
          </cell>
          <cell r="Q204" t="str">
            <v>Ngọc Linh</v>
          </cell>
          <cell r="R204" t="str">
            <v>Thanh Đức</v>
          </cell>
          <cell r="S204" t="str">
            <v>Trần Nhựt Thư</v>
          </cell>
          <cell r="T204" t="b">
            <v>1</v>
          </cell>
          <cell r="U204" t="str">
            <v>PTTT 04c</v>
          </cell>
          <cell r="V204" t="str">
            <v>PTTT 04c</v>
          </cell>
          <cell r="W204" t="str">
            <v>1 người</v>
          </cell>
          <cell r="X204" t="str">
            <v>NGUYỄN VĂN KIM</v>
          </cell>
        </row>
        <row r="205">
          <cell r="I205" t="str">
            <v>B2.02.13</v>
          </cell>
          <cell r="J205" t="str">
            <v>TRẦN THỊ THU VÂN</v>
          </cell>
          <cell r="K205" t="str">
            <v>Bình Thạnh</v>
          </cell>
          <cell r="L205" t="str">
            <v>Thanh Hà</v>
          </cell>
          <cell r="M205" t="str">
            <v>Như Ngọc</v>
          </cell>
          <cell r="N205" t="str">
            <v>Nông Thị Thu Trang</v>
          </cell>
          <cell r="O205">
            <v>0</v>
          </cell>
          <cell r="P205" t="str">
            <v>Bình Thạnh</v>
          </cell>
          <cell r="Q205" t="str">
            <v>Thanh Hà</v>
          </cell>
          <cell r="R205" t="str">
            <v>Như Ngọc</v>
          </cell>
          <cell r="S205" t="str">
            <v>Nông Thị Thu Trang</v>
          </cell>
          <cell r="T205" t="b">
            <v>0</v>
          </cell>
          <cell r="U205">
            <v>0</v>
          </cell>
          <cell r="V205" t="str">
            <v>PTTT 09c</v>
          </cell>
          <cell r="W205" t="str">
            <v>2 người</v>
          </cell>
          <cell r="X205" t="str">
            <v>TRẦN THỊ THU VÂN</v>
          </cell>
        </row>
        <row r="206">
          <cell r="I206" t="str">
            <v>B2.02.16</v>
          </cell>
          <cell r="J206" t="str">
            <v>NGUYỄN THỊ BÌNH</v>
          </cell>
          <cell r="K206" t="str">
            <v>Bình Thạnh</v>
          </cell>
          <cell r="L206" t="str">
            <v>Ngọc Linh</v>
          </cell>
          <cell r="M206" t="str">
            <v>Đình Ban</v>
          </cell>
          <cell r="N206" t="str">
            <v>Lê Thị Bích Tiên</v>
          </cell>
          <cell r="O206">
            <v>0</v>
          </cell>
          <cell r="P206" t="str">
            <v>Bình Thạnh</v>
          </cell>
          <cell r="Q206" t="str">
            <v>Ngọc Linh</v>
          </cell>
          <cell r="R206" t="str">
            <v>Đình Ban</v>
          </cell>
          <cell r="S206">
            <v>0</v>
          </cell>
          <cell r="T206" t="b">
            <v>0</v>
          </cell>
          <cell r="U206">
            <v>0</v>
          </cell>
          <cell r="V206" t="str">
            <v>PTTT 09c</v>
          </cell>
          <cell r="W206" t="str">
            <v>2 người</v>
          </cell>
          <cell r="X206" t="str">
            <v>VÕ VIỆT HÙNG</v>
          </cell>
        </row>
        <row r="207">
          <cell r="I207" t="str">
            <v>B2.02.18</v>
          </cell>
          <cell r="J207" t="str">
            <v>NGUYỄN THỊ TRINH</v>
          </cell>
          <cell r="K207" t="str">
            <v>Quận 3</v>
          </cell>
          <cell r="L207" t="str">
            <v>Kỳ Long</v>
          </cell>
          <cell r="M207" t="str">
            <v>Phi Thoại</v>
          </cell>
          <cell r="N207" t="str">
            <v>Lại Trường An</v>
          </cell>
          <cell r="O207">
            <v>0</v>
          </cell>
          <cell r="P207" t="str">
            <v>Quận 3</v>
          </cell>
          <cell r="Q207" t="str">
            <v>Kỳ Long</v>
          </cell>
          <cell r="R207" t="str">
            <v>Phi Thoại</v>
          </cell>
          <cell r="S207">
            <v>0</v>
          </cell>
          <cell r="T207" t="b">
            <v>0</v>
          </cell>
          <cell r="U207">
            <v>0</v>
          </cell>
          <cell r="V207" t="str">
            <v>PTTT 09c</v>
          </cell>
          <cell r="W207" t="str">
            <v>1 người</v>
          </cell>
          <cell r="X207" t="str">
            <v>NGUYỄN THỊ TRINH</v>
          </cell>
        </row>
        <row r="208">
          <cell r="I208" t="str">
            <v>B2.02.19</v>
          </cell>
          <cell r="J208" t="str">
            <v>LÊ THỊ LAN NHI</v>
          </cell>
          <cell r="K208" t="str">
            <v>Bình Thạnh</v>
          </cell>
          <cell r="L208" t="str">
            <v>Ngọc Linh</v>
          </cell>
          <cell r="M208" t="str">
            <v>Đình Ban</v>
          </cell>
          <cell r="N208" t="str">
            <v>Lê Thị Bích Tiên</v>
          </cell>
          <cell r="O208">
            <v>0</v>
          </cell>
          <cell r="P208" t="str">
            <v>Bình Thạnh</v>
          </cell>
          <cell r="Q208" t="str">
            <v>Ngọc Linh</v>
          </cell>
          <cell r="R208" t="str">
            <v>Đình Ban</v>
          </cell>
          <cell r="S208" t="str">
            <v>Lê Thị Bích Tiên</v>
          </cell>
          <cell r="T208" t="b">
            <v>0</v>
          </cell>
          <cell r="U208">
            <v>0</v>
          </cell>
          <cell r="V208" t="str">
            <v>PTTT 09c</v>
          </cell>
          <cell r="W208" t="str">
            <v>1 người</v>
          </cell>
          <cell r="X208" t="str">
            <v>LÊ THỊ LAN NHI</v>
          </cell>
        </row>
        <row r="209">
          <cell r="I209" t="str">
            <v>B2.03.10</v>
          </cell>
          <cell r="J209" t="str">
            <v>VŨ THỊ TUYẾT</v>
          </cell>
          <cell r="K209" t="str">
            <v>Bình Thạnh</v>
          </cell>
          <cell r="L209" t="str">
            <v>Ngọc Linh</v>
          </cell>
          <cell r="M209" t="str">
            <v>Thanh Đức</v>
          </cell>
          <cell r="N209" t="str">
            <v>Trịnh Thị Phương Thảo</v>
          </cell>
          <cell r="O209" t="str">
            <v>VŨ THỊ TUYẾT</v>
          </cell>
          <cell r="P209" t="str">
            <v>Bình Thạnh</v>
          </cell>
          <cell r="Q209" t="str">
            <v>Ngọc Linh</v>
          </cell>
          <cell r="R209" t="str">
            <v>Thanh Đức</v>
          </cell>
          <cell r="S209" t="str">
            <v>Trịnh Thị Phương Thảo</v>
          </cell>
          <cell r="T209" t="b">
            <v>1</v>
          </cell>
          <cell r="U209">
            <v>0</v>
          </cell>
          <cell r="V209" t="str">
            <v>PTTT 06c</v>
          </cell>
          <cell r="W209" t="str">
            <v>1 người</v>
          </cell>
          <cell r="X209" t="str">
            <v>VŨ THỊ TUYẾT</v>
          </cell>
        </row>
        <row r="210">
          <cell r="I210" t="str">
            <v>B2.03.11</v>
          </cell>
          <cell r="J210" t="str">
            <v>TẠ THỊ CẨM VÂN</v>
          </cell>
          <cell r="K210" t="str">
            <v>Quận 3</v>
          </cell>
          <cell r="L210" t="str">
            <v>Huỳnh Nhân</v>
          </cell>
          <cell r="M210" t="str">
            <v>Tấn Long</v>
          </cell>
          <cell r="N210" t="str">
            <v>Nguyễn Thị Diễm Trang</v>
          </cell>
          <cell r="O210" t="str">
            <v>TẠ THỊ CẨM VÂN</v>
          </cell>
          <cell r="P210" t="str">
            <v>Quận 3</v>
          </cell>
          <cell r="Q210" t="str">
            <v>Huỳnh Nhân</v>
          </cell>
          <cell r="R210" t="str">
            <v>Tấn Long</v>
          </cell>
          <cell r="S210" t="str">
            <v>Nguyễn Thị Diễm Trang</v>
          </cell>
          <cell r="T210" t="b">
            <v>1</v>
          </cell>
          <cell r="U210" t="str">
            <v>PTTT 04c</v>
          </cell>
          <cell r="V210" t="str">
            <v>PTTT 04c</v>
          </cell>
          <cell r="W210" t="str">
            <v>1 người</v>
          </cell>
          <cell r="X210" t="str">
            <v>TẠ THỊ CẨM VÂN</v>
          </cell>
        </row>
        <row r="211">
          <cell r="I211" t="str">
            <v>B2.03.12</v>
          </cell>
          <cell r="J211" t="str">
            <v>ĐẬU NGUYỄN KHÁNH LINH</v>
          </cell>
          <cell r="K211" t="str">
            <v>Bình Thạnh</v>
          </cell>
          <cell r="L211" t="str">
            <v>Thanh Hà</v>
          </cell>
          <cell r="M211" t="str">
            <v>Như Ngọc</v>
          </cell>
          <cell r="N211" t="str">
            <v>Nguyễn Xuân Tuấn Sang</v>
          </cell>
          <cell r="O211">
            <v>0</v>
          </cell>
          <cell r="P211" t="str">
            <v>Bình Thạnh</v>
          </cell>
          <cell r="Q211" t="str">
            <v>Thanh Hà</v>
          </cell>
          <cell r="R211" t="str">
            <v>Như Ngọc</v>
          </cell>
          <cell r="S211" t="str">
            <v>Nguyễn Xuân Tuấn Sang</v>
          </cell>
          <cell r="T211" t="b">
            <v>0</v>
          </cell>
          <cell r="U211">
            <v>0</v>
          </cell>
          <cell r="V211" t="str">
            <v>PTTT 09c</v>
          </cell>
          <cell r="W211" t="str">
            <v>1 người</v>
          </cell>
          <cell r="X211" t="str">
            <v>ĐẬU NGUYỄN KHÁNH LINH</v>
          </cell>
        </row>
        <row r="212">
          <cell r="I212" t="str">
            <v>B2.03.13</v>
          </cell>
          <cell r="J212" t="str">
            <v>NGUYỄN THỊ KIỀU MY</v>
          </cell>
          <cell r="K212" t="str">
            <v>Bình Thạnh</v>
          </cell>
          <cell r="L212" t="str">
            <v>Ngọc Linh</v>
          </cell>
          <cell r="M212" t="str">
            <v>Đình Ban</v>
          </cell>
          <cell r="N212" t="str">
            <v>Trần Thị Nhung</v>
          </cell>
          <cell r="O212">
            <v>0</v>
          </cell>
          <cell r="P212" t="str">
            <v>Bình Thạnh</v>
          </cell>
          <cell r="Q212" t="str">
            <v>Ngọc Linh</v>
          </cell>
          <cell r="R212" t="str">
            <v>Đình Ban</v>
          </cell>
          <cell r="S212" t="str">
            <v>Trần Thị Nhung</v>
          </cell>
          <cell r="T212" t="b">
            <v>0</v>
          </cell>
          <cell r="U212">
            <v>0</v>
          </cell>
          <cell r="V212" t="str">
            <v>PTTT 08c</v>
          </cell>
          <cell r="W212" t="str">
            <v>1 người</v>
          </cell>
          <cell r="X212" t="str">
            <v>NGUYỄN THỊ KIỀU MY</v>
          </cell>
        </row>
        <row r="213">
          <cell r="I213" t="str">
            <v>B2.03.14</v>
          </cell>
          <cell r="J213" t="str">
            <v>NGUYỄN THỊ AN NHI</v>
          </cell>
          <cell r="K213" t="str">
            <v>Bình Thạnh</v>
          </cell>
          <cell r="L213" t="str">
            <v>Ngọc Linh</v>
          </cell>
          <cell r="M213" t="str">
            <v>Đình Ban</v>
          </cell>
          <cell r="N213" t="str">
            <v>Nguyễn Tuyết Ngân</v>
          </cell>
          <cell r="O213">
            <v>0</v>
          </cell>
          <cell r="P213" t="str">
            <v>Bình Thạnh</v>
          </cell>
          <cell r="Q213" t="str">
            <v>Ngọc Linh</v>
          </cell>
          <cell r="R213" t="str">
            <v>Đình Ban</v>
          </cell>
          <cell r="S213" t="str">
            <v>Nguyễn Tuyết Ngân</v>
          </cell>
          <cell r="T213" t="b">
            <v>0</v>
          </cell>
          <cell r="U213">
            <v>0</v>
          </cell>
          <cell r="V213" t="str">
            <v>PTTT 09c</v>
          </cell>
          <cell r="W213" t="str">
            <v>1 người</v>
          </cell>
          <cell r="X213" t="str">
            <v>TRẦN THỊ KIM  BÍCH</v>
          </cell>
        </row>
        <row r="214">
          <cell r="I214" t="str">
            <v>B2.03.15</v>
          </cell>
          <cell r="J214" t="str">
            <v>NGUYỄN THỊ THANH THỦY</v>
          </cell>
          <cell r="K214" t="str">
            <v>Bình Thạnh</v>
          </cell>
          <cell r="L214" t="str">
            <v>Ngọc Linh</v>
          </cell>
          <cell r="M214" t="str">
            <v>Phạm Vĩ</v>
          </cell>
          <cell r="N214" t="str">
            <v>Nguyễn Văn Hà</v>
          </cell>
          <cell r="O214" t="str">
            <v>NGUYỄN THỊ THANH THỦY</v>
          </cell>
          <cell r="P214" t="str">
            <v>Bình Thạnh</v>
          </cell>
          <cell r="Q214" t="str">
            <v>Ngọc Linh</v>
          </cell>
          <cell r="R214" t="str">
            <v>Phạm Vĩ</v>
          </cell>
          <cell r="S214" t="str">
            <v>Nguyễn Văn Hà</v>
          </cell>
          <cell r="T214" t="b">
            <v>1</v>
          </cell>
          <cell r="U214" t="str">
            <v>PTTT 04c</v>
          </cell>
          <cell r="V214" t="str">
            <v>PTTT 04c</v>
          </cell>
          <cell r="W214" t="str">
            <v>1 người</v>
          </cell>
          <cell r="X214" t="str">
            <v>NGUYỄN THỊ THANH THỦY</v>
          </cell>
        </row>
        <row r="215">
          <cell r="I215" t="str">
            <v>B2.03.16</v>
          </cell>
          <cell r="J215" t="str">
            <v>???</v>
          </cell>
          <cell r="K215" t="str">
            <v>???</v>
          </cell>
          <cell r="L215" t="str">
            <v>???</v>
          </cell>
          <cell r="M215" t="str">
            <v>???</v>
          </cell>
          <cell r="N215" t="str">
            <v>???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 t="b">
            <v>1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</row>
        <row r="216">
          <cell r="I216" t="str">
            <v>B2.03.17</v>
          </cell>
          <cell r="J216" t="str">
            <v>NGUYỄN QUỐC ĐẠT</v>
          </cell>
          <cell r="K216" t="str">
            <v>Sàn liên kết</v>
          </cell>
          <cell r="L216" t="str">
            <v>Bcons PS</v>
          </cell>
          <cell r="M216" t="str">
            <v>Bcons PS</v>
          </cell>
          <cell r="N216">
            <v>0</v>
          </cell>
          <cell r="O216">
            <v>0</v>
          </cell>
          <cell r="P216" t="str">
            <v>Sàn liên kết</v>
          </cell>
          <cell r="Q216" t="str">
            <v>Bcons PS</v>
          </cell>
          <cell r="R216" t="str">
            <v>Bcons PS</v>
          </cell>
          <cell r="S216">
            <v>0</v>
          </cell>
          <cell r="T216" t="b">
            <v>0</v>
          </cell>
          <cell r="U216">
            <v>0</v>
          </cell>
          <cell r="V216" t="str">
            <v>PTTT 09c</v>
          </cell>
          <cell r="W216" t="str">
            <v>1 người</v>
          </cell>
          <cell r="X216" t="str">
            <v>NGUYẾN QUỐC ĐẠT</v>
          </cell>
        </row>
        <row r="217">
          <cell r="I217" t="str">
            <v>B2.03.18</v>
          </cell>
          <cell r="J217" t="str">
            <v>???</v>
          </cell>
          <cell r="K217" t="str">
            <v>???</v>
          </cell>
          <cell r="L217" t="str">
            <v>???</v>
          </cell>
          <cell r="M217" t="str">
            <v>???</v>
          </cell>
          <cell r="N217" t="str">
            <v>???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 t="b">
            <v>1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</row>
        <row r="218">
          <cell r="I218" t="str">
            <v>B2.03.19</v>
          </cell>
          <cell r="J218" t="str">
            <v>???</v>
          </cell>
          <cell r="K218" t="str">
            <v>???</v>
          </cell>
          <cell r="L218" t="str">
            <v>???</v>
          </cell>
          <cell r="M218" t="str">
            <v>???</v>
          </cell>
          <cell r="N218" t="str">
            <v>???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 t="b">
            <v>1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</row>
        <row r="219">
          <cell r="I219" t="str">
            <v>B2.05.01</v>
          </cell>
          <cell r="J219" t="str">
            <v>NGUYỄN THỊ VÂN LINH</v>
          </cell>
          <cell r="K219" t="str">
            <v>Quận 3</v>
          </cell>
          <cell r="L219" t="str">
            <v>Văn Tùng</v>
          </cell>
          <cell r="M219" t="str">
            <v>Thiện Quý</v>
          </cell>
          <cell r="N219" t="str">
            <v>Nguyễn Ngọc Kiều Mi</v>
          </cell>
          <cell r="O219">
            <v>0</v>
          </cell>
          <cell r="P219" t="str">
            <v>Quận 3</v>
          </cell>
          <cell r="Q219" t="str">
            <v>Văn Tùng</v>
          </cell>
          <cell r="R219" t="str">
            <v>Thiện Quý</v>
          </cell>
          <cell r="S219" t="str">
            <v>Nguyễn Ngọc Kiều Mi</v>
          </cell>
          <cell r="T219" t="b">
            <v>0</v>
          </cell>
          <cell r="U219">
            <v>0</v>
          </cell>
          <cell r="V219" t="str">
            <v>PTTT 08c</v>
          </cell>
          <cell r="W219" t="str">
            <v>1 người</v>
          </cell>
          <cell r="X219" t="str">
            <v>NGUYỄN NGỌC BẢO HÂN</v>
          </cell>
        </row>
        <row r="220">
          <cell r="I220" t="str">
            <v>B2.05.03</v>
          </cell>
          <cell r="J220" t="str">
            <v>LỮ NGỌC PHÚ</v>
          </cell>
          <cell r="K220" t="str">
            <v>Quận 3</v>
          </cell>
          <cell r="L220" t="str">
            <v>Thanh Tuấn</v>
          </cell>
          <cell r="M220" t="str">
            <v>Duy Nhật</v>
          </cell>
          <cell r="N220" t="str">
            <v>Đậu Huy Hoàng</v>
          </cell>
          <cell r="O220">
            <v>0</v>
          </cell>
          <cell r="P220" t="str">
            <v>Quận 3</v>
          </cell>
          <cell r="Q220" t="str">
            <v>Thanh Tuấn</v>
          </cell>
          <cell r="R220" t="str">
            <v>Duy Nhật</v>
          </cell>
          <cell r="S220" t="str">
            <v>Đậu Huy Hoàng</v>
          </cell>
          <cell r="T220" t="b">
            <v>0</v>
          </cell>
          <cell r="U220">
            <v>0</v>
          </cell>
          <cell r="V220" t="str">
            <v>PTTT 09c</v>
          </cell>
          <cell r="W220" t="str">
            <v>1 người</v>
          </cell>
          <cell r="X220" t="str">
            <v>LỮ NGỌC PHÚ</v>
          </cell>
        </row>
        <row r="221">
          <cell r="I221" t="str">
            <v>B2.05.04</v>
          </cell>
          <cell r="J221" t="str">
            <v>NGÔ MINH TUẤN ANH</v>
          </cell>
          <cell r="K221" t="str">
            <v>Huỳnh Châu</v>
          </cell>
          <cell r="L221" t="str">
            <v>Văn Lực</v>
          </cell>
          <cell r="M221" t="str">
            <v>Thắng Đinh</v>
          </cell>
          <cell r="N221" t="str">
            <v>Nguyễn Long Thịnh</v>
          </cell>
          <cell r="O221">
            <v>0</v>
          </cell>
          <cell r="P221" t="str">
            <v>Huỳnh Châu</v>
          </cell>
          <cell r="Q221" t="str">
            <v>Văn Lực</v>
          </cell>
          <cell r="R221" t="str">
            <v>Thắng Đinh</v>
          </cell>
          <cell r="S221" t="str">
            <v>Nguyễn Long Thịnh</v>
          </cell>
          <cell r="T221" t="b">
            <v>0</v>
          </cell>
          <cell r="U221">
            <v>0</v>
          </cell>
          <cell r="V221" t="str">
            <v>PTTT 06c</v>
          </cell>
          <cell r="W221" t="str">
            <v>1 người</v>
          </cell>
          <cell r="X221" t="str">
            <v>TRÀNG THỊ TÍNH</v>
          </cell>
        </row>
        <row r="222">
          <cell r="I222" t="str">
            <v>B2.05.05</v>
          </cell>
          <cell r="J222" t="str">
            <v>LƯƠNG THỊ NGỌC HÂN</v>
          </cell>
          <cell r="K222" t="str">
            <v>Quận 3</v>
          </cell>
          <cell r="L222" t="str">
            <v>Thế Hiển</v>
          </cell>
          <cell r="M222" t="str">
            <v>Văn Tùng</v>
          </cell>
          <cell r="N222" t="str">
            <v>Châu Thị Mộng Trinh</v>
          </cell>
          <cell r="O222">
            <v>0</v>
          </cell>
          <cell r="P222" t="str">
            <v>Quận 3</v>
          </cell>
          <cell r="Q222" t="str">
            <v>Thế Hiển</v>
          </cell>
          <cell r="R222" t="str">
            <v>Văn Tùng</v>
          </cell>
          <cell r="S222" t="str">
            <v>Châu Thị Mộng Trinh</v>
          </cell>
          <cell r="T222" t="b">
            <v>0</v>
          </cell>
          <cell r="U222">
            <v>0</v>
          </cell>
          <cell r="V222" t="str">
            <v>PTTT 08c</v>
          </cell>
          <cell r="W222" t="str">
            <v>1 người</v>
          </cell>
          <cell r="X222" t="str">
            <v>LƯƠNG THỊ NGỌC HÂN</v>
          </cell>
        </row>
        <row r="223">
          <cell r="I223" t="str">
            <v>B2.05.06</v>
          </cell>
          <cell r="J223" t="str">
            <v>PHẠM THỊ PHƯƠNG THẢO</v>
          </cell>
          <cell r="K223" t="str">
            <v>Sàn liên kết</v>
          </cell>
          <cell r="L223" t="str">
            <v>Teraland</v>
          </cell>
          <cell r="M223" t="str">
            <v>Teraland</v>
          </cell>
          <cell r="N223">
            <v>0</v>
          </cell>
          <cell r="O223" t="str">
            <v>PHẠM THỊ PHƯƠNG THẢO</v>
          </cell>
          <cell r="P223" t="str">
            <v>Sàn liên kết</v>
          </cell>
          <cell r="Q223" t="str">
            <v>Teraland</v>
          </cell>
          <cell r="R223" t="str">
            <v>Teraland</v>
          </cell>
          <cell r="S223">
            <v>0</v>
          </cell>
          <cell r="T223" t="b">
            <v>1</v>
          </cell>
          <cell r="U223">
            <v>0</v>
          </cell>
          <cell r="V223" t="str">
            <v>PTTT 04c</v>
          </cell>
          <cell r="W223" t="str">
            <v>1 người</v>
          </cell>
          <cell r="X223" t="str">
            <v>PHẠM THỊ PHƯƠNG THẢO</v>
          </cell>
        </row>
        <row r="224">
          <cell r="I224" t="str">
            <v>B2.05.07</v>
          </cell>
          <cell r="J224" t="str">
            <v>VŨ THỊ HỒNG PHƯỢNG</v>
          </cell>
          <cell r="K224" t="str">
            <v>Bình Thạnh</v>
          </cell>
          <cell r="L224" t="str">
            <v>Ngọc Linh</v>
          </cell>
          <cell r="M224" t="str">
            <v>Đình Ban</v>
          </cell>
          <cell r="N224" t="str">
            <v>Phan Thị Ngọc Hiếu</v>
          </cell>
          <cell r="O224">
            <v>0</v>
          </cell>
          <cell r="P224" t="str">
            <v>Bình Thạnh</v>
          </cell>
          <cell r="Q224" t="str">
            <v>Ngọc Linh</v>
          </cell>
          <cell r="R224" t="str">
            <v>Đình Ban</v>
          </cell>
          <cell r="S224" t="str">
            <v>Phan Thị Ngọc Hiếu</v>
          </cell>
          <cell r="T224" t="b">
            <v>0</v>
          </cell>
          <cell r="U224">
            <v>0</v>
          </cell>
          <cell r="V224" t="str">
            <v>PTTT 09c</v>
          </cell>
          <cell r="W224" t="str">
            <v>2 người</v>
          </cell>
          <cell r="X224" t="str">
            <v>VŨ THỊ HỒNG PHƯỢNG</v>
          </cell>
        </row>
        <row r="225">
          <cell r="I225" t="str">
            <v>B2.05.08</v>
          </cell>
          <cell r="J225" t="str">
            <v>TSẰN CHIẾU NGÀN</v>
          </cell>
          <cell r="K225" t="str">
            <v>Quận 3</v>
          </cell>
          <cell r="L225" t="str">
            <v>Thanh Tuấn</v>
          </cell>
          <cell r="M225" t="str">
            <v>Duy Nhật</v>
          </cell>
          <cell r="N225" t="str">
            <v>Tsằn Chiếu Ngàn</v>
          </cell>
          <cell r="O225" t="str">
            <v>LÊ THỊ VÂN THẢO</v>
          </cell>
          <cell r="P225" t="str">
            <v>Quận 3</v>
          </cell>
          <cell r="Q225" t="str">
            <v>Thanh Tuấn</v>
          </cell>
          <cell r="R225" t="str">
            <v>Duy Nhật</v>
          </cell>
          <cell r="S225" t="str">
            <v>Tsằn Chiếu Ngàn</v>
          </cell>
          <cell r="T225" t="b">
            <v>1</v>
          </cell>
          <cell r="U225" t="str">
            <v>PTTT 04c</v>
          </cell>
          <cell r="V225" t="str">
            <v>PTTT 04c</v>
          </cell>
          <cell r="W225" t="str">
            <v>1 người</v>
          </cell>
          <cell r="X225" t="str">
            <v>LÊ THỊ VÂN THẢO</v>
          </cell>
        </row>
        <row r="226">
          <cell r="I226" t="str">
            <v>B2.05.09</v>
          </cell>
          <cell r="J226" t="str">
            <v>PHẠM TRÍ HIẾU</v>
          </cell>
          <cell r="K226" t="str">
            <v>Bình Thạnh</v>
          </cell>
          <cell r="L226" t="str">
            <v>Lê Mai</v>
          </cell>
          <cell r="M226" t="str">
            <v>Phương Thúy</v>
          </cell>
          <cell r="N226" t="str">
            <v>Hoàng Thị Thanh Trúc</v>
          </cell>
          <cell r="O226" t="str">
            <v>PHẠM TRÍ HIẾU</v>
          </cell>
          <cell r="P226" t="str">
            <v>Bình Thạnh</v>
          </cell>
          <cell r="Q226" t="str">
            <v>Lê Mai</v>
          </cell>
          <cell r="R226" t="str">
            <v>Phương Thúy</v>
          </cell>
          <cell r="S226" t="str">
            <v>Hoàng Thị Thanh Trúc</v>
          </cell>
          <cell r="T226" t="b">
            <v>1</v>
          </cell>
          <cell r="U226" t="str">
            <v>PTTT 04c</v>
          </cell>
          <cell r="V226" t="str">
            <v>PTTT 04c</v>
          </cell>
          <cell r="W226" t="str">
            <v>1 người</v>
          </cell>
          <cell r="X226" t="str">
            <v>PHẠM TRÍ HIẾU</v>
          </cell>
        </row>
        <row r="227">
          <cell r="I227" t="str">
            <v>B2.05.20</v>
          </cell>
          <cell r="J227" t="str">
            <v>HOÀNG SỸ NAM</v>
          </cell>
          <cell r="K227" t="str">
            <v>Quận 3</v>
          </cell>
          <cell r="L227" t="str">
            <v>Thanh Tuấn</v>
          </cell>
          <cell r="M227" t="str">
            <v>Tuấn Vương</v>
          </cell>
          <cell r="N227" t="str">
            <v>Huỳnh Thị Hoài Duyên</v>
          </cell>
          <cell r="O227">
            <v>0</v>
          </cell>
          <cell r="P227" t="str">
            <v>Quận 3</v>
          </cell>
          <cell r="Q227" t="str">
            <v>Thanh Tuấn</v>
          </cell>
          <cell r="R227" t="str">
            <v>Tuấn Vương</v>
          </cell>
          <cell r="S227" t="str">
            <v>Huỳnh Thị Hoài Duyên</v>
          </cell>
          <cell r="T227" t="b">
            <v>0</v>
          </cell>
          <cell r="U227">
            <v>0</v>
          </cell>
          <cell r="V227" t="str">
            <v>PTTT 04c</v>
          </cell>
          <cell r="W227" t="str">
            <v>2 người</v>
          </cell>
          <cell r="X227" t="str">
            <v>HOÀNG SĨ NAM</v>
          </cell>
        </row>
        <row r="228">
          <cell r="I228" t="str">
            <v>B2.05.21</v>
          </cell>
          <cell r="J228" t="str">
            <v>VÕ NGUYỄN TUYẾT MAI</v>
          </cell>
          <cell r="K228" t="str">
            <v>Bình Thạnh</v>
          </cell>
          <cell r="L228" t="str">
            <v>Ngọc Linh</v>
          </cell>
          <cell r="M228" t="str">
            <v>Thanh Đức</v>
          </cell>
          <cell r="N228" t="str">
            <v>Đào Anh Trí</v>
          </cell>
          <cell r="O228" t="str">
            <v>NGUYỄN VĂN NGHĨA</v>
          </cell>
          <cell r="P228" t="str">
            <v>Bình Thạnh</v>
          </cell>
          <cell r="Q228" t="str">
            <v>Ngọc Linh</v>
          </cell>
          <cell r="R228" t="str">
            <v>Thanh Đức</v>
          </cell>
          <cell r="S228" t="str">
            <v>Đào Anh Trí</v>
          </cell>
          <cell r="T228" t="b">
            <v>0</v>
          </cell>
          <cell r="U228">
            <v>0</v>
          </cell>
          <cell r="V228" t="str">
            <v>PTTT 09c</v>
          </cell>
          <cell r="W228" t="str">
            <v>1 người</v>
          </cell>
          <cell r="X228" t="str">
            <v>VÕ NGUYỄN TUYẾT MAI</v>
          </cell>
        </row>
        <row r="229">
          <cell r="I229" t="str">
            <v>B2.05.22</v>
          </cell>
          <cell r="J229" t="str">
            <v>NGUYỄN KHÁNH VĨNH</v>
          </cell>
          <cell r="K229" t="str">
            <v>Bình Thạnh</v>
          </cell>
          <cell r="L229" t="str">
            <v>Ngọc Linh</v>
          </cell>
          <cell r="M229" t="str">
            <v>Phạm Vĩ</v>
          </cell>
          <cell r="N229" t="str">
            <v>Nguyễn Thạch Y Vân</v>
          </cell>
          <cell r="O229">
            <v>0</v>
          </cell>
          <cell r="P229" t="str">
            <v>Bình Thạnh</v>
          </cell>
          <cell r="Q229" t="str">
            <v>Ngọc Linh</v>
          </cell>
          <cell r="R229" t="str">
            <v>Phạm Vĩ</v>
          </cell>
          <cell r="S229">
            <v>0</v>
          </cell>
          <cell r="T229" t="b">
            <v>0</v>
          </cell>
          <cell r="U229">
            <v>0</v>
          </cell>
          <cell r="V229" t="str">
            <v>PTTT 09c</v>
          </cell>
          <cell r="W229" t="str">
            <v>1 người</v>
          </cell>
          <cell r="X229" t="str">
            <v>NGUYỄN KHÁNH VĨNH</v>
          </cell>
        </row>
        <row r="230">
          <cell r="I230" t="str">
            <v>B2.06.01</v>
          </cell>
          <cell r="J230" t="str">
            <v>VŨ THỊ MINH THƯ</v>
          </cell>
          <cell r="K230" t="str">
            <v>Bình Thạnh</v>
          </cell>
          <cell r="L230" t="str">
            <v>Ngọc Linh</v>
          </cell>
          <cell r="M230" t="str">
            <v>Quốc Tuấn</v>
          </cell>
          <cell r="N230" t="str">
            <v>Trần Hồng Quân</v>
          </cell>
          <cell r="O230">
            <v>0</v>
          </cell>
          <cell r="P230" t="str">
            <v>Bình Thạnh</v>
          </cell>
          <cell r="Q230" t="str">
            <v>Ngọc Linh</v>
          </cell>
          <cell r="R230" t="str">
            <v>Quốc Tuấn</v>
          </cell>
          <cell r="S230">
            <v>0</v>
          </cell>
          <cell r="T230" t="b">
            <v>0</v>
          </cell>
          <cell r="U230">
            <v>0</v>
          </cell>
          <cell r="V230" t="str">
            <v>PTTT 09c</v>
          </cell>
          <cell r="W230" t="str">
            <v>1 người</v>
          </cell>
          <cell r="X230" t="str">
            <v>VŨ THỊ MINH THƯ</v>
          </cell>
        </row>
        <row r="231">
          <cell r="I231" t="str">
            <v>B2.06.10</v>
          </cell>
          <cell r="J231" t="str">
            <v>HOÀNG TÚ ANH</v>
          </cell>
          <cell r="K231" t="str">
            <v>Bình Thạnh</v>
          </cell>
          <cell r="L231" t="str">
            <v>Ngọc Linh</v>
          </cell>
          <cell r="M231" t="str">
            <v>Lưu Thông</v>
          </cell>
          <cell r="N231" t="str">
            <v>Lê Bá Trung Tín</v>
          </cell>
          <cell r="O231">
            <v>0</v>
          </cell>
          <cell r="P231" t="str">
            <v>Bình Thạnh</v>
          </cell>
          <cell r="Q231" t="str">
            <v>Ngọc Linh</v>
          </cell>
          <cell r="R231" t="str">
            <v>Lưu Thông</v>
          </cell>
          <cell r="S231" t="str">
            <v>Lê Bá Trung Tín</v>
          </cell>
          <cell r="T231" t="b">
            <v>0</v>
          </cell>
          <cell r="U231">
            <v>0</v>
          </cell>
          <cell r="V231" t="str">
            <v>PTTT 04c</v>
          </cell>
          <cell r="W231" t="str">
            <v>1 người</v>
          </cell>
          <cell r="X231" t="str">
            <v>HOÀNG TÚ ANH</v>
          </cell>
        </row>
        <row r="232">
          <cell r="I232" t="str">
            <v>B2.06.11</v>
          </cell>
          <cell r="J232" t="str">
            <v>NGUYỄN TRẦN KIM PHƯỢNG</v>
          </cell>
          <cell r="K232" t="str">
            <v>Huỳnh Châu</v>
          </cell>
          <cell r="L232" t="str">
            <v>Tấn Phước</v>
          </cell>
          <cell r="M232" t="str">
            <v>Đắc Hải</v>
          </cell>
          <cell r="N232" t="str">
            <v>Võ Anh Kiệt</v>
          </cell>
          <cell r="O232" t="str">
            <v>LÊ THỊ TUYẾT MAI</v>
          </cell>
          <cell r="P232" t="str">
            <v>Bình Thạnh</v>
          </cell>
          <cell r="Q232" t="str">
            <v>Tấn Phước</v>
          </cell>
          <cell r="R232" t="str">
            <v>Đắc Hải</v>
          </cell>
          <cell r="S232" t="str">
            <v>Võ Anh Kiệt</v>
          </cell>
          <cell r="T232" t="b">
            <v>0</v>
          </cell>
          <cell r="U232">
            <v>0</v>
          </cell>
          <cell r="V232" t="str">
            <v>PTTT 08c</v>
          </cell>
          <cell r="W232" t="str">
            <v>1 người</v>
          </cell>
          <cell r="X232" t="str">
            <v>NGUYỄN PHẠM MINH ĐỨC</v>
          </cell>
        </row>
        <row r="233">
          <cell r="I233" t="str">
            <v>B2.06.12</v>
          </cell>
          <cell r="J233" t="str">
            <v>NGÔ THÀNH TRUNG</v>
          </cell>
          <cell r="K233" t="str">
            <v>Quận 3</v>
          </cell>
          <cell r="L233" t="str">
            <v>Kỳ Long</v>
          </cell>
          <cell r="M233" t="str">
            <v>Phi Thoại</v>
          </cell>
          <cell r="N233" t="str">
            <v>Lại Trường An</v>
          </cell>
          <cell r="O233">
            <v>0</v>
          </cell>
          <cell r="P233" t="str">
            <v>Quận 3</v>
          </cell>
          <cell r="Q233" t="str">
            <v>Kỳ Long</v>
          </cell>
          <cell r="R233" t="str">
            <v>Phi Thoại</v>
          </cell>
          <cell r="S233" t="str">
            <v>Lại Trường An</v>
          </cell>
          <cell r="T233" t="b">
            <v>0</v>
          </cell>
          <cell r="U233">
            <v>0</v>
          </cell>
          <cell r="V233" t="str">
            <v>PTTT 08c</v>
          </cell>
          <cell r="W233" t="str">
            <v>1 người</v>
          </cell>
          <cell r="X233" t="str">
            <v>NGÔ THÀNH TRUNG</v>
          </cell>
        </row>
        <row r="234">
          <cell r="I234" t="str">
            <v>B2.06.13</v>
          </cell>
          <cell r="J234" t="str">
            <v>ĐINH CÔNG CHÍNH</v>
          </cell>
          <cell r="K234" t="str">
            <v>Bình Thạnh</v>
          </cell>
          <cell r="L234" t="str">
            <v>Thanh Hà</v>
          </cell>
          <cell r="M234" t="str">
            <v>Đức Đồng</v>
          </cell>
          <cell r="N234" t="str">
            <v>Nguyễn Ngọc Anh Thư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 t="b">
            <v>0</v>
          </cell>
          <cell r="U234">
            <v>0</v>
          </cell>
          <cell r="V234" t="str">
            <v>PTTT 04c</v>
          </cell>
          <cell r="W234" t="str">
            <v>1 người</v>
          </cell>
          <cell r="X234" t="str">
            <v>ĐINH CÔNG CHÍNH</v>
          </cell>
        </row>
        <row r="235">
          <cell r="I235" t="str">
            <v>B2.06.14</v>
          </cell>
          <cell r="J235" t="str">
            <v>NGÔ THỊ THANH MAI</v>
          </cell>
          <cell r="K235" t="str">
            <v>Bình Thạnh</v>
          </cell>
          <cell r="L235" t="str">
            <v>Lê Mai</v>
          </cell>
          <cell r="M235" t="str">
            <v>Phương Thúy</v>
          </cell>
          <cell r="N235" t="str">
            <v>Trần Trọng Hùng</v>
          </cell>
          <cell r="O235">
            <v>0</v>
          </cell>
          <cell r="P235" t="str">
            <v>Bình Thạnh</v>
          </cell>
          <cell r="Q235" t="str">
            <v>Lê Mai</v>
          </cell>
          <cell r="R235" t="str">
            <v>Phương Thúy</v>
          </cell>
          <cell r="S235" t="str">
            <v>Trần Trọng Hùng</v>
          </cell>
          <cell r="T235" t="b">
            <v>0</v>
          </cell>
          <cell r="U235">
            <v>0</v>
          </cell>
          <cell r="V235" t="str">
            <v>PTTT 09c</v>
          </cell>
          <cell r="W235" t="str">
            <v>1 người</v>
          </cell>
          <cell r="X235" t="str">
            <v>NGÔ THỊ THANH MAI</v>
          </cell>
        </row>
        <row r="236">
          <cell r="I236" t="str">
            <v>B2.06.15</v>
          </cell>
          <cell r="J236" t="str">
            <v>TRẦN BÍCH PHƯỢNG</v>
          </cell>
          <cell r="K236" t="str">
            <v>Bình Thạnh</v>
          </cell>
          <cell r="L236" t="str">
            <v>Lê Mai</v>
          </cell>
          <cell r="M236" t="str">
            <v>Phương Thúy</v>
          </cell>
          <cell r="N236" t="str">
            <v>Tôn My Duy Linh</v>
          </cell>
          <cell r="O236">
            <v>0</v>
          </cell>
          <cell r="P236" t="str">
            <v>Bình Thạnh</v>
          </cell>
          <cell r="Q236" t="str">
            <v>Lê Mai</v>
          </cell>
          <cell r="R236" t="str">
            <v>Phương Thúy</v>
          </cell>
          <cell r="S236" t="str">
            <v>Tôn My Duy Linh</v>
          </cell>
          <cell r="T236" t="b">
            <v>0</v>
          </cell>
          <cell r="U236">
            <v>0</v>
          </cell>
          <cell r="V236" t="str">
            <v>PTTT 06c</v>
          </cell>
          <cell r="W236" t="str">
            <v>1 người</v>
          </cell>
          <cell r="X236" t="str">
            <v>TRẦN BÍCH PHƯỢNG</v>
          </cell>
        </row>
        <row r="237">
          <cell r="I237" t="str">
            <v>B2.06.16</v>
          </cell>
          <cell r="J237" t="str">
            <v>NGUYỄN TOÀN THẮNG</v>
          </cell>
          <cell r="K237" t="str">
            <v>Công ty</v>
          </cell>
          <cell r="L237" t="str">
            <v>Công ty</v>
          </cell>
          <cell r="M237" t="str">
            <v>Phương Thảo</v>
          </cell>
          <cell r="N237" t="str">
            <v>Phạm Thị Phương Thảo</v>
          </cell>
          <cell r="O237">
            <v>0</v>
          </cell>
          <cell r="P237" t="str">
            <v>Công ty</v>
          </cell>
          <cell r="Q237" t="str">
            <v>Công ty</v>
          </cell>
          <cell r="R237" t="str">
            <v>Phương Thảo</v>
          </cell>
          <cell r="S237" t="str">
            <v>Phạm Thị Phương Thảo</v>
          </cell>
          <cell r="T237" t="b">
            <v>0</v>
          </cell>
          <cell r="U237">
            <v>0</v>
          </cell>
          <cell r="V237" t="str">
            <v>PTTT 06c</v>
          </cell>
          <cell r="W237" t="str">
            <v>1 người</v>
          </cell>
          <cell r="X237" t="str">
            <v>NGUYỄN TOÀN THẮNG</v>
          </cell>
        </row>
        <row r="238">
          <cell r="I238" t="str">
            <v>B2.06.17</v>
          </cell>
          <cell r="J238" t="str">
            <v>???</v>
          </cell>
          <cell r="K238" t="str">
            <v>???</v>
          </cell>
          <cell r="L238" t="str">
            <v>???</v>
          </cell>
          <cell r="M238" t="str">
            <v>???</v>
          </cell>
          <cell r="N238" t="str">
            <v>???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 t="b">
            <v>1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</row>
        <row r="239">
          <cell r="I239" t="str">
            <v>B2.06.18</v>
          </cell>
          <cell r="J239" t="str">
            <v>NGUYỄN THANH TUẤN MINH</v>
          </cell>
          <cell r="K239" t="str">
            <v>Quận 3</v>
          </cell>
          <cell r="L239" t="str">
            <v>Thanh Tuấn</v>
          </cell>
          <cell r="M239" t="str">
            <v>Duy Nhật</v>
          </cell>
          <cell r="N239" t="str">
            <v>Tsằn Chiếu Ngàn</v>
          </cell>
          <cell r="O239" t="str">
            <v>NGUYỄN THANH TUẤN MINH</v>
          </cell>
          <cell r="P239" t="str">
            <v>Quận 3</v>
          </cell>
          <cell r="Q239" t="str">
            <v>Thanh Tuấn</v>
          </cell>
          <cell r="R239" t="str">
            <v>Duy Nhật</v>
          </cell>
          <cell r="S239" t="str">
            <v>Tsằn Chiếu Ngàn</v>
          </cell>
          <cell r="T239" t="b">
            <v>1</v>
          </cell>
          <cell r="U239">
            <v>0</v>
          </cell>
          <cell r="V239" t="str">
            <v>PTTT 04c</v>
          </cell>
          <cell r="W239" t="str">
            <v>1 người</v>
          </cell>
          <cell r="X239" t="str">
            <v>NGUYỄN THANH TUẤN MINH</v>
          </cell>
        </row>
        <row r="240">
          <cell r="I240" t="str">
            <v>B2.06.19</v>
          </cell>
          <cell r="J240" t="str">
            <v>???</v>
          </cell>
          <cell r="K240" t="str">
            <v>???</v>
          </cell>
          <cell r="L240" t="str">
            <v>???</v>
          </cell>
          <cell r="M240" t="str">
            <v>???</v>
          </cell>
          <cell r="N240" t="str">
            <v>???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 t="b">
            <v>1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</row>
        <row r="241">
          <cell r="I241" t="str">
            <v>B2.07.01</v>
          </cell>
          <cell r="J241" t="str">
            <v>ĐỒNG XUÂN CHƯƠNG</v>
          </cell>
          <cell r="K241" t="str">
            <v>Quận 3</v>
          </cell>
          <cell r="L241" t="str">
            <v>Văn Tùng</v>
          </cell>
          <cell r="M241" t="str">
            <v>Thiện Quý</v>
          </cell>
          <cell r="N241" t="str">
            <v>Trần Văn Vũ</v>
          </cell>
          <cell r="O241">
            <v>0</v>
          </cell>
          <cell r="P241" t="str">
            <v>Quận 3</v>
          </cell>
          <cell r="Q241" t="str">
            <v>Văn Tùng</v>
          </cell>
          <cell r="R241" t="str">
            <v>Thiện Quý</v>
          </cell>
          <cell r="S241" t="str">
            <v>Trần Văn Vũ</v>
          </cell>
          <cell r="T241" t="b">
            <v>0</v>
          </cell>
          <cell r="U241">
            <v>0</v>
          </cell>
          <cell r="V241" t="str">
            <v>PTTT 09c</v>
          </cell>
          <cell r="W241" t="str">
            <v>2 người</v>
          </cell>
          <cell r="X241" t="str">
            <v>ĐỒNG XUÂN CHƯƠNG</v>
          </cell>
        </row>
        <row r="242">
          <cell r="I242" t="str">
            <v>B2.07.02</v>
          </cell>
          <cell r="J242" t="str">
            <v>HUỲNH NHƯ PHƯƠNG</v>
          </cell>
          <cell r="K242" t="str">
            <v>Quận 3</v>
          </cell>
          <cell r="L242" t="str">
            <v>Kỳ Long</v>
          </cell>
          <cell r="M242" t="str">
            <v>Văn Tuyên</v>
          </cell>
          <cell r="N242" t="str">
            <v>Cao Văn Hậu</v>
          </cell>
          <cell r="O242">
            <v>0</v>
          </cell>
          <cell r="P242" t="str">
            <v>Quận 3</v>
          </cell>
          <cell r="Q242" t="str">
            <v>Kỳ Long</v>
          </cell>
          <cell r="R242" t="str">
            <v>Văn Tuyên</v>
          </cell>
          <cell r="S242" t="str">
            <v>Cao Văn Hậu</v>
          </cell>
          <cell r="T242" t="b">
            <v>0</v>
          </cell>
          <cell r="U242">
            <v>0</v>
          </cell>
          <cell r="V242" t="str">
            <v>PTTT 09c</v>
          </cell>
          <cell r="W242" t="str">
            <v>1 người</v>
          </cell>
          <cell r="X242" t="str">
            <v>HUỲNH NHƯ HƯƠNG CHÂU</v>
          </cell>
        </row>
        <row r="243">
          <cell r="I243" t="str">
            <v>B2.07.03</v>
          </cell>
          <cell r="J243" t="str">
            <v>NGUYỄN NGỌC QUẾ</v>
          </cell>
          <cell r="K243" t="str">
            <v>Quận 3</v>
          </cell>
          <cell r="L243" t="str">
            <v>Thế HIển</v>
          </cell>
          <cell r="M243" t="str">
            <v>Văn Tùng</v>
          </cell>
          <cell r="N243" t="str">
            <v>Lý Thanh Tân</v>
          </cell>
          <cell r="O243">
            <v>0</v>
          </cell>
          <cell r="P243" t="str">
            <v>Quận 3</v>
          </cell>
          <cell r="Q243" t="str">
            <v>Thế HIển</v>
          </cell>
          <cell r="R243" t="str">
            <v>Văn Tùng</v>
          </cell>
          <cell r="S243" t="str">
            <v>Lý Thanh Tân</v>
          </cell>
          <cell r="T243" t="b">
            <v>0</v>
          </cell>
          <cell r="U243">
            <v>0</v>
          </cell>
          <cell r="V243" t="str">
            <v>PTTT 09c</v>
          </cell>
          <cell r="W243" t="str">
            <v>1 người</v>
          </cell>
          <cell r="X243" t="str">
            <v>NGUYỄN NGỌC QUẾ</v>
          </cell>
        </row>
        <row r="244">
          <cell r="I244" t="str">
            <v>B2.07.04</v>
          </cell>
          <cell r="J244" t="str">
            <v>DƯƠNG THỊ DIỆU MY</v>
          </cell>
          <cell r="K244" t="str">
            <v>Bình Thạnh</v>
          </cell>
          <cell r="L244" t="str">
            <v>Ngọc Linh</v>
          </cell>
          <cell r="M244" t="str">
            <v>Quốc Tuấn</v>
          </cell>
          <cell r="N244" t="str">
            <v>Trần Hồng Quân</v>
          </cell>
          <cell r="O244">
            <v>0</v>
          </cell>
          <cell r="P244" t="str">
            <v>Bình Thạnh</v>
          </cell>
          <cell r="Q244" t="str">
            <v>Ngọc Linh</v>
          </cell>
          <cell r="R244" t="str">
            <v>Quốc Tuấn</v>
          </cell>
          <cell r="S244" t="str">
            <v>Trần Hồng Quân</v>
          </cell>
          <cell r="T244" t="b">
            <v>0</v>
          </cell>
          <cell r="U244">
            <v>0</v>
          </cell>
          <cell r="V244" t="str">
            <v>PTTT 09c</v>
          </cell>
          <cell r="W244" t="str">
            <v>1 người</v>
          </cell>
          <cell r="X244" t="str">
            <v>DƯƠNG THỊ DIỆU MY</v>
          </cell>
        </row>
        <row r="245">
          <cell r="I245" t="str">
            <v>B2.07.05</v>
          </cell>
          <cell r="J245" t="str">
            <v>HUỲNH NGỌC THẢO NGUYÊN</v>
          </cell>
          <cell r="K245" t="str">
            <v>Quận 3</v>
          </cell>
          <cell r="L245" t="str">
            <v>Kỳ Long</v>
          </cell>
          <cell r="M245" t="str">
            <v>Văn Tuyên</v>
          </cell>
          <cell r="N245" t="str">
            <v>Vũ Đình Đồng</v>
          </cell>
          <cell r="O245">
            <v>0</v>
          </cell>
          <cell r="P245" t="str">
            <v>Quận 3</v>
          </cell>
          <cell r="Q245" t="str">
            <v>Kỳ Long</v>
          </cell>
          <cell r="R245" t="str">
            <v>Văn Tuyên</v>
          </cell>
          <cell r="S245" t="str">
            <v>Vũ Đình Đồng</v>
          </cell>
          <cell r="T245" t="b">
            <v>0</v>
          </cell>
          <cell r="U245">
            <v>0</v>
          </cell>
          <cell r="V245" t="str">
            <v>PTTT 04c</v>
          </cell>
          <cell r="W245" t="str">
            <v>1 người</v>
          </cell>
          <cell r="X245" t="str">
            <v>HUỲNH NGỌC THẢO NGUYÊN</v>
          </cell>
        </row>
        <row r="246">
          <cell r="I246" t="str">
            <v>B2.07.06</v>
          </cell>
          <cell r="J246" t="str">
            <v>TRỊNH NGỌC TUYẾT</v>
          </cell>
          <cell r="K246" t="str">
            <v>Quận 3</v>
          </cell>
          <cell r="L246" t="str">
            <v>Thanh Tuấn</v>
          </cell>
          <cell r="M246" t="str">
            <v>Thanh Liêm</v>
          </cell>
          <cell r="N246" t="str">
            <v>Trần Quốc Việt</v>
          </cell>
          <cell r="O246">
            <v>0</v>
          </cell>
          <cell r="P246" t="str">
            <v>Quận 3</v>
          </cell>
          <cell r="Q246" t="str">
            <v>Thanh Tuấn</v>
          </cell>
          <cell r="R246" t="str">
            <v>Thanh Liêm</v>
          </cell>
          <cell r="S246" t="str">
            <v>Trần Quốc Việt</v>
          </cell>
          <cell r="T246" t="b">
            <v>0</v>
          </cell>
          <cell r="U246">
            <v>0</v>
          </cell>
          <cell r="V246" t="str">
            <v>PTTT 09c</v>
          </cell>
          <cell r="W246" t="str">
            <v>1 người</v>
          </cell>
          <cell r="X246" t="str">
            <v>TRỊNH NGỌC TUYẾT</v>
          </cell>
        </row>
        <row r="247">
          <cell r="I247" t="str">
            <v>B2.07.07</v>
          </cell>
          <cell r="J247" t="str">
            <v>PHẠM ĐỖ THÙY UYÊN</v>
          </cell>
          <cell r="K247" t="str">
            <v>Quận 3</v>
          </cell>
          <cell r="L247" t="str">
            <v>Văn Tùng</v>
          </cell>
          <cell r="M247" t="str">
            <v>Thiện Quý</v>
          </cell>
          <cell r="N247" t="str">
            <v>Trần Thị Kim Yên</v>
          </cell>
          <cell r="O247">
            <v>0</v>
          </cell>
          <cell r="P247" t="str">
            <v>Quận 3</v>
          </cell>
          <cell r="Q247" t="str">
            <v>Văn Tùng</v>
          </cell>
          <cell r="R247" t="str">
            <v>Thiện Quý</v>
          </cell>
          <cell r="S247">
            <v>0</v>
          </cell>
          <cell r="T247" t="b">
            <v>0</v>
          </cell>
          <cell r="U247">
            <v>0</v>
          </cell>
          <cell r="V247" t="str">
            <v>PTTT 09c</v>
          </cell>
          <cell r="W247" t="str">
            <v>1 người</v>
          </cell>
          <cell r="X247" t="str">
            <v>PHẠM ĐỖ THÙY UYÊN</v>
          </cell>
        </row>
        <row r="248">
          <cell r="I248" t="str">
            <v>B2.07.08</v>
          </cell>
          <cell r="J248" t="str">
            <v>BÙI VĂN CƯỜNG</v>
          </cell>
          <cell r="K248" t="str">
            <v>Quận 3</v>
          </cell>
          <cell r="L248" t="str">
            <v>Thế Hiển</v>
          </cell>
          <cell r="M248" t="str">
            <v>Văn Tùng</v>
          </cell>
          <cell r="N248" t="str">
            <v>Lý Thanh Tân</v>
          </cell>
          <cell r="O248" t="str">
            <v>BÙI VĂN CƯỜNG</v>
          </cell>
          <cell r="P248" t="str">
            <v>Quận 3</v>
          </cell>
          <cell r="Q248" t="str">
            <v>Thế Hiển</v>
          </cell>
          <cell r="R248" t="str">
            <v>Văn Tùng</v>
          </cell>
          <cell r="S248" t="str">
            <v>Lý Thanh Tân</v>
          </cell>
          <cell r="T248" t="b">
            <v>1</v>
          </cell>
          <cell r="U248">
            <v>0</v>
          </cell>
          <cell r="V248" t="str">
            <v>PTTT 04c</v>
          </cell>
          <cell r="W248" t="str">
            <v>1 người</v>
          </cell>
          <cell r="X248" t="str">
            <v>BÙI VĂN CƯỜNG</v>
          </cell>
        </row>
        <row r="249">
          <cell r="I249" t="str">
            <v>B2.07.09</v>
          </cell>
          <cell r="J249" t="str">
            <v>NGUYỄN ĐẠI TÀI</v>
          </cell>
          <cell r="K249" t="str">
            <v>Quận 3</v>
          </cell>
          <cell r="L249" t="str">
            <v>Thanh Tuấn</v>
          </cell>
          <cell r="M249" t="str">
            <v>Anh Tài</v>
          </cell>
          <cell r="N249" t="str">
            <v>Nguyễn Thu Thảo</v>
          </cell>
          <cell r="O249" t="str">
            <v>NGUYỄN ĐẠI TÀI</v>
          </cell>
          <cell r="P249" t="str">
            <v>Quận 3</v>
          </cell>
          <cell r="Q249" t="str">
            <v>Thanh Tuấn</v>
          </cell>
          <cell r="R249" t="str">
            <v>Anh Tài</v>
          </cell>
          <cell r="S249" t="str">
            <v>Nguyễn Thu Thảo</v>
          </cell>
          <cell r="T249" t="b">
            <v>1</v>
          </cell>
          <cell r="U249">
            <v>0</v>
          </cell>
          <cell r="V249" t="str">
            <v>PTTT 04c</v>
          </cell>
          <cell r="W249" t="str">
            <v>2 người</v>
          </cell>
          <cell r="X249" t="str">
            <v>NGUYỄN ĐẠI TÀI</v>
          </cell>
        </row>
        <row r="250">
          <cell r="I250" t="str">
            <v>B2.07.14</v>
          </cell>
          <cell r="J250" t="str">
            <v>LÊ AN HƯƠNG QUỲNH</v>
          </cell>
          <cell r="K250" t="str">
            <v>Quận 3</v>
          </cell>
          <cell r="L250" t="str">
            <v>Thanh Tuấn</v>
          </cell>
          <cell r="M250" t="str">
            <v>Duy Nhật</v>
          </cell>
          <cell r="N250" t="str">
            <v>Lê Thị Xuân Hạ</v>
          </cell>
          <cell r="O250">
            <v>0</v>
          </cell>
          <cell r="P250" t="str">
            <v>Quận 3</v>
          </cell>
          <cell r="Q250" t="str">
            <v>Thanh Tuấn</v>
          </cell>
          <cell r="R250" t="str">
            <v>Duy Nhật</v>
          </cell>
          <cell r="S250" t="str">
            <v>Lê Thị Xuân Hạ</v>
          </cell>
          <cell r="T250" t="b">
            <v>0</v>
          </cell>
          <cell r="U250">
            <v>0</v>
          </cell>
          <cell r="V250" t="str">
            <v>PTTT 04c</v>
          </cell>
          <cell r="W250" t="str">
            <v>2 người</v>
          </cell>
          <cell r="X250" t="str">
            <v>LÊ AN HƯƠNG QUỲNH</v>
          </cell>
        </row>
        <row r="251">
          <cell r="I251" t="str">
            <v>B2.07.20</v>
          </cell>
          <cell r="J251" t="str">
            <v>NGUYỄN LÊ HOÀI NAM</v>
          </cell>
          <cell r="K251" t="str">
            <v>Quận 3</v>
          </cell>
          <cell r="L251" t="str">
            <v>Kỳ Long</v>
          </cell>
          <cell r="M251" t="str">
            <v>Văn Tuyên</v>
          </cell>
          <cell r="N251" t="str">
            <v>Trần Thị Thùy Dung</v>
          </cell>
          <cell r="O251">
            <v>0</v>
          </cell>
          <cell r="P251" t="str">
            <v>Quận 3</v>
          </cell>
          <cell r="Q251" t="str">
            <v>Kỳ Long</v>
          </cell>
          <cell r="R251" t="str">
            <v>Văn Tuyên</v>
          </cell>
          <cell r="S251">
            <v>0</v>
          </cell>
          <cell r="T251" t="b">
            <v>0</v>
          </cell>
          <cell r="U251">
            <v>0</v>
          </cell>
          <cell r="V251" t="str">
            <v>PTTT 09c</v>
          </cell>
          <cell r="W251" t="str">
            <v>1 người</v>
          </cell>
          <cell r="X251" t="str">
            <v>NGUYỄN LÊ HOÀI NAM</v>
          </cell>
        </row>
        <row r="252">
          <cell r="I252" t="str">
            <v>B2.07.21</v>
          </cell>
          <cell r="J252" t="str">
            <v>TRỊNH THỊ KIM QUYÊN</v>
          </cell>
          <cell r="K252" t="str">
            <v>Bình Thạnh</v>
          </cell>
          <cell r="L252" t="str">
            <v>Thanh Hà</v>
          </cell>
          <cell r="M252" t="str">
            <v>Đức Đồng</v>
          </cell>
          <cell r="N252" t="str">
            <v>Trần Minh Phúc</v>
          </cell>
          <cell r="O252">
            <v>0</v>
          </cell>
          <cell r="P252" t="str">
            <v>Bình Thạnh</v>
          </cell>
          <cell r="Q252" t="str">
            <v>Thanh Hà</v>
          </cell>
          <cell r="R252" t="str">
            <v>Đức Đồng</v>
          </cell>
          <cell r="S252" t="str">
            <v>Trần Minh Phúc</v>
          </cell>
          <cell r="T252" t="b">
            <v>0</v>
          </cell>
          <cell r="U252">
            <v>0</v>
          </cell>
          <cell r="V252" t="str">
            <v>PTTT 09c</v>
          </cell>
          <cell r="W252" t="str">
            <v>1 người</v>
          </cell>
          <cell r="X252" t="str">
            <v>TRỊNH THỊ KIM QUYÊN</v>
          </cell>
        </row>
        <row r="253">
          <cell r="I253" t="str">
            <v>B2.07.22</v>
          </cell>
          <cell r="J253" t="str">
            <v>???</v>
          </cell>
          <cell r="K253" t="str">
            <v>???</v>
          </cell>
          <cell r="L253" t="str">
            <v>???</v>
          </cell>
          <cell r="M253" t="str">
            <v>???</v>
          </cell>
          <cell r="N253" t="str">
            <v>???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 t="b">
            <v>1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</row>
        <row r="254">
          <cell r="I254" t="str">
            <v>B2.08.01</v>
          </cell>
          <cell r="J254" t="str">
            <v>LƯƠNG CHÁNH KÍN</v>
          </cell>
          <cell r="K254" t="str">
            <v>Quận 3</v>
          </cell>
          <cell r="L254" t="str">
            <v>Thế Hiển</v>
          </cell>
          <cell r="M254" t="str">
            <v>Văn Tùng</v>
          </cell>
          <cell r="N254" t="str">
            <v>Trần Văn Quốc</v>
          </cell>
          <cell r="O254" t="str">
            <v>LƯƠNG CHÁNH KÍN</v>
          </cell>
          <cell r="P254" t="str">
            <v>Quận 3</v>
          </cell>
          <cell r="Q254" t="str">
            <v>Thế Hiển</v>
          </cell>
          <cell r="R254" t="str">
            <v>Văn Tùng</v>
          </cell>
          <cell r="S254" t="str">
            <v>Trần Văn Quốc</v>
          </cell>
          <cell r="T254" t="b">
            <v>1</v>
          </cell>
          <cell r="U254">
            <v>0</v>
          </cell>
          <cell r="V254" t="str">
            <v>PTTT 08c</v>
          </cell>
          <cell r="W254" t="str">
            <v>1 người</v>
          </cell>
          <cell r="X254" t="str">
            <v>LƯƠNG CHÁNH KÍN</v>
          </cell>
        </row>
        <row r="255">
          <cell r="I255" t="str">
            <v>B2.08.02</v>
          </cell>
          <cell r="J255" t="str">
            <v>TRẦN HUỲNH PHƯƠNG NAM</v>
          </cell>
          <cell r="K255" t="str">
            <v>Bình Thạnh</v>
          </cell>
          <cell r="L255" t="str">
            <v>Thanh Hà</v>
          </cell>
          <cell r="M255" t="str">
            <v>Đức Đồng</v>
          </cell>
          <cell r="N255" t="str">
            <v>Dương Nguyễn Hoài Thương</v>
          </cell>
          <cell r="O255">
            <v>0</v>
          </cell>
          <cell r="P255" t="str">
            <v>Bình Thạnh</v>
          </cell>
          <cell r="Q255" t="str">
            <v>Thanh Hà</v>
          </cell>
          <cell r="R255" t="str">
            <v>Đức Đồng</v>
          </cell>
          <cell r="S255" t="str">
            <v>Dương Nguyễn Hoài Thương</v>
          </cell>
          <cell r="T255" t="b">
            <v>0</v>
          </cell>
          <cell r="U255">
            <v>0</v>
          </cell>
          <cell r="V255" t="str">
            <v>PTTT 09c</v>
          </cell>
          <cell r="W255" t="str">
            <v>1 người</v>
          </cell>
          <cell r="X255" t="str">
            <v>TRẦN HUỲNH PHƯƠNG NAM</v>
          </cell>
        </row>
        <row r="256">
          <cell r="I256" t="str">
            <v>B2.08.03</v>
          </cell>
          <cell r="J256" t="str">
            <v>NGUYỄN TUẤN KHIÊM</v>
          </cell>
          <cell r="K256" t="str">
            <v>Quận 3</v>
          </cell>
          <cell r="L256" t="str">
            <v>Văn Tùng</v>
          </cell>
          <cell r="M256" t="str">
            <v>Trinh Trinh</v>
          </cell>
          <cell r="N256" t="str">
            <v>Nguyễn Sơn Trang</v>
          </cell>
          <cell r="O256">
            <v>0</v>
          </cell>
          <cell r="P256" t="str">
            <v>Quận 3</v>
          </cell>
          <cell r="Q256" t="str">
            <v>Văn Tùng</v>
          </cell>
          <cell r="R256" t="str">
            <v>Trinh Trinh</v>
          </cell>
          <cell r="S256" t="str">
            <v>Nguyễn Sơn Trang</v>
          </cell>
          <cell r="T256" t="b">
            <v>0</v>
          </cell>
          <cell r="U256">
            <v>0</v>
          </cell>
          <cell r="V256" t="str">
            <v>PTTT 09c</v>
          </cell>
          <cell r="W256" t="str">
            <v>1 người</v>
          </cell>
          <cell r="X256" t="str">
            <v>NGUYỄN TUẤN KHIÊM</v>
          </cell>
        </row>
        <row r="257">
          <cell r="I257" t="str">
            <v>B2.08.04</v>
          </cell>
          <cell r="J257" t="str">
            <v>VÕ ANH TUẤN</v>
          </cell>
          <cell r="K257" t="str">
            <v>Bình Thạnh</v>
          </cell>
          <cell r="L257" t="str">
            <v>Lê Mai</v>
          </cell>
          <cell r="M257" t="str">
            <v>Ly Ly</v>
          </cell>
          <cell r="N257" t="str">
            <v>Phạm Thị Mỹ Huyền</v>
          </cell>
          <cell r="O257">
            <v>0</v>
          </cell>
          <cell r="P257" t="str">
            <v>Bình Thạnh</v>
          </cell>
          <cell r="Q257" t="str">
            <v>Lê Mai</v>
          </cell>
          <cell r="R257" t="str">
            <v>Ly Ly</v>
          </cell>
          <cell r="S257" t="str">
            <v>Phạm Thị Mỹ Huyền</v>
          </cell>
          <cell r="T257" t="b">
            <v>0</v>
          </cell>
          <cell r="U257">
            <v>0</v>
          </cell>
          <cell r="V257" t="str">
            <v>PTTT 09c</v>
          </cell>
          <cell r="W257" t="str">
            <v>1 người</v>
          </cell>
          <cell r="X257" t="str">
            <v>VÕ ANH TUẤN</v>
          </cell>
        </row>
        <row r="258">
          <cell r="I258" t="str">
            <v>B2.08.05</v>
          </cell>
          <cell r="J258" t="str">
            <v>VÕ PHONG CƯỜNG</v>
          </cell>
          <cell r="K258" t="str">
            <v>Bình Thạnh</v>
          </cell>
          <cell r="L258" t="str">
            <v>Thanh Hà</v>
          </cell>
          <cell r="M258" t="str">
            <v>Đức Đồng</v>
          </cell>
          <cell r="N258" t="str">
            <v>Nguyễn Thành Văn</v>
          </cell>
          <cell r="O258" t="str">
            <v>VÕ PHONG CƯỜNG</v>
          </cell>
          <cell r="P258" t="str">
            <v>Bình Thạnh</v>
          </cell>
          <cell r="Q258" t="str">
            <v>Thanh Hà</v>
          </cell>
          <cell r="R258" t="str">
            <v>Đức Đồng</v>
          </cell>
          <cell r="S258" t="str">
            <v>Nguyễn Thành Văn</v>
          </cell>
          <cell r="T258" t="b">
            <v>1</v>
          </cell>
          <cell r="U258" t="str">
            <v>PTTT 04c</v>
          </cell>
          <cell r="V258" t="str">
            <v>PTTT 04c</v>
          </cell>
          <cell r="W258" t="str">
            <v>1 người</v>
          </cell>
          <cell r="X258" t="str">
            <v>VÕ PHONG CƯỜNG</v>
          </cell>
        </row>
        <row r="259">
          <cell r="I259" t="str">
            <v>B2.08.06</v>
          </cell>
          <cell r="J259" t="str">
            <v>TRỊNH THỊ HỒNG HÀ</v>
          </cell>
          <cell r="K259" t="str">
            <v>Bình Thạnh</v>
          </cell>
          <cell r="L259" t="str">
            <v>Ngọc Linh</v>
          </cell>
          <cell r="M259" t="str">
            <v>Đình Ban</v>
          </cell>
          <cell r="N259" t="str">
            <v>Nguyễn Tuyết Ngân</v>
          </cell>
          <cell r="O259">
            <v>0</v>
          </cell>
          <cell r="P259" t="str">
            <v>Bình Thạnh</v>
          </cell>
          <cell r="Q259" t="str">
            <v>Ngọc Linh</v>
          </cell>
          <cell r="R259" t="str">
            <v>Đình Ban</v>
          </cell>
          <cell r="S259" t="str">
            <v>Nguyễn Tuyết Ngân</v>
          </cell>
          <cell r="T259" t="b">
            <v>0</v>
          </cell>
          <cell r="U259">
            <v>0</v>
          </cell>
          <cell r="V259" t="str">
            <v>PTTT 09c</v>
          </cell>
          <cell r="W259" t="str">
            <v>1 người</v>
          </cell>
          <cell r="X259" t="str">
            <v>TRỊNH THỊ HỒNG THU</v>
          </cell>
        </row>
        <row r="260">
          <cell r="I260" t="str">
            <v>B2.08.07</v>
          </cell>
          <cell r="J260" t="str">
            <v>HOÀNG THỊ LỢI</v>
          </cell>
          <cell r="K260" t="str">
            <v>Bình Thạnh</v>
          </cell>
          <cell r="L260" t="str">
            <v>Ngọc Linh</v>
          </cell>
          <cell r="M260" t="str">
            <v>Quốc Tuấn</v>
          </cell>
          <cell r="N260" t="str">
            <v>Huỳnh Thị Thùy Trang</v>
          </cell>
          <cell r="O260">
            <v>0</v>
          </cell>
          <cell r="P260" t="str">
            <v>Bình Thạnh</v>
          </cell>
          <cell r="Q260" t="str">
            <v>Ngọc Linh</v>
          </cell>
          <cell r="R260" t="str">
            <v>Quốc Tuấn</v>
          </cell>
          <cell r="S260" t="str">
            <v>Huỳnh Thị Thùy Trang</v>
          </cell>
          <cell r="T260" t="b">
            <v>0</v>
          </cell>
          <cell r="U260">
            <v>0</v>
          </cell>
          <cell r="V260" t="str">
            <v>PTTT 09c</v>
          </cell>
          <cell r="W260" t="str">
            <v>1 người</v>
          </cell>
          <cell r="X260" t="str">
            <v>HOÀNG THỊ LỢI</v>
          </cell>
        </row>
        <row r="261">
          <cell r="I261" t="str">
            <v>B2.08.08</v>
          </cell>
          <cell r="J261" t="str">
            <v>LA THỊ KIM THOA</v>
          </cell>
          <cell r="K261" t="str">
            <v>Bình Thạnh</v>
          </cell>
          <cell r="L261" t="str">
            <v>Ngọc Linh</v>
          </cell>
          <cell r="M261" t="str">
            <v>Quốc Tuấn</v>
          </cell>
          <cell r="N261" t="str">
            <v>La Thị Kim Thoa</v>
          </cell>
          <cell r="O261" t="str">
            <v>CAO PHƯƠNG THẢO</v>
          </cell>
          <cell r="P261" t="str">
            <v>Bình Thạnh</v>
          </cell>
          <cell r="Q261" t="str">
            <v>Ngọc Linh</v>
          </cell>
          <cell r="R261" t="str">
            <v>Quốc Tuấn</v>
          </cell>
          <cell r="S261" t="str">
            <v>La Thị Kim Thoa</v>
          </cell>
          <cell r="T261" t="b">
            <v>1</v>
          </cell>
          <cell r="U261" t="str">
            <v>PTTT 04c</v>
          </cell>
          <cell r="V261" t="str">
            <v>PTTT 04c</v>
          </cell>
          <cell r="W261" t="str">
            <v>1 người</v>
          </cell>
          <cell r="X261" t="str">
            <v>CAO PHƯƠNG THẢO</v>
          </cell>
        </row>
        <row r="262">
          <cell r="I262" t="str">
            <v>B2.08.09</v>
          </cell>
          <cell r="J262" t="str">
            <v>TRẦN QUANG DŨNG</v>
          </cell>
          <cell r="K262" t="str">
            <v>Quận 3</v>
          </cell>
          <cell r="L262" t="str">
            <v>Thanh Tuấn</v>
          </cell>
          <cell r="M262" t="str">
            <v>Anh Tài</v>
          </cell>
          <cell r="N262" t="str">
            <v>Nguyễn Thu Thảo</v>
          </cell>
          <cell r="O262" t="str">
            <v>TRẦN QUANG DŨNG</v>
          </cell>
          <cell r="P262" t="str">
            <v>Quận 3</v>
          </cell>
          <cell r="Q262" t="str">
            <v>Thanh Tuấn</v>
          </cell>
          <cell r="R262" t="str">
            <v>Anh Tài</v>
          </cell>
          <cell r="S262" t="str">
            <v>Nguyễn Thu Thảo</v>
          </cell>
          <cell r="T262" t="b">
            <v>1</v>
          </cell>
          <cell r="U262" t="str">
            <v>PTTT 04c</v>
          </cell>
          <cell r="V262" t="str">
            <v>PTTT 04c</v>
          </cell>
          <cell r="W262" t="str">
            <v>1 người</v>
          </cell>
          <cell r="X262" t="str">
            <v>TRẦN QUANG DŨNG</v>
          </cell>
        </row>
        <row r="263">
          <cell r="I263" t="str">
            <v>B2.08.10</v>
          </cell>
          <cell r="J263" t="str">
            <v>KIỀU THỊ PHƯƠNG TÂM</v>
          </cell>
          <cell r="K263" t="str">
            <v>Quận 3</v>
          </cell>
          <cell r="L263" t="str">
            <v>Kỳ Long</v>
          </cell>
          <cell r="M263" t="str">
            <v>Văn Tuyên</v>
          </cell>
          <cell r="N263" t="str">
            <v>Lê Hồng Phát</v>
          </cell>
          <cell r="O263" t="str">
            <v>KIỀU THỊ PHƯƠNG TÂM</v>
          </cell>
          <cell r="P263" t="str">
            <v>Quận 3</v>
          </cell>
          <cell r="Q263" t="str">
            <v>Kỳ Long</v>
          </cell>
          <cell r="R263" t="str">
            <v>Văn Tuyên</v>
          </cell>
          <cell r="S263" t="str">
            <v>Lê Hồng Phát</v>
          </cell>
          <cell r="T263" t="b">
            <v>1</v>
          </cell>
          <cell r="U263" t="str">
            <v>PTTT 06c</v>
          </cell>
          <cell r="V263" t="str">
            <v>PTTT 06c</v>
          </cell>
          <cell r="W263" t="str">
            <v>2 người</v>
          </cell>
          <cell r="X263" t="str">
            <v>KIỀU THỊ PHƯƠNG TÂM</v>
          </cell>
        </row>
        <row r="264">
          <cell r="I264" t="str">
            <v>B2.08.11</v>
          </cell>
          <cell r="J264" t="str">
            <v>LÊ THỊ THU HƯƠNG</v>
          </cell>
          <cell r="K264" t="str">
            <v>Bình Thạnh</v>
          </cell>
          <cell r="L264" t="str">
            <v>Thanh Hà</v>
          </cell>
          <cell r="M264" t="str">
            <v>Như Ngọc</v>
          </cell>
          <cell r="N264" t="str">
            <v>Đỗ Đức Đạt</v>
          </cell>
          <cell r="O264" t="str">
            <v>LÊ THỊ THU HƯƠNG</v>
          </cell>
          <cell r="P264" t="str">
            <v>Bình Thạnh</v>
          </cell>
          <cell r="Q264" t="str">
            <v>Thanh Hà</v>
          </cell>
          <cell r="R264" t="str">
            <v>Như Ngọc</v>
          </cell>
          <cell r="S264" t="str">
            <v>Đỗ Đức Đạt</v>
          </cell>
          <cell r="T264" t="b">
            <v>1</v>
          </cell>
          <cell r="U264" t="str">
            <v>PTTT 04c</v>
          </cell>
          <cell r="V264" t="str">
            <v>PTTT 04c</v>
          </cell>
          <cell r="W264" t="str">
            <v>1 người</v>
          </cell>
          <cell r="X264" t="str">
            <v>LÊ THỊ THU HƯƠNG</v>
          </cell>
        </row>
        <row r="265">
          <cell r="I265" t="str">
            <v>B2.08.12</v>
          </cell>
          <cell r="J265" t="str">
            <v>NGUYỄN THỊ KIM HƯƠNG</v>
          </cell>
          <cell r="K265" t="str">
            <v>Quận 3</v>
          </cell>
          <cell r="L265" t="str">
            <v>Thanh Tuấn</v>
          </cell>
          <cell r="M265" t="str">
            <v>Thanh Liêm</v>
          </cell>
          <cell r="N265" t="str">
            <v>Phạm Thị Thanh Thúy</v>
          </cell>
          <cell r="O265" t="str">
            <v>NGUYỄN THỊ KIM HƯƠNG</v>
          </cell>
          <cell r="P265" t="str">
            <v>Quận 3</v>
          </cell>
          <cell r="Q265" t="str">
            <v>Thanh Tuấn</v>
          </cell>
          <cell r="R265" t="str">
            <v>Thanh Liêm</v>
          </cell>
          <cell r="S265" t="str">
            <v>Phạm Thị Thanh Thúy</v>
          </cell>
          <cell r="T265" t="b">
            <v>1</v>
          </cell>
          <cell r="U265" t="str">
            <v>PTTT 04c</v>
          </cell>
          <cell r="V265" t="str">
            <v>PTTT 04c</v>
          </cell>
          <cell r="W265" t="str">
            <v>1 người</v>
          </cell>
          <cell r="X265" t="str">
            <v>NGUYỄN THỊ KIM HƯƠNG</v>
          </cell>
        </row>
        <row r="266">
          <cell r="I266" t="str">
            <v>B2.08.13</v>
          </cell>
          <cell r="J266" t="str">
            <v>PHẠM THỊ NGỌC HƠN</v>
          </cell>
          <cell r="K266" t="str">
            <v>Bình Thạnh</v>
          </cell>
          <cell r="L266" t="str">
            <v>Thanh Hà</v>
          </cell>
          <cell r="M266" t="str">
            <v>Đức Đồng</v>
          </cell>
          <cell r="N266" t="str">
            <v>Trần Thị Minh Giang</v>
          </cell>
          <cell r="O266" t="str">
            <v>PHẠM THỊ NGỌC HƠN</v>
          </cell>
          <cell r="P266" t="str">
            <v>Bình Thạnh</v>
          </cell>
          <cell r="Q266" t="str">
            <v>Thanh Hà</v>
          </cell>
          <cell r="R266" t="str">
            <v>Đức Đồng</v>
          </cell>
          <cell r="S266" t="str">
            <v>Trần Thị Minh Giang</v>
          </cell>
          <cell r="T266" t="b">
            <v>1</v>
          </cell>
          <cell r="U266" t="str">
            <v>PTTT 06c</v>
          </cell>
          <cell r="V266" t="str">
            <v>PTTT 04c</v>
          </cell>
          <cell r="W266" t="str">
            <v>2 người</v>
          </cell>
          <cell r="X266" t="str">
            <v>PHẠM THỊ NGỌC HƠN</v>
          </cell>
        </row>
        <row r="267">
          <cell r="I267" t="str">
            <v>B2.08.14</v>
          </cell>
          <cell r="J267" t="str">
            <v>NGUYỄN THỊ KIM PHƯỢNG</v>
          </cell>
          <cell r="K267" t="str">
            <v>Quận 3</v>
          </cell>
          <cell r="L267" t="str">
            <v>Thế Hiển</v>
          </cell>
          <cell r="M267" t="str">
            <v>Văn Tùng</v>
          </cell>
          <cell r="N267" t="str">
            <v>Bùi Thanh Tân</v>
          </cell>
          <cell r="O267">
            <v>0</v>
          </cell>
          <cell r="P267" t="str">
            <v>Quận 3</v>
          </cell>
          <cell r="Q267" t="str">
            <v>Văn Tùng</v>
          </cell>
          <cell r="R267" t="str">
            <v>Văn Tùng</v>
          </cell>
          <cell r="S267" t="str">
            <v>Bùi Thanh Tân</v>
          </cell>
          <cell r="T267" t="b">
            <v>0</v>
          </cell>
          <cell r="U267">
            <v>0</v>
          </cell>
          <cell r="V267" t="str">
            <v>PTTT 09c</v>
          </cell>
          <cell r="W267" t="str">
            <v>1 người</v>
          </cell>
          <cell r="X267" t="str">
            <v>NGUYỄN THỊ KIM PHƯỢNG</v>
          </cell>
        </row>
        <row r="268">
          <cell r="I268" t="str">
            <v>B2.08.15</v>
          </cell>
          <cell r="J268" t="str">
            <v>LÊ HOÀNG CẨM THY</v>
          </cell>
          <cell r="K268" t="str">
            <v>Bình Thạnh</v>
          </cell>
          <cell r="L268" t="str">
            <v>Lê Mai</v>
          </cell>
          <cell r="M268" t="str">
            <v>Phương Thúy</v>
          </cell>
          <cell r="N268" t="str">
            <v>Trần Trọng Hùng</v>
          </cell>
          <cell r="O268" t="str">
            <v>LÊ HOÀNG CẨM THY</v>
          </cell>
          <cell r="P268" t="str">
            <v>Bình Thạnh</v>
          </cell>
          <cell r="Q268" t="str">
            <v>Lê Mai</v>
          </cell>
          <cell r="R268" t="str">
            <v>Phương Thúy</v>
          </cell>
          <cell r="S268" t="str">
            <v>Trần Trọng Hùng</v>
          </cell>
          <cell r="T268" t="b">
            <v>1</v>
          </cell>
          <cell r="U268" t="str">
            <v>PTTT 04c</v>
          </cell>
          <cell r="V268" t="str">
            <v>PTTT 04c</v>
          </cell>
          <cell r="W268" t="str">
            <v>2 người</v>
          </cell>
          <cell r="X268" t="str">
            <v>LÊ HOÀNG CẨM THY</v>
          </cell>
        </row>
        <row r="269">
          <cell r="I269" t="str">
            <v>B2.08.16</v>
          </cell>
          <cell r="J269" t="str">
            <v>HUỲNH THỊ THU TRANG</v>
          </cell>
          <cell r="K269" t="str">
            <v>Quận 3</v>
          </cell>
          <cell r="L269" t="str">
            <v>Thanh Tuấn</v>
          </cell>
          <cell r="M269" t="str">
            <v>Duy Nhật</v>
          </cell>
          <cell r="N269" t="str">
            <v>Đậu Huy Hoàng</v>
          </cell>
          <cell r="O269" t="str">
            <v>HUỲNH THỊ THU TRANG</v>
          </cell>
          <cell r="P269" t="str">
            <v>Quận 3</v>
          </cell>
          <cell r="Q269" t="str">
            <v>Thanh Tuấn</v>
          </cell>
          <cell r="R269" t="str">
            <v>Duy Nhật</v>
          </cell>
          <cell r="S269" t="str">
            <v>Đậu Huy Hoàng</v>
          </cell>
          <cell r="T269" t="b">
            <v>1</v>
          </cell>
          <cell r="U269" t="str">
            <v>PTTT 04c</v>
          </cell>
          <cell r="V269" t="str">
            <v>PTTT 04c</v>
          </cell>
          <cell r="W269" t="str">
            <v>1 người</v>
          </cell>
          <cell r="X269" t="str">
            <v>HUỲNH THỊ THU TRANG</v>
          </cell>
        </row>
        <row r="270">
          <cell r="I270" t="str">
            <v>B2.08.17</v>
          </cell>
          <cell r="J270" t="str">
            <v>NGUYỄN DIỄM EM</v>
          </cell>
          <cell r="K270" t="str">
            <v>Bình Thạnh</v>
          </cell>
          <cell r="L270" t="str">
            <v>Ngọc Linh</v>
          </cell>
          <cell r="M270" t="str">
            <v>Đình Ban</v>
          </cell>
          <cell r="N270" t="str">
            <v>Phan Thị Ngọc Hiếu</v>
          </cell>
          <cell r="O270">
            <v>0</v>
          </cell>
          <cell r="P270" t="str">
            <v>Bình Thạnh</v>
          </cell>
          <cell r="Q270" t="str">
            <v>Ngọc Linh</v>
          </cell>
          <cell r="R270" t="str">
            <v>Đình Ban</v>
          </cell>
          <cell r="S270" t="str">
            <v>Phan Thị Ngọc Hiếu</v>
          </cell>
          <cell r="T270" t="b">
            <v>0</v>
          </cell>
          <cell r="U270">
            <v>0</v>
          </cell>
          <cell r="V270" t="str">
            <v>PTTT 09c</v>
          </cell>
          <cell r="W270" t="str">
            <v>1 người</v>
          </cell>
          <cell r="X270" t="str">
            <v>NGUYỄN DIỄM EM</v>
          </cell>
        </row>
        <row r="271">
          <cell r="I271" t="str">
            <v>B2.08.18</v>
          </cell>
          <cell r="J271" t="str">
            <v>NGUYỄN THOẠI LINH</v>
          </cell>
          <cell r="K271" t="str">
            <v>Bình Thạnh</v>
          </cell>
          <cell r="L271" t="str">
            <v>Ngọc Linh</v>
          </cell>
          <cell r="M271" t="str">
            <v>Đình Ban</v>
          </cell>
          <cell r="N271" t="str">
            <v>Nguyễn Tuyết Ngân</v>
          </cell>
          <cell r="O271" t="str">
            <v>NGUYỄN THOẠI LINH</v>
          </cell>
          <cell r="P271" t="str">
            <v>Bình Thạnh</v>
          </cell>
          <cell r="Q271" t="str">
            <v>Ngọc Linh</v>
          </cell>
          <cell r="R271" t="str">
            <v>Đình Ban</v>
          </cell>
          <cell r="S271" t="str">
            <v>Nguyễn Tuyết Ngân</v>
          </cell>
          <cell r="T271" t="b">
            <v>1</v>
          </cell>
          <cell r="U271">
            <v>0</v>
          </cell>
          <cell r="V271" t="str">
            <v>PTTT 04c</v>
          </cell>
          <cell r="W271" t="str">
            <v>1 người</v>
          </cell>
          <cell r="X271" t="str">
            <v>NGUYỄN THOẠI LINH</v>
          </cell>
        </row>
        <row r="272">
          <cell r="I272" t="str">
            <v>B2.08.19</v>
          </cell>
          <cell r="J272" t="str">
            <v>VÕ VĂN TUẤN</v>
          </cell>
          <cell r="K272" t="str">
            <v>Bình Thạnh</v>
          </cell>
          <cell r="L272" t="str">
            <v>Ngọc Linh</v>
          </cell>
          <cell r="M272" t="str">
            <v>Phạm Vĩ</v>
          </cell>
          <cell r="N272" t="str">
            <v>Lê Văn Thông</v>
          </cell>
          <cell r="O272">
            <v>0</v>
          </cell>
          <cell r="P272" t="str">
            <v>Bình Thạnh</v>
          </cell>
          <cell r="Q272" t="str">
            <v>Ngọc Linh</v>
          </cell>
          <cell r="R272" t="str">
            <v>Phạm Vĩ</v>
          </cell>
          <cell r="S272" t="str">
            <v>Lê Văn Thông</v>
          </cell>
          <cell r="T272" t="b">
            <v>0</v>
          </cell>
          <cell r="U272">
            <v>0</v>
          </cell>
          <cell r="V272" t="str">
            <v>PTTT 04c</v>
          </cell>
          <cell r="W272" t="str">
            <v>2 người</v>
          </cell>
          <cell r="X272" t="str">
            <v>VÕ VĂN TUẤN</v>
          </cell>
        </row>
        <row r="273">
          <cell r="I273" t="str">
            <v>B2.08.20</v>
          </cell>
          <cell r="J273" t="str">
            <v>VŨ VĂN UYNH</v>
          </cell>
          <cell r="K273" t="str">
            <v>Bình Thạnh</v>
          </cell>
          <cell r="L273" t="str">
            <v>Ngọc Linh</v>
          </cell>
          <cell r="M273" t="str">
            <v>Phạm Vĩ</v>
          </cell>
          <cell r="N273" t="str">
            <v>Lê Văn Thông</v>
          </cell>
          <cell r="O273" t="str">
            <v>NGUYỄN THÀNH LONG</v>
          </cell>
          <cell r="P273" t="str">
            <v>Bình Thạnh</v>
          </cell>
          <cell r="Q273" t="str">
            <v>Ngọc Linh</v>
          </cell>
          <cell r="R273" t="str">
            <v>Phạm Vĩ</v>
          </cell>
          <cell r="S273" t="str">
            <v>Lê Văn Thông</v>
          </cell>
          <cell r="T273" t="b">
            <v>0</v>
          </cell>
          <cell r="U273">
            <v>0</v>
          </cell>
          <cell r="V273" t="str">
            <v>PTTT 09c</v>
          </cell>
          <cell r="W273" t="str">
            <v>1 người</v>
          </cell>
          <cell r="X273" t="str">
            <v>VŨ VĂN UYNH</v>
          </cell>
        </row>
        <row r="274">
          <cell r="I274" t="str">
            <v>B2.08.21</v>
          </cell>
          <cell r="J274" t="str">
            <v>DƯƠNG THỊ TIẾN</v>
          </cell>
          <cell r="K274" t="str">
            <v>Bình Thạnh</v>
          </cell>
          <cell r="L274" t="str">
            <v>Lê Mai</v>
          </cell>
          <cell r="M274" t="str">
            <v>Ly Ly</v>
          </cell>
          <cell r="N274" t="str">
            <v>Đặng Trung Nhân</v>
          </cell>
          <cell r="O274" t="str">
            <v>DƯƠNG THỊ TIẾN</v>
          </cell>
          <cell r="P274" t="str">
            <v>Bình Thạnh</v>
          </cell>
          <cell r="Q274" t="str">
            <v>Lê Mai</v>
          </cell>
          <cell r="R274" t="str">
            <v>Ly Ly</v>
          </cell>
          <cell r="S274" t="str">
            <v>Đặng Trung Nhân</v>
          </cell>
          <cell r="T274" t="b">
            <v>1</v>
          </cell>
          <cell r="U274" t="str">
            <v>PTTT 04c</v>
          </cell>
          <cell r="V274" t="str">
            <v>PTTT 04c</v>
          </cell>
          <cell r="W274" t="str">
            <v>1 người</v>
          </cell>
          <cell r="X274" t="str">
            <v>DƯƠNG THỊ TIẾN</v>
          </cell>
        </row>
        <row r="275">
          <cell r="I275" t="str">
            <v>B2.08.22</v>
          </cell>
          <cell r="J275" t="str">
            <v>DƯƠNG HẢI PHONG</v>
          </cell>
          <cell r="K275" t="str">
            <v>Bình Thạnh</v>
          </cell>
          <cell r="L275" t="str">
            <v>Lê Mai</v>
          </cell>
          <cell r="M275" t="str">
            <v>Phương Thúy</v>
          </cell>
          <cell r="N275" t="str">
            <v>Lê Thị Duyên</v>
          </cell>
          <cell r="O275">
            <v>0</v>
          </cell>
          <cell r="P275" t="str">
            <v>Bình Thạnh</v>
          </cell>
          <cell r="Q275" t="str">
            <v>Lê Mai</v>
          </cell>
          <cell r="R275" t="str">
            <v>Phương Thúy</v>
          </cell>
          <cell r="S275" t="str">
            <v>Lê Thị Duyên</v>
          </cell>
          <cell r="T275" t="b">
            <v>0</v>
          </cell>
          <cell r="U275">
            <v>0</v>
          </cell>
          <cell r="V275" t="str">
            <v>PTTT 09c</v>
          </cell>
          <cell r="W275" t="str">
            <v>1 người</v>
          </cell>
          <cell r="X275" t="str">
            <v>DƯƠNG HẢI PHONG</v>
          </cell>
        </row>
        <row r="276">
          <cell r="I276" t="str">
            <v>B2.10.01</v>
          </cell>
          <cell r="J276" t="str">
            <v>VŨ THÚY HẰNG</v>
          </cell>
          <cell r="K276" t="str">
            <v>Huỳnh Châu</v>
          </cell>
          <cell r="L276" t="str">
            <v>Văn Lực</v>
          </cell>
          <cell r="M276" t="str">
            <v>Thắng Đinh</v>
          </cell>
          <cell r="N276" t="str">
            <v>Đinh Văn Thắng</v>
          </cell>
          <cell r="O276">
            <v>0</v>
          </cell>
          <cell r="P276" t="str">
            <v>Huỳnh Châu</v>
          </cell>
          <cell r="Q276" t="str">
            <v>Văn Lực</v>
          </cell>
          <cell r="R276" t="str">
            <v>Thắng Đinh</v>
          </cell>
          <cell r="S276" t="str">
            <v>Đinh Văn Thắng</v>
          </cell>
          <cell r="T276" t="b">
            <v>0</v>
          </cell>
          <cell r="U276">
            <v>0</v>
          </cell>
          <cell r="V276" t="str">
            <v>PTTT 05c</v>
          </cell>
          <cell r="W276" t="str">
            <v>2 người</v>
          </cell>
          <cell r="X276" t="str">
            <v>VŨ DUY XUÂN</v>
          </cell>
        </row>
        <row r="277">
          <cell r="I277" t="str">
            <v>B2.10.03</v>
          </cell>
          <cell r="J277" t="str">
            <v>TRẦN THỊ THU HƯƠNG</v>
          </cell>
          <cell r="K277" t="str">
            <v>Bình Thạnh</v>
          </cell>
          <cell r="L277" t="str">
            <v>Ngọc Linh</v>
          </cell>
          <cell r="M277" t="str">
            <v>Lưu Thông</v>
          </cell>
          <cell r="N277" t="str">
            <v>Trần Hồng Quân</v>
          </cell>
          <cell r="O277" t="str">
            <v>TRẦN THỊ THU HƯƠNG</v>
          </cell>
          <cell r="P277" t="str">
            <v>Bình Thạnh</v>
          </cell>
          <cell r="Q277" t="str">
            <v>Ngọc Linh</v>
          </cell>
          <cell r="R277" t="str">
            <v>Lưu Thông</v>
          </cell>
          <cell r="S277" t="str">
            <v>Trần Hồng Quân</v>
          </cell>
          <cell r="T277" t="b">
            <v>1</v>
          </cell>
          <cell r="U277" t="str">
            <v>PTTT 04c</v>
          </cell>
          <cell r="V277" t="str">
            <v>PTTT 04c</v>
          </cell>
          <cell r="W277" t="str">
            <v>1 người</v>
          </cell>
          <cell r="X277" t="str">
            <v>TRẦN THỊ THU HƯƠNG</v>
          </cell>
        </row>
        <row r="278">
          <cell r="I278" t="str">
            <v>B2.10.04</v>
          </cell>
          <cell r="J278" t="str">
            <v>THÁI THỊ BẢO YẾN</v>
          </cell>
          <cell r="K278" t="str">
            <v>Quận 3</v>
          </cell>
          <cell r="L278" t="str">
            <v>Thanh Tuấn</v>
          </cell>
          <cell r="M278" t="str">
            <v>Tuấn Vương</v>
          </cell>
          <cell r="N278" t="str">
            <v>Huỳnh Thị Hoài Duyên</v>
          </cell>
          <cell r="O278">
            <v>0</v>
          </cell>
          <cell r="P278" t="str">
            <v>Quận 3</v>
          </cell>
          <cell r="Q278" t="str">
            <v>Thanh Tuấn</v>
          </cell>
          <cell r="R278" t="str">
            <v>Tuấn Vương</v>
          </cell>
          <cell r="S278" t="str">
            <v>Huỳnh Thị Hoài Duyên</v>
          </cell>
          <cell r="T278" t="b">
            <v>0</v>
          </cell>
          <cell r="U278">
            <v>0</v>
          </cell>
          <cell r="V278" t="str">
            <v>PTTT 09c</v>
          </cell>
          <cell r="W278" t="str">
            <v>1 người</v>
          </cell>
          <cell r="X278" t="str">
            <v>TRƯƠNG VĂN DŨNG</v>
          </cell>
        </row>
        <row r="279">
          <cell r="I279" t="str">
            <v>B2.10.05</v>
          </cell>
          <cell r="J279" t="str">
            <v>TRỊNH MINH THIỆN</v>
          </cell>
          <cell r="K279" t="str">
            <v>Bình Thạnh</v>
          </cell>
          <cell r="L279" t="str">
            <v>Ngọc Linh</v>
          </cell>
          <cell r="M279" t="str">
            <v>Đình Ban</v>
          </cell>
          <cell r="N279" t="str">
            <v>Lê Thị Bích Tiên</v>
          </cell>
          <cell r="O279" t="str">
            <v>TRỊNH MINH THIỆN</v>
          </cell>
          <cell r="P279" t="str">
            <v>Bình Thạnh</v>
          </cell>
          <cell r="Q279" t="str">
            <v>Ngọc Linh</v>
          </cell>
          <cell r="R279" t="str">
            <v>Đình Ban</v>
          </cell>
          <cell r="S279" t="str">
            <v>Lê Thị Bích Tiên</v>
          </cell>
          <cell r="T279" t="b">
            <v>1</v>
          </cell>
          <cell r="U279" t="str">
            <v>PTTT 04c</v>
          </cell>
          <cell r="V279" t="str">
            <v>PTTT 04c</v>
          </cell>
          <cell r="W279" t="str">
            <v>1 người</v>
          </cell>
          <cell r="X279" t="str">
            <v>TRỊNH MINH THIỆN</v>
          </cell>
        </row>
        <row r="280">
          <cell r="I280" t="str">
            <v>B2.10.06</v>
          </cell>
          <cell r="J280" t="str">
            <v>NGUYỄN HOÀNG</v>
          </cell>
          <cell r="K280" t="str">
            <v>Bình Thạnh</v>
          </cell>
          <cell r="L280" t="str">
            <v>Lê Mai</v>
          </cell>
          <cell r="M280" t="str">
            <v>Phương Thúy</v>
          </cell>
          <cell r="N280" t="str">
            <v>Nguyễn Phương Quỳnh</v>
          </cell>
          <cell r="O280">
            <v>0</v>
          </cell>
          <cell r="P280" t="str">
            <v>Bình Thạnh</v>
          </cell>
          <cell r="Q280" t="str">
            <v>Lê Mai</v>
          </cell>
          <cell r="R280" t="str">
            <v>Phương Thúy</v>
          </cell>
          <cell r="S280" t="str">
            <v>Nguyễn Phương Quỳnh</v>
          </cell>
          <cell r="T280" t="b">
            <v>0</v>
          </cell>
          <cell r="U280">
            <v>0</v>
          </cell>
          <cell r="V280" t="str">
            <v>PTTT 09c</v>
          </cell>
          <cell r="W280" t="str">
            <v>1 người</v>
          </cell>
          <cell r="X280" t="str">
            <v>NGUYỄN HOÀNG</v>
          </cell>
        </row>
        <row r="281">
          <cell r="I281" t="str">
            <v>B2.10.07</v>
          </cell>
          <cell r="J281" t="str">
            <v>TRẦN THỊ UYÊN THY</v>
          </cell>
          <cell r="K281" t="str">
            <v>Quận 3</v>
          </cell>
          <cell r="L281" t="str">
            <v>Văn Tùng</v>
          </cell>
          <cell r="M281" t="str">
            <v>Thiện Quý</v>
          </cell>
          <cell r="N281" t="str">
            <v>Trần Thị Kim Yên</v>
          </cell>
          <cell r="O281">
            <v>0</v>
          </cell>
          <cell r="P281" t="str">
            <v>Quận 3</v>
          </cell>
          <cell r="Q281" t="str">
            <v>Văn Tùng</v>
          </cell>
          <cell r="R281" t="str">
            <v>Thiện Quý</v>
          </cell>
          <cell r="S281" t="str">
            <v>Trần Thị Kim Yên</v>
          </cell>
          <cell r="T281" t="b">
            <v>0</v>
          </cell>
          <cell r="U281">
            <v>0</v>
          </cell>
          <cell r="V281" t="str">
            <v>PTTT 09c</v>
          </cell>
          <cell r="W281" t="str">
            <v>1 người</v>
          </cell>
          <cell r="X281" t="str">
            <v>TRẦN THỊ UYÊN THY</v>
          </cell>
        </row>
        <row r="282">
          <cell r="I282" t="str">
            <v>B2.10.08</v>
          </cell>
          <cell r="J282" t="str">
            <v>NGUYỄN ĐỨC LỘC</v>
          </cell>
          <cell r="K282" t="str">
            <v>Bình Thạnh</v>
          </cell>
          <cell r="L282" t="str">
            <v>Thanh Hà</v>
          </cell>
          <cell r="M282" t="str">
            <v>Đức Đồng</v>
          </cell>
          <cell r="N282" t="str">
            <v>Nguyễn Ngọc Anh Thư</v>
          </cell>
          <cell r="O282" t="str">
            <v>NGUYỄN ĐỨC LỘC</v>
          </cell>
          <cell r="P282" t="str">
            <v>Bình Thạnh</v>
          </cell>
          <cell r="Q282" t="str">
            <v>Thanh Hà</v>
          </cell>
          <cell r="R282" t="str">
            <v>Đức Đồng</v>
          </cell>
          <cell r="S282" t="str">
            <v>Nguyễn Ngọc Anh Thư</v>
          </cell>
          <cell r="T282" t="b">
            <v>1</v>
          </cell>
          <cell r="U282" t="str">
            <v>PTTT 06c</v>
          </cell>
          <cell r="V282" t="str">
            <v>PTTT 04c</v>
          </cell>
          <cell r="W282" t="str">
            <v>1 người</v>
          </cell>
          <cell r="X282" t="str">
            <v>NGUYỄN ĐỨC LỘC</v>
          </cell>
        </row>
        <row r="283">
          <cell r="I283" t="str">
            <v>B2.10.09</v>
          </cell>
          <cell r="J283" t="str">
            <v>LÊ HOÀNG CẨM THY</v>
          </cell>
          <cell r="K283" t="str">
            <v>Bình Thạnh</v>
          </cell>
          <cell r="L283" t="str">
            <v>Lê Mai</v>
          </cell>
          <cell r="M283" t="str">
            <v>Phương Thúy</v>
          </cell>
          <cell r="N283" t="str">
            <v>Trần Trọng Hùng</v>
          </cell>
          <cell r="O283" t="str">
            <v>LÊ HOÀNG CẨM THY</v>
          </cell>
          <cell r="P283" t="str">
            <v>Bình Thạnh</v>
          </cell>
          <cell r="Q283" t="str">
            <v>Lê Mai</v>
          </cell>
          <cell r="R283" t="str">
            <v>Phương Thúy</v>
          </cell>
          <cell r="S283" t="str">
            <v>Trần Trọng Hùng</v>
          </cell>
          <cell r="T283" t="b">
            <v>1</v>
          </cell>
          <cell r="U283" t="str">
            <v>PTTT 04c</v>
          </cell>
          <cell r="V283" t="str">
            <v>PTTT 04c</v>
          </cell>
          <cell r="W283" t="str">
            <v>2 người</v>
          </cell>
          <cell r="X283" t="str">
            <v>LÊ HOÀNG CẨM THY</v>
          </cell>
        </row>
        <row r="284">
          <cell r="I284" t="str">
            <v>B2.10.20</v>
          </cell>
          <cell r="J284" t="str">
            <v>TRỊNH THỊ MỸ HƯƠNG</v>
          </cell>
          <cell r="K284" t="str">
            <v>Bình Thạnh</v>
          </cell>
          <cell r="L284" t="str">
            <v>Lê Mai</v>
          </cell>
          <cell r="M284" t="str">
            <v>Ly Ly</v>
          </cell>
          <cell r="N284" t="str">
            <v>Nguyễn Đăng Khôi</v>
          </cell>
          <cell r="O284" t="str">
            <v>TRỊNH THỊ MỸ HƯƠNG</v>
          </cell>
          <cell r="P284" t="str">
            <v>Bình Thạnh</v>
          </cell>
          <cell r="Q284" t="str">
            <v>Lê Mai</v>
          </cell>
          <cell r="R284" t="str">
            <v>Ly Ly</v>
          </cell>
          <cell r="S284" t="str">
            <v>Nguyễn Đăng Khôi</v>
          </cell>
          <cell r="T284" t="b">
            <v>1</v>
          </cell>
          <cell r="U284">
            <v>0</v>
          </cell>
          <cell r="V284" t="str">
            <v>PTTT 04c</v>
          </cell>
          <cell r="W284" t="str">
            <v>1 người</v>
          </cell>
          <cell r="X284" t="str">
            <v>TRỊNH THỊ MỸ HƯƠNG</v>
          </cell>
        </row>
        <row r="285">
          <cell r="I285" t="str">
            <v>B2.10.21</v>
          </cell>
          <cell r="J285" t="str">
            <v>LÊ THỊ CẨM NHUNG</v>
          </cell>
          <cell r="K285" t="str">
            <v>Bình Thạnh</v>
          </cell>
          <cell r="L285" t="str">
            <v>Thanh Hà</v>
          </cell>
          <cell r="M285" t="str">
            <v>Như Ngọc</v>
          </cell>
          <cell r="N285" t="str">
            <v>Nguyễn Xuân Tuấn Sang</v>
          </cell>
          <cell r="O285" t="str">
            <v>LÊ THỊ CẨM NHUNG</v>
          </cell>
          <cell r="P285" t="str">
            <v>Bình Thạnh</v>
          </cell>
          <cell r="Q285" t="str">
            <v>Thanh Hà</v>
          </cell>
          <cell r="R285" t="str">
            <v>Như Ngọc</v>
          </cell>
          <cell r="S285" t="str">
            <v>Nguyễn Xuân Tuấn Sang</v>
          </cell>
          <cell r="T285" t="b">
            <v>1</v>
          </cell>
          <cell r="U285" t="str">
            <v>PTTT 04c</v>
          </cell>
          <cell r="V285" t="str">
            <v>PTTT 04c</v>
          </cell>
          <cell r="W285" t="str">
            <v>1 người</v>
          </cell>
          <cell r="X285" t="str">
            <v>LÊ THỊ CẨM NHUNG</v>
          </cell>
        </row>
        <row r="286">
          <cell r="I286" t="str">
            <v>B2.10.22</v>
          </cell>
          <cell r="J286" t="str">
            <v>PHẠM THỊ ANH ĐÀO</v>
          </cell>
          <cell r="K286" t="str">
            <v>Bình Thạnh</v>
          </cell>
          <cell r="L286" t="str">
            <v>Lê Mai</v>
          </cell>
          <cell r="M286" t="str">
            <v>Phương Thúy</v>
          </cell>
          <cell r="N286" t="str">
            <v>Bùi Thanh Sang</v>
          </cell>
          <cell r="O286">
            <v>0</v>
          </cell>
          <cell r="P286" t="str">
            <v>Bình Thạnh</v>
          </cell>
          <cell r="Q286" t="str">
            <v>Lê Mai</v>
          </cell>
          <cell r="R286" t="str">
            <v>Phương Thúy</v>
          </cell>
          <cell r="S286" t="str">
            <v>Bùi Thanh Sang</v>
          </cell>
          <cell r="T286" t="b">
            <v>0</v>
          </cell>
          <cell r="U286">
            <v>0</v>
          </cell>
          <cell r="V286" t="str">
            <v>PTTT 09c</v>
          </cell>
          <cell r="W286" t="str">
            <v>1 người</v>
          </cell>
          <cell r="X286" t="str">
            <v>PHẠM THỊ ANH ĐÀO</v>
          </cell>
        </row>
        <row r="287">
          <cell r="I287" t="str">
            <v>B2.11.01</v>
          </cell>
          <cell r="J287" t="str">
            <v>TRẦN THỊ KIM THU</v>
          </cell>
          <cell r="K287" t="str">
            <v>Quận 3</v>
          </cell>
          <cell r="L287" t="str">
            <v>Thế Hiển</v>
          </cell>
          <cell r="M287" t="str">
            <v>Văn Tùng</v>
          </cell>
          <cell r="N287" t="str">
            <v>Trần Thị Kim Yên</v>
          </cell>
          <cell r="O287">
            <v>0</v>
          </cell>
          <cell r="P287" t="str">
            <v>Quận 3</v>
          </cell>
          <cell r="Q287" t="str">
            <v>Thế Hiển</v>
          </cell>
          <cell r="R287" t="str">
            <v>Văn Tùng</v>
          </cell>
          <cell r="S287" t="str">
            <v>Trần Thị Kim Yên</v>
          </cell>
          <cell r="T287" t="b">
            <v>0</v>
          </cell>
          <cell r="U287">
            <v>0</v>
          </cell>
          <cell r="V287" t="str">
            <v>PTTT 08c</v>
          </cell>
          <cell r="W287" t="str">
            <v>1 người</v>
          </cell>
          <cell r="X287" t="str">
            <v>TRẦN THỊ KIM THU</v>
          </cell>
        </row>
        <row r="288">
          <cell r="I288" t="str">
            <v>B2.11.03</v>
          </cell>
          <cell r="J288" t="str">
            <v>NGUYỄN THỊ HOÀI HƯƠNG</v>
          </cell>
          <cell r="K288" t="str">
            <v>Quận 3</v>
          </cell>
          <cell r="L288" t="str">
            <v>Văn Tùng</v>
          </cell>
          <cell r="M288" t="str">
            <v>Trinh Trinh</v>
          </cell>
          <cell r="N288" t="str">
            <v>Lý Thanh Tân</v>
          </cell>
          <cell r="O288">
            <v>0</v>
          </cell>
          <cell r="P288" t="str">
            <v>Quận 3</v>
          </cell>
          <cell r="Q288" t="str">
            <v>Văn Tùng</v>
          </cell>
          <cell r="R288" t="str">
            <v>Trinh Trinh</v>
          </cell>
          <cell r="S288" t="str">
            <v>Lý Thanh Tân</v>
          </cell>
          <cell r="T288" t="b">
            <v>0</v>
          </cell>
          <cell r="U288">
            <v>0</v>
          </cell>
          <cell r="V288" t="str">
            <v>PTTT 09c</v>
          </cell>
          <cell r="W288" t="str">
            <v>1 người</v>
          </cell>
          <cell r="X288" t="str">
            <v>NGUYỄN THỊ HOÀI HƯƠNG</v>
          </cell>
        </row>
        <row r="289">
          <cell r="I289" t="str">
            <v>B2.11.04</v>
          </cell>
          <cell r="J289" t="str">
            <v>TRẦN QUỐC VIỆT</v>
          </cell>
          <cell r="K289" t="str">
            <v>Quận 3</v>
          </cell>
          <cell r="L289" t="str">
            <v>Thanh Tuấn</v>
          </cell>
          <cell r="M289" t="str">
            <v>Tuấn Vương</v>
          </cell>
          <cell r="N289" t="str">
            <v>Võ Thị Thiên Ngân</v>
          </cell>
          <cell r="O289">
            <v>0</v>
          </cell>
          <cell r="P289" t="str">
            <v>Quận 3</v>
          </cell>
          <cell r="Q289" t="str">
            <v>Thanh Tuấn</v>
          </cell>
          <cell r="R289" t="str">
            <v>Tuấn Vương</v>
          </cell>
          <cell r="S289" t="str">
            <v>Võ Thị Thiên Ngân</v>
          </cell>
          <cell r="T289" t="b">
            <v>0</v>
          </cell>
          <cell r="U289">
            <v>0</v>
          </cell>
          <cell r="V289" t="str">
            <v>PTTT 09c</v>
          </cell>
          <cell r="W289" t="str">
            <v>1 người</v>
          </cell>
          <cell r="X289" t="str">
            <v>TRẦN QUỐC VIỆT</v>
          </cell>
        </row>
        <row r="290">
          <cell r="I290" t="str">
            <v>B2.11.05</v>
          </cell>
          <cell r="J290" t="str">
            <v>NGUYỄN THỊ NGỌC GIAO</v>
          </cell>
          <cell r="K290" t="str">
            <v>Bình Thạnh</v>
          </cell>
          <cell r="L290" t="str">
            <v>Thanh Hà</v>
          </cell>
          <cell r="M290" t="str">
            <v>Đức Đồng</v>
          </cell>
          <cell r="N290" t="str">
            <v>Nguyễn Trung Kiên</v>
          </cell>
          <cell r="O290" t="str">
            <v>NGUYỄN THỊ NGỌC GIAO</v>
          </cell>
          <cell r="P290" t="str">
            <v>Bình Thạnh</v>
          </cell>
          <cell r="Q290" t="str">
            <v>Thanh Hà</v>
          </cell>
          <cell r="R290" t="str">
            <v>Đức Đồng</v>
          </cell>
          <cell r="S290" t="str">
            <v>Nguyễn Trung Kiên</v>
          </cell>
          <cell r="T290" t="b">
            <v>1</v>
          </cell>
          <cell r="U290" t="str">
            <v>PTTT 06c</v>
          </cell>
          <cell r="V290" t="str">
            <v>PTTT 04c</v>
          </cell>
          <cell r="W290" t="str">
            <v>1 người</v>
          </cell>
          <cell r="X290" t="str">
            <v>NGUYỄN THỊ NGỌC GIAO</v>
          </cell>
        </row>
        <row r="291">
          <cell r="I291" t="str">
            <v>B2.11.06</v>
          </cell>
          <cell r="J291" t="str">
            <v>NGUYỄN ĐÀO QUỲNH NHƯ</v>
          </cell>
          <cell r="K291" t="str">
            <v>Bình Thạnh</v>
          </cell>
          <cell r="L291" t="str">
            <v>Lê Mai</v>
          </cell>
          <cell r="M291" t="str">
            <v>Ly Ly</v>
          </cell>
          <cell r="N291" t="str">
            <v>Đặng Trung Nhân</v>
          </cell>
          <cell r="O291">
            <v>0</v>
          </cell>
          <cell r="P291" t="str">
            <v>Bình Thạnh</v>
          </cell>
          <cell r="Q291" t="str">
            <v>Lê Mai</v>
          </cell>
          <cell r="R291" t="str">
            <v>Ly Ly</v>
          </cell>
          <cell r="S291" t="str">
            <v>Đặng Trung Nhân</v>
          </cell>
          <cell r="T291" t="b">
            <v>0</v>
          </cell>
          <cell r="U291">
            <v>0</v>
          </cell>
          <cell r="V291" t="str">
            <v>PTTT 09c</v>
          </cell>
          <cell r="W291" t="str">
            <v>2 người</v>
          </cell>
          <cell r="X291" t="str">
            <v>NGUYỄN ĐÀO QUỲNH NHƯ</v>
          </cell>
        </row>
        <row r="292">
          <cell r="I292" t="str">
            <v>B2.11.07</v>
          </cell>
          <cell r="J292" t="str">
            <v>TRỊNH THỊ TUYẾT TRÂM</v>
          </cell>
          <cell r="K292" t="str">
            <v>Quận 3</v>
          </cell>
          <cell r="L292" t="str">
            <v>Văn Tùng</v>
          </cell>
          <cell r="M292" t="str">
            <v>Thiện Quý</v>
          </cell>
          <cell r="N292" t="str">
            <v>Trần Khả Duy</v>
          </cell>
          <cell r="O292">
            <v>0</v>
          </cell>
          <cell r="P292" t="str">
            <v>Quận 3</v>
          </cell>
          <cell r="Q292" t="str">
            <v>Văn Tùng</v>
          </cell>
          <cell r="R292" t="str">
            <v>Thiện Quý</v>
          </cell>
          <cell r="S292" t="str">
            <v>Trần Khả Duy</v>
          </cell>
          <cell r="T292" t="b">
            <v>0</v>
          </cell>
          <cell r="U292">
            <v>0</v>
          </cell>
          <cell r="V292" t="str">
            <v>PTTT 09c</v>
          </cell>
          <cell r="W292" t="str">
            <v>1 người</v>
          </cell>
          <cell r="X292" t="str">
            <v>PHAN XUÂN ĐỨC</v>
          </cell>
        </row>
        <row r="293">
          <cell r="I293" t="str">
            <v>B2.11.08</v>
          </cell>
          <cell r="J293" t="str">
            <v>NGUYỄN PHAN LỘC</v>
          </cell>
          <cell r="K293" t="str">
            <v>Bình Thạnh</v>
          </cell>
          <cell r="L293" t="str">
            <v>Lê Mai</v>
          </cell>
          <cell r="M293" t="str">
            <v>Phương Thúy</v>
          </cell>
          <cell r="N293" t="str">
            <v>Tôn My Duy Linh</v>
          </cell>
          <cell r="O293" t="str">
            <v>NGUYỄN PHAN LỘC</v>
          </cell>
          <cell r="P293" t="str">
            <v>Bình Thạnh</v>
          </cell>
          <cell r="Q293" t="str">
            <v>Lê Mai</v>
          </cell>
          <cell r="R293" t="str">
            <v>Phương Thúy</v>
          </cell>
          <cell r="S293" t="str">
            <v>Tôn My Duy Linh</v>
          </cell>
          <cell r="T293" t="b">
            <v>1</v>
          </cell>
          <cell r="U293" t="str">
            <v>PTTT 06c</v>
          </cell>
          <cell r="V293" t="str">
            <v>PTTT 06c</v>
          </cell>
          <cell r="W293" t="str">
            <v>1 người</v>
          </cell>
          <cell r="X293" t="str">
            <v>NGUYỄN PHAN LỘC</v>
          </cell>
        </row>
        <row r="294">
          <cell r="I294" t="str">
            <v>B2.11.09</v>
          </cell>
          <cell r="J294" t="str">
            <v>NGUYỄN ANH THI</v>
          </cell>
          <cell r="K294" t="str">
            <v>Bình Thạnh</v>
          </cell>
          <cell r="L294" t="str">
            <v>Lê Mai</v>
          </cell>
          <cell r="M294" t="str">
            <v>Phương Thúy</v>
          </cell>
          <cell r="N294" t="str">
            <v>Trần Trọng Hùng</v>
          </cell>
          <cell r="O294" t="str">
            <v>VÕ THỊ NHƯ PHẬN</v>
          </cell>
          <cell r="P294" t="str">
            <v>Bình Thạnh</v>
          </cell>
          <cell r="Q294" t="str">
            <v>Lê Mai</v>
          </cell>
          <cell r="R294" t="str">
            <v>Phương Thúy</v>
          </cell>
          <cell r="S294" t="str">
            <v>Trần Trọng Hùng</v>
          </cell>
          <cell r="T294" t="b">
            <v>1</v>
          </cell>
          <cell r="U294" t="str">
            <v>PTTT 04c</v>
          </cell>
          <cell r="V294" t="str">
            <v>PTTT 04c</v>
          </cell>
          <cell r="W294" t="str">
            <v>1 người</v>
          </cell>
          <cell r="X294" t="str">
            <v>VÕ THỊ NHƯ PHẬN</v>
          </cell>
        </row>
        <row r="295">
          <cell r="I295" t="str">
            <v>B2.11.20</v>
          </cell>
          <cell r="J295" t="str">
            <v>ĐỖ MINH ĐĂNG</v>
          </cell>
          <cell r="K295" t="str">
            <v>Quận 3</v>
          </cell>
          <cell r="L295" t="str">
            <v>Thế Hiển</v>
          </cell>
          <cell r="M295" t="str">
            <v>Văn Tùng</v>
          </cell>
          <cell r="N295" t="str">
            <v>Phan Thiện Quí</v>
          </cell>
          <cell r="O295" t="str">
            <v>ĐỖ MINH ĐĂNG</v>
          </cell>
          <cell r="P295" t="str">
            <v>Quận 3</v>
          </cell>
          <cell r="Q295" t="str">
            <v>Thế Hiển</v>
          </cell>
          <cell r="R295" t="str">
            <v>Văn Tùng</v>
          </cell>
          <cell r="S295" t="str">
            <v>Phan Thiện Quí</v>
          </cell>
          <cell r="T295" t="b">
            <v>1</v>
          </cell>
          <cell r="U295" t="str">
            <v>PTTT 08c</v>
          </cell>
          <cell r="V295" t="str">
            <v>PTTT 08c</v>
          </cell>
          <cell r="W295" t="str">
            <v>1 người</v>
          </cell>
          <cell r="X295" t="str">
            <v>ĐỖ MINH ĐĂNG</v>
          </cell>
        </row>
        <row r="296">
          <cell r="I296" t="str">
            <v>B2.11.21</v>
          </cell>
          <cell r="J296" t="str">
            <v>NGUYỄN MINH TRÚC TIÊN</v>
          </cell>
          <cell r="K296" t="str">
            <v>Bình Thạnh</v>
          </cell>
          <cell r="L296" t="str">
            <v>Thanh Hà</v>
          </cell>
          <cell r="M296" t="str">
            <v>Đức Đồng</v>
          </cell>
          <cell r="N296" t="str">
            <v>Trần Minh Phúc</v>
          </cell>
          <cell r="O296">
            <v>0</v>
          </cell>
          <cell r="P296" t="str">
            <v>Bình Thạnh</v>
          </cell>
          <cell r="Q296" t="str">
            <v>Thanh Hà</v>
          </cell>
          <cell r="R296" t="str">
            <v>Đức Đồng</v>
          </cell>
          <cell r="S296" t="str">
            <v>Trần Minh Phúc</v>
          </cell>
          <cell r="T296" t="b">
            <v>0</v>
          </cell>
          <cell r="U296">
            <v>0</v>
          </cell>
          <cell r="V296" t="str">
            <v>PTTT 09c</v>
          </cell>
          <cell r="W296" t="str">
            <v>2 người</v>
          </cell>
          <cell r="X296" t="str">
            <v>NGUYỄN MINH TRÚC TIÊN</v>
          </cell>
        </row>
        <row r="297">
          <cell r="I297" t="str">
            <v>B2.11.22</v>
          </cell>
          <cell r="J297" t="str">
            <v>PHẠM VĂN VÀNG</v>
          </cell>
          <cell r="K297" t="str">
            <v>Bình Thạnh</v>
          </cell>
          <cell r="L297" t="str">
            <v>Ngọc Linh</v>
          </cell>
          <cell r="M297" t="str">
            <v>Phạm Vĩ</v>
          </cell>
          <cell r="N297" t="str">
            <v>Phan Thanh Liêm</v>
          </cell>
          <cell r="O297">
            <v>0</v>
          </cell>
          <cell r="P297" t="str">
            <v>Quận 3</v>
          </cell>
          <cell r="Q297" t="str">
            <v>Huỳnh Nhân</v>
          </cell>
          <cell r="R297" t="str">
            <v>Tấn Long</v>
          </cell>
          <cell r="S297" t="str">
            <v>Thái Thị Thanh Tâm</v>
          </cell>
          <cell r="T297" t="b">
            <v>0</v>
          </cell>
          <cell r="U297">
            <v>0</v>
          </cell>
          <cell r="V297" t="str">
            <v>PTTT 09c</v>
          </cell>
          <cell r="W297" t="str">
            <v>1 người</v>
          </cell>
          <cell r="X297" t="str">
            <v>ĐOÀN THỊ MĂNG</v>
          </cell>
        </row>
        <row r="298">
          <cell r="I298" t="str">
            <v>B2.12.01</v>
          </cell>
          <cell r="J298" t="str">
            <v>NGUYỄN TRỊNH HOÀNG HÂN</v>
          </cell>
          <cell r="K298" t="str">
            <v>Bình Thạnh</v>
          </cell>
          <cell r="L298" t="str">
            <v>Ngọc Linh</v>
          </cell>
          <cell r="M298" t="str">
            <v>Quốc Tuấn</v>
          </cell>
          <cell r="N298" t="str">
            <v>Huỳnh Thị Thùy Trang</v>
          </cell>
          <cell r="O298">
            <v>0</v>
          </cell>
          <cell r="P298" t="str">
            <v>Bình Thạnh</v>
          </cell>
          <cell r="Q298" t="str">
            <v>Ngọc Linh</v>
          </cell>
          <cell r="R298" t="str">
            <v>Quốc Tuấn</v>
          </cell>
          <cell r="S298" t="str">
            <v>Huỳnh Thị Thùy Trang</v>
          </cell>
          <cell r="T298" t="b">
            <v>0</v>
          </cell>
          <cell r="U298">
            <v>0</v>
          </cell>
          <cell r="V298" t="str">
            <v>PTTT 09c</v>
          </cell>
          <cell r="W298" t="str">
            <v>1 người</v>
          </cell>
          <cell r="X298" t="str">
            <v>HÀ TRỌNG PHA</v>
          </cell>
        </row>
        <row r="299">
          <cell r="I299" t="str">
            <v>B2.12.10</v>
          </cell>
          <cell r="J299" t="str">
            <v>TRẦN NGUYỄN BẢO HÂN</v>
          </cell>
          <cell r="K299" t="str">
            <v>Bình Thạnh</v>
          </cell>
          <cell r="L299" t="str">
            <v>Lê Mai</v>
          </cell>
          <cell r="M299" t="str">
            <v>Phương Thúy</v>
          </cell>
          <cell r="N299" t="str">
            <v>Nguyễn Phi Hùng</v>
          </cell>
          <cell r="O299">
            <v>0</v>
          </cell>
          <cell r="P299" t="str">
            <v>Bình Thạnh</v>
          </cell>
          <cell r="Q299" t="str">
            <v>Lê Mai</v>
          </cell>
          <cell r="R299" t="str">
            <v>Phương Thúy</v>
          </cell>
          <cell r="S299" t="str">
            <v>Nguyễn Phi Hùng</v>
          </cell>
          <cell r="T299" t="b">
            <v>0</v>
          </cell>
          <cell r="U299">
            <v>0</v>
          </cell>
          <cell r="V299" t="str">
            <v>PTTT 09c</v>
          </cell>
          <cell r="W299" t="str">
            <v>1 người</v>
          </cell>
          <cell r="X299" t="str">
            <v>TRẦN NGUYỄN BẢO HÂN</v>
          </cell>
        </row>
        <row r="300">
          <cell r="I300" t="str">
            <v>B2.12.11</v>
          </cell>
          <cell r="J300" t="str">
            <v>TRẦN THỊ THU HÀ</v>
          </cell>
          <cell r="K300" t="str">
            <v>Bình Thạnh</v>
          </cell>
          <cell r="L300" t="str">
            <v>Lê Mai</v>
          </cell>
          <cell r="M300" t="str">
            <v>Phương Thúy</v>
          </cell>
          <cell r="N300" t="str">
            <v>Bùi Sỹ Bừng</v>
          </cell>
          <cell r="O300">
            <v>0</v>
          </cell>
          <cell r="P300" t="str">
            <v>Bình Thạnh</v>
          </cell>
          <cell r="Q300" t="str">
            <v>Lê Mai</v>
          </cell>
          <cell r="R300" t="str">
            <v>Phương Thúy</v>
          </cell>
          <cell r="S300" t="str">
            <v>Bùi Sỹ Bừng</v>
          </cell>
          <cell r="T300" t="b">
            <v>0</v>
          </cell>
          <cell r="U300">
            <v>0</v>
          </cell>
          <cell r="V300" t="str">
            <v>PTTT 09c</v>
          </cell>
          <cell r="W300" t="str">
            <v>1 người</v>
          </cell>
          <cell r="X300" t="str">
            <v>BÙI THỊ NHI</v>
          </cell>
        </row>
        <row r="301">
          <cell r="I301" t="str">
            <v>B2.12.12</v>
          </cell>
          <cell r="J301" t="str">
            <v>LÊ NGUYỄN QUỲNH CHÂU</v>
          </cell>
          <cell r="K301" t="str">
            <v>Quận 3</v>
          </cell>
          <cell r="L301" t="str">
            <v>Kỳ Long</v>
          </cell>
          <cell r="M301" t="str">
            <v>Phi Thoại</v>
          </cell>
          <cell r="N301" t="str">
            <v>Phạm Thị Thương</v>
          </cell>
          <cell r="O301">
            <v>0</v>
          </cell>
          <cell r="P301" t="str">
            <v>Quận 3</v>
          </cell>
          <cell r="Q301" t="str">
            <v>Kỳ Long</v>
          </cell>
          <cell r="R301" t="str">
            <v>Phi Thoại</v>
          </cell>
          <cell r="S301" t="str">
            <v>Phạm Thị Thương</v>
          </cell>
          <cell r="T301" t="b">
            <v>0</v>
          </cell>
          <cell r="U301">
            <v>0</v>
          </cell>
          <cell r="V301" t="str">
            <v>PTTT 09c</v>
          </cell>
          <cell r="W301" t="str">
            <v>1 người</v>
          </cell>
          <cell r="X301" t="str">
            <v>LÊ NGUYỄN QUỲNH CHÂU</v>
          </cell>
        </row>
        <row r="302">
          <cell r="I302" t="str">
            <v>B2.12.13</v>
          </cell>
          <cell r="J302" t="str">
            <v>LÊ LAN THẢO</v>
          </cell>
          <cell r="K302" t="str">
            <v>Bình Thạnh</v>
          </cell>
          <cell r="L302" t="str">
            <v>Ngọc Linh</v>
          </cell>
          <cell r="M302" t="str">
            <v>Đình Ban</v>
          </cell>
          <cell r="N302" t="str">
            <v>Trần Thị Nhung</v>
          </cell>
          <cell r="O302">
            <v>0</v>
          </cell>
          <cell r="P302" t="str">
            <v>Bình Thạnh</v>
          </cell>
          <cell r="Q302" t="str">
            <v>Ngọc Linh</v>
          </cell>
          <cell r="R302" t="str">
            <v>Đình Ban</v>
          </cell>
          <cell r="S302" t="str">
            <v>Trần Thị Nhung</v>
          </cell>
          <cell r="T302" t="b">
            <v>0</v>
          </cell>
          <cell r="U302">
            <v>0</v>
          </cell>
          <cell r="V302" t="str">
            <v>PTTT 08c</v>
          </cell>
          <cell r="W302" t="str">
            <v>1 người</v>
          </cell>
          <cell r="X302" t="str">
            <v>LÊ LAN THẢO</v>
          </cell>
        </row>
        <row r="303">
          <cell r="I303" t="str">
            <v>B2.12.14</v>
          </cell>
          <cell r="J303" t="str">
            <v>TỪ MỸ QUYÊN</v>
          </cell>
          <cell r="K303" t="str">
            <v>Quận 3</v>
          </cell>
          <cell r="L303" t="str">
            <v>Thanh Tuấn</v>
          </cell>
          <cell r="M303" t="str">
            <v>Duy Nhật</v>
          </cell>
          <cell r="N303" t="str">
            <v>Trần Anh Tuấn</v>
          </cell>
          <cell r="O303">
            <v>0</v>
          </cell>
          <cell r="P303" t="str">
            <v>Quận 3</v>
          </cell>
          <cell r="Q303" t="str">
            <v>Thanh Tuấn</v>
          </cell>
          <cell r="R303" t="str">
            <v>Duy Nhật</v>
          </cell>
          <cell r="S303" t="str">
            <v>Trần Anh Tuấn</v>
          </cell>
          <cell r="T303" t="b">
            <v>0</v>
          </cell>
          <cell r="U303">
            <v>0</v>
          </cell>
          <cell r="V303" t="str">
            <v>PTTT 09c</v>
          </cell>
          <cell r="W303" t="str">
            <v>1 người</v>
          </cell>
          <cell r="X303" t="str">
            <v>TỪ MỸ QUYÊN</v>
          </cell>
        </row>
        <row r="304">
          <cell r="I304" t="str">
            <v>B2.12.15</v>
          </cell>
          <cell r="J304" t="str">
            <v>NGUYỄN THỊ THỦY</v>
          </cell>
          <cell r="K304" t="str">
            <v>Bình Thạnh</v>
          </cell>
          <cell r="L304" t="str">
            <v>Lê Mai</v>
          </cell>
          <cell r="M304" t="str">
            <v>Phương Thúy</v>
          </cell>
          <cell r="N304" t="str">
            <v>Nguyễn Phi Hùng</v>
          </cell>
          <cell r="O304" t="str">
            <v>NGUYỄN THỊ THỦY</v>
          </cell>
          <cell r="P304" t="str">
            <v>Bình Thạnh</v>
          </cell>
          <cell r="Q304" t="str">
            <v>Lê Mai</v>
          </cell>
          <cell r="R304" t="str">
            <v>Phương Thúy</v>
          </cell>
          <cell r="S304" t="str">
            <v>Nguyễn Phi Hùng</v>
          </cell>
          <cell r="T304" t="b">
            <v>1</v>
          </cell>
          <cell r="U304">
            <v>0</v>
          </cell>
          <cell r="V304" t="str">
            <v>PTTT 04c</v>
          </cell>
          <cell r="W304" t="str">
            <v>1 người</v>
          </cell>
          <cell r="X304" t="str">
            <v>NGUYỄN THỊ THỦY</v>
          </cell>
        </row>
        <row r="305">
          <cell r="I305" t="str">
            <v>B2.12.16</v>
          </cell>
          <cell r="J305" t="str">
            <v>NGÔ NGỌC ANH KIỆT</v>
          </cell>
          <cell r="K305" t="str">
            <v>Quận 3</v>
          </cell>
          <cell r="L305" t="str">
            <v>Văn Tùng</v>
          </cell>
          <cell r="M305" t="str">
            <v>Thiện Quý</v>
          </cell>
          <cell r="N305" t="str">
            <v>Trần Thị Kim Yên</v>
          </cell>
          <cell r="O305">
            <v>0</v>
          </cell>
          <cell r="P305" t="str">
            <v>Quận 3</v>
          </cell>
          <cell r="Q305" t="str">
            <v>Văn Tùng</v>
          </cell>
          <cell r="R305" t="str">
            <v>Thiện Quý</v>
          </cell>
          <cell r="S305" t="str">
            <v>Trần Thị Kim Yên</v>
          </cell>
          <cell r="T305" t="b">
            <v>0</v>
          </cell>
          <cell r="U305">
            <v>0</v>
          </cell>
          <cell r="V305" t="str">
            <v>PTTT 09c</v>
          </cell>
          <cell r="W305" t="str">
            <v>1 người</v>
          </cell>
          <cell r="X305" t="str">
            <v>NGÔ NGỌC ANH KIỆT</v>
          </cell>
        </row>
        <row r="306">
          <cell r="I306" t="str">
            <v>B2.12.17</v>
          </cell>
          <cell r="J306" t="str">
            <v>TRẦN THỊ THANH TUYỀN</v>
          </cell>
          <cell r="K306" t="str">
            <v>Bình Thạnh</v>
          </cell>
          <cell r="L306" t="str">
            <v>Ngọc Linh</v>
          </cell>
          <cell r="M306" t="str">
            <v>Quốc Tuấn</v>
          </cell>
          <cell r="N306" t="str">
            <v>Huỳnh Thị Thùy Trang</v>
          </cell>
          <cell r="O306">
            <v>0</v>
          </cell>
          <cell r="P306" t="str">
            <v>Bình Thạnh</v>
          </cell>
          <cell r="Q306" t="str">
            <v>Ngọc Linh</v>
          </cell>
          <cell r="R306" t="str">
            <v>Quốc Tuấn</v>
          </cell>
          <cell r="S306" t="str">
            <v>Huỳnh Thị Thùy Trang</v>
          </cell>
          <cell r="T306" t="b">
            <v>0</v>
          </cell>
          <cell r="U306">
            <v>0</v>
          </cell>
          <cell r="V306" t="str">
            <v>PTTT 08c</v>
          </cell>
          <cell r="W306" t="str">
            <v>1 người</v>
          </cell>
          <cell r="X306" t="str">
            <v>TRẦN THỊ THANH TUYỀN</v>
          </cell>
        </row>
        <row r="307">
          <cell r="I307" t="str">
            <v>B2.12.18</v>
          </cell>
          <cell r="J307" t="str">
            <v>TRẦN THỊ THU TRANG</v>
          </cell>
          <cell r="K307" t="str">
            <v>Bình Thạnh</v>
          </cell>
          <cell r="L307" t="str">
            <v>Lê Mai</v>
          </cell>
          <cell r="M307" t="str">
            <v>Phương Thúy</v>
          </cell>
          <cell r="N307" t="str">
            <v>Nguyễn Phương Quỳnh</v>
          </cell>
          <cell r="O307">
            <v>0</v>
          </cell>
          <cell r="P307" t="str">
            <v>Bình Thạnh</v>
          </cell>
          <cell r="Q307" t="str">
            <v>Lê Mai</v>
          </cell>
          <cell r="R307" t="str">
            <v>Phương Thúy</v>
          </cell>
          <cell r="S307" t="str">
            <v>Nguyễn Phương Quỳnh</v>
          </cell>
          <cell r="T307" t="b">
            <v>0</v>
          </cell>
          <cell r="U307">
            <v>0</v>
          </cell>
          <cell r="V307" t="str">
            <v>PTTT 06c</v>
          </cell>
          <cell r="W307" t="str">
            <v>1 người</v>
          </cell>
          <cell r="X307" t="str">
            <v>TRẦN THỊ THU TRANG</v>
          </cell>
        </row>
        <row r="308">
          <cell r="I308" t="str">
            <v>B2.12.19</v>
          </cell>
          <cell r="J308" t="str">
            <v>NGUYỄN THỊ KIỀU OANH</v>
          </cell>
          <cell r="K308" t="str">
            <v>Bình Thạnh</v>
          </cell>
          <cell r="L308" t="str">
            <v>Ngọc Linh</v>
          </cell>
          <cell r="M308" t="str">
            <v>Đình Ban</v>
          </cell>
          <cell r="N308" t="str">
            <v>Lộc Sinh Ngọc Tâm</v>
          </cell>
          <cell r="O308" t="str">
            <v>NGUYỄN THỊ KIỀU OANH</v>
          </cell>
          <cell r="P308" t="str">
            <v>Bình Thạnh</v>
          </cell>
          <cell r="Q308" t="str">
            <v>Ngọc Linh</v>
          </cell>
          <cell r="R308" t="str">
            <v>Đình Ban</v>
          </cell>
          <cell r="S308" t="str">
            <v>Lộc Sinh Ngọc Tâm</v>
          </cell>
          <cell r="T308" t="b">
            <v>0</v>
          </cell>
          <cell r="U308">
            <v>0</v>
          </cell>
          <cell r="V308" t="str">
            <v>PTTT 04c</v>
          </cell>
          <cell r="W308" t="str">
            <v>2 người</v>
          </cell>
          <cell r="X308" t="str">
            <v>HỒ VĂN CƯƠNG</v>
          </cell>
        </row>
        <row r="309">
          <cell r="I309" t="str">
            <v>B2.12a.01</v>
          </cell>
          <cell r="J309" t="str">
            <v>VÕ TRÍ THẮNG</v>
          </cell>
          <cell r="K309" t="str">
            <v>Bình Thạnh</v>
          </cell>
          <cell r="L309" t="str">
            <v>Ngọc Linh</v>
          </cell>
          <cell r="M309" t="str">
            <v>Phạm Vĩ</v>
          </cell>
          <cell r="N309" t="str">
            <v>Nguyễn Thạch Y Vân</v>
          </cell>
          <cell r="O309" t="str">
            <v>VÕ TRÍ THẮNG</v>
          </cell>
          <cell r="P309" t="str">
            <v>Bình Thạnh</v>
          </cell>
          <cell r="Q309" t="str">
            <v>Ngọc Linh</v>
          </cell>
          <cell r="R309" t="str">
            <v>Phạm Vĩ</v>
          </cell>
          <cell r="S309" t="str">
            <v>Nguyễn Thạch Y Vân</v>
          </cell>
          <cell r="T309" t="b">
            <v>1</v>
          </cell>
          <cell r="U309" t="str">
            <v>PTTT 04c</v>
          </cell>
          <cell r="V309" t="str">
            <v>PTTT 04c</v>
          </cell>
          <cell r="W309" t="str">
            <v>1 người</v>
          </cell>
          <cell r="X309" t="str">
            <v>VÕ TRÍ THẮNG</v>
          </cell>
        </row>
        <row r="310">
          <cell r="I310" t="str">
            <v>B2.12a.03</v>
          </cell>
          <cell r="J310" t="str">
            <v>LÊ HỒNG VŨ</v>
          </cell>
          <cell r="K310" t="str">
            <v>Quận 3</v>
          </cell>
          <cell r="L310" t="str">
            <v>Văn Tùng</v>
          </cell>
          <cell r="M310" t="str">
            <v>Trinh Trinh</v>
          </cell>
          <cell r="N310" t="str">
            <v>Phạm Anh Tuấn</v>
          </cell>
          <cell r="O310">
            <v>0</v>
          </cell>
          <cell r="P310" t="str">
            <v>Quận 3</v>
          </cell>
          <cell r="Q310" t="str">
            <v>Văn Tùng</v>
          </cell>
          <cell r="R310" t="str">
            <v>Trinh Trinh</v>
          </cell>
          <cell r="S310" t="str">
            <v>Phạm Anh Tuấn</v>
          </cell>
          <cell r="T310" t="b">
            <v>0</v>
          </cell>
          <cell r="U310">
            <v>0</v>
          </cell>
          <cell r="V310" t="str">
            <v>PTTT 09c</v>
          </cell>
          <cell r="W310" t="str">
            <v>1 người</v>
          </cell>
          <cell r="X310" t="str">
            <v>LÊ NGỌC ÁNH</v>
          </cell>
        </row>
        <row r="311">
          <cell r="I311" t="str">
            <v>B2.12a.04</v>
          </cell>
          <cell r="J311" t="str">
            <v>VÕ HỒNG NHUNG</v>
          </cell>
          <cell r="K311" t="str">
            <v>Quận 3</v>
          </cell>
          <cell r="L311" t="str">
            <v>Văn Tùng</v>
          </cell>
          <cell r="M311" t="str">
            <v>Thiện Quý</v>
          </cell>
          <cell r="N311" t="str">
            <v>Trần Văn Quốc</v>
          </cell>
          <cell r="O311">
            <v>0</v>
          </cell>
          <cell r="P311" t="str">
            <v>Quận 3</v>
          </cell>
          <cell r="Q311" t="str">
            <v>Văn Tùng</v>
          </cell>
          <cell r="R311" t="str">
            <v>Thiện Quý</v>
          </cell>
          <cell r="S311" t="str">
            <v>Trần Văn Quốc</v>
          </cell>
          <cell r="T311" t="b">
            <v>0</v>
          </cell>
          <cell r="U311">
            <v>0</v>
          </cell>
          <cell r="V311" t="str">
            <v>PTTT 08c</v>
          </cell>
          <cell r="W311" t="str">
            <v>1 người</v>
          </cell>
          <cell r="X311" t="str">
            <v>LÊ HỮU TÀI</v>
          </cell>
        </row>
        <row r="312">
          <cell r="I312" t="str">
            <v>B2.12a.05</v>
          </cell>
          <cell r="J312" t="str">
            <v>NGUYỄN BÁ CƯỜNG</v>
          </cell>
          <cell r="K312" t="str">
            <v>Quận 3</v>
          </cell>
          <cell r="L312" t="str">
            <v>Thế Hiển</v>
          </cell>
          <cell r="M312" t="str">
            <v>Văn Tùng</v>
          </cell>
          <cell r="N312" t="str">
            <v>Phạm Anh Tuấn</v>
          </cell>
          <cell r="O312">
            <v>0</v>
          </cell>
          <cell r="P312" t="str">
            <v>Quận 3</v>
          </cell>
          <cell r="Q312" t="str">
            <v>Thế Hiển</v>
          </cell>
          <cell r="R312" t="str">
            <v>Văn Tùng</v>
          </cell>
          <cell r="S312" t="str">
            <v>Phạm Anh Tuấn</v>
          </cell>
          <cell r="T312" t="b">
            <v>0</v>
          </cell>
          <cell r="U312">
            <v>0</v>
          </cell>
          <cell r="V312" t="str">
            <v>PTTT 04c</v>
          </cell>
          <cell r="W312" t="str">
            <v>1 người</v>
          </cell>
          <cell r="X312" t="str">
            <v>NGUYỄN BÁ CƯỜNG</v>
          </cell>
        </row>
        <row r="313">
          <cell r="I313" t="str">
            <v>B2.12a.06</v>
          </cell>
          <cell r="J313" t="str">
            <v>NGUYỄN THỊ NI NA</v>
          </cell>
          <cell r="K313" t="str">
            <v>Quận 3</v>
          </cell>
          <cell r="L313" t="str">
            <v>Kỳ Long</v>
          </cell>
          <cell r="M313" t="str">
            <v>Phi Thoại</v>
          </cell>
          <cell r="N313" t="str">
            <v>Phan Thành Binh</v>
          </cell>
          <cell r="O313">
            <v>0</v>
          </cell>
          <cell r="P313" t="str">
            <v>Quận 3</v>
          </cell>
          <cell r="Q313" t="str">
            <v>Kỳ Long</v>
          </cell>
          <cell r="R313" t="str">
            <v>Phi Thoại</v>
          </cell>
          <cell r="S313" t="str">
            <v>Phan Thành Binh</v>
          </cell>
          <cell r="T313" t="b">
            <v>0</v>
          </cell>
          <cell r="U313">
            <v>0</v>
          </cell>
          <cell r="V313" t="str">
            <v>PTTT 09c</v>
          </cell>
          <cell r="W313" t="str">
            <v>1 người</v>
          </cell>
          <cell r="X313" t="str">
            <v>NGUYỄN THỊ NI NA</v>
          </cell>
        </row>
        <row r="314">
          <cell r="I314" t="str">
            <v>B2.12a.07</v>
          </cell>
          <cell r="J314" t="str">
            <v>NGUYỄN THỊ KHÁNH LY</v>
          </cell>
          <cell r="K314" t="str">
            <v>Quận 3</v>
          </cell>
          <cell r="L314" t="str">
            <v>Văn Tùng</v>
          </cell>
          <cell r="M314" t="str">
            <v>Thiện Quý</v>
          </cell>
          <cell r="N314" t="str">
            <v>Nguyễn Ngọc Kiều Mi</v>
          </cell>
          <cell r="O314">
            <v>0</v>
          </cell>
          <cell r="P314" t="str">
            <v>Quận 3</v>
          </cell>
          <cell r="Q314" t="str">
            <v>Văn Tùng</v>
          </cell>
          <cell r="R314" t="str">
            <v>Thiện Quý</v>
          </cell>
          <cell r="S314" t="str">
            <v>Nguyễn Ngọc Kiều Mi</v>
          </cell>
          <cell r="T314" t="b">
            <v>0</v>
          </cell>
          <cell r="U314">
            <v>0</v>
          </cell>
          <cell r="V314" t="str">
            <v>PTTT 08c</v>
          </cell>
          <cell r="W314" t="str">
            <v>1 người</v>
          </cell>
          <cell r="X314" t="str">
            <v>NGUYỄN THỊ KHÁNH LY</v>
          </cell>
        </row>
        <row r="315">
          <cell r="I315" t="str">
            <v>B2.12a.08</v>
          </cell>
          <cell r="J315" t="str">
            <v>PHẠM THỊ PHƯỢNG</v>
          </cell>
          <cell r="K315" t="str">
            <v>Quận 3</v>
          </cell>
          <cell r="L315" t="str">
            <v>Thanh Tuấn</v>
          </cell>
          <cell r="M315" t="str">
            <v>Tuấn Vương</v>
          </cell>
          <cell r="N315" t="str">
            <v>Huỳnh Thị Hoài Duyên</v>
          </cell>
          <cell r="O315" t="str">
            <v>PHẠM THỊ PHƯỢNG</v>
          </cell>
          <cell r="P315" t="str">
            <v>Quận 3</v>
          </cell>
          <cell r="Q315" t="str">
            <v>Thanh Tuấn</v>
          </cell>
          <cell r="R315" t="str">
            <v>Tuấn Vương</v>
          </cell>
          <cell r="S315" t="str">
            <v>Huỳnh Thị Hoài Duyên</v>
          </cell>
          <cell r="T315" t="b">
            <v>0</v>
          </cell>
          <cell r="U315" t="str">
            <v>PTTT 04c</v>
          </cell>
          <cell r="V315" t="str">
            <v>PTTT 04c</v>
          </cell>
          <cell r="W315" t="str">
            <v>1 người</v>
          </cell>
          <cell r="X315" t="str">
            <v>NGUYỄN THỊ CÚC</v>
          </cell>
        </row>
        <row r="316">
          <cell r="I316" t="str">
            <v>B2.12a.09</v>
          </cell>
          <cell r="J316" t="str">
            <v>TRẦN SONG NGUYÊN KHÔI</v>
          </cell>
          <cell r="K316" t="str">
            <v>Sàn liên kết</v>
          </cell>
          <cell r="L316" t="str">
            <v>Teraland</v>
          </cell>
          <cell r="M316" t="str">
            <v>Teraland</v>
          </cell>
          <cell r="N316">
            <v>0</v>
          </cell>
          <cell r="O316" t="str">
            <v>TRẦN SONG NGUYÊN KHÔI</v>
          </cell>
          <cell r="P316" t="str">
            <v>Sàn liên kết</v>
          </cell>
          <cell r="Q316" t="str">
            <v>Teraland</v>
          </cell>
          <cell r="R316" t="str">
            <v>Teraland</v>
          </cell>
          <cell r="S316">
            <v>0</v>
          </cell>
          <cell r="T316" t="b">
            <v>1</v>
          </cell>
          <cell r="U316">
            <v>0</v>
          </cell>
          <cell r="V316" t="str">
            <v>PTTT 04c</v>
          </cell>
          <cell r="W316" t="str">
            <v>1 người</v>
          </cell>
          <cell r="X316" t="str">
            <v>TRẦN SONG NGUYÊN KHÔI</v>
          </cell>
        </row>
        <row r="317">
          <cell r="I317" t="str">
            <v>B2.12a.20</v>
          </cell>
          <cell r="J317" t="str">
            <v>NGUYỄN VĂN HOÀNG</v>
          </cell>
          <cell r="K317" t="str">
            <v>Bình Thạnh</v>
          </cell>
          <cell r="L317" t="str">
            <v>Ngọc Linh</v>
          </cell>
          <cell r="M317" t="str">
            <v>Thanh Đức</v>
          </cell>
          <cell r="N317" t="str">
            <v>Trần Nhựt Thư</v>
          </cell>
          <cell r="O317">
            <v>0</v>
          </cell>
          <cell r="P317" t="str">
            <v>Bình Thạnh</v>
          </cell>
          <cell r="Q317" t="str">
            <v>Ngọc Linh</v>
          </cell>
          <cell r="R317" t="str">
            <v>Thanh Đức</v>
          </cell>
          <cell r="S317" t="str">
            <v>Trần Nhựt Thư</v>
          </cell>
          <cell r="T317" t="b">
            <v>0</v>
          </cell>
          <cell r="U317">
            <v>0</v>
          </cell>
          <cell r="V317" t="str">
            <v>PTTT 08c</v>
          </cell>
          <cell r="W317" t="str">
            <v>2 người</v>
          </cell>
          <cell r="X317" t="str">
            <v>NGUYỄN VĂN HÙNG</v>
          </cell>
        </row>
        <row r="318">
          <cell r="I318" t="str">
            <v>B2.12a.21</v>
          </cell>
          <cell r="J318" t="str">
            <v>HÀ VĂN XUÂN</v>
          </cell>
          <cell r="K318" t="str">
            <v>Quận 3</v>
          </cell>
          <cell r="L318" t="str">
            <v>Kỳ Long</v>
          </cell>
          <cell r="M318" t="str">
            <v>Văn Tuyên</v>
          </cell>
          <cell r="N318" t="str">
            <v>Trần Thị Thùy Dung</v>
          </cell>
          <cell r="O318" t="str">
            <v>HÀ VĂN XUÂN</v>
          </cell>
          <cell r="P318" t="str">
            <v>Quận 3</v>
          </cell>
          <cell r="Q318" t="str">
            <v>Kỳ Long</v>
          </cell>
          <cell r="R318" t="str">
            <v>Văn Tuyên</v>
          </cell>
          <cell r="S318" t="str">
            <v>Trần Thị Thùy Dung</v>
          </cell>
          <cell r="T318" t="b">
            <v>1</v>
          </cell>
          <cell r="U318" t="str">
            <v>PTTT 04c</v>
          </cell>
          <cell r="V318" t="str">
            <v>PTTT 04c</v>
          </cell>
          <cell r="W318" t="str">
            <v>1 người</v>
          </cell>
          <cell r="X318" t="str">
            <v>HÀ VĂN XUÂN</v>
          </cell>
        </row>
        <row r="319">
          <cell r="I319" t="str">
            <v>B2.12a.22</v>
          </cell>
          <cell r="J319" t="str">
            <v>PHẠM TRUNG THUẤN</v>
          </cell>
          <cell r="K319" t="str">
            <v>Bình Thạnh</v>
          </cell>
          <cell r="L319" t="str">
            <v>Thanh Hà</v>
          </cell>
          <cell r="M319" t="str">
            <v>Đức Đồng</v>
          </cell>
          <cell r="N319" t="str">
            <v>Nguyễn Thành Văn</v>
          </cell>
          <cell r="O319">
            <v>0</v>
          </cell>
          <cell r="P319" t="str">
            <v>Bình Thạnh</v>
          </cell>
          <cell r="Q319" t="str">
            <v>Thanh Hà</v>
          </cell>
          <cell r="R319" t="str">
            <v>Đức Đồng</v>
          </cell>
          <cell r="S319" t="str">
            <v>Nguyễn Thành Văn</v>
          </cell>
          <cell r="T319" t="b">
            <v>0</v>
          </cell>
          <cell r="U319">
            <v>0</v>
          </cell>
          <cell r="V319" t="str">
            <v>PTTT 09c</v>
          </cell>
          <cell r="W319" t="str">
            <v>2 người</v>
          </cell>
          <cell r="X319" t="str">
            <v>PHẠM TRUNG THUẤN</v>
          </cell>
        </row>
        <row r="320">
          <cell r="I320" t="str">
            <v>B2.14.01</v>
          </cell>
          <cell r="J320" t="str">
            <v>TRÀ TẤN TỨ</v>
          </cell>
          <cell r="K320" t="str">
            <v>Bình Thạnh</v>
          </cell>
          <cell r="L320" t="str">
            <v>Ngọc Linh</v>
          </cell>
          <cell r="M320" t="str">
            <v>Phạm Vĩ</v>
          </cell>
          <cell r="N320" t="str">
            <v>Lê Văn Thông</v>
          </cell>
          <cell r="O320">
            <v>0</v>
          </cell>
          <cell r="P320" t="str">
            <v>Bình Thạnh</v>
          </cell>
          <cell r="Q320" t="str">
            <v>Ngọc Linh</v>
          </cell>
          <cell r="R320" t="str">
            <v>Phạm Vĩ</v>
          </cell>
          <cell r="S320" t="str">
            <v>Lê Văn Thông</v>
          </cell>
          <cell r="T320" t="b">
            <v>0</v>
          </cell>
          <cell r="U320">
            <v>0</v>
          </cell>
          <cell r="V320" t="str">
            <v>PTTT 09c</v>
          </cell>
          <cell r="W320" t="str">
            <v>2 người</v>
          </cell>
          <cell r="X320" t="str">
            <v>TRÀ TẤN TỨ</v>
          </cell>
        </row>
        <row r="321">
          <cell r="I321" t="str">
            <v>B2.14.02</v>
          </cell>
          <cell r="J321" t="str">
            <v>NGUYỄN MẠNH CƯỜNG</v>
          </cell>
          <cell r="K321" t="str">
            <v>Bình Thạnh</v>
          </cell>
          <cell r="L321" t="str">
            <v>Ngọc Linh</v>
          </cell>
          <cell r="M321" t="str">
            <v>Đình Ban</v>
          </cell>
          <cell r="N321" t="str">
            <v>Phan Thị Ngọc Hiếu</v>
          </cell>
          <cell r="O321">
            <v>0</v>
          </cell>
          <cell r="P321" t="str">
            <v>Bình Thạnh</v>
          </cell>
          <cell r="Q321" t="str">
            <v>Ngọc Linh</v>
          </cell>
          <cell r="R321" t="str">
            <v>Đình Ban</v>
          </cell>
          <cell r="S321" t="str">
            <v>Phan Thị Ngọc Hiếu</v>
          </cell>
          <cell r="T321" t="b">
            <v>0</v>
          </cell>
          <cell r="U321">
            <v>0</v>
          </cell>
          <cell r="V321" t="str">
            <v>PTTT 09c</v>
          </cell>
          <cell r="W321" t="str">
            <v>1 người</v>
          </cell>
          <cell r="X321" t="str">
            <v>HOÀNG THỊ SỬU</v>
          </cell>
        </row>
        <row r="322">
          <cell r="I322" t="str">
            <v>B2.14.03</v>
          </cell>
          <cell r="J322" t="str">
            <v>NGUYỄN MẠNH QUANG</v>
          </cell>
          <cell r="K322" t="str">
            <v>Quận 3</v>
          </cell>
          <cell r="L322" t="str">
            <v>Văn Tùng</v>
          </cell>
          <cell r="M322" t="str">
            <v>Thiện Quý</v>
          </cell>
          <cell r="N322" t="str">
            <v>Trần Thị Kim Yên</v>
          </cell>
          <cell r="O322">
            <v>0</v>
          </cell>
          <cell r="P322" t="str">
            <v>Quận 3</v>
          </cell>
          <cell r="Q322" t="str">
            <v>Văn Tùng</v>
          </cell>
          <cell r="R322" t="str">
            <v>Thiện Quý</v>
          </cell>
          <cell r="S322" t="str">
            <v>Trần Thị Kim Yên</v>
          </cell>
          <cell r="T322" t="b">
            <v>0</v>
          </cell>
          <cell r="U322">
            <v>0</v>
          </cell>
          <cell r="V322" t="str">
            <v>PTTT 09c</v>
          </cell>
          <cell r="W322" t="str">
            <v>1 người</v>
          </cell>
          <cell r="X322" t="str">
            <v>NGUYỄN MẠNH QUANG</v>
          </cell>
        </row>
        <row r="323">
          <cell r="I323" t="str">
            <v>B2.14.04</v>
          </cell>
          <cell r="J323" t="str">
            <v>LA THỊ KIM THOA</v>
          </cell>
          <cell r="K323" t="str">
            <v>Bình Thạnh</v>
          </cell>
          <cell r="L323" t="str">
            <v>Ngọc Linh</v>
          </cell>
          <cell r="M323" t="str">
            <v>Quốc Tuấn</v>
          </cell>
          <cell r="N323" t="str">
            <v>La Thị Kim Thoa</v>
          </cell>
          <cell r="O323">
            <v>0</v>
          </cell>
          <cell r="P323" t="str">
            <v>Bình Thạnh</v>
          </cell>
          <cell r="Q323" t="str">
            <v>Ngọc Linh</v>
          </cell>
          <cell r="R323" t="str">
            <v>Quốc Tuấn</v>
          </cell>
          <cell r="S323" t="str">
            <v>La Thị Kim Thoa</v>
          </cell>
          <cell r="T323" t="b">
            <v>0</v>
          </cell>
          <cell r="U323">
            <v>0</v>
          </cell>
          <cell r="V323" t="str">
            <v>PTTT 09c</v>
          </cell>
          <cell r="W323" t="str">
            <v>1 người</v>
          </cell>
          <cell r="X323" t="str">
            <v>NGUYỄN THANH THỦY TRÚC</v>
          </cell>
        </row>
        <row r="324">
          <cell r="I324" t="str">
            <v>B2.14.05</v>
          </cell>
          <cell r="J324" t="str">
            <v>LÊ CÔNG TRUNG</v>
          </cell>
          <cell r="K324" t="str">
            <v>Bình Thạnh</v>
          </cell>
          <cell r="L324" t="str">
            <v>Ngọc Linh</v>
          </cell>
          <cell r="M324" t="str">
            <v>Thanh Đức</v>
          </cell>
          <cell r="N324" t="str">
            <v>Phan Xuân Thưởng</v>
          </cell>
          <cell r="O324">
            <v>0</v>
          </cell>
          <cell r="P324" t="str">
            <v>Bình Thạnh</v>
          </cell>
          <cell r="Q324" t="str">
            <v>Ngọc Linh</v>
          </cell>
          <cell r="R324" t="str">
            <v>Thanh Đức</v>
          </cell>
          <cell r="S324" t="str">
            <v>Phan Xuân Thưởng</v>
          </cell>
          <cell r="T324" t="b">
            <v>0</v>
          </cell>
          <cell r="U324">
            <v>0</v>
          </cell>
          <cell r="V324" t="str">
            <v>PTTT 04c</v>
          </cell>
          <cell r="W324" t="str">
            <v>1 người</v>
          </cell>
          <cell r="X324" t="str">
            <v>LÊ CÔNG TRUNG</v>
          </cell>
        </row>
        <row r="325">
          <cell r="I325" t="str">
            <v>B2.14.06</v>
          </cell>
          <cell r="J325" t="str">
            <v>NGUYỄN ĐỨC CHÚC</v>
          </cell>
          <cell r="K325" t="str">
            <v>Bình Thạnh</v>
          </cell>
          <cell r="L325" t="str">
            <v>Lê Mai</v>
          </cell>
          <cell r="M325" t="str">
            <v>Phương Thúy</v>
          </cell>
          <cell r="N325" t="str">
            <v>Bùi Sỹ Bừng</v>
          </cell>
          <cell r="O325">
            <v>0</v>
          </cell>
          <cell r="P325" t="str">
            <v>Bình Thạnh</v>
          </cell>
          <cell r="Q325" t="str">
            <v>Lê Mai</v>
          </cell>
          <cell r="R325" t="str">
            <v>Phương Thúy</v>
          </cell>
          <cell r="S325" t="str">
            <v>Bùi Sỹ Bừng</v>
          </cell>
          <cell r="T325" t="b">
            <v>0</v>
          </cell>
          <cell r="U325">
            <v>0</v>
          </cell>
          <cell r="V325" t="str">
            <v>PTTT 09c</v>
          </cell>
          <cell r="W325" t="str">
            <v>1 người</v>
          </cell>
          <cell r="X325" t="str">
            <v>NGUYỄN ĐỨC CHÚC</v>
          </cell>
        </row>
        <row r="326">
          <cell r="I326" t="str">
            <v>B2.14.07</v>
          </cell>
          <cell r="J326" t="str">
            <v>???</v>
          </cell>
          <cell r="K326" t="str">
            <v>???</v>
          </cell>
          <cell r="L326" t="str">
            <v>???</v>
          </cell>
          <cell r="M326" t="str">
            <v>???</v>
          </cell>
          <cell r="N326" t="str">
            <v>???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 t="b">
            <v>1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</row>
        <row r="327">
          <cell r="I327" t="str">
            <v>B2.14.08</v>
          </cell>
          <cell r="J327" t="str">
            <v>ĐẶNG DIỄM PHƯƠNG</v>
          </cell>
          <cell r="K327" t="str">
            <v>Quận 3</v>
          </cell>
          <cell r="L327" t="str">
            <v>Thế Hiển</v>
          </cell>
          <cell r="M327" t="str">
            <v>Văn Tùng</v>
          </cell>
          <cell r="N327" t="str">
            <v>Bùi Thanh Tân</v>
          </cell>
          <cell r="O327" t="str">
            <v>ĐẶNG DIỄM PHƯƠNG</v>
          </cell>
          <cell r="P327" t="str">
            <v>Quận 3</v>
          </cell>
          <cell r="Q327" t="str">
            <v>Thế Hiển</v>
          </cell>
          <cell r="R327" t="str">
            <v>Văn Tùng</v>
          </cell>
          <cell r="S327" t="str">
            <v>Bùi Thanh Tân</v>
          </cell>
          <cell r="T327" t="b">
            <v>1</v>
          </cell>
          <cell r="U327">
            <v>0</v>
          </cell>
          <cell r="V327" t="str">
            <v>PTTT 04c</v>
          </cell>
          <cell r="W327" t="str">
            <v>1 người</v>
          </cell>
          <cell r="X327" t="str">
            <v>ĐẶNG DIỄM PHƯƠNG</v>
          </cell>
        </row>
        <row r="328">
          <cell r="I328" t="str">
            <v>B2.14.09</v>
          </cell>
          <cell r="J328" t="str">
            <v>PHẠM KIM TÚY</v>
          </cell>
          <cell r="K328" t="str">
            <v>Bình Thạnh</v>
          </cell>
          <cell r="L328" t="str">
            <v>Lê Mai</v>
          </cell>
          <cell r="M328" t="str">
            <v>Phương Thúy</v>
          </cell>
          <cell r="N328" t="str">
            <v>Nguyễn Phi Hùng</v>
          </cell>
          <cell r="O328">
            <v>0</v>
          </cell>
          <cell r="P328" t="str">
            <v>Bình Thạnh</v>
          </cell>
          <cell r="Q328" t="str">
            <v>Lê Mai</v>
          </cell>
          <cell r="R328" t="str">
            <v>Phương Thúy</v>
          </cell>
          <cell r="S328" t="str">
            <v>Nguyễn Phi Hùng</v>
          </cell>
          <cell r="T328" t="b">
            <v>0</v>
          </cell>
          <cell r="U328">
            <v>0</v>
          </cell>
          <cell r="V328" t="str">
            <v>PTTT 09c</v>
          </cell>
          <cell r="W328" t="str">
            <v>1 người</v>
          </cell>
          <cell r="X328" t="str">
            <v>PHẠM KIM TUÝ</v>
          </cell>
        </row>
        <row r="329">
          <cell r="I329" t="str">
            <v>B2.14.17</v>
          </cell>
          <cell r="J329" t="str">
            <v>HỒ THỊ THANH PHƯƠNG</v>
          </cell>
          <cell r="K329" t="str">
            <v>Quận 3</v>
          </cell>
          <cell r="L329" t="str">
            <v>Thanh Tuấn</v>
          </cell>
          <cell r="M329" t="str">
            <v>Thanh Liêm</v>
          </cell>
          <cell r="N329" t="str">
            <v>Nguyễn Triêm Định</v>
          </cell>
          <cell r="O329">
            <v>0</v>
          </cell>
          <cell r="P329" t="str">
            <v>Quận 3</v>
          </cell>
          <cell r="Q329" t="str">
            <v>Thanh Tuấn</v>
          </cell>
          <cell r="R329" t="str">
            <v>Thanh Liêm</v>
          </cell>
          <cell r="S329" t="str">
            <v>Nguyễn Triêm Định</v>
          </cell>
          <cell r="T329" t="b">
            <v>0</v>
          </cell>
          <cell r="U329">
            <v>0</v>
          </cell>
          <cell r="V329" t="str">
            <v>PTTT 04c</v>
          </cell>
          <cell r="W329" t="str">
            <v>1 người</v>
          </cell>
          <cell r="X329" t="str">
            <v>HỒ THỊ THANH PHƯƠNG</v>
          </cell>
        </row>
        <row r="330">
          <cell r="I330" t="str">
            <v>B2.14.20</v>
          </cell>
          <cell r="J330" t="str">
            <v>PHAN HUỲNH LIÊN</v>
          </cell>
          <cell r="K330" t="str">
            <v>Bình Thạnh</v>
          </cell>
          <cell r="L330" t="str">
            <v>Lê Mai</v>
          </cell>
          <cell r="M330" t="str">
            <v>Ly Ly</v>
          </cell>
          <cell r="N330" t="str">
            <v>Ngô Thanh Thảo</v>
          </cell>
          <cell r="O330">
            <v>0</v>
          </cell>
          <cell r="P330" t="str">
            <v>Bình Thạnh</v>
          </cell>
          <cell r="Q330" t="str">
            <v>Lê Mai</v>
          </cell>
          <cell r="R330" t="str">
            <v>Ly Ly</v>
          </cell>
          <cell r="S330" t="str">
            <v>Ngô Thanh Thảo</v>
          </cell>
          <cell r="T330" t="b">
            <v>0</v>
          </cell>
          <cell r="U330">
            <v>0</v>
          </cell>
          <cell r="V330" t="str">
            <v>PTTT 08c</v>
          </cell>
          <cell r="W330" t="str">
            <v>1 người</v>
          </cell>
          <cell r="X330" t="str">
            <v>PHAN QUỲNH LIÊN</v>
          </cell>
        </row>
        <row r="331">
          <cell r="I331" t="str">
            <v>B2.14.21</v>
          </cell>
          <cell r="J331" t="str">
            <v>LÊ VŨ TUỆ NƯƠNG</v>
          </cell>
          <cell r="K331" t="str">
            <v>Bình Thạnh</v>
          </cell>
          <cell r="L331" t="str">
            <v>Thanh Hà</v>
          </cell>
          <cell r="M331" t="str">
            <v>Đức Đồng</v>
          </cell>
          <cell r="N331" t="str">
            <v>Nguyễn Trung Kiên</v>
          </cell>
          <cell r="O331">
            <v>0</v>
          </cell>
          <cell r="P331" t="str">
            <v>Bình Thạnh</v>
          </cell>
          <cell r="Q331" t="str">
            <v>Thanh Hà</v>
          </cell>
          <cell r="R331" t="str">
            <v>Đức Đồng</v>
          </cell>
          <cell r="S331" t="str">
            <v>Nguyễn Trung Kiên</v>
          </cell>
          <cell r="T331" t="b">
            <v>0</v>
          </cell>
          <cell r="U331">
            <v>0</v>
          </cell>
          <cell r="V331" t="str">
            <v>PTTT 09c</v>
          </cell>
          <cell r="W331" t="str">
            <v>1 người</v>
          </cell>
          <cell r="X331" t="str">
            <v>LÊ VŨ TUỆ NƯƠNG</v>
          </cell>
        </row>
        <row r="332">
          <cell r="I332" t="str">
            <v>B2.14.22</v>
          </cell>
          <cell r="J332" t="str">
            <v>NGUYỄN VIỆT THÁI</v>
          </cell>
          <cell r="K332" t="str">
            <v>Quận 3</v>
          </cell>
          <cell r="L332" t="str">
            <v>Thanh Tuấn</v>
          </cell>
          <cell r="M332" t="str">
            <v>Anh Tài</v>
          </cell>
          <cell r="N332" t="str">
            <v>Nguyễn Thu Thảo</v>
          </cell>
          <cell r="O332">
            <v>0</v>
          </cell>
          <cell r="P332" t="str">
            <v>Quận 3</v>
          </cell>
          <cell r="Q332" t="str">
            <v>Thanh Tuấn</v>
          </cell>
          <cell r="R332" t="str">
            <v>Anh Tài</v>
          </cell>
          <cell r="S332" t="str">
            <v>Nguyễn Thu Thảo</v>
          </cell>
          <cell r="T332" t="b">
            <v>0</v>
          </cell>
          <cell r="U332">
            <v>0</v>
          </cell>
          <cell r="V332" t="str">
            <v>PTTT 09c</v>
          </cell>
          <cell r="W332" t="str">
            <v>1 người</v>
          </cell>
          <cell r="X332" t="str">
            <v>NGUYỄN VIỆT THÁI</v>
          </cell>
        </row>
        <row r="333">
          <cell r="I333" t="str">
            <v>B2.16.10</v>
          </cell>
          <cell r="J333" t="str">
            <v>NGUYỄN THỊ THANH BÌNH</v>
          </cell>
          <cell r="K333" t="str">
            <v>Bình Thạnh</v>
          </cell>
          <cell r="L333" t="str">
            <v>Lê Mai</v>
          </cell>
          <cell r="M333" t="str">
            <v>Phương Thúy</v>
          </cell>
          <cell r="N333" t="str">
            <v>Bùi Thanh Sang</v>
          </cell>
          <cell r="O333" t="str">
            <v>NGUYỄN THỊ THANH BÌNH</v>
          </cell>
          <cell r="P333" t="str">
            <v>Bình Thạnh</v>
          </cell>
          <cell r="Q333" t="str">
            <v>Lê Mai</v>
          </cell>
          <cell r="R333" t="str">
            <v>Phương Thúy</v>
          </cell>
          <cell r="S333" t="str">
            <v>Bùi Thanh Sang</v>
          </cell>
          <cell r="T333" t="b">
            <v>1</v>
          </cell>
          <cell r="U333" t="str">
            <v>PTTT 06c</v>
          </cell>
          <cell r="V333" t="str">
            <v>PTTT 04c</v>
          </cell>
          <cell r="W333" t="str">
            <v>1 người</v>
          </cell>
          <cell r="X333" t="str">
            <v>NGUYỄN THỊ THANH BÌNH</v>
          </cell>
        </row>
        <row r="334">
          <cell r="I334" t="str">
            <v>B2.16.11</v>
          </cell>
          <cell r="J334" t="str">
            <v>NGUYỄN NGỌC DUY TRUNG</v>
          </cell>
          <cell r="K334" t="str">
            <v>Bình Thạnh</v>
          </cell>
          <cell r="L334" t="str">
            <v>Thanh Hà</v>
          </cell>
          <cell r="M334" t="str">
            <v>Như Ngọc</v>
          </cell>
          <cell r="N334" t="str">
            <v>Trần Hoàng Đạt</v>
          </cell>
          <cell r="O334" t="str">
            <v>NGUYỄN CHÍ CƯỜNG</v>
          </cell>
          <cell r="P334" t="str">
            <v>Bình Thạnh</v>
          </cell>
          <cell r="Q334" t="str">
            <v>Thanh Hà</v>
          </cell>
          <cell r="R334" t="str">
            <v>Như Ngọc</v>
          </cell>
          <cell r="S334" t="str">
            <v>Trần Hoàng Đạt</v>
          </cell>
          <cell r="T334" t="b">
            <v>1</v>
          </cell>
          <cell r="U334" t="str">
            <v>PTTT 06c</v>
          </cell>
          <cell r="V334" t="str">
            <v>PTTT 06c</v>
          </cell>
          <cell r="W334" t="str">
            <v>2 người</v>
          </cell>
          <cell r="X334" t="str">
            <v>NGUYỄN CHÍ CƯỜNG</v>
          </cell>
        </row>
        <row r="335">
          <cell r="I335" t="str">
            <v>B2.16.12</v>
          </cell>
          <cell r="J335" t="str">
            <v>???</v>
          </cell>
          <cell r="K335" t="str">
            <v>???</v>
          </cell>
          <cell r="L335" t="str">
            <v>???</v>
          </cell>
          <cell r="M335" t="str">
            <v>???</v>
          </cell>
          <cell r="N335" t="str">
            <v>???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 t="b">
            <v>1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</row>
        <row r="336">
          <cell r="I336" t="str">
            <v>B2.16.13</v>
          </cell>
          <cell r="J336" t="str">
            <v>NGUYỄN THANH XUÂN ĐÀI</v>
          </cell>
          <cell r="K336" t="str">
            <v>Quận 3</v>
          </cell>
          <cell r="L336" t="str">
            <v>Thanh Tuấn</v>
          </cell>
          <cell r="M336" t="str">
            <v>Thanh Liêm</v>
          </cell>
          <cell r="N336" t="str">
            <v>Nguyễn Thị Yến Nương</v>
          </cell>
          <cell r="O336" t="str">
            <v>NGUYỄN THANH XUÂN ĐÀI</v>
          </cell>
          <cell r="P336" t="str">
            <v>Quận 3</v>
          </cell>
          <cell r="Q336" t="str">
            <v>Thanh Tuấn</v>
          </cell>
          <cell r="R336" t="str">
            <v>Thanh Liêm</v>
          </cell>
          <cell r="S336" t="str">
            <v>Nguyễn Thị Yến Nương</v>
          </cell>
          <cell r="T336" t="b">
            <v>1</v>
          </cell>
          <cell r="U336" t="str">
            <v>PTTT 04c</v>
          </cell>
          <cell r="V336" t="str">
            <v>PTTT 04c</v>
          </cell>
          <cell r="W336" t="str">
            <v>2 người</v>
          </cell>
          <cell r="X336" t="str">
            <v>NGUYỄN THANH XUÂN ĐÀI</v>
          </cell>
        </row>
        <row r="337">
          <cell r="I337" t="str">
            <v>B2.16.14</v>
          </cell>
          <cell r="J337" t="str">
            <v>LÊ THỊ THÚY HẰNG</v>
          </cell>
          <cell r="K337" t="str">
            <v>Bình Thạnh</v>
          </cell>
          <cell r="L337" t="str">
            <v>Ngọc Linh</v>
          </cell>
          <cell r="M337" t="str">
            <v>Phạm Vĩ</v>
          </cell>
          <cell r="N337" t="str">
            <v>Lê Văn Thông</v>
          </cell>
          <cell r="O337">
            <v>0</v>
          </cell>
          <cell r="P337" t="str">
            <v>Bình Thạnh</v>
          </cell>
          <cell r="Q337" t="str">
            <v>Ngọc Linh</v>
          </cell>
          <cell r="R337" t="str">
            <v>Phạm Vĩ</v>
          </cell>
          <cell r="S337" t="str">
            <v>Lê Văn Thông</v>
          </cell>
          <cell r="T337" t="b">
            <v>0</v>
          </cell>
          <cell r="U337">
            <v>0</v>
          </cell>
          <cell r="V337" t="str">
            <v>PTTT 09c</v>
          </cell>
          <cell r="W337" t="str">
            <v>1 người</v>
          </cell>
          <cell r="X337" t="str">
            <v>LÊ THỊ THÚY HẰNG</v>
          </cell>
        </row>
        <row r="338">
          <cell r="I338" t="str">
            <v>B2.16.15</v>
          </cell>
          <cell r="J338" t="str">
            <v>NGÔ THỊ KIM HOÀNG</v>
          </cell>
          <cell r="K338" t="str">
            <v>Bình Thạnh</v>
          </cell>
          <cell r="L338" t="str">
            <v>Lê Mai</v>
          </cell>
          <cell r="M338" t="str">
            <v>Phương Thúy</v>
          </cell>
          <cell r="N338" t="str">
            <v>Trần Trọng Hùng</v>
          </cell>
          <cell r="O338" t="str">
            <v>NGÔ THỊ KIM HOÀNG</v>
          </cell>
          <cell r="P338" t="str">
            <v>Bình Thạnh</v>
          </cell>
          <cell r="Q338" t="str">
            <v>Lê Mai</v>
          </cell>
          <cell r="R338" t="str">
            <v>Phương Thúy</v>
          </cell>
          <cell r="S338" t="str">
            <v>Trần Trọng Hùng</v>
          </cell>
          <cell r="T338" t="b">
            <v>1</v>
          </cell>
          <cell r="U338" t="str">
            <v>PTTT 04c</v>
          </cell>
          <cell r="V338" t="str">
            <v>PTTT 04c</v>
          </cell>
          <cell r="W338" t="str">
            <v>1 người</v>
          </cell>
          <cell r="X338" t="str">
            <v>NGÔ THỊ KIM HOÀNG</v>
          </cell>
        </row>
        <row r="339">
          <cell r="I339" t="str">
            <v>B2.16.16</v>
          </cell>
          <cell r="J339" t="str">
            <v>PHẠM NGỌC TRUNG</v>
          </cell>
          <cell r="K339" t="str">
            <v>Quận 3</v>
          </cell>
          <cell r="L339" t="str">
            <v>Kỳ Long</v>
          </cell>
          <cell r="M339" t="str">
            <v>Văn Tuyên</v>
          </cell>
          <cell r="N339" t="str">
            <v>Phạm Võ Anh Hiếu</v>
          </cell>
          <cell r="O339" t="str">
            <v>PHẠM NGỌC TRUNG</v>
          </cell>
          <cell r="P339" t="str">
            <v>Quận 3</v>
          </cell>
          <cell r="Q339" t="str">
            <v>Kỳ Long</v>
          </cell>
          <cell r="R339" t="str">
            <v>Văn Tuyên</v>
          </cell>
          <cell r="S339" t="str">
            <v>Phạm Võ Anh Hiếu</v>
          </cell>
          <cell r="T339" t="b">
            <v>1</v>
          </cell>
          <cell r="U339" t="str">
            <v>PTTT 06c</v>
          </cell>
          <cell r="V339" t="str">
            <v>PTTT 04c</v>
          </cell>
          <cell r="W339" t="str">
            <v>2 người</v>
          </cell>
          <cell r="X339" t="str">
            <v>PHẠM NGỌC TRUNG</v>
          </cell>
        </row>
        <row r="340">
          <cell r="I340" t="str">
            <v>B2.16.17</v>
          </cell>
          <cell r="J340" t="str">
            <v>LÊ THANH NHÀN</v>
          </cell>
          <cell r="K340" t="str">
            <v>Quận 3</v>
          </cell>
          <cell r="L340" t="str">
            <v>Thanh Tuấn</v>
          </cell>
          <cell r="M340" t="str">
            <v>Thanh Liêm</v>
          </cell>
          <cell r="N340" t="str">
            <v>Nguyễn Thị Yến Nương</v>
          </cell>
          <cell r="O340" t="str">
            <v>LÊ THANH NHÀN</v>
          </cell>
          <cell r="P340" t="str">
            <v>Quận 3</v>
          </cell>
          <cell r="Q340" t="str">
            <v>Thanh Tuấn</v>
          </cell>
          <cell r="R340" t="str">
            <v>Thanh Liêm</v>
          </cell>
          <cell r="S340" t="str">
            <v>Nguyễn Thị Yến Nương</v>
          </cell>
          <cell r="T340" t="b">
            <v>1</v>
          </cell>
          <cell r="U340" t="str">
            <v>PTTT 04c</v>
          </cell>
          <cell r="V340" t="str">
            <v>PTTT 04c</v>
          </cell>
          <cell r="W340" t="str">
            <v>1 người</v>
          </cell>
          <cell r="X340" t="str">
            <v>LÊ THANH NHÀN</v>
          </cell>
        </row>
        <row r="341">
          <cell r="I341" t="str">
            <v>B2.16.18</v>
          </cell>
          <cell r="J341" t="str">
            <v>LÊ THANH NHÀN</v>
          </cell>
          <cell r="K341" t="str">
            <v>Quận 3</v>
          </cell>
          <cell r="L341" t="str">
            <v>Thanh Tuấn</v>
          </cell>
          <cell r="M341" t="str">
            <v>Thanh Liêm</v>
          </cell>
          <cell r="N341" t="str">
            <v>Trần Quốc Việt</v>
          </cell>
          <cell r="O341" t="str">
            <v>LÊ THANH NHÀN</v>
          </cell>
          <cell r="P341" t="str">
            <v>Quận 3</v>
          </cell>
          <cell r="Q341" t="str">
            <v>Thanh Tuấn</v>
          </cell>
          <cell r="R341" t="str">
            <v>Thanh Liêm</v>
          </cell>
          <cell r="S341" t="str">
            <v>Trần Quốc Việt</v>
          </cell>
          <cell r="T341" t="b">
            <v>1</v>
          </cell>
          <cell r="U341" t="str">
            <v>PTTT 04c</v>
          </cell>
          <cell r="V341" t="str">
            <v>PTTT 04c</v>
          </cell>
          <cell r="W341" t="str">
            <v>1 người</v>
          </cell>
          <cell r="X341" t="str">
            <v>LÊ THANH NHÀN</v>
          </cell>
        </row>
        <row r="342">
          <cell r="I342" t="str">
            <v>B2.16.19</v>
          </cell>
          <cell r="J342" t="str">
            <v>PHAN THỊ ANH THƠ</v>
          </cell>
          <cell r="K342" t="str">
            <v>Bình Thạnh</v>
          </cell>
          <cell r="L342" t="str">
            <v>Thanh Hà</v>
          </cell>
          <cell r="M342" t="str">
            <v>Như Ngọc</v>
          </cell>
          <cell r="N342" t="str">
            <v>Đỗ Đức Đạt</v>
          </cell>
          <cell r="O342" t="str">
            <v>ĐÀO BẢO QUỐC</v>
          </cell>
          <cell r="P342" t="str">
            <v>Bình Thạnh</v>
          </cell>
          <cell r="Q342" t="str">
            <v>Thanh Hà</v>
          </cell>
          <cell r="R342" t="str">
            <v>Như Ngọc</v>
          </cell>
          <cell r="S342" t="str">
            <v>Đỗ Đức Đạt</v>
          </cell>
          <cell r="T342" t="b">
            <v>1</v>
          </cell>
          <cell r="U342">
            <v>0</v>
          </cell>
          <cell r="V342" t="str">
            <v>PTTT 04c</v>
          </cell>
          <cell r="W342" t="str">
            <v>2 người</v>
          </cell>
          <cell r="X342" t="str">
            <v>ĐÀO BẢO QUỐC</v>
          </cell>
        </row>
        <row r="343">
          <cell r="I343" t="str">
            <v>B2.17.01</v>
          </cell>
          <cell r="J343" t="str">
            <v>VÕ ĐỨC TOÀN</v>
          </cell>
          <cell r="K343" t="str">
            <v>Quận 3</v>
          </cell>
          <cell r="L343" t="str">
            <v>Văn Tùng</v>
          </cell>
          <cell r="M343" t="str">
            <v>Thiện Quý</v>
          </cell>
          <cell r="N343" t="str">
            <v>Trần Thị Kim Yên</v>
          </cell>
          <cell r="O343">
            <v>0</v>
          </cell>
          <cell r="P343" t="str">
            <v>Quận 3</v>
          </cell>
          <cell r="Q343" t="str">
            <v>Văn Tùng</v>
          </cell>
          <cell r="R343" t="str">
            <v>Thiện Quý</v>
          </cell>
          <cell r="S343" t="str">
            <v>Trần Thị Kim Yên</v>
          </cell>
          <cell r="T343" t="b">
            <v>0</v>
          </cell>
          <cell r="U343">
            <v>0</v>
          </cell>
          <cell r="V343" t="str">
            <v>PTTT 09c</v>
          </cell>
          <cell r="W343" t="str">
            <v>1 người</v>
          </cell>
          <cell r="X343" t="str">
            <v>VÕ ĐỨC TOÀN</v>
          </cell>
        </row>
        <row r="344">
          <cell r="I344" t="str">
            <v>B2.17.02</v>
          </cell>
          <cell r="J344" t="str">
            <v>NGUYỄN HỒNG TRANG</v>
          </cell>
          <cell r="K344" t="str">
            <v>Quận 3</v>
          </cell>
          <cell r="L344" t="str">
            <v>Thanh Tuấn</v>
          </cell>
          <cell r="M344" t="str">
            <v>Duy Nhật</v>
          </cell>
          <cell r="N344" t="str">
            <v>Tsằn Chiếu Ngàn</v>
          </cell>
          <cell r="O344">
            <v>0</v>
          </cell>
          <cell r="P344" t="str">
            <v>Quận 3</v>
          </cell>
          <cell r="Q344" t="str">
            <v>Thanh Tuấn</v>
          </cell>
          <cell r="R344" t="str">
            <v>Duy Nhật</v>
          </cell>
          <cell r="S344" t="str">
            <v>Tsằn Chiếu Ngàn</v>
          </cell>
          <cell r="T344" t="b">
            <v>0</v>
          </cell>
          <cell r="U344">
            <v>0</v>
          </cell>
          <cell r="V344" t="str">
            <v>PTTT 06c</v>
          </cell>
          <cell r="W344" t="str">
            <v>2 người</v>
          </cell>
          <cell r="X344" t="str">
            <v>NGUYỄN HỒNG TRANG</v>
          </cell>
        </row>
        <row r="345">
          <cell r="I345" t="str">
            <v>B2.17.03</v>
          </cell>
          <cell r="J345" t="str">
            <v>HUỲNH THỊ VÂN</v>
          </cell>
          <cell r="K345" t="str">
            <v>Sàn liên kết</v>
          </cell>
          <cell r="L345" t="str">
            <v>Bcons Homes</v>
          </cell>
          <cell r="M345" t="str">
            <v>Bcons Homes</v>
          </cell>
          <cell r="N345">
            <v>0</v>
          </cell>
          <cell r="O345">
            <v>0</v>
          </cell>
          <cell r="P345" t="str">
            <v>Sàn liên kết</v>
          </cell>
          <cell r="Q345" t="str">
            <v>Bcons Homes</v>
          </cell>
          <cell r="R345" t="str">
            <v>Bcons Homes</v>
          </cell>
          <cell r="S345">
            <v>0</v>
          </cell>
          <cell r="T345" t="b">
            <v>0</v>
          </cell>
          <cell r="U345">
            <v>0</v>
          </cell>
          <cell r="V345" t="str">
            <v>PTTT 04c</v>
          </cell>
          <cell r="W345" t="str">
            <v>1 người</v>
          </cell>
          <cell r="X345" t="str">
            <v>HUỲNH THỊ VÂN</v>
          </cell>
        </row>
        <row r="346">
          <cell r="I346" t="str">
            <v>B2.17.04</v>
          </cell>
          <cell r="J346" t="str">
            <v>CHU THỊ CẨM TÚ</v>
          </cell>
          <cell r="K346" t="str">
            <v>Bình Thạnh</v>
          </cell>
          <cell r="L346" t="str">
            <v>Ngọc Linh</v>
          </cell>
          <cell r="M346" t="str">
            <v>Quốc Tuấn</v>
          </cell>
          <cell r="N346" t="str">
            <v>Huỳnh Thị Thùy Trang</v>
          </cell>
          <cell r="O346">
            <v>0</v>
          </cell>
          <cell r="P346" t="str">
            <v>Bình Thạnh</v>
          </cell>
          <cell r="Q346" t="str">
            <v>Ngọc Linh</v>
          </cell>
          <cell r="R346" t="str">
            <v>Quốc Tuấn</v>
          </cell>
          <cell r="S346" t="str">
            <v>Huỳnh Thị Thùy Trang</v>
          </cell>
          <cell r="T346" t="b">
            <v>0</v>
          </cell>
          <cell r="U346">
            <v>0</v>
          </cell>
          <cell r="V346" t="str">
            <v>PTTT 04c</v>
          </cell>
          <cell r="W346" t="str">
            <v>1 người</v>
          </cell>
          <cell r="X346" t="str">
            <v>CHU THỊ CẨM TÚ</v>
          </cell>
        </row>
        <row r="347">
          <cell r="I347" t="str">
            <v>B2.17.05</v>
          </cell>
          <cell r="J347" t="str">
            <v>ĐOÀN THỊ NHẬT THẮM</v>
          </cell>
          <cell r="K347" t="str">
            <v>Quận 3</v>
          </cell>
          <cell r="L347" t="str">
            <v>Thanh Tuấn</v>
          </cell>
          <cell r="M347" t="str">
            <v>Tuấn Vương</v>
          </cell>
          <cell r="N347" t="str">
            <v>Huỳnh Thành Tín</v>
          </cell>
          <cell r="O347">
            <v>0</v>
          </cell>
          <cell r="P347" t="str">
            <v>Quận 3</v>
          </cell>
          <cell r="Q347" t="str">
            <v>Thanh Tuấn</v>
          </cell>
          <cell r="R347" t="str">
            <v>Tuấn Vương</v>
          </cell>
          <cell r="S347" t="str">
            <v>Huỳnh Thành Tín</v>
          </cell>
          <cell r="T347" t="b">
            <v>0</v>
          </cell>
          <cell r="U347">
            <v>0</v>
          </cell>
          <cell r="V347" t="str">
            <v>PTTT 04c</v>
          </cell>
          <cell r="W347" t="str">
            <v>1 người</v>
          </cell>
          <cell r="X347" t="str">
            <v>ĐOÀN THỊ NHẬT THẮM</v>
          </cell>
        </row>
        <row r="348">
          <cell r="I348" t="str">
            <v>B2.17.06</v>
          </cell>
          <cell r="J348" t="str">
            <v>NGUYỄN TÀI SON</v>
          </cell>
          <cell r="K348" t="str">
            <v>Quận 3</v>
          </cell>
          <cell r="L348" t="str">
            <v>Kỳ Long</v>
          </cell>
          <cell r="M348" t="str">
            <v>Phi Thoại</v>
          </cell>
          <cell r="N348" t="str">
            <v>Phan Thành Binh</v>
          </cell>
          <cell r="O348">
            <v>0</v>
          </cell>
          <cell r="P348" t="str">
            <v>Quận 3</v>
          </cell>
          <cell r="Q348" t="str">
            <v>Kỳ Long</v>
          </cell>
          <cell r="R348" t="str">
            <v>Phi Thoại</v>
          </cell>
          <cell r="S348" t="str">
            <v>Phan Thành Binh</v>
          </cell>
          <cell r="T348" t="b">
            <v>0</v>
          </cell>
          <cell r="U348">
            <v>0</v>
          </cell>
          <cell r="V348" t="str">
            <v>PTTT 09c</v>
          </cell>
          <cell r="W348" t="str">
            <v>1 người</v>
          </cell>
          <cell r="X348" t="str">
            <v>NGUYỄN TÀI KHOA</v>
          </cell>
        </row>
        <row r="349">
          <cell r="I349" t="str">
            <v>B2.17.07</v>
          </cell>
          <cell r="J349" t="str">
            <v>ĐINH CÔNG THÙY VÂN</v>
          </cell>
          <cell r="K349" t="str">
            <v>Quận 3</v>
          </cell>
          <cell r="L349" t="str">
            <v>Thanh Tuấn</v>
          </cell>
          <cell r="M349" t="str">
            <v>Anh Tài</v>
          </cell>
          <cell r="N349" t="str">
            <v>Đỗ Thị Thanh Tuyền</v>
          </cell>
          <cell r="O349">
            <v>0</v>
          </cell>
          <cell r="P349" t="str">
            <v>Quận 3</v>
          </cell>
          <cell r="Q349" t="str">
            <v>Thanh Tuấn</v>
          </cell>
          <cell r="R349" t="str">
            <v>Anh Tài</v>
          </cell>
          <cell r="S349" t="str">
            <v>Đỗ Thị Thanh Tuyền</v>
          </cell>
          <cell r="T349" t="b">
            <v>0</v>
          </cell>
          <cell r="U349">
            <v>0</v>
          </cell>
          <cell r="V349" t="str">
            <v>PTTT 09c</v>
          </cell>
          <cell r="W349" t="str">
            <v>2 người</v>
          </cell>
          <cell r="X349" t="str">
            <v>ĐINH CÔNG THÙY VÂN</v>
          </cell>
        </row>
        <row r="350">
          <cell r="I350" t="str">
            <v>B2.17.08</v>
          </cell>
          <cell r="J350" t="str">
            <v>LA THỊ KIM THOA</v>
          </cell>
          <cell r="K350" t="str">
            <v>Bình Thạnh</v>
          </cell>
          <cell r="L350" t="str">
            <v>Ngọc Linh</v>
          </cell>
          <cell r="M350" t="str">
            <v>Quốc Tuấn</v>
          </cell>
          <cell r="N350" t="str">
            <v>La Thị Kim Thoa</v>
          </cell>
          <cell r="O350" t="str">
            <v>LA THỊ KIM THOA</v>
          </cell>
          <cell r="P350" t="str">
            <v>Bình Thạnh</v>
          </cell>
          <cell r="Q350" t="str">
            <v>Ngọc Linh</v>
          </cell>
          <cell r="R350" t="str">
            <v>Quốc Tuấn</v>
          </cell>
          <cell r="S350" t="str">
            <v>La Thị Kim Thoa</v>
          </cell>
          <cell r="T350" t="b">
            <v>0</v>
          </cell>
          <cell r="U350">
            <v>0</v>
          </cell>
          <cell r="V350" t="str">
            <v>PTTT 04c</v>
          </cell>
          <cell r="W350" t="str">
            <v>Công ty</v>
          </cell>
          <cell r="X350" t="str">
            <v>NGUYỄN THỊ HẠNH</v>
          </cell>
        </row>
        <row r="351">
          <cell r="I351" t="str">
            <v>B2.17.09</v>
          </cell>
          <cell r="J351" t="str">
            <v>NGUYỄN VĂN HẢI</v>
          </cell>
          <cell r="K351" t="str">
            <v>Quận 3</v>
          </cell>
          <cell r="L351" t="str">
            <v>Thanh Tuấn</v>
          </cell>
          <cell r="M351" t="str">
            <v>Anh Tài</v>
          </cell>
          <cell r="N351" t="str">
            <v>Nguyễn Văn Vũ</v>
          </cell>
          <cell r="O351">
            <v>0</v>
          </cell>
          <cell r="P351" t="str">
            <v>Quận 3</v>
          </cell>
          <cell r="Q351" t="str">
            <v>Thanh Tuấn</v>
          </cell>
          <cell r="R351" t="str">
            <v>Anh Tài</v>
          </cell>
          <cell r="S351">
            <v>0</v>
          </cell>
          <cell r="T351" t="b">
            <v>0</v>
          </cell>
          <cell r="U351">
            <v>0</v>
          </cell>
          <cell r="V351" t="str">
            <v>PTTT 09c</v>
          </cell>
          <cell r="W351" t="str">
            <v>1 người</v>
          </cell>
          <cell r="X351" t="str">
            <v>NGUYỄN VĂN HẢI</v>
          </cell>
        </row>
        <row r="352">
          <cell r="I352" t="str">
            <v>B2.17.10</v>
          </cell>
          <cell r="J352" t="str">
            <v>???</v>
          </cell>
          <cell r="K352" t="str">
            <v>???</v>
          </cell>
          <cell r="L352" t="str">
            <v>???</v>
          </cell>
          <cell r="M352" t="str">
            <v>???</v>
          </cell>
          <cell r="N352" t="str">
            <v>???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 t="b">
            <v>1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</row>
        <row r="353">
          <cell r="I353" t="str">
            <v>B2.17.12</v>
          </cell>
          <cell r="J353" t="str">
            <v>NGÔ VĂN BÁCH</v>
          </cell>
          <cell r="K353" t="str">
            <v>Quận 3</v>
          </cell>
          <cell r="L353" t="str">
            <v>Văn Tùng</v>
          </cell>
          <cell r="M353" t="str">
            <v>Trinh Trinh</v>
          </cell>
          <cell r="N353" t="str">
            <v>Nguyễn Sơn Trang</v>
          </cell>
          <cell r="O353">
            <v>0</v>
          </cell>
          <cell r="P353" t="str">
            <v>Quận 3</v>
          </cell>
          <cell r="Q353" t="str">
            <v>Văn Tùng</v>
          </cell>
          <cell r="R353" t="str">
            <v>Trinh Trinh</v>
          </cell>
          <cell r="S353" t="str">
            <v>Nguyễn Sơn Trang</v>
          </cell>
          <cell r="T353" t="b">
            <v>0</v>
          </cell>
          <cell r="U353">
            <v>0</v>
          </cell>
          <cell r="V353" t="str">
            <v>PTTT 09c</v>
          </cell>
          <cell r="W353" t="str">
            <v>1 người</v>
          </cell>
          <cell r="X353" t="str">
            <v>NGÔ VĂN BÁCH</v>
          </cell>
        </row>
        <row r="354">
          <cell r="I354" t="str">
            <v>B2.17.20</v>
          </cell>
          <cell r="J354" t="str">
            <v>PHẠM TRUNG KIÊN</v>
          </cell>
          <cell r="K354" t="str">
            <v>Bình Thạnh</v>
          </cell>
          <cell r="L354" t="str">
            <v>Thanh Hà</v>
          </cell>
          <cell r="M354" t="str">
            <v>Như Ngọc</v>
          </cell>
          <cell r="N354" t="str">
            <v>Phùng Tấn Hiệp</v>
          </cell>
          <cell r="O354">
            <v>0</v>
          </cell>
          <cell r="P354" t="str">
            <v>Bình Thạnh</v>
          </cell>
          <cell r="Q354" t="str">
            <v>Thanh Hà</v>
          </cell>
          <cell r="R354" t="str">
            <v>Như Ngọc</v>
          </cell>
          <cell r="S354" t="str">
            <v>Phùng Tấn Hiệp</v>
          </cell>
          <cell r="T354" t="b">
            <v>0</v>
          </cell>
          <cell r="U354">
            <v>0</v>
          </cell>
          <cell r="V354" t="str">
            <v>PTTT 09c</v>
          </cell>
          <cell r="W354" t="str">
            <v>2 người</v>
          </cell>
          <cell r="X354" t="str">
            <v>PHẠM TRUNG KIÊN</v>
          </cell>
        </row>
        <row r="355">
          <cell r="I355" t="str">
            <v>B2.17.21</v>
          </cell>
          <cell r="J355" t="str">
            <v>LƯƠNG HẠNH NGUYÊN</v>
          </cell>
          <cell r="K355" t="str">
            <v>Bình Thạnh</v>
          </cell>
          <cell r="L355" t="str">
            <v>Thanh Hà</v>
          </cell>
          <cell r="M355" t="str">
            <v>Như Ngọc</v>
          </cell>
          <cell r="N355" t="str">
            <v>Trần Hoàng Đạt</v>
          </cell>
          <cell r="O355">
            <v>0</v>
          </cell>
          <cell r="P355" t="str">
            <v>Bình Thạnh</v>
          </cell>
          <cell r="Q355" t="str">
            <v>Thanh Hà</v>
          </cell>
          <cell r="R355" t="str">
            <v>Như Ngọc</v>
          </cell>
          <cell r="S355">
            <v>0</v>
          </cell>
          <cell r="T355" t="b">
            <v>0</v>
          </cell>
          <cell r="U355">
            <v>0</v>
          </cell>
          <cell r="V355" t="str">
            <v>PTTT 09c</v>
          </cell>
          <cell r="W355" t="str">
            <v>1 người</v>
          </cell>
          <cell r="X355" t="str">
            <v>LƯƠNG HẠNH NGUYÊN</v>
          </cell>
        </row>
        <row r="356">
          <cell r="I356" t="str">
            <v>B2.17.22</v>
          </cell>
          <cell r="J356" t="str">
            <v>TRẦN THÁI HÀ</v>
          </cell>
          <cell r="K356" t="str">
            <v>Bình Thạnh</v>
          </cell>
          <cell r="L356" t="str">
            <v>Thanh Hà</v>
          </cell>
          <cell r="M356" t="str">
            <v>Đức Đồng</v>
          </cell>
          <cell r="N356" t="str">
            <v>Nguyễn Ngọc Anh Thư</v>
          </cell>
          <cell r="O356">
            <v>0</v>
          </cell>
          <cell r="P356" t="str">
            <v>Bình Thạnh</v>
          </cell>
          <cell r="Q356" t="str">
            <v>Thanh Hà</v>
          </cell>
          <cell r="R356" t="str">
            <v>Đức Đồng</v>
          </cell>
          <cell r="S356" t="str">
            <v>Nguyễn Ngọc Anh Thư</v>
          </cell>
          <cell r="T356" t="b">
            <v>0</v>
          </cell>
          <cell r="U356">
            <v>0</v>
          </cell>
          <cell r="V356" t="str">
            <v>PTTT 09c</v>
          </cell>
          <cell r="W356" t="str">
            <v>1 người</v>
          </cell>
          <cell r="X356" t="str">
            <v>NGUYỄN THỊ HỒNG MỴ</v>
          </cell>
        </row>
        <row r="357">
          <cell r="I357" t="str">
            <v>B2.19.10</v>
          </cell>
          <cell r="J357" t="str">
            <v>TRƯƠNG QUANG HOÀNG</v>
          </cell>
          <cell r="K357" t="str">
            <v>Quận 3</v>
          </cell>
          <cell r="L357" t="str">
            <v>Thanh Tuấn</v>
          </cell>
          <cell r="M357" t="str">
            <v>Duy Nhật</v>
          </cell>
          <cell r="N357" t="str">
            <v>Nguyễn Thị Thùy Ngân</v>
          </cell>
          <cell r="O357">
            <v>0</v>
          </cell>
          <cell r="P357" t="str">
            <v>Quận 3</v>
          </cell>
          <cell r="Q357" t="str">
            <v>Thanh Tuấn</v>
          </cell>
          <cell r="R357" t="str">
            <v>Duy Nhật</v>
          </cell>
          <cell r="S357" t="str">
            <v>Nguyễn Thị Thùy Ngân</v>
          </cell>
          <cell r="T357" t="b">
            <v>0</v>
          </cell>
          <cell r="U357">
            <v>0</v>
          </cell>
          <cell r="V357" t="str">
            <v>PTTT 09c</v>
          </cell>
          <cell r="W357" t="str">
            <v>1 người</v>
          </cell>
          <cell r="X357" t="str">
            <v>TRƯƠNG QUANG HOÀNG</v>
          </cell>
        </row>
        <row r="358">
          <cell r="I358" t="str">
            <v>B2.19.11</v>
          </cell>
          <cell r="J358" t="str">
            <v>NGUYỄN THANH MAI</v>
          </cell>
          <cell r="K358" t="str">
            <v>Bình Thạnh</v>
          </cell>
          <cell r="L358" t="str">
            <v>Lê Mai</v>
          </cell>
          <cell r="M358" t="str">
            <v>Phương Thúy</v>
          </cell>
          <cell r="N358" t="str">
            <v>Nguyễn Phi Hùng</v>
          </cell>
          <cell r="O358" t="str">
            <v>NGUYỄN THANH MAI</v>
          </cell>
          <cell r="P358" t="str">
            <v>Bình Thạnh</v>
          </cell>
          <cell r="Q358" t="str">
            <v>Lê Mai</v>
          </cell>
          <cell r="R358" t="str">
            <v>Phương Thúy</v>
          </cell>
          <cell r="S358" t="str">
            <v>Nguyễn Phi Hùng</v>
          </cell>
          <cell r="T358" t="b">
            <v>1</v>
          </cell>
          <cell r="U358" t="str">
            <v>PTTT 04c</v>
          </cell>
          <cell r="V358" t="str">
            <v>PTTT 04c</v>
          </cell>
          <cell r="W358" t="str">
            <v>1 người</v>
          </cell>
          <cell r="X358" t="str">
            <v>NGUYỄN THANH MAI</v>
          </cell>
        </row>
        <row r="359">
          <cell r="I359" t="str">
            <v>B2.19.12</v>
          </cell>
          <cell r="J359" t="str">
            <v>???</v>
          </cell>
          <cell r="K359" t="str">
            <v>???</v>
          </cell>
          <cell r="L359" t="str">
            <v>???</v>
          </cell>
          <cell r="M359" t="str">
            <v>???</v>
          </cell>
          <cell r="N359" t="str">
            <v>???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 t="b">
            <v>1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</row>
        <row r="360">
          <cell r="I360" t="str">
            <v>B2.19.13</v>
          </cell>
          <cell r="J360" t="str">
            <v>PHAN THỊ DIỆU</v>
          </cell>
          <cell r="K360" t="str">
            <v>Sàn liên kết</v>
          </cell>
          <cell r="L360" t="str">
            <v>Bcons Homes</v>
          </cell>
          <cell r="M360" t="str">
            <v>Bcons Homes</v>
          </cell>
          <cell r="N360">
            <v>0</v>
          </cell>
          <cell r="O360" t="str">
            <v>PHAN THỊ DIỆU</v>
          </cell>
          <cell r="P360" t="str">
            <v>Sàn liên kết</v>
          </cell>
          <cell r="Q360" t="str">
            <v>Bcons Homes</v>
          </cell>
          <cell r="R360" t="str">
            <v>Bcons Homes</v>
          </cell>
          <cell r="S360">
            <v>0</v>
          </cell>
          <cell r="T360" t="b">
            <v>1</v>
          </cell>
          <cell r="U360">
            <v>0</v>
          </cell>
          <cell r="V360" t="str">
            <v>PTTT 04c</v>
          </cell>
          <cell r="W360" t="str">
            <v>2 người</v>
          </cell>
          <cell r="X360" t="str">
            <v>PHAN THỊ DIỆU</v>
          </cell>
        </row>
        <row r="361">
          <cell r="I361" t="str">
            <v>B2.19.14</v>
          </cell>
          <cell r="J361" t="str">
            <v>NGUYỄN HOÀNG MAI KHANH</v>
          </cell>
          <cell r="K361" t="str">
            <v>Bình Thạnh</v>
          </cell>
          <cell r="L361" t="str">
            <v>Ngọc Linh</v>
          </cell>
          <cell r="M361" t="str">
            <v>Đình Ban</v>
          </cell>
          <cell r="N361" t="str">
            <v>Lê Thị Anh Thư</v>
          </cell>
          <cell r="O361">
            <v>0</v>
          </cell>
          <cell r="P361" t="str">
            <v>Bình Thạnh</v>
          </cell>
          <cell r="Q361" t="str">
            <v>Ngọc Linh</v>
          </cell>
          <cell r="R361" t="str">
            <v>Đình Ban</v>
          </cell>
          <cell r="S361" t="str">
            <v>Lê Thị Anh Thư</v>
          </cell>
          <cell r="T361" t="b">
            <v>0</v>
          </cell>
          <cell r="U361">
            <v>0</v>
          </cell>
          <cell r="V361" t="str">
            <v>PTTT 08c</v>
          </cell>
          <cell r="W361" t="str">
            <v>1 người</v>
          </cell>
          <cell r="X361" t="str">
            <v>NGUYỄN THỊ KIM LOAN</v>
          </cell>
        </row>
        <row r="362">
          <cell r="I362" t="str">
            <v>B2.19.15</v>
          </cell>
          <cell r="J362" t="str">
            <v>VŨ VĂN VINH</v>
          </cell>
          <cell r="K362" t="str">
            <v>Bình Thạnh</v>
          </cell>
          <cell r="L362" t="str">
            <v>Lê Mai</v>
          </cell>
          <cell r="M362" t="str">
            <v>Phương Thúy</v>
          </cell>
          <cell r="N362" t="str">
            <v>Hoàng Thị Thanh Trúc</v>
          </cell>
          <cell r="O362" t="str">
            <v>VŨ VĂN VINH</v>
          </cell>
          <cell r="P362" t="str">
            <v>Bình Thạnh</v>
          </cell>
          <cell r="Q362" t="str">
            <v>Lê Mai</v>
          </cell>
          <cell r="R362" t="str">
            <v>Phương Thúy</v>
          </cell>
          <cell r="S362" t="str">
            <v>Hoàng Thị Thanh Trúc</v>
          </cell>
          <cell r="T362" t="b">
            <v>1</v>
          </cell>
          <cell r="U362">
            <v>0</v>
          </cell>
          <cell r="V362" t="str">
            <v>PTTT 04c</v>
          </cell>
          <cell r="W362" t="str">
            <v>1 người</v>
          </cell>
          <cell r="X362" t="str">
            <v>VŨ VĂN VINH</v>
          </cell>
        </row>
        <row r="363">
          <cell r="I363" t="str">
            <v>B2.19.16</v>
          </cell>
          <cell r="J363" t="str">
            <v>LÊ MINH TUẤN</v>
          </cell>
          <cell r="K363" t="str">
            <v>Quận 3</v>
          </cell>
          <cell r="L363" t="str">
            <v>Thanh Tuấn</v>
          </cell>
          <cell r="M363" t="str">
            <v>Thanh Liêm</v>
          </cell>
          <cell r="N363" t="str">
            <v>Hoàng Văn Trung</v>
          </cell>
          <cell r="O363" t="str">
            <v>LÊ MINH TUẤN</v>
          </cell>
          <cell r="P363" t="str">
            <v>Quận 3</v>
          </cell>
          <cell r="Q363" t="str">
            <v>Thanh Tuấn</v>
          </cell>
          <cell r="R363" t="str">
            <v>Thanh Liêm</v>
          </cell>
          <cell r="S363" t="str">
            <v>Hoàng Văn Trung</v>
          </cell>
          <cell r="T363" t="b">
            <v>1</v>
          </cell>
          <cell r="U363" t="str">
            <v>PTTT 04c</v>
          </cell>
          <cell r="V363" t="str">
            <v>PTTT 04c</v>
          </cell>
          <cell r="W363" t="str">
            <v>2 người</v>
          </cell>
          <cell r="X363" t="str">
            <v>LÊ MINH TUẤN</v>
          </cell>
        </row>
        <row r="364">
          <cell r="I364" t="str">
            <v>B2.19.17</v>
          </cell>
          <cell r="J364" t="str">
            <v>NGUYỄN THỊ MINH NGUYỆT</v>
          </cell>
          <cell r="K364" t="str">
            <v>Quận 3</v>
          </cell>
          <cell r="L364" t="str">
            <v>Thanh Tuấn</v>
          </cell>
          <cell r="M364" t="str">
            <v>Thanh Liêm</v>
          </cell>
          <cell r="N364" t="str">
            <v>Trần Quốc Việt</v>
          </cell>
          <cell r="O364" t="str">
            <v>NGUYỄN THỊ MINH NGUYỆT</v>
          </cell>
          <cell r="P364" t="str">
            <v>Quận 3</v>
          </cell>
          <cell r="Q364" t="str">
            <v>Thanh Tuấn</v>
          </cell>
          <cell r="R364" t="str">
            <v>Thanh Liêm</v>
          </cell>
          <cell r="S364" t="str">
            <v>Trần Quốc Việt</v>
          </cell>
          <cell r="T364" t="b">
            <v>1</v>
          </cell>
          <cell r="U364" t="str">
            <v>PTTT 04c</v>
          </cell>
          <cell r="V364" t="str">
            <v>PTTT 04c</v>
          </cell>
          <cell r="W364" t="str">
            <v>1 người</v>
          </cell>
          <cell r="X364" t="str">
            <v>NGUYỄN THỊ MINH NGUYỆT</v>
          </cell>
        </row>
        <row r="365">
          <cell r="I365" t="str">
            <v>B2.19.18</v>
          </cell>
          <cell r="J365" t="str">
            <v>TRƯƠNG MINH TOÀN</v>
          </cell>
          <cell r="K365" t="str">
            <v>Bình Thạnh</v>
          </cell>
          <cell r="L365" t="str">
            <v>Thanh Hà</v>
          </cell>
          <cell r="M365" t="str">
            <v>Đức Đồng</v>
          </cell>
          <cell r="N365" t="str">
            <v>Nguyễn Trung Kiên</v>
          </cell>
          <cell r="O365" t="str">
            <v>TRƯƠNG MINH TOÀN</v>
          </cell>
          <cell r="P365" t="str">
            <v>Bình Thạnh</v>
          </cell>
          <cell r="Q365" t="str">
            <v>Thanh Hà</v>
          </cell>
          <cell r="R365" t="str">
            <v>Đức Đồng</v>
          </cell>
          <cell r="S365" t="str">
            <v>Nguyễn Trung Kiên</v>
          </cell>
          <cell r="T365" t="b">
            <v>1</v>
          </cell>
          <cell r="U365" t="str">
            <v>PTTT 04c</v>
          </cell>
          <cell r="V365" t="str">
            <v>PTTT 04c</v>
          </cell>
          <cell r="W365" t="str">
            <v>1 người</v>
          </cell>
          <cell r="X365" t="str">
            <v>TRƯƠNG MINH TOÀN</v>
          </cell>
        </row>
        <row r="366">
          <cell r="I366" t="str">
            <v>B2.19.19</v>
          </cell>
          <cell r="J366" t="str">
            <v>LÊ THỊ THANH MINH</v>
          </cell>
          <cell r="K366" t="str">
            <v>Bình Thạnh</v>
          </cell>
          <cell r="L366" t="str">
            <v>Lê Mai</v>
          </cell>
          <cell r="M366" t="str">
            <v>Lê Mai</v>
          </cell>
          <cell r="N366" t="str">
            <v>Nguyễn Trọng Phương</v>
          </cell>
          <cell r="O366">
            <v>0</v>
          </cell>
          <cell r="P366" t="str">
            <v>Bình Thạnh</v>
          </cell>
          <cell r="Q366" t="str">
            <v>Lê Mai</v>
          </cell>
          <cell r="R366" t="str">
            <v>Lê Mai</v>
          </cell>
          <cell r="S366" t="str">
            <v>Nguyễn Trọng Phương</v>
          </cell>
          <cell r="T366" t="b">
            <v>0</v>
          </cell>
          <cell r="U366">
            <v>0</v>
          </cell>
          <cell r="V366" t="str">
            <v>PTTT 04c</v>
          </cell>
          <cell r="W366" t="str">
            <v>1 người</v>
          </cell>
          <cell r="X366" t="str">
            <v>LÊ THỊ THANH MINH</v>
          </cell>
        </row>
        <row r="367">
          <cell r="I367" t="str">
            <v>B2.20.01</v>
          </cell>
          <cell r="J367" t="str">
            <v>NGUYỄN BÁ CƯỜNG</v>
          </cell>
          <cell r="K367" t="str">
            <v>Quận 3</v>
          </cell>
          <cell r="L367" t="str">
            <v>Thanh Tuấn</v>
          </cell>
          <cell r="M367" t="str">
            <v>Thanh Liêm</v>
          </cell>
          <cell r="N367" t="str">
            <v>Nguyễn Thị Yến Nương</v>
          </cell>
          <cell r="O367">
            <v>0</v>
          </cell>
          <cell r="P367" t="str">
            <v>Quận 3</v>
          </cell>
          <cell r="Q367" t="str">
            <v>Thanh Tuấn</v>
          </cell>
          <cell r="R367" t="str">
            <v>Thanh Liêm</v>
          </cell>
          <cell r="S367" t="str">
            <v>Nguyễn Thị Yến Nương</v>
          </cell>
          <cell r="T367" t="b">
            <v>0</v>
          </cell>
          <cell r="U367">
            <v>0</v>
          </cell>
          <cell r="V367" t="str">
            <v>PTTT 09c</v>
          </cell>
          <cell r="W367" t="str">
            <v>1 người</v>
          </cell>
          <cell r="X367" t="str">
            <v>LÊ THỊ LAN PHƯƠNG</v>
          </cell>
        </row>
        <row r="368">
          <cell r="I368" t="str">
            <v>B2.20.02</v>
          </cell>
          <cell r="J368" t="str">
            <v>PHẠM NGỌC THÀNH</v>
          </cell>
          <cell r="K368" t="str">
            <v>Bình Thạnh</v>
          </cell>
          <cell r="L368" t="str">
            <v>Thanh Hà</v>
          </cell>
          <cell r="M368" t="str">
            <v>Đức Đồng</v>
          </cell>
          <cell r="N368" t="str">
            <v>Nguyễn Ngọc Anh Thư</v>
          </cell>
          <cell r="O368">
            <v>0</v>
          </cell>
          <cell r="P368" t="str">
            <v>Bình Thạnh</v>
          </cell>
          <cell r="Q368" t="str">
            <v>Thanh Hà</v>
          </cell>
          <cell r="R368" t="str">
            <v>Đức Đồng</v>
          </cell>
          <cell r="S368">
            <v>0</v>
          </cell>
          <cell r="T368" t="b">
            <v>0</v>
          </cell>
          <cell r="U368">
            <v>0</v>
          </cell>
          <cell r="V368" t="str">
            <v>PTTT 09c</v>
          </cell>
          <cell r="W368" t="str">
            <v>1 người</v>
          </cell>
          <cell r="X368" t="str">
            <v>PHẠM NGỌC THÀNH</v>
          </cell>
        </row>
        <row r="369">
          <cell r="I369" t="str">
            <v>B2.20.03</v>
          </cell>
          <cell r="J369" t="str">
            <v>PHẠM THIỊ PHƯƠNG THÚY</v>
          </cell>
          <cell r="K369" t="str">
            <v>Bình Thạnh</v>
          </cell>
          <cell r="L369" t="str">
            <v>Ngọc Linh</v>
          </cell>
          <cell r="M369" t="str">
            <v>Đình Ban</v>
          </cell>
          <cell r="N369" t="str">
            <v>Phan Thị Ngọc Hiếu</v>
          </cell>
          <cell r="O369">
            <v>0</v>
          </cell>
          <cell r="P369" t="str">
            <v>Bình Thạnh</v>
          </cell>
          <cell r="Q369" t="str">
            <v>Ngọc Linh</v>
          </cell>
          <cell r="R369" t="str">
            <v>Đình Ban</v>
          </cell>
          <cell r="S369" t="str">
            <v>Phan Thị Ngọc Hiếu</v>
          </cell>
          <cell r="T369" t="b">
            <v>0</v>
          </cell>
          <cell r="U369">
            <v>0</v>
          </cell>
          <cell r="V369" t="str">
            <v>PTTT 09c</v>
          </cell>
          <cell r="W369" t="str">
            <v>1 người</v>
          </cell>
          <cell r="X369" t="str">
            <v>HOÀNG NGỌC NINH</v>
          </cell>
        </row>
        <row r="370">
          <cell r="I370" t="str">
            <v>B2.20.04</v>
          </cell>
          <cell r="J370" t="str">
            <v>NGUYỄN QUANG TRÍ</v>
          </cell>
          <cell r="K370" t="str">
            <v>Quận 3</v>
          </cell>
          <cell r="L370" t="str">
            <v>Kỳ Long</v>
          </cell>
          <cell r="M370" t="str">
            <v>Phi Thoại</v>
          </cell>
          <cell r="N370" t="str">
            <v>Phan Thành Binh</v>
          </cell>
          <cell r="O370">
            <v>0</v>
          </cell>
          <cell r="P370" t="str">
            <v>Quận 3</v>
          </cell>
          <cell r="Q370" t="str">
            <v>Kỳ Long</v>
          </cell>
          <cell r="R370" t="str">
            <v>Phi Thoại</v>
          </cell>
          <cell r="S370" t="str">
            <v>Phan Thành Binh</v>
          </cell>
          <cell r="T370" t="b">
            <v>0</v>
          </cell>
          <cell r="U370">
            <v>0</v>
          </cell>
          <cell r="V370" t="str">
            <v>PTTT 09c</v>
          </cell>
          <cell r="W370" t="str">
            <v>1 người</v>
          </cell>
          <cell r="X370" t="str">
            <v>NGUYỄN QUANG TRÍ</v>
          </cell>
        </row>
        <row r="371">
          <cell r="I371" t="str">
            <v>B2.20.05</v>
          </cell>
          <cell r="J371" t="str">
            <v>PHÙNG NHƯ THẢO</v>
          </cell>
          <cell r="K371" t="str">
            <v>Quận 3</v>
          </cell>
          <cell r="L371" t="str">
            <v>Thế Hiển</v>
          </cell>
          <cell r="M371" t="str">
            <v>Văn Tùng</v>
          </cell>
          <cell r="N371" t="str">
            <v>Phạm Anh Tuấn</v>
          </cell>
          <cell r="O371" t="str">
            <v>PHÙNG NHƯ THẢO</v>
          </cell>
          <cell r="P371" t="str">
            <v>Quận 3</v>
          </cell>
          <cell r="Q371" t="str">
            <v>Thế Hiển</v>
          </cell>
          <cell r="R371" t="str">
            <v>Văn Tùng</v>
          </cell>
          <cell r="S371" t="str">
            <v>Phạm Anh Tuấn</v>
          </cell>
          <cell r="T371" t="b">
            <v>1</v>
          </cell>
          <cell r="U371">
            <v>0</v>
          </cell>
          <cell r="V371" t="str">
            <v>PTTT 08c</v>
          </cell>
          <cell r="W371" t="str">
            <v>1 người</v>
          </cell>
          <cell r="X371" t="str">
            <v>PHÙNG NHƯ THẢO</v>
          </cell>
        </row>
        <row r="372">
          <cell r="I372" t="str">
            <v>B2.20.06</v>
          </cell>
          <cell r="J372" t="str">
            <v>PHẠM TRUNG THÀNH</v>
          </cell>
          <cell r="K372" t="str">
            <v>Bình Thạnh</v>
          </cell>
          <cell r="L372" t="str">
            <v>Lê Mai</v>
          </cell>
          <cell r="M372" t="str">
            <v>Phương Thúy</v>
          </cell>
          <cell r="N372" t="str">
            <v>Bùi Sỹ Bừng</v>
          </cell>
          <cell r="O372">
            <v>0</v>
          </cell>
          <cell r="P372" t="str">
            <v>Bình Thạnh</v>
          </cell>
          <cell r="Q372" t="str">
            <v>Lê Mai</v>
          </cell>
          <cell r="R372" t="str">
            <v>Phương Thúy</v>
          </cell>
          <cell r="S372" t="str">
            <v>Bùi Sỹ Bừng</v>
          </cell>
          <cell r="T372" t="b">
            <v>0</v>
          </cell>
          <cell r="U372">
            <v>0</v>
          </cell>
          <cell r="V372" t="str">
            <v>PTTT 09c</v>
          </cell>
          <cell r="W372" t="str">
            <v>1 người</v>
          </cell>
          <cell r="X372" t="str">
            <v>PHẠM TRUNG THÀNH</v>
          </cell>
        </row>
        <row r="373">
          <cell r="I373" t="str">
            <v>B2.20.07</v>
          </cell>
          <cell r="J373" t="str">
            <v>PHẠM HOÀNG TRÚC NHI</v>
          </cell>
          <cell r="K373" t="str">
            <v>Quận 3</v>
          </cell>
          <cell r="L373" t="str">
            <v>Văn Tùng</v>
          </cell>
          <cell r="M373" t="str">
            <v>Trinh Trinh</v>
          </cell>
          <cell r="N373" t="str">
            <v>Lê Nguyễn Hoàng Yên</v>
          </cell>
          <cell r="O373">
            <v>0</v>
          </cell>
          <cell r="P373" t="str">
            <v>Quận 3</v>
          </cell>
          <cell r="Q373" t="str">
            <v>Văn Tùng</v>
          </cell>
          <cell r="R373" t="str">
            <v>Trinh Trinh</v>
          </cell>
          <cell r="S373" t="str">
            <v>Lê Nguyễn Hoàng Yên</v>
          </cell>
          <cell r="T373" t="b">
            <v>0</v>
          </cell>
          <cell r="U373">
            <v>0</v>
          </cell>
          <cell r="V373" t="str">
            <v>PTTT 09c</v>
          </cell>
          <cell r="W373" t="str">
            <v>1 người</v>
          </cell>
          <cell r="X373" t="str">
            <v>PHẠM HOÀNG TRÚC NHI</v>
          </cell>
        </row>
        <row r="374">
          <cell r="I374" t="str">
            <v>B2.20.08</v>
          </cell>
          <cell r="J374" t="str">
            <v>HỒ THỊ KIM QUYÊN</v>
          </cell>
          <cell r="K374" t="str">
            <v>Quận 3</v>
          </cell>
          <cell r="L374" t="str">
            <v>Thanh Tuấn</v>
          </cell>
          <cell r="M374" t="str">
            <v>Tuấn Vương</v>
          </cell>
          <cell r="N374" t="str">
            <v>Nguyễn Việt Hoàng</v>
          </cell>
          <cell r="O374" t="str">
            <v>HỒ THỊ KIM QUYÊN</v>
          </cell>
          <cell r="P374" t="str">
            <v>Quận 3</v>
          </cell>
          <cell r="Q374" t="str">
            <v>Thanh Tuấn</v>
          </cell>
          <cell r="R374" t="str">
            <v>Tuấn Vương</v>
          </cell>
          <cell r="S374" t="str">
            <v>Nguyễn Việt Hoàng</v>
          </cell>
          <cell r="T374" t="b">
            <v>0</v>
          </cell>
          <cell r="U374">
            <v>0</v>
          </cell>
          <cell r="V374" t="str">
            <v>PTTT 04c</v>
          </cell>
          <cell r="W374" t="str">
            <v>1 người</v>
          </cell>
          <cell r="X374" t="str">
            <v>NGUYỄN XUÂN BÁCH</v>
          </cell>
        </row>
        <row r="375">
          <cell r="I375" t="str">
            <v>B2.20.09</v>
          </cell>
          <cell r="J375" t="str">
            <v>NGUYỄN PHI CƯỜNG</v>
          </cell>
          <cell r="K375" t="str">
            <v>Quận 3</v>
          </cell>
          <cell r="L375" t="str">
            <v>Thanh Tuấn</v>
          </cell>
          <cell r="M375" t="str">
            <v>Tuấn Vương</v>
          </cell>
          <cell r="N375" t="str">
            <v>Huỳnh Nhất Vương</v>
          </cell>
          <cell r="O375">
            <v>0</v>
          </cell>
          <cell r="P375" t="str">
            <v>Quận 3</v>
          </cell>
          <cell r="Q375" t="str">
            <v>Thanh Tuấn</v>
          </cell>
          <cell r="R375" t="str">
            <v>Tuấn Vương</v>
          </cell>
          <cell r="S375" t="str">
            <v>Huỳnh Nhất Vương</v>
          </cell>
          <cell r="T375" t="b">
            <v>0</v>
          </cell>
          <cell r="U375">
            <v>0</v>
          </cell>
          <cell r="V375" t="str">
            <v>PTTT 09c</v>
          </cell>
          <cell r="W375" t="str">
            <v>1 người</v>
          </cell>
          <cell r="X375" t="str">
            <v>NGUYỄN PHI CƯỜNG</v>
          </cell>
        </row>
        <row r="376">
          <cell r="I376" t="str">
            <v>B2.20.10</v>
          </cell>
          <cell r="J376" t="str">
            <v>PHAN THỊ DIỆU HIỀN</v>
          </cell>
          <cell r="K376" t="str">
            <v>Bình Thạnh</v>
          </cell>
          <cell r="L376" t="str">
            <v>Ngọc Linh</v>
          </cell>
          <cell r="M376" t="str">
            <v>Thanh Đức</v>
          </cell>
          <cell r="N376" t="str">
            <v>Phạm Thị Nguyệt</v>
          </cell>
          <cell r="O376">
            <v>0</v>
          </cell>
          <cell r="P376" t="str">
            <v>Bình Thạnh</v>
          </cell>
          <cell r="Q376" t="str">
            <v>Ngọc Linh</v>
          </cell>
          <cell r="R376" t="str">
            <v>Thanh Đức</v>
          </cell>
          <cell r="S376" t="str">
            <v>Phạm Thị Nguyệt</v>
          </cell>
          <cell r="T376" t="b">
            <v>0</v>
          </cell>
          <cell r="U376">
            <v>0</v>
          </cell>
          <cell r="V376" t="str">
            <v>PTTT 09c</v>
          </cell>
          <cell r="W376" t="str">
            <v>1 người</v>
          </cell>
          <cell r="X376" t="str">
            <v>PHAN THỊ DIỆU HUYỀN</v>
          </cell>
        </row>
        <row r="377">
          <cell r="I377" t="str">
            <v>B2.20.11</v>
          </cell>
          <cell r="J377" t="str">
            <v>CHU MINH TRÍ</v>
          </cell>
          <cell r="K377" t="str">
            <v>Bình Thạnh</v>
          </cell>
          <cell r="L377" t="str">
            <v>Lê Mai</v>
          </cell>
          <cell r="M377" t="str">
            <v>Phương Thúy</v>
          </cell>
          <cell r="N377" t="str">
            <v>Nguyễn Phương Quỳnh</v>
          </cell>
          <cell r="O377" t="str">
            <v>ĐÀO HẢI ĐĂNG</v>
          </cell>
          <cell r="P377" t="str">
            <v>Bình Thạnh</v>
          </cell>
          <cell r="Q377" t="str">
            <v>Lê Mai</v>
          </cell>
          <cell r="R377" t="str">
            <v>Phương Thúy</v>
          </cell>
          <cell r="S377" t="str">
            <v>Nguyễn Phương Quỳnh</v>
          </cell>
          <cell r="T377" t="b">
            <v>1</v>
          </cell>
          <cell r="U377">
            <v>0</v>
          </cell>
          <cell r="V377" t="str">
            <v>PTTT 08c</v>
          </cell>
          <cell r="W377" t="str">
            <v>1 người</v>
          </cell>
          <cell r="X377" t="str">
            <v>ĐÀO HẢI ĐĂNG</v>
          </cell>
        </row>
        <row r="378">
          <cell r="I378" t="str">
            <v>B2.20.12</v>
          </cell>
          <cell r="J378" t="str">
            <v>NGUYỄN NHƯ NGỌC</v>
          </cell>
          <cell r="K378" t="str">
            <v>Bình Thạnh</v>
          </cell>
          <cell r="L378" t="str">
            <v>Ngọc Linh</v>
          </cell>
          <cell r="M378" t="str">
            <v>Đình Ban</v>
          </cell>
          <cell r="N378" t="str">
            <v>Lê Thị Anh Thư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 t="b">
            <v>1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</row>
        <row r="379">
          <cell r="I379" t="str">
            <v>B2.20.13</v>
          </cell>
          <cell r="J379" t="str">
            <v>NGUYỄN THỊ HUYỀN</v>
          </cell>
          <cell r="K379" t="str">
            <v>Bình Thạnh</v>
          </cell>
          <cell r="L379" t="str">
            <v>Lê Mai</v>
          </cell>
          <cell r="M379" t="str">
            <v>Phương Thúy</v>
          </cell>
          <cell r="N379" t="str">
            <v>Hoàng Thị Thanh Trúc</v>
          </cell>
          <cell r="O379">
            <v>0</v>
          </cell>
          <cell r="P379" t="str">
            <v>Bình Thạnh</v>
          </cell>
          <cell r="Q379" t="str">
            <v>Lê Mai</v>
          </cell>
          <cell r="R379" t="str">
            <v>Phương Thúy</v>
          </cell>
          <cell r="S379" t="str">
            <v>Huỳnh Thị Thanh Trúc</v>
          </cell>
          <cell r="T379" t="b">
            <v>0</v>
          </cell>
          <cell r="U379">
            <v>0</v>
          </cell>
          <cell r="V379" t="str">
            <v>PTTT 09c</v>
          </cell>
          <cell r="W379" t="str">
            <v>1 người</v>
          </cell>
          <cell r="X379" t="str">
            <v>NGUYỄN THỊ HUYỀN</v>
          </cell>
        </row>
        <row r="380">
          <cell r="I380" t="str">
            <v>B2.20.14</v>
          </cell>
          <cell r="J380" t="str">
            <v>ĐOÀN NGỌC MINH TÂM</v>
          </cell>
          <cell r="K380" t="str">
            <v>Bình Thạnh</v>
          </cell>
          <cell r="L380" t="str">
            <v>Ngọc Linh</v>
          </cell>
          <cell r="M380" t="str">
            <v>Đình Ban</v>
          </cell>
          <cell r="N380" t="str">
            <v>Lương Thị Cẩm Nhung</v>
          </cell>
          <cell r="O380">
            <v>0</v>
          </cell>
          <cell r="P380" t="str">
            <v>Bình Thạnh</v>
          </cell>
          <cell r="Q380" t="str">
            <v>Ngọc Linh</v>
          </cell>
          <cell r="R380" t="str">
            <v>Đình Ban</v>
          </cell>
          <cell r="S380" t="str">
            <v>Lương Thị Cẩm Nhung</v>
          </cell>
          <cell r="T380" t="b">
            <v>0</v>
          </cell>
          <cell r="U380">
            <v>0</v>
          </cell>
          <cell r="V380" t="str">
            <v>PTTT 09c</v>
          </cell>
          <cell r="W380" t="str">
            <v>1 người</v>
          </cell>
          <cell r="X380" t="str">
            <v>ĐOÀN NGỌC MINH TÂM</v>
          </cell>
        </row>
        <row r="381">
          <cell r="I381" t="str">
            <v>B2.20.15</v>
          </cell>
          <cell r="J381" t="str">
            <v>NGUYỄN TRUNG SỸ</v>
          </cell>
          <cell r="K381" t="str">
            <v>Bình Thạnh</v>
          </cell>
          <cell r="L381" t="str">
            <v>Lê Mai</v>
          </cell>
          <cell r="M381" t="str">
            <v>Phương Thúy</v>
          </cell>
          <cell r="N381" t="str">
            <v>Phạm Thị Yến Nhàn</v>
          </cell>
          <cell r="O381">
            <v>0</v>
          </cell>
          <cell r="P381" t="str">
            <v>Bình Thạnh</v>
          </cell>
          <cell r="Q381" t="str">
            <v>Lê Mai</v>
          </cell>
          <cell r="R381" t="str">
            <v>Phương Thúy</v>
          </cell>
          <cell r="S381" t="str">
            <v>Phạm Thị Yến Nhàn</v>
          </cell>
          <cell r="T381" t="b">
            <v>0</v>
          </cell>
          <cell r="U381">
            <v>0</v>
          </cell>
          <cell r="V381" t="str">
            <v>PTTT 09c</v>
          </cell>
          <cell r="W381" t="str">
            <v>1 người</v>
          </cell>
          <cell r="X381" t="str">
            <v>PHẠM THÙY MỸ DUYÊN</v>
          </cell>
        </row>
        <row r="382">
          <cell r="I382" t="str">
            <v>B2.20.16</v>
          </cell>
          <cell r="J382" t="str">
            <v>PHAN THỊ SA</v>
          </cell>
          <cell r="K382" t="str">
            <v>Bình Thạnh</v>
          </cell>
          <cell r="L382" t="str">
            <v>Lê Mai</v>
          </cell>
          <cell r="M382" t="str">
            <v>Phương Thúy</v>
          </cell>
          <cell r="N382" t="str">
            <v>Tôn My Duy Linh</v>
          </cell>
          <cell r="O382">
            <v>0</v>
          </cell>
          <cell r="P382" t="str">
            <v>Bình Thạnh</v>
          </cell>
          <cell r="Q382" t="str">
            <v>Lê Mai</v>
          </cell>
          <cell r="R382" t="str">
            <v>Phương Thúy</v>
          </cell>
          <cell r="S382" t="str">
            <v>Tôn My Duy Linh</v>
          </cell>
          <cell r="T382" t="b">
            <v>0</v>
          </cell>
          <cell r="U382">
            <v>0</v>
          </cell>
          <cell r="V382" t="str">
            <v>PTTT 09c</v>
          </cell>
          <cell r="W382" t="str">
            <v>1 người</v>
          </cell>
          <cell r="X382" t="str">
            <v>PHAN THỊ SA</v>
          </cell>
        </row>
        <row r="383">
          <cell r="I383" t="str">
            <v>B2.20.17</v>
          </cell>
          <cell r="J383" t="str">
            <v>PHẠM MINH NGỌC</v>
          </cell>
          <cell r="K383" t="str">
            <v>Bình Thạnh</v>
          </cell>
          <cell r="L383" t="str">
            <v>Lê Mai</v>
          </cell>
          <cell r="M383" t="str">
            <v>Phương Thúy</v>
          </cell>
          <cell r="N383" t="str">
            <v>Huỳnh Thị Hồng Phượng</v>
          </cell>
          <cell r="O383" t="str">
            <v>PHẠM MINH NGỌC</v>
          </cell>
          <cell r="P383" t="str">
            <v>Bình Thạnh</v>
          </cell>
          <cell r="Q383" t="str">
            <v>Lê Mai</v>
          </cell>
          <cell r="R383" t="str">
            <v>Phương Thúy</v>
          </cell>
          <cell r="S383" t="str">
            <v>Huỳnh Thị Hồng Phượng</v>
          </cell>
          <cell r="T383" t="b">
            <v>1</v>
          </cell>
          <cell r="U383">
            <v>0</v>
          </cell>
          <cell r="V383" t="str">
            <v>PTTT 04c</v>
          </cell>
          <cell r="W383" t="str">
            <v>1 người</v>
          </cell>
          <cell r="X383" t="str">
            <v>PHẠM MINH NGỌC</v>
          </cell>
        </row>
        <row r="384">
          <cell r="I384" t="str">
            <v>B2.20.18</v>
          </cell>
          <cell r="J384" t="str">
            <v>MAI THANH HÙNG</v>
          </cell>
          <cell r="K384" t="str">
            <v>Quận 3</v>
          </cell>
          <cell r="L384" t="str">
            <v>Thanh Tuấn</v>
          </cell>
          <cell r="M384" t="str">
            <v>Thanh Liêm</v>
          </cell>
          <cell r="N384" t="str">
            <v>Nguyễn Triêm Định</v>
          </cell>
          <cell r="O384">
            <v>0</v>
          </cell>
          <cell r="P384" t="str">
            <v>Quận 3</v>
          </cell>
          <cell r="Q384" t="str">
            <v>Thanh Tuấn</v>
          </cell>
          <cell r="R384" t="str">
            <v>Thanh Liêm</v>
          </cell>
          <cell r="S384" t="str">
            <v>Nguyễn Triêm Định</v>
          </cell>
          <cell r="T384" t="b">
            <v>0</v>
          </cell>
          <cell r="U384">
            <v>0</v>
          </cell>
          <cell r="V384" t="str">
            <v>PTTT 04c</v>
          </cell>
          <cell r="W384" t="str">
            <v>1 người</v>
          </cell>
          <cell r="X384" t="str">
            <v>MAI THANH HÙNG</v>
          </cell>
        </row>
        <row r="385">
          <cell r="I385" t="str">
            <v>B2.20.19</v>
          </cell>
          <cell r="J385" t="str">
            <v>PHẠM THIÊN THANH THỦY</v>
          </cell>
          <cell r="K385" t="str">
            <v>Bình Thạnh</v>
          </cell>
          <cell r="L385" t="str">
            <v>Lê Mai</v>
          </cell>
          <cell r="M385" t="str">
            <v>Lê Mai</v>
          </cell>
          <cell r="N385" t="str">
            <v>Nguyễn Trọng Phương</v>
          </cell>
          <cell r="O385">
            <v>0</v>
          </cell>
          <cell r="P385" t="str">
            <v>Bình Thạnh</v>
          </cell>
          <cell r="Q385" t="str">
            <v>Lê Mai</v>
          </cell>
          <cell r="R385" t="str">
            <v>Lê Mai</v>
          </cell>
          <cell r="S385" t="str">
            <v>Nguyễn Trọng Phương</v>
          </cell>
          <cell r="T385" t="b">
            <v>0</v>
          </cell>
          <cell r="U385">
            <v>0</v>
          </cell>
          <cell r="V385" t="str">
            <v>PTTT 08c</v>
          </cell>
          <cell r="W385" t="str">
            <v>1 người</v>
          </cell>
          <cell r="X385" t="str">
            <v>PHẠM THIÊN THANH THỦY</v>
          </cell>
        </row>
        <row r="386">
          <cell r="I386" t="str">
            <v>B2.20.20</v>
          </cell>
          <cell r="J386" t="str">
            <v>THÁI DOÃN DŨNG</v>
          </cell>
          <cell r="K386" t="str">
            <v>Bình Thạnh</v>
          </cell>
          <cell r="L386" t="str">
            <v>Ngọc Linh</v>
          </cell>
          <cell r="M386" t="str">
            <v>Phạm Vĩ</v>
          </cell>
          <cell r="N386" t="str">
            <v>Nguyễn Văn Hà</v>
          </cell>
          <cell r="O386" t="str">
            <v>THÁI DOÃN DŨNG</v>
          </cell>
          <cell r="P386" t="str">
            <v>Bình Thạnh</v>
          </cell>
          <cell r="Q386" t="str">
            <v>Ngọc Linh</v>
          </cell>
          <cell r="R386" t="str">
            <v>Phạm Vĩ</v>
          </cell>
          <cell r="S386" t="str">
            <v>Nguyễn Văn Hà</v>
          </cell>
          <cell r="T386" t="b">
            <v>1</v>
          </cell>
          <cell r="U386">
            <v>0</v>
          </cell>
          <cell r="V386" t="str">
            <v>PTTT 04c</v>
          </cell>
          <cell r="W386" t="str">
            <v>1 người</v>
          </cell>
          <cell r="X386" t="str">
            <v>THÁI DOÃN DŨNG</v>
          </cell>
        </row>
        <row r="387">
          <cell r="I387" t="str">
            <v>B2.20.21</v>
          </cell>
          <cell r="J387" t="str">
            <v>???</v>
          </cell>
          <cell r="K387" t="str">
            <v>???</v>
          </cell>
          <cell r="L387" t="str">
            <v>???</v>
          </cell>
          <cell r="M387" t="str">
            <v>???</v>
          </cell>
          <cell r="N387" t="str">
            <v>???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 t="b">
            <v>1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</row>
        <row r="388">
          <cell r="I388" t="str">
            <v>B2.20.22</v>
          </cell>
          <cell r="J388" t="str">
            <v>TRẦN THANH NGUYỄN</v>
          </cell>
          <cell r="K388" t="str">
            <v>Quận 3</v>
          </cell>
          <cell r="L388" t="str">
            <v>Kỳ Long</v>
          </cell>
          <cell r="M388" t="str">
            <v>Phi Thoại</v>
          </cell>
          <cell r="N388" t="str">
            <v>Nguyễn Văn Quyền</v>
          </cell>
          <cell r="O388">
            <v>0</v>
          </cell>
          <cell r="P388" t="str">
            <v>Quận 3</v>
          </cell>
          <cell r="Q388" t="str">
            <v>Kỳ Long</v>
          </cell>
          <cell r="R388" t="str">
            <v>Phi Thoại</v>
          </cell>
          <cell r="S388" t="str">
            <v>Nguyễn Văn Quyền</v>
          </cell>
          <cell r="T388" t="b">
            <v>0</v>
          </cell>
          <cell r="U388">
            <v>0</v>
          </cell>
          <cell r="V388" t="str">
            <v>PTTT 04c</v>
          </cell>
          <cell r="W388" t="str">
            <v>1 người</v>
          </cell>
          <cell r="X388" t="str">
            <v>TRẦN THỊ THANH THƯƠNG</v>
          </cell>
        </row>
        <row r="389">
          <cell r="I389" t="str">
            <v>B2.22.10</v>
          </cell>
          <cell r="J389" t="str">
            <v>TRẦN THỊ MẾN</v>
          </cell>
          <cell r="K389" t="str">
            <v>Bình Thạnh</v>
          </cell>
          <cell r="L389" t="str">
            <v>Ngọc Linh</v>
          </cell>
          <cell r="M389" t="str">
            <v>Thanh Đức</v>
          </cell>
          <cell r="N389" t="str">
            <v>Lê Nho Khánh</v>
          </cell>
          <cell r="O389">
            <v>0</v>
          </cell>
          <cell r="P389" t="str">
            <v>Bình Thạnh</v>
          </cell>
          <cell r="Q389" t="str">
            <v>Ngọc Linh</v>
          </cell>
          <cell r="R389" t="str">
            <v>Thanh Đức</v>
          </cell>
          <cell r="S389" t="str">
            <v>Lê Nho Khánh</v>
          </cell>
          <cell r="T389" t="b">
            <v>0</v>
          </cell>
          <cell r="U389">
            <v>0</v>
          </cell>
          <cell r="V389" t="str">
            <v>PTTT 09c</v>
          </cell>
          <cell r="W389" t="str">
            <v>1 người</v>
          </cell>
          <cell r="X389" t="str">
            <v>TRẦN THỊ MẾN</v>
          </cell>
        </row>
        <row r="390">
          <cell r="I390" t="str">
            <v>B2.22.11</v>
          </cell>
          <cell r="J390" t="str">
            <v>CAO THỊ ANH THƯ</v>
          </cell>
          <cell r="K390" t="str">
            <v>Bình Thạnh</v>
          </cell>
          <cell r="L390" t="str">
            <v>Ngọc Linh</v>
          </cell>
          <cell r="M390" t="str">
            <v>Đình Ban</v>
          </cell>
          <cell r="N390" t="str">
            <v>Nguyễn Tuyết Ngân</v>
          </cell>
          <cell r="O390" t="str">
            <v>CAO THỊ ANH THƯ</v>
          </cell>
          <cell r="P390" t="str">
            <v>Bình Thạnh</v>
          </cell>
          <cell r="Q390" t="str">
            <v>Ngọc Linh</v>
          </cell>
          <cell r="R390" t="str">
            <v>Đình Ban</v>
          </cell>
          <cell r="S390" t="str">
            <v>Nguyễn Tuyết Ngân</v>
          </cell>
          <cell r="T390" t="b">
            <v>1</v>
          </cell>
          <cell r="U390" t="str">
            <v>PTTT 04c</v>
          </cell>
          <cell r="V390" t="str">
            <v>PTTT 04c</v>
          </cell>
          <cell r="W390" t="str">
            <v>1 người</v>
          </cell>
          <cell r="X390" t="str">
            <v>CAO THỊ ANH THƯ</v>
          </cell>
        </row>
        <row r="391">
          <cell r="I391" t="str">
            <v>B2.22.12</v>
          </cell>
          <cell r="J391" t="str">
            <v>ĐÀO ANH DUY</v>
          </cell>
          <cell r="K391" t="str">
            <v>Quận 3</v>
          </cell>
          <cell r="L391" t="str">
            <v>Thanh Tuấn</v>
          </cell>
          <cell r="M391" t="str">
            <v>Thanh Liêm</v>
          </cell>
          <cell r="N391" t="str">
            <v>Nguyễn Thị Yến Nương</v>
          </cell>
          <cell r="O391">
            <v>0</v>
          </cell>
          <cell r="P391" t="str">
            <v>Quận 3</v>
          </cell>
          <cell r="Q391" t="str">
            <v>Thanh Tuấn</v>
          </cell>
          <cell r="R391" t="str">
            <v>Thanh Liêm</v>
          </cell>
          <cell r="S391" t="str">
            <v>Nguyễn Thị Yến Nương</v>
          </cell>
          <cell r="T391" t="b">
            <v>0</v>
          </cell>
          <cell r="U391">
            <v>0</v>
          </cell>
          <cell r="V391" t="str">
            <v>PTTT 09c</v>
          </cell>
          <cell r="W391" t="str">
            <v>1 người</v>
          </cell>
          <cell r="X391" t="str">
            <v>ĐOÀN NGỌC THÚY</v>
          </cell>
        </row>
        <row r="392">
          <cell r="I392" t="str">
            <v>B2.22.13</v>
          </cell>
          <cell r="J392" t="str">
            <v>NGUYỄN NỮ HOÀNG OANH</v>
          </cell>
          <cell r="K392" t="str">
            <v>Bình Thạnh</v>
          </cell>
          <cell r="L392" t="str">
            <v>Lê Mai</v>
          </cell>
          <cell r="M392" t="str">
            <v>Phương Thúy</v>
          </cell>
          <cell r="N392" t="str">
            <v>Nguyễn Phương Quỳnh</v>
          </cell>
          <cell r="O392" t="str">
            <v>NGUYỄN NỮ HOÀNG OANH</v>
          </cell>
          <cell r="P392" t="str">
            <v>Bình Thạnh</v>
          </cell>
          <cell r="Q392" t="str">
            <v>Lê Mai</v>
          </cell>
          <cell r="R392" t="str">
            <v>Phương Thúy</v>
          </cell>
          <cell r="S392" t="str">
            <v>Nguyễn Phương Quỳnh</v>
          </cell>
          <cell r="T392" t="b">
            <v>1</v>
          </cell>
          <cell r="U392" t="str">
            <v>PTTT 04c</v>
          </cell>
          <cell r="V392" t="str">
            <v>PTTT 04c</v>
          </cell>
          <cell r="W392" t="str">
            <v>1 người</v>
          </cell>
          <cell r="X392" t="str">
            <v>NGUYỄN NỮ HOÀNG OANH</v>
          </cell>
        </row>
        <row r="393">
          <cell r="I393" t="str">
            <v>B2.22.14</v>
          </cell>
          <cell r="J393" t="str">
            <v>NGUYỄN MINH XUÂN</v>
          </cell>
          <cell r="K393" t="str">
            <v>Huỳnh Châu</v>
          </cell>
          <cell r="L393" t="str">
            <v>Tấn Phước</v>
          </cell>
          <cell r="M393" t="str">
            <v>Nhật Hoàng</v>
          </cell>
          <cell r="N393" t="str">
            <v>Võ Đức Hải</v>
          </cell>
          <cell r="O393">
            <v>0</v>
          </cell>
          <cell r="P393" t="str">
            <v>Huỳnh Châu</v>
          </cell>
          <cell r="Q393" t="str">
            <v>Văn Lực</v>
          </cell>
          <cell r="R393" t="str">
            <v>Nhật Hoàng</v>
          </cell>
          <cell r="S393" t="str">
            <v>Võ Đức Hải</v>
          </cell>
          <cell r="T393" t="b">
            <v>0</v>
          </cell>
          <cell r="U393">
            <v>0</v>
          </cell>
          <cell r="V393" t="str">
            <v>PTTT 06c</v>
          </cell>
          <cell r="W393" t="str">
            <v>1 người</v>
          </cell>
          <cell r="X393" t="str">
            <v>NGUYỄN MINH XUÂN</v>
          </cell>
        </row>
        <row r="394">
          <cell r="I394" t="str">
            <v>B2.22.15</v>
          </cell>
          <cell r="J394" t="str">
            <v>NGUYỄN PHƯƠNG ANH</v>
          </cell>
          <cell r="K394" t="str">
            <v>Quận 3</v>
          </cell>
          <cell r="L394" t="str">
            <v>Thanh Tuấn</v>
          </cell>
          <cell r="M394" t="str">
            <v>Duy Nhật</v>
          </cell>
          <cell r="N394" t="str">
            <v>Võ Hồng Phúc</v>
          </cell>
          <cell r="O394" t="str">
            <v>NGUYỄN PHƯƠNG ANH</v>
          </cell>
          <cell r="P394" t="str">
            <v>Quận 3</v>
          </cell>
          <cell r="Q394" t="str">
            <v>Thanh Tuấn</v>
          </cell>
          <cell r="R394" t="str">
            <v>Duy Nhật</v>
          </cell>
          <cell r="S394" t="str">
            <v>Võ Hồng Phúc</v>
          </cell>
          <cell r="T394" t="b">
            <v>1</v>
          </cell>
          <cell r="U394" t="str">
            <v>PTTT 04c</v>
          </cell>
          <cell r="V394" t="str">
            <v>PTTT 04c</v>
          </cell>
          <cell r="W394" t="str">
            <v>1 người</v>
          </cell>
          <cell r="X394" t="str">
            <v>NGUYỄN PHƯƠNG ANH</v>
          </cell>
        </row>
        <row r="395">
          <cell r="I395" t="str">
            <v>B2.22.16</v>
          </cell>
          <cell r="J395" t="str">
            <v>NGUYỄN THỊ LAN</v>
          </cell>
          <cell r="K395" t="str">
            <v>Bình Thạnh</v>
          </cell>
          <cell r="L395" t="str">
            <v>Lê Mai</v>
          </cell>
          <cell r="M395" t="str">
            <v>Nguyễn Thanh</v>
          </cell>
          <cell r="N395" t="str">
            <v>Nguyễn Trọng Phương</v>
          </cell>
          <cell r="O395" t="str">
            <v>NGUYỄN MẠNH HIẾU</v>
          </cell>
          <cell r="P395" t="str">
            <v>Bình Thạnh</v>
          </cell>
          <cell r="Q395" t="str">
            <v>Lê Mai</v>
          </cell>
          <cell r="R395" t="str">
            <v>Nguyễn Thanh</v>
          </cell>
          <cell r="S395" t="str">
            <v>Nguyễn Trọng Phương</v>
          </cell>
          <cell r="T395" t="b">
            <v>1</v>
          </cell>
          <cell r="U395" t="str">
            <v>PTTT 08c</v>
          </cell>
          <cell r="V395" t="str">
            <v>PTTT 08c</v>
          </cell>
          <cell r="W395" t="str">
            <v>2 người</v>
          </cell>
          <cell r="X395" t="str">
            <v>NGUYỄN MẠNH HIẾU</v>
          </cell>
        </row>
        <row r="396">
          <cell r="I396" t="str">
            <v>B2.22.17</v>
          </cell>
          <cell r="J396" t="str">
            <v>PHẠM THỊ THANH NGUYÊN</v>
          </cell>
          <cell r="K396" t="str">
            <v>Quận 3</v>
          </cell>
          <cell r="L396" t="str">
            <v>Thanh Tuấn</v>
          </cell>
          <cell r="M396" t="str">
            <v>Anh Tài</v>
          </cell>
          <cell r="N396" t="str">
            <v>Nguyễn Văn Toàn</v>
          </cell>
          <cell r="O396" t="str">
            <v>PHẠM THỊ THANH NGUYÊN</v>
          </cell>
          <cell r="P396" t="str">
            <v>Quận 3</v>
          </cell>
          <cell r="Q396" t="str">
            <v>Thanh Tuấn</v>
          </cell>
          <cell r="R396" t="str">
            <v>Anh Tài</v>
          </cell>
          <cell r="S396" t="str">
            <v>Nguyễn Văn Toàn</v>
          </cell>
          <cell r="T396" t="b">
            <v>1</v>
          </cell>
          <cell r="U396" t="str">
            <v>PTTT 04c</v>
          </cell>
          <cell r="V396" t="str">
            <v>PTTT 04c</v>
          </cell>
          <cell r="W396" t="str">
            <v>2 người</v>
          </cell>
          <cell r="X396" t="str">
            <v>PHẠM THỊ THANH NGUYÊN</v>
          </cell>
        </row>
        <row r="397">
          <cell r="I397" t="str">
            <v>B2.22.18</v>
          </cell>
          <cell r="J397" t="str">
            <v>ĐẶNG THỊ HỒNG HẠNH</v>
          </cell>
          <cell r="K397" t="str">
            <v>Quận 3</v>
          </cell>
          <cell r="L397" t="str">
            <v>Thanh Tuấn</v>
          </cell>
          <cell r="M397" t="str">
            <v>Anh Tài</v>
          </cell>
          <cell r="N397" t="str">
            <v>Nguyễn Văn Vũ</v>
          </cell>
          <cell r="O397" t="str">
            <v>ĐẶNG THỊ HỒNG HẠNH</v>
          </cell>
          <cell r="P397" t="str">
            <v>Quận 3</v>
          </cell>
          <cell r="Q397" t="str">
            <v>Thanh Tuấn</v>
          </cell>
          <cell r="R397" t="str">
            <v>Anh Tài</v>
          </cell>
          <cell r="S397" t="str">
            <v>Nguyễn Văn Vũ</v>
          </cell>
          <cell r="T397" t="b">
            <v>1</v>
          </cell>
          <cell r="U397">
            <v>0</v>
          </cell>
          <cell r="V397" t="str">
            <v>PTTT 04c</v>
          </cell>
          <cell r="W397" t="str">
            <v>1 người</v>
          </cell>
          <cell r="X397" t="str">
            <v>ĐẶNG THỊ HỒNG HẠNH</v>
          </cell>
        </row>
        <row r="398">
          <cell r="I398" t="str">
            <v>B2.22.19</v>
          </cell>
          <cell r="J398" t="str">
            <v>NGUYỄN HUỲNH THÙY TRANG</v>
          </cell>
          <cell r="K398" t="str">
            <v>Quận 3</v>
          </cell>
          <cell r="L398" t="str">
            <v>Văn Tùng</v>
          </cell>
          <cell r="M398" t="str">
            <v>Thiện Quý</v>
          </cell>
          <cell r="N398" t="str">
            <v>Trần Văn Quốc</v>
          </cell>
          <cell r="O398">
            <v>0</v>
          </cell>
          <cell r="P398" t="str">
            <v>Quận 3</v>
          </cell>
          <cell r="Q398" t="str">
            <v>Văn Tùng</v>
          </cell>
          <cell r="R398" t="str">
            <v>Thiện Quý</v>
          </cell>
          <cell r="S398" t="str">
            <v>Trần Văn Quốc</v>
          </cell>
          <cell r="T398" t="b">
            <v>0</v>
          </cell>
          <cell r="U398">
            <v>0</v>
          </cell>
          <cell r="V398" t="str">
            <v>PTTT 09c</v>
          </cell>
          <cell r="W398" t="str">
            <v>1 người</v>
          </cell>
          <cell r="X398" t="str">
            <v>TRẦN THỊ BÍCH NGỌC</v>
          </cell>
        </row>
        <row r="399">
          <cell r="I399" t="str">
            <v>B2.23.05</v>
          </cell>
          <cell r="J399" t="str">
            <v>TRẦN NGUYỄN VƯƠNG</v>
          </cell>
          <cell r="K399" t="str">
            <v>Sàn liên kết</v>
          </cell>
          <cell r="L399" t="str">
            <v>Bcons Homes</v>
          </cell>
          <cell r="M399" t="str">
            <v>Bcons Homes</v>
          </cell>
          <cell r="N399">
            <v>0</v>
          </cell>
          <cell r="O399" t="str">
            <v>TRẦN NGUYỄN VƯƠNG</v>
          </cell>
          <cell r="P399" t="str">
            <v>Sàn liên kết</v>
          </cell>
          <cell r="Q399" t="str">
            <v>Bcons Homes</v>
          </cell>
          <cell r="R399" t="str">
            <v>Bcons Homes</v>
          </cell>
          <cell r="S399">
            <v>0</v>
          </cell>
          <cell r="T399" t="b">
            <v>1</v>
          </cell>
          <cell r="U399">
            <v>0</v>
          </cell>
          <cell r="V399" t="str">
            <v>PTTT 04c</v>
          </cell>
          <cell r="W399" t="str">
            <v>1 người</v>
          </cell>
          <cell r="X399" t="str">
            <v>TRẦN NGUYỄN VƯƠNG</v>
          </cell>
        </row>
        <row r="400">
          <cell r="I400" t="str">
            <v>B2.23.10</v>
          </cell>
          <cell r="J400" t="str">
            <v>???</v>
          </cell>
          <cell r="K400" t="str">
            <v>???</v>
          </cell>
          <cell r="L400" t="str">
            <v>???</v>
          </cell>
          <cell r="M400" t="str">
            <v>???</v>
          </cell>
          <cell r="N400" t="str">
            <v>???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 t="b">
            <v>1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</row>
        <row r="401">
          <cell r="I401" t="str">
            <v>B2.23.11</v>
          </cell>
          <cell r="J401" t="str">
            <v>PHẠM THỊ HƯƠNG GIANG</v>
          </cell>
          <cell r="K401" t="str">
            <v>Bình Thạnh</v>
          </cell>
          <cell r="L401" t="str">
            <v>Ngọc Linh</v>
          </cell>
          <cell r="M401" t="str">
            <v>Phạm Vĩ</v>
          </cell>
          <cell r="N401" t="str">
            <v>Nguyễn Văn Hà</v>
          </cell>
          <cell r="O401" t="str">
            <v>NGUYỄN TRƯỜNG HẢI</v>
          </cell>
          <cell r="P401" t="str">
            <v>Bình Thạnh</v>
          </cell>
          <cell r="Q401" t="str">
            <v>Ngọc Linh</v>
          </cell>
          <cell r="R401" t="str">
            <v>Phạm Vĩ</v>
          </cell>
          <cell r="S401" t="str">
            <v>Nguyễn Văn Hà</v>
          </cell>
          <cell r="T401" t="b">
            <v>1</v>
          </cell>
          <cell r="U401">
            <v>0</v>
          </cell>
          <cell r="V401" t="str">
            <v>PTTT 04c</v>
          </cell>
          <cell r="W401" t="str">
            <v>1 người</v>
          </cell>
          <cell r="X401" t="str">
            <v>NGUYỄN TRƯỜNG HẢI</v>
          </cell>
        </row>
        <row r="402">
          <cell r="I402" t="str">
            <v>B2.23.12</v>
          </cell>
          <cell r="J402" t="str">
            <v>NGUYỄN HOÀNG TUẤN</v>
          </cell>
          <cell r="K402" t="str">
            <v>Bình Thạnh</v>
          </cell>
          <cell r="L402" t="str">
            <v>Lê Mai</v>
          </cell>
          <cell r="M402" t="str">
            <v>Phương Thúy</v>
          </cell>
          <cell r="N402" t="str">
            <v>Nguyễn Phương Quỳnh</v>
          </cell>
          <cell r="O402">
            <v>0</v>
          </cell>
          <cell r="P402" t="str">
            <v>Bình Thạnh</v>
          </cell>
          <cell r="Q402" t="str">
            <v>Lê Mai</v>
          </cell>
          <cell r="R402" t="str">
            <v>Phương Thúy</v>
          </cell>
          <cell r="S402" t="str">
            <v>Nguyễn Phương Quỳnh</v>
          </cell>
          <cell r="T402" t="b">
            <v>0</v>
          </cell>
          <cell r="U402">
            <v>0</v>
          </cell>
          <cell r="V402" t="str">
            <v>PTTT 09c</v>
          </cell>
          <cell r="W402" t="str">
            <v>1 người</v>
          </cell>
          <cell r="X402" t="str">
            <v>VÒNG CẢNH VẰN</v>
          </cell>
        </row>
        <row r="403">
          <cell r="I403" t="str">
            <v>B2.23.13</v>
          </cell>
          <cell r="J403" t="str">
            <v>NGUYỄN LINH CHI</v>
          </cell>
          <cell r="K403" t="str">
            <v>Bình Thạnh</v>
          </cell>
          <cell r="L403" t="str">
            <v>Thanh Hà</v>
          </cell>
          <cell r="M403" t="str">
            <v>Đức Đồng</v>
          </cell>
          <cell r="N403" t="str">
            <v>Nguyễn Trung Kiên</v>
          </cell>
          <cell r="O403">
            <v>0</v>
          </cell>
          <cell r="P403" t="str">
            <v>Bình Thạnh</v>
          </cell>
          <cell r="Q403" t="str">
            <v>Thanh Hà</v>
          </cell>
          <cell r="R403" t="str">
            <v>Đức Đồng</v>
          </cell>
          <cell r="S403" t="str">
            <v>Nguyễn Trung Kiên</v>
          </cell>
          <cell r="T403" t="b">
            <v>0</v>
          </cell>
          <cell r="U403">
            <v>0</v>
          </cell>
          <cell r="V403" t="str">
            <v>PTTT 09c</v>
          </cell>
          <cell r="W403" t="str">
            <v>1 người</v>
          </cell>
          <cell r="X403" t="str">
            <v>NGUYỄN LINH CHI</v>
          </cell>
        </row>
        <row r="404">
          <cell r="I404" t="str">
            <v>B2.23.14</v>
          </cell>
          <cell r="J404" t="str">
            <v>NGUYỄN LINH CHI</v>
          </cell>
          <cell r="K404" t="str">
            <v>Bình Thạnh</v>
          </cell>
          <cell r="L404" t="str">
            <v>Thanh Hà</v>
          </cell>
          <cell r="M404" t="str">
            <v>Đức Đồng</v>
          </cell>
          <cell r="N404" t="str">
            <v>Trần Thị Minh Giang</v>
          </cell>
          <cell r="O404">
            <v>0</v>
          </cell>
          <cell r="P404" t="str">
            <v>Bình Thạnh</v>
          </cell>
          <cell r="Q404" t="str">
            <v>Thanh Hà</v>
          </cell>
          <cell r="R404" t="str">
            <v>Đức Đồng</v>
          </cell>
          <cell r="S404" t="str">
            <v>Trần Thị Minh Giang</v>
          </cell>
          <cell r="T404" t="b">
            <v>0</v>
          </cell>
          <cell r="U404">
            <v>0</v>
          </cell>
          <cell r="V404" t="str">
            <v>PTTT 09c</v>
          </cell>
          <cell r="W404" t="str">
            <v>1 người</v>
          </cell>
          <cell r="X404" t="str">
            <v>NGUYỄN LINH CHI</v>
          </cell>
        </row>
        <row r="405">
          <cell r="I405" t="str">
            <v>B2.23.15</v>
          </cell>
          <cell r="J405" t="str">
            <v>MAI NGỌC HẢI TUYẾT</v>
          </cell>
          <cell r="K405" t="str">
            <v>Bình Thạnh</v>
          </cell>
          <cell r="L405" t="str">
            <v>Lê Mai</v>
          </cell>
          <cell r="M405" t="str">
            <v>Lê Mai</v>
          </cell>
          <cell r="N405" t="str">
            <v>Nguyễn Trọng Phương</v>
          </cell>
          <cell r="O405">
            <v>0</v>
          </cell>
          <cell r="P405" t="str">
            <v>Bình Thạnh</v>
          </cell>
          <cell r="Q405" t="str">
            <v>Lê Mai</v>
          </cell>
          <cell r="R405" t="str">
            <v>Lê Mai</v>
          </cell>
          <cell r="S405" t="str">
            <v>Nguyễn Trọng Phương</v>
          </cell>
          <cell r="T405" t="b">
            <v>0</v>
          </cell>
          <cell r="U405">
            <v>0</v>
          </cell>
          <cell r="V405" t="str">
            <v>PTTT 08c</v>
          </cell>
          <cell r="W405" t="str">
            <v>1 người</v>
          </cell>
          <cell r="X405" t="str">
            <v>MAI NGỌC HẢI TUYẾT</v>
          </cell>
        </row>
        <row r="406">
          <cell r="I406" t="str">
            <v>B2.23.16</v>
          </cell>
          <cell r="J406" t="str">
            <v>LÊ XUÂN BAN</v>
          </cell>
          <cell r="K406" t="str">
            <v>Công ty</v>
          </cell>
          <cell r="L406" t="str">
            <v>Công ty</v>
          </cell>
          <cell r="M406" t="str">
            <v>Phương Thảo</v>
          </cell>
          <cell r="N406" t="str">
            <v>Phạm Thị Phương Thảo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 t="b">
            <v>1</v>
          </cell>
          <cell r="U406">
            <v>0</v>
          </cell>
          <cell r="V406" t="str">
            <v>PTTT 06c</v>
          </cell>
          <cell r="W406">
            <v>0</v>
          </cell>
          <cell r="X406">
            <v>0</v>
          </cell>
        </row>
        <row r="407">
          <cell r="I407" t="str">
            <v>B2.23.17</v>
          </cell>
          <cell r="J407" t="str">
            <v>NGUYỄN THỊ HỒNG HẢI</v>
          </cell>
          <cell r="K407" t="str">
            <v>Quận 3</v>
          </cell>
          <cell r="L407" t="str">
            <v>Huỳnh Nhân</v>
          </cell>
          <cell r="M407" t="str">
            <v>Tấn Long</v>
          </cell>
          <cell r="N407" t="str">
            <v>Trịnh Hoàng Phát</v>
          </cell>
          <cell r="O407">
            <v>0</v>
          </cell>
          <cell r="P407" t="str">
            <v>Quận 3</v>
          </cell>
          <cell r="Q407" t="str">
            <v>Huỳnh Nhân</v>
          </cell>
          <cell r="R407" t="str">
            <v>Tấn Long</v>
          </cell>
          <cell r="S407" t="str">
            <v>Trịnh Hoàng Phát</v>
          </cell>
          <cell r="T407" t="b">
            <v>0</v>
          </cell>
          <cell r="U407">
            <v>0</v>
          </cell>
          <cell r="V407" t="str">
            <v>PTTT 08c</v>
          </cell>
          <cell r="W407" t="str">
            <v>1 người</v>
          </cell>
          <cell r="X407" t="str">
            <v>TRẦN NGUYỄN THẢO NHI</v>
          </cell>
        </row>
        <row r="408">
          <cell r="I408" t="str">
            <v>B2.23.18</v>
          </cell>
          <cell r="J408" t="str">
            <v>NGUYỄN HỮU TRÍ</v>
          </cell>
          <cell r="K408" t="str">
            <v>Bình Thạnh</v>
          </cell>
          <cell r="L408" t="str">
            <v>Thanh Hà</v>
          </cell>
          <cell r="M408" t="str">
            <v>Như Ngọc</v>
          </cell>
          <cell r="N408" t="str">
            <v>Cao Văn Bình</v>
          </cell>
          <cell r="O408">
            <v>0</v>
          </cell>
          <cell r="P408" t="str">
            <v>Bình Thạnh</v>
          </cell>
          <cell r="Q408" t="str">
            <v>Thanh Hà</v>
          </cell>
          <cell r="R408" t="str">
            <v>Như Ngọc</v>
          </cell>
          <cell r="S408" t="str">
            <v>Cao Văn Bình</v>
          </cell>
          <cell r="T408" t="b">
            <v>0</v>
          </cell>
          <cell r="U408">
            <v>0</v>
          </cell>
          <cell r="V408" t="str">
            <v>PTTT 04c</v>
          </cell>
          <cell r="W408" t="str">
            <v>1 người</v>
          </cell>
          <cell r="X408" t="str">
            <v>NGUYỄN HỮU TRÍ</v>
          </cell>
        </row>
        <row r="409">
          <cell r="I409" t="str">
            <v>B2.23.19</v>
          </cell>
          <cell r="J409" t="str">
            <v>VŨ MINH HOÀNG</v>
          </cell>
          <cell r="K409" t="str">
            <v>Bình Thạnh</v>
          </cell>
          <cell r="L409" t="str">
            <v>Thanh Hà</v>
          </cell>
          <cell r="M409" t="str">
            <v>Như Ngọc</v>
          </cell>
          <cell r="N409" t="str">
            <v>Trần Hoàng Đạt</v>
          </cell>
          <cell r="O409" t="str">
            <v>VŨ MINH HOÀNG</v>
          </cell>
          <cell r="P409" t="str">
            <v>Bình Thạnh</v>
          </cell>
          <cell r="Q409" t="str">
            <v>Thanh Hà</v>
          </cell>
          <cell r="R409" t="str">
            <v>Như Ngọc</v>
          </cell>
          <cell r="S409">
            <v>0</v>
          </cell>
          <cell r="T409" t="b">
            <v>1</v>
          </cell>
          <cell r="U409">
            <v>0</v>
          </cell>
          <cell r="V409" t="str">
            <v>PTTT 04c</v>
          </cell>
          <cell r="W409" t="str">
            <v>1 người</v>
          </cell>
          <cell r="X409" t="str">
            <v>VŨ MINH HOÀNG</v>
          </cell>
        </row>
        <row r="410">
          <cell r="I410" t="str">
            <v>B2.24.01</v>
          </cell>
          <cell r="J410" t="str">
            <v>TRANG THỊ NGỌC TRINH</v>
          </cell>
          <cell r="K410" t="str">
            <v>Quận 3</v>
          </cell>
          <cell r="L410" t="str">
            <v>Huỳnh Nhân</v>
          </cell>
          <cell r="M410" t="str">
            <v>Tấn Long</v>
          </cell>
          <cell r="N410" t="str">
            <v>Thái Thị Thanh Tâm</v>
          </cell>
          <cell r="O410" t="str">
            <v>NGUYỄN HỮU ĐỒNG</v>
          </cell>
          <cell r="P410" t="str">
            <v>Quận 3</v>
          </cell>
          <cell r="Q410" t="str">
            <v>Huỳnh Nhân</v>
          </cell>
          <cell r="R410" t="str">
            <v>Tấn Long</v>
          </cell>
          <cell r="S410" t="str">
            <v>Thái Thị Thanh Tâm</v>
          </cell>
          <cell r="T410" t="b">
            <v>0</v>
          </cell>
          <cell r="U410">
            <v>0</v>
          </cell>
          <cell r="V410" t="str">
            <v>PTTT 04c</v>
          </cell>
          <cell r="W410" t="str">
            <v>1 người</v>
          </cell>
          <cell r="X410" t="str">
            <v>TRANG THỊ NGỌC TRINH</v>
          </cell>
        </row>
        <row r="411">
          <cell r="I411" t="str">
            <v>B2.24.02</v>
          </cell>
          <cell r="J411" t="str">
            <v>BÙI VIỆT ANH</v>
          </cell>
          <cell r="K411" t="str">
            <v>Quận 3</v>
          </cell>
          <cell r="L411" t="str">
            <v>Thanh Tuấn</v>
          </cell>
          <cell r="M411" t="str">
            <v>Anh Tài</v>
          </cell>
          <cell r="N411" t="str">
            <v>Nguyễn Thu Thảo</v>
          </cell>
          <cell r="O411" t="str">
            <v>BÙI VIỆT ANH</v>
          </cell>
          <cell r="P411" t="str">
            <v>Quận 3</v>
          </cell>
          <cell r="Q411" t="str">
            <v>Thanh Tuấn</v>
          </cell>
          <cell r="R411" t="str">
            <v>Anh Tài</v>
          </cell>
          <cell r="S411" t="str">
            <v>Nguyễn Thu Thảo</v>
          </cell>
          <cell r="T411" t="b">
            <v>1</v>
          </cell>
          <cell r="U411" t="str">
            <v>PTTT 04c</v>
          </cell>
          <cell r="V411" t="str">
            <v>PTTT 04c</v>
          </cell>
          <cell r="W411" t="str">
            <v>1 người</v>
          </cell>
          <cell r="X411" t="str">
            <v>BÙI VIỆT ANH</v>
          </cell>
        </row>
        <row r="412">
          <cell r="I412" t="str">
            <v>B2.24.03</v>
          </cell>
          <cell r="J412" t="str">
            <v>NGUYỄN NGÂN HÀ</v>
          </cell>
          <cell r="K412" t="str">
            <v>Quận 3</v>
          </cell>
          <cell r="L412" t="str">
            <v>Thanh Tuấn</v>
          </cell>
          <cell r="M412" t="str">
            <v>Anh Tài</v>
          </cell>
          <cell r="N412" t="str">
            <v>Đỗ Thị Thanh Tuyền</v>
          </cell>
          <cell r="O412" t="str">
            <v>NGUYỄN NGÂN HÀ</v>
          </cell>
          <cell r="P412" t="str">
            <v>Quận 3</v>
          </cell>
          <cell r="Q412" t="str">
            <v>Thanh Tuấn</v>
          </cell>
          <cell r="R412" t="str">
            <v>Anh Tài</v>
          </cell>
          <cell r="S412" t="str">
            <v>Đỗ Thị Thanh Tuyền</v>
          </cell>
          <cell r="T412" t="b">
            <v>1</v>
          </cell>
          <cell r="U412">
            <v>0</v>
          </cell>
          <cell r="V412" t="str">
            <v>PTTT 04c</v>
          </cell>
          <cell r="W412" t="str">
            <v>1 người</v>
          </cell>
          <cell r="X412" t="str">
            <v>NGUYỄN NGÂN HÀ</v>
          </cell>
        </row>
        <row r="413">
          <cell r="I413" t="str">
            <v>B2.24.04</v>
          </cell>
          <cell r="J413" t="str">
            <v>NGUYỄN HOÀNG KHÂM</v>
          </cell>
          <cell r="K413" t="str">
            <v>Bình Thạnh</v>
          </cell>
          <cell r="L413" t="str">
            <v>Ngọc Linh</v>
          </cell>
          <cell r="M413" t="str">
            <v>Phạm Vĩ</v>
          </cell>
          <cell r="N413" t="str">
            <v>Lê Bá Trung Tín</v>
          </cell>
          <cell r="O413">
            <v>0</v>
          </cell>
          <cell r="P413" t="str">
            <v>Bình Thạnh</v>
          </cell>
          <cell r="Q413" t="str">
            <v>Ngọc Linh</v>
          </cell>
          <cell r="R413" t="str">
            <v>Phạm Vĩ</v>
          </cell>
          <cell r="S413">
            <v>0</v>
          </cell>
          <cell r="T413" t="b">
            <v>0</v>
          </cell>
          <cell r="U413">
            <v>0</v>
          </cell>
          <cell r="V413" t="str">
            <v>PTTT 09c</v>
          </cell>
          <cell r="W413" t="str">
            <v>1 người</v>
          </cell>
          <cell r="X413" t="str">
            <v>NGUYỄN HOÀNG KHÂM</v>
          </cell>
        </row>
        <row r="414">
          <cell r="I414" t="str">
            <v>B2.24.05</v>
          </cell>
          <cell r="J414" t="str">
            <v>NGUYỄN THU HUYỀN</v>
          </cell>
          <cell r="K414" t="str">
            <v>Bình Thạnh</v>
          </cell>
          <cell r="L414" t="str">
            <v>Thanh Hà</v>
          </cell>
          <cell r="M414" t="str">
            <v>Đức Đồng</v>
          </cell>
          <cell r="N414" t="str">
            <v>Trần Minh Phúc</v>
          </cell>
          <cell r="O414" t="str">
            <v>NGUYỄN THU HUYỀN</v>
          </cell>
          <cell r="P414" t="str">
            <v>Bình Thạnh</v>
          </cell>
          <cell r="Q414" t="str">
            <v>Thanh Hà</v>
          </cell>
          <cell r="R414" t="str">
            <v>Đức Đồng</v>
          </cell>
          <cell r="S414" t="str">
            <v>Trần Minh Phúc</v>
          </cell>
          <cell r="T414" t="b">
            <v>1</v>
          </cell>
          <cell r="U414" t="str">
            <v>PTTT 04c</v>
          </cell>
          <cell r="V414" t="str">
            <v>PTTT 04c</v>
          </cell>
          <cell r="W414" t="str">
            <v>1 người</v>
          </cell>
          <cell r="X414" t="str">
            <v>NGUYỄN THU HUYỀN</v>
          </cell>
        </row>
        <row r="415">
          <cell r="I415" t="str">
            <v>B2.24.06</v>
          </cell>
          <cell r="J415" t="str">
            <v>NGUYỄN TRẦN THIỆN PHƯỚC</v>
          </cell>
          <cell r="K415" t="str">
            <v>Bình Thạnh</v>
          </cell>
          <cell r="L415" t="str">
            <v>Lê Mai</v>
          </cell>
          <cell r="M415" t="str">
            <v>Phương Thúy</v>
          </cell>
          <cell r="N415" t="str">
            <v>Nguyễn Phi Hùng</v>
          </cell>
          <cell r="O415">
            <v>0</v>
          </cell>
          <cell r="P415" t="str">
            <v>Bình Thạnh</v>
          </cell>
          <cell r="Q415" t="str">
            <v>Lê Mai</v>
          </cell>
          <cell r="R415" t="str">
            <v>Phương Thúy</v>
          </cell>
          <cell r="S415" t="str">
            <v>Nguyễn Phi Hùng</v>
          </cell>
          <cell r="T415" t="b">
            <v>0</v>
          </cell>
          <cell r="U415">
            <v>0</v>
          </cell>
          <cell r="V415" t="str">
            <v>PTTT 09c</v>
          </cell>
          <cell r="W415" t="str">
            <v>1 người</v>
          </cell>
          <cell r="X415" t="str">
            <v>NGUYỄN TRẦN THIỆN PHƯỚC</v>
          </cell>
        </row>
        <row r="416">
          <cell r="I416" t="str">
            <v>B2.24.07</v>
          </cell>
          <cell r="J416" t="str">
            <v>PHẠM THỊ THU HƯƠNG</v>
          </cell>
          <cell r="K416" t="str">
            <v>Quận 3</v>
          </cell>
          <cell r="L416" t="str">
            <v>Thanh Tuấn</v>
          </cell>
          <cell r="M416" t="str">
            <v>Anh Tài</v>
          </cell>
          <cell r="N416" t="str">
            <v>Nguyễn Văn Vũ</v>
          </cell>
          <cell r="O416">
            <v>0</v>
          </cell>
          <cell r="P416" t="str">
            <v>Quận 3</v>
          </cell>
          <cell r="Q416" t="str">
            <v>Thanh Tuấn</v>
          </cell>
          <cell r="R416" t="str">
            <v>Anh Tài</v>
          </cell>
          <cell r="S416">
            <v>0</v>
          </cell>
          <cell r="T416" t="b">
            <v>0</v>
          </cell>
          <cell r="U416">
            <v>0</v>
          </cell>
          <cell r="V416" t="str">
            <v>PTTT 09c</v>
          </cell>
          <cell r="W416" t="str">
            <v>1 người</v>
          </cell>
          <cell r="X416" t="str">
            <v>PHẠM THỊ THU HƯƠNG</v>
          </cell>
        </row>
        <row r="417">
          <cell r="I417" t="str">
            <v>B2.24.08</v>
          </cell>
          <cell r="J417" t="str">
            <v>LƯƠNG THỊ MỘNG KIỀU</v>
          </cell>
          <cell r="K417" t="str">
            <v>Bình Thạnh</v>
          </cell>
          <cell r="L417" t="str">
            <v>Ngọc Linh</v>
          </cell>
          <cell r="M417" t="str">
            <v>Lưu Thông</v>
          </cell>
          <cell r="N417" t="str">
            <v>Lê Bá Trung Tín</v>
          </cell>
          <cell r="O417" t="str">
            <v>LƯƠNG THỊ MỘNG KIỀU</v>
          </cell>
          <cell r="P417" t="str">
            <v>Bình Thạnh</v>
          </cell>
          <cell r="Q417" t="str">
            <v>Ngọc Linh</v>
          </cell>
          <cell r="R417" t="str">
            <v>Lưu Thông</v>
          </cell>
          <cell r="S417" t="str">
            <v>Lê Bá Trung Tín</v>
          </cell>
          <cell r="T417" t="b">
            <v>0</v>
          </cell>
          <cell r="U417" t="str">
            <v>PTTT 06c</v>
          </cell>
          <cell r="V417" t="str">
            <v>PTTT 04c</v>
          </cell>
          <cell r="W417" t="str">
            <v>1 người</v>
          </cell>
          <cell r="X417" t="str">
            <v>VŨ THỊ CẨM VÂN</v>
          </cell>
        </row>
        <row r="418">
          <cell r="I418" t="str">
            <v>B2.24.09</v>
          </cell>
          <cell r="J418" t="str">
            <v>NGUYỄN CÔNG DANH</v>
          </cell>
          <cell r="K418" t="str">
            <v>Quận 3</v>
          </cell>
          <cell r="L418" t="str">
            <v>Thanh Tuấn</v>
          </cell>
          <cell r="M418" t="str">
            <v>Tuấn Vương</v>
          </cell>
          <cell r="N418" t="str">
            <v>Huỳnh Nhất Vương</v>
          </cell>
          <cell r="O418" t="str">
            <v>NGUYỄN CÔNG DANH</v>
          </cell>
          <cell r="P418" t="str">
            <v>Quận 3</v>
          </cell>
          <cell r="Q418" t="str">
            <v>Thanh Tuấn</v>
          </cell>
          <cell r="R418" t="str">
            <v>Tuấn Vương</v>
          </cell>
          <cell r="S418" t="str">
            <v>Huỳnh Nhất Vương</v>
          </cell>
          <cell r="T418" t="b">
            <v>1</v>
          </cell>
          <cell r="U418">
            <v>0</v>
          </cell>
          <cell r="V418" t="str">
            <v>PTTT 04c</v>
          </cell>
          <cell r="W418" t="str">
            <v>2 người</v>
          </cell>
          <cell r="X418" t="str">
            <v>NGUYỄN CÔNG DANH</v>
          </cell>
        </row>
        <row r="419">
          <cell r="I419" t="str">
            <v>B2.24.20</v>
          </cell>
          <cell r="J419" t="str">
            <v>NGUYỄN THỊ PHƯỢNG LINH</v>
          </cell>
          <cell r="K419" t="str">
            <v>Bình Thạnh</v>
          </cell>
          <cell r="L419" t="str">
            <v>Thanh Hà</v>
          </cell>
          <cell r="M419" t="str">
            <v>Như Ngọc</v>
          </cell>
          <cell r="N419" t="str">
            <v>Phùng Tấn Hiệp</v>
          </cell>
          <cell r="O419" t="str">
            <v>NGUYỄN THỊ PHƯỢNG LINH</v>
          </cell>
          <cell r="P419" t="str">
            <v>Bình Thạnh</v>
          </cell>
          <cell r="Q419" t="str">
            <v>Thanh Hà</v>
          </cell>
          <cell r="R419" t="str">
            <v>Như Ngọc</v>
          </cell>
          <cell r="S419" t="str">
            <v>Phùng Tấn Hiệp</v>
          </cell>
          <cell r="T419" t="b">
            <v>1</v>
          </cell>
          <cell r="U419" t="str">
            <v>PTTT 04c</v>
          </cell>
          <cell r="V419" t="str">
            <v>PTTT 04c</v>
          </cell>
          <cell r="W419" t="str">
            <v>1 người</v>
          </cell>
          <cell r="X419" t="str">
            <v>NGUYỄN THỊ PHƯỢNG LINH</v>
          </cell>
        </row>
        <row r="420">
          <cell r="I420" t="str">
            <v>B2.24.21</v>
          </cell>
          <cell r="J420" t="str">
            <v>TRẦN BẢO THẮNG</v>
          </cell>
          <cell r="K420" t="str">
            <v>Quận 3</v>
          </cell>
          <cell r="L420" t="str">
            <v>Thế Hiển</v>
          </cell>
          <cell r="M420" t="str">
            <v>Văn Tùng</v>
          </cell>
          <cell r="N420" t="str">
            <v>Châu Thị Mộng Trinh</v>
          </cell>
          <cell r="O420" t="str">
            <v>TRẦN BẢO THẮNG</v>
          </cell>
          <cell r="P420" t="str">
            <v>Quận 3</v>
          </cell>
          <cell r="Q420" t="str">
            <v>Thế Hiển</v>
          </cell>
          <cell r="R420" t="str">
            <v>Văn Tùng</v>
          </cell>
          <cell r="S420" t="str">
            <v>Châu Thị Mộng Trinh</v>
          </cell>
          <cell r="T420" t="b">
            <v>1</v>
          </cell>
          <cell r="U420" t="str">
            <v>PTTT 04c</v>
          </cell>
          <cell r="V420" t="str">
            <v>PTTT 04c</v>
          </cell>
          <cell r="W420" t="str">
            <v>1 người</v>
          </cell>
          <cell r="X420" t="str">
            <v>TRẦN BẢO THẮNG</v>
          </cell>
        </row>
        <row r="421">
          <cell r="I421" t="str">
            <v>B2.24.22</v>
          </cell>
          <cell r="J421" t="str">
            <v>VÕ TẤN HƯNG</v>
          </cell>
          <cell r="K421" t="str">
            <v>Quận 3</v>
          </cell>
          <cell r="L421" t="str">
            <v>Kỳ Long</v>
          </cell>
          <cell r="M421" t="str">
            <v>Văn Tuyên</v>
          </cell>
          <cell r="N421" t="str">
            <v>Trần Thị Thùy Dung</v>
          </cell>
          <cell r="O421" t="str">
            <v>VÕ TẤN HƯNG</v>
          </cell>
          <cell r="P421" t="str">
            <v>Quận 3</v>
          </cell>
          <cell r="Q421" t="str">
            <v>Kỳ Long</v>
          </cell>
          <cell r="R421" t="str">
            <v>Văn Tuyên</v>
          </cell>
          <cell r="S421" t="str">
            <v>Trần Thị Thùy Dung</v>
          </cell>
          <cell r="T421" t="b">
            <v>1</v>
          </cell>
          <cell r="U421" t="str">
            <v>PTTT 04c</v>
          </cell>
          <cell r="V421" t="str">
            <v>PTTT 04c</v>
          </cell>
          <cell r="W421" t="str">
            <v>2 người</v>
          </cell>
          <cell r="X421" t="str">
            <v>VÕ TẤN HƯNG</v>
          </cell>
        </row>
        <row r="422">
          <cell r="I422" t="str">
            <v>B2.25.01</v>
          </cell>
          <cell r="J422" t="str">
            <v>PHÙNG NHƯ THẢO</v>
          </cell>
          <cell r="K422" t="str">
            <v>Quận 3</v>
          </cell>
          <cell r="L422" t="str">
            <v>Thế Hiển</v>
          </cell>
          <cell r="M422" t="str">
            <v>Văn Tùng</v>
          </cell>
          <cell r="N422" t="str">
            <v>Phạm Anh Tuấn</v>
          </cell>
          <cell r="O422" t="str">
            <v>PHÙNG NHƯ THẢO</v>
          </cell>
          <cell r="P422" t="str">
            <v>Quận 3</v>
          </cell>
          <cell r="Q422" t="str">
            <v>Thế Hiển</v>
          </cell>
          <cell r="R422" t="str">
            <v>Văn Tùng</v>
          </cell>
          <cell r="S422" t="str">
            <v>Phạm Anh Tuấn</v>
          </cell>
          <cell r="T422" t="b">
            <v>1</v>
          </cell>
          <cell r="U422" t="str">
            <v>PTTT 04c</v>
          </cell>
          <cell r="V422" t="str">
            <v>PTTT 04c</v>
          </cell>
          <cell r="W422" t="str">
            <v>1 người</v>
          </cell>
          <cell r="X422" t="str">
            <v>PHÙNG NHƯ THẢO</v>
          </cell>
        </row>
        <row r="423">
          <cell r="I423" t="str">
            <v>B2.25.03</v>
          </cell>
          <cell r="J423" t="str">
            <v>NGUYỄN GIA BẢO</v>
          </cell>
          <cell r="K423" t="str">
            <v>Bình Thạnh</v>
          </cell>
          <cell r="L423" t="str">
            <v>Lê Mai</v>
          </cell>
          <cell r="M423" t="str">
            <v>Ly Ly</v>
          </cell>
          <cell r="N423" t="str">
            <v>Võ Thế Hậu</v>
          </cell>
          <cell r="O423" t="str">
            <v>NGUYỄN GIA BẢO</v>
          </cell>
          <cell r="P423" t="str">
            <v>Bình Thạnh</v>
          </cell>
          <cell r="Q423" t="str">
            <v>Lê Mai</v>
          </cell>
          <cell r="R423" t="str">
            <v>Ly Ly</v>
          </cell>
          <cell r="S423" t="str">
            <v>Võ Thế Hậu</v>
          </cell>
          <cell r="T423" t="b">
            <v>1</v>
          </cell>
          <cell r="U423" t="str">
            <v>PTTT 05c</v>
          </cell>
          <cell r="V423" t="str">
            <v>PTTT 05c</v>
          </cell>
          <cell r="W423" t="str">
            <v>1 người</v>
          </cell>
          <cell r="X423" t="str">
            <v>NGUYỄN GIA BẢO</v>
          </cell>
        </row>
        <row r="424">
          <cell r="I424" t="str">
            <v>B2.25.04</v>
          </cell>
          <cell r="J424" t="str">
            <v>TRẦN THỊ HIỀN</v>
          </cell>
          <cell r="K424" t="str">
            <v>Quận 3</v>
          </cell>
          <cell r="L424" t="str">
            <v>Thanh Tuấn</v>
          </cell>
          <cell r="M424" t="str">
            <v>Thanh Liêm</v>
          </cell>
          <cell r="N424" t="str">
            <v>Nguyễn Triêm Định</v>
          </cell>
          <cell r="O424">
            <v>0</v>
          </cell>
          <cell r="P424" t="str">
            <v>Quận 3</v>
          </cell>
          <cell r="Q424" t="str">
            <v>Thanh Tuấn</v>
          </cell>
          <cell r="R424" t="str">
            <v>Thanh Liêm</v>
          </cell>
          <cell r="S424" t="str">
            <v>Nguyễn Triêm Định</v>
          </cell>
          <cell r="T424" t="b">
            <v>0</v>
          </cell>
          <cell r="U424">
            <v>0</v>
          </cell>
          <cell r="V424" t="str">
            <v>PTTT 09c</v>
          </cell>
          <cell r="W424" t="str">
            <v>2 người</v>
          </cell>
          <cell r="X424" t="str">
            <v>BÙI VĂN TOÀN</v>
          </cell>
        </row>
        <row r="425">
          <cell r="I425" t="str">
            <v>B2.25.05</v>
          </cell>
          <cell r="J425" t="str">
            <v>NGUYỄN THU HUYỀN</v>
          </cell>
          <cell r="K425" t="str">
            <v>Bình Thạnh</v>
          </cell>
          <cell r="L425" t="str">
            <v>Thanh Hà</v>
          </cell>
          <cell r="M425" t="str">
            <v>Đức Đồng</v>
          </cell>
          <cell r="N425" t="str">
            <v>Trần Thị Minh Giang</v>
          </cell>
          <cell r="O425" t="str">
            <v>NGUYỄN THU HUYỀN</v>
          </cell>
          <cell r="P425" t="str">
            <v>Bình Thạnh</v>
          </cell>
          <cell r="Q425" t="str">
            <v>Thanh Hà</v>
          </cell>
          <cell r="R425" t="str">
            <v>Đức Đồng</v>
          </cell>
          <cell r="S425" t="str">
            <v>Trần Thị Minh Giang</v>
          </cell>
          <cell r="T425" t="b">
            <v>1</v>
          </cell>
          <cell r="U425" t="str">
            <v>PTTT 04c</v>
          </cell>
          <cell r="V425" t="str">
            <v>PTTT 04c</v>
          </cell>
          <cell r="W425" t="str">
            <v>1 người</v>
          </cell>
          <cell r="X425" t="str">
            <v>NGUYỄN THU HUYỀN</v>
          </cell>
        </row>
        <row r="426">
          <cell r="I426" t="str">
            <v>B2.25.06</v>
          </cell>
          <cell r="J426" t="str">
            <v>???</v>
          </cell>
          <cell r="K426" t="str">
            <v>???</v>
          </cell>
          <cell r="L426" t="str">
            <v>???</v>
          </cell>
          <cell r="M426" t="str">
            <v>???</v>
          </cell>
          <cell r="N426" t="str">
            <v>???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 t="b">
            <v>1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</row>
        <row r="427">
          <cell r="I427" t="str">
            <v>B2.25.07</v>
          </cell>
          <cell r="J427" t="str">
            <v>???</v>
          </cell>
          <cell r="K427" t="str">
            <v>???</v>
          </cell>
          <cell r="L427" t="str">
            <v>???</v>
          </cell>
          <cell r="M427" t="str">
            <v>???</v>
          </cell>
          <cell r="N427" t="str">
            <v>???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 t="b">
            <v>1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</row>
        <row r="428">
          <cell r="I428" t="str">
            <v>B2.25.08</v>
          </cell>
          <cell r="J428" t="str">
            <v>TRƯƠNG QUỐC KHẢI</v>
          </cell>
          <cell r="K428" t="str">
            <v>Quận 3</v>
          </cell>
          <cell r="L428" t="str">
            <v>Thanh Tuấn</v>
          </cell>
          <cell r="M428" t="str">
            <v>Hữu Thạnh</v>
          </cell>
          <cell r="N428" t="str">
            <v>Huỳnh Hải Yến</v>
          </cell>
          <cell r="O428" t="str">
            <v>TRƯƠNG QUỐC KHẢI</v>
          </cell>
          <cell r="P428" t="str">
            <v>Quận 3</v>
          </cell>
          <cell r="Q428" t="str">
            <v>Thanh Tuấn</v>
          </cell>
          <cell r="R428" t="str">
            <v>Hữu Thạnh</v>
          </cell>
          <cell r="S428" t="str">
            <v>Huỳnh Hải Yến</v>
          </cell>
          <cell r="T428" t="b">
            <v>1</v>
          </cell>
          <cell r="U428" t="str">
            <v>PTTT 04c</v>
          </cell>
          <cell r="V428" t="str">
            <v>PTTT 04c</v>
          </cell>
          <cell r="W428" t="str">
            <v>1 người</v>
          </cell>
          <cell r="X428" t="str">
            <v>TRƯƠNG QUỐC KHẢI</v>
          </cell>
        </row>
        <row r="429">
          <cell r="I429" t="str">
            <v>B2.25.09</v>
          </cell>
          <cell r="J429" t="str">
            <v>???</v>
          </cell>
          <cell r="K429" t="str">
            <v>???</v>
          </cell>
          <cell r="L429" t="str">
            <v>???</v>
          </cell>
          <cell r="M429" t="str">
            <v>???</v>
          </cell>
          <cell r="N429" t="str">
            <v>???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 t="b">
            <v>1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</row>
        <row r="430">
          <cell r="I430" t="str">
            <v>B2.25.10</v>
          </cell>
          <cell r="J430" t="str">
            <v>???</v>
          </cell>
          <cell r="K430" t="str">
            <v>???</v>
          </cell>
          <cell r="L430" t="str">
            <v>???</v>
          </cell>
          <cell r="M430" t="str">
            <v>???</v>
          </cell>
          <cell r="N430" t="str">
            <v>???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 t="b">
            <v>1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</row>
        <row r="431">
          <cell r="I431" t="str">
            <v>B2.25.11</v>
          </cell>
          <cell r="J431" t="str">
            <v>NGÔ THU THỦY</v>
          </cell>
          <cell r="K431" t="str">
            <v>Bình Thạnh</v>
          </cell>
          <cell r="L431" t="str">
            <v>Thanh Hà</v>
          </cell>
          <cell r="M431" t="str">
            <v>Như Ngọc</v>
          </cell>
          <cell r="N431" t="str">
            <v>Nguyễn Xuân Tuấn Sang</v>
          </cell>
          <cell r="O431" t="str">
            <v>NGÔ THU THỦY</v>
          </cell>
          <cell r="P431" t="str">
            <v>Bình Thạnh</v>
          </cell>
          <cell r="Q431" t="str">
            <v>Thanh Hà</v>
          </cell>
          <cell r="R431" t="str">
            <v>Như Ngọc</v>
          </cell>
          <cell r="S431" t="str">
            <v>Nguyễn Xuân Tuấn Sang</v>
          </cell>
          <cell r="T431" t="b">
            <v>1</v>
          </cell>
          <cell r="U431" t="str">
            <v>PTTT 06c</v>
          </cell>
          <cell r="V431" t="str">
            <v>PTTT 04c</v>
          </cell>
          <cell r="W431" t="str">
            <v>1 người</v>
          </cell>
          <cell r="X431" t="str">
            <v>NGÔ THU THỦY</v>
          </cell>
        </row>
        <row r="432">
          <cell r="I432" t="str">
            <v>B2.25.12</v>
          </cell>
          <cell r="J432" t="str">
            <v>???</v>
          </cell>
          <cell r="K432" t="str">
            <v>???</v>
          </cell>
          <cell r="L432" t="str">
            <v>???</v>
          </cell>
          <cell r="M432" t="str">
            <v>???</v>
          </cell>
          <cell r="N432" t="str">
            <v>???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 t="b">
            <v>1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</row>
        <row r="433">
          <cell r="I433" t="str">
            <v>B2.25.13</v>
          </cell>
          <cell r="J433" t="str">
            <v>SÍN ĐỨC QUY</v>
          </cell>
          <cell r="K433" t="str">
            <v>Quận 3</v>
          </cell>
          <cell r="L433" t="str">
            <v>Thanh Tuấn</v>
          </cell>
          <cell r="M433" t="str">
            <v>Duy Nhật</v>
          </cell>
          <cell r="N433" t="str">
            <v>Bùi Ngọc Đan Thanh</v>
          </cell>
          <cell r="O433" t="str">
            <v>SÍN ĐỨC QUY</v>
          </cell>
          <cell r="P433" t="str">
            <v>Quận 3</v>
          </cell>
          <cell r="Q433" t="str">
            <v>Thanh Tuấn</v>
          </cell>
          <cell r="R433" t="str">
            <v>Duy Nhật</v>
          </cell>
          <cell r="S433" t="str">
            <v>Bùi Ngọc Đan Thanh</v>
          </cell>
          <cell r="T433" t="b">
            <v>1</v>
          </cell>
          <cell r="U433">
            <v>0</v>
          </cell>
          <cell r="V433" t="str">
            <v>PTTT 04c</v>
          </cell>
          <cell r="W433" t="str">
            <v>1 người</v>
          </cell>
          <cell r="X433" t="str">
            <v>SÍN ĐỨC QUY</v>
          </cell>
        </row>
        <row r="434">
          <cell r="I434" t="str">
            <v>B2.25.14</v>
          </cell>
          <cell r="J434" t="str">
            <v>NGUYỄN THỊ PHƯỢNG</v>
          </cell>
          <cell r="K434" t="str">
            <v>Bình Thạnh</v>
          </cell>
          <cell r="L434" t="str">
            <v>Thanh Hà</v>
          </cell>
          <cell r="M434" t="str">
            <v>Đức Đồng</v>
          </cell>
          <cell r="N434" t="str">
            <v>Phạm Đức Đồng</v>
          </cell>
          <cell r="O434">
            <v>0</v>
          </cell>
          <cell r="P434" t="str">
            <v>Bình Thạnh</v>
          </cell>
          <cell r="Q434" t="str">
            <v>Thanh Hà</v>
          </cell>
          <cell r="R434" t="str">
            <v>Đức Đồng</v>
          </cell>
          <cell r="S434">
            <v>0</v>
          </cell>
          <cell r="T434" t="b">
            <v>0</v>
          </cell>
          <cell r="U434">
            <v>0</v>
          </cell>
          <cell r="V434" t="str">
            <v>PTTT 09c</v>
          </cell>
          <cell r="W434" t="str">
            <v>1 người</v>
          </cell>
          <cell r="X434" t="str">
            <v>NGUYỄN THỊ PHƯỢNG</v>
          </cell>
        </row>
        <row r="435">
          <cell r="I435" t="str">
            <v>B2.25.15</v>
          </cell>
          <cell r="J435" t="str">
            <v>TRẦN MAI PHƯƠNG</v>
          </cell>
          <cell r="K435" t="str">
            <v>Bình Thạnh</v>
          </cell>
          <cell r="L435" t="str">
            <v>Lê Mai</v>
          </cell>
          <cell r="M435" t="str">
            <v>Lê Mai</v>
          </cell>
          <cell r="N435" t="str">
            <v>Nguyễn Trọng Phương</v>
          </cell>
          <cell r="O435">
            <v>0</v>
          </cell>
          <cell r="P435" t="str">
            <v>Bình Thạnh</v>
          </cell>
          <cell r="Q435" t="str">
            <v>Lê Mai</v>
          </cell>
          <cell r="R435" t="str">
            <v>Lê Mai</v>
          </cell>
          <cell r="S435" t="str">
            <v>Nguyễn Trọng Phương</v>
          </cell>
          <cell r="T435" t="b">
            <v>0</v>
          </cell>
          <cell r="U435">
            <v>0</v>
          </cell>
          <cell r="V435" t="str">
            <v>PTTT 04c</v>
          </cell>
          <cell r="W435" t="str">
            <v>1 người</v>
          </cell>
          <cell r="X435" t="str">
            <v>TRẦN MAI PHƯƠNG</v>
          </cell>
        </row>
        <row r="436">
          <cell r="I436" t="str">
            <v>B2.25.16</v>
          </cell>
          <cell r="J436" t="str">
            <v>???</v>
          </cell>
          <cell r="K436" t="str">
            <v>???</v>
          </cell>
          <cell r="L436" t="str">
            <v>???</v>
          </cell>
          <cell r="M436" t="str">
            <v>???</v>
          </cell>
          <cell r="N436" t="str">
            <v>???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 t="b">
            <v>1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</row>
        <row r="437">
          <cell r="I437" t="str">
            <v>B2.25.17</v>
          </cell>
          <cell r="J437" t="str">
            <v>PHẠM HOÀNG TUẤN KIỆT</v>
          </cell>
          <cell r="K437" t="str">
            <v>Quận 3</v>
          </cell>
          <cell r="L437" t="str">
            <v>Thanh Tuấn</v>
          </cell>
          <cell r="M437" t="str">
            <v>Thanh Liêm</v>
          </cell>
          <cell r="N437" t="str">
            <v>Phạm Thị Thanh Thúy</v>
          </cell>
          <cell r="O437" t="str">
            <v>PHẠM HOÀNG TUẤN KIỆT</v>
          </cell>
          <cell r="P437" t="str">
            <v>Quận 3</v>
          </cell>
          <cell r="Q437" t="str">
            <v>Thanh Tuấn</v>
          </cell>
          <cell r="R437" t="str">
            <v>Thanh Liêm</v>
          </cell>
          <cell r="S437" t="str">
            <v>Phạm Thị Thanh Thúy</v>
          </cell>
          <cell r="T437" t="b">
            <v>1</v>
          </cell>
          <cell r="U437" t="str">
            <v>PTTT 04c</v>
          </cell>
          <cell r="V437" t="str">
            <v>PTTT 04c</v>
          </cell>
          <cell r="W437" t="str">
            <v>2 người</v>
          </cell>
          <cell r="X437" t="str">
            <v>PHẠM HOÀNG TUẤN KIỆT</v>
          </cell>
        </row>
        <row r="438">
          <cell r="I438" t="str">
            <v>B2.25.18</v>
          </cell>
          <cell r="J438" t="str">
            <v>LÊ LỰC</v>
          </cell>
          <cell r="K438" t="str">
            <v>Bình Thạnh</v>
          </cell>
          <cell r="L438" t="str">
            <v>Lê Mai</v>
          </cell>
          <cell r="M438" t="str">
            <v>Phương Thúy</v>
          </cell>
          <cell r="N438" t="str">
            <v>Bùi Thanh Sang</v>
          </cell>
          <cell r="O438" t="str">
            <v>LÊ LỰC</v>
          </cell>
          <cell r="P438" t="str">
            <v>Quận 3</v>
          </cell>
          <cell r="Q438" t="str">
            <v>Thanh Tuấn</v>
          </cell>
          <cell r="R438" t="str">
            <v>Thanh Liêm</v>
          </cell>
          <cell r="S438" t="str">
            <v>Trần Quốc Việt</v>
          </cell>
          <cell r="T438" t="b">
            <v>0</v>
          </cell>
          <cell r="U438" t="str">
            <v>PTTT 04c</v>
          </cell>
          <cell r="V438" t="str">
            <v>PTTT 04c</v>
          </cell>
          <cell r="W438" t="str">
            <v>1 người</v>
          </cell>
          <cell r="X438" t="str">
            <v>LÊ PHƯƠNG THÚY</v>
          </cell>
        </row>
        <row r="439">
          <cell r="I439" t="str">
            <v>B2.25.19</v>
          </cell>
          <cell r="J439" t="str">
            <v>TRỊNH THỊ MỸ THƠ</v>
          </cell>
          <cell r="K439" t="str">
            <v>Bình Thạnh</v>
          </cell>
          <cell r="L439" t="str">
            <v>Lê Mai</v>
          </cell>
          <cell r="M439" t="str">
            <v>Ly Ly</v>
          </cell>
          <cell r="N439" t="str">
            <v>Huỳnh Anh Duy</v>
          </cell>
          <cell r="O439" t="str">
            <v>TRỊNH THỊ MỸ THƠ</v>
          </cell>
          <cell r="P439" t="str">
            <v>Bình Thạnh</v>
          </cell>
          <cell r="Q439" t="str">
            <v>Lê Mai</v>
          </cell>
          <cell r="R439" t="str">
            <v>Ly Ly</v>
          </cell>
          <cell r="S439" t="str">
            <v>Huỳnh Anh Duy</v>
          </cell>
          <cell r="T439" t="b">
            <v>1</v>
          </cell>
          <cell r="U439">
            <v>0</v>
          </cell>
          <cell r="V439" t="str">
            <v>PTTT 04c</v>
          </cell>
          <cell r="W439" t="str">
            <v>1 người</v>
          </cell>
          <cell r="X439" t="str">
            <v>TRỊNH THỊ MỸ THƠ</v>
          </cell>
        </row>
        <row r="440">
          <cell r="I440" t="str">
            <v>B2.25.20</v>
          </cell>
          <cell r="J440" t="str">
            <v>HUỲNH THỊ YẾN NHƯ</v>
          </cell>
          <cell r="K440" t="str">
            <v>Sàn liên kết</v>
          </cell>
          <cell r="L440" t="str">
            <v>Bcons Homes</v>
          </cell>
          <cell r="M440" t="str">
            <v>Bcons Homes</v>
          </cell>
          <cell r="N440">
            <v>0</v>
          </cell>
          <cell r="O440" t="str">
            <v>HUỲNH THỊ YẾN NHƯ</v>
          </cell>
          <cell r="P440" t="str">
            <v>Sàn liên kết</v>
          </cell>
          <cell r="Q440" t="str">
            <v>Bcons Homes</v>
          </cell>
          <cell r="R440" t="str">
            <v>Bcons Homes</v>
          </cell>
          <cell r="S440">
            <v>0</v>
          </cell>
          <cell r="T440" t="b">
            <v>1</v>
          </cell>
          <cell r="U440">
            <v>0</v>
          </cell>
          <cell r="V440" t="str">
            <v>PTTT 04c</v>
          </cell>
          <cell r="W440" t="str">
            <v>1 người</v>
          </cell>
          <cell r="X440" t="str">
            <v>HUỲNH THỊ YẾN NHƯ</v>
          </cell>
        </row>
        <row r="441">
          <cell r="I441" t="str">
            <v>B2.25.21</v>
          </cell>
          <cell r="J441" t="str">
            <v>LÊ THỊ THU VƯƠNG</v>
          </cell>
          <cell r="K441" t="str">
            <v>Quận 3</v>
          </cell>
          <cell r="L441" t="str">
            <v>Kỳ Long</v>
          </cell>
          <cell r="M441" t="str">
            <v>Văn Tuyên</v>
          </cell>
          <cell r="N441" t="str">
            <v>Trần Thị Thùy Dung</v>
          </cell>
          <cell r="O441" t="str">
            <v>LÊ THỊ THU VƯƠNG</v>
          </cell>
          <cell r="P441" t="str">
            <v>Quận 3</v>
          </cell>
          <cell r="Q441" t="str">
            <v>Kỳ Long</v>
          </cell>
          <cell r="R441" t="str">
            <v>Văn Tuyên</v>
          </cell>
          <cell r="S441" t="str">
            <v>Trần Thị Thùy Dung</v>
          </cell>
          <cell r="T441" t="b">
            <v>1</v>
          </cell>
          <cell r="U441" t="str">
            <v>PTTT 04c</v>
          </cell>
          <cell r="V441" t="str">
            <v>PTTT 04c</v>
          </cell>
          <cell r="W441" t="str">
            <v>1 người</v>
          </cell>
          <cell r="X441" t="str">
            <v>LÊ THỊ THU VƯƠNG</v>
          </cell>
        </row>
        <row r="442">
          <cell r="I442" t="str">
            <v>B2.25.22</v>
          </cell>
          <cell r="J442" t="str">
            <v>BẠCH THỊ HƯƠNG GIANG</v>
          </cell>
          <cell r="K442" t="str">
            <v>Bình Thạnh</v>
          </cell>
          <cell r="L442" t="str">
            <v>Thanh Hà</v>
          </cell>
          <cell r="M442" t="str">
            <v>Đức Đồng</v>
          </cell>
          <cell r="N442" t="str">
            <v>Nguyễn Tiến Lộc</v>
          </cell>
          <cell r="O442">
            <v>0</v>
          </cell>
          <cell r="P442" t="str">
            <v>Bình Thạnh</v>
          </cell>
          <cell r="Q442" t="str">
            <v>Thanh Hà</v>
          </cell>
          <cell r="R442" t="str">
            <v>Đức Đồng</v>
          </cell>
          <cell r="S442" t="str">
            <v>Nguyễn Tiến Lộc</v>
          </cell>
          <cell r="T442" t="b">
            <v>0</v>
          </cell>
          <cell r="U442">
            <v>0</v>
          </cell>
          <cell r="V442" t="str">
            <v>PTTT 09c</v>
          </cell>
          <cell r="W442" t="str">
            <v>1 người</v>
          </cell>
          <cell r="X442" t="str">
            <v>BẠCH THỊ HƯƠNG GIANG</v>
          </cell>
        </row>
        <row r="443">
          <cell r="I443" t="str">
            <v>B2.27.01</v>
          </cell>
          <cell r="J443" t="str">
            <v>LÂM THỊ XUÂN THẢO</v>
          </cell>
          <cell r="K443" t="str">
            <v>Quận 3</v>
          </cell>
          <cell r="L443" t="str">
            <v>Thế Hiển</v>
          </cell>
          <cell r="M443" t="str">
            <v>Văn Tùng</v>
          </cell>
          <cell r="N443" t="str">
            <v>Trần Văn Vũ</v>
          </cell>
          <cell r="O443">
            <v>0</v>
          </cell>
          <cell r="P443" t="str">
            <v>Quận 3</v>
          </cell>
          <cell r="Q443" t="str">
            <v>Thế Hiển</v>
          </cell>
          <cell r="R443" t="str">
            <v>Văn Tùng</v>
          </cell>
          <cell r="S443" t="str">
            <v>Trần Văn Vũ</v>
          </cell>
          <cell r="T443" t="b">
            <v>0</v>
          </cell>
          <cell r="U443">
            <v>0</v>
          </cell>
          <cell r="V443" t="str">
            <v>PTTT 08c</v>
          </cell>
          <cell r="W443" t="str">
            <v>1 người</v>
          </cell>
          <cell r="X443" t="str">
            <v>LÂM THỊ XUÂN THẢO</v>
          </cell>
        </row>
        <row r="444">
          <cell r="I444" t="str">
            <v>B2.27.02</v>
          </cell>
          <cell r="J444" t="str">
            <v>LÊ NGỌC ĐA</v>
          </cell>
          <cell r="K444" t="str">
            <v>Bình Thạnh</v>
          </cell>
          <cell r="L444" t="str">
            <v>Ngọc Linh</v>
          </cell>
          <cell r="M444" t="str">
            <v>Phạm Vĩ</v>
          </cell>
          <cell r="N444" t="str">
            <v>Lê Bá Trung Tín</v>
          </cell>
          <cell r="O444">
            <v>0</v>
          </cell>
          <cell r="P444" t="str">
            <v>Bình Thạnh</v>
          </cell>
          <cell r="Q444" t="str">
            <v>Ngọc Linh</v>
          </cell>
          <cell r="R444" t="str">
            <v>Phạm Vĩ</v>
          </cell>
          <cell r="S444" t="str">
            <v>Lê Bá Trung Tín</v>
          </cell>
          <cell r="T444" t="b">
            <v>0</v>
          </cell>
          <cell r="U444">
            <v>0</v>
          </cell>
          <cell r="V444" t="str">
            <v>PTTT 06c</v>
          </cell>
          <cell r="W444" t="str">
            <v>1 người</v>
          </cell>
          <cell r="X444" t="str">
            <v>LÊ NGỌC ĐA</v>
          </cell>
        </row>
        <row r="445">
          <cell r="I445" t="str">
            <v>B2.27.03</v>
          </cell>
          <cell r="J445" t="str">
            <v>NGUYỄN VĂN XUÂN</v>
          </cell>
          <cell r="K445" t="str">
            <v>Quận 3</v>
          </cell>
          <cell r="L445" t="str">
            <v>Thế Hiển</v>
          </cell>
          <cell r="M445" t="str">
            <v>Văn Tùng</v>
          </cell>
          <cell r="N445" t="str">
            <v>Châu Thị Mộng Trinh</v>
          </cell>
          <cell r="O445" t="str">
            <v>NGUYỄN VĂN XUÂN</v>
          </cell>
          <cell r="P445" t="str">
            <v>Quận 3</v>
          </cell>
          <cell r="Q445" t="str">
            <v>Thế Hiển</v>
          </cell>
          <cell r="R445" t="str">
            <v>Văn Tùng</v>
          </cell>
          <cell r="S445" t="str">
            <v>Châu Thị Mộng Trinh</v>
          </cell>
          <cell r="T445" t="b">
            <v>1</v>
          </cell>
          <cell r="U445" t="str">
            <v>PTTT 04c</v>
          </cell>
          <cell r="V445" t="str">
            <v>PTTT 04c</v>
          </cell>
          <cell r="W445" t="str">
            <v>1 người</v>
          </cell>
          <cell r="X445" t="str">
            <v>NGUYỄN VĂN XUÂN</v>
          </cell>
        </row>
        <row r="446">
          <cell r="I446" t="str">
            <v>B2.27.04</v>
          </cell>
          <cell r="J446" t="str">
            <v>PHAN ĐỨC QUÂN</v>
          </cell>
          <cell r="K446" t="str">
            <v>Quận 3</v>
          </cell>
          <cell r="L446" t="str">
            <v>Kỳ Long</v>
          </cell>
          <cell r="M446" t="str">
            <v>Phi Thoại</v>
          </cell>
          <cell r="N446" t="str">
            <v>Phạm Thị Thương</v>
          </cell>
          <cell r="O446" t="str">
            <v>PHAN ĐỨC QUÂN</v>
          </cell>
          <cell r="P446" t="str">
            <v>Quận 3</v>
          </cell>
          <cell r="Q446" t="str">
            <v>Kỳ Long</v>
          </cell>
          <cell r="R446" t="str">
            <v>Phi Thoại</v>
          </cell>
          <cell r="S446" t="str">
            <v>Phạm Thị Thương</v>
          </cell>
          <cell r="T446" t="b">
            <v>1</v>
          </cell>
          <cell r="U446">
            <v>0</v>
          </cell>
          <cell r="V446" t="str">
            <v>PTTT 04c</v>
          </cell>
          <cell r="W446" t="str">
            <v>2 người</v>
          </cell>
          <cell r="X446" t="str">
            <v>PHAN ĐỨC QUÂN</v>
          </cell>
        </row>
        <row r="447">
          <cell r="I447" t="str">
            <v>B2.27.05</v>
          </cell>
          <cell r="J447" t="str">
            <v>NGUYỄN HỮU THUẬN</v>
          </cell>
          <cell r="K447" t="str">
            <v>Quận 3</v>
          </cell>
          <cell r="L447" t="str">
            <v>Kỳ Long</v>
          </cell>
          <cell r="M447" t="str">
            <v>Văn Tuyên</v>
          </cell>
          <cell r="N447" t="str">
            <v>Trần Thị Thùy Dung</v>
          </cell>
          <cell r="O447" t="str">
            <v>NGUYỄN HỮU THUẬN</v>
          </cell>
          <cell r="P447" t="str">
            <v>Quận 3</v>
          </cell>
          <cell r="Q447" t="str">
            <v>Kỳ Long</v>
          </cell>
          <cell r="R447" t="str">
            <v>Văn Tuyên</v>
          </cell>
          <cell r="S447" t="str">
            <v>Trần Thị Thùy Dung</v>
          </cell>
          <cell r="T447" t="b">
            <v>0</v>
          </cell>
          <cell r="U447" t="str">
            <v>PTTT 04c</v>
          </cell>
          <cell r="V447" t="str">
            <v>PTTT 04c</v>
          </cell>
          <cell r="W447" t="str">
            <v>1 người</v>
          </cell>
          <cell r="X447" t="str">
            <v>ĐẶNG THỊ DIỄM THOẠI</v>
          </cell>
        </row>
        <row r="448">
          <cell r="I448" t="str">
            <v>B2.27.06</v>
          </cell>
          <cell r="J448" t="str">
            <v>NGUYỄN PHƯƠNG THẢO</v>
          </cell>
          <cell r="K448" t="str">
            <v>Quận 3</v>
          </cell>
          <cell r="L448" t="str">
            <v>Văn Tùng</v>
          </cell>
          <cell r="M448" t="str">
            <v>Trinh Trinh</v>
          </cell>
          <cell r="N448" t="str">
            <v>Phạm Anh Tuấn</v>
          </cell>
          <cell r="O448">
            <v>0</v>
          </cell>
          <cell r="P448" t="str">
            <v>Quận 3</v>
          </cell>
          <cell r="Q448" t="str">
            <v>Văn Tùng</v>
          </cell>
          <cell r="R448" t="str">
            <v>Trinh Trinh</v>
          </cell>
          <cell r="S448" t="str">
            <v>Phạm Anh Tuấn</v>
          </cell>
          <cell r="T448" t="b">
            <v>0</v>
          </cell>
          <cell r="U448">
            <v>0</v>
          </cell>
          <cell r="V448" t="str">
            <v>PTTT 09c</v>
          </cell>
          <cell r="W448" t="str">
            <v>1 người</v>
          </cell>
          <cell r="X448" t="str">
            <v>NGUYỄN PHƯƠNG THẢO</v>
          </cell>
        </row>
        <row r="449">
          <cell r="I449" t="str">
            <v>B2.27.07</v>
          </cell>
          <cell r="J449" t="str">
            <v>NGUYỄN THÁI VIÊN</v>
          </cell>
          <cell r="K449" t="str">
            <v>Quận 3</v>
          </cell>
          <cell r="L449" t="str">
            <v>Kỳ Long</v>
          </cell>
          <cell r="M449" t="str">
            <v>Phi Thoại</v>
          </cell>
          <cell r="N449" t="str">
            <v>Nguyễn Văn Quyền</v>
          </cell>
          <cell r="O449">
            <v>0</v>
          </cell>
          <cell r="P449" t="str">
            <v>Quận 3</v>
          </cell>
          <cell r="Q449" t="str">
            <v>Kỳ Long</v>
          </cell>
          <cell r="R449" t="str">
            <v>Phi Thoại</v>
          </cell>
          <cell r="S449" t="str">
            <v>Nguyễn Văn Quyền</v>
          </cell>
          <cell r="T449" t="b">
            <v>0</v>
          </cell>
          <cell r="U449">
            <v>0</v>
          </cell>
          <cell r="V449" t="str">
            <v>PTTT 09d</v>
          </cell>
          <cell r="W449" t="str">
            <v>1 người</v>
          </cell>
          <cell r="X449" t="str">
            <v>NGUYỄN THÁI VIÊN</v>
          </cell>
        </row>
        <row r="450">
          <cell r="I450" t="str">
            <v>B2.27.08</v>
          </cell>
          <cell r="J450" t="str">
            <v>NGUYỄN TUẤN KHANH</v>
          </cell>
          <cell r="K450" t="str">
            <v>Quận 3</v>
          </cell>
          <cell r="L450" t="str">
            <v>Kỳ Long</v>
          </cell>
          <cell r="M450" t="str">
            <v>Phi Thoại</v>
          </cell>
          <cell r="N450" t="str">
            <v>Nguyễn Thị Hoài Linh</v>
          </cell>
          <cell r="O450" t="str">
            <v>NGUYỄN TUẤN KHANH</v>
          </cell>
          <cell r="P450" t="str">
            <v>Quận 3</v>
          </cell>
          <cell r="Q450" t="str">
            <v>Kỳ Long</v>
          </cell>
          <cell r="R450" t="str">
            <v>Phi Thoại</v>
          </cell>
          <cell r="S450" t="str">
            <v>Nguyễn Thị Hoài Linh</v>
          </cell>
          <cell r="T450" t="b">
            <v>1</v>
          </cell>
          <cell r="U450" t="str">
            <v>PTTT 04c</v>
          </cell>
          <cell r="V450" t="str">
            <v>PTTT 04c</v>
          </cell>
          <cell r="W450" t="str">
            <v>1 người</v>
          </cell>
          <cell r="X450" t="str">
            <v>NGUYỄN TUẤN KHANH</v>
          </cell>
        </row>
        <row r="451">
          <cell r="I451" t="str">
            <v>B2.27.09</v>
          </cell>
          <cell r="J451" t="str">
            <v>???</v>
          </cell>
          <cell r="K451" t="str">
            <v>???</v>
          </cell>
          <cell r="L451" t="str">
            <v>???</v>
          </cell>
          <cell r="M451" t="str">
            <v>???</v>
          </cell>
          <cell r="N451" t="str">
            <v>???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 t="b">
            <v>1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</row>
        <row r="452">
          <cell r="I452" t="str">
            <v>B2.27.10</v>
          </cell>
          <cell r="J452" t="str">
            <v>???</v>
          </cell>
          <cell r="K452" t="str">
            <v>???</v>
          </cell>
          <cell r="L452" t="str">
            <v>???</v>
          </cell>
          <cell r="M452" t="str">
            <v>???</v>
          </cell>
          <cell r="N452" t="str">
            <v>???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 t="b">
            <v>1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</row>
        <row r="453">
          <cell r="I453" t="str">
            <v>B2.27.11</v>
          </cell>
          <cell r="J453" t="str">
            <v>PHẠM THỊ THÁI HÒA</v>
          </cell>
          <cell r="K453" t="str">
            <v>Bình Thạnh</v>
          </cell>
          <cell r="L453" t="str">
            <v>Ngọc Linh</v>
          </cell>
          <cell r="M453" t="str">
            <v>Phạm Vĩ</v>
          </cell>
          <cell r="N453" t="str">
            <v>Lê Văn Thông</v>
          </cell>
          <cell r="O453" t="str">
            <v>PHẠM THỊ THÁI HÒA</v>
          </cell>
          <cell r="P453" t="str">
            <v>Bình Thạnh</v>
          </cell>
          <cell r="Q453" t="str">
            <v>Ngọc Linh</v>
          </cell>
          <cell r="R453" t="str">
            <v>Phạm Vĩ</v>
          </cell>
          <cell r="S453" t="str">
            <v>Nguyễn Văn Hà</v>
          </cell>
          <cell r="T453" t="b">
            <v>1</v>
          </cell>
          <cell r="U453" t="str">
            <v>PTTT 06c</v>
          </cell>
          <cell r="V453" t="str">
            <v>PTTT 06c</v>
          </cell>
          <cell r="W453" t="str">
            <v>1 người</v>
          </cell>
          <cell r="X453" t="str">
            <v>PHẠM THỊ THÁI HÒA</v>
          </cell>
        </row>
        <row r="454">
          <cell r="I454" t="str">
            <v>B2.27.12</v>
          </cell>
          <cell r="J454" t="str">
            <v>???</v>
          </cell>
          <cell r="K454" t="str">
            <v>???</v>
          </cell>
          <cell r="L454" t="str">
            <v>???</v>
          </cell>
          <cell r="M454" t="str">
            <v>???</v>
          </cell>
          <cell r="N454" t="str">
            <v>???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 t="b">
            <v>1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</row>
        <row r="455">
          <cell r="I455" t="str">
            <v>B2.27.13</v>
          </cell>
          <cell r="J455" t="str">
            <v>NGUYỄN THỊ MINH TÂM</v>
          </cell>
          <cell r="K455" t="str">
            <v>Bình Thạnh</v>
          </cell>
          <cell r="L455" t="str">
            <v>Thanh Hà</v>
          </cell>
          <cell r="M455" t="str">
            <v>Đức Đồng</v>
          </cell>
          <cell r="N455" t="str">
            <v>Trần Thị Minh Giang</v>
          </cell>
          <cell r="O455" t="str">
            <v>NGUYỄN THỊ MINH TÂM</v>
          </cell>
          <cell r="P455" t="str">
            <v>Bình Thạnh</v>
          </cell>
          <cell r="Q455" t="str">
            <v>Thanh Hà</v>
          </cell>
          <cell r="R455" t="str">
            <v>Đức Đồng</v>
          </cell>
          <cell r="S455" t="str">
            <v>Trần Thị Minh Giang</v>
          </cell>
          <cell r="T455" t="b">
            <v>1</v>
          </cell>
          <cell r="U455" t="str">
            <v>PTTT 04c</v>
          </cell>
          <cell r="V455" t="str">
            <v>PTTT 04c</v>
          </cell>
          <cell r="W455" t="str">
            <v>1 người</v>
          </cell>
          <cell r="X455" t="str">
            <v>NGUYỄN THỊ MINH TÂM</v>
          </cell>
        </row>
        <row r="456">
          <cell r="I456" t="str">
            <v>B2.27.14</v>
          </cell>
          <cell r="J456" t="str">
            <v>BÙI VĂN TÙNG</v>
          </cell>
          <cell r="K456" t="str">
            <v>Bình Thạnh</v>
          </cell>
          <cell r="L456" t="str">
            <v>Ngọc Linh</v>
          </cell>
          <cell r="M456" t="str">
            <v>Thanh Đức</v>
          </cell>
          <cell r="N456" t="str">
            <v>Trần Nhựt Thư</v>
          </cell>
          <cell r="O456">
            <v>0</v>
          </cell>
          <cell r="P456" t="str">
            <v>Bình Thạnh</v>
          </cell>
          <cell r="Q456" t="str">
            <v>Ngọc Linh</v>
          </cell>
          <cell r="R456" t="str">
            <v>Thanh Đức</v>
          </cell>
          <cell r="S456" t="str">
            <v>Trần Nhựt Thư</v>
          </cell>
          <cell r="T456" t="b">
            <v>0</v>
          </cell>
          <cell r="U456">
            <v>0</v>
          </cell>
          <cell r="V456" t="str">
            <v>PTTT 04c</v>
          </cell>
          <cell r="W456" t="str">
            <v>1 người</v>
          </cell>
          <cell r="X456" t="str">
            <v>BÙI VĂN TÙNG</v>
          </cell>
        </row>
        <row r="457">
          <cell r="I457" t="str">
            <v>B2.27.15</v>
          </cell>
          <cell r="J457" t="str">
            <v>TRẦN VĂN PHÚC</v>
          </cell>
          <cell r="K457" t="str">
            <v>Quận 3</v>
          </cell>
          <cell r="L457" t="str">
            <v>Thế Hiển</v>
          </cell>
          <cell r="M457" t="str">
            <v>Văn Tùng</v>
          </cell>
          <cell r="N457" t="str">
            <v>Bùi Thanh Tân</v>
          </cell>
          <cell r="O457">
            <v>0</v>
          </cell>
          <cell r="P457" t="str">
            <v>Quận 3</v>
          </cell>
          <cell r="Q457" t="str">
            <v>Thế Hiển</v>
          </cell>
          <cell r="R457" t="str">
            <v>Văn Tùng</v>
          </cell>
          <cell r="S457" t="str">
            <v>Bùi Thanh Tân</v>
          </cell>
          <cell r="T457" t="b">
            <v>0</v>
          </cell>
          <cell r="U457">
            <v>0</v>
          </cell>
          <cell r="V457" t="str">
            <v>PTTT 09c</v>
          </cell>
          <cell r="W457" t="str">
            <v>2 người</v>
          </cell>
          <cell r="X457" t="str">
            <v>TRẦN VĂN PHÚC</v>
          </cell>
        </row>
        <row r="458">
          <cell r="I458" t="str">
            <v>B2.27.16</v>
          </cell>
          <cell r="J458" t="str">
            <v>???</v>
          </cell>
          <cell r="K458" t="str">
            <v>???</v>
          </cell>
          <cell r="L458" t="str">
            <v>???</v>
          </cell>
          <cell r="M458" t="str">
            <v>???</v>
          </cell>
          <cell r="N458" t="str">
            <v>???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 t="b">
            <v>1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</row>
        <row r="459">
          <cell r="I459" t="str">
            <v>B2.27.17</v>
          </cell>
          <cell r="J459" t="str">
            <v>LÝ HOÀNG HẢI</v>
          </cell>
          <cell r="K459" t="str">
            <v>Quận 3</v>
          </cell>
          <cell r="L459" t="str">
            <v>Kỳ Long</v>
          </cell>
          <cell r="M459" t="str">
            <v>Phi Thoại</v>
          </cell>
          <cell r="N459" t="str">
            <v>Phan Thành Binh</v>
          </cell>
          <cell r="O459" t="str">
            <v>LÝ HOÀNG HẢI</v>
          </cell>
          <cell r="P459" t="str">
            <v>Quận 3</v>
          </cell>
          <cell r="Q459" t="str">
            <v>Kỳ Long</v>
          </cell>
          <cell r="R459" t="str">
            <v>Phi Thoại</v>
          </cell>
          <cell r="S459" t="str">
            <v>Phan Thành Binh</v>
          </cell>
          <cell r="T459" t="b">
            <v>1</v>
          </cell>
          <cell r="U459" t="str">
            <v>PTTT 04c</v>
          </cell>
          <cell r="V459" t="str">
            <v>PTTT 04c</v>
          </cell>
          <cell r="W459" t="str">
            <v>1 người</v>
          </cell>
          <cell r="X459" t="str">
            <v>LÝ HOÀNG HẢI</v>
          </cell>
        </row>
        <row r="460">
          <cell r="I460" t="str">
            <v>B2.27.18</v>
          </cell>
          <cell r="J460" t="str">
            <v>TRƯƠNG BÁ DIỆU</v>
          </cell>
          <cell r="K460" t="str">
            <v>Bình Thạnh</v>
          </cell>
          <cell r="L460" t="str">
            <v>Thanh Hà</v>
          </cell>
          <cell r="M460" t="str">
            <v>Như Ngọc</v>
          </cell>
          <cell r="N460" t="str">
            <v>Cao Văn Bình</v>
          </cell>
          <cell r="O460" t="str">
            <v>TRƯƠNG BÁ DIỆU</v>
          </cell>
          <cell r="P460" t="str">
            <v>Bình Thạnh</v>
          </cell>
          <cell r="Q460" t="str">
            <v>Thanh Hà</v>
          </cell>
          <cell r="R460" t="str">
            <v>Như Ngọc</v>
          </cell>
          <cell r="S460" t="str">
            <v>Cao Văn Bình</v>
          </cell>
          <cell r="T460" t="b">
            <v>1</v>
          </cell>
          <cell r="U460" t="str">
            <v>PTTT 04c</v>
          </cell>
          <cell r="V460" t="str">
            <v>PTTT 04c</v>
          </cell>
          <cell r="W460" t="str">
            <v>2 người</v>
          </cell>
          <cell r="X460" t="str">
            <v>TRƯƠNG BÁ DIỆU</v>
          </cell>
        </row>
        <row r="461">
          <cell r="I461" t="str">
            <v>B2.27.19</v>
          </cell>
          <cell r="J461" t="str">
            <v>NGUYỄN THỊ THU TRANG</v>
          </cell>
          <cell r="K461" t="str">
            <v>Quận 3</v>
          </cell>
          <cell r="L461" t="str">
            <v>Thanh Tuấn</v>
          </cell>
          <cell r="M461" t="str">
            <v>Tuấn Vương</v>
          </cell>
          <cell r="N461" t="str">
            <v>Nguyễn Thanh Hưng</v>
          </cell>
          <cell r="O461" t="str">
            <v>NGUYỄN THỊ THU TRANG</v>
          </cell>
          <cell r="P461" t="str">
            <v>Quận 3</v>
          </cell>
          <cell r="Q461" t="str">
            <v>Thanh Tuấn</v>
          </cell>
          <cell r="R461" t="str">
            <v>Tuấn Vương</v>
          </cell>
          <cell r="S461" t="str">
            <v>Nguyễn Thanh Hưng</v>
          </cell>
          <cell r="T461" t="b">
            <v>1</v>
          </cell>
          <cell r="U461">
            <v>0</v>
          </cell>
          <cell r="V461" t="str">
            <v>PTTT 04c</v>
          </cell>
          <cell r="W461" t="str">
            <v>1 người</v>
          </cell>
          <cell r="X461" t="str">
            <v>NGUYỄN THỊ THU TRANG</v>
          </cell>
        </row>
        <row r="462">
          <cell r="I462" t="str">
            <v>B2.27.20</v>
          </cell>
          <cell r="J462" t="str">
            <v>NGUYỄN DUY KHƯƠNG</v>
          </cell>
          <cell r="K462" t="str">
            <v>Bình Thạnh</v>
          </cell>
          <cell r="L462" t="str">
            <v>Thanh Hà</v>
          </cell>
          <cell r="M462" t="str">
            <v>Đức Đồng</v>
          </cell>
          <cell r="N462" t="str">
            <v>Nguyễn Thành Văn</v>
          </cell>
          <cell r="O462" t="str">
            <v>NGUYỄN DUY KHƯƠNG</v>
          </cell>
          <cell r="P462" t="str">
            <v>Bình Thạnh</v>
          </cell>
          <cell r="Q462" t="str">
            <v>Thanh Hà</v>
          </cell>
          <cell r="R462" t="str">
            <v>Đức Đồng</v>
          </cell>
          <cell r="S462" t="str">
            <v>Nguyễn Thành Văn</v>
          </cell>
          <cell r="T462" t="b">
            <v>1</v>
          </cell>
          <cell r="U462" t="str">
            <v>PTTT 06c</v>
          </cell>
          <cell r="V462" t="str">
            <v>PTTT 04c</v>
          </cell>
          <cell r="W462" t="str">
            <v>1 người</v>
          </cell>
          <cell r="X462" t="str">
            <v>NGUYỄN DUY KHƯƠNG</v>
          </cell>
        </row>
        <row r="463">
          <cell r="I463" t="str">
            <v>B2.27.21</v>
          </cell>
          <cell r="J463" t="str">
            <v>NGUYỄN HỮU THUẬN</v>
          </cell>
          <cell r="K463" t="str">
            <v>Quận 3</v>
          </cell>
          <cell r="L463" t="str">
            <v>Kỳ Long</v>
          </cell>
          <cell r="M463" t="str">
            <v>Văn Tuyên</v>
          </cell>
          <cell r="N463" t="str">
            <v>Trần Thị Thùy Dung</v>
          </cell>
          <cell r="O463" t="str">
            <v>NGUYỄN HỮU THUẬN</v>
          </cell>
          <cell r="P463" t="str">
            <v>Quận 3</v>
          </cell>
          <cell r="Q463" t="str">
            <v>Kỳ Long</v>
          </cell>
          <cell r="R463" t="str">
            <v>Văn Tuyên</v>
          </cell>
          <cell r="S463" t="str">
            <v>Trần Thị Thùy Dung</v>
          </cell>
          <cell r="T463" t="b">
            <v>1</v>
          </cell>
          <cell r="U463" t="str">
            <v>PTTT 04c</v>
          </cell>
          <cell r="V463" t="str">
            <v>PTTT 04c</v>
          </cell>
          <cell r="W463" t="str">
            <v>2 người</v>
          </cell>
          <cell r="X463" t="str">
            <v>NGUYỄN HỮU THUẬN</v>
          </cell>
        </row>
        <row r="464">
          <cell r="I464" t="str">
            <v>B2.27.22</v>
          </cell>
          <cell r="J464" t="str">
            <v>NGUYỄN MINH HIẾU</v>
          </cell>
          <cell r="K464" t="str">
            <v>Quận 3</v>
          </cell>
          <cell r="L464" t="str">
            <v>Kỳ Long</v>
          </cell>
          <cell r="M464" t="str">
            <v>Văn Tuyên</v>
          </cell>
          <cell r="N464" t="str">
            <v>Phan Thị Nga</v>
          </cell>
          <cell r="O464">
            <v>0</v>
          </cell>
          <cell r="P464" t="str">
            <v>Quận 3</v>
          </cell>
          <cell r="Q464" t="str">
            <v>Kỳ Long</v>
          </cell>
          <cell r="R464" t="str">
            <v>Văn Tuyên</v>
          </cell>
          <cell r="S464" t="str">
            <v>Phan Thị Nga</v>
          </cell>
          <cell r="T464" t="b">
            <v>0</v>
          </cell>
          <cell r="U464">
            <v>0</v>
          </cell>
          <cell r="V464" t="str">
            <v>PTTT 09c</v>
          </cell>
          <cell r="W464" t="str">
            <v>1 người</v>
          </cell>
          <cell r="X464" t="str">
            <v>NGUYỄN MINH HIẾU</v>
          </cell>
        </row>
        <row r="465">
          <cell r="I465" t="str">
            <v>B2.03a.02</v>
          </cell>
          <cell r="J465" t="str">
            <v>NGUYỄN THỊ ÁNH TUYẾT</v>
          </cell>
          <cell r="K465" t="str">
            <v>Bình Thạnh</v>
          </cell>
          <cell r="L465" t="str">
            <v>Lê Mai</v>
          </cell>
          <cell r="M465" t="str">
            <v>Ly Ly</v>
          </cell>
          <cell r="N465" t="str">
            <v>Nguyễn Tấn Lộc</v>
          </cell>
          <cell r="O465">
            <v>0</v>
          </cell>
          <cell r="P465" t="str">
            <v>Bình Thạnh</v>
          </cell>
          <cell r="Q465" t="str">
            <v>Lê Mai</v>
          </cell>
          <cell r="R465" t="str">
            <v>Ly Ly</v>
          </cell>
          <cell r="S465" t="str">
            <v>Nguyễn Tấn Lộc</v>
          </cell>
          <cell r="T465">
            <v>0</v>
          </cell>
          <cell r="U465">
            <v>0</v>
          </cell>
          <cell r="V465" t="str">
            <v>PTTT 09c</v>
          </cell>
          <cell r="W465" t="str">
            <v>1 người</v>
          </cell>
          <cell r="X465" t="str">
            <v>LÊ THỊ HIỀN THƯƠNG</v>
          </cell>
        </row>
        <row r="466">
          <cell r="I466" t="str">
            <v>B2.03a.10</v>
          </cell>
          <cell r="J466" t="str">
            <v>NGUYỄN TRUNG BÌNH</v>
          </cell>
          <cell r="K466" t="str">
            <v>Quận 3</v>
          </cell>
          <cell r="L466" t="str">
            <v>Thanh Tuấn</v>
          </cell>
          <cell r="M466" t="str">
            <v>Anh Tài</v>
          </cell>
          <cell r="N466" t="str">
            <v>Nguyễn Văn Vũ</v>
          </cell>
          <cell r="O466">
            <v>0</v>
          </cell>
          <cell r="P466" t="str">
            <v>Quận 3</v>
          </cell>
          <cell r="Q466" t="str">
            <v>Thanh Tuấn</v>
          </cell>
          <cell r="R466" t="str">
            <v>Anh Tài</v>
          </cell>
          <cell r="S466" t="str">
            <v>Nguyễn Văn Vũ</v>
          </cell>
          <cell r="T466">
            <v>0</v>
          </cell>
          <cell r="U466">
            <v>0</v>
          </cell>
          <cell r="V466" t="str">
            <v>PTTT 09c</v>
          </cell>
          <cell r="W466" t="str">
            <v>1 người</v>
          </cell>
          <cell r="X466" t="str">
            <v>NGUYỄN TRUNG BÌNH</v>
          </cell>
        </row>
        <row r="467">
          <cell r="I467" t="str">
            <v>B2.03a.11</v>
          </cell>
          <cell r="J467" t="str">
            <v>TRẦN THÚY DIỄM</v>
          </cell>
          <cell r="K467" t="str">
            <v>Quận 3</v>
          </cell>
          <cell r="L467" t="str">
            <v>Huỳnh Nhân</v>
          </cell>
          <cell r="M467" t="str">
            <v>Tấn Long</v>
          </cell>
          <cell r="N467" t="str">
            <v>Thái Thị Thanh Tâm</v>
          </cell>
          <cell r="O467">
            <v>0</v>
          </cell>
          <cell r="P467" t="str">
            <v>Quận 3</v>
          </cell>
          <cell r="Q467" t="str">
            <v>Huỳnh Nhân</v>
          </cell>
          <cell r="R467" t="str">
            <v>Tấn Long</v>
          </cell>
          <cell r="S467" t="str">
            <v>Thái Thị Thanh Tâm</v>
          </cell>
          <cell r="T467">
            <v>0</v>
          </cell>
          <cell r="U467">
            <v>0</v>
          </cell>
          <cell r="V467" t="str">
            <v>PTTT 09c</v>
          </cell>
          <cell r="W467" t="str">
            <v>1 người</v>
          </cell>
          <cell r="X467" t="str">
            <v>TRẦN THÚY DIỄM</v>
          </cell>
        </row>
        <row r="468">
          <cell r="I468" t="str">
            <v>B2.03a.12</v>
          </cell>
          <cell r="J468" t="str">
            <v>NGUYỄN THỊ THANH HƯƠNG</v>
          </cell>
          <cell r="K468" t="str">
            <v>Bình Thạnh</v>
          </cell>
          <cell r="L468" t="str">
            <v>Ngọc Linh</v>
          </cell>
          <cell r="M468" t="str">
            <v>Phạm Vĩ</v>
          </cell>
          <cell r="N468" t="str">
            <v>Lê Bá Trung Tín</v>
          </cell>
          <cell r="O468">
            <v>0</v>
          </cell>
          <cell r="P468" t="str">
            <v>Bình Thạnh</v>
          </cell>
          <cell r="Q468" t="str">
            <v>Ngọc Linh</v>
          </cell>
          <cell r="R468" t="str">
            <v>Phạm Vĩ</v>
          </cell>
          <cell r="S468" t="str">
            <v>Lê Bá Trung Tín</v>
          </cell>
          <cell r="T468">
            <v>0</v>
          </cell>
          <cell r="U468">
            <v>0</v>
          </cell>
          <cell r="V468" t="str">
            <v>PTTT 08c</v>
          </cell>
          <cell r="W468" t="str">
            <v>1 người</v>
          </cell>
          <cell r="X468" t="str">
            <v>NGUYỄN HỮU HOÀNG VIỆT</v>
          </cell>
        </row>
        <row r="469">
          <cell r="I469" t="str">
            <v>B2.03a.13</v>
          </cell>
          <cell r="J469" t="str">
            <v>???</v>
          </cell>
          <cell r="K469" t="str">
            <v>???</v>
          </cell>
          <cell r="L469" t="str">
            <v>???</v>
          </cell>
          <cell r="M469" t="str">
            <v>???</v>
          </cell>
          <cell r="N469" t="str">
            <v>???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</row>
        <row r="470">
          <cell r="I470" t="str">
            <v>B2.03a.14</v>
          </cell>
          <cell r="J470" t="str">
            <v>NGÔ QUỐC TUẤN</v>
          </cell>
          <cell r="K470" t="str">
            <v>Bình Thạnh</v>
          </cell>
          <cell r="L470" t="str">
            <v>Ngọc Linh</v>
          </cell>
          <cell r="M470" t="str">
            <v>Quốc Tuấn</v>
          </cell>
          <cell r="N470" t="str">
            <v>Ngô Quốc Tuấn</v>
          </cell>
          <cell r="O470">
            <v>0</v>
          </cell>
          <cell r="P470" t="str">
            <v>Bình Thạnh</v>
          </cell>
          <cell r="Q470" t="str">
            <v>Ngọc Linh</v>
          </cell>
          <cell r="R470" t="str">
            <v>Quốc Tuấn</v>
          </cell>
          <cell r="S470" t="str">
            <v>Ngô Quốc Tuấn</v>
          </cell>
          <cell r="T470">
            <v>0</v>
          </cell>
          <cell r="U470">
            <v>0</v>
          </cell>
          <cell r="V470" t="str">
            <v>PTTT 09c</v>
          </cell>
          <cell r="W470" t="str">
            <v>2 người</v>
          </cell>
          <cell r="X470" t="str">
            <v>ĐÀM THỊ NGỌC LINH</v>
          </cell>
        </row>
        <row r="471">
          <cell r="I471" t="str">
            <v>B2.03a.15</v>
          </cell>
          <cell r="J471" t="str">
            <v>HUỲNH KHẢI LÉN</v>
          </cell>
          <cell r="K471" t="str">
            <v>Quận 3</v>
          </cell>
          <cell r="L471" t="str">
            <v>Thanh Tuấn</v>
          </cell>
          <cell r="M471" t="str">
            <v>Anh Tài</v>
          </cell>
          <cell r="N471" t="str">
            <v>Nguyễn Văn Vũ</v>
          </cell>
          <cell r="O471">
            <v>0</v>
          </cell>
          <cell r="P471" t="str">
            <v>Quận 3</v>
          </cell>
          <cell r="Q471" t="str">
            <v>Thanh Tuấn</v>
          </cell>
          <cell r="R471" t="str">
            <v>Anh Tài</v>
          </cell>
          <cell r="S471" t="str">
            <v>Nguyễn Văn Vũ</v>
          </cell>
          <cell r="T471">
            <v>0</v>
          </cell>
          <cell r="U471">
            <v>0</v>
          </cell>
          <cell r="V471" t="str">
            <v>PTTT 09c</v>
          </cell>
          <cell r="W471" t="str">
            <v>2 người</v>
          </cell>
          <cell r="X471" t="str">
            <v>HỒ HOÀNG LÂN</v>
          </cell>
        </row>
        <row r="472">
          <cell r="I472" t="str">
            <v>B2.03a.16</v>
          </cell>
          <cell r="J472" t="str">
            <v>???</v>
          </cell>
          <cell r="K472" t="str">
            <v>???</v>
          </cell>
          <cell r="L472" t="str">
            <v>???</v>
          </cell>
          <cell r="M472" t="str">
            <v>???</v>
          </cell>
          <cell r="N472" t="str">
            <v>???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</row>
        <row r="473">
          <cell r="I473" t="str">
            <v>B2.03a.17</v>
          </cell>
          <cell r="J473" t="str">
            <v>NGUYỄN TRỌNG HIẾU</v>
          </cell>
          <cell r="K473" t="str">
            <v>Quận 3</v>
          </cell>
          <cell r="L473" t="str">
            <v>Thanh Tuấn</v>
          </cell>
          <cell r="M473" t="str">
            <v>Duy Nhật</v>
          </cell>
          <cell r="N473" t="str">
            <v>Bùi Ngọc Đan Thanh</v>
          </cell>
          <cell r="O473">
            <v>0</v>
          </cell>
          <cell r="P473" t="str">
            <v>Quận 3</v>
          </cell>
          <cell r="Q473" t="str">
            <v>Thanh Tuấn</v>
          </cell>
          <cell r="R473" t="str">
            <v>Duy Nhật</v>
          </cell>
          <cell r="S473" t="str">
            <v>Bùi Ngọc Đan Thanh</v>
          </cell>
          <cell r="T473">
            <v>0</v>
          </cell>
          <cell r="U473">
            <v>0</v>
          </cell>
          <cell r="V473" t="str">
            <v>PTTT 09c</v>
          </cell>
          <cell r="W473" t="str">
            <v>1 người</v>
          </cell>
          <cell r="X473" t="str">
            <v>NGUYỄN TRỌNG HIẾU</v>
          </cell>
        </row>
        <row r="474">
          <cell r="I474" t="str">
            <v>B2.03a.18</v>
          </cell>
          <cell r="J474" t="str">
            <v>???</v>
          </cell>
          <cell r="K474" t="str">
            <v>???</v>
          </cell>
          <cell r="L474" t="str">
            <v>???</v>
          </cell>
          <cell r="M474" t="str">
            <v>???</v>
          </cell>
          <cell r="N474" t="str">
            <v>???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</row>
        <row r="475">
          <cell r="I475" t="str">
            <v>B2.03a.19</v>
          </cell>
          <cell r="J475" t="str">
            <v>???</v>
          </cell>
          <cell r="K475" t="str">
            <v>???</v>
          </cell>
          <cell r="L475" t="str">
            <v>???</v>
          </cell>
          <cell r="M475" t="str">
            <v>???</v>
          </cell>
          <cell r="N475" t="str">
            <v>???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</row>
        <row r="476">
          <cell r="I476" t="str">
            <v>B2.03a.21</v>
          </cell>
          <cell r="J476" t="str">
            <v>NGUYỄN ANH QUÂN</v>
          </cell>
          <cell r="K476" t="str">
            <v>Quận 3</v>
          </cell>
          <cell r="L476">
            <v>0</v>
          </cell>
          <cell r="M476" t="str">
            <v>Thiện Quý</v>
          </cell>
          <cell r="N476" t="str">
            <v>Trần Văn Quốc</v>
          </cell>
          <cell r="O476">
            <v>0</v>
          </cell>
          <cell r="P476" t="str">
            <v>Sàn liên kết</v>
          </cell>
          <cell r="Q476" t="str">
            <v>Sàn liên kết</v>
          </cell>
          <cell r="R476" t="str">
            <v>Teraland</v>
          </cell>
          <cell r="S476">
            <v>0</v>
          </cell>
          <cell r="T476">
            <v>0</v>
          </cell>
          <cell r="U476">
            <v>0</v>
          </cell>
          <cell r="V476" t="str">
            <v>PTTT 09c</v>
          </cell>
          <cell r="W476" t="str">
            <v>1 người</v>
          </cell>
          <cell r="X476" t="str">
            <v>BÙI THANH TUẤN</v>
          </cell>
        </row>
        <row r="477">
          <cell r="I477" t="str">
            <v>B2.05.02</v>
          </cell>
          <cell r="J477" t="str">
            <v>???</v>
          </cell>
          <cell r="K477" t="str">
            <v>???</v>
          </cell>
          <cell r="L477" t="str">
            <v>???</v>
          </cell>
          <cell r="M477" t="str">
            <v>???</v>
          </cell>
          <cell r="N477" t="str">
            <v>???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</row>
        <row r="478">
          <cell r="I478" t="str">
            <v>B2.09.01</v>
          </cell>
          <cell r="J478" t="str">
            <v>NGUYỄN THỊ BÍCH TRĂM</v>
          </cell>
          <cell r="K478" t="str">
            <v>Bình Thạnh</v>
          </cell>
          <cell r="L478" t="str">
            <v>Thanh Hà</v>
          </cell>
          <cell r="M478" t="str">
            <v>Đức Đồng</v>
          </cell>
          <cell r="N478" t="str">
            <v>Trần Minh Phúc</v>
          </cell>
          <cell r="O478">
            <v>0</v>
          </cell>
          <cell r="P478" t="str">
            <v>Bình Thạnh</v>
          </cell>
          <cell r="Q478" t="str">
            <v>Thanh Hà</v>
          </cell>
          <cell r="R478" t="str">
            <v>Đức Đồng</v>
          </cell>
          <cell r="S478" t="str">
            <v>Trần Minh Phúc</v>
          </cell>
          <cell r="T478">
            <v>0</v>
          </cell>
          <cell r="U478">
            <v>0</v>
          </cell>
          <cell r="V478" t="str">
            <v>PTTT 09c</v>
          </cell>
          <cell r="W478" t="str">
            <v>1 người</v>
          </cell>
          <cell r="X478" t="str">
            <v>NGUYỄN THỊ BÍCH TRĂM</v>
          </cell>
        </row>
        <row r="479">
          <cell r="I479" t="str">
            <v>B2.09.03</v>
          </cell>
          <cell r="J479" t="str">
            <v>NGUYỄN THỊ HOÀI HƯƠNG</v>
          </cell>
          <cell r="K479" t="str">
            <v>Quận 3</v>
          </cell>
          <cell r="L479" t="str">
            <v>Văn Tùng</v>
          </cell>
          <cell r="M479" t="str">
            <v>Trinh Trinh</v>
          </cell>
          <cell r="N479" t="str">
            <v>Lý Thanh Tân</v>
          </cell>
          <cell r="O479">
            <v>0</v>
          </cell>
          <cell r="P479" t="str">
            <v>Quận 3</v>
          </cell>
          <cell r="Q479" t="str">
            <v>Văn Tùng</v>
          </cell>
          <cell r="R479" t="str">
            <v>Trinh Trinh</v>
          </cell>
          <cell r="S479" t="str">
            <v>Lý Thanh Tân</v>
          </cell>
          <cell r="T479">
            <v>0</v>
          </cell>
          <cell r="U479">
            <v>0</v>
          </cell>
          <cell r="V479" t="str">
            <v>PTTT 09c</v>
          </cell>
          <cell r="W479" t="str">
            <v>1 người</v>
          </cell>
          <cell r="X479" t="str">
            <v>NGUYỄN THỊ HOÀI HƯƠNG</v>
          </cell>
        </row>
        <row r="480">
          <cell r="I480" t="str">
            <v>B2.09.04</v>
          </cell>
          <cell r="J480" t="str">
            <v>TRẦN CÔNG CHẤT</v>
          </cell>
          <cell r="K480" t="str">
            <v>Quận 3</v>
          </cell>
          <cell r="L480" t="str">
            <v>Thanh Tuấn</v>
          </cell>
          <cell r="M480" t="str">
            <v>Duy Nhật</v>
          </cell>
          <cell r="N480" t="str">
            <v>Lê Thành Tài</v>
          </cell>
          <cell r="O480">
            <v>0</v>
          </cell>
          <cell r="P480" t="str">
            <v>Quận 3</v>
          </cell>
          <cell r="Q480" t="str">
            <v>Thanh Tuấn</v>
          </cell>
          <cell r="R480" t="str">
            <v>Duy Nhật</v>
          </cell>
          <cell r="S480">
            <v>0</v>
          </cell>
          <cell r="T480">
            <v>0</v>
          </cell>
          <cell r="U480">
            <v>0</v>
          </cell>
          <cell r="V480" t="str">
            <v>PTTT 09c</v>
          </cell>
          <cell r="W480" t="str">
            <v>1 người</v>
          </cell>
          <cell r="X480" t="str">
            <v>TRẦN CÔNG CHẤT</v>
          </cell>
        </row>
        <row r="481">
          <cell r="I481" t="str">
            <v>B2.09.05</v>
          </cell>
          <cell r="J481" t="str">
            <v>NGUYỄN THỊ HỒNG NHƯ</v>
          </cell>
          <cell r="K481" t="str">
            <v>Bình Thạnh</v>
          </cell>
          <cell r="L481" t="str">
            <v>Ngọc Linh</v>
          </cell>
          <cell r="M481" t="str">
            <v>Quốc Tuấn</v>
          </cell>
          <cell r="N481" t="str">
            <v>Trần Hồng Quân</v>
          </cell>
          <cell r="O481">
            <v>0</v>
          </cell>
          <cell r="P481" t="str">
            <v>Bình Thạnh</v>
          </cell>
          <cell r="Q481" t="str">
            <v>Ngọc Linh</v>
          </cell>
          <cell r="R481" t="str">
            <v>Quốc Tuấn</v>
          </cell>
          <cell r="S481" t="str">
            <v>Trần Hồng Quân</v>
          </cell>
          <cell r="T481">
            <v>0</v>
          </cell>
          <cell r="U481">
            <v>0</v>
          </cell>
          <cell r="V481" t="str">
            <v>PTTT 09c</v>
          </cell>
          <cell r="W481" t="str">
            <v>1 người</v>
          </cell>
          <cell r="X481" t="str">
            <v>NGUYỄN THỊ HỒNG NHƯ</v>
          </cell>
        </row>
        <row r="482">
          <cell r="I482" t="str">
            <v>B2.09.06</v>
          </cell>
          <cell r="J482" t="str">
            <v>ĐÀO ANH DUY</v>
          </cell>
          <cell r="K482" t="str">
            <v>Quận 3</v>
          </cell>
          <cell r="L482" t="str">
            <v>Thanh Tuấn</v>
          </cell>
          <cell r="M482" t="str">
            <v>Thanh Liêm</v>
          </cell>
          <cell r="N482" t="str">
            <v>Phạm Thị Thanh Thúy</v>
          </cell>
          <cell r="O482">
            <v>0</v>
          </cell>
          <cell r="P482" t="str">
            <v>Quận 3</v>
          </cell>
          <cell r="Q482" t="str">
            <v>Thanh Tuấn</v>
          </cell>
          <cell r="R482" t="str">
            <v>Thanh Liêm</v>
          </cell>
          <cell r="S482" t="str">
            <v>Phạm Thị Thanh Thúy</v>
          </cell>
          <cell r="T482">
            <v>0</v>
          </cell>
          <cell r="U482">
            <v>0</v>
          </cell>
          <cell r="V482" t="str">
            <v>PTTT 09c</v>
          </cell>
          <cell r="W482" t="str">
            <v>1 người</v>
          </cell>
          <cell r="X482" t="str">
            <v>ĐOÀN NGỌC THÚY</v>
          </cell>
        </row>
        <row r="483">
          <cell r="I483" t="str">
            <v>B2.09.07</v>
          </cell>
          <cell r="J483" t="str">
            <v>HOÀNG THỊ THU THẢO</v>
          </cell>
          <cell r="K483" t="str">
            <v>Quận 3</v>
          </cell>
          <cell r="L483" t="str">
            <v>Văn Tùng</v>
          </cell>
          <cell r="M483" t="str">
            <v>Trinh Trinh</v>
          </cell>
          <cell r="N483" t="str">
            <v>Lý Thanh Tân</v>
          </cell>
          <cell r="O483">
            <v>0</v>
          </cell>
          <cell r="P483" t="str">
            <v>Quận 3</v>
          </cell>
          <cell r="Q483" t="str">
            <v>Văn Tùng</v>
          </cell>
          <cell r="R483" t="str">
            <v>Trinh Trinh</v>
          </cell>
          <cell r="S483" t="str">
            <v>Lý Thanh Tân</v>
          </cell>
          <cell r="T483">
            <v>0</v>
          </cell>
          <cell r="U483">
            <v>0</v>
          </cell>
          <cell r="V483" t="str">
            <v>PTTT 09c</v>
          </cell>
          <cell r="W483" t="str">
            <v>1 người</v>
          </cell>
          <cell r="X483" t="str">
            <v>HOÀNG THỊ THU THẢO</v>
          </cell>
        </row>
        <row r="484">
          <cell r="I484" t="str">
            <v>B2.09.08</v>
          </cell>
          <cell r="J484" t="str">
            <v>BÙI THỊ CẨM TÚ</v>
          </cell>
          <cell r="K484" t="str">
            <v>Quận 3</v>
          </cell>
          <cell r="L484" t="str">
            <v>Thế Hiển</v>
          </cell>
          <cell r="M484" t="str">
            <v>Văn Tùng</v>
          </cell>
          <cell r="N484" t="str">
            <v>Phạm Anh Tuấn</v>
          </cell>
          <cell r="O484">
            <v>0</v>
          </cell>
          <cell r="P484" t="str">
            <v>Quận 3</v>
          </cell>
          <cell r="Q484" t="str">
            <v>Thế Hiển</v>
          </cell>
          <cell r="R484" t="str">
            <v>Văn Tùng</v>
          </cell>
          <cell r="S484" t="str">
            <v>Phạm Anh Tuấn</v>
          </cell>
          <cell r="T484">
            <v>0</v>
          </cell>
          <cell r="U484">
            <v>0</v>
          </cell>
          <cell r="V484" t="str">
            <v>PTTT 09c</v>
          </cell>
          <cell r="W484" t="str">
            <v>1 người</v>
          </cell>
          <cell r="X484" t="str">
            <v>DƯƠNG MINH THƯ</v>
          </cell>
        </row>
        <row r="485">
          <cell r="I485" t="str">
            <v>B2.09.09</v>
          </cell>
          <cell r="J485" t="str">
            <v>NGUYỄN ĐỨC BẢO</v>
          </cell>
          <cell r="K485" t="str">
            <v>Quận 3</v>
          </cell>
          <cell r="L485" t="str">
            <v>Thanh Tuấn</v>
          </cell>
          <cell r="M485" t="str">
            <v>Thanh Liêm</v>
          </cell>
          <cell r="N485" t="str">
            <v>Phạm Thị Thanh Thúy</v>
          </cell>
          <cell r="O485">
            <v>0</v>
          </cell>
          <cell r="P485" t="str">
            <v>Quận 3</v>
          </cell>
          <cell r="Q485" t="str">
            <v>Thanh Tuấn</v>
          </cell>
          <cell r="R485" t="str">
            <v>Thanh Liêm</v>
          </cell>
          <cell r="S485" t="str">
            <v>Phạm Thị Thanh Thúy</v>
          </cell>
          <cell r="T485">
            <v>0</v>
          </cell>
          <cell r="U485">
            <v>0</v>
          </cell>
          <cell r="V485" t="str">
            <v>PTTT 09c</v>
          </cell>
          <cell r="W485" t="str">
            <v>2 người</v>
          </cell>
          <cell r="X485" t="str">
            <v>NGUYỄN ĐỨC BẢO</v>
          </cell>
        </row>
        <row r="486">
          <cell r="I486" t="str">
            <v>B2.09.10</v>
          </cell>
          <cell r="J486" t="str">
            <v>HUỲNH THỊ NGỌC DUNG</v>
          </cell>
          <cell r="K486" t="str">
            <v>Quận 3</v>
          </cell>
          <cell r="L486" t="str">
            <v>Văn Tùng</v>
          </cell>
          <cell r="M486" t="str">
            <v>Thiện Quý</v>
          </cell>
          <cell r="N486" t="str">
            <v>Trần Thị Kim Yên</v>
          </cell>
          <cell r="O486">
            <v>0</v>
          </cell>
          <cell r="P486" t="str">
            <v>Quận 3</v>
          </cell>
          <cell r="Q486" t="str">
            <v>Văn Tùng</v>
          </cell>
          <cell r="R486" t="str">
            <v>Thiện Quý</v>
          </cell>
          <cell r="S486" t="str">
            <v>Trần Thị Kim Yên</v>
          </cell>
          <cell r="T486">
            <v>0</v>
          </cell>
          <cell r="U486">
            <v>0</v>
          </cell>
          <cell r="V486" t="str">
            <v>PTTT 09c</v>
          </cell>
          <cell r="W486" t="str">
            <v>1 người</v>
          </cell>
          <cell r="X486" t="str">
            <v>HUỲNH THỊ NGỌC DUNG</v>
          </cell>
        </row>
        <row r="487">
          <cell r="I487" t="str">
            <v>B2.09.18</v>
          </cell>
          <cell r="J487" t="str">
            <v>NGUYỄN THỊ HƯƠNG</v>
          </cell>
          <cell r="K487" t="str">
            <v>Bình Thạnh</v>
          </cell>
          <cell r="L487" t="str">
            <v>Lê Mai</v>
          </cell>
          <cell r="M487" t="str">
            <v>Phương Thúy</v>
          </cell>
          <cell r="N487" t="str">
            <v>Nguyễn Phương Quỳnh</v>
          </cell>
          <cell r="O487">
            <v>0</v>
          </cell>
          <cell r="P487" t="str">
            <v>Bình Thạnh</v>
          </cell>
          <cell r="Q487" t="str">
            <v>Lê Mai</v>
          </cell>
          <cell r="R487" t="str">
            <v>Phương Thúy</v>
          </cell>
          <cell r="S487" t="str">
            <v>Nguyễn Phương Quỳnh</v>
          </cell>
          <cell r="T487" t="b">
            <v>0</v>
          </cell>
          <cell r="U487">
            <v>0</v>
          </cell>
          <cell r="V487" t="str">
            <v>PTTT 09c</v>
          </cell>
          <cell r="W487" t="str">
            <v>1 người</v>
          </cell>
          <cell r="X487" t="str">
            <v>NGUYỄN THỊ HƯƠNG</v>
          </cell>
        </row>
        <row r="488">
          <cell r="I488" t="str">
            <v>B2.09.20</v>
          </cell>
          <cell r="J488" t="str">
            <v>NGUYỄN HỮU TRÍ</v>
          </cell>
          <cell r="K488" t="str">
            <v>Bình Thạnh</v>
          </cell>
          <cell r="L488" t="str">
            <v>Ngọc Linh</v>
          </cell>
          <cell r="M488" t="str">
            <v>Phạm Vĩ</v>
          </cell>
          <cell r="N488" t="str">
            <v>Nguyễn Thạch Y Vân</v>
          </cell>
          <cell r="O488">
            <v>0</v>
          </cell>
          <cell r="P488" t="str">
            <v>Bình Thạnh</v>
          </cell>
          <cell r="Q488" t="str">
            <v>Ngọc Linh</v>
          </cell>
          <cell r="R488" t="str">
            <v>Phạm Vĩ</v>
          </cell>
          <cell r="S488" t="str">
            <v>Nguyễn Thạch Y Vân</v>
          </cell>
          <cell r="T488" t="b">
            <v>0</v>
          </cell>
          <cell r="U488">
            <v>0</v>
          </cell>
          <cell r="V488" t="str">
            <v>PTTT 09c</v>
          </cell>
          <cell r="W488" t="str">
            <v>2 người</v>
          </cell>
          <cell r="X488" t="str">
            <v>NGUYỄN HỮU TRÍ</v>
          </cell>
        </row>
        <row r="489">
          <cell r="I489" t="str">
            <v>B2.09.21</v>
          </cell>
          <cell r="J489" t="str">
            <v>VƯƠNG QUANG THÀNH</v>
          </cell>
          <cell r="K489" t="str">
            <v>Bình Thạnh</v>
          </cell>
          <cell r="L489" t="str">
            <v>Ngọc Linh</v>
          </cell>
          <cell r="M489" t="str">
            <v>Đình Ban</v>
          </cell>
          <cell r="N489" t="str">
            <v>Lê Thị Bích Tiên</v>
          </cell>
          <cell r="O489">
            <v>0</v>
          </cell>
          <cell r="P489" t="str">
            <v>Bình Thạnh</v>
          </cell>
          <cell r="Q489" t="str">
            <v>Ngọc Linh</v>
          </cell>
          <cell r="R489" t="str">
            <v>Đình Ban</v>
          </cell>
          <cell r="S489" t="str">
            <v>Lê Thị Bích Tiên</v>
          </cell>
          <cell r="T489">
            <v>0</v>
          </cell>
          <cell r="U489">
            <v>0</v>
          </cell>
          <cell r="V489" t="str">
            <v>PTTT 09c</v>
          </cell>
          <cell r="W489" t="str">
            <v>2 người</v>
          </cell>
          <cell r="X489" t="str">
            <v>NGUYỄN THỊ HỒNG NHUNG</v>
          </cell>
        </row>
        <row r="490">
          <cell r="I490" t="str">
            <v>B2.09.22</v>
          </cell>
          <cell r="J490" t="str">
            <v>NGUYỄN THỊ LOAN</v>
          </cell>
          <cell r="K490" t="str">
            <v>Bình Thạnh</v>
          </cell>
          <cell r="L490" t="str">
            <v>Lê Mai</v>
          </cell>
          <cell r="M490" t="str">
            <v>Phương Thúy</v>
          </cell>
          <cell r="N490" t="str">
            <v>Huỳnh Thị Hồng Phượng</v>
          </cell>
          <cell r="O490">
            <v>0</v>
          </cell>
          <cell r="P490" t="str">
            <v>Bình Thạnh</v>
          </cell>
          <cell r="Q490" t="str">
            <v>Lê Mai</v>
          </cell>
          <cell r="R490" t="str">
            <v>Phương Thúy</v>
          </cell>
          <cell r="S490" t="str">
            <v>Huỳnh Thị Hồng Phượng</v>
          </cell>
          <cell r="T490">
            <v>0</v>
          </cell>
          <cell r="U490">
            <v>0</v>
          </cell>
          <cell r="V490" t="str">
            <v>PTTT 09c</v>
          </cell>
          <cell r="W490" t="str">
            <v>1 người</v>
          </cell>
          <cell r="X490" t="str">
            <v>NGUYỄN THỊ LOAN</v>
          </cell>
        </row>
        <row r="491">
          <cell r="I491" t="str">
            <v>B2.12a.02</v>
          </cell>
          <cell r="J491" t="str">
            <v>???</v>
          </cell>
          <cell r="K491" t="str">
            <v>???</v>
          </cell>
          <cell r="L491" t="str">
            <v>???</v>
          </cell>
          <cell r="M491" t="str">
            <v>???</v>
          </cell>
          <cell r="N491" t="str">
            <v>???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</row>
        <row r="492">
          <cell r="I492" t="str">
            <v>B2.15.01</v>
          </cell>
          <cell r="J492" t="str">
            <v>LÊ CHÍ HÙNG</v>
          </cell>
          <cell r="K492" t="str">
            <v>Bình Thạnh</v>
          </cell>
          <cell r="L492" t="str">
            <v>Ngọc Linh</v>
          </cell>
          <cell r="M492" t="str">
            <v>Quốc Tuấn</v>
          </cell>
          <cell r="N492" t="str">
            <v>La Thị Kim Thoa</v>
          </cell>
          <cell r="O492">
            <v>0</v>
          </cell>
          <cell r="P492" t="str">
            <v>Bình Thạnh</v>
          </cell>
          <cell r="Q492" t="str">
            <v>Ngọc Linh</v>
          </cell>
          <cell r="R492" t="str">
            <v>Quốc Tuấn</v>
          </cell>
          <cell r="S492" t="str">
            <v>La Thị Kim Thoa</v>
          </cell>
          <cell r="T492">
            <v>0</v>
          </cell>
          <cell r="U492">
            <v>0</v>
          </cell>
          <cell r="V492" t="str">
            <v>PTTT 09c</v>
          </cell>
          <cell r="W492" t="str">
            <v>2 người</v>
          </cell>
          <cell r="X492" t="str">
            <v>LÊ CHÍ HÙNG</v>
          </cell>
        </row>
        <row r="493">
          <cell r="I493" t="str">
            <v>B2.15.02</v>
          </cell>
          <cell r="J493" t="str">
            <v>PHẠM TRÂM ANH</v>
          </cell>
          <cell r="K493" t="str">
            <v>Bình Thạnh</v>
          </cell>
          <cell r="L493" t="str">
            <v>Thanh Hà</v>
          </cell>
          <cell r="M493" t="str">
            <v>Đức Đồng</v>
          </cell>
          <cell r="N493" t="str">
            <v>Nguyễn Ngọc Anh Thư</v>
          </cell>
          <cell r="O493">
            <v>0</v>
          </cell>
          <cell r="P493" t="str">
            <v>Bình Thạnh</v>
          </cell>
          <cell r="Q493" t="str">
            <v>Thanh Hà</v>
          </cell>
          <cell r="R493" t="str">
            <v>Đức Đồng</v>
          </cell>
          <cell r="S493" t="str">
            <v>Nguyễn Ngọc Anh Thư</v>
          </cell>
          <cell r="T493">
            <v>0</v>
          </cell>
          <cell r="U493">
            <v>0</v>
          </cell>
          <cell r="V493" t="str">
            <v>PTTT 09c</v>
          </cell>
          <cell r="W493" t="str">
            <v>1 người</v>
          </cell>
          <cell r="X493" t="str">
            <v>PHẠM TRÂM ANH</v>
          </cell>
        </row>
        <row r="494">
          <cell r="I494" t="str">
            <v>B2.15.03</v>
          </cell>
          <cell r="J494" t="str">
            <v>NGUYỄN THANH HẢI</v>
          </cell>
          <cell r="K494" t="str">
            <v>Quận 3</v>
          </cell>
          <cell r="L494" t="str">
            <v>Văn Tùng</v>
          </cell>
          <cell r="M494" t="str">
            <v>Trinh Trinh</v>
          </cell>
          <cell r="N494" t="str">
            <v>Lý Thanh Tân</v>
          </cell>
          <cell r="O494">
            <v>0</v>
          </cell>
          <cell r="P494" t="str">
            <v>Quận 3</v>
          </cell>
          <cell r="Q494" t="str">
            <v>Văn Tùng</v>
          </cell>
          <cell r="R494" t="str">
            <v>Trinh Trinh</v>
          </cell>
          <cell r="S494" t="str">
            <v>Lý Thanh Tân</v>
          </cell>
          <cell r="T494">
            <v>0</v>
          </cell>
          <cell r="U494">
            <v>0</v>
          </cell>
          <cell r="V494" t="str">
            <v>PTTT 09c</v>
          </cell>
          <cell r="W494" t="str">
            <v>2 người</v>
          </cell>
          <cell r="X494" t="str">
            <v>NGUYỄN THANH HẢI</v>
          </cell>
        </row>
        <row r="495">
          <cell r="I495" t="str">
            <v>B2.15.04</v>
          </cell>
          <cell r="J495" t="str">
            <v>NGUYỄN VĂN TIẾN</v>
          </cell>
          <cell r="K495" t="str">
            <v>Quận 3</v>
          </cell>
          <cell r="L495" t="str">
            <v>Thanh Tuấn</v>
          </cell>
          <cell r="M495" t="str">
            <v>Thanh Liêm</v>
          </cell>
          <cell r="N495" t="str">
            <v>Phạm Thị Thanh Thúy</v>
          </cell>
          <cell r="O495">
            <v>0</v>
          </cell>
          <cell r="P495" t="str">
            <v>Quận 3</v>
          </cell>
          <cell r="Q495" t="str">
            <v>Thanh Tuấn</v>
          </cell>
          <cell r="R495" t="str">
            <v>Thanh Liêm</v>
          </cell>
          <cell r="S495" t="str">
            <v>Phạm Thị Thanh Thúy</v>
          </cell>
          <cell r="T495">
            <v>0</v>
          </cell>
          <cell r="U495">
            <v>0</v>
          </cell>
          <cell r="V495" t="str">
            <v>PTTT 09c</v>
          </cell>
          <cell r="W495" t="str">
            <v>1 người</v>
          </cell>
          <cell r="X495" t="str">
            <v>NGUYỄN VĂN TIẾN</v>
          </cell>
        </row>
        <row r="496">
          <cell r="I496" t="str">
            <v>B2.15.05</v>
          </cell>
          <cell r="J496" t="str">
            <v>LÊ DUY THỨ</v>
          </cell>
          <cell r="K496" t="str">
            <v>Bình Thạnh</v>
          </cell>
          <cell r="L496" t="str">
            <v>Thanh Hà</v>
          </cell>
          <cell r="M496" t="str">
            <v>Đức Đồng</v>
          </cell>
          <cell r="N496" t="str">
            <v>Nguyễn Thành Văn</v>
          </cell>
          <cell r="O496">
            <v>0</v>
          </cell>
          <cell r="P496" t="str">
            <v>Bình Thạnh</v>
          </cell>
          <cell r="Q496" t="str">
            <v>Thanh Hà</v>
          </cell>
          <cell r="R496" t="str">
            <v>Đức Đồng</v>
          </cell>
          <cell r="S496" t="str">
            <v>Nguyễn Thành Văn</v>
          </cell>
          <cell r="T496">
            <v>0</v>
          </cell>
          <cell r="U496">
            <v>0</v>
          </cell>
          <cell r="V496" t="str">
            <v>PTTT 09c</v>
          </cell>
          <cell r="W496" t="str">
            <v>1 người</v>
          </cell>
          <cell r="X496" t="str">
            <v>NGUYỄN HOÀNG VŨ</v>
          </cell>
        </row>
        <row r="497">
          <cell r="I497" t="str">
            <v>B2.15.06</v>
          </cell>
          <cell r="J497" t="str">
            <v>TRẦN NGỌC HIẾU MINH</v>
          </cell>
          <cell r="K497" t="str">
            <v>Quận 3</v>
          </cell>
          <cell r="L497" t="str">
            <v>Văn Tùng</v>
          </cell>
          <cell r="M497" t="str">
            <v>Trinh Trinh</v>
          </cell>
          <cell r="N497" t="str">
            <v>Lý Thanh Tân</v>
          </cell>
          <cell r="O497">
            <v>0</v>
          </cell>
          <cell r="P497" t="str">
            <v>Quận 3</v>
          </cell>
          <cell r="Q497" t="str">
            <v>Văn Tùng</v>
          </cell>
          <cell r="R497" t="str">
            <v>Trinh Trinh</v>
          </cell>
          <cell r="S497" t="str">
            <v>Lý Thanh Tân</v>
          </cell>
          <cell r="T497">
            <v>0</v>
          </cell>
          <cell r="U497">
            <v>0</v>
          </cell>
          <cell r="V497" t="str">
            <v>PTTT 09c</v>
          </cell>
          <cell r="W497" t="str">
            <v>1 người</v>
          </cell>
          <cell r="X497" t="str">
            <v>TRẦN NGỌC HIẾU MINH</v>
          </cell>
        </row>
        <row r="498">
          <cell r="I498" t="str">
            <v>B2.15.07</v>
          </cell>
          <cell r="J498" t="str">
            <v>VÕ QUANG TUÂN</v>
          </cell>
          <cell r="K498" t="str">
            <v>Bình Thạnh</v>
          </cell>
          <cell r="L498" t="str">
            <v>Lê Mai</v>
          </cell>
          <cell r="M498" t="str">
            <v>Phương Thúy</v>
          </cell>
          <cell r="N498" t="str">
            <v>Nguyễn Phi Hùng</v>
          </cell>
          <cell r="O498">
            <v>0</v>
          </cell>
          <cell r="P498" t="str">
            <v>Bình Thạnh</v>
          </cell>
          <cell r="Q498" t="str">
            <v>Lê Mai</v>
          </cell>
          <cell r="R498" t="str">
            <v>Phương Thúy</v>
          </cell>
          <cell r="S498" t="str">
            <v>Nguyễn Phi Hùng</v>
          </cell>
          <cell r="T498">
            <v>0</v>
          </cell>
          <cell r="U498">
            <v>0</v>
          </cell>
          <cell r="V498" t="str">
            <v>PTTT 09c</v>
          </cell>
          <cell r="W498" t="str">
            <v>2 người</v>
          </cell>
          <cell r="X498" t="str">
            <v>VÕ QUANG TUÂN</v>
          </cell>
        </row>
        <row r="499">
          <cell r="I499" t="str">
            <v>B2.15.08</v>
          </cell>
          <cell r="J499" t="str">
            <v>LIÊU THỊ HƯỜNG</v>
          </cell>
          <cell r="K499" t="str">
            <v>Bình Thạnh</v>
          </cell>
          <cell r="L499" t="str">
            <v>Ngọc Linh</v>
          </cell>
          <cell r="M499" t="str">
            <v>Phạm Vĩ</v>
          </cell>
          <cell r="N499" t="str">
            <v>Nguyễn Văn Hà</v>
          </cell>
          <cell r="O499">
            <v>0</v>
          </cell>
          <cell r="P499" t="str">
            <v>Bình Thạnh</v>
          </cell>
          <cell r="Q499" t="str">
            <v>Ngọc Linh</v>
          </cell>
          <cell r="R499" t="str">
            <v>Phạm Vĩ</v>
          </cell>
          <cell r="S499" t="str">
            <v>Nguyễn Văn Hà</v>
          </cell>
          <cell r="T499">
            <v>0</v>
          </cell>
          <cell r="U499">
            <v>0</v>
          </cell>
          <cell r="V499" t="str">
            <v>PTTT 09c</v>
          </cell>
          <cell r="W499" t="str">
            <v>1 người</v>
          </cell>
          <cell r="X499" t="str">
            <v>VŨ MẠNH CƯỜNG</v>
          </cell>
        </row>
        <row r="500">
          <cell r="I500" t="str">
            <v>B2.15.09</v>
          </cell>
          <cell r="J500" t="str">
            <v>TRẦN CHIÊU MINH</v>
          </cell>
          <cell r="K500" t="str">
            <v>Bình Thạnh</v>
          </cell>
          <cell r="L500" t="str">
            <v>Thanh Hà</v>
          </cell>
          <cell r="M500" t="str">
            <v>Đức Đồng</v>
          </cell>
          <cell r="N500" t="str">
            <v>Nguyễn Trung Kiên</v>
          </cell>
          <cell r="O500">
            <v>0</v>
          </cell>
          <cell r="P500" t="str">
            <v>Bình Thạnh</v>
          </cell>
          <cell r="Q500" t="str">
            <v>Thanh Hà</v>
          </cell>
          <cell r="R500" t="str">
            <v>Đức Đồng</v>
          </cell>
          <cell r="S500" t="str">
            <v>Nguyễn Trung Kiên</v>
          </cell>
          <cell r="T500">
            <v>0</v>
          </cell>
          <cell r="U500">
            <v>0</v>
          </cell>
          <cell r="V500" t="str">
            <v>PTTT 09c</v>
          </cell>
          <cell r="W500" t="str">
            <v>1 người</v>
          </cell>
          <cell r="X500" t="str">
            <v>TRẦN CHIÊU MINH</v>
          </cell>
        </row>
        <row r="501">
          <cell r="I501" t="str">
            <v>B2.15.13</v>
          </cell>
          <cell r="J501" t="str">
            <v>HOÀNG XUÂN TƯỜNG</v>
          </cell>
          <cell r="K501" t="str">
            <v>Bình Thạnh</v>
          </cell>
          <cell r="L501" t="str">
            <v>Ngọc Linh</v>
          </cell>
          <cell r="M501" t="str">
            <v>Đình Ban</v>
          </cell>
          <cell r="N501" t="str">
            <v>Lê Thị Bích Tiên</v>
          </cell>
          <cell r="O501">
            <v>0</v>
          </cell>
          <cell r="P501" t="str">
            <v>Quận 3</v>
          </cell>
          <cell r="Q501" t="str">
            <v>Thanh Tuấn</v>
          </cell>
          <cell r="R501" t="str">
            <v>Anh Tài</v>
          </cell>
          <cell r="S501" t="str">
            <v>Nguyễn Thu Thảo</v>
          </cell>
          <cell r="T501">
            <v>0</v>
          </cell>
          <cell r="U501">
            <v>0</v>
          </cell>
          <cell r="V501" t="str">
            <v>PTTT 09c</v>
          </cell>
          <cell r="W501" t="str">
            <v>1 người</v>
          </cell>
          <cell r="X501" t="str">
            <v>PHAN XUÂN BÁCH</v>
          </cell>
        </row>
        <row r="502">
          <cell r="I502" t="str">
            <v>B2.15.19</v>
          </cell>
          <cell r="J502" t="str">
            <v>NGUYỄN TRỌNG KHÔI</v>
          </cell>
          <cell r="K502" t="str">
            <v>Bình Thạnh</v>
          </cell>
          <cell r="L502" t="str">
            <v>Ngọc Linh</v>
          </cell>
          <cell r="M502" t="str">
            <v>Quốc Tuấn</v>
          </cell>
          <cell r="N502" t="str">
            <v>Huỳnh Thị Thùy Trang</v>
          </cell>
          <cell r="O502">
            <v>0</v>
          </cell>
          <cell r="P502" t="str">
            <v>Bình Thạnh</v>
          </cell>
          <cell r="Q502" t="str">
            <v>Ngọc Linh</v>
          </cell>
          <cell r="R502" t="str">
            <v>Quốc Tuấn</v>
          </cell>
          <cell r="S502" t="str">
            <v>Huỳnh Thị Thùy Trang</v>
          </cell>
          <cell r="T502">
            <v>0</v>
          </cell>
          <cell r="U502">
            <v>0</v>
          </cell>
          <cell r="V502" t="str">
            <v>PTTT 09c</v>
          </cell>
          <cell r="W502" t="str">
            <v>1 người</v>
          </cell>
          <cell r="X502" t="str">
            <v>NGUYỄN TRỌNG KHÔI</v>
          </cell>
        </row>
        <row r="503">
          <cell r="I503" t="str">
            <v>B2.15.20</v>
          </cell>
          <cell r="J503" t="str">
            <v>ĐINH THỊ HỒNG PHƯƠNG</v>
          </cell>
          <cell r="K503" t="str">
            <v>Bình Thạnh</v>
          </cell>
          <cell r="L503" t="str">
            <v>Ngọc Linh</v>
          </cell>
          <cell r="M503" t="str">
            <v>Phạm Vĩ</v>
          </cell>
          <cell r="N503" t="str">
            <v>Nguyễn Văn Hà</v>
          </cell>
          <cell r="O503">
            <v>0</v>
          </cell>
          <cell r="P503" t="str">
            <v>Bình Thạnh</v>
          </cell>
          <cell r="Q503" t="str">
            <v>Ngọc Linh</v>
          </cell>
          <cell r="R503" t="str">
            <v>Phạm Vĩ</v>
          </cell>
          <cell r="S503" t="str">
            <v>Nguyễn Văn Hà</v>
          </cell>
          <cell r="T503">
            <v>0</v>
          </cell>
          <cell r="U503">
            <v>0</v>
          </cell>
          <cell r="V503" t="str">
            <v>PTTT 08c</v>
          </cell>
          <cell r="W503" t="str">
            <v>1 người</v>
          </cell>
          <cell r="X503" t="str">
            <v>ĐINH THỊ HỒNG PHƯƠNG</v>
          </cell>
        </row>
        <row r="504">
          <cell r="I504" t="str">
            <v>B2.15.21</v>
          </cell>
          <cell r="J504" t="str">
            <v>NGUYỄN TRỊNH HOÀNG HÂN</v>
          </cell>
          <cell r="K504" t="str">
            <v>Bình Thạnh</v>
          </cell>
          <cell r="L504" t="str">
            <v>Ngọc Linh</v>
          </cell>
          <cell r="M504" t="str">
            <v>Quốc Tuấn</v>
          </cell>
          <cell r="N504" t="str">
            <v>Huỳnh Thị Thùy Trang</v>
          </cell>
          <cell r="O504">
            <v>0</v>
          </cell>
          <cell r="P504" t="str">
            <v>Bình Thạnh</v>
          </cell>
          <cell r="Q504" t="str">
            <v>Ngọc Linh</v>
          </cell>
          <cell r="R504" t="str">
            <v>Quốc Tuấn</v>
          </cell>
          <cell r="S504" t="str">
            <v>Huỳnh Thị Thùy Trang</v>
          </cell>
          <cell r="T504">
            <v>0</v>
          </cell>
          <cell r="U504">
            <v>0</v>
          </cell>
          <cell r="V504" t="str">
            <v>PTTT 09c</v>
          </cell>
          <cell r="W504" t="str">
            <v>1 người</v>
          </cell>
          <cell r="X504" t="str">
            <v>NGUYỄN TRỊNH HOÀNG HÂN</v>
          </cell>
        </row>
        <row r="505">
          <cell r="I505" t="str">
            <v>B2.15.22</v>
          </cell>
          <cell r="J505" t="str">
            <v>NGÔ PHƯỚC ĐẠT</v>
          </cell>
          <cell r="K505" t="str">
            <v>Bình Thạnh</v>
          </cell>
          <cell r="L505" t="str">
            <v>Lê Mai</v>
          </cell>
          <cell r="M505" t="str">
            <v>Phương Thúy</v>
          </cell>
          <cell r="N505" t="str">
            <v>Bùi Thanh Sang</v>
          </cell>
          <cell r="O505">
            <v>0</v>
          </cell>
          <cell r="P505" t="str">
            <v>Bình Thạnh</v>
          </cell>
          <cell r="Q505" t="str">
            <v>Lê Mai</v>
          </cell>
          <cell r="R505" t="str">
            <v>Phương Thúy</v>
          </cell>
          <cell r="S505" t="str">
            <v>Bùi Thanh Sang</v>
          </cell>
          <cell r="T505">
            <v>0</v>
          </cell>
          <cell r="U505">
            <v>0</v>
          </cell>
          <cell r="V505" t="str">
            <v>PTTT 09c</v>
          </cell>
          <cell r="W505" t="str">
            <v>2 người</v>
          </cell>
          <cell r="X505" t="str">
            <v>NGÔ PHƯỚC ĐẠT</v>
          </cell>
        </row>
        <row r="506">
          <cell r="I506" t="str">
            <v>B2.18.02</v>
          </cell>
          <cell r="J506" t="str">
            <v>CAO SĨ KIÊM</v>
          </cell>
          <cell r="K506" t="str">
            <v>Bình Thạnh</v>
          </cell>
          <cell r="L506" t="str">
            <v>Thanh Hà</v>
          </cell>
          <cell r="M506" t="str">
            <v>Đức Đồng</v>
          </cell>
          <cell r="N506" t="str">
            <v>Nguyễn Ngọc Anh Thư</v>
          </cell>
          <cell r="O506">
            <v>0</v>
          </cell>
          <cell r="P506" t="str">
            <v>Bình Thạnh</v>
          </cell>
          <cell r="Q506" t="str">
            <v>Thanh Hà</v>
          </cell>
          <cell r="R506" t="str">
            <v>Đức Đồng</v>
          </cell>
          <cell r="S506">
            <v>0</v>
          </cell>
          <cell r="T506">
            <v>0</v>
          </cell>
          <cell r="U506">
            <v>0</v>
          </cell>
          <cell r="V506" t="str">
            <v>PTTT 09c</v>
          </cell>
          <cell r="W506" t="str">
            <v>1 người</v>
          </cell>
          <cell r="X506" t="str">
            <v>CAO SĨ KIÊM</v>
          </cell>
        </row>
        <row r="507">
          <cell r="I507" t="str">
            <v>B2.18.03</v>
          </cell>
          <cell r="J507" t="str">
            <v>TRẦN ANH TÚ</v>
          </cell>
          <cell r="K507" t="str">
            <v>Sàn liên kết</v>
          </cell>
          <cell r="L507" t="str">
            <v>Bcons Homes</v>
          </cell>
          <cell r="M507" t="str">
            <v>Bcons Homes</v>
          </cell>
          <cell r="N507">
            <v>0</v>
          </cell>
          <cell r="O507">
            <v>0</v>
          </cell>
          <cell r="P507" t="str">
            <v>Sàn liên kết</v>
          </cell>
          <cell r="Q507" t="str">
            <v>Bcons Homes</v>
          </cell>
          <cell r="R507" t="str">
            <v>Bcons Homes</v>
          </cell>
          <cell r="S507">
            <v>0</v>
          </cell>
          <cell r="T507">
            <v>0</v>
          </cell>
          <cell r="U507">
            <v>0</v>
          </cell>
          <cell r="V507" t="str">
            <v>PTTT 09c</v>
          </cell>
          <cell r="W507" t="str">
            <v>2 người</v>
          </cell>
          <cell r="X507" t="str">
            <v>TRẦN ANH TÚ</v>
          </cell>
        </row>
        <row r="508">
          <cell r="I508" t="str">
            <v>B2.18.10</v>
          </cell>
          <cell r="J508" t="str">
            <v>LÊ HOÀNG QUỐC BẢO</v>
          </cell>
          <cell r="K508" t="str">
            <v>Bình Thạnh</v>
          </cell>
          <cell r="L508" t="str">
            <v>Ngọc Linh</v>
          </cell>
          <cell r="M508" t="str">
            <v>Thanh Đức</v>
          </cell>
          <cell r="N508" t="str">
            <v>Trần Nhựt Thư</v>
          </cell>
          <cell r="O508">
            <v>0</v>
          </cell>
          <cell r="P508" t="str">
            <v>Bình Thạnh</v>
          </cell>
          <cell r="Q508" t="str">
            <v>Ngọc Linh</v>
          </cell>
          <cell r="R508" t="str">
            <v>Thanh Đức</v>
          </cell>
          <cell r="S508" t="str">
            <v>Trần Nhựt Thư</v>
          </cell>
          <cell r="T508">
            <v>0</v>
          </cell>
          <cell r="U508">
            <v>0</v>
          </cell>
          <cell r="V508" t="str">
            <v>PTTT 09c</v>
          </cell>
          <cell r="W508" t="str">
            <v>2 người</v>
          </cell>
          <cell r="X508" t="str">
            <v>LÊ HOÀNG QUỐC BẢO</v>
          </cell>
        </row>
        <row r="509">
          <cell r="I509" t="str">
            <v>B2.18.11</v>
          </cell>
          <cell r="J509" t="str">
            <v>MAI THỊ THANH TRÚC</v>
          </cell>
          <cell r="K509" t="str">
            <v>Quận 3</v>
          </cell>
          <cell r="L509" t="str">
            <v>Thanh Tuấn</v>
          </cell>
          <cell r="M509" t="str">
            <v>Anh Tài</v>
          </cell>
          <cell r="N509" t="str">
            <v>Nguyễn Thu Thảo</v>
          </cell>
          <cell r="O509">
            <v>0</v>
          </cell>
          <cell r="P509" t="str">
            <v>Quận 3</v>
          </cell>
          <cell r="Q509" t="str">
            <v>Thanh Tuấn</v>
          </cell>
          <cell r="R509" t="str">
            <v>Anh Tài</v>
          </cell>
          <cell r="S509" t="str">
            <v>Nguyễn Thu Thảo</v>
          </cell>
          <cell r="T509">
            <v>0</v>
          </cell>
          <cell r="U509">
            <v>0</v>
          </cell>
          <cell r="V509" t="str">
            <v>PTTT 09c</v>
          </cell>
          <cell r="W509" t="str">
            <v>1 người</v>
          </cell>
          <cell r="X509" t="str">
            <v>LƯƠNG THỊ NHƯ BÌNH</v>
          </cell>
        </row>
        <row r="510">
          <cell r="I510" t="str">
            <v>B2.18.12</v>
          </cell>
          <cell r="J510" t="str">
            <v>NGUYỄN TRUNG THÀNH</v>
          </cell>
          <cell r="K510" t="str">
            <v>Quận 3</v>
          </cell>
          <cell r="L510" t="str">
            <v>Thanh Tuấn</v>
          </cell>
          <cell r="M510" t="str">
            <v>Tuấn Vương</v>
          </cell>
          <cell r="N510" t="str">
            <v>Nguyễn Thanh Hưng</v>
          </cell>
          <cell r="O510">
            <v>0</v>
          </cell>
          <cell r="P510" t="str">
            <v>Quận 3</v>
          </cell>
          <cell r="Q510" t="str">
            <v>Thanh Tuấn</v>
          </cell>
          <cell r="R510" t="str">
            <v>Tuấn Vương</v>
          </cell>
          <cell r="S510" t="str">
            <v>Nguyễn Thanh Hưng</v>
          </cell>
          <cell r="T510">
            <v>0</v>
          </cell>
          <cell r="U510">
            <v>0</v>
          </cell>
          <cell r="V510" t="str">
            <v>PTTT 09c</v>
          </cell>
          <cell r="W510" t="str">
            <v>1 người</v>
          </cell>
          <cell r="X510" t="str">
            <v>NGUYỄN TRUNG THÀNH</v>
          </cell>
        </row>
        <row r="511">
          <cell r="I511" t="str">
            <v>B2.18.14</v>
          </cell>
          <cell r="J511" t="str">
            <v>NGUYỄN THỊ XUÂN HÒA</v>
          </cell>
          <cell r="K511" t="str">
            <v>Bình Thạnh</v>
          </cell>
          <cell r="L511" t="str">
            <v>Ngọc Linh</v>
          </cell>
          <cell r="M511" t="str">
            <v>Đình Ban</v>
          </cell>
          <cell r="N511" t="str">
            <v>Trần Thị Nhung</v>
          </cell>
          <cell r="O511">
            <v>0</v>
          </cell>
          <cell r="P511" t="str">
            <v>Bình Thạnh</v>
          </cell>
          <cell r="Q511" t="str">
            <v>Ngọc Linh</v>
          </cell>
          <cell r="R511" t="str">
            <v>Đình Ban</v>
          </cell>
          <cell r="S511" t="str">
            <v>Trần Thị Nhung</v>
          </cell>
          <cell r="T511">
            <v>0</v>
          </cell>
          <cell r="U511">
            <v>0</v>
          </cell>
          <cell r="V511" t="str">
            <v>PTTT 09c</v>
          </cell>
          <cell r="W511" t="str">
            <v>1 người</v>
          </cell>
          <cell r="X511" t="str">
            <v>NGUYỀN THỊ XUÂN HÒA</v>
          </cell>
        </row>
        <row r="512">
          <cell r="I512" t="str">
            <v>B2.18.15</v>
          </cell>
          <cell r="J512" t="str">
            <v>ĐỖ BÙI ĐÌNH THIỆN</v>
          </cell>
          <cell r="K512" t="str">
            <v>Bình Thạnh</v>
          </cell>
          <cell r="L512" t="str">
            <v>Lê Mai</v>
          </cell>
          <cell r="M512" t="str">
            <v>Phương Thúy</v>
          </cell>
          <cell r="N512" t="str">
            <v>Bùi Thanh Sang</v>
          </cell>
          <cell r="O512">
            <v>0</v>
          </cell>
          <cell r="P512" t="str">
            <v>Bình Thạnh</v>
          </cell>
          <cell r="Q512" t="str">
            <v>Lê Mai</v>
          </cell>
          <cell r="R512" t="str">
            <v>Phương Thúy</v>
          </cell>
          <cell r="S512" t="str">
            <v>Bùi Thanh Sang</v>
          </cell>
          <cell r="T512">
            <v>0</v>
          </cell>
          <cell r="U512">
            <v>0</v>
          </cell>
          <cell r="V512" t="str">
            <v>PTTT 09c</v>
          </cell>
          <cell r="W512" t="str">
            <v>2 người</v>
          </cell>
          <cell r="X512" t="str">
            <v>ĐỖ BÙI ĐÌNH THIÊN</v>
          </cell>
        </row>
        <row r="513">
          <cell r="I513" t="str">
            <v>B2.18.16</v>
          </cell>
          <cell r="J513" t="str">
            <v>CAO TẤN CƯỜNG</v>
          </cell>
          <cell r="K513" t="str">
            <v>Bình Thạnh</v>
          </cell>
          <cell r="L513" t="str">
            <v>Lê Mai</v>
          </cell>
          <cell r="M513" t="str">
            <v>Phương Thúy</v>
          </cell>
          <cell r="N513" t="str">
            <v>Bùi Thanh Sang</v>
          </cell>
          <cell r="O513">
            <v>0</v>
          </cell>
          <cell r="P513" t="str">
            <v>Bình Thạnh</v>
          </cell>
          <cell r="Q513" t="str">
            <v>Lê Mai</v>
          </cell>
          <cell r="R513" t="str">
            <v>Phương Thúy</v>
          </cell>
          <cell r="S513" t="str">
            <v>Bùi Thanh Sang</v>
          </cell>
          <cell r="T513">
            <v>0</v>
          </cell>
          <cell r="U513">
            <v>0</v>
          </cell>
          <cell r="V513" t="str">
            <v>PTTT 09c</v>
          </cell>
          <cell r="W513" t="str">
            <v>1 người</v>
          </cell>
          <cell r="X513" t="str">
            <v>CAO TẤN CƯỜNG</v>
          </cell>
        </row>
        <row r="514">
          <cell r="I514" t="str">
            <v>B2.18.17</v>
          </cell>
          <cell r="J514" t="str">
            <v>NGUYỄN NGỌC QUỲNH NHƯ</v>
          </cell>
          <cell r="K514" t="str">
            <v>Quận 3</v>
          </cell>
          <cell r="L514" t="str">
            <v>Huỳnh Nhân</v>
          </cell>
          <cell r="M514" t="str">
            <v>Tấn Long</v>
          </cell>
          <cell r="N514" t="str">
            <v>Trịnh Hoàng Phát</v>
          </cell>
          <cell r="O514">
            <v>0</v>
          </cell>
          <cell r="P514" t="str">
            <v>Quận 3</v>
          </cell>
          <cell r="Q514" t="str">
            <v>Huỳnh Nhân</v>
          </cell>
          <cell r="R514" t="str">
            <v>Tấn Long</v>
          </cell>
          <cell r="S514" t="str">
            <v>Trịnh Hoàng Phát</v>
          </cell>
          <cell r="T514">
            <v>0</v>
          </cell>
          <cell r="U514">
            <v>0</v>
          </cell>
          <cell r="V514" t="str">
            <v>PTTT 08c</v>
          </cell>
          <cell r="W514" t="str">
            <v>1 người</v>
          </cell>
          <cell r="X514" t="str">
            <v>NGUYỄN NGỌC QUỲNH NHƯ</v>
          </cell>
        </row>
        <row r="515">
          <cell r="I515" t="str">
            <v>B2.18.18</v>
          </cell>
          <cell r="J515" t="str">
            <v>NGUYỄN THỊ CẨM THÚY</v>
          </cell>
          <cell r="K515" t="str">
            <v>Bình Thạnh</v>
          </cell>
          <cell r="L515" t="str">
            <v>Lê Mai</v>
          </cell>
          <cell r="M515" t="str">
            <v>Phương Thúy</v>
          </cell>
          <cell r="N515" t="str">
            <v>Nguyễn Phương Quỳnh</v>
          </cell>
          <cell r="O515">
            <v>0</v>
          </cell>
          <cell r="P515" t="str">
            <v>Bình Thạnh</v>
          </cell>
          <cell r="Q515" t="str">
            <v>Lê Mai</v>
          </cell>
          <cell r="R515" t="str">
            <v>Phương Thúy</v>
          </cell>
          <cell r="S515" t="str">
            <v>Nguyễn Phương Quỳnh</v>
          </cell>
          <cell r="T515">
            <v>0</v>
          </cell>
          <cell r="U515">
            <v>0</v>
          </cell>
          <cell r="V515" t="str">
            <v>PTTT 09c</v>
          </cell>
          <cell r="W515" t="str">
            <v>2 người</v>
          </cell>
          <cell r="X515" t="str">
            <v>NGUYỄN THỊ CẨM THUÝ</v>
          </cell>
        </row>
        <row r="516">
          <cell r="I516" t="str">
            <v>B2.18.19</v>
          </cell>
          <cell r="J516" t="str">
            <v>TRẦN THỊ HOA</v>
          </cell>
          <cell r="K516" t="str">
            <v>Quận 3</v>
          </cell>
          <cell r="L516" t="str">
            <v>Thanh Tuấn</v>
          </cell>
          <cell r="M516" t="str">
            <v>Duy Nhật</v>
          </cell>
          <cell r="N516" t="str">
            <v>Lê Duy Nhật</v>
          </cell>
          <cell r="O516">
            <v>0</v>
          </cell>
          <cell r="P516" t="str">
            <v>Quận 3</v>
          </cell>
          <cell r="Q516" t="str">
            <v>Thanh Tuấn</v>
          </cell>
          <cell r="R516" t="str">
            <v>Duy Nhật</v>
          </cell>
          <cell r="S516" t="str">
            <v>Lê Duy Nhật</v>
          </cell>
          <cell r="T516">
            <v>0</v>
          </cell>
          <cell r="U516">
            <v>0</v>
          </cell>
          <cell r="V516" t="str">
            <v>PTTT 09c</v>
          </cell>
          <cell r="W516" t="str">
            <v>2 người</v>
          </cell>
          <cell r="X516" t="str">
            <v>VŨ VĂN TUYẾN</v>
          </cell>
        </row>
        <row r="517">
          <cell r="I517" t="str">
            <v>B2.21.06</v>
          </cell>
          <cell r="J517" t="str">
            <v>ĐỖ NGỌC UYÊN LY</v>
          </cell>
          <cell r="K517" t="str">
            <v>Bình Thạnh</v>
          </cell>
          <cell r="L517" t="str">
            <v>Ngọc Linh</v>
          </cell>
          <cell r="M517" t="str">
            <v>Phương Thúy</v>
          </cell>
          <cell r="N517" t="str">
            <v>Nguyễn Phương Quỳnh</v>
          </cell>
          <cell r="O517">
            <v>0</v>
          </cell>
          <cell r="P517" t="str">
            <v>Bình Thạnh</v>
          </cell>
          <cell r="Q517" t="str">
            <v>Ngọc Linh</v>
          </cell>
          <cell r="R517" t="str">
            <v>Phương Thúy</v>
          </cell>
          <cell r="S517" t="str">
            <v>Nguyễn Phương Quỳnh</v>
          </cell>
          <cell r="T517">
            <v>0</v>
          </cell>
          <cell r="U517">
            <v>0</v>
          </cell>
          <cell r="V517" t="str">
            <v>PTTT 09c</v>
          </cell>
          <cell r="W517" t="str">
            <v>1 người</v>
          </cell>
          <cell r="X517" t="str">
            <v>ĐỖ NGỌC UYÊN LY</v>
          </cell>
        </row>
        <row r="518">
          <cell r="I518" t="str">
            <v>B2.21.10</v>
          </cell>
          <cell r="J518" t="str">
            <v>PHẠM THỊ THANH VÂN</v>
          </cell>
          <cell r="K518" t="str">
            <v>Quận 3</v>
          </cell>
          <cell r="L518" t="str">
            <v>Văn Tùng</v>
          </cell>
          <cell r="M518" t="str">
            <v>Trinh Trinh</v>
          </cell>
          <cell r="N518" t="str">
            <v>Lý Thanh Tân</v>
          </cell>
          <cell r="O518">
            <v>0</v>
          </cell>
          <cell r="P518" t="str">
            <v>Quận 3</v>
          </cell>
          <cell r="Q518" t="str">
            <v>Văn Tùng</v>
          </cell>
          <cell r="R518" t="str">
            <v>Trinh Trinh</v>
          </cell>
          <cell r="S518" t="str">
            <v>Lý Thanh Tân</v>
          </cell>
          <cell r="T518">
            <v>0</v>
          </cell>
          <cell r="U518">
            <v>0</v>
          </cell>
          <cell r="V518" t="str">
            <v>PTTT 09c</v>
          </cell>
          <cell r="W518" t="str">
            <v>1 người</v>
          </cell>
          <cell r="X518" t="str">
            <v>PHẠM THỊ THANH VÂN</v>
          </cell>
        </row>
        <row r="519">
          <cell r="I519" t="str">
            <v>B2.21.11</v>
          </cell>
          <cell r="J519" t="str">
            <v>NGUYỄN THỊ PHỤNG KIỀU</v>
          </cell>
          <cell r="K519" t="str">
            <v>Bình Thạnh</v>
          </cell>
          <cell r="L519" t="str">
            <v>Lê Mai</v>
          </cell>
          <cell r="M519" t="str">
            <v>Phương Thúy</v>
          </cell>
          <cell r="N519" t="str">
            <v>Nguyễn Phi Hùng</v>
          </cell>
          <cell r="O519">
            <v>0</v>
          </cell>
          <cell r="P519" t="str">
            <v>Bình Thạnh</v>
          </cell>
          <cell r="Q519" t="str">
            <v>Lê Mai</v>
          </cell>
          <cell r="R519" t="str">
            <v>Phương Thúy</v>
          </cell>
          <cell r="S519" t="str">
            <v>Nguyễn Phi Hùng</v>
          </cell>
          <cell r="T519" t="b">
            <v>0</v>
          </cell>
          <cell r="U519">
            <v>0</v>
          </cell>
          <cell r="V519" t="str">
            <v>PTTT 09c</v>
          </cell>
          <cell r="W519" t="str">
            <v>1 người</v>
          </cell>
          <cell r="X519" t="str">
            <v>NGUYỄN THỊ PHỤNG KIỀU</v>
          </cell>
        </row>
        <row r="520">
          <cell r="I520" t="str">
            <v>B2.21.12</v>
          </cell>
          <cell r="J520" t="str">
            <v>???</v>
          </cell>
          <cell r="K520" t="str">
            <v>???</v>
          </cell>
          <cell r="L520" t="str">
            <v>???</v>
          </cell>
          <cell r="M520" t="str">
            <v>???</v>
          </cell>
          <cell r="N520" t="str">
            <v>???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</row>
        <row r="521">
          <cell r="I521" t="str">
            <v>B2.21.13</v>
          </cell>
          <cell r="J521" t="str">
            <v>LÃ TIẾN CỮ</v>
          </cell>
          <cell r="K521" t="str">
            <v>Quận 3</v>
          </cell>
          <cell r="L521" t="str">
            <v>Thanh Tuấn</v>
          </cell>
          <cell r="M521" t="str">
            <v>Duy Nhật</v>
          </cell>
          <cell r="N521" t="str">
            <v>Nguyễn Tấn Đạt</v>
          </cell>
          <cell r="O521">
            <v>0</v>
          </cell>
          <cell r="P521" t="str">
            <v>Quận 3</v>
          </cell>
          <cell r="Q521" t="str">
            <v>Thanh Tuấn</v>
          </cell>
          <cell r="R521" t="str">
            <v>Duy Nhật</v>
          </cell>
          <cell r="S521" t="str">
            <v>Nguyễn Tấn Đạt</v>
          </cell>
          <cell r="T521">
            <v>0</v>
          </cell>
          <cell r="U521">
            <v>0</v>
          </cell>
          <cell r="V521" t="str">
            <v>PTTT 09c</v>
          </cell>
          <cell r="W521" t="str">
            <v>1 người</v>
          </cell>
          <cell r="X521" t="str">
            <v>LÃ TIẾN CỬ</v>
          </cell>
        </row>
        <row r="522">
          <cell r="I522" t="str">
            <v>B2.21.14</v>
          </cell>
          <cell r="J522" t="str">
            <v>HUỲNH THỊ THÙY TRANG</v>
          </cell>
          <cell r="K522" t="str">
            <v>Bình Thạnh</v>
          </cell>
          <cell r="L522" t="str">
            <v>Ngọc Linh</v>
          </cell>
          <cell r="M522" t="str">
            <v>Quốc Tuấn</v>
          </cell>
          <cell r="N522" t="str">
            <v>Huỳnh Thị Thùy Trang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</row>
        <row r="523">
          <cell r="I523" t="str">
            <v>B2.21.15</v>
          </cell>
          <cell r="J523" t="str">
            <v>NGUYỄN VŨ ĐỨC</v>
          </cell>
          <cell r="K523" t="str">
            <v>Bình Thạnh</v>
          </cell>
          <cell r="L523" t="str">
            <v>Thanh Hà</v>
          </cell>
          <cell r="M523" t="str">
            <v>Như Ngọc</v>
          </cell>
          <cell r="N523" t="str">
            <v>Đỗ Đức Đạt</v>
          </cell>
          <cell r="O523">
            <v>0</v>
          </cell>
          <cell r="P523" t="str">
            <v>Bình Thạnh</v>
          </cell>
          <cell r="Q523" t="str">
            <v>Thanh Hà</v>
          </cell>
          <cell r="R523" t="str">
            <v>Như Ngọc</v>
          </cell>
          <cell r="S523" t="str">
            <v>Đỗ Đức Đạt</v>
          </cell>
          <cell r="T523">
            <v>0</v>
          </cell>
          <cell r="U523">
            <v>0</v>
          </cell>
          <cell r="V523" t="str">
            <v>PTTT 09c</v>
          </cell>
          <cell r="W523" t="str">
            <v>2 người</v>
          </cell>
          <cell r="X523" t="str">
            <v>NGUYỄN VŨ ĐỨC</v>
          </cell>
        </row>
        <row r="524">
          <cell r="I524" t="str">
            <v>B2.21.16</v>
          </cell>
          <cell r="J524" t="str">
            <v>LÊ THÙY PHƯƠNG</v>
          </cell>
          <cell r="K524" t="str">
            <v>Quận 3</v>
          </cell>
          <cell r="L524" t="str">
            <v>Thanh Tuấn</v>
          </cell>
          <cell r="M524" t="str">
            <v>Huỳnh Nhân</v>
          </cell>
          <cell r="N524" t="str">
            <v>Trịnh Hoàng Phát</v>
          </cell>
          <cell r="O524">
            <v>0</v>
          </cell>
          <cell r="P524" t="str">
            <v>Quận 3</v>
          </cell>
          <cell r="Q524" t="str">
            <v>Thanh Tuấn</v>
          </cell>
          <cell r="R524" t="str">
            <v>Huỳnh Nhân</v>
          </cell>
          <cell r="S524" t="str">
            <v>Trịnh Hoàng Phát</v>
          </cell>
          <cell r="T524">
            <v>0</v>
          </cell>
          <cell r="U524">
            <v>0</v>
          </cell>
          <cell r="V524" t="str">
            <v>PTTT 09c</v>
          </cell>
          <cell r="W524" t="str">
            <v>1 người</v>
          </cell>
          <cell r="X524" t="str">
            <v>LÊ THÙY PHƯƠNG</v>
          </cell>
        </row>
        <row r="525">
          <cell r="I525" t="str">
            <v>B2.21.17</v>
          </cell>
          <cell r="J525" t="str">
            <v>LÊ LỰC</v>
          </cell>
          <cell r="K525" t="str">
            <v>Bình Thạnh</v>
          </cell>
          <cell r="L525" t="str">
            <v>Lê Mai</v>
          </cell>
          <cell r="M525" t="str">
            <v>Phương Thúy</v>
          </cell>
          <cell r="N525" t="str">
            <v>Bùi Thanh Sang</v>
          </cell>
          <cell r="O525">
            <v>0</v>
          </cell>
          <cell r="P525" t="str">
            <v>Bình Thạnh</v>
          </cell>
          <cell r="Q525" t="str">
            <v>Lê Mai</v>
          </cell>
          <cell r="R525" t="str">
            <v>Phương Thúy</v>
          </cell>
          <cell r="S525" t="str">
            <v>Bùi Thanh Sang</v>
          </cell>
          <cell r="T525">
            <v>0</v>
          </cell>
          <cell r="U525">
            <v>0</v>
          </cell>
          <cell r="V525" t="str">
            <v>PTTT 09c</v>
          </cell>
          <cell r="W525" t="str">
            <v>1 người</v>
          </cell>
          <cell r="X525" t="str">
            <v>LÊ LỰC</v>
          </cell>
        </row>
        <row r="526">
          <cell r="I526" t="str">
            <v>B2.21.18</v>
          </cell>
          <cell r="J526" t="str">
            <v>TRẦN NGUYỄN BẢO HÂN</v>
          </cell>
          <cell r="K526" t="str">
            <v>Bình Thạnh</v>
          </cell>
          <cell r="L526" t="str">
            <v>Lê Mai</v>
          </cell>
          <cell r="M526" t="str">
            <v>Phương Thúy</v>
          </cell>
          <cell r="N526" t="str">
            <v>Nguyễn Phi Hùng</v>
          </cell>
          <cell r="O526">
            <v>0</v>
          </cell>
          <cell r="P526" t="str">
            <v>Bình Thạnh</v>
          </cell>
          <cell r="Q526" t="str">
            <v>Lê Mai</v>
          </cell>
          <cell r="R526" t="str">
            <v>Phương Thúy</v>
          </cell>
          <cell r="S526" t="str">
            <v>Nguyễn Phi Hùng</v>
          </cell>
          <cell r="T526">
            <v>0</v>
          </cell>
          <cell r="U526">
            <v>0</v>
          </cell>
          <cell r="V526" t="str">
            <v>PTTT 09c</v>
          </cell>
          <cell r="W526" t="str">
            <v>1 người</v>
          </cell>
          <cell r="X526" t="str">
            <v>TRẦN NGUYỄN BẢO HÂN</v>
          </cell>
        </row>
        <row r="527">
          <cell r="I527" t="str">
            <v>B2.21.19</v>
          </cell>
          <cell r="J527" t="str">
            <v>NGUYỄN NGỌC ANH  THƯ</v>
          </cell>
          <cell r="K527" t="str">
            <v>Bình Thạnh</v>
          </cell>
          <cell r="L527" t="str">
            <v>Ngọc Linh</v>
          </cell>
          <cell r="M527" t="str">
            <v>Quốc Tuấn</v>
          </cell>
          <cell r="N527" t="str">
            <v>La Thị Kim Thoa</v>
          </cell>
          <cell r="O527">
            <v>0</v>
          </cell>
          <cell r="P527" t="str">
            <v>Bình Thạnh</v>
          </cell>
          <cell r="Q527" t="str">
            <v>Ngọc Linh</v>
          </cell>
          <cell r="R527" t="str">
            <v>Quốc Tuấn</v>
          </cell>
          <cell r="S527" t="str">
            <v>La Thị Kim Thoa</v>
          </cell>
          <cell r="T527">
            <v>0</v>
          </cell>
          <cell r="U527">
            <v>0</v>
          </cell>
          <cell r="V527" t="str">
            <v>PTTT 09c</v>
          </cell>
          <cell r="W527" t="str">
            <v>1 người</v>
          </cell>
          <cell r="X527" t="str">
            <v>NGUYỄN NGỌC HOÀNG MY</v>
          </cell>
        </row>
        <row r="528">
          <cell r="I528" t="str">
            <v>B2.25.02</v>
          </cell>
          <cell r="J528" t="str">
            <v>NGUYỄN HOÀNG MINH ANH</v>
          </cell>
          <cell r="K528" t="str">
            <v>Quận 3</v>
          </cell>
          <cell r="L528" t="str">
            <v>Thanh Tuấn</v>
          </cell>
          <cell r="M528" t="str">
            <v>Anh Tài</v>
          </cell>
          <cell r="N528" t="str">
            <v>Nguyễn Văn Vũ</v>
          </cell>
          <cell r="O528">
            <v>0</v>
          </cell>
          <cell r="P528" t="str">
            <v>Quận 3</v>
          </cell>
          <cell r="Q528" t="str">
            <v>Thanh Tuấn</v>
          </cell>
          <cell r="R528" t="str">
            <v>Anh Tài</v>
          </cell>
          <cell r="S528" t="str">
            <v>Nguyễn Văn Vũ</v>
          </cell>
          <cell r="T528">
            <v>0</v>
          </cell>
          <cell r="U528">
            <v>0</v>
          </cell>
          <cell r="V528" t="str">
            <v>PTTT 09c</v>
          </cell>
          <cell r="W528" t="str">
            <v>1 người</v>
          </cell>
          <cell r="X528" t="str">
            <v>NGUYỄN HOÀNG MINH ANH</v>
          </cell>
        </row>
        <row r="529">
          <cell r="I529" t="str">
            <v>B2.26.01</v>
          </cell>
          <cell r="J529" t="str">
            <v>HUỲNH THỊ HỒNG NHUNG</v>
          </cell>
          <cell r="K529" t="str">
            <v>Quận 3</v>
          </cell>
          <cell r="L529" t="str">
            <v>Thanh Tuấn</v>
          </cell>
          <cell r="M529" t="str">
            <v>Thanh Liêm</v>
          </cell>
          <cell r="N529" t="str">
            <v>Phạm Thị Thanh Thúy</v>
          </cell>
          <cell r="O529">
            <v>0</v>
          </cell>
          <cell r="P529" t="str">
            <v>Quận 3</v>
          </cell>
          <cell r="Q529" t="str">
            <v>Thanh Tuấn</v>
          </cell>
          <cell r="R529" t="str">
            <v>Thanh Liêm</v>
          </cell>
          <cell r="S529" t="str">
            <v>Phạm Thị Thanh Thúy</v>
          </cell>
          <cell r="T529">
            <v>0</v>
          </cell>
          <cell r="U529">
            <v>0</v>
          </cell>
          <cell r="V529" t="str">
            <v>PTTT 09c</v>
          </cell>
          <cell r="W529" t="str">
            <v>2 người</v>
          </cell>
          <cell r="X529" t="str">
            <v>LÊ QUANG ĐẠT</v>
          </cell>
        </row>
        <row r="530">
          <cell r="I530" t="str">
            <v>B2.26.02</v>
          </cell>
          <cell r="J530" t="str">
            <v>ĐẶNG XUÂN HOÀNG</v>
          </cell>
          <cell r="K530" t="str">
            <v>Quận 3</v>
          </cell>
          <cell r="L530" t="str">
            <v>Thanh Tuấn</v>
          </cell>
          <cell r="M530" t="str">
            <v>Anh Tài</v>
          </cell>
          <cell r="N530" t="str">
            <v>Đỗ Thị Thanh Tuyền</v>
          </cell>
          <cell r="O530">
            <v>0</v>
          </cell>
          <cell r="P530" t="str">
            <v>Quận 3</v>
          </cell>
          <cell r="Q530" t="str">
            <v>Thanh Tuấn</v>
          </cell>
          <cell r="R530" t="str">
            <v>Anh Tài</v>
          </cell>
          <cell r="S530" t="str">
            <v>Đỗ Thị Thanh Tuyền</v>
          </cell>
          <cell r="T530">
            <v>0</v>
          </cell>
          <cell r="U530">
            <v>0</v>
          </cell>
          <cell r="V530" t="str">
            <v>PTTT 09c</v>
          </cell>
          <cell r="W530" t="str">
            <v>1 người</v>
          </cell>
          <cell r="X530" t="str">
            <v>ĐẶNG XUÂN HOÀNG</v>
          </cell>
        </row>
        <row r="531">
          <cell r="I531" t="str">
            <v>B2.26.03</v>
          </cell>
          <cell r="J531" t="str">
            <v>TRẦN VŨ NGUYÊN KHÔI</v>
          </cell>
          <cell r="K531" t="str">
            <v>Bình Thạnh</v>
          </cell>
          <cell r="L531" t="str">
            <v>Ngọc Linh</v>
          </cell>
          <cell r="M531" t="str">
            <v>Phạm Vĩ</v>
          </cell>
          <cell r="N531" t="str">
            <v>Phan Thanh Liêm</v>
          </cell>
          <cell r="O531">
            <v>0</v>
          </cell>
          <cell r="P531" t="str">
            <v>Bình Thạnh</v>
          </cell>
          <cell r="Q531" t="str">
            <v>Ngọc Linh</v>
          </cell>
          <cell r="R531" t="str">
            <v>Phạm Vĩ</v>
          </cell>
          <cell r="S531" t="str">
            <v>Phan Thanh Liêm</v>
          </cell>
          <cell r="T531">
            <v>0</v>
          </cell>
          <cell r="U531">
            <v>0</v>
          </cell>
          <cell r="V531" t="str">
            <v>PTTT 09c</v>
          </cell>
          <cell r="W531" t="str">
            <v>1 người</v>
          </cell>
          <cell r="X531" t="str">
            <v>TRẦN VŨ NGUYÊN KHÔI</v>
          </cell>
        </row>
        <row r="532">
          <cell r="I532" t="str">
            <v>B2.26.04</v>
          </cell>
          <cell r="J532" t="str">
            <v>LÊ MINH TUẤN</v>
          </cell>
          <cell r="K532" t="str">
            <v>Bình Thạnh</v>
          </cell>
          <cell r="L532" t="str">
            <v>Ngọc Linh</v>
          </cell>
          <cell r="M532" t="str">
            <v>Đình Ban</v>
          </cell>
          <cell r="N532" t="str">
            <v>Lê Thị Bích Tiên</v>
          </cell>
          <cell r="O532">
            <v>0</v>
          </cell>
          <cell r="P532" t="str">
            <v>Bình Thạnh</v>
          </cell>
          <cell r="Q532" t="str">
            <v>Ngọc Linh</v>
          </cell>
          <cell r="R532" t="str">
            <v>Đình Ban</v>
          </cell>
          <cell r="S532" t="str">
            <v>Lê Thị Bích Tiên</v>
          </cell>
          <cell r="T532">
            <v>0</v>
          </cell>
          <cell r="U532">
            <v>0</v>
          </cell>
          <cell r="V532" t="str">
            <v>PTTT 09c</v>
          </cell>
          <cell r="W532" t="str">
            <v>2 người</v>
          </cell>
          <cell r="X532" t="str">
            <v>LÊ MINH TUẤN</v>
          </cell>
        </row>
        <row r="533">
          <cell r="I533" t="str">
            <v>B2.26.05</v>
          </cell>
          <cell r="J533" t="str">
            <v>LÊ CHIÊU ANH</v>
          </cell>
          <cell r="K533" t="str">
            <v>Bình Thạnh</v>
          </cell>
          <cell r="L533" t="str">
            <v>Thanh Hà</v>
          </cell>
          <cell r="M533" t="str">
            <v>Đức Đồng</v>
          </cell>
          <cell r="N533" t="str">
            <v>Nguyễn Ngọc Anh Thư</v>
          </cell>
          <cell r="O533">
            <v>0</v>
          </cell>
          <cell r="P533" t="str">
            <v>Bình Thạnh</v>
          </cell>
          <cell r="Q533" t="str">
            <v>Thanh Hà</v>
          </cell>
          <cell r="R533" t="str">
            <v>Đức Đồng</v>
          </cell>
          <cell r="S533" t="str">
            <v>Nguyễn Ngọc Anh Thư</v>
          </cell>
          <cell r="T533" t="b">
            <v>0</v>
          </cell>
          <cell r="U533">
            <v>0</v>
          </cell>
          <cell r="V533" t="str">
            <v>PTTT 09c</v>
          </cell>
          <cell r="W533" t="str">
            <v>2 người</v>
          </cell>
          <cell r="X533" t="str">
            <v>LÊ CHIÊU ANH</v>
          </cell>
        </row>
        <row r="534">
          <cell r="I534" t="str">
            <v>B2.26.06</v>
          </cell>
          <cell r="J534" t="str">
            <v>???</v>
          </cell>
          <cell r="K534" t="str">
            <v>???</v>
          </cell>
          <cell r="L534" t="str">
            <v>???</v>
          </cell>
          <cell r="M534" t="str">
            <v>???</v>
          </cell>
          <cell r="N534" t="str">
            <v>???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</row>
        <row r="535">
          <cell r="I535" t="str">
            <v>B2.26.07</v>
          </cell>
          <cell r="J535" t="str">
            <v>???</v>
          </cell>
          <cell r="K535" t="str">
            <v>???</v>
          </cell>
          <cell r="L535" t="str">
            <v>???</v>
          </cell>
          <cell r="M535" t="str">
            <v>???</v>
          </cell>
          <cell r="N535" t="str">
            <v>???</v>
          </cell>
          <cell r="O535">
            <v>0</v>
          </cell>
          <cell r="P535" t="str">
            <v>Bình Thạnh</v>
          </cell>
          <cell r="Q535" t="str">
            <v>Thanh Hà</v>
          </cell>
          <cell r="R535" t="str">
            <v>Đức Đồng</v>
          </cell>
          <cell r="S535" t="str">
            <v>Trần Thị Minh Giang</v>
          </cell>
          <cell r="T535">
            <v>0</v>
          </cell>
          <cell r="U535">
            <v>0</v>
          </cell>
          <cell r="V535" t="str">
            <v>PTTT 09d</v>
          </cell>
          <cell r="W535" t="str">
            <v>1 người</v>
          </cell>
          <cell r="X535" t="str">
            <v>PHẠM TRUNG HÂN</v>
          </cell>
        </row>
        <row r="536">
          <cell r="I536" t="str">
            <v>B2.26.08</v>
          </cell>
          <cell r="J536" t="str">
            <v>NGUYỄN ĐÌNH QUANG</v>
          </cell>
          <cell r="K536" t="str">
            <v>Bình Thạnh</v>
          </cell>
          <cell r="L536" t="str">
            <v>Ngọc Linh</v>
          </cell>
          <cell r="M536" t="str">
            <v>Đình Ban</v>
          </cell>
          <cell r="N536" t="str">
            <v>Lê Thị Bích Tiên</v>
          </cell>
          <cell r="O536">
            <v>0</v>
          </cell>
          <cell r="P536" t="str">
            <v>Bình Thạnh</v>
          </cell>
          <cell r="Q536" t="str">
            <v>Ngọc Linh</v>
          </cell>
          <cell r="R536" t="str">
            <v>Đình Ban</v>
          </cell>
          <cell r="S536" t="str">
            <v>Lê Thị Bích Tiên</v>
          </cell>
          <cell r="T536" t="b">
            <v>0</v>
          </cell>
          <cell r="U536">
            <v>0</v>
          </cell>
          <cell r="V536" t="str">
            <v>PTTT 09c</v>
          </cell>
          <cell r="W536" t="str">
            <v>1 người</v>
          </cell>
          <cell r="X536" t="str">
            <v>NGUYỄN ĐÌNH QUANG</v>
          </cell>
        </row>
        <row r="537">
          <cell r="I537" t="str">
            <v>B2.26.09</v>
          </cell>
          <cell r="J537" t="str">
            <v>ỨNG PAT MÙI</v>
          </cell>
          <cell r="K537" t="str">
            <v>Quận 3</v>
          </cell>
          <cell r="L537" t="str">
            <v>Thanh Tuấn</v>
          </cell>
          <cell r="M537" t="str">
            <v>Duy Nhật</v>
          </cell>
          <cell r="N537" t="str">
            <v>Võ Hồng Phúc</v>
          </cell>
          <cell r="O537">
            <v>0</v>
          </cell>
          <cell r="P537" t="str">
            <v>Quận 3</v>
          </cell>
          <cell r="Q537" t="str">
            <v>Thanh Tuấn</v>
          </cell>
          <cell r="R537" t="str">
            <v>Duy Nhật</v>
          </cell>
          <cell r="S537" t="str">
            <v>Võ Hồng Phúc</v>
          </cell>
          <cell r="T537">
            <v>0</v>
          </cell>
          <cell r="U537">
            <v>0</v>
          </cell>
          <cell r="V537" t="str">
            <v>PTTT 09c</v>
          </cell>
          <cell r="W537" t="str">
            <v>1 người</v>
          </cell>
          <cell r="X537" t="str">
            <v>ỪNG PAT MÙI</v>
          </cell>
        </row>
        <row r="538">
          <cell r="I538" t="str">
            <v>B2.26.16</v>
          </cell>
          <cell r="J538" t="str">
            <v>???</v>
          </cell>
          <cell r="K538" t="str">
            <v>???</v>
          </cell>
          <cell r="L538" t="str">
            <v>???</v>
          </cell>
          <cell r="M538" t="str">
            <v>???</v>
          </cell>
          <cell r="N538" t="str">
            <v>???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</row>
        <row r="539">
          <cell r="I539" t="str">
            <v>B2.26.20</v>
          </cell>
          <cell r="J539" t="str">
            <v>VƯƠNG THÀNH ĐẠT</v>
          </cell>
          <cell r="K539" t="str">
            <v>Quận 3</v>
          </cell>
          <cell r="L539" t="str">
            <v>Thanh Tuấn</v>
          </cell>
          <cell r="M539" t="str">
            <v>Anh Tài</v>
          </cell>
          <cell r="N539" t="str">
            <v>Nguyễn Văn Toàn</v>
          </cell>
          <cell r="O539">
            <v>0</v>
          </cell>
          <cell r="P539" t="str">
            <v>Quận 3</v>
          </cell>
          <cell r="Q539" t="str">
            <v>Thanh Tuấn</v>
          </cell>
          <cell r="R539" t="str">
            <v>Anh Tài</v>
          </cell>
          <cell r="S539" t="str">
            <v>Nguyễn Văn Toàn</v>
          </cell>
          <cell r="T539">
            <v>0</v>
          </cell>
          <cell r="U539">
            <v>0</v>
          </cell>
          <cell r="V539" t="str">
            <v>PTTT 09c</v>
          </cell>
          <cell r="W539" t="str">
            <v>1 người</v>
          </cell>
          <cell r="X539" t="str">
            <v>VƯƠNG THÀNH ĐẠT</v>
          </cell>
        </row>
        <row r="540">
          <cell r="I540" t="str">
            <v>B2.26.21</v>
          </cell>
          <cell r="J540" t="str">
            <v>ĐINH HỒNG NGUYÊN</v>
          </cell>
          <cell r="K540" t="str">
            <v>Bình Thạnh</v>
          </cell>
          <cell r="L540" t="str">
            <v>Thanh Hà</v>
          </cell>
          <cell r="M540" t="str">
            <v>Đức Đồng</v>
          </cell>
          <cell r="N540" t="str">
            <v>Trần Thị Minh Giang</v>
          </cell>
          <cell r="O540">
            <v>0</v>
          </cell>
          <cell r="P540" t="str">
            <v>Bình Thạnh</v>
          </cell>
          <cell r="Q540" t="str">
            <v>Thanh Hà</v>
          </cell>
          <cell r="R540" t="str">
            <v>Đức Đồng</v>
          </cell>
          <cell r="S540">
            <v>0</v>
          </cell>
          <cell r="T540">
            <v>0</v>
          </cell>
          <cell r="U540">
            <v>0</v>
          </cell>
          <cell r="V540" t="str">
            <v>PTTT 09c</v>
          </cell>
          <cell r="W540" t="str">
            <v>1 người</v>
          </cell>
          <cell r="X540" t="str">
            <v>ĐINH HỒNG NGUYÊN</v>
          </cell>
        </row>
        <row r="541">
          <cell r="I541" t="str">
            <v>B2.26.22</v>
          </cell>
          <cell r="J541" t="str">
            <v>ĐỖ NGUYỄN KIM HÒA</v>
          </cell>
          <cell r="K541" t="str">
            <v>Quận 3</v>
          </cell>
          <cell r="L541" t="str">
            <v>Thanh Tuấn</v>
          </cell>
          <cell r="M541" t="str">
            <v>Thanh Liêm</v>
          </cell>
          <cell r="N541" t="str">
            <v>Trần Quốc Việt</v>
          </cell>
          <cell r="O541">
            <v>0</v>
          </cell>
          <cell r="P541" t="str">
            <v>Quận 3</v>
          </cell>
          <cell r="Q541" t="str">
            <v>Thanh Tuấn</v>
          </cell>
          <cell r="R541" t="str">
            <v>Thanh Liêm</v>
          </cell>
          <cell r="S541" t="str">
            <v>Trần Quốc Việt</v>
          </cell>
          <cell r="T541">
            <v>0</v>
          </cell>
          <cell r="U541">
            <v>0</v>
          </cell>
          <cell r="V541" t="str">
            <v>PTTT 09c</v>
          </cell>
          <cell r="W541" t="str">
            <v>1 người</v>
          </cell>
          <cell r="X541" t="str">
            <v>ĐỖ NGUYỄN KIM HÒA</v>
          </cell>
        </row>
      </sheetData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VnTools-Excel"/>
    </sheetNames>
    <definedNames>
      <definedName name="vnd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37"/>
  <sheetViews>
    <sheetView tabSelected="1" view="pageBreakPreview" topLeftCell="B19" zoomScale="80" zoomScaleNormal="80" zoomScaleSheetLayoutView="80" workbookViewId="0">
      <selection activeCell="K28" sqref="K28"/>
    </sheetView>
  </sheetViews>
  <sheetFormatPr defaultColWidth="9.1796875" defaultRowHeight="15.5"/>
  <cols>
    <col min="1" max="1" width="13.26953125" style="3" customWidth="1"/>
    <col min="2" max="2" width="16.7265625" style="2" customWidth="1"/>
    <col min="3" max="3" width="14.54296875" style="20" customWidth="1"/>
    <col min="4" max="4" width="14.54296875" style="6" customWidth="1"/>
    <col min="5" max="5" width="20.54296875" style="4" customWidth="1"/>
    <col min="6" max="6" width="9.81640625" style="18" customWidth="1"/>
    <col min="7" max="7" width="19.81640625" style="4" customWidth="1"/>
    <col min="8" max="8" width="15.1796875" style="4" customWidth="1"/>
    <col min="9" max="9" width="19.26953125" style="4" customWidth="1"/>
    <col min="10" max="10" width="21.453125" style="4" customWidth="1"/>
    <col min="11" max="11" width="21.54296875" style="4" customWidth="1"/>
    <col min="12" max="12" width="25.7265625" style="4" customWidth="1"/>
    <col min="13" max="14" width="12.54296875" style="4" customWidth="1"/>
    <col min="15" max="15" width="18.1796875" customWidth="1"/>
    <col min="16" max="16" width="15.453125" customWidth="1"/>
  </cols>
  <sheetData>
    <row r="1" spans="1:20" ht="17">
      <c r="A1" s="108" t="s">
        <v>313</v>
      </c>
      <c r="B1" s="108"/>
      <c r="C1" s="108"/>
      <c r="D1" s="108"/>
      <c r="E1" s="108"/>
      <c r="F1" s="89"/>
      <c r="G1" s="89"/>
      <c r="H1" s="109"/>
      <c r="I1" s="40"/>
      <c r="J1" s="31" t="s">
        <v>9</v>
      </c>
      <c r="K1" s="31"/>
      <c r="L1" s="31"/>
      <c r="M1" s="31"/>
      <c r="N1" s="31"/>
    </row>
    <row r="2" spans="1:20" ht="20.25" customHeight="1">
      <c r="A2" s="108" t="s">
        <v>314</v>
      </c>
      <c r="B2" s="108"/>
      <c r="C2" s="108"/>
      <c r="D2" s="108"/>
      <c r="E2" s="108"/>
      <c r="F2" s="89"/>
      <c r="G2" s="89"/>
      <c r="H2" s="109"/>
      <c r="I2" s="40"/>
      <c r="J2" s="31" t="s">
        <v>10</v>
      </c>
      <c r="K2" s="31"/>
      <c r="L2" s="31"/>
      <c r="M2" s="31"/>
      <c r="N2" s="31"/>
    </row>
    <row r="3" spans="1:20">
      <c r="A3" s="110"/>
      <c r="B3" s="110"/>
      <c r="C3" s="111"/>
      <c r="D3" s="25"/>
      <c r="E3" s="25"/>
      <c r="F3" s="16"/>
      <c r="K3" s="6"/>
      <c r="L3" s="3"/>
      <c r="M3"/>
      <c r="N3"/>
    </row>
    <row r="4" spans="1:20" ht="44.25" customHeight="1">
      <c r="A4" s="124" t="s">
        <v>327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03"/>
      <c r="N4" s="103"/>
      <c r="O4" s="103"/>
      <c r="P4" s="103"/>
      <c r="Q4" s="103"/>
      <c r="R4" s="103"/>
      <c r="S4" s="103"/>
      <c r="T4" s="103"/>
    </row>
    <row r="5" spans="1:20" ht="42" customHeight="1">
      <c r="A5" s="126" t="s">
        <v>315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18"/>
      <c r="N5" s="118"/>
      <c r="O5" s="118"/>
      <c r="P5" s="118"/>
      <c r="Q5" s="118"/>
      <c r="R5" s="118"/>
    </row>
    <row r="6" spans="1:20" ht="16.5" customHeight="1">
      <c r="A6"/>
      <c r="B6"/>
      <c r="C6"/>
      <c r="D6"/>
      <c r="E6"/>
      <c r="F6"/>
      <c r="G6"/>
      <c r="H6"/>
      <c r="I6"/>
      <c r="J6"/>
      <c r="K6"/>
      <c r="L6"/>
      <c r="M6"/>
      <c r="N6"/>
    </row>
    <row r="7" spans="1:20" ht="16.5">
      <c r="A7" s="91" t="s">
        <v>328</v>
      </c>
      <c r="B7" s="49"/>
      <c r="D7" s="4"/>
      <c r="F7" s="4"/>
      <c r="N7" s="3"/>
    </row>
    <row r="8" spans="1:20" ht="9.75" customHeight="1">
      <c r="B8" s="49"/>
      <c r="D8" s="4"/>
      <c r="F8" s="4"/>
      <c r="I8" s="4" t="s">
        <v>316</v>
      </c>
      <c r="N8" s="3"/>
      <c r="S8" s="101"/>
      <c r="T8" s="102"/>
    </row>
    <row r="9" spans="1:20">
      <c r="A9" s="2" t="s">
        <v>317</v>
      </c>
      <c r="B9" s="50"/>
      <c r="C9" s="15"/>
      <c r="D9" s="22"/>
      <c r="E9" s="23"/>
      <c r="F9" s="51"/>
      <c r="G9" s="23"/>
      <c r="H9" s="23"/>
      <c r="I9" s="23"/>
      <c r="J9" s="23"/>
      <c r="K9" s="23"/>
      <c r="L9" s="23"/>
      <c r="M9" s="23"/>
      <c r="N9" s="3"/>
      <c r="S9" s="101"/>
      <c r="T9" s="102"/>
    </row>
    <row r="10" spans="1:20">
      <c r="A10" s="48" t="s">
        <v>32</v>
      </c>
      <c r="B10" s="49" t="s">
        <v>295</v>
      </c>
      <c r="C10" s="75"/>
      <c r="D10" s="23"/>
      <c r="E10" s="52"/>
      <c r="F10" s="24"/>
      <c r="G10" s="23"/>
      <c r="H10" s="23"/>
      <c r="I10" s="23"/>
      <c r="J10" s="23"/>
      <c r="K10" s="23"/>
      <c r="L10" s="23"/>
      <c r="M10" s="23"/>
      <c r="N10" s="3"/>
    </row>
    <row r="11" spans="1:20">
      <c r="A11" s="48" t="s">
        <v>33</v>
      </c>
      <c r="B11" s="50" t="s">
        <v>318</v>
      </c>
      <c r="C11" s="75"/>
      <c r="D11" s="23"/>
      <c r="E11" s="23"/>
      <c r="F11" s="23" t="s">
        <v>40</v>
      </c>
      <c r="G11" s="72" t="s">
        <v>46</v>
      </c>
      <c r="H11" s="23"/>
      <c r="I11" s="24"/>
      <c r="J11" s="24"/>
      <c r="K11" s="24"/>
      <c r="L11" s="24"/>
      <c r="M11" s="24"/>
      <c r="N11" s="3"/>
    </row>
    <row r="12" spans="1:20">
      <c r="A12" s="48" t="s">
        <v>34</v>
      </c>
      <c r="B12" s="49" t="s">
        <v>319</v>
      </c>
      <c r="C12" s="75"/>
      <c r="D12" s="53"/>
      <c r="E12" s="52"/>
      <c r="F12" s="24"/>
      <c r="G12" s="23"/>
      <c r="H12" s="23"/>
      <c r="I12" s="23"/>
      <c r="J12" s="23"/>
      <c r="K12" s="23"/>
      <c r="L12" s="23"/>
      <c r="M12" s="23"/>
      <c r="N12" s="3"/>
    </row>
    <row r="13" spans="1:20">
      <c r="A13" s="54" t="s">
        <v>35</v>
      </c>
      <c r="B13" s="60" t="s">
        <v>294</v>
      </c>
      <c r="C13" s="75"/>
      <c r="D13" s="23"/>
      <c r="E13" s="52"/>
      <c r="F13" s="24"/>
      <c r="G13" s="23"/>
      <c r="H13" s="23"/>
      <c r="I13" s="23"/>
      <c r="J13" s="23"/>
      <c r="K13" s="23"/>
      <c r="L13" s="23"/>
      <c r="M13" s="23"/>
      <c r="N13" s="3"/>
    </row>
    <row r="14" spans="1:20">
      <c r="B14" s="49"/>
      <c r="D14" s="4"/>
      <c r="F14" s="4"/>
      <c r="N14" s="3"/>
    </row>
    <row r="15" spans="1:20" ht="18.75" customHeight="1">
      <c r="A15" s="2" t="s">
        <v>320</v>
      </c>
      <c r="B15" s="49"/>
      <c r="D15" s="4"/>
      <c r="F15" s="4"/>
      <c r="N15" s="3"/>
    </row>
    <row r="16" spans="1:20">
      <c r="A16" s="48" t="s">
        <v>32</v>
      </c>
      <c r="B16" s="49" t="s">
        <v>321</v>
      </c>
      <c r="C16" s="75"/>
      <c r="D16" s="23"/>
      <c r="E16" s="52"/>
      <c r="F16" s="24"/>
      <c r="G16" s="23"/>
      <c r="N16" s="3"/>
    </row>
    <row r="17" spans="1:16">
      <c r="A17" s="48" t="s">
        <v>33</v>
      </c>
      <c r="B17" s="50" t="s">
        <v>322</v>
      </c>
      <c r="C17" s="75"/>
      <c r="D17" s="23"/>
      <c r="E17" s="23"/>
      <c r="F17" s="23" t="s">
        <v>40</v>
      </c>
      <c r="G17" s="72" t="s">
        <v>46</v>
      </c>
      <c r="H17" s="23"/>
      <c r="I17" s="23"/>
      <c r="J17" s="23"/>
      <c r="K17" s="23"/>
      <c r="L17" s="23"/>
      <c r="M17" s="23"/>
      <c r="N17" s="3"/>
    </row>
    <row r="18" spans="1:16">
      <c r="A18" s="48" t="s">
        <v>34</v>
      </c>
      <c r="B18" s="112" t="s">
        <v>323</v>
      </c>
      <c r="C18" s="75"/>
      <c r="D18" s="53"/>
      <c r="E18" s="52"/>
      <c r="F18" s="24"/>
      <c r="G18" s="23"/>
      <c r="H18" s="23"/>
      <c r="I18" s="24"/>
      <c r="J18" s="24"/>
      <c r="K18" s="24"/>
      <c r="L18" s="24"/>
      <c r="M18" s="24"/>
      <c r="N18" s="3"/>
    </row>
    <row r="19" spans="1:16">
      <c r="A19" s="54" t="s">
        <v>35</v>
      </c>
      <c r="B19" s="60" t="s">
        <v>324</v>
      </c>
      <c r="C19" s="75"/>
      <c r="D19" s="23"/>
      <c r="E19" s="52"/>
      <c r="F19" s="24"/>
      <c r="G19" s="23"/>
      <c r="H19" s="23"/>
      <c r="I19" s="23"/>
      <c r="J19" s="23"/>
      <c r="K19" s="23"/>
      <c r="L19" s="23"/>
      <c r="M19" s="23"/>
      <c r="N19" s="3"/>
    </row>
    <row r="20" spans="1:16" ht="4.5" customHeight="1">
      <c r="A20" s="48"/>
      <c r="B20" s="49"/>
      <c r="D20" s="4"/>
      <c r="F20" s="4"/>
    </row>
    <row r="21" spans="1:16" ht="16.5">
      <c r="A21" s="32" t="s">
        <v>1</v>
      </c>
      <c r="B21" s="35"/>
      <c r="C21" s="77"/>
      <c r="D21" s="36"/>
      <c r="E21" s="35"/>
      <c r="F21" s="35"/>
      <c r="G21" s="36"/>
      <c r="H21" s="36"/>
      <c r="I21" s="36"/>
      <c r="J21" s="36"/>
      <c r="K21" s="36"/>
      <c r="L21" s="25"/>
      <c r="M21" s="25"/>
      <c r="N21" s="25"/>
    </row>
    <row r="22" spans="1:16" ht="12" customHeight="1">
      <c r="A22" s="32"/>
      <c r="B22" s="35"/>
      <c r="C22" s="77"/>
      <c r="D22" s="36"/>
      <c r="E22" s="35"/>
      <c r="F22" s="35"/>
      <c r="G22" s="36"/>
      <c r="H22" s="36"/>
      <c r="I22" s="36"/>
      <c r="J22" s="36"/>
      <c r="K22" s="36"/>
      <c r="L22" s="25"/>
      <c r="M22" s="125" t="s">
        <v>310</v>
      </c>
      <c r="N22" s="125"/>
      <c r="O22" s="122" t="s">
        <v>306</v>
      </c>
      <c r="P22" s="123"/>
    </row>
    <row r="23" spans="1:16" s="99" customFormat="1" ht="81" customHeight="1">
      <c r="A23" s="95" t="s">
        <v>0</v>
      </c>
      <c r="B23" s="95" t="s">
        <v>297</v>
      </c>
      <c r="C23" s="96" t="s">
        <v>11</v>
      </c>
      <c r="D23" s="97" t="s">
        <v>12</v>
      </c>
      <c r="E23" s="97" t="s">
        <v>298</v>
      </c>
      <c r="F23" s="98" t="s">
        <v>18</v>
      </c>
      <c r="G23" s="97" t="s">
        <v>300</v>
      </c>
      <c r="H23" s="97" t="s">
        <v>299</v>
      </c>
      <c r="I23" s="97" t="s">
        <v>303</v>
      </c>
      <c r="J23" s="97" t="s">
        <v>304</v>
      </c>
      <c r="K23" s="97" t="s">
        <v>305</v>
      </c>
      <c r="L23" s="97" t="s">
        <v>27</v>
      </c>
      <c r="M23" s="104" t="s">
        <v>308</v>
      </c>
      <c r="N23" s="104" t="s">
        <v>309</v>
      </c>
      <c r="O23" s="97" t="s">
        <v>301</v>
      </c>
      <c r="P23" s="97" t="s">
        <v>302</v>
      </c>
    </row>
    <row r="24" spans="1:16" s="100" customFormat="1" ht="26.25" customHeight="1">
      <c r="A24" s="7">
        <f>_xlfn.AGGREGATE(3,5,$B$24:B24)</f>
        <v>1</v>
      </c>
      <c r="B24" s="26" t="s">
        <v>311</v>
      </c>
      <c r="C24" s="73">
        <v>47.7</v>
      </c>
      <c r="D24" s="8">
        <v>54595550</v>
      </c>
      <c r="E24" s="8">
        <f t="shared" ref="E24" si="0">ROUND(C24*D24,0)</f>
        <v>2604207735</v>
      </c>
      <c r="F24" s="19">
        <v>5.5E-2</v>
      </c>
      <c r="G24" s="9">
        <f t="shared" ref="G24" si="1">+I24/1.1</f>
        <v>130210386.36363636</v>
      </c>
      <c r="H24" s="9">
        <f t="shared" ref="H24" si="2">I24-G24</f>
        <v>13021038.63636364</v>
      </c>
      <c r="I24" s="9">
        <f t="shared" ref="I24" si="3">ROUND(E24*F24,0)</f>
        <v>143231425</v>
      </c>
      <c r="J24" s="9">
        <f>ROUND(E24*3%,0)</f>
        <v>78126232</v>
      </c>
      <c r="K24" s="9">
        <f>I24-J24</f>
        <v>65105193</v>
      </c>
      <c r="L24" s="59" t="s">
        <v>329</v>
      </c>
      <c r="M24" s="58" t="s">
        <v>307</v>
      </c>
      <c r="N24" s="58" t="s">
        <v>312</v>
      </c>
      <c r="O24" s="9">
        <f t="shared" ref="O24" si="4">ROUND(K24/1.1,0)</f>
        <v>59186539</v>
      </c>
      <c r="P24" s="9">
        <f t="shared" ref="P24" si="5">O24*10%</f>
        <v>5918653.9000000004</v>
      </c>
    </row>
    <row r="25" spans="1:16" ht="25" customHeight="1">
      <c r="A25" s="119" t="s">
        <v>292</v>
      </c>
      <c r="B25" s="120"/>
      <c r="C25" s="120"/>
      <c r="D25" s="120"/>
      <c r="E25" s="105">
        <f>SUBTOTAL(9,E24:E24)</f>
        <v>2604207735</v>
      </c>
      <c r="F25" s="105"/>
      <c r="G25" s="105">
        <f t="shared" ref="G25:P25" si="6">SUBTOTAL(9,G24:G24)</f>
        <v>130210386.36363636</v>
      </c>
      <c r="H25" s="105">
        <f t="shared" si="6"/>
        <v>13021038.63636364</v>
      </c>
      <c r="I25" s="105">
        <f t="shared" si="6"/>
        <v>143231425</v>
      </c>
      <c r="J25" s="105">
        <f t="shared" si="6"/>
        <v>78126232</v>
      </c>
      <c r="K25" s="105">
        <f t="shared" si="6"/>
        <v>65105193</v>
      </c>
      <c r="L25" s="105">
        <f t="shared" si="6"/>
        <v>0</v>
      </c>
      <c r="M25" s="105">
        <f t="shared" si="6"/>
        <v>0</v>
      </c>
      <c r="N25" s="105">
        <f t="shared" si="6"/>
        <v>0</v>
      </c>
      <c r="O25" s="105">
        <f t="shared" si="6"/>
        <v>59186539</v>
      </c>
      <c r="P25" s="105">
        <f t="shared" si="6"/>
        <v>5918653.9000000004</v>
      </c>
    </row>
    <row r="26" spans="1:16" ht="23.25" customHeight="1">
      <c r="A26" s="34" t="s">
        <v>4</v>
      </c>
      <c r="B26" s="33"/>
      <c r="C26" s="37"/>
      <c r="D26" s="31"/>
      <c r="E26" s="31"/>
      <c r="F26" s="38"/>
      <c r="G26" s="31"/>
      <c r="H26" s="10"/>
      <c r="I26" s="1"/>
      <c r="J26" s="1"/>
      <c r="K26" s="1"/>
      <c r="L26" s="1"/>
      <c r="M26" s="1"/>
      <c r="N26" s="1"/>
      <c r="O26" s="107">
        <f>ROUND(K25/1.1,0)</f>
        <v>59186539</v>
      </c>
    </row>
    <row r="27" spans="1:16" s="90" customFormat="1" ht="21.75" customHeight="1">
      <c r="A27" s="39" t="s">
        <v>7</v>
      </c>
      <c r="B27" s="32"/>
      <c r="C27" s="37"/>
      <c r="D27" s="40"/>
      <c r="E27" s="106">
        <f>K25</f>
        <v>65105193</v>
      </c>
      <c r="F27" s="40" t="s">
        <v>47</v>
      </c>
      <c r="G27" s="42"/>
      <c r="H27" s="42"/>
      <c r="I27" s="92"/>
      <c r="J27" s="92"/>
      <c r="K27" s="92"/>
      <c r="L27" s="93"/>
      <c r="M27" s="93"/>
      <c r="N27" s="93"/>
    </row>
    <row r="28" spans="1:16" s="90" customFormat="1" ht="21.75" customHeight="1">
      <c r="A28" s="39" t="s">
        <v>13</v>
      </c>
      <c r="B28" s="32"/>
      <c r="C28" s="94" t="s">
        <v>330</v>
      </c>
      <c r="D28" s="94"/>
      <c r="E28" s="40"/>
      <c r="F28" s="41"/>
      <c r="G28" s="42"/>
      <c r="H28" s="42"/>
      <c r="I28" s="92"/>
      <c r="J28" s="92"/>
      <c r="K28" s="92"/>
      <c r="L28" s="93"/>
      <c r="M28" s="93"/>
      <c r="N28" s="93"/>
    </row>
    <row r="29" spans="1:16" ht="16.5">
      <c r="A29" s="32" t="s">
        <v>14</v>
      </c>
      <c r="B29" s="32"/>
      <c r="C29" s="37"/>
      <c r="D29" s="40"/>
      <c r="E29" s="40"/>
      <c r="F29" s="43"/>
      <c r="G29" s="40"/>
      <c r="H29" s="22"/>
      <c r="I29" s="13"/>
      <c r="J29" s="13"/>
      <c r="K29" s="13"/>
      <c r="L29" s="13"/>
      <c r="M29" s="13"/>
      <c r="N29" s="13"/>
    </row>
    <row r="30" spans="1:16" s="62" customFormat="1" ht="21.75" customHeight="1">
      <c r="A30"/>
      <c r="B30" s="121" t="s">
        <v>8</v>
      </c>
      <c r="C30" s="121"/>
      <c r="D30" s="121"/>
      <c r="E30" s="121"/>
      <c r="F30" s="121"/>
      <c r="G30" s="121"/>
      <c r="H30" s="4"/>
      <c r="I30" s="121" t="s">
        <v>325</v>
      </c>
      <c r="J30" s="121"/>
      <c r="K30" s="121"/>
      <c r="L30" s="121"/>
      <c r="M30" s="15"/>
      <c r="N30" s="15"/>
    </row>
    <row r="31" spans="1:16" s="62" customFormat="1" ht="20.25" customHeight="1">
      <c r="A31"/>
      <c r="B31" s="130" t="s">
        <v>293</v>
      </c>
      <c r="C31" s="130"/>
      <c r="D31" s="130"/>
      <c r="E31" s="130"/>
      <c r="F31" s="130"/>
      <c r="G31" s="130"/>
      <c r="H31" s="4"/>
      <c r="I31" s="128" t="s">
        <v>313</v>
      </c>
      <c r="J31" s="128"/>
      <c r="K31" s="128"/>
      <c r="L31" s="128"/>
      <c r="M31" s="114"/>
      <c r="N31" s="114"/>
    </row>
    <row r="32" spans="1:16" s="62" customFormat="1" ht="18">
      <c r="A32"/>
      <c r="B32" s="131"/>
      <c r="C32" s="131"/>
      <c r="D32" s="131"/>
      <c r="E32" s="131"/>
      <c r="F32" s="131"/>
      <c r="G32" s="131"/>
      <c r="H32" s="4"/>
      <c r="I32" s="116"/>
      <c r="J32" s="116"/>
      <c r="K32" s="116"/>
      <c r="L32" s="116"/>
      <c r="M32" s="116"/>
      <c r="N32" s="116"/>
    </row>
    <row r="33" spans="1:14" s="62" customFormat="1" ht="18">
      <c r="A33"/>
      <c r="B33" s="3"/>
      <c r="C33" s="117"/>
      <c r="D33" s="20"/>
      <c r="E33" s="4"/>
      <c r="F33" s="4"/>
      <c r="G33" s="18"/>
      <c r="H33" s="4"/>
      <c r="I33" s="115"/>
      <c r="J33" s="3"/>
      <c r="K33" s="3"/>
      <c r="L33" s="3"/>
      <c r="M33" s="3"/>
      <c r="N33" s="113"/>
    </row>
    <row r="34" spans="1:14" s="62" customFormat="1" ht="18">
      <c r="A34"/>
      <c r="B34" s="3"/>
      <c r="C34" s="117"/>
      <c r="D34" s="20"/>
      <c r="E34" s="4"/>
      <c r="F34" s="4"/>
      <c r="G34" s="18"/>
      <c r="H34" s="4"/>
      <c r="I34" s="115"/>
      <c r="J34" s="3"/>
      <c r="K34" s="3"/>
      <c r="L34" s="3"/>
      <c r="M34" s="3"/>
      <c r="N34" s="113"/>
    </row>
    <row r="35" spans="1:14" s="62" customFormat="1" ht="18">
      <c r="A35"/>
      <c r="B35" s="3"/>
      <c r="C35" s="117"/>
      <c r="D35" s="20"/>
      <c r="E35" s="4"/>
      <c r="F35" s="4"/>
      <c r="G35" s="18"/>
      <c r="H35" s="4"/>
      <c r="I35" s="115"/>
      <c r="J35" s="3"/>
      <c r="K35" s="3"/>
      <c r="L35" s="3"/>
      <c r="M35" s="3"/>
      <c r="N35" s="113"/>
    </row>
    <row r="36" spans="1:14" s="62" customFormat="1" ht="18">
      <c r="A36"/>
      <c r="B36" s="2"/>
      <c r="C36" s="129" t="s">
        <v>296</v>
      </c>
      <c r="D36" s="129"/>
      <c r="E36" s="129"/>
      <c r="F36" s="129"/>
      <c r="G36" s="17"/>
      <c r="H36" s="4"/>
      <c r="I36" s="127" t="s">
        <v>326</v>
      </c>
      <c r="J36" s="127"/>
      <c r="K36" s="127"/>
      <c r="L36" s="127"/>
      <c r="M36" s="3"/>
      <c r="N36" s="113"/>
    </row>
    <row r="37" spans="1:14">
      <c r="B37" s="127"/>
      <c r="C37" s="127"/>
      <c r="D37" s="127"/>
      <c r="E37" s="127"/>
      <c r="F37" s="127"/>
      <c r="G37" s="127"/>
      <c r="I37" s="22"/>
      <c r="J37" s="22"/>
      <c r="K37" s="22"/>
      <c r="L37" s="22"/>
      <c r="M37" s="22"/>
      <c r="N37" s="22"/>
    </row>
  </sheetData>
  <autoFilter ref="A23:N26" xr:uid="{00000000-0009-0000-0000-000000000000}"/>
  <mergeCells count="13">
    <mergeCell ref="B37:G37"/>
    <mergeCell ref="I30:L30"/>
    <mergeCell ref="I31:L31"/>
    <mergeCell ref="I36:L36"/>
    <mergeCell ref="C36:F36"/>
    <mergeCell ref="B31:G31"/>
    <mergeCell ref="B32:G32"/>
    <mergeCell ref="A25:D25"/>
    <mergeCell ref="B30:G30"/>
    <mergeCell ref="O22:P22"/>
    <mergeCell ref="A4:L4"/>
    <mergeCell ref="M22:N22"/>
    <mergeCell ref="A5:L5"/>
  </mergeCells>
  <conditionalFormatting sqref="B1:B2">
    <cfRule type="duplicateValues" dxfId="341" priority="220"/>
  </conditionalFormatting>
  <conditionalFormatting sqref="B3">
    <cfRule type="duplicateValues" dxfId="340" priority="192"/>
  </conditionalFormatting>
  <conditionalFormatting sqref="B7:B8">
    <cfRule type="duplicateValues" dxfId="339" priority="213"/>
    <cfRule type="duplicateValues" dxfId="338" priority="19070"/>
    <cfRule type="duplicateValues" dxfId="337" priority="228"/>
    <cfRule type="duplicateValues" dxfId="336" priority="209"/>
    <cfRule type="duplicateValues" dxfId="335" priority="224"/>
    <cfRule type="duplicateValues" dxfId="334" priority="223"/>
    <cfRule type="duplicateValues" dxfId="333" priority="222"/>
    <cfRule type="duplicateValues" dxfId="332" priority="221"/>
    <cfRule type="duplicateValues" dxfId="331" priority="219"/>
    <cfRule type="duplicateValues" dxfId="330" priority="218"/>
    <cfRule type="duplicateValues" dxfId="329" priority="217"/>
    <cfRule type="duplicateValues" dxfId="328" priority="216"/>
    <cfRule type="duplicateValues" dxfId="327" priority="215"/>
    <cfRule type="duplicateValues" dxfId="326" priority="214"/>
    <cfRule type="duplicateValues" dxfId="325" priority="227"/>
    <cfRule type="duplicateValues" dxfId="324" priority="212"/>
    <cfRule type="duplicateValues" dxfId="323" priority="211"/>
    <cfRule type="duplicateValues" dxfId="322" priority="210"/>
    <cfRule type="duplicateValues" dxfId="321" priority="226"/>
    <cfRule type="duplicateValues" dxfId="320" priority="208"/>
    <cfRule type="duplicateValues" dxfId="319" priority="207"/>
    <cfRule type="duplicateValues" dxfId="318" priority="206"/>
    <cfRule type="duplicateValues" dxfId="317" priority="205"/>
    <cfRule type="duplicateValues" dxfId="316" priority="204"/>
    <cfRule type="duplicateValues" dxfId="315" priority="225"/>
  </conditionalFormatting>
  <conditionalFormatting sqref="B9 B13">
    <cfRule type="duplicateValues" dxfId="314" priority="172"/>
    <cfRule type="duplicateValues" dxfId="313" priority="173"/>
    <cfRule type="duplicateValues" dxfId="312" priority="158"/>
    <cfRule type="duplicateValues" dxfId="311" priority="174"/>
    <cfRule type="duplicateValues" dxfId="310" priority="175"/>
    <cfRule type="duplicateValues" dxfId="309" priority="176"/>
    <cfRule type="duplicateValues" dxfId="308" priority="178"/>
    <cfRule type="duplicateValues" dxfId="307" priority="177"/>
    <cfRule type="duplicateValues" dxfId="306" priority="169"/>
    <cfRule type="duplicateValues" dxfId="305" priority="170"/>
    <cfRule type="duplicateValues" dxfId="304" priority="171"/>
  </conditionalFormatting>
  <conditionalFormatting sqref="B9">
    <cfRule type="duplicateValues" dxfId="303" priority="160"/>
    <cfRule type="duplicateValues" dxfId="302" priority="162"/>
    <cfRule type="duplicateValues" dxfId="301" priority="163"/>
    <cfRule type="duplicateValues" dxfId="300" priority="159"/>
    <cfRule type="duplicateValues" dxfId="299" priority="161"/>
    <cfRule type="duplicateValues" dxfId="298" priority="19067"/>
  </conditionalFormatting>
  <conditionalFormatting sqref="B10 B12">
    <cfRule type="duplicateValues" dxfId="297" priority="147"/>
  </conditionalFormatting>
  <conditionalFormatting sqref="B10:B12">
    <cfRule type="duplicateValues" dxfId="296" priority="127"/>
    <cfRule type="duplicateValues" dxfId="295" priority="128"/>
    <cfRule type="duplicateValues" dxfId="294" priority="130"/>
    <cfRule type="duplicateValues" dxfId="293" priority="146"/>
    <cfRule type="duplicateValues" dxfId="292" priority="145"/>
    <cfRule type="duplicateValues" dxfId="291" priority="140"/>
    <cfRule type="duplicateValues" dxfId="290" priority="139"/>
    <cfRule type="duplicateValues" dxfId="289" priority="138"/>
    <cfRule type="duplicateValues" dxfId="288" priority="142"/>
    <cfRule type="duplicateValues" dxfId="287" priority="132"/>
    <cfRule type="duplicateValues" dxfId="286" priority="131"/>
    <cfRule type="duplicateValues" dxfId="285" priority="141"/>
    <cfRule type="duplicateValues" dxfId="284" priority="143"/>
    <cfRule type="duplicateValues" dxfId="283" priority="129"/>
    <cfRule type="duplicateValues" dxfId="282" priority="144"/>
    <cfRule type="duplicateValues" dxfId="281" priority="19068"/>
  </conditionalFormatting>
  <conditionalFormatting sqref="B11">
    <cfRule type="duplicateValues" dxfId="280" priority="120"/>
    <cfRule type="duplicateValues" dxfId="279" priority="121"/>
    <cfRule type="duplicateValues" dxfId="278" priority="122"/>
  </conditionalFormatting>
  <conditionalFormatting sqref="B13 B9">
    <cfRule type="duplicateValues" dxfId="277" priority="164"/>
    <cfRule type="duplicateValues" dxfId="276" priority="165"/>
    <cfRule type="duplicateValues" dxfId="275" priority="166"/>
  </conditionalFormatting>
  <conditionalFormatting sqref="B13">
    <cfRule type="duplicateValues" dxfId="274" priority="167"/>
    <cfRule type="duplicateValues" dxfId="273" priority="168"/>
  </conditionalFormatting>
  <conditionalFormatting sqref="B14">
    <cfRule type="duplicateValues" dxfId="272" priority="180"/>
    <cfRule type="duplicateValues" dxfId="271" priority="181"/>
    <cfRule type="duplicateValues" dxfId="270" priority="182"/>
    <cfRule type="duplicateValues" dxfId="269" priority="183"/>
    <cfRule type="duplicateValues" dxfId="268" priority="203"/>
    <cfRule type="duplicateValues" dxfId="267" priority="202"/>
    <cfRule type="duplicateValues" dxfId="266" priority="201"/>
    <cfRule type="duplicateValues" dxfId="265" priority="200"/>
    <cfRule type="duplicateValues" dxfId="264" priority="199"/>
    <cfRule type="duplicateValues" dxfId="263" priority="197"/>
    <cfRule type="duplicateValues" dxfId="262" priority="196"/>
    <cfRule type="duplicateValues" dxfId="261" priority="195"/>
    <cfRule type="duplicateValues" dxfId="260" priority="194"/>
    <cfRule type="duplicateValues" dxfId="259" priority="193"/>
    <cfRule type="duplicateValues" dxfId="258" priority="191"/>
    <cfRule type="duplicateValues" dxfId="257" priority="190"/>
    <cfRule type="duplicateValues" dxfId="256" priority="189"/>
    <cfRule type="duplicateValues" dxfId="255" priority="188"/>
    <cfRule type="duplicateValues" dxfId="254" priority="187"/>
    <cfRule type="duplicateValues" dxfId="253" priority="186"/>
    <cfRule type="duplicateValues" dxfId="252" priority="185"/>
    <cfRule type="duplicateValues" dxfId="251" priority="184"/>
    <cfRule type="duplicateValues" dxfId="250" priority="19069"/>
    <cfRule type="duplicateValues" dxfId="249" priority="198"/>
    <cfRule type="duplicateValues" dxfId="248" priority="179"/>
  </conditionalFormatting>
  <conditionalFormatting sqref="B15:B19">
    <cfRule type="duplicateValues" dxfId="247" priority="70"/>
    <cfRule type="duplicateValues" dxfId="246" priority="78"/>
    <cfRule type="duplicateValues" dxfId="245" priority="77"/>
    <cfRule type="duplicateValues" dxfId="244" priority="76"/>
    <cfRule type="duplicateValues" dxfId="243" priority="75"/>
    <cfRule type="duplicateValues" dxfId="242" priority="74"/>
    <cfRule type="duplicateValues" dxfId="241" priority="73"/>
    <cfRule type="duplicateValues" dxfId="240" priority="72"/>
    <cfRule type="duplicateValues" dxfId="239" priority="71"/>
  </conditionalFormatting>
  <conditionalFormatting sqref="B17">
    <cfRule type="duplicateValues" dxfId="238" priority="63"/>
  </conditionalFormatting>
  <conditionalFormatting sqref="B18:B19 B15:B16">
    <cfRule type="duplicateValues" dxfId="237" priority="64"/>
    <cfRule type="duplicateValues" dxfId="236" priority="68"/>
    <cfRule type="duplicateValues" dxfId="235" priority="67"/>
    <cfRule type="duplicateValues" dxfId="234" priority="65"/>
    <cfRule type="duplicateValues" dxfId="233" priority="66"/>
  </conditionalFormatting>
  <conditionalFormatting sqref="B20">
    <cfRule type="duplicateValues" dxfId="232" priority="18498"/>
    <cfRule type="duplicateValues" dxfId="231" priority="18499"/>
    <cfRule type="duplicateValues" dxfId="230" priority="18500"/>
    <cfRule type="duplicateValues" dxfId="229" priority="18501"/>
    <cfRule type="duplicateValues" dxfId="228" priority="18502"/>
    <cfRule type="duplicateValues" dxfId="227" priority="18490"/>
    <cfRule type="duplicateValues" dxfId="226" priority="18489"/>
    <cfRule type="duplicateValues" dxfId="225" priority="18491"/>
    <cfRule type="duplicateValues" dxfId="224" priority="18492"/>
    <cfRule type="duplicateValues" dxfId="223" priority="18493"/>
    <cfRule type="duplicateValues" dxfId="222" priority="18494"/>
    <cfRule type="duplicateValues" dxfId="221" priority="18495"/>
    <cfRule type="duplicateValues" dxfId="220" priority="18496"/>
    <cfRule type="duplicateValues" dxfId="219" priority="18497"/>
  </conditionalFormatting>
  <conditionalFormatting sqref="B20:B29 B38:B1048576">
    <cfRule type="duplicateValues" dxfId="218" priority="294"/>
    <cfRule type="duplicateValues" dxfId="217" priority="295"/>
    <cfRule type="duplicateValues" dxfId="216" priority="296"/>
    <cfRule type="duplicateValues" dxfId="215" priority="297"/>
    <cfRule type="duplicateValues" dxfId="214" priority="298"/>
  </conditionalFormatting>
  <conditionalFormatting sqref="B21:B22">
    <cfRule type="duplicateValues" dxfId="213" priority="463"/>
    <cfRule type="duplicateValues" dxfId="212" priority="462"/>
    <cfRule type="duplicateValues" dxfId="211" priority="460"/>
    <cfRule type="duplicateValues" dxfId="210" priority="455"/>
    <cfRule type="duplicateValues" dxfId="209" priority="454"/>
    <cfRule type="duplicateValues" dxfId="208" priority="461"/>
  </conditionalFormatting>
  <conditionalFormatting sqref="B24">
    <cfRule type="duplicateValues" dxfId="207" priority="19066"/>
  </conditionalFormatting>
  <conditionalFormatting sqref="B30 C33:C36">
    <cfRule type="duplicateValues" dxfId="206" priority="1"/>
    <cfRule type="duplicateValues" dxfId="205" priority="2"/>
    <cfRule type="duplicateValues" dxfId="204" priority="3"/>
    <cfRule type="duplicateValues" dxfId="203" priority="4"/>
    <cfRule type="duplicateValues" dxfId="202" priority="5"/>
  </conditionalFormatting>
  <conditionalFormatting sqref="B38:B1048576 B20:B29">
    <cfRule type="duplicateValues" dxfId="201" priority="343"/>
    <cfRule type="duplicateValues" dxfId="200" priority="420"/>
    <cfRule type="duplicateValues" dxfId="199" priority="514"/>
    <cfRule type="duplicateValues" dxfId="198" priority="344"/>
    <cfRule type="duplicateValues" dxfId="197" priority="421"/>
  </conditionalFormatting>
  <conditionalFormatting sqref="B38:B1048576 B23">
    <cfRule type="duplicateValues" dxfId="196" priority="16005"/>
  </conditionalFormatting>
  <conditionalFormatting sqref="B38:B1048576 B26:B29 B20:B24">
    <cfRule type="duplicateValues" dxfId="195" priority="422"/>
  </conditionalFormatting>
  <conditionalFormatting sqref="B38:B1048576 B26:B29 B21:B24">
    <cfRule type="duplicateValues" dxfId="194" priority="16013"/>
    <cfRule type="duplicateValues" dxfId="193" priority="16014"/>
    <cfRule type="duplicateValues" dxfId="192" priority="15970"/>
    <cfRule type="duplicateValues" dxfId="191" priority="16015"/>
    <cfRule type="duplicateValues" dxfId="190" priority="15971"/>
    <cfRule type="duplicateValues" dxfId="189" priority="15972"/>
    <cfRule type="duplicateValues" dxfId="188" priority="15973"/>
    <cfRule type="duplicateValues" dxfId="187" priority="15974"/>
  </conditionalFormatting>
  <conditionalFormatting sqref="B38:B1048576 B26:B29 B23">
    <cfRule type="duplicateValues" dxfId="186" priority="16041"/>
    <cfRule type="duplicateValues" dxfId="185" priority="16039"/>
    <cfRule type="duplicateValues" dxfId="184" priority="16038"/>
    <cfRule type="duplicateValues" dxfId="183" priority="16037"/>
    <cfRule type="duplicateValues" dxfId="182" priority="16008"/>
    <cfRule type="duplicateValues" dxfId="181" priority="16036"/>
    <cfRule type="duplicateValues" dxfId="180" priority="16035"/>
    <cfRule type="duplicateValues" dxfId="179" priority="16034"/>
    <cfRule type="duplicateValues" dxfId="178" priority="16040"/>
  </conditionalFormatting>
  <conditionalFormatting sqref="B38:B1048576 B26:B29">
    <cfRule type="duplicateValues" dxfId="177" priority="16075"/>
    <cfRule type="duplicateValues" dxfId="176" priority="16074"/>
    <cfRule type="duplicateValues" dxfId="175" priority="16076"/>
    <cfRule type="duplicateValues" dxfId="174" priority="16077"/>
    <cfRule type="duplicateValues" dxfId="173" priority="16078"/>
  </conditionalFormatting>
  <conditionalFormatting sqref="B38:B1048576">
    <cfRule type="duplicateValues" dxfId="172" priority="16089"/>
  </conditionalFormatting>
  <conditionalFormatting sqref="C33:C35">
    <cfRule type="duplicateValues" dxfId="171" priority="37"/>
    <cfRule type="duplicateValues" dxfId="170" priority="36"/>
    <cfRule type="duplicateValues" dxfId="169" priority="35"/>
    <cfRule type="duplicateValues" dxfId="168" priority="34"/>
    <cfRule type="duplicateValues" dxfId="167" priority="33"/>
    <cfRule type="duplicateValues" dxfId="166" priority="46"/>
    <cfRule type="duplicateValues" dxfId="165" priority="45"/>
    <cfRule type="duplicateValues" dxfId="164" priority="44"/>
    <cfRule type="duplicateValues" dxfId="163" priority="43"/>
    <cfRule type="duplicateValues" dxfId="162" priority="42"/>
    <cfRule type="duplicateValues" dxfId="161" priority="38"/>
  </conditionalFormatting>
  <conditionalFormatting sqref="C33:C36">
    <cfRule type="duplicateValues" dxfId="160" priority="6"/>
    <cfRule type="duplicateValues" dxfId="159" priority="7"/>
    <cfRule type="duplicateValues" dxfId="158" priority="8"/>
    <cfRule type="duplicateValues" dxfId="157" priority="9"/>
    <cfRule type="duplicateValues" dxfId="156" priority="10"/>
    <cfRule type="duplicateValues" dxfId="155" priority="11"/>
    <cfRule type="duplicateValues" dxfId="154" priority="32"/>
    <cfRule type="duplicateValues" dxfId="153" priority="12"/>
    <cfRule type="duplicateValues" dxfId="152" priority="39"/>
    <cfRule type="duplicateValues" dxfId="151" priority="40"/>
    <cfRule type="duplicateValues" dxfId="150" priority="41"/>
    <cfRule type="containsText" dxfId="149" priority="21" operator="containsText" text="UT1 - ">
      <formula>NOT(ISERROR(SEARCH("UT1 - ",C33)))</formula>
    </cfRule>
    <cfRule type="containsText" dxfId="148" priority="20" operator="containsText" text="UT2 - ">
      <formula>NOT(ISERROR(SEARCH("UT2 - ",C33)))</formula>
    </cfRule>
    <cfRule type="containsText" dxfId="147" priority="19" operator="containsText" text="UT3 - ">
      <formula>NOT(ISERROR(SEARCH("UT3 - ",C33)))</formula>
    </cfRule>
    <cfRule type="containsText" dxfId="146" priority="18" operator="containsText" text="Book">
      <formula>NOT(ISERROR(SEARCH("Book",C33)))</formula>
    </cfRule>
    <cfRule type="duplicateValues" dxfId="145" priority="17"/>
    <cfRule type="duplicateValues" dxfId="144" priority="16"/>
    <cfRule type="duplicateValues" dxfId="143" priority="15"/>
    <cfRule type="duplicateValues" dxfId="142" priority="14"/>
    <cfRule type="duplicateValues" dxfId="141" priority="13"/>
  </conditionalFormatting>
  <conditionalFormatting sqref="C36">
    <cfRule type="duplicateValues" dxfId="140" priority="27"/>
    <cfRule type="duplicateValues" dxfId="139" priority="31"/>
    <cfRule type="duplicateValues" dxfId="138" priority="30"/>
    <cfRule type="duplicateValues" dxfId="137" priority="28"/>
    <cfRule type="duplicateValues" dxfId="136" priority="26"/>
    <cfRule type="duplicateValues" dxfId="135" priority="25"/>
    <cfRule type="duplicateValues" dxfId="134" priority="24"/>
    <cfRule type="duplicateValues" dxfId="133" priority="23"/>
    <cfRule type="duplicateValues" dxfId="132" priority="22"/>
    <cfRule type="duplicateValues" dxfId="131" priority="29"/>
  </conditionalFormatting>
  <printOptions horizontalCentered="1"/>
  <pageMargins left="0.36125000000000002" right="0.41791666666666666" top="0.55625000000000002" bottom="0.53125" header="0.38" footer="0.3"/>
  <pageSetup paperSize="9" scale="65" fitToHeight="9" orientation="landscape" r:id="rId1"/>
  <headerFooter>
    <oddHeader xml:space="preserve">&amp;RBM.KD 001
</oddHeader>
    <oddFooter>&amp;RTrang &amp;P|&amp;N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283"/>
  <sheetViews>
    <sheetView zoomScale="85" zoomScaleNormal="85" zoomScaleSheetLayoutView="100" workbookViewId="0">
      <selection activeCell="H70" sqref="H70"/>
    </sheetView>
  </sheetViews>
  <sheetFormatPr defaultColWidth="9.1796875" defaultRowHeight="15.5"/>
  <cols>
    <col min="1" max="1" width="13.54296875" style="3" customWidth="1"/>
    <col min="2" max="2" width="14" style="2" customWidth="1"/>
    <col min="3" max="3" width="20.7265625" style="20" customWidth="1"/>
    <col min="4" max="4" width="20.81640625" style="6" customWidth="1"/>
    <col min="5" max="5" width="19.81640625" style="4" customWidth="1"/>
    <col min="6" max="6" width="11.54296875" style="18" customWidth="1"/>
    <col min="7" max="7" width="19.81640625" style="4" customWidth="1"/>
    <col min="8" max="8" width="19.453125" style="4" customWidth="1"/>
    <col min="9" max="9" width="17.54296875" style="4" customWidth="1"/>
    <col min="10" max="10" width="21.81640625" style="4" customWidth="1"/>
    <col min="11" max="11" width="20.1796875" style="4" customWidth="1"/>
    <col min="12" max="12" width="20.26953125" style="4" customWidth="1"/>
    <col min="13" max="13" width="12.1796875" style="3" customWidth="1"/>
    <col min="14" max="14" width="12.26953125" bestFit="1" customWidth="1"/>
    <col min="15" max="15" width="15.26953125" bestFit="1" customWidth="1"/>
  </cols>
  <sheetData>
    <row r="1" spans="1:13">
      <c r="A1" s="130" t="s">
        <v>31</v>
      </c>
      <c r="B1" s="130"/>
      <c r="C1" s="130"/>
      <c r="D1" s="130"/>
      <c r="E1" s="130"/>
      <c r="F1" s="4"/>
      <c r="H1" s="127" t="s">
        <v>9</v>
      </c>
      <c r="I1" s="127"/>
      <c r="J1" s="127"/>
      <c r="K1" s="127"/>
      <c r="L1" s="127"/>
      <c r="M1" s="127"/>
    </row>
    <row r="2" spans="1:13" ht="20.25" customHeight="1">
      <c r="A2" s="130" t="s">
        <v>30</v>
      </c>
      <c r="B2" s="130"/>
      <c r="C2" s="130"/>
      <c r="D2" s="130"/>
      <c r="E2" s="130"/>
      <c r="F2" s="4"/>
      <c r="H2" s="134" t="s">
        <v>10</v>
      </c>
      <c r="I2" s="134"/>
      <c r="J2" s="134"/>
      <c r="K2" s="134"/>
      <c r="L2" s="134"/>
      <c r="M2" s="134"/>
    </row>
    <row r="3" spans="1:13">
      <c r="B3" s="3"/>
      <c r="D3" s="4"/>
      <c r="F3" s="16"/>
    </row>
    <row r="4" spans="1:13" ht="51.75" customHeight="1">
      <c r="A4" s="124" t="s">
        <v>288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</row>
    <row r="5" spans="1:13">
      <c r="A5" s="56" t="s">
        <v>48</v>
      </c>
      <c r="B5" s="44"/>
      <c r="C5" s="74"/>
      <c r="D5" s="5"/>
      <c r="E5" s="5"/>
      <c r="F5" s="45"/>
    </row>
    <row r="6" spans="1:13">
      <c r="A6" s="56" t="s">
        <v>49</v>
      </c>
      <c r="B6" s="44"/>
      <c r="C6" s="74"/>
      <c r="D6" s="5"/>
      <c r="E6" s="5"/>
      <c r="F6" s="45"/>
    </row>
    <row r="7" spans="1:13">
      <c r="A7" s="46"/>
      <c r="B7" s="44"/>
      <c r="C7" s="74"/>
      <c r="D7" s="47"/>
      <c r="E7" s="5"/>
      <c r="F7" s="5"/>
      <c r="G7" s="5"/>
      <c r="H7" s="5"/>
      <c r="I7" s="5"/>
      <c r="J7" s="5"/>
      <c r="K7" s="5"/>
      <c r="L7" s="5"/>
    </row>
    <row r="8" spans="1:13">
      <c r="A8" s="48" t="s">
        <v>29</v>
      </c>
      <c r="B8" s="49"/>
      <c r="D8" s="4"/>
      <c r="F8" s="4"/>
    </row>
    <row r="9" spans="1:13">
      <c r="B9" s="49"/>
      <c r="D9" s="4"/>
      <c r="F9" s="4"/>
    </row>
    <row r="10" spans="1:13">
      <c r="A10" s="2" t="s">
        <v>16</v>
      </c>
      <c r="B10" s="50"/>
      <c r="C10" s="15"/>
      <c r="D10" s="22"/>
      <c r="E10" s="23"/>
      <c r="F10" s="51"/>
      <c r="G10" s="23"/>
      <c r="H10" s="23"/>
      <c r="I10" s="23"/>
      <c r="J10" s="23"/>
      <c r="K10" s="23"/>
      <c r="L10" s="23"/>
    </row>
    <row r="11" spans="1:13">
      <c r="A11" s="48" t="s">
        <v>32</v>
      </c>
      <c r="B11" s="49" t="s">
        <v>36</v>
      </c>
      <c r="C11" s="75"/>
      <c r="D11" s="23"/>
      <c r="E11" s="52"/>
      <c r="F11" s="24"/>
      <c r="G11" s="23"/>
      <c r="H11" s="23"/>
      <c r="I11" s="23"/>
      <c r="J11" s="23"/>
      <c r="K11" s="23"/>
      <c r="L11" s="23"/>
    </row>
    <row r="12" spans="1:13">
      <c r="A12" s="48" t="s">
        <v>33</v>
      </c>
      <c r="B12" s="50" t="s">
        <v>37</v>
      </c>
      <c r="C12" s="75"/>
      <c r="D12" s="23"/>
      <c r="E12" s="23"/>
      <c r="F12" s="23" t="s">
        <v>40</v>
      </c>
      <c r="G12" s="72" t="s">
        <v>41</v>
      </c>
      <c r="H12" s="23"/>
      <c r="I12" s="24"/>
      <c r="J12" s="24"/>
      <c r="K12" s="24"/>
      <c r="L12" s="24"/>
    </row>
    <row r="13" spans="1:13">
      <c r="A13" s="48" t="s">
        <v>34</v>
      </c>
      <c r="B13" s="49" t="s">
        <v>38</v>
      </c>
      <c r="C13" s="75"/>
      <c r="D13" s="53"/>
      <c r="E13" s="52"/>
      <c r="F13" s="24"/>
      <c r="G13" s="23"/>
      <c r="H13" s="23"/>
      <c r="I13" s="23"/>
      <c r="J13" s="23"/>
      <c r="K13" s="23"/>
      <c r="L13" s="23"/>
    </row>
    <row r="14" spans="1:13">
      <c r="A14" s="54" t="s">
        <v>35</v>
      </c>
      <c r="B14" s="60" t="s">
        <v>39</v>
      </c>
      <c r="C14" s="75"/>
      <c r="D14" s="23"/>
      <c r="E14" s="52"/>
      <c r="F14" s="24"/>
      <c r="G14" s="23"/>
      <c r="H14" s="23"/>
      <c r="I14" s="23"/>
      <c r="J14" s="23"/>
      <c r="K14" s="23"/>
      <c r="L14" s="23"/>
    </row>
    <row r="15" spans="1:13">
      <c r="A15" s="55" t="s">
        <v>25</v>
      </c>
      <c r="B15" s="49"/>
      <c r="C15" s="76"/>
      <c r="D15" s="4"/>
      <c r="F15" s="4"/>
    </row>
    <row r="16" spans="1:13">
      <c r="B16" s="49"/>
      <c r="D16" s="4"/>
      <c r="F16" s="4"/>
    </row>
    <row r="17" spans="1:15">
      <c r="A17" s="2" t="s">
        <v>17</v>
      </c>
      <c r="B17" s="49"/>
      <c r="D17" s="4"/>
      <c r="F17" s="4"/>
    </row>
    <row r="18" spans="1:15">
      <c r="A18" s="48" t="s">
        <v>32</v>
      </c>
      <c r="B18" s="49" t="s">
        <v>42</v>
      </c>
      <c r="C18" s="75"/>
      <c r="D18" s="23"/>
      <c r="E18" s="52"/>
      <c r="F18" s="24"/>
      <c r="G18" s="23"/>
      <c r="H18" s="23"/>
      <c r="I18" s="23"/>
      <c r="J18" s="23"/>
      <c r="K18" s="23"/>
      <c r="L18" s="23"/>
    </row>
    <row r="19" spans="1:15">
      <c r="A19" s="48" t="s">
        <v>33</v>
      </c>
      <c r="B19" s="50" t="s">
        <v>43</v>
      </c>
      <c r="C19" s="75"/>
      <c r="D19" s="23"/>
      <c r="E19" s="23"/>
      <c r="F19" s="23" t="s">
        <v>40</v>
      </c>
      <c r="G19" s="72" t="s">
        <v>46</v>
      </c>
      <c r="H19" s="23"/>
      <c r="I19" s="24"/>
      <c r="J19" s="24"/>
      <c r="K19" s="24"/>
      <c r="L19" s="24"/>
    </row>
    <row r="20" spans="1:15">
      <c r="A20" s="48" t="s">
        <v>34</v>
      </c>
      <c r="B20" s="49" t="s">
        <v>44</v>
      </c>
      <c r="C20" s="75"/>
      <c r="D20" s="53"/>
      <c r="E20" s="52"/>
      <c r="F20" s="24"/>
      <c r="G20" s="23"/>
      <c r="H20" s="23"/>
      <c r="I20" s="23"/>
      <c r="J20" s="23"/>
      <c r="K20" s="23"/>
      <c r="L20" s="23"/>
    </row>
    <row r="21" spans="1:15">
      <c r="A21" s="54" t="s">
        <v>35</v>
      </c>
      <c r="B21" s="60" t="s">
        <v>45</v>
      </c>
      <c r="C21" s="75"/>
      <c r="D21" s="23"/>
      <c r="E21" s="52"/>
      <c r="F21" s="24"/>
      <c r="G21" s="23"/>
      <c r="H21" s="23"/>
      <c r="I21" s="23"/>
      <c r="J21" s="23"/>
      <c r="K21" s="23">
        <f>K23-K22</f>
        <v>0</v>
      </c>
      <c r="L21" s="23"/>
    </row>
    <row r="22" spans="1:15">
      <c r="A22" s="48"/>
      <c r="B22" s="49"/>
      <c r="D22" s="4"/>
      <c r="F22" s="4"/>
      <c r="K22" s="4">
        <f>K23/1.1</f>
        <v>0</v>
      </c>
    </row>
    <row r="23" spans="1:15" ht="16.5">
      <c r="A23" s="32" t="s">
        <v>1</v>
      </c>
      <c r="B23" s="35"/>
      <c r="C23" s="77"/>
      <c r="D23" s="36"/>
      <c r="E23" s="35"/>
      <c r="F23" s="35"/>
      <c r="G23" s="36"/>
      <c r="H23" s="36"/>
      <c r="I23" s="36"/>
      <c r="J23" s="36"/>
      <c r="K23" s="25"/>
      <c r="L23" s="25"/>
    </row>
    <row r="24" spans="1:15" ht="16.5">
      <c r="A24" s="32"/>
      <c r="B24" s="35"/>
      <c r="C24" s="77"/>
      <c r="D24" s="36"/>
      <c r="E24" s="35"/>
      <c r="F24" s="35"/>
      <c r="G24" s="36">
        <f>SUBTOTAL(9,G26:G257)</f>
        <v>76520906746.363602</v>
      </c>
      <c r="H24" s="36">
        <f t="shared" ref="H24:K24" si="0">SUBTOTAL(9,H26:H257)</f>
        <v>7652090674.6363735</v>
      </c>
      <c r="I24" s="36">
        <f t="shared" si="0"/>
        <v>84172997421</v>
      </c>
      <c r="J24" s="36">
        <f t="shared" si="0"/>
        <v>36954069238.5</v>
      </c>
      <c r="K24" s="36">
        <f t="shared" si="0"/>
        <v>47218928182.5</v>
      </c>
      <c r="L24" s="25"/>
    </row>
    <row r="25" spans="1:15" ht="67.5" customHeight="1">
      <c r="A25" s="27" t="s">
        <v>0</v>
      </c>
      <c r="B25" s="27" t="s">
        <v>6</v>
      </c>
      <c r="C25" s="28" t="s">
        <v>11</v>
      </c>
      <c r="D25" s="29" t="s">
        <v>12</v>
      </c>
      <c r="E25" s="29" t="s">
        <v>2</v>
      </c>
      <c r="F25" s="30" t="s">
        <v>18</v>
      </c>
      <c r="G25" s="29" t="s">
        <v>22</v>
      </c>
      <c r="H25" s="29" t="s">
        <v>3</v>
      </c>
      <c r="I25" s="29" t="s">
        <v>19</v>
      </c>
      <c r="J25" s="29" t="s">
        <v>23</v>
      </c>
      <c r="K25" s="29" t="s">
        <v>24</v>
      </c>
      <c r="L25" s="29" t="s">
        <v>27</v>
      </c>
      <c r="M25" s="29" t="s">
        <v>21</v>
      </c>
    </row>
    <row r="26" spans="1:15" ht="29.25" customHeight="1">
      <c r="A26" s="132" t="s">
        <v>279</v>
      </c>
      <c r="B26" s="133"/>
      <c r="C26" s="133"/>
      <c r="D26" s="133"/>
      <c r="E26" s="29">
        <f>SUM(E27:E34)</f>
        <v>17864066427</v>
      </c>
      <c r="F26" s="29"/>
      <c r="G26" s="29">
        <f>SUM(G27:G34)</f>
        <v>649602417.27272713</v>
      </c>
      <c r="H26" s="29">
        <f>SUM(H27:H34)</f>
        <v>64960241.727272764</v>
      </c>
      <c r="I26" s="29">
        <f>SUM(I27:I34)</f>
        <v>714562659</v>
      </c>
      <c r="J26" s="29">
        <f>SUM(J27:J34)</f>
        <v>0</v>
      </c>
      <c r="K26" s="29">
        <f>SUM(K27:K34)</f>
        <v>714562659</v>
      </c>
      <c r="L26" s="29"/>
      <c r="M26" s="29"/>
      <c r="N26">
        <f>+E26*F27</f>
        <v>714562657.08000004</v>
      </c>
      <c r="O26" s="88">
        <f>+N26-K26</f>
        <v>-1.9199999570846558</v>
      </c>
    </row>
    <row r="27" spans="1:15" ht="29.25" customHeight="1">
      <c r="A27" s="7">
        <v>1</v>
      </c>
      <c r="B27" s="26" t="s">
        <v>198</v>
      </c>
      <c r="C27" s="73">
        <v>47.06</v>
      </c>
      <c r="D27" s="8">
        <v>49524213</v>
      </c>
      <c r="E27" s="8">
        <v>2330609464</v>
      </c>
      <c r="F27" s="19">
        <v>0.04</v>
      </c>
      <c r="G27" s="9">
        <f t="shared" ref="G27:G34" si="1">+I27/1.1</f>
        <v>84749435.454545453</v>
      </c>
      <c r="H27" s="9">
        <f t="shared" ref="H27:H34" si="2">I27-G27</f>
        <v>8474943.5454545468</v>
      </c>
      <c r="I27" s="9">
        <f t="shared" ref="I27:I34" si="3">ROUND(E27*F27,0)</f>
        <v>93224379</v>
      </c>
      <c r="J27" s="9">
        <v>0</v>
      </c>
      <c r="K27" s="9">
        <f t="shared" ref="K27:K90" si="4">I27-J27</f>
        <v>93224379</v>
      </c>
      <c r="L27" s="59" t="str">
        <f>VLOOKUP(B27,'[1]IN HĐMB'!$I$1:$X$541,14,0)</f>
        <v>PTTT 08c</v>
      </c>
      <c r="M27" s="58" t="s">
        <v>20</v>
      </c>
    </row>
    <row r="28" spans="1:15" ht="29.25" customHeight="1">
      <c r="A28" s="7">
        <v>2</v>
      </c>
      <c r="B28" s="26" t="s">
        <v>199</v>
      </c>
      <c r="C28" s="73">
        <v>46.79</v>
      </c>
      <c r="D28" s="8">
        <v>46284099</v>
      </c>
      <c r="E28" s="8">
        <v>2165632992</v>
      </c>
      <c r="F28" s="19">
        <v>0.04</v>
      </c>
      <c r="G28" s="9">
        <f t="shared" si="1"/>
        <v>78750290.909090906</v>
      </c>
      <c r="H28" s="9">
        <f t="shared" si="2"/>
        <v>7875029.0909090936</v>
      </c>
      <c r="I28" s="9">
        <f t="shared" si="3"/>
        <v>86625320</v>
      </c>
      <c r="J28" s="9">
        <v>0</v>
      </c>
      <c r="K28" s="9">
        <f t="shared" si="4"/>
        <v>86625320</v>
      </c>
      <c r="L28" s="59" t="str">
        <f>VLOOKUP(B28,'[1]IN HĐMB'!$I$1:$X$541,14,0)</f>
        <v>PTTT 09c</v>
      </c>
      <c r="M28" s="58" t="s">
        <v>20</v>
      </c>
    </row>
    <row r="29" spans="1:15" ht="29.25" customHeight="1">
      <c r="A29" s="7">
        <v>3</v>
      </c>
      <c r="B29" s="26" t="s">
        <v>200</v>
      </c>
      <c r="C29" s="73">
        <v>46.79</v>
      </c>
      <c r="D29" s="8">
        <v>46515756</v>
      </c>
      <c r="E29" s="8">
        <v>2176472223</v>
      </c>
      <c r="F29" s="19">
        <v>0.04</v>
      </c>
      <c r="G29" s="9">
        <f t="shared" si="1"/>
        <v>79144444.545454532</v>
      </c>
      <c r="H29" s="9">
        <f t="shared" si="2"/>
        <v>7914444.4545454681</v>
      </c>
      <c r="I29" s="9">
        <f t="shared" si="3"/>
        <v>87058889</v>
      </c>
      <c r="J29" s="9">
        <v>0</v>
      </c>
      <c r="K29" s="9">
        <f t="shared" si="4"/>
        <v>87058889</v>
      </c>
      <c r="L29" s="59" t="str">
        <f>VLOOKUP(B29,'[1]IN HĐMB'!$I$1:$X$541,14,0)</f>
        <v>PTTT 08c</v>
      </c>
      <c r="M29" s="58" t="s">
        <v>20</v>
      </c>
    </row>
    <row r="30" spans="1:15" ht="29.25" customHeight="1">
      <c r="A30" s="7">
        <v>4</v>
      </c>
      <c r="B30" s="26" t="s">
        <v>201</v>
      </c>
      <c r="C30" s="73">
        <v>46.65</v>
      </c>
      <c r="D30" s="8">
        <v>48598613</v>
      </c>
      <c r="E30" s="8">
        <v>2267125296</v>
      </c>
      <c r="F30" s="19">
        <v>0.04</v>
      </c>
      <c r="G30" s="9">
        <f t="shared" si="1"/>
        <v>82440920</v>
      </c>
      <c r="H30" s="9">
        <f t="shared" si="2"/>
        <v>8244092</v>
      </c>
      <c r="I30" s="9">
        <f t="shared" si="3"/>
        <v>90685012</v>
      </c>
      <c r="J30" s="9">
        <v>0</v>
      </c>
      <c r="K30" s="9">
        <f t="shared" si="4"/>
        <v>90685012</v>
      </c>
      <c r="L30" s="59" t="str">
        <f>VLOOKUP(B30,'[1]IN HĐMB'!$I$1:$X$541,14,0)</f>
        <v>PTTT 08c</v>
      </c>
      <c r="M30" s="58" t="s">
        <v>20</v>
      </c>
    </row>
    <row r="31" spans="1:15" ht="29.25" customHeight="1">
      <c r="A31" s="7">
        <v>5</v>
      </c>
      <c r="B31" s="26" t="s">
        <v>202</v>
      </c>
      <c r="C31" s="73">
        <v>47.36</v>
      </c>
      <c r="D31" s="8">
        <v>47441356</v>
      </c>
      <c r="E31" s="8">
        <v>2246822620</v>
      </c>
      <c r="F31" s="19">
        <v>0.04</v>
      </c>
      <c r="G31" s="9">
        <f t="shared" si="1"/>
        <v>81702640.909090906</v>
      </c>
      <c r="H31" s="9">
        <f t="shared" si="2"/>
        <v>8170264.0909090936</v>
      </c>
      <c r="I31" s="9">
        <f t="shared" si="3"/>
        <v>89872905</v>
      </c>
      <c r="J31" s="9">
        <v>0</v>
      </c>
      <c r="K31" s="9">
        <f t="shared" si="4"/>
        <v>89872905</v>
      </c>
      <c r="L31" s="59" t="str">
        <f>VLOOKUP(B31,'[1]IN HĐMB'!$I$1:$X$541,14,0)</f>
        <v>PTTT 08c</v>
      </c>
      <c r="M31" s="58" t="s">
        <v>20</v>
      </c>
    </row>
    <row r="32" spans="1:15" ht="29.25" customHeight="1">
      <c r="A32" s="7">
        <v>6</v>
      </c>
      <c r="B32" s="26" t="s">
        <v>203</v>
      </c>
      <c r="C32" s="73">
        <v>48.44</v>
      </c>
      <c r="D32" s="8">
        <v>47904671</v>
      </c>
      <c r="E32" s="8">
        <v>2320502263</v>
      </c>
      <c r="F32" s="19">
        <v>0.04</v>
      </c>
      <c r="G32" s="9">
        <f t="shared" si="1"/>
        <v>84381900.909090906</v>
      </c>
      <c r="H32" s="9">
        <f t="shared" si="2"/>
        <v>8438190.0909090936</v>
      </c>
      <c r="I32" s="9">
        <f t="shared" si="3"/>
        <v>92820091</v>
      </c>
      <c r="J32" s="9">
        <v>0</v>
      </c>
      <c r="K32" s="9">
        <f t="shared" si="4"/>
        <v>92820091</v>
      </c>
      <c r="L32" s="59" t="str">
        <f>VLOOKUP(B32,'[1]IN HĐMB'!$I$1:$X$541,14,0)</f>
        <v>PTTT 08c</v>
      </c>
      <c r="M32" s="58" t="s">
        <v>20</v>
      </c>
    </row>
    <row r="33" spans="1:15" ht="29.25" customHeight="1">
      <c r="A33" s="7">
        <v>7</v>
      </c>
      <c r="B33" s="26" t="s">
        <v>204</v>
      </c>
      <c r="C33" s="73">
        <v>47.28</v>
      </c>
      <c r="D33" s="8">
        <v>45127872</v>
      </c>
      <c r="E33" s="8">
        <v>2133645788</v>
      </c>
      <c r="F33" s="19">
        <v>0.04</v>
      </c>
      <c r="G33" s="9">
        <f t="shared" si="1"/>
        <v>77587120</v>
      </c>
      <c r="H33" s="9">
        <f t="shared" si="2"/>
        <v>7758712</v>
      </c>
      <c r="I33" s="9">
        <f t="shared" si="3"/>
        <v>85345832</v>
      </c>
      <c r="J33" s="9">
        <v>0</v>
      </c>
      <c r="K33" s="9">
        <f t="shared" si="4"/>
        <v>85345832</v>
      </c>
      <c r="L33" s="59" t="str">
        <f>VLOOKUP(B33,'[1]IN HĐMB'!$I$1:$X$541,14,0)</f>
        <v>PTTT 08c</v>
      </c>
      <c r="M33" s="58" t="s">
        <v>20</v>
      </c>
    </row>
    <row r="34" spans="1:15" ht="29.25" customHeight="1">
      <c r="A34" s="7">
        <v>8</v>
      </c>
      <c r="B34" s="26" t="s">
        <v>254</v>
      </c>
      <c r="C34" s="73">
        <v>46.41</v>
      </c>
      <c r="D34" s="8">
        <v>47904671</v>
      </c>
      <c r="E34" s="8">
        <v>2223255781</v>
      </c>
      <c r="F34" s="19">
        <v>0.04</v>
      </c>
      <c r="G34" s="9">
        <f t="shared" si="1"/>
        <v>80845664.545454532</v>
      </c>
      <c r="H34" s="9">
        <f t="shared" si="2"/>
        <v>8084566.4545454681</v>
      </c>
      <c r="I34" s="9">
        <f t="shared" si="3"/>
        <v>88930231</v>
      </c>
      <c r="J34" s="9">
        <v>0</v>
      </c>
      <c r="K34" s="9">
        <f t="shared" si="4"/>
        <v>88930231</v>
      </c>
      <c r="L34" s="59" t="str">
        <f>VLOOKUP(B34,'[1]IN HĐMB'!$I$1:$X$541,14,0)</f>
        <v>PTTT 08c</v>
      </c>
      <c r="M34" s="58" t="s">
        <v>20</v>
      </c>
    </row>
    <row r="35" spans="1:15" ht="29.25" customHeight="1">
      <c r="A35" s="132" t="s">
        <v>280</v>
      </c>
      <c r="B35" s="133"/>
      <c r="C35" s="133"/>
      <c r="D35" s="133"/>
      <c r="E35" s="29">
        <f>SUM(E36:E256)</f>
        <v>457205815378</v>
      </c>
      <c r="F35" s="29"/>
      <c r="G35" s="29">
        <f>SUM(G36:G256)</f>
        <v>24857366498.181797</v>
      </c>
      <c r="H35" s="29">
        <f>SUM(H36:H256)</f>
        <v>2485736649.8181834</v>
      </c>
      <c r="I35" s="29">
        <f>SUM(I36:I256)</f>
        <v>27343103148</v>
      </c>
      <c r="J35" s="29">
        <f>SUM(J36:J256)</f>
        <v>12318023079.5</v>
      </c>
      <c r="K35" s="29">
        <f>SUM(K36:K256)</f>
        <v>15025080068.5</v>
      </c>
      <c r="L35" s="29"/>
      <c r="M35" s="29"/>
      <c r="N35">
        <f>+E35*F36</f>
        <v>27432348922.68</v>
      </c>
      <c r="O35" s="88">
        <f>+N35-J35</f>
        <v>15114325843.18</v>
      </c>
    </row>
    <row r="36" spans="1:15" ht="29.25" customHeight="1">
      <c r="A36" s="7">
        <v>9</v>
      </c>
      <c r="B36" s="26" t="s">
        <v>50</v>
      </c>
      <c r="C36" s="73">
        <v>30.57</v>
      </c>
      <c r="D36" s="8">
        <v>45426759</v>
      </c>
      <c r="E36" s="21">
        <v>1388696023</v>
      </c>
      <c r="F36" s="19">
        <v>0.06</v>
      </c>
      <c r="G36" s="9">
        <f t="shared" ref="G36:G99" si="5">+I36/1.1</f>
        <v>75747055.454545453</v>
      </c>
      <c r="H36" s="9">
        <f t="shared" ref="H36:H99" si="6">I36-G36</f>
        <v>7574705.5454545468</v>
      </c>
      <c r="I36" s="9">
        <f t="shared" ref="I36:I99" si="7">ROUND(E36*F36,0)</f>
        <v>83321761</v>
      </c>
      <c r="J36" s="9">
        <v>55547841</v>
      </c>
      <c r="K36" s="9">
        <f t="shared" si="4"/>
        <v>27773920</v>
      </c>
      <c r="L36" s="59" t="str">
        <f>VLOOKUP(B36,'[1]IN HĐMB'!$I$1:$X$541,14,0)</f>
        <v>PTTT 01a</v>
      </c>
      <c r="M36" s="58" t="s">
        <v>26</v>
      </c>
    </row>
    <row r="37" spans="1:15" ht="29.25" customHeight="1">
      <c r="A37" s="7">
        <v>10</v>
      </c>
      <c r="B37" s="26" t="s">
        <v>51</v>
      </c>
      <c r="C37" s="73">
        <v>46.75</v>
      </c>
      <c r="D37" s="8">
        <v>45209184</v>
      </c>
      <c r="E37" s="21">
        <v>2113529352</v>
      </c>
      <c r="F37" s="19">
        <v>0.06</v>
      </c>
      <c r="G37" s="9">
        <f t="shared" si="5"/>
        <v>115283419.09090908</v>
      </c>
      <c r="H37" s="9">
        <f t="shared" si="6"/>
        <v>11528341.909090921</v>
      </c>
      <c r="I37" s="9">
        <f t="shared" si="7"/>
        <v>126811761</v>
      </c>
      <c r="J37" s="9">
        <v>84541174</v>
      </c>
      <c r="K37" s="9">
        <f t="shared" si="4"/>
        <v>42270587</v>
      </c>
      <c r="L37" s="59" t="str">
        <f>VLOOKUP(B37,'[1]IN HĐMB'!$I$1:$X$541,14,0)</f>
        <v>PTTT 01a</v>
      </c>
      <c r="M37" s="58" t="s">
        <v>26</v>
      </c>
    </row>
    <row r="38" spans="1:15" ht="29.25" customHeight="1">
      <c r="A38" s="7">
        <v>11</v>
      </c>
      <c r="B38" s="26" t="s">
        <v>52</v>
      </c>
      <c r="C38" s="73">
        <v>48.47</v>
      </c>
      <c r="D38" s="8">
        <v>45644334</v>
      </c>
      <c r="E38" s="21">
        <v>2212380869</v>
      </c>
      <c r="F38" s="19">
        <v>0.06</v>
      </c>
      <c r="G38" s="9">
        <f t="shared" si="5"/>
        <v>120675319.99999999</v>
      </c>
      <c r="H38" s="9">
        <f t="shared" si="6"/>
        <v>12067532.000000015</v>
      </c>
      <c r="I38" s="9">
        <f t="shared" si="7"/>
        <v>132742852</v>
      </c>
      <c r="J38" s="9">
        <v>88495235</v>
      </c>
      <c r="K38" s="9">
        <f t="shared" si="4"/>
        <v>44247617</v>
      </c>
      <c r="L38" s="59" t="str">
        <f>VLOOKUP(B38,'[1]IN HĐMB'!$I$1:$X$541,14,0)</f>
        <v>PTTT 01a</v>
      </c>
      <c r="M38" s="58" t="s">
        <v>26</v>
      </c>
    </row>
    <row r="39" spans="1:15" ht="29.25" customHeight="1">
      <c r="A39" s="7">
        <v>12</v>
      </c>
      <c r="B39" s="26" t="s">
        <v>53</v>
      </c>
      <c r="C39" s="73">
        <v>46.94</v>
      </c>
      <c r="D39" s="8">
        <v>45644334</v>
      </c>
      <c r="E39" s="21">
        <v>2142545038</v>
      </c>
      <c r="F39" s="19">
        <v>0.06</v>
      </c>
      <c r="G39" s="9">
        <f t="shared" si="5"/>
        <v>116866092.72727272</v>
      </c>
      <c r="H39" s="9">
        <f t="shared" si="6"/>
        <v>11686609.272727281</v>
      </c>
      <c r="I39" s="9">
        <f t="shared" si="7"/>
        <v>128552702</v>
      </c>
      <c r="J39" s="9">
        <v>85701802</v>
      </c>
      <c r="K39" s="9">
        <f t="shared" si="4"/>
        <v>42850900</v>
      </c>
      <c r="L39" s="59" t="str">
        <f>VLOOKUP(B39,'[1]IN HĐMB'!$I$1:$X$541,14,0)</f>
        <v>PTTT 03a</v>
      </c>
      <c r="M39" s="58" t="s">
        <v>26</v>
      </c>
    </row>
    <row r="40" spans="1:15" ht="29.25" customHeight="1">
      <c r="A40" s="7">
        <v>13</v>
      </c>
      <c r="B40" s="26" t="s">
        <v>54</v>
      </c>
      <c r="C40" s="73">
        <v>46.94</v>
      </c>
      <c r="D40" s="8">
        <v>45426759</v>
      </c>
      <c r="E40" s="21">
        <v>2132332067</v>
      </c>
      <c r="F40" s="19">
        <v>0.06</v>
      </c>
      <c r="G40" s="9">
        <f t="shared" si="5"/>
        <v>116309021.81818181</v>
      </c>
      <c r="H40" s="9">
        <f t="shared" si="6"/>
        <v>11630902.181818187</v>
      </c>
      <c r="I40" s="9">
        <f t="shared" si="7"/>
        <v>127939924</v>
      </c>
      <c r="J40" s="9">
        <v>85293283</v>
      </c>
      <c r="K40" s="9">
        <f t="shared" si="4"/>
        <v>42646641</v>
      </c>
      <c r="L40" s="59" t="str">
        <f>VLOOKUP(B40,'[1]IN HĐMB'!$I$1:$X$541,14,0)</f>
        <v>PTTT 03a</v>
      </c>
      <c r="M40" s="58" t="s">
        <v>26</v>
      </c>
    </row>
    <row r="41" spans="1:15" ht="29.25" customHeight="1">
      <c r="A41" s="7">
        <v>14</v>
      </c>
      <c r="B41" s="26" t="s">
        <v>55</v>
      </c>
      <c r="C41" s="73">
        <v>30.14</v>
      </c>
      <c r="D41" s="8">
        <v>46513667</v>
      </c>
      <c r="E41" s="21">
        <v>1401921923</v>
      </c>
      <c r="F41" s="19">
        <v>0.06</v>
      </c>
      <c r="G41" s="9">
        <f t="shared" si="5"/>
        <v>76468468.181818172</v>
      </c>
      <c r="H41" s="9">
        <f t="shared" si="6"/>
        <v>7646846.8181818277</v>
      </c>
      <c r="I41" s="9">
        <f t="shared" si="7"/>
        <v>84115315</v>
      </c>
      <c r="J41" s="9">
        <v>56076877</v>
      </c>
      <c r="K41" s="9">
        <f t="shared" si="4"/>
        <v>28038438</v>
      </c>
      <c r="L41" s="59" t="str">
        <f>VLOOKUP(B41,'[1]IN HĐMB'!$I$1:$X$541,14,0)</f>
        <v>PTTT 03a</v>
      </c>
      <c r="M41" s="58" t="s">
        <v>26</v>
      </c>
    </row>
    <row r="42" spans="1:15" ht="29.25" customHeight="1">
      <c r="A42" s="7">
        <v>15</v>
      </c>
      <c r="B42" s="26" t="s">
        <v>56</v>
      </c>
      <c r="C42" s="73">
        <v>30.57</v>
      </c>
      <c r="D42" s="8">
        <v>45644334</v>
      </c>
      <c r="E42" s="21">
        <v>1395347290</v>
      </c>
      <c r="F42" s="19">
        <v>0.06</v>
      </c>
      <c r="G42" s="9">
        <f t="shared" si="5"/>
        <v>76109851.818181813</v>
      </c>
      <c r="H42" s="9">
        <f t="shared" si="6"/>
        <v>7610985.1818181872</v>
      </c>
      <c r="I42" s="9">
        <f t="shared" si="7"/>
        <v>83720837</v>
      </c>
      <c r="J42" s="9">
        <v>55813892</v>
      </c>
      <c r="K42" s="9">
        <f t="shared" si="4"/>
        <v>27906945</v>
      </c>
      <c r="L42" s="59" t="str">
        <f>VLOOKUP(B42,'[1]IN HĐMB'!$I$1:$X$541,14,0)</f>
        <v>PTTT 01a</v>
      </c>
      <c r="M42" s="58" t="s">
        <v>26</v>
      </c>
    </row>
    <row r="43" spans="1:15" ht="29.25" customHeight="1">
      <c r="A43" s="7">
        <v>16</v>
      </c>
      <c r="B43" s="26" t="s">
        <v>57</v>
      </c>
      <c r="C43" s="73">
        <v>46.75</v>
      </c>
      <c r="D43" s="8">
        <v>45426759</v>
      </c>
      <c r="E43" s="21">
        <v>2123700983</v>
      </c>
      <c r="F43" s="19">
        <v>0.06</v>
      </c>
      <c r="G43" s="9">
        <f t="shared" si="5"/>
        <v>115838235.45454544</v>
      </c>
      <c r="H43" s="9">
        <f t="shared" si="6"/>
        <v>11583823.545454562</v>
      </c>
      <c r="I43" s="9">
        <f t="shared" si="7"/>
        <v>127422059</v>
      </c>
      <c r="J43" s="9">
        <v>84948039</v>
      </c>
      <c r="K43" s="9">
        <f t="shared" si="4"/>
        <v>42474020</v>
      </c>
      <c r="L43" s="59" t="str">
        <f>VLOOKUP(B43,'[1]IN HĐMB'!$I$1:$X$541,14,0)</f>
        <v>PTTT 01a</v>
      </c>
      <c r="M43" s="58" t="s">
        <v>26</v>
      </c>
    </row>
    <row r="44" spans="1:15" ht="29.25" customHeight="1">
      <c r="A44" s="7">
        <v>17</v>
      </c>
      <c r="B44" s="26" t="s">
        <v>58</v>
      </c>
      <c r="C44" s="73">
        <v>48.47</v>
      </c>
      <c r="D44" s="8">
        <v>45861909</v>
      </c>
      <c r="E44" s="21">
        <v>2222926729</v>
      </c>
      <c r="F44" s="19">
        <v>0.05</v>
      </c>
      <c r="G44" s="9">
        <f t="shared" si="5"/>
        <v>101042123.63636363</v>
      </c>
      <c r="H44" s="9">
        <f t="shared" si="6"/>
        <v>10104212.363636374</v>
      </c>
      <c r="I44" s="9">
        <f t="shared" si="7"/>
        <v>111146336</v>
      </c>
      <c r="J44" s="9">
        <f>E44*3%</f>
        <v>66687801.869999997</v>
      </c>
      <c r="K44" s="9">
        <f t="shared" si="4"/>
        <v>44458534.130000003</v>
      </c>
      <c r="L44" s="59" t="str">
        <f>VLOOKUP(B44,'[1]IN HĐMB'!$I$1:$X$541,14,0)</f>
        <v>PTTT 01a</v>
      </c>
      <c r="M44" s="58" t="s">
        <v>26</v>
      </c>
    </row>
    <row r="45" spans="1:15" ht="29.25" customHeight="1">
      <c r="A45" s="7">
        <v>18</v>
      </c>
      <c r="B45" s="26" t="s">
        <v>59</v>
      </c>
      <c r="C45" s="73">
        <v>30.14</v>
      </c>
      <c r="D45" s="8">
        <v>46731242</v>
      </c>
      <c r="E45" s="21">
        <v>1408479634</v>
      </c>
      <c r="F45" s="19">
        <v>0.06</v>
      </c>
      <c r="G45" s="9">
        <f t="shared" si="5"/>
        <v>76826161.818181813</v>
      </c>
      <c r="H45" s="9">
        <f t="shared" si="6"/>
        <v>7682616.1818181872</v>
      </c>
      <c r="I45" s="9">
        <f t="shared" si="7"/>
        <v>84508778</v>
      </c>
      <c r="J45" s="9">
        <v>56339185</v>
      </c>
      <c r="K45" s="9">
        <f t="shared" si="4"/>
        <v>28169593</v>
      </c>
      <c r="L45" s="59" t="str">
        <f>VLOOKUP(B45,'[1]IN HĐMB'!$I$1:$X$541,14,0)</f>
        <v>PTTT 01a</v>
      </c>
      <c r="M45" s="58" t="s">
        <v>26</v>
      </c>
    </row>
    <row r="46" spans="1:15" ht="29.25" customHeight="1">
      <c r="A46" s="7">
        <v>19</v>
      </c>
      <c r="B46" s="26" t="s">
        <v>60</v>
      </c>
      <c r="C46" s="73">
        <v>48.7</v>
      </c>
      <c r="D46" s="8">
        <v>44339851</v>
      </c>
      <c r="E46" s="21">
        <v>2159350744</v>
      </c>
      <c r="F46" s="19">
        <v>0.06</v>
      </c>
      <c r="G46" s="9">
        <f t="shared" si="5"/>
        <v>117782768.18181817</v>
      </c>
      <c r="H46" s="9">
        <f t="shared" si="6"/>
        <v>11778276.818181828</v>
      </c>
      <c r="I46" s="9">
        <f t="shared" si="7"/>
        <v>129561045</v>
      </c>
      <c r="J46" s="9">
        <v>86374030</v>
      </c>
      <c r="K46" s="9">
        <f t="shared" si="4"/>
        <v>43187015</v>
      </c>
      <c r="L46" s="59" t="str">
        <f>VLOOKUP(B46,'[1]IN HĐMB'!$I$1:$X$541,14,0)</f>
        <v>PTTT 01a</v>
      </c>
      <c r="M46" s="58" t="s">
        <v>26</v>
      </c>
    </row>
    <row r="47" spans="1:15" ht="29.25" customHeight="1">
      <c r="A47" s="7">
        <v>20</v>
      </c>
      <c r="B47" s="26" t="s">
        <v>61</v>
      </c>
      <c r="C47" s="73">
        <v>46.75</v>
      </c>
      <c r="D47" s="8">
        <v>45861909</v>
      </c>
      <c r="E47" s="21">
        <v>2144044246</v>
      </c>
      <c r="F47" s="19">
        <v>0.06</v>
      </c>
      <c r="G47" s="9">
        <f t="shared" si="5"/>
        <v>116947868.18181817</v>
      </c>
      <c r="H47" s="9">
        <f t="shared" si="6"/>
        <v>11694786.818181828</v>
      </c>
      <c r="I47" s="9">
        <f t="shared" si="7"/>
        <v>128642655</v>
      </c>
      <c r="J47" s="9">
        <v>85761770</v>
      </c>
      <c r="K47" s="9">
        <f t="shared" si="4"/>
        <v>42880885</v>
      </c>
      <c r="L47" s="59" t="str">
        <f>VLOOKUP(B47,'[1]IN HĐMB'!$I$1:$X$541,14,0)</f>
        <v>PTTT 01a</v>
      </c>
      <c r="M47" s="58" t="s">
        <v>26</v>
      </c>
    </row>
    <row r="48" spans="1:15" ht="29.25" customHeight="1">
      <c r="A48" s="7">
        <v>21</v>
      </c>
      <c r="B48" s="26" t="s">
        <v>62</v>
      </c>
      <c r="C48" s="73">
        <v>48.72</v>
      </c>
      <c r="D48" s="8">
        <v>46296092</v>
      </c>
      <c r="E48" s="21">
        <v>2255545602</v>
      </c>
      <c r="F48" s="19">
        <v>0.06</v>
      </c>
      <c r="G48" s="9">
        <f t="shared" si="5"/>
        <v>123029759.99999999</v>
      </c>
      <c r="H48" s="9">
        <f t="shared" si="6"/>
        <v>12302976.000000015</v>
      </c>
      <c r="I48" s="9">
        <f t="shared" si="7"/>
        <v>135332736</v>
      </c>
      <c r="J48" s="9">
        <v>90221824</v>
      </c>
      <c r="K48" s="9">
        <f t="shared" si="4"/>
        <v>45110912</v>
      </c>
      <c r="L48" s="59" t="str">
        <f>VLOOKUP(B48,'[1]IN HĐMB'!$I$1:$X$541,14,0)</f>
        <v>PTTT 04a</v>
      </c>
      <c r="M48" s="58" t="s">
        <v>26</v>
      </c>
    </row>
    <row r="49" spans="1:13" ht="29.25" customHeight="1">
      <c r="A49" s="7">
        <v>22</v>
      </c>
      <c r="B49" s="26" t="s">
        <v>63</v>
      </c>
      <c r="C49" s="73">
        <v>48.18</v>
      </c>
      <c r="D49" s="8">
        <v>45861909</v>
      </c>
      <c r="E49" s="21">
        <v>2209626776</v>
      </c>
      <c r="F49" s="19">
        <v>0.06</v>
      </c>
      <c r="G49" s="9">
        <f t="shared" si="5"/>
        <v>120525097.27272727</v>
      </c>
      <c r="H49" s="9">
        <f t="shared" si="6"/>
        <v>12052509.727272734</v>
      </c>
      <c r="I49" s="9">
        <f t="shared" si="7"/>
        <v>132577607</v>
      </c>
      <c r="J49" s="9">
        <v>88385071</v>
      </c>
      <c r="K49" s="9">
        <f t="shared" si="4"/>
        <v>44192536</v>
      </c>
      <c r="L49" s="59" t="str">
        <f>VLOOKUP(B49,'[1]IN HĐMB'!$I$1:$X$541,14,0)</f>
        <v>PTTT 03a</v>
      </c>
      <c r="M49" s="58" t="s">
        <v>26</v>
      </c>
    </row>
    <row r="50" spans="1:13" ht="29.25" customHeight="1">
      <c r="A50" s="7">
        <v>23</v>
      </c>
      <c r="B50" s="26" t="s">
        <v>64</v>
      </c>
      <c r="C50" s="73">
        <v>30.57</v>
      </c>
      <c r="D50" s="8">
        <v>46078517</v>
      </c>
      <c r="E50" s="21">
        <v>1408620265</v>
      </c>
      <c r="F50" s="19">
        <v>0.06</v>
      </c>
      <c r="G50" s="9">
        <f t="shared" si="5"/>
        <v>76833832.727272719</v>
      </c>
      <c r="H50" s="9">
        <f t="shared" si="6"/>
        <v>7683383.2727272809</v>
      </c>
      <c r="I50" s="9">
        <f t="shared" si="7"/>
        <v>84517216</v>
      </c>
      <c r="J50" s="9">
        <v>56344811</v>
      </c>
      <c r="K50" s="9">
        <f t="shared" si="4"/>
        <v>28172405</v>
      </c>
      <c r="L50" s="59" t="str">
        <f>VLOOKUP(B50,'[1]IN HĐMB'!$I$1:$X$541,14,0)</f>
        <v>PTTT 03a</v>
      </c>
      <c r="M50" s="58" t="s">
        <v>26</v>
      </c>
    </row>
    <row r="51" spans="1:13" ht="29.25" customHeight="1">
      <c r="A51" s="7">
        <v>24</v>
      </c>
      <c r="B51" s="26" t="s">
        <v>65</v>
      </c>
      <c r="C51" s="73">
        <v>46.75</v>
      </c>
      <c r="D51" s="8">
        <v>45861909</v>
      </c>
      <c r="E51" s="21">
        <v>2144044246</v>
      </c>
      <c r="F51" s="19">
        <v>0.06</v>
      </c>
      <c r="G51" s="9">
        <f t="shared" si="5"/>
        <v>116947868.18181817</v>
      </c>
      <c r="H51" s="9">
        <f t="shared" si="6"/>
        <v>11694786.818181828</v>
      </c>
      <c r="I51" s="9">
        <f t="shared" si="7"/>
        <v>128642655</v>
      </c>
      <c r="J51" s="9">
        <v>85761770</v>
      </c>
      <c r="K51" s="9">
        <f t="shared" si="4"/>
        <v>42880885</v>
      </c>
      <c r="L51" s="59" t="str">
        <f>VLOOKUP(B51,'[1]IN HĐMB'!$I$1:$X$541,14,0)</f>
        <v>PTTT 01a</v>
      </c>
      <c r="M51" s="58" t="s">
        <v>26</v>
      </c>
    </row>
    <row r="52" spans="1:13" ht="29.25" customHeight="1">
      <c r="A52" s="7">
        <v>25</v>
      </c>
      <c r="B52" s="26" t="s">
        <v>66</v>
      </c>
      <c r="C52" s="73">
        <v>48.47</v>
      </c>
      <c r="D52" s="8">
        <v>46296092</v>
      </c>
      <c r="E52" s="21">
        <v>2243971579</v>
      </c>
      <c r="F52" s="19">
        <v>0.06</v>
      </c>
      <c r="G52" s="9">
        <f t="shared" si="5"/>
        <v>122398449.99999999</v>
      </c>
      <c r="H52" s="9">
        <f t="shared" si="6"/>
        <v>12239845.000000015</v>
      </c>
      <c r="I52" s="9">
        <f t="shared" si="7"/>
        <v>134638295</v>
      </c>
      <c r="J52" s="9">
        <v>89758863</v>
      </c>
      <c r="K52" s="9">
        <f t="shared" si="4"/>
        <v>44879432</v>
      </c>
      <c r="L52" s="59" t="str">
        <f>VLOOKUP(B52,'[1]IN HĐMB'!$I$1:$X$541,14,0)</f>
        <v>PTTT 03a</v>
      </c>
      <c r="M52" s="58" t="s">
        <v>26</v>
      </c>
    </row>
    <row r="53" spans="1:13" ht="29.25" customHeight="1">
      <c r="A53" s="7">
        <v>26</v>
      </c>
      <c r="B53" s="26" t="s">
        <v>67</v>
      </c>
      <c r="C53" s="73">
        <v>30.57</v>
      </c>
      <c r="D53" s="8">
        <v>45861909</v>
      </c>
      <c r="E53" s="21">
        <v>1401998558</v>
      </c>
      <c r="F53" s="19">
        <v>0.06</v>
      </c>
      <c r="G53" s="9">
        <f t="shared" si="5"/>
        <v>76472648.181818172</v>
      </c>
      <c r="H53" s="9">
        <f t="shared" si="6"/>
        <v>7647264.8181818277</v>
      </c>
      <c r="I53" s="9">
        <f t="shared" si="7"/>
        <v>84119913</v>
      </c>
      <c r="J53" s="9">
        <v>56079942</v>
      </c>
      <c r="K53" s="9">
        <f t="shared" si="4"/>
        <v>28039971</v>
      </c>
      <c r="L53" s="59" t="str">
        <f>VLOOKUP(B53,'[1]IN HĐMB'!$I$1:$X$541,14,0)</f>
        <v>PTTT 03a</v>
      </c>
      <c r="M53" s="58" t="s">
        <v>26</v>
      </c>
    </row>
    <row r="54" spans="1:13" ht="29.25" customHeight="1">
      <c r="A54" s="7">
        <v>27</v>
      </c>
      <c r="B54" s="26" t="s">
        <v>68</v>
      </c>
      <c r="C54" s="73">
        <v>48.18</v>
      </c>
      <c r="D54" s="8">
        <v>44775001</v>
      </c>
      <c r="E54" s="21">
        <v>2157259548</v>
      </c>
      <c r="F54" s="19">
        <v>0.06</v>
      </c>
      <c r="G54" s="9">
        <f t="shared" si="5"/>
        <v>117668702.72727272</v>
      </c>
      <c r="H54" s="9">
        <f t="shared" si="6"/>
        <v>11766870.272727281</v>
      </c>
      <c r="I54" s="9">
        <f t="shared" si="7"/>
        <v>129435573</v>
      </c>
      <c r="J54" s="9">
        <v>86290382</v>
      </c>
      <c r="K54" s="9">
        <f t="shared" si="4"/>
        <v>43145191</v>
      </c>
      <c r="L54" s="59" t="str">
        <f>VLOOKUP(B54,'[1]IN HĐMB'!$I$1:$X$541,14,0)</f>
        <v>PTTT 01a</v>
      </c>
      <c r="M54" s="58" t="s">
        <v>26</v>
      </c>
    </row>
    <row r="55" spans="1:13" ht="29.25" customHeight="1">
      <c r="A55" s="7">
        <v>28</v>
      </c>
      <c r="B55" s="26" t="s">
        <v>69</v>
      </c>
      <c r="C55" s="73">
        <v>30.57</v>
      </c>
      <c r="D55" s="8">
        <v>44992576</v>
      </c>
      <c r="E55" s="21">
        <v>1375423048</v>
      </c>
      <c r="F55" s="19">
        <v>0.06</v>
      </c>
      <c r="G55" s="9">
        <f t="shared" si="5"/>
        <v>75023075.454545453</v>
      </c>
      <c r="H55" s="9">
        <f t="shared" si="6"/>
        <v>7502307.5454545468</v>
      </c>
      <c r="I55" s="9">
        <f t="shared" si="7"/>
        <v>82525383</v>
      </c>
      <c r="J55" s="9">
        <v>55016922</v>
      </c>
      <c r="K55" s="9">
        <f t="shared" si="4"/>
        <v>27508461</v>
      </c>
      <c r="L55" s="59" t="str">
        <f>VLOOKUP(B55,'[1]IN HĐMB'!$I$1:$X$541,14,0)</f>
        <v>PTTT 04a</v>
      </c>
      <c r="M55" s="58" t="s">
        <v>26</v>
      </c>
    </row>
    <row r="56" spans="1:13" ht="29.25" customHeight="1">
      <c r="A56" s="7">
        <v>29</v>
      </c>
      <c r="B56" s="26" t="s">
        <v>70</v>
      </c>
      <c r="C56" s="73">
        <v>48.47</v>
      </c>
      <c r="D56" s="8">
        <v>45209184</v>
      </c>
      <c r="E56" s="21">
        <v>2191289148</v>
      </c>
      <c r="F56" s="19">
        <v>0.06</v>
      </c>
      <c r="G56" s="9">
        <f t="shared" si="5"/>
        <v>119524862.72727272</v>
      </c>
      <c r="H56" s="9">
        <f t="shared" si="6"/>
        <v>11952486.272727281</v>
      </c>
      <c r="I56" s="9">
        <f t="shared" si="7"/>
        <v>131477349</v>
      </c>
      <c r="J56" s="9">
        <v>87651566</v>
      </c>
      <c r="K56" s="9">
        <f t="shared" si="4"/>
        <v>43825783</v>
      </c>
      <c r="L56" s="59" t="str">
        <f>VLOOKUP(B56,'[1]IN HĐMB'!$I$1:$X$541,14,0)</f>
        <v>PTTT 03a</v>
      </c>
      <c r="M56" s="58" t="s">
        <v>26</v>
      </c>
    </row>
    <row r="57" spans="1:13" ht="29.25" customHeight="1">
      <c r="A57" s="7">
        <v>30</v>
      </c>
      <c r="B57" s="26" t="s">
        <v>71</v>
      </c>
      <c r="C57" s="73">
        <v>30.14</v>
      </c>
      <c r="D57" s="8">
        <v>46513667</v>
      </c>
      <c r="E57" s="21">
        <v>1401921923</v>
      </c>
      <c r="F57" s="19">
        <v>0.06</v>
      </c>
      <c r="G57" s="9">
        <f t="shared" si="5"/>
        <v>76468468.181818172</v>
      </c>
      <c r="H57" s="9">
        <f t="shared" si="6"/>
        <v>7646846.8181818277</v>
      </c>
      <c r="I57" s="9">
        <f t="shared" si="7"/>
        <v>84115315</v>
      </c>
      <c r="J57" s="9">
        <v>56076877</v>
      </c>
      <c r="K57" s="9">
        <f t="shared" si="4"/>
        <v>28038438</v>
      </c>
      <c r="L57" s="59" t="str">
        <f>VLOOKUP(B57,'[1]IN HĐMB'!$I$1:$X$541,14,0)</f>
        <v>PTTT 01a</v>
      </c>
      <c r="M57" s="58" t="s">
        <v>26</v>
      </c>
    </row>
    <row r="58" spans="1:13" ht="29.25" customHeight="1">
      <c r="A58" s="7">
        <v>31</v>
      </c>
      <c r="B58" s="26" t="s">
        <v>72</v>
      </c>
      <c r="C58" s="73">
        <v>48.18</v>
      </c>
      <c r="D58" s="8">
        <v>45644334</v>
      </c>
      <c r="E58" s="21">
        <v>2199144012</v>
      </c>
      <c r="F58" s="19">
        <v>0.06</v>
      </c>
      <c r="G58" s="9">
        <f t="shared" si="5"/>
        <v>119953309.99999999</v>
      </c>
      <c r="H58" s="9">
        <f t="shared" si="6"/>
        <v>11995331.000000015</v>
      </c>
      <c r="I58" s="9">
        <f t="shared" si="7"/>
        <v>131948641</v>
      </c>
      <c r="J58" s="9">
        <v>87965760</v>
      </c>
      <c r="K58" s="9">
        <f t="shared" si="4"/>
        <v>43982881</v>
      </c>
      <c r="L58" s="59" t="str">
        <f>VLOOKUP(B58,'[1]IN HĐMB'!$I$1:$X$541,14,0)</f>
        <v>PTTT 03a</v>
      </c>
      <c r="M58" s="58" t="s">
        <v>26</v>
      </c>
    </row>
    <row r="59" spans="1:13" ht="29.25" customHeight="1">
      <c r="A59" s="7">
        <v>32</v>
      </c>
      <c r="B59" s="26" t="s">
        <v>73</v>
      </c>
      <c r="C59" s="73">
        <v>48.7</v>
      </c>
      <c r="D59" s="8">
        <v>44123243</v>
      </c>
      <c r="E59" s="21">
        <v>2148801934</v>
      </c>
      <c r="F59" s="19">
        <v>0.06</v>
      </c>
      <c r="G59" s="9">
        <f t="shared" si="5"/>
        <v>117207378.18181817</v>
      </c>
      <c r="H59" s="9">
        <f t="shared" si="6"/>
        <v>11720737.818181828</v>
      </c>
      <c r="I59" s="9">
        <f t="shared" si="7"/>
        <v>128928116</v>
      </c>
      <c r="J59" s="9">
        <v>85952077</v>
      </c>
      <c r="K59" s="9">
        <f t="shared" si="4"/>
        <v>42976039</v>
      </c>
      <c r="L59" s="59" t="str">
        <f>VLOOKUP(B59,'[1]IN HĐMB'!$I$1:$X$541,14,0)</f>
        <v>PTTT 01a</v>
      </c>
      <c r="M59" s="58" t="s">
        <v>26</v>
      </c>
    </row>
    <row r="60" spans="1:13" ht="29.25" customHeight="1">
      <c r="A60" s="7">
        <v>33</v>
      </c>
      <c r="B60" s="26" t="s">
        <v>74</v>
      </c>
      <c r="C60" s="73">
        <v>48.47</v>
      </c>
      <c r="D60" s="8">
        <v>46078517</v>
      </c>
      <c r="E60" s="21">
        <v>2233425719</v>
      </c>
      <c r="F60" s="19">
        <v>0.06</v>
      </c>
      <c r="G60" s="9">
        <f t="shared" si="5"/>
        <v>121823220.90909091</v>
      </c>
      <c r="H60" s="9">
        <f t="shared" si="6"/>
        <v>12182322.090909094</v>
      </c>
      <c r="I60" s="9">
        <f t="shared" si="7"/>
        <v>134005543</v>
      </c>
      <c r="J60" s="9">
        <v>89337029</v>
      </c>
      <c r="K60" s="9">
        <f t="shared" si="4"/>
        <v>44668514</v>
      </c>
      <c r="L60" s="59" t="str">
        <f>VLOOKUP(B60,'[1]IN HĐMB'!$I$1:$X$541,14,0)</f>
        <v>PTTT 01a</v>
      </c>
      <c r="M60" s="58" t="s">
        <v>26</v>
      </c>
    </row>
    <row r="61" spans="1:13" ht="29.25" customHeight="1">
      <c r="A61" s="7">
        <v>34</v>
      </c>
      <c r="B61" s="26" t="s">
        <v>75</v>
      </c>
      <c r="C61" s="73">
        <v>30.57</v>
      </c>
      <c r="D61" s="8">
        <v>46078517</v>
      </c>
      <c r="E61" s="21">
        <v>1408620265</v>
      </c>
      <c r="F61" s="19">
        <v>0.06</v>
      </c>
      <c r="G61" s="9">
        <f t="shared" si="5"/>
        <v>76833832.727272719</v>
      </c>
      <c r="H61" s="9">
        <f t="shared" si="6"/>
        <v>7683383.2727272809</v>
      </c>
      <c r="I61" s="9">
        <f t="shared" si="7"/>
        <v>84517216</v>
      </c>
      <c r="J61" s="9">
        <v>56344811</v>
      </c>
      <c r="K61" s="9">
        <f t="shared" si="4"/>
        <v>28172405</v>
      </c>
      <c r="L61" s="59" t="str">
        <f>VLOOKUP(B61,'[1]IN HĐMB'!$I$1:$X$541,14,0)</f>
        <v>PTTT 01a</v>
      </c>
      <c r="M61" s="58" t="s">
        <v>26</v>
      </c>
    </row>
    <row r="62" spans="1:13" ht="29.25" customHeight="1">
      <c r="A62" s="7">
        <v>35</v>
      </c>
      <c r="B62" s="26" t="s">
        <v>76</v>
      </c>
      <c r="C62" s="73">
        <v>46.75</v>
      </c>
      <c r="D62" s="8">
        <v>45861909</v>
      </c>
      <c r="E62" s="21">
        <v>2144044246</v>
      </c>
      <c r="F62" s="19">
        <v>0.06</v>
      </c>
      <c r="G62" s="9">
        <f t="shared" si="5"/>
        <v>116947868.18181817</v>
      </c>
      <c r="H62" s="9">
        <f t="shared" si="6"/>
        <v>11694786.818181828</v>
      </c>
      <c r="I62" s="9">
        <f t="shared" si="7"/>
        <v>128642655</v>
      </c>
      <c r="J62" s="9">
        <v>85761770</v>
      </c>
      <c r="K62" s="9">
        <f t="shared" si="4"/>
        <v>42880885</v>
      </c>
      <c r="L62" s="59" t="str">
        <f>VLOOKUP(B62,'[1]IN HĐMB'!$I$1:$X$541,14,0)</f>
        <v>PTTT 01a</v>
      </c>
      <c r="M62" s="58" t="s">
        <v>26</v>
      </c>
    </row>
    <row r="63" spans="1:13" ht="29.25" customHeight="1">
      <c r="A63" s="7">
        <v>36</v>
      </c>
      <c r="B63" s="26" t="s">
        <v>77</v>
      </c>
      <c r="C63" s="73">
        <v>30.57</v>
      </c>
      <c r="D63" s="8">
        <v>46078517</v>
      </c>
      <c r="E63" s="21">
        <v>1408620265</v>
      </c>
      <c r="F63" s="19">
        <v>0.06</v>
      </c>
      <c r="G63" s="9">
        <f t="shared" si="5"/>
        <v>76833832.727272719</v>
      </c>
      <c r="H63" s="9">
        <f t="shared" si="6"/>
        <v>7683383.2727272809</v>
      </c>
      <c r="I63" s="9">
        <f t="shared" si="7"/>
        <v>84517216</v>
      </c>
      <c r="J63" s="9">
        <v>56344811</v>
      </c>
      <c r="K63" s="9">
        <f t="shared" si="4"/>
        <v>28172405</v>
      </c>
      <c r="L63" s="59" t="str">
        <f>VLOOKUP(B63,'[1]IN HĐMB'!$I$1:$X$541,14,0)</f>
        <v>PTTT 01a</v>
      </c>
      <c r="M63" s="58" t="s">
        <v>26</v>
      </c>
    </row>
    <row r="64" spans="1:13" ht="29.25" customHeight="1">
      <c r="A64" s="7">
        <v>37</v>
      </c>
      <c r="B64" s="26" t="s">
        <v>78</v>
      </c>
      <c r="C64" s="73">
        <v>46.75</v>
      </c>
      <c r="D64" s="8">
        <v>45861909</v>
      </c>
      <c r="E64" s="21">
        <v>2144044246</v>
      </c>
      <c r="F64" s="19">
        <v>0.06</v>
      </c>
      <c r="G64" s="9">
        <f t="shared" si="5"/>
        <v>116947868.18181817</v>
      </c>
      <c r="H64" s="9">
        <f t="shared" si="6"/>
        <v>11694786.818181828</v>
      </c>
      <c r="I64" s="9">
        <f t="shared" si="7"/>
        <v>128642655</v>
      </c>
      <c r="J64" s="9">
        <v>85761770</v>
      </c>
      <c r="K64" s="9">
        <f t="shared" si="4"/>
        <v>42880885</v>
      </c>
      <c r="L64" s="59" t="str">
        <f>VLOOKUP(B64,'[1]IN HĐMB'!$I$1:$X$541,14,0)</f>
        <v>PTTT 01a</v>
      </c>
      <c r="M64" s="58" t="s">
        <v>26</v>
      </c>
    </row>
    <row r="65" spans="1:13" ht="29.25" customHeight="1">
      <c r="A65" s="7">
        <v>38</v>
      </c>
      <c r="B65" s="26" t="s">
        <v>79</v>
      </c>
      <c r="C65" s="73">
        <v>46.75</v>
      </c>
      <c r="D65" s="8">
        <v>45861909</v>
      </c>
      <c r="E65" s="21">
        <v>2144044246</v>
      </c>
      <c r="F65" s="19">
        <v>0.06</v>
      </c>
      <c r="G65" s="9">
        <f t="shared" si="5"/>
        <v>116947868.18181817</v>
      </c>
      <c r="H65" s="9">
        <f t="shared" si="6"/>
        <v>11694786.818181828</v>
      </c>
      <c r="I65" s="9">
        <f t="shared" si="7"/>
        <v>128642655</v>
      </c>
      <c r="J65" s="9">
        <v>85761770</v>
      </c>
      <c r="K65" s="9">
        <f t="shared" si="4"/>
        <v>42880885</v>
      </c>
      <c r="L65" s="59" t="str">
        <f>VLOOKUP(B65,'[1]IN HĐMB'!$I$1:$X$541,14,0)</f>
        <v>PTTT 01a</v>
      </c>
      <c r="M65" s="58" t="s">
        <v>26</v>
      </c>
    </row>
    <row r="66" spans="1:13" ht="29.25" customHeight="1">
      <c r="A66" s="7">
        <v>39</v>
      </c>
      <c r="B66" s="26" t="s">
        <v>80</v>
      </c>
      <c r="C66" s="73">
        <v>30.14</v>
      </c>
      <c r="D66" s="8">
        <v>46947850</v>
      </c>
      <c r="E66" s="21">
        <v>1415008199</v>
      </c>
      <c r="F66" s="19">
        <v>0.06</v>
      </c>
      <c r="G66" s="9">
        <f t="shared" si="5"/>
        <v>77182265.454545453</v>
      </c>
      <c r="H66" s="9">
        <f t="shared" si="6"/>
        <v>7718226.5454545468</v>
      </c>
      <c r="I66" s="9">
        <f t="shared" si="7"/>
        <v>84900492</v>
      </c>
      <c r="J66" s="9">
        <v>56600328</v>
      </c>
      <c r="K66" s="9">
        <f t="shared" si="4"/>
        <v>28300164</v>
      </c>
      <c r="L66" s="59" t="str">
        <f>VLOOKUP(B66,'[1]IN HĐMB'!$I$1:$X$541,14,0)</f>
        <v>PTTT 03a</v>
      </c>
      <c r="M66" s="58" t="s">
        <v>26</v>
      </c>
    </row>
    <row r="67" spans="1:13" ht="29.25" customHeight="1">
      <c r="A67" s="7">
        <v>40</v>
      </c>
      <c r="B67" s="26" t="s">
        <v>81</v>
      </c>
      <c r="C67" s="73">
        <v>30.33</v>
      </c>
      <c r="D67" s="8">
        <v>46731242</v>
      </c>
      <c r="E67" s="21">
        <v>1417358570</v>
      </c>
      <c r="F67" s="19">
        <v>0.06</v>
      </c>
      <c r="G67" s="9">
        <f t="shared" si="5"/>
        <v>77310467.272727266</v>
      </c>
      <c r="H67" s="9">
        <f t="shared" si="6"/>
        <v>7731046.727272734</v>
      </c>
      <c r="I67" s="9">
        <f t="shared" si="7"/>
        <v>85041514</v>
      </c>
      <c r="J67" s="9">
        <v>56694343</v>
      </c>
      <c r="K67" s="9">
        <f t="shared" si="4"/>
        <v>28347171</v>
      </c>
      <c r="L67" s="59" t="str">
        <f>VLOOKUP(B67,'[1]IN HĐMB'!$I$1:$X$541,14,0)</f>
        <v>PTTT 01a</v>
      </c>
      <c r="M67" s="58" t="s">
        <v>26</v>
      </c>
    </row>
    <row r="68" spans="1:13" ht="29.25" customHeight="1">
      <c r="A68" s="7">
        <v>41</v>
      </c>
      <c r="B68" s="26" t="s">
        <v>82</v>
      </c>
      <c r="C68" s="73">
        <v>48.31</v>
      </c>
      <c r="D68" s="8">
        <v>45209184</v>
      </c>
      <c r="E68" s="21">
        <v>2184055679</v>
      </c>
      <c r="F68" s="19">
        <v>0.06</v>
      </c>
      <c r="G68" s="9">
        <f t="shared" si="5"/>
        <v>119130309.99999999</v>
      </c>
      <c r="H68" s="9">
        <f t="shared" si="6"/>
        <v>11913031.000000015</v>
      </c>
      <c r="I68" s="9">
        <f t="shared" si="7"/>
        <v>131043341</v>
      </c>
      <c r="J68" s="9">
        <v>87362227</v>
      </c>
      <c r="K68" s="9">
        <f t="shared" si="4"/>
        <v>43681114</v>
      </c>
      <c r="L68" s="59" t="str">
        <f>VLOOKUP(B68,'[1]IN HĐMB'!$I$1:$X$541,14,0)</f>
        <v>PTTT 01a</v>
      </c>
      <c r="M68" s="58" t="s">
        <v>26</v>
      </c>
    </row>
    <row r="69" spans="1:13" ht="29.25" customHeight="1">
      <c r="A69" s="7">
        <v>42</v>
      </c>
      <c r="B69" s="26" t="s">
        <v>83</v>
      </c>
      <c r="C69" s="73">
        <v>30.57</v>
      </c>
      <c r="D69" s="8">
        <v>45426759</v>
      </c>
      <c r="E69" s="21">
        <v>1388696023</v>
      </c>
      <c r="F69" s="19">
        <v>0.06</v>
      </c>
      <c r="G69" s="9">
        <f t="shared" si="5"/>
        <v>75747055.454545453</v>
      </c>
      <c r="H69" s="9">
        <f t="shared" si="6"/>
        <v>7574705.5454545468</v>
      </c>
      <c r="I69" s="9">
        <f t="shared" si="7"/>
        <v>83321761</v>
      </c>
      <c r="J69" s="9">
        <v>55547841</v>
      </c>
      <c r="K69" s="9">
        <f t="shared" si="4"/>
        <v>27773920</v>
      </c>
      <c r="L69" s="59" t="str">
        <f>VLOOKUP(B69,'[1]IN HĐMB'!$I$1:$X$541,14,0)</f>
        <v>PTTT 01a</v>
      </c>
      <c r="M69" s="58" t="s">
        <v>26</v>
      </c>
    </row>
    <row r="70" spans="1:13" ht="29.25" customHeight="1">
      <c r="A70" s="7">
        <v>43</v>
      </c>
      <c r="B70" s="26" t="s">
        <v>84</v>
      </c>
      <c r="C70" s="73">
        <v>48.73</v>
      </c>
      <c r="D70" s="8">
        <v>43688093</v>
      </c>
      <c r="E70" s="21">
        <v>2128920772</v>
      </c>
      <c r="F70" s="19">
        <v>0.06</v>
      </c>
      <c r="G70" s="9">
        <f t="shared" si="5"/>
        <v>116122950.90909091</v>
      </c>
      <c r="H70" s="9">
        <f t="shared" si="6"/>
        <v>11612295.090909094</v>
      </c>
      <c r="I70" s="9">
        <f t="shared" si="7"/>
        <v>127735246</v>
      </c>
      <c r="J70" s="9">
        <v>85156831</v>
      </c>
      <c r="K70" s="9">
        <f t="shared" si="4"/>
        <v>42578415</v>
      </c>
      <c r="L70" s="59" t="str">
        <f>VLOOKUP(B70,'[1]IN HĐMB'!$I$1:$X$541,14,0)</f>
        <v>PTTT 03a</v>
      </c>
      <c r="M70" s="58" t="s">
        <v>26</v>
      </c>
    </row>
    <row r="71" spans="1:13" ht="29.25" customHeight="1">
      <c r="A71" s="7">
        <v>44</v>
      </c>
      <c r="B71" s="26" t="s">
        <v>85</v>
      </c>
      <c r="C71" s="73">
        <v>46.93</v>
      </c>
      <c r="D71" s="8">
        <v>45209184</v>
      </c>
      <c r="E71" s="21">
        <v>2121667005</v>
      </c>
      <c r="F71" s="19">
        <v>0.06</v>
      </c>
      <c r="G71" s="9">
        <f t="shared" si="5"/>
        <v>115727290.90909091</v>
      </c>
      <c r="H71" s="9">
        <f t="shared" si="6"/>
        <v>11572729.090909094</v>
      </c>
      <c r="I71" s="9">
        <f t="shared" si="7"/>
        <v>127300020</v>
      </c>
      <c r="J71" s="9">
        <v>84866680</v>
      </c>
      <c r="K71" s="9">
        <f t="shared" si="4"/>
        <v>42433340</v>
      </c>
      <c r="L71" s="59" t="str">
        <f>VLOOKUP(B71,'[1]IN HĐMB'!$I$1:$X$541,14,0)</f>
        <v>PTTT 01a</v>
      </c>
      <c r="M71" s="58" t="s">
        <v>26</v>
      </c>
    </row>
    <row r="72" spans="1:13" ht="29.25" customHeight="1">
      <c r="A72" s="7">
        <v>45</v>
      </c>
      <c r="B72" s="26" t="s">
        <v>86</v>
      </c>
      <c r="C72" s="73">
        <v>48.82</v>
      </c>
      <c r="D72" s="8">
        <v>45644334</v>
      </c>
      <c r="E72" s="21">
        <v>2228356386</v>
      </c>
      <c r="F72" s="19">
        <v>0.06</v>
      </c>
      <c r="G72" s="9">
        <f t="shared" si="5"/>
        <v>121546711.81818181</v>
      </c>
      <c r="H72" s="9">
        <f t="shared" si="6"/>
        <v>12154671.181818187</v>
      </c>
      <c r="I72" s="9">
        <f t="shared" si="7"/>
        <v>133701383</v>
      </c>
      <c r="J72" s="9">
        <v>89134255</v>
      </c>
      <c r="K72" s="9">
        <f t="shared" si="4"/>
        <v>44567128</v>
      </c>
      <c r="L72" s="59" t="str">
        <f>VLOOKUP(B72,'[1]IN HĐMB'!$I$1:$X$541,14,0)</f>
        <v>PTTT 01a</v>
      </c>
      <c r="M72" s="58" t="s">
        <v>26</v>
      </c>
    </row>
    <row r="73" spans="1:13" ht="29.25" customHeight="1">
      <c r="A73" s="7">
        <v>46</v>
      </c>
      <c r="B73" s="26" t="s">
        <v>87</v>
      </c>
      <c r="C73" s="73">
        <v>48.31</v>
      </c>
      <c r="D73" s="8">
        <v>44992576</v>
      </c>
      <c r="E73" s="21">
        <v>2173591347</v>
      </c>
      <c r="F73" s="19">
        <v>0.06</v>
      </c>
      <c r="G73" s="9">
        <f t="shared" si="5"/>
        <v>118559528.18181817</v>
      </c>
      <c r="H73" s="9">
        <f t="shared" si="6"/>
        <v>11855952.818181828</v>
      </c>
      <c r="I73" s="9">
        <f t="shared" si="7"/>
        <v>130415481</v>
      </c>
      <c r="J73" s="9">
        <v>86943654</v>
      </c>
      <c r="K73" s="9">
        <f t="shared" si="4"/>
        <v>43471827</v>
      </c>
      <c r="L73" s="59" t="str">
        <f>VLOOKUP(B73,'[1]IN HĐMB'!$I$1:$X$541,14,0)</f>
        <v>PTTT 03a</v>
      </c>
      <c r="M73" s="58" t="s">
        <v>26</v>
      </c>
    </row>
    <row r="74" spans="1:13" ht="29.25" customHeight="1">
      <c r="A74" s="7">
        <v>47</v>
      </c>
      <c r="B74" s="26" t="s">
        <v>88</v>
      </c>
      <c r="C74" s="73">
        <v>30.57</v>
      </c>
      <c r="D74" s="8">
        <v>45209184</v>
      </c>
      <c r="E74" s="21">
        <v>1382044755</v>
      </c>
      <c r="F74" s="19">
        <v>0.06</v>
      </c>
      <c r="G74" s="9">
        <f t="shared" si="5"/>
        <v>75384259.090909079</v>
      </c>
      <c r="H74" s="9">
        <f t="shared" si="6"/>
        <v>7538425.9090909213</v>
      </c>
      <c r="I74" s="9">
        <f t="shared" si="7"/>
        <v>82922685</v>
      </c>
      <c r="J74" s="9">
        <v>55281790</v>
      </c>
      <c r="K74" s="9">
        <f t="shared" si="4"/>
        <v>27640895</v>
      </c>
      <c r="L74" s="59" t="str">
        <f>VLOOKUP(B74,'[1]IN HĐMB'!$I$1:$X$541,14,0)</f>
        <v>PTTT 03a</v>
      </c>
      <c r="M74" s="58" t="s">
        <v>26</v>
      </c>
    </row>
    <row r="75" spans="1:13" ht="29.25" customHeight="1">
      <c r="A75" s="7">
        <v>48</v>
      </c>
      <c r="B75" s="26" t="s">
        <v>89</v>
      </c>
      <c r="C75" s="73">
        <v>30.33</v>
      </c>
      <c r="D75" s="8">
        <v>46078517</v>
      </c>
      <c r="E75" s="21">
        <v>1397561421</v>
      </c>
      <c r="F75" s="19">
        <v>0.06</v>
      </c>
      <c r="G75" s="9">
        <f t="shared" si="5"/>
        <v>76230622.727272719</v>
      </c>
      <c r="H75" s="9">
        <f t="shared" si="6"/>
        <v>7623062.2727272809</v>
      </c>
      <c r="I75" s="9">
        <f t="shared" si="7"/>
        <v>83853685</v>
      </c>
      <c r="J75" s="9">
        <v>55902457</v>
      </c>
      <c r="K75" s="9">
        <f t="shared" si="4"/>
        <v>27951228</v>
      </c>
      <c r="L75" s="59" t="str">
        <f>VLOOKUP(B75,'[1]IN HĐMB'!$I$1:$X$541,14,0)</f>
        <v>PTTT 01a</v>
      </c>
      <c r="M75" s="58" t="s">
        <v>26</v>
      </c>
    </row>
    <row r="76" spans="1:13" ht="29.25" customHeight="1">
      <c r="A76" s="7">
        <v>49</v>
      </c>
      <c r="B76" s="26" t="s">
        <v>90</v>
      </c>
      <c r="C76" s="73">
        <v>48.82</v>
      </c>
      <c r="D76" s="8">
        <v>45426759</v>
      </c>
      <c r="E76" s="21">
        <v>2217734374</v>
      </c>
      <c r="F76" s="19">
        <v>0.06</v>
      </c>
      <c r="G76" s="9">
        <f t="shared" si="5"/>
        <v>120967329.09090908</v>
      </c>
      <c r="H76" s="9">
        <f t="shared" si="6"/>
        <v>12096732.909090921</v>
      </c>
      <c r="I76" s="9">
        <f t="shared" si="7"/>
        <v>133064062</v>
      </c>
      <c r="J76" s="9">
        <v>88709375</v>
      </c>
      <c r="K76" s="9">
        <f t="shared" si="4"/>
        <v>44354687</v>
      </c>
      <c r="L76" s="59" t="str">
        <f>VLOOKUP(B76,'[1]IN HĐMB'!$I$1:$X$541,14,0)</f>
        <v>PTTT 01a</v>
      </c>
      <c r="M76" s="58" t="s">
        <v>26</v>
      </c>
    </row>
    <row r="77" spans="1:13" ht="29.25" customHeight="1">
      <c r="A77" s="7">
        <v>50</v>
      </c>
      <c r="B77" s="26" t="s">
        <v>91</v>
      </c>
      <c r="C77" s="73">
        <v>46.93</v>
      </c>
      <c r="D77" s="8">
        <v>45209184</v>
      </c>
      <c r="E77" s="21">
        <v>2121667005</v>
      </c>
      <c r="F77" s="19">
        <v>0.06</v>
      </c>
      <c r="G77" s="9">
        <f t="shared" si="5"/>
        <v>115727290.90909091</v>
      </c>
      <c r="H77" s="9">
        <f t="shared" si="6"/>
        <v>11572729.090909094</v>
      </c>
      <c r="I77" s="9">
        <f t="shared" si="7"/>
        <v>127300020</v>
      </c>
      <c r="J77" s="9">
        <v>84866680</v>
      </c>
      <c r="K77" s="9">
        <f t="shared" si="4"/>
        <v>42433340</v>
      </c>
      <c r="L77" s="59" t="str">
        <f>VLOOKUP(B77,'[1]IN HĐMB'!$I$1:$X$541,14,0)</f>
        <v>PTTT 01a</v>
      </c>
      <c r="M77" s="58" t="s">
        <v>26</v>
      </c>
    </row>
    <row r="78" spans="1:13" ht="29.25" customHeight="1">
      <c r="A78" s="7">
        <v>51</v>
      </c>
      <c r="B78" s="26" t="s">
        <v>92</v>
      </c>
      <c r="C78" s="73">
        <v>48.82</v>
      </c>
      <c r="D78" s="8">
        <v>45644334</v>
      </c>
      <c r="E78" s="21">
        <v>2228356386</v>
      </c>
      <c r="F78" s="19">
        <v>0.06</v>
      </c>
      <c r="G78" s="9">
        <f t="shared" si="5"/>
        <v>121546711.81818181</v>
      </c>
      <c r="H78" s="9">
        <f t="shared" si="6"/>
        <v>12154671.181818187</v>
      </c>
      <c r="I78" s="9">
        <f t="shared" si="7"/>
        <v>133701383</v>
      </c>
      <c r="J78" s="9">
        <v>89134255</v>
      </c>
      <c r="K78" s="9">
        <f t="shared" si="4"/>
        <v>44567128</v>
      </c>
      <c r="L78" s="59" t="str">
        <f>VLOOKUP(B78,'[1]IN HĐMB'!$I$1:$X$541,14,0)</f>
        <v>PTTT 03a</v>
      </c>
      <c r="M78" s="58" t="s">
        <v>26</v>
      </c>
    </row>
    <row r="79" spans="1:13" ht="29.25" customHeight="1">
      <c r="A79" s="7">
        <v>52</v>
      </c>
      <c r="B79" s="26" t="s">
        <v>93</v>
      </c>
      <c r="C79" s="73">
        <v>30.33</v>
      </c>
      <c r="D79" s="8">
        <v>46078517</v>
      </c>
      <c r="E79" s="21">
        <v>1397561421</v>
      </c>
      <c r="F79" s="19">
        <v>0.06</v>
      </c>
      <c r="G79" s="9">
        <f t="shared" si="5"/>
        <v>76230622.727272719</v>
      </c>
      <c r="H79" s="9">
        <f t="shared" si="6"/>
        <v>7623062.2727272809</v>
      </c>
      <c r="I79" s="9">
        <f t="shared" si="7"/>
        <v>83853685</v>
      </c>
      <c r="J79" s="9">
        <v>55902457</v>
      </c>
      <c r="K79" s="9">
        <f t="shared" si="4"/>
        <v>27951228</v>
      </c>
      <c r="L79" s="59" t="str">
        <f>VLOOKUP(B79,'[1]IN HĐMB'!$I$1:$X$541,14,0)</f>
        <v>PTTT 01a</v>
      </c>
      <c r="M79" s="58" t="s">
        <v>26</v>
      </c>
    </row>
    <row r="80" spans="1:13" ht="29.25" customHeight="1">
      <c r="A80" s="7">
        <v>53</v>
      </c>
      <c r="B80" s="26" t="s">
        <v>94</v>
      </c>
      <c r="C80" s="73">
        <v>30.57</v>
      </c>
      <c r="D80" s="8">
        <v>44557426</v>
      </c>
      <c r="E80" s="21">
        <v>1362120513</v>
      </c>
      <c r="F80" s="19">
        <v>0.06</v>
      </c>
      <c r="G80" s="9">
        <f t="shared" si="5"/>
        <v>74297482.727272719</v>
      </c>
      <c r="H80" s="9">
        <f t="shared" si="6"/>
        <v>7429748.2727272809</v>
      </c>
      <c r="I80" s="9">
        <f t="shared" si="7"/>
        <v>81727231</v>
      </c>
      <c r="J80" s="9">
        <v>54484821</v>
      </c>
      <c r="K80" s="9">
        <f t="shared" si="4"/>
        <v>27242410</v>
      </c>
      <c r="L80" s="59" t="str">
        <f>VLOOKUP(B80,'[1]IN HĐMB'!$I$1:$X$541,14,0)</f>
        <v>PTTT 04a</v>
      </c>
      <c r="M80" s="58" t="s">
        <v>26</v>
      </c>
    </row>
    <row r="81" spans="1:13" ht="29.25" customHeight="1">
      <c r="A81" s="7">
        <v>54</v>
      </c>
      <c r="B81" s="26" t="s">
        <v>95</v>
      </c>
      <c r="C81" s="73">
        <v>48.73</v>
      </c>
      <c r="D81" s="8">
        <v>42818760</v>
      </c>
      <c r="E81" s="21">
        <v>2086558175</v>
      </c>
      <c r="F81" s="19">
        <v>0.06</v>
      </c>
      <c r="G81" s="9">
        <f t="shared" si="5"/>
        <v>113812264.54545453</v>
      </c>
      <c r="H81" s="9">
        <f t="shared" si="6"/>
        <v>11381226.454545468</v>
      </c>
      <c r="I81" s="9">
        <f t="shared" si="7"/>
        <v>125193491</v>
      </c>
      <c r="J81" s="9">
        <v>83462327</v>
      </c>
      <c r="K81" s="9">
        <f t="shared" si="4"/>
        <v>41731164</v>
      </c>
      <c r="L81" s="59" t="str">
        <f>VLOOKUP(B81,'[1]IN HĐMB'!$I$1:$X$541,14,0)</f>
        <v>PTTT 03a</v>
      </c>
      <c r="M81" s="58" t="s">
        <v>26</v>
      </c>
    </row>
    <row r="82" spans="1:13" ht="29.25" customHeight="1">
      <c r="A82" s="7">
        <v>55</v>
      </c>
      <c r="B82" s="26" t="s">
        <v>96</v>
      </c>
      <c r="C82" s="73">
        <v>31.9</v>
      </c>
      <c r="D82" s="8">
        <v>47725353</v>
      </c>
      <c r="E82" s="21">
        <v>1522438761</v>
      </c>
      <c r="F82" s="19">
        <v>0.06</v>
      </c>
      <c r="G82" s="9">
        <f t="shared" si="5"/>
        <v>83042114.545454532</v>
      </c>
      <c r="H82" s="9">
        <f t="shared" si="6"/>
        <v>8304211.4545454681</v>
      </c>
      <c r="I82" s="9">
        <f t="shared" si="7"/>
        <v>91346326</v>
      </c>
      <c r="J82" s="9">
        <v>60897550</v>
      </c>
      <c r="K82" s="9">
        <f t="shared" si="4"/>
        <v>30448776</v>
      </c>
      <c r="L82" s="59" t="str">
        <f>VLOOKUP(B82,'[1]IN HĐMB'!$I$1:$X$541,14,0)</f>
        <v>PTTT 04c</v>
      </c>
      <c r="M82" s="58" t="s">
        <v>20</v>
      </c>
    </row>
    <row r="83" spans="1:13" ht="29.25" customHeight="1">
      <c r="A83" s="7">
        <v>56</v>
      </c>
      <c r="B83" s="26" t="s">
        <v>97</v>
      </c>
      <c r="C83" s="73">
        <v>47.27</v>
      </c>
      <c r="D83" s="8">
        <v>47040616</v>
      </c>
      <c r="E83" s="21">
        <v>2223609918</v>
      </c>
      <c r="F83" s="19">
        <v>0.06</v>
      </c>
      <c r="G83" s="9">
        <f t="shared" si="5"/>
        <v>121287813.63636363</v>
      </c>
      <c r="H83" s="9">
        <f t="shared" si="6"/>
        <v>12128781.363636374</v>
      </c>
      <c r="I83" s="9">
        <f t="shared" si="7"/>
        <v>133416595</v>
      </c>
      <c r="J83" s="9">
        <v>88944397</v>
      </c>
      <c r="K83" s="9">
        <f t="shared" si="4"/>
        <v>44472198</v>
      </c>
      <c r="L83" s="59" t="str">
        <f>VLOOKUP(B83,'[1]IN HĐMB'!$I$1:$X$541,14,0)</f>
        <v>PTTT 06c</v>
      </c>
      <c r="M83" s="58" t="s">
        <v>20</v>
      </c>
    </row>
    <row r="84" spans="1:13" ht="29.25" customHeight="1">
      <c r="A84" s="7">
        <v>57</v>
      </c>
      <c r="B84" s="26" t="s">
        <v>98</v>
      </c>
      <c r="C84" s="73">
        <v>31.9</v>
      </c>
      <c r="D84" s="8">
        <v>47953937</v>
      </c>
      <c r="E84" s="21">
        <v>1529730590</v>
      </c>
      <c r="F84" s="19">
        <v>0.06</v>
      </c>
      <c r="G84" s="9">
        <f t="shared" si="5"/>
        <v>83439850</v>
      </c>
      <c r="H84" s="9">
        <f t="shared" si="6"/>
        <v>8343985</v>
      </c>
      <c r="I84" s="9">
        <f t="shared" si="7"/>
        <v>91783835</v>
      </c>
      <c r="J84" s="9">
        <v>61189224</v>
      </c>
      <c r="K84" s="9">
        <f t="shared" si="4"/>
        <v>30594611</v>
      </c>
      <c r="L84" s="59" t="str">
        <f>VLOOKUP(B84,'[1]IN HĐMB'!$I$1:$X$541,14,0)</f>
        <v>PTTT 04c</v>
      </c>
      <c r="M84" s="58" t="s">
        <v>20</v>
      </c>
    </row>
    <row r="85" spans="1:13" ht="29.25" customHeight="1">
      <c r="A85" s="7">
        <v>58</v>
      </c>
      <c r="B85" s="26" t="s">
        <v>99</v>
      </c>
      <c r="C85" s="73">
        <v>46.73</v>
      </c>
      <c r="D85" s="8">
        <v>48410090</v>
      </c>
      <c r="E85" s="21">
        <v>2262203506</v>
      </c>
      <c r="F85" s="19">
        <v>0.06</v>
      </c>
      <c r="G85" s="9">
        <f t="shared" si="5"/>
        <v>123392918.18181817</v>
      </c>
      <c r="H85" s="9">
        <f t="shared" si="6"/>
        <v>12339291.818181828</v>
      </c>
      <c r="I85" s="9">
        <f t="shared" si="7"/>
        <v>135732210</v>
      </c>
      <c r="J85" s="9">
        <v>90488140</v>
      </c>
      <c r="K85" s="9">
        <f t="shared" si="4"/>
        <v>45244070</v>
      </c>
      <c r="L85" s="59" t="str">
        <f>VLOOKUP(B85,'[1]IN HĐMB'!$I$1:$X$541,14,0)</f>
        <v>PTTT 09c</v>
      </c>
      <c r="M85" s="58" t="s">
        <v>20</v>
      </c>
    </row>
    <row r="86" spans="1:13" ht="29.25" customHeight="1">
      <c r="A86" s="7">
        <v>59</v>
      </c>
      <c r="B86" s="26" t="s">
        <v>205</v>
      </c>
      <c r="C86" s="73">
        <v>46.01</v>
      </c>
      <c r="D86" s="8">
        <v>45212957</v>
      </c>
      <c r="E86" s="21">
        <v>2080248152</v>
      </c>
      <c r="F86" s="19">
        <v>0.06</v>
      </c>
      <c r="G86" s="9">
        <f t="shared" si="5"/>
        <v>113468080.90909091</v>
      </c>
      <c r="H86" s="9">
        <f t="shared" si="6"/>
        <v>11346808.090909094</v>
      </c>
      <c r="I86" s="9">
        <f t="shared" si="7"/>
        <v>124814889</v>
      </c>
      <c r="J86" s="9">
        <v>83209926</v>
      </c>
      <c r="K86" s="9">
        <f t="shared" si="4"/>
        <v>41604963</v>
      </c>
      <c r="L86" s="59" t="str">
        <f>VLOOKUP(B86,'[1]IN HĐMB'!$I$1:$X$541,14,0)</f>
        <v>PTTT 04c</v>
      </c>
      <c r="M86" s="58" t="s">
        <v>20</v>
      </c>
    </row>
    <row r="87" spans="1:13" ht="29.25" customHeight="1">
      <c r="A87" s="7">
        <v>60</v>
      </c>
      <c r="B87" s="26" t="s">
        <v>206</v>
      </c>
      <c r="C87" s="73">
        <v>47.27</v>
      </c>
      <c r="D87" s="21">
        <v>47209699</v>
      </c>
      <c r="E87" s="21">
        <v>2231602472</v>
      </c>
      <c r="F87" s="19">
        <v>0.06</v>
      </c>
      <c r="G87" s="9">
        <f t="shared" si="5"/>
        <v>121723770.90909091</v>
      </c>
      <c r="H87" s="9">
        <f t="shared" si="6"/>
        <v>12172377.090909094</v>
      </c>
      <c r="I87" s="9">
        <f t="shared" si="7"/>
        <v>133896148</v>
      </c>
      <c r="J87" s="9">
        <v>0</v>
      </c>
      <c r="K87" s="9">
        <f t="shared" si="4"/>
        <v>133896148</v>
      </c>
      <c r="L87" s="59" t="str">
        <f>VLOOKUP(B87,'[1]IN HĐMB'!$I$1:$X$541,14,0)</f>
        <v>PTTT 09c</v>
      </c>
      <c r="M87" s="58" t="s">
        <v>20</v>
      </c>
    </row>
    <row r="88" spans="1:13" ht="29.25" customHeight="1">
      <c r="A88" s="7">
        <v>61</v>
      </c>
      <c r="B88" s="26" t="s">
        <v>207</v>
      </c>
      <c r="C88" s="73">
        <v>31.9</v>
      </c>
      <c r="D88" s="21">
        <v>48135298</v>
      </c>
      <c r="E88" s="21">
        <v>1535516006</v>
      </c>
      <c r="F88" s="19">
        <v>0.06</v>
      </c>
      <c r="G88" s="9">
        <f t="shared" si="5"/>
        <v>83755418.181818172</v>
      </c>
      <c r="H88" s="9">
        <f t="shared" si="6"/>
        <v>8375541.8181818277</v>
      </c>
      <c r="I88" s="9">
        <f t="shared" si="7"/>
        <v>92130960</v>
      </c>
      <c r="J88" s="9">
        <v>0</v>
      </c>
      <c r="K88" s="9">
        <f t="shared" si="4"/>
        <v>92130960</v>
      </c>
      <c r="L88" s="59" t="str">
        <f>VLOOKUP(B88,'[1]IN HĐMB'!$I$1:$X$541,14,0)</f>
        <v>PTTT 09c</v>
      </c>
      <c r="M88" s="58" t="s">
        <v>20</v>
      </c>
    </row>
    <row r="89" spans="1:13" ht="29.25" customHeight="1">
      <c r="A89" s="7">
        <v>62</v>
      </c>
      <c r="B89" s="26" t="s">
        <v>208</v>
      </c>
      <c r="C89" s="73">
        <v>46.2</v>
      </c>
      <c r="D89" s="21">
        <v>46053471</v>
      </c>
      <c r="E89" s="21">
        <v>2127670360</v>
      </c>
      <c r="F89" s="19">
        <v>0.06</v>
      </c>
      <c r="G89" s="9">
        <f t="shared" si="5"/>
        <v>116054747.27272727</v>
      </c>
      <c r="H89" s="9">
        <f t="shared" si="6"/>
        <v>11605474.727272734</v>
      </c>
      <c r="I89" s="9">
        <f t="shared" si="7"/>
        <v>127660222</v>
      </c>
      <c r="J89" s="9">
        <v>0</v>
      </c>
      <c r="K89" s="9">
        <f t="shared" si="4"/>
        <v>127660222</v>
      </c>
      <c r="L89" s="59" t="str">
        <f>VLOOKUP(B89,'[1]IN HĐMB'!$I$1:$X$541,14,0)</f>
        <v>PTTT 06c</v>
      </c>
      <c r="M89" s="58" t="s">
        <v>20</v>
      </c>
    </row>
    <row r="90" spans="1:13" ht="29.25" customHeight="1">
      <c r="A90" s="7">
        <v>63</v>
      </c>
      <c r="B90" s="26" t="s">
        <v>100</v>
      </c>
      <c r="C90" s="73">
        <v>46.65</v>
      </c>
      <c r="D90" s="8">
        <v>47725353</v>
      </c>
      <c r="E90" s="21">
        <v>2226387717</v>
      </c>
      <c r="F90" s="19">
        <v>0.06</v>
      </c>
      <c r="G90" s="9">
        <f t="shared" si="5"/>
        <v>121439329.99999999</v>
      </c>
      <c r="H90" s="9">
        <f t="shared" si="6"/>
        <v>12143933.000000015</v>
      </c>
      <c r="I90" s="9">
        <f t="shared" si="7"/>
        <v>133583263</v>
      </c>
      <c r="J90" s="9">
        <v>89055509</v>
      </c>
      <c r="K90" s="9">
        <f t="shared" si="4"/>
        <v>44527754</v>
      </c>
      <c r="L90" s="59" t="str">
        <f>VLOOKUP(B90,'[1]IN HĐMB'!$I$1:$X$541,14,0)</f>
        <v>PTTT 08c</v>
      </c>
      <c r="M90" s="58" t="s">
        <v>20</v>
      </c>
    </row>
    <row r="91" spans="1:13" ht="29.25" customHeight="1">
      <c r="A91" s="7">
        <v>64</v>
      </c>
      <c r="B91" s="26" t="s">
        <v>209</v>
      </c>
      <c r="C91" s="73">
        <v>47.06</v>
      </c>
      <c r="D91" s="8">
        <v>48410090</v>
      </c>
      <c r="E91" s="21">
        <v>2278178835</v>
      </c>
      <c r="F91" s="19">
        <v>0.05</v>
      </c>
      <c r="G91" s="9">
        <f t="shared" si="5"/>
        <v>103553583.63636363</v>
      </c>
      <c r="H91" s="9">
        <f t="shared" si="6"/>
        <v>10355358.363636374</v>
      </c>
      <c r="I91" s="9">
        <f t="shared" si="7"/>
        <v>113908942</v>
      </c>
      <c r="J91" s="9">
        <f>E91*3%</f>
        <v>68345365.049999997</v>
      </c>
      <c r="K91" s="9">
        <f t="shared" ref="K91:K154" si="8">I91-J91</f>
        <v>45563576.950000003</v>
      </c>
      <c r="L91" s="59" t="str">
        <f>VLOOKUP(B91,'[1]IN HĐMB'!$I$1:$X$541,14,0)</f>
        <v>PTTT 04c</v>
      </c>
      <c r="M91" s="58" t="s">
        <v>20</v>
      </c>
    </row>
    <row r="92" spans="1:13" ht="29.25" customHeight="1">
      <c r="A92" s="7">
        <v>65</v>
      </c>
      <c r="B92" s="26" t="s">
        <v>101</v>
      </c>
      <c r="C92" s="73">
        <v>47.4</v>
      </c>
      <c r="D92" s="8">
        <v>47269201</v>
      </c>
      <c r="E92" s="21">
        <v>2240560127</v>
      </c>
      <c r="F92" s="19">
        <v>0.06</v>
      </c>
      <c r="G92" s="9">
        <f t="shared" si="5"/>
        <v>122212370.90909091</v>
      </c>
      <c r="H92" s="9">
        <f t="shared" si="6"/>
        <v>12221237.090909094</v>
      </c>
      <c r="I92" s="9">
        <f t="shared" si="7"/>
        <v>134433608</v>
      </c>
      <c r="J92" s="9">
        <v>89622405</v>
      </c>
      <c r="K92" s="9">
        <f t="shared" si="8"/>
        <v>44811203</v>
      </c>
      <c r="L92" s="59" t="str">
        <f>VLOOKUP(B92,'[1]IN HĐMB'!$I$1:$X$541,14,0)</f>
        <v>PTTT 04c</v>
      </c>
      <c r="M92" s="58" t="s">
        <v>20</v>
      </c>
    </row>
    <row r="93" spans="1:13" ht="29.25" customHeight="1">
      <c r="A93" s="7">
        <v>66</v>
      </c>
      <c r="B93" s="26" t="s">
        <v>210</v>
      </c>
      <c r="C93" s="73">
        <v>46.79</v>
      </c>
      <c r="D93" s="21">
        <v>46284099</v>
      </c>
      <c r="E93" s="21">
        <v>2165632992</v>
      </c>
      <c r="F93" s="19">
        <v>0.06</v>
      </c>
      <c r="G93" s="9">
        <f t="shared" si="5"/>
        <v>118125436.36363636</v>
      </c>
      <c r="H93" s="9">
        <f t="shared" si="6"/>
        <v>11812543.63636364</v>
      </c>
      <c r="I93" s="9">
        <f t="shared" si="7"/>
        <v>129937980</v>
      </c>
      <c r="J93" s="9">
        <v>0</v>
      </c>
      <c r="K93" s="9">
        <f t="shared" si="8"/>
        <v>129937980</v>
      </c>
      <c r="L93" s="59" t="str">
        <f>VLOOKUP(B93,'[1]IN HĐMB'!$I$1:$X$541,14,0)</f>
        <v>PTTT 09c</v>
      </c>
      <c r="M93" s="58" t="s">
        <v>20</v>
      </c>
    </row>
    <row r="94" spans="1:13" ht="29.25" customHeight="1">
      <c r="A94" s="7">
        <v>67</v>
      </c>
      <c r="B94" s="26" t="s">
        <v>102</v>
      </c>
      <c r="C94" s="73">
        <v>46.65</v>
      </c>
      <c r="D94" s="8">
        <v>47725353</v>
      </c>
      <c r="E94" s="21">
        <v>2226387717</v>
      </c>
      <c r="F94" s="19">
        <v>0.06</v>
      </c>
      <c r="G94" s="9">
        <f t="shared" si="5"/>
        <v>121439329.99999999</v>
      </c>
      <c r="H94" s="9">
        <f t="shared" si="6"/>
        <v>12143933.000000015</v>
      </c>
      <c r="I94" s="9">
        <f t="shared" si="7"/>
        <v>133583263</v>
      </c>
      <c r="J94" s="9">
        <v>89055509</v>
      </c>
      <c r="K94" s="9">
        <f t="shared" si="8"/>
        <v>44527754</v>
      </c>
      <c r="L94" s="59" t="str">
        <f>VLOOKUP(B94,'[1]IN HĐMB'!$I$1:$X$541,14,0)</f>
        <v>PTTT 04c</v>
      </c>
      <c r="M94" s="58" t="s">
        <v>20</v>
      </c>
    </row>
    <row r="95" spans="1:13" ht="29.25" customHeight="1">
      <c r="A95" s="7">
        <v>68</v>
      </c>
      <c r="B95" s="26" t="s">
        <v>103</v>
      </c>
      <c r="C95" s="73">
        <v>51.92</v>
      </c>
      <c r="D95" s="8">
        <v>48182521</v>
      </c>
      <c r="E95" s="21">
        <v>2501636490</v>
      </c>
      <c r="F95" s="19">
        <v>0.06</v>
      </c>
      <c r="G95" s="9">
        <f t="shared" si="5"/>
        <v>136452899.09090909</v>
      </c>
      <c r="H95" s="9">
        <f t="shared" si="6"/>
        <v>13645289.909090906</v>
      </c>
      <c r="I95" s="9">
        <f t="shared" si="7"/>
        <v>150098189</v>
      </c>
      <c r="J95" s="9">
        <v>100065460</v>
      </c>
      <c r="K95" s="9">
        <f t="shared" si="8"/>
        <v>50032729</v>
      </c>
      <c r="L95" s="59" t="str">
        <f>VLOOKUP(B95,'[1]IN HĐMB'!$I$1:$X$541,14,0)</f>
        <v>PTTT 06c</v>
      </c>
      <c r="M95" s="58" t="s">
        <v>20</v>
      </c>
    </row>
    <row r="96" spans="1:13" ht="29.25" customHeight="1">
      <c r="A96" s="7">
        <v>69</v>
      </c>
      <c r="B96" s="26" t="s">
        <v>104</v>
      </c>
      <c r="C96" s="73">
        <v>36.19</v>
      </c>
      <c r="D96" s="8">
        <v>48867259</v>
      </c>
      <c r="E96" s="21">
        <v>1768506103</v>
      </c>
      <c r="F96" s="19">
        <v>0.06</v>
      </c>
      <c r="G96" s="9">
        <f t="shared" si="5"/>
        <v>96463969.090909079</v>
      </c>
      <c r="H96" s="9">
        <f t="shared" si="6"/>
        <v>9646396.9090909213</v>
      </c>
      <c r="I96" s="9">
        <f t="shared" si="7"/>
        <v>106110366</v>
      </c>
      <c r="J96" s="9">
        <v>70740244</v>
      </c>
      <c r="K96" s="9">
        <f t="shared" si="8"/>
        <v>35370122</v>
      </c>
      <c r="L96" s="59" t="str">
        <f>VLOOKUP(B96,'[1]IN HĐMB'!$I$1:$X$541,14,0)</f>
        <v>PTTT 04c</v>
      </c>
      <c r="M96" s="58" t="s">
        <v>20</v>
      </c>
    </row>
    <row r="97" spans="1:13" ht="29.25" customHeight="1">
      <c r="A97" s="7">
        <v>70</v>
      </c>
      <c r="B97" s="26" t="s">
        <v>105</v>
      </c>
      <c r="C97" s="73">
        <v>46.2</v>
      </c>
      <c r="D97" s="8">
        <v>46126279</v>
      </c>
      <c r="E97" s="21">
        <v>2131034090</v>
      </c>
      <c r="F97" s="19">
        <v>0.06</v>
      </c>
      <c r="G97" s="9">
        <f t="shared" si="5"/>
        <v>116238222.72727272</v>
      </c>
      <c r="H97" s="9">
        <f t="shared" si="6"/>
        <v>11623822.272727281</v>
      </c>
      <c r="I97" s="9">
        <f t="shared" si="7"/>
        <v>127862045</v>
      </c>
      <c r="J97" s="9">
        <v>85241364</v>
      </c>
      <c r="K97" s="9">
        <f t="shared" si="8"/>
        <v>42620681</v>
      </c>
      <c r="L97" s="59" t="str">
        <f>VLOOKUP(B97,'[1]IN HĐMB'!$I$1:$X$541,14,0)</f>
        <v>PTTT 09c</v>
      </c>
      <c r="M97" s="58" t="s">
        <v>20</v>
      </c>
    </row>
    <row r="98" spans="1:13" ht="29.25" customHeight="1">
      <c r="A98" s="7">
        <v>71</v>
      </c>
      <c r="B98" s="26" t="s">
        <v>211</v>
      </c>
      <c r="C98" s="73">
        <v>46.65</v>
      </c>
      <c r="D98" s="21">
        <v>47953937</v>
      </c>
      <c r="E98" s="21">
        <v>2237051161</v>
      </c>
      <c r="F98" s="19">
        <v>0.06</v>
      </c>
      <c r="G98" s="9">
        <f t="shared" si="5"/>
        <v>122020972.72727272</v>
      </c>
      <c r="H98" s="9">
        <f t="shared" si="6"/>
        <v>12202097.272727281</v>
      </c>
      <c r="I98" s="9">
        <f t="shared" si="7"/>
        <v>134223070</v>
      </c>
      <c r="J98" s="9">
        <v>0</v>
      </c>
      <c r="K98" s="9">
        <f t="shared" si="8"/>
        <v>134223070</v>
      </c>
      <c r="L98" s="59" t="str">
        <f>VLOOKUP(B98,'[1]IN HĐMB'!$I$1:$X$541,14,0)</f>
        <v>PTTT 04c</v>
      </c>
      <c r="M98" s="58" t="s">
        <v>20</v>
      </c>
    </row>
    <row r="99" spans="1:13" ht="29.25" customHeight="1">
      <c r="A99" s="7">
        <v>72</v>
      </c>
      <c r="B99" s="26" t="s">
        <v>106</v>
      </c>
      <c r="C99" s="73">
        <v>31.07</v>
      </c>
      <c r="D99" s="8">
        <v>48410090</v>
      </c>
      <c r="E99" s="21">
        <v>1504101496</v>
      </c>
      <c r="F99" s="19">
        <v>0.06</v>
      </c>
      <c r="G99" s="9">
        <f t="shared" si="5"/>
        <v>82041900</v>
      </c>
      <c r="H99" s="9">
        <f t="shared" si="6"/>
        <v>8204190</v>
      </c>
      <c r="I99" s="9">
        <f t="shared" si="7"/>
        <v>90246090</v>
      </c>
      <c r="J99" s="9">
        <v>60164060</v>
      </c>
      <c r="K99" s="9">
        <f t="shared" si="8"/>
        <v>30082030</v>
      </c>
      <c r="L99" s="59" t="str">
        <f>VLOOKUP(B99,'[1]IN HĐMB'!$I$1:$X$541,14,0)</f>
        <v>PTTT 04c</v>
      </c>
      <c r="M99" s="58" t="s">
        <v>20</v>
      </c>
    </row>
    <row r="100" spans="1:13" ht="29.25" customHeight="1">
      <c r="A100" s="7">
        <v>73</v>
      </c>
      <c r="B100" s="26" t="s">
        <v>212</v>
      </c>
      <c r="C100" s="73">
        <v>46.2</v>
      </c>
      <c r="D100" s="21">
        <v>45670126</v>
      </c>
      <c r="E100" s="21">
        <v>2109959821</v>
      </c>
      <c r="F100" s="19">
        <v>0.06</v>
      </c>
      <c r="G100" s="9">
        <f t="shared" ref="G100:G163" si="9">+I100/1.1</f>
        <v>115088717.27272727</v>
      </c>
      <c r="H100" s="9">
        <f t="shared" ref="H100:H163" si="10">I100-G100</f>
        <v>11508871.727272734</v>
      </c>
      <c r="I100" s="9">
        <f t="shared" ref="I100:I163" si="11">ROUND(E100*F100,0)</f>
        <v>126597589</v>
      </c>
      <c r="J100" s="9">
        <v>0</v>
      </c>
      <c r="K100" s="9">
        <f t="shared" si="8"/>
        <v>126597589</v>
      </c>
      <c r="L100" s="59" t="str">
        <f>VLOOKUP(B100,'[1]IN HĐMB'!$I$1:$X$541,14,0)</f>
        <v>PTTT 04c</v>
      </c>
      <c r="M100" s="58" t="s">
        <v>20</v>
      </c>
    </row>
    <row r="101" spans="1:13" ht="29.25" customHeight="1">
      <c r="A101" s="7">
        <v>74</v>
      </c>
      <c r="B101" s="26" t="s">
        <v>213</v>
      </c>
      <c r="C101" s="73">
        <v>51.92</v>
      </c>
      <c r="D101" s="21">
        <v>48830270</v>
      </c>
      <c r="E101" s="21">
        <v>2535267618</v>
      </c>
      <c r="F101" s="19">
        <v>0.06</v>
      </c>
      <c r="G101" s="9">
        <f t="shared" si="9"/>
        <v>138287324.54545453</v>
      </c>
      <c r="H101" s="9">
        <f t="shared" si="10"/>
        <v>13828732.454545468</v>
      </c>
      <c r="I101" s="9">
        <f t="shared" si="11"/>
        <v>152116057</v>
      </c>
      <c r="J101" s="9">
        <v>0</v>
      </c>
      <c r="K101" s="9">
        <f t="shared" si="8"/>
        <v>152116057</v>
      </c>
      <c r="L101" s="59" t="str">
        <f>VLOOKUP(B101,'[1]IN HĐMB'!$I$1:$X$541,14,0)</f>
        <v>PTTT 09c</v>
      </c>
      <c r="M101" s="58" t="s">
        <v>20</v>
      </c>
    </row>
    <row r="102" spans="1:13" ht="29.25" customHeight="1">
      <c r="A102" s="7">
        <v>75</v>
      </c>
      <c r="B102" s="26" t="s">
        <v>107</v>
      </c>
      <c r="C102" s="73">
        <v>46.65</v>
      </c>
      <c r="D102" s="8">
        <v>48182521</v>
      </c>
      <c r="E102" s="21">
        <v>2247714605</v>
      </c>
      <c r="F102" s="19">
        <v>0.06</v>
      </c>
      <c r="G102" s="9">
        <f t="shared" si="9"/>
        <v>122602614.54545453</v>
      </c>
      <c r="H102" s="9">
        <f t="shared" si="10"/>
        <v>12260261.454545468</v>
      </c>
      <c r="I102" s="9">
        <f t="shared" si="11"/>
        <v>134862876</v>
      </c>
      <c r="J102" s="9">
        <v>89908584</v>
      </c>
      <c r="K102" s="9">
        <f t="shared" si="8"/>
        <v>44954292</v>
      </c>
      <c r="L102" s="59" t="str">
        <f>VLOOKUP(B102,'[1]IN HĐMB'!$I$1:$X$541,14,0)</f>
        <v>PTTT 04c</v>
      </c>
      <c r="M102" s="58" t="s">
        <v>20</v>
      </c>
    </row>
    <row r="103" spans="1:13" ht="29.25" customHeight="1">
      <c r="A103" s="7">
        <v>76</v>
      </c>
      <c r="B103" s="26" t="s">
        <v>108</v>
      </c>
      <c r="C103" s="73">
        <v>31.07</v>
      </c>
      <c r="D103" s="8">
        <v>48638675</v>
      </c>
      <c r="E103" s="21">
        <v>1511203632</v>
      </c>
      <c r="F103" s="19">
        <v>0.06</v>
      </c>
      <c r="G103" s="9">
        <f t="shared" si="9"/>
        <v>82429289.090909079</v>
      </c>
      <c r="H103" s="9">
        <f t="shared" si="10"/>
        <v>8242928.9090909213</v>
      </c>
      <c r="I103" s="9">
        <f t="shared" si="11"/>
        <v>90672218</v>
      </c>
      <c r="J103" s="9">
        <v>60448145</v>
      </c>
      <c r="K103" s="9">
        <f t="shared" si="8"/>
        <v>30224073</v>
      </c>
      <c r="L103" s="59" t="str">
        <f>VLOOKUP(B103,'[1]IN HĐMB'!$I$1:$X$541,14,0)</f>
        <v>PTTT 04c</v>
      </c>
      <c r="M103" s="58" t="s">
        <v>20</v>
      </c>
    </row>
    <row r="104" spans="1:13" ht="29.25" customHeight="1">
      <c r="A104" s="7">
        <v>77</v>
      </c>
      <c r="B104" s="26" t="s">
        <v>109</v>
      </c>
      <c r="C104" s="73">
        <v>47.4</v>
      </c>
      <c r="D104" s="8">
        <v>47725353</v>
      </c>
      <c r="E104" s="21">
        <v>2262181732</v>
      </c>
      <c r="F104" s="19">
        <v>0.06</v>
      </c>
      <c r="G104" s="9">
        <f t="shared" si="9"/>
        <v>123391730.90909091</v>
      </c>
      <c r="H104" s="9">
        <f t="shared" si="10"/>
        <v>12339173.090909094</v>
      </c>
      <c r="I104" s="9">
        <f t="shared" si="11"/>
        <v>135730904</v>
      </c>
      <c r="J104" s="9">
        <v>90487269</v>
      </c>
      <c r="K104" s="9">
        <f t="shared" si="8"/>
        <v>45243635</v>
      </c>
      <c r="L104" s="59" t="str">
        <f>VLOOKUP(B104,'[1]IN HĐMB'!$I$1:$X$541,14,0)</f>
        <v>PTTT 04c</v>
      </c>
      <c r="M104" s="58" t="s">
        <v>20</v>
      </c>
    </row>
    <row r="105" spans="1:13" ht="29.25" customHeight="1">
      <c r="A105" s="7">
        <v>78</v>
      </c>
      <c r="B105" s="26" t="s">
        <v>110</v>
      </c>
      <c r="C105" s="73">
        <v>47.4</v>
      </c>
      <c r="D105" s="8">
        <v>47725353</v>
      </c>
      <c r="E105" s="21">
        <v>2262181732</v>
      </c>
      <c r="F105" s="19">
        <v>0.06</v>
      </c>
      <c r="G105" s="9">
        <f t="shared" si="9"/>
        <v>123391730.90909091</v>
      </c>
      <c r="H105" s="9">
        <f t="shared" si="10"/>
        <v>12339173.090909094</v>
      </c>
      <c r="I105" s="9">
        <f t="shared" si="11"/>
        <v>135730904</v>
      </c>
      <c r="J105" s="9">
        <v>90487269</v>
      </c>
      <c r="K105" s="9">
        <f t="shared" si="8"/>
        <v>45243635</v>
      </c>
      <c r="L105" s="59" t="str">
        <f>VLOOKUP(B105,'[1]IN HĐMB'!$I$1:$X$541,14,0)</f>
        <v>PTTT 06c</v>
      </c>
      <c r="M105" s="58" t="s">
        <v>20</v>
      </c>
    </row>
    <row r="106" spans="1:13" ht="29.25" customHeight="1">
      <c r="A106" s="7">
        <v>79</v>
      </c>
      <c r="B106" s="26" t="s">
        <v>111</v>
      </c>
      <c r="C106" s="73">
        <v>32</v>
      </c>
      <c r="D106" s="8">
        <v>48638675</v>
      </c>
      <c r="E106" s="21">
        <v>1556437600</v>
      </c>
      <c r="F106" s="19">
        <v>0.06</v>
      </c>
      <c r="G106" s="9">
        <f t="shared" si="9"/>
        <v>84896596.36363636</v>
      </c>
      <c r="H106" s="9">
        <f t="shared" si="10"/>
        <v>8489659.6363636404</v>
      </c>
      <c r="I106" s="9">
        <f t="shared" si="11"/>
        <v>93386256</v>
      </c>
      <c r="J106" s="9">
        <v>62257504</v>
      </c>
      <c r="K106" s="9">
        <f t="shared" si="8"/>
        <v>31128752</v>
      </c>
      <c r="L106" s="59" t="str">
        <f>VLOOKUP(B106,'[1]IN HĐMB'!$I$1:$X$541,14,0)</f>
        <v>PTTT 04c</v>
      </c>
      <c r="M106" s="58" t="s">
        <v>20</v>
      </c>
    </row>
    <row r="107" spans="1:13" ht="29.25" customHeight="1">
      <c r="A107" s="7">
        <v>80</v>
      </c>
      <c r="B107" s="26" t="s">
        <v>112</v>
      </c>
      <c r="C107" s="73">
        <v>47.06</v>
      </c>
      <c r="D107" s="8">
        <v>49095843</v>
      </c>
      <c r="E107" s="21">
        <v>2310450372</v>
      </c>
      <c r="F107" s="19">
        <v>0.06</v>
      </c>
      <c r="G107" s="9">
        <f t="shared" si="9"/>
        <v>126024565.45454544</v>
      </c>
      <c r="H107" s="9">
        <f t="shared" si="10"/>
        <v>12602456.545454562</v>
      </c>
      <c r="I107" s="9">
        <f t="shared" si="11"/>
        <v>138627022</v>
      </c>
      <c r="J107" s="9">
        <v>92418015</v>
      </c>
      <c r="K107" s="9">
        <f t="shared" si="8"/>
        <v>46209007</v>
      </c>
      <c r="L107" s="59" t="str">
        <f>VLOOKUP(B107,'[1]IN HĐMB'!$I$1:$X$541,14,0)</f>
        <v>PTTT 04c</v>
      </c>
      <c r="M107" s="58" t="s">
        <v>20</v>
      </c>
    </row>
    <row r="108" spans="1:13" ht="29.25" customHeight="1">
      <c r="A108" s="7">
        <v>81</v>
      </c>
      <c r="B108" s="26" t="s">
        <v>113</v>
      </c>
      <c r="C108" s="73">
        <v>46.65</v>
      </c>
      <c r="D108" s="8">
        <v>47953937</v>
      </c>
      <c r="E108" s="21">
        <v>2237051161</v>
      </c>
      <c r="F108" s="19">
        <v>0.06</v>
      </c>
      <c r="G108" s="9">
        <f t="shared" si="9"/>
        <v>122020972.72727272</v>
      </c>
      <c r="H108" s="9">
        <f t="shared" si="10"/>
        <v>12202097.272727281</v>
      </c>
      <c r="I108" s="9">
        <f t="shared" si="11"/>
        <v>134223070</v>
      </c>
      <c r="J108" s="9">
        <v>89482046</v>
      </c>
      <c r="K108" s="9">
        <f t="shared" si="8"/>
        <v>44741024</v>
      </c>
      <c r="L108" s="59" t="str">
        <f>VLOOKUP(B108,'[1]IN HĐMB'!$I$1:$X$541,14,0)</f>
        <v>PTTT 04c</v>
      </c>
      <c r="M108" s="58" t="s">
        <v>20</v>
      </c>
    </row>
    <row r="109" spans="1:13" ht="29.25" customHeight="1">
      <c r="A109" s="7">
        <v>82</v>
      </c>
      <c r="B109" s="26" t="s">
        <v>114</v>
      </c>
      <c r="C109" s="73">
        <v>46.2</v>
      </c>
      <c r="D109" s="8">
        <v>45898710</v>
      </c>
      <c r="E109" s="21">
        <v>2120520402</v>
      </c>
      <c r="F109" s="19">
        <v>0.06</v>
      </c>
      <c r="G109" s="9">
        <f t="shared" si="9"/>
        <v>115664749.09090908</v>
      </c>
      <c r="H109" s="9">
        <f t="shared" si="10"/>
        <v>11566474.909090921</v>
      </c>
      <c r="I109" s="9">
        <f t="shared" si="11"/>
        <v>127231224</v>
      </c>
      <c r="J109" s="9">
        <v>84820816</v>
      </c>
      <c r="K109" s="9">
        <f t="shared" si="8"/>
        <v>42410408</v>
      </c>
      <c r="L109" s="59" t="str">
        <f>VLOOKUP(B109,'[1]IN HĐMB'!$I$1:$X$541,14,0)</f>
        <v>PTTT 09c</v>
      </c>
      <c r="M109" s="58" t="s">
        <v>20</v>
      </c>
    </row>
    <row r="110" spans="1:13" ht="29.25" customHeight="1">
      <c r="A110" s="7">
        <v>83</v>
      </c>
      <c r="B110" s="26" t="s">
        <v>115</v>
      </c>
      <c r="C110" s="73">
        <v>51.92</v>
      </c>
      <c r="D110" s="8">
        <v>48410090</v>
      </c>
      <c r="E110" s="21">
        <v>2513451873</v>
      </c>
      <c r="F110" s="19">
        <v>0.06</v>
      </c>
      <c r="G110" s="9">
        <f t="shared" si="9"/>
        <v>137097374.54545453</v>
      </c>
      <c r="H110" s="9">
        <f t="shared" si="10"/>
        <v>13709737.454545468</v>
      </c>
      <c r="I110" s="9">
        <f t="shared" si="11"/>
        <v>150807112</v>
      </c>
      <c r="J110" s="9">
        <v>100538075</v>
      </c>
      <c r="K110" s="9">
        <f t="shared" si="8"/>
        <v>50269037</v>
      </c>
      <c r="L110" s="59" t="str">
        <f>VLOOKUP(B110,'[1]IN HĐMB'!$I$1:$X$541,14,0)</f>
        <v>PTTT 04c</v>
      </c>
      <c r="M110" s="58" t="s">
        <v>20</v>
      </c>
    </row>
    <row r="111" spans="1:13" ht="29.25" customHeight="1">
      <c r="A111" s="7">
        <v>84</v>
      </c>
      <c r="B111" s="26" t="s">
        <v>116</v>
      </c>
      <c r="C111" s="73">
        <v>36.19</v>
      </c>
      <c r="D111" s="8">
        <v>49095843</v>
      </c>
      <c r="E111" s="21">
        <v>1776778558</v>
      </c>
      <c r="F111" s="19">
        <v>0.06</v>
      </c>
      <c r="G111" s="9">
        <f t="shared" si="9"/>
        <v>96915193.636363626</v>
      </c>
      <c r="H111" s="9">
        <f t="shared" si="10"/>
        <v>9691519.3636363745</v>
      </c>
      <c r="I111" s="9">
        <f t="shared" si="11"/>
        <v>106606713</v>
      </c>
      <c r="J111" s="9">
        <v>71071142</v>
      </c>
      <c r="K111" s="9">
        <f t="shared" si="8"/>
        <v>35535571</v>
      </c>
      <c r="L111" s="59" t="str">
        <f>VLOOKUP(B111,'[1]IN HĐMB'!$I$1:$X$541,14,0)</f>
        <v>PTTT 04c</v>
      </c>
      <c r="M111" s="58" t="s">
        <v>20</v>
      </c>
    </row>
    <row r="112" spans="1:13" ht="29.25" customHeight="1">
      <c r="A112" s="7">
        <v>85</v>
      </c>
      <c r="B112" s="26" t="s">
        <v>117</v>
      </c>
      <c r="C112" s="73">
        <v>36.76</v>
      </c>
      <c r="D112" s="8">
        <v>48182521</v>
      </c>
      <c r="E112" s="21">
        <v>1771189472</v>
      </c>
      <c r="F112" s="19">
        <v>0.06</v>
      </c>
      <c r="G112" s="9">
        <f t="shared" si="9"/>
        <v>96610334.545454532</v>
      </c>
      <c r="H112" s="9">
        <f t="shared" si="10"/>
        <v>9661033.4545454681</v>
      </c>
      <c r="I112" s="9">
        <f t="shared" si="11"/>
        <v>106271368</v>
      </c>
      <c r="J112" s="9">
        <v>70847579</v>
      </c>
      <c r="K112" s="9">
        <f t="shared" si="8"/>
        <v>35423789</v>
      </c>
      <c r="L112" s="59" t="str">
        <f>VLOOKUP(B112,'[1]IN HĐMB'!$I$1:$X$541,14,0)</f>
        <v>PTTT 04c</v>
      </c>
      <c r="M112" s="58" t="s">
        <v>20</v>
      </c>
    </row>
    <row r="113" spans="1:13" ht="29.25" customHeight="1">
      <c r="A113" s="7">
        <v>86</v>
      </c>
      <c r="B113" s="26" t="s">
        <v>214</v>
      </c>
      <c r="C113" s="73">
        <v>46.79</v>
      </c>
      <c r="D113" s="21">
        <v>46746384</v>
      </c>
      <c r="E113" s="21">
        <v>2187263307</v>
      </c>
      <c r="F113" s="19">
        <v>0.06</v>
      </c>
      <c r="G113" s="9">
        <f t="shared" si="9"/>
        <v>119305270.90909091</v>
      </c>
      <c r="H113" s="9">
        <f t="shared" si="10"/>
        <v>11930527.090909094</v>
      </c>
      <c r="I113" s="9">
        <f t="shared" si="11"/>
        <v>131235798</v>
      </c>
      <c r="J113" s="9">
        <v>0</v>
      </c>
      <c r="K113" s="9">
        <f t="shared" si="8"/>
        <v>131235798</v>
      </c>
      <c r="L113" s="59" t="str">
        <f>VLOOKUP(B113,'[1]IN HĐMB'!$I$1:$X$541,14,0)</f>
        <v>PTTT 09c</v>
      </c>
      <c r="M113" s="58" t="s">
        <v>20</v>
      </c>
    </row>
    <row r="114" spans="1:13" ht="29.25" customHeight="1">
      <c r="A114" s="7">
        <v>87</v>
      </c>
      <c r="B114" s="26" t="s">
        <v>215</v>
      </c>
      <c r="C114" s="73">
        <v>46.2</v>
      </c>
      <c r="D114" s="21">
        <v>46746384</v>
      </c>
      <c r="E114" s="21">
        <v>2159682941</v>
      </c>
      <c r="F114" s="19">
        <v>0.06</v>
      </c>
      <c r="G114" s="9">
        <f t="shared" si="9"/>
        <v>117800887.27272727</v>
      </c>
      <c r="H114" s="9">
        <f t="shared" si="10"/>
        <v>11780088.727272734</v>
      </c>
      <c r="I114" s="9">
        <f t="shared" si="11"/>
        <v>129580976</v>
      </c>
      <c r="J114" s="9">
        <v>0</v>
      </c>
      <c r="K114" s="9">
        <f t="shared" si="8"/>
        <v>129580976</v>
      </c>
      <c r="L114" s="59" t="str">
        <f>VLOOKUP(B114,'[1]IN HĐMB'!$I$1:$X$541,14,0)</f>
        <v>PTTT 09c</v>
      </c>
      <c r="M114" s="58" t="s">
        <v>20</v>
      </c>
    </row>
    <row r="115" spans="1:13" ht="29.25" customHeight="1">
      <c r="A115" s="7">
        <v>88</v>
      </c>
      <c r="B115" s="26" t="s">
        <v>216</v>
      </c>
      <c r="C115" s="73">
        <v>46.65</v>
      </c>
      <c r="D115" s="21">
        <v>49060898</v>
      </c>
      <c r="E115" s="21">
        <v>2288690892</v>
      </c>
      <c r="F115" s="19">
        <v>0.06</v>
      </c>
      <c r="G115" s="9">
        <f t="shared" si="9"/>
        <v>124837685.45454544</v>
      </c>
      <c r="H115" s="9">
        <f t="shared" si="10"/>
        <v>12483768.545454562</v>
      </c>
      <c r="I115" s="9">
        <f t="shared" si="11"/>
        <v>137321454</v>
      </c>
      <c r="J115" s="9">
        <v>0</v>
      </c>
      <c r="K115" s="9">
        <f t="shared" si="8"/>
        <v>137321454</v>
      </c>
      <c r="L115" s="59" t="str">
        <f>VLOOKUP(B115,'[1]IN HĐMB'!$I$1:$X$541,14,0)</f>
        <v>PTTT 09c</v>
      </c>
      <c r="M115" s="58" t="s">
        <v>20</v>
      </c>
    </row>
    <row r="116" spans="1:13" ht="29.25" customHeight="1">
      <c r="A116" s="7">
        <v>89</v>
      </c>
      <c r="B116" s="26" t="s">
        <v>118</v>
      </c>
      <c r="C116" s="73">
        <v>31.07</v>
      </c>
      <c r="D116" s="8">
        <v>49524213</v>
      </c>
      <c r="E116" s="21">
        <v>1538717298</v>
      </c>
      <c r="F116" s="19">
        <v>0.06</v>
      </c>
      <c r="G116" s="9">
        <f t="shared" si="9"/>
        <v>83930034.545454532</v>
      </c>
      <c r="H116" s="9">
        <f t="shared" si="10"/>
        <v>8393003.4545454681</v>
      </c>
      <c r="I116" s="9">
        <f t="shared" si="11"/>
        <v>92323038</v>
      </c>
      <c r="J116" s="9">
        <v>61548692</v>
      </c>
      <c r="K116" s="9">
        <f t="shared" si="8"/>
        <v>30774346</v>
      </c>
      <c r="L116" s="59" t="str">
        <f>VLOOKUP(B116,'[1]IN HĐMB'!$I$1:$X$541,14,0)</f>
        <v>PTTT 09c</v>
      </c>
      <c r="M116" s="58" t="s">
        <v>20</v>
      </c>
    </row>
    <row r="117" spans="1:13" ht="29.25" customHeight="1">
      <c r="A117" s="7">
        <v>90</v>
      </c>
      <c r="B117" s="26" t="s">
        <v>217</v>
      </c>
      <c r="C117" s="73">
        <v>47.4</v>
      </c>
      <c r="D117" s="21">
        <v>48598613</v>
      </c>
      <c r="E117" s="21">
        <v>2303574256</v>
      </c>
      <c r="F117" s="19">
        <v>0.06</v>
      </c>
      <c r="G117" s="9">
        <f t="shared" si="9"/>
        <v>125649504.54545453</v>
      </c>
      <c r="H117" s="9">
        <f t="shared" si="10"/>
        <v>12564950.454545468</v>
      </c>
      <c r="I117" s="9">
        <f t="shared" si="11"/>
        <v>138214455</v>
      </c>
      <c r="J117" s="9">
        <v>0</v>
      </c>
      <c r="K117" s="9">
        <f t="shared" si="8"/>
        <v>138214455</v>
      </c>
      <c r="L117" s="59" t="str">
        <f>VLOOKUP(B117,'[1]IN HĐMB'!$I$1:$X$541,14,0)</f>
        <v>PTTT 09c</v>
      </c>
      <c r="M117" s="58" t="s">
        <v>20</v>
      </c>
    </row>
    <row r="118" spans="1:13" ht="29.25" customHeight="1">
      <c r="A118" s="7">
        <v>91</v>
      </c>
      <c r="B118" s="26" t="s">
        <v>218</v>
      </c>
      <c r="C118" s="73">
        <v>47.4</v>
      </c>
      <c r="D118" s="21">
        <v>48598613</v>
      </c>
      <c r="E118" s="21">
        <v>2303574256</v>
      </c>
      <c r="F118" s="19">
        <v>0.06</v>
      </c>
      <c r="G118" s="9">
        <f t="shared" si="9"/>
        <v>125649504.54545453</v>
      </c>
      <c r="H118" s="9">
        <f t="shared" si="10"/>
        <v>12564950.454545468</v>
      </c>
      <c r="I118" s="9">
        <f t="shared" si="11"/>
        <v>138214455</v>
      </c>
      <c r="J118" s="9">
        <v>0</v>
      </c>
      <c r="K118" s="9">
        <f t="shared" si="8"/>
        <v>138214455</v>
      </c>
      <c r="L118" s="59" t="str">
        <f>VLOOKUP(B118,'[1]IN HĐMB'!$I$1:$X$541,14,0)</f>
        <v>PTTT 09c</v>
      </c>
      <c r="M118" s="58" t="s">
        <v>20</v>
      </c>
    </row>
    <row r="119" spans="1:13" ht="29.25" customHeight="1">
      <c r="A119" s="7">
        <v>92</v>
      </c>
      <c r="B119" s="26" t="s">
        <v>219</v>
      </c>
      <c r="C119" s="73">
        <v>36.19</v>
      </c>
      <c r="D119" s="21">
        <v>49986497</v>
      </c>
      <c r="E119" s="21">
        <v>1809011326</v>
      </c>
      <c r="F119" s="19">
        <v>0.06</v>
      </c>
      <c r="G119" s="9">
        <f t="shared" si="9"/>
        <v>98673345.454545453</v>
      </c>
      <c r="H119" s="9">
        <f t="shared" si="10"/>
        <v>9867334.5454545468</v>
      </c>
      <c r="I119" s="9">
        <f t="shared" si="11"/>
        <v>108540680</v>
      </c>
      <c r="J119" s="9">
        <v>0</v>
      </c>
      <c r="K119" s="9">
        <f t="shared" si="8"/>
        <v>108540680</v>
      </c>
      <c r="L119" s="59" t="str">
        <f>VLOOKUP(B119,'[1]IN HĐMB'!$I$1:$X$541,14,0)</f>
        <v>PTTT 09c</v>
      </c>
      <c r="M119" s="58" t="s">
        <v>20</v>
      </c>
    </row>
    <row r="120" spans="1:13" ht="29.25" customHeight="1">
      <c r="A120" s="7">
        <v>93</v>
      </c>
      <c r="B120" s="26" t="s">
        <v>220</v>
      </c>
      <c r="C120" s="73">
        <v>46.79</v>
      </c>
      <c r="D120" s="21">
        <v>46746384</v>
      </c>
      <c r="E120" s="21">
        <v>2187263307</v>
      </c>
      <c r="F120" s="19">
        <v>0.06</v>
      </c>
      <c r="G120" s="9">
        <f t="shared" si="9"/>
        <v>119305270.90909091</v>
      </c>
      <c r="H120" s="9">
        <f t="shared" si="10"/>
        <v>11930527.090909094</v>
      </c>
      <c r="I120" s="9">
        <f t="shared" si="11"/>
        <v>131235798</v>
      </c>
      <c r="J120" s="9">
        <v>0</v>
      </c>
      <c r="K120" s="9">
        <f t="shared" si="8"/>
        <v>131235798</v>
      </c>
      <c r="L120" s="59" t="str">
        <f>VLOOKUP(B120,'[1]IN HĐMB'!$I$1:$X$541,14,0)</f>
        <v>PTTT 05c</v>
      </c>
      <c r="M120" s="58" t="s">
        <v>20</v>
      </c>
    </row>
    <row r="121" spans="1:13" ht="29.25" customHeight="1">
      <c r="A121" s="7">
        <v>94</v>
      </c>
      <c r="B121" s="26" t="s">
        <v>119</v>
      </c>
      <c r="C121" s="73">
        <v>46.65</v>
      </c>
      <c r="D121" s="8">
        <v>48410090</v>
      </c>
      <c r="E121" s="21">
        <v>2258330699</v>
      </c>
      <c r="F121" s="19">
        <v>0.06</v>
      </c>
      <c r="G121" s="9">
        <f t="shared" si="9"/>
        <v>123181674.54545453</v>
      </c>
      <c r="H121" s="9">
        <f t="shared" si="10"/>
        <v>12318167.454545468</v>
      </c>
      <c r="I121" s="9">
        <f t="shared" si="11"/>
        <v>135499842</v>
      </c>
      <c r="J121" s="9">
        <v>90333228</v>
      </c>
      <c r="K121" s="9">
        <f t="shared" si="8"/>
        <v>45166614</v>
      </c>
      <c r="L121" s="59" t="str">
        <f>VLOOKUP(B121,'[1]IN HĐMB'!$I$1:$X$541,14,0)</f>
        <v>PTTT 04c</v>
      </c>
      <c r="M121" s="58" t="s">
        <v>20</v>
      </c>
    </row>
    <row r="122" spans="1:13" ht="29.25" customHeight="1">
      <c r="A122" s="7">
        <v>95</v>
      </c>
      <c r="B122" s="26" t="s">
        <v>120</v>
      </c>
      <c r="C122" s="73">
        <v>31.07</v>
      </c>
      <c r="D122" s="8">
        <v>48867259</v>
      </c>
      <c r="E122" s="21">
        <v>1518305737</v>
      </c>
      <c r="F122" s="19">
        <v>0.06</v>
      </c>
      <c r="G122" s="9">
        <f t="shared" si="9"/>
        <v>82816676.36363636</v>
      </c>
      <c r="H122" s="9">
        <f t="shared" si="10"/>
        <v>8281667.6363636404</v>
      </c>
      <c r="I122" s="9">
        <f t="shared" si="11"/>
        <v>91098344</v>
      </c>
      <c r="J122" s="9">
        <v>60732229</v>
      </c>
      <c r="K122" s="9">
        <f t="shared" si="8"/>
        <v>30366115</v>
      </c>
      <c r="L122" s="59" t="str">
        <f>VLOOKUP(B122,'[1]IN HĐMB'!$I$1:$X$541,14,0)</f>
        <v>PTTT 04c</v>
      </c>
      <c r="M122" s="58" t="s">
        <v>20</v>
      </c>
    </row>
    <row r="123" spans="1:13" ht="29.25" customHeight="1">
      <c r="A123" s="7">
        <v>96</v>
      </c>
      <c r="B123" s="26" t="s">
        <v>121</v>
      </c>
      <c r="C123" s="73">
        <v>47.4</v>
      </c>
      <c r="D123" s="8">
        <v>47496769</v>
      </c>
      <c r="E123" s="21">
        <v>2251346851</v>
      </c>
      <c r="F123" s="19">
        <v>0.06</v>
      </c>
      <c r="G123" s="9">
        <f t="shared" si="9"/>
        <v>122800737.27272727</v>
      </c>
      <c r="H123" s="9">
        <f t="shared" si="10"/>
        <v>12280073.727272734</v>
      </c>
      <c r="I123" s="9">
        <f t="shared" si="11"/>
        <v>135080811</v>
      </c>
      <c r="J123" s="9">
        <v>90053874</v>
      </c>
      <c r="K123" s="9">
        <f t="shared" si="8"/>
        <v>45026937</v>
      </c>
      <c r="L123" s="59" t="str">
        <f>VLOOKUP(B123,'[1]IN HĐMB'!$I$1:$X$541,14,0)</f>
        <v>PTTT 04c</v>
      </c>
      <c r="M123" s="58" t="s">
        <v>20</v>
      </c>
    </row>
    <row r="124" spans="1:13" ht="29.25" customHeight="1">
      <c r="A124" s="7">
        <v>97</v>
      </c>
      <c r="B124" s="26" t="s">
        <v>122</v>
      </c>
      <c r="C124" s="73">
        <v>36.76</v>
      </c>
      <c r="D124" s="8">
        <v>48410090</v>
      </c>
      <c r="E124" s="21">
        <v>1779554908</v>
      </c>
      <c r="F124" s="19">
        <v>0.06</v>
      </c>
      <c r="G124" s="9">
        <f t="shared" si="9"/>
        <v>97066630.909090906</v>
      </c>
      <c r="H124" s="9">
        <f t="shared" si="10"/>
        <v>9706663.0909090936</v>
      </c>
      <c r="I124" s="9">
        <f t="shared" si="11"/>
        <v>106773294</v>
      </c>
      <c r="J124" s="9">
        <v>71182196</v>
      </c>
      <c r="K124" s="9">
        <f t="shared" si="8"/>
        <v>35591098</v>
      </c>
      <c r="L124" s="59" t="str">
        <f>VLOOKUP(B124,'[1]IN HĐMB'!$I$1:$X$541,14,0)</f>
        <v>PTTT 04c</v>
      </c>
      <c r="M124" s="58" t="s">
        <v>20</v>
      </c>
    </row>
    <row r="125" spans="1:13" ht="29.25" customHeight="1">
      <c r="A125" s="7">
        <v>98</v>
      </c>
      <c r="B125" s="26" t="s">
        <v>123</v>
      </c>
      <c r="C125" s="73">
        <v>46.65</v>
      </c>
      <c r="D125" s="8">
        <v>48182521</v>
      </c>
      <c r="E125" s="21">
        <v>2247714605</v>
      </c>
      <c r="F125" s="19">
        <v>0.06</v>
      </c>
      <c r="G125" s="9">
        <f t="shared" si="9"/>
        <v>122602614.54545453</v>
      </c>
      <c r="H125" s="9">
        <f t="shared" si="10"/>
        <v>12260261.454545468</v>
      </c>
      <c r="I125" s="9">
        <f t="shared" si="11"/>
        <v>134862876</v>
      </c>
      <c r="J125" s="9">
        <v>89908584</v>
      </c>
      <c r="K125" s="9">
        <f t="shared" si="8"/>
        <v>44954292</v>
      </c>
      <c r="L125" s="59" t="str">
        <f>VLOOKUP(B125,'[1]IN HĐMB'!$I$1:$X$541,14,0)</f>
        <v>PTTT 04c</v>
      </c>
      <c r="M125" s="58" t="s">
        <v>20</v>
      </c>
    </row>
    <row r="126" spans="1:13" ht="29.25" customHeight="1">
      <c r="A126" s="7">
        <v>99</v>
      </c>
      <c r="B126" s="26" t="s">
        <v>221</v>
      </c>
      <c r="C126" s="73">
        <v>48.6</v>
      </c>
      <c r="D126" s="21">
        <v>46746384</v>
      </c>
      <c r="E126" s="21">
        <v>2271874262</v>
      </c>
      <c r="F126" s="19">
        <v>0.06</v>
      </c>
      <c r="G126" s="9">
        <f t="shared" si="9"/>
        <v>123920414.54545453</v>
      </c>
      <c r="H126" s="9">
        <f t="shared" si="10"/>
        <v>12392041.454545468</v>
      </c>
      <c r="I126" s="9">
        <f t="shared" si="11"/>
        <v>136312456</v>
      </c>
      <c r="J126" s="9">
        <v>0</v>
      </c>
      <c r="K126" s="9">
        <f t="shared" si="8"/>
        <v>136312456</v>
      </c>
      <c r="L126" s="59" t="str">
        <f>VLOOKUP(B126,'[1]IN HĐMB'!$I$1:$X$541,14,0)</f>
        <v>PTTT 09c</v>
      </c>
      <c r="M126" s="58" t="s">
        <v>20</v>
      </c>
    </row>
    <row r="127" spans="1:13" ht="29.25" customHeight="1">
      <c r="A127" s="7">
        <v>100</v>
      </c>
      <c r="B127" s="26" t="s">
        <v>124</v>
      </c>
      <c r="C127" s="73">
        <v>47.4</v>
      </c>
      <c r="D127" s="8">
        <v>47725353</v>
      </c>
      <c r="E127" s="21">
        <v>2262181732</v>
      </c>
      <c r="F127" s="19">
        <v>0.06</v>
      </c>
      <c r="G127" s="9">
        <f t="shared" si="9"/>
        <v>123391730.90909091</v>
      </c>
      <c r="H127" s="9">
        <f t="shared" si="10"/>
        <v>12339173.090909094</v>
      </c>
      <c r="I127" s="9">
        <f t="shared" si="11"/>
        <v>135730904</v>
      </c>
      <c r="J127" s="9">
        <v>90487269</v>
      </c>
      <c r="K127" s="9">
        <f t="shared" si="8"/>
        <v>45243635</v>
      </c>
      <c r="L127" s="59" t="str">
        <f>VLOOKUP(B127,'[1]IN HĐMB'!$I$1:$X$541,14,0)</f>
        <v>PTTT 04c</v>
      </c>
      <c r="M127" s="58" t="s">
        <v>20</v>
      </c>
    </row>
    <row r="128" spans="1:13" ht="29.25" customHeight="1">
      <c r="A128" s="7">
        <v>101</v>
      </c>
      <c r="B128" s="26" t="s">
        <v>125</v>
      </c>
      <c r="C128" s="73">
        <v>47.4</v>
      </c>
      <c r="D128" s="8">
        <v>47269201</v>
      </c>
      <c r="E128" s="21">
        <v>2240560127</v>
      </c>
      <c r="F128" s="19">
        <v>0.06</v>
      </c>
      <c r="G128" s="9">
        <f t="shared" si="9"/>
        <v>122212370.90909091</v>
      </c>
      <c r="H128" s="9">
        <f t="shared" si="10"/>
        <v>12221237.090909094</v>
      </c>
      <c r="I128" s="9">
        <f t="shared" si="11"/>
        <v>134433608</v>
      </c>
      <c r="J128" s="9">
        <v>89622405</v>
      </c>
      <c r="K128" s="9">
        <f t="shared" si="8"/>
        <v>44811203</v>
      </c>
      <c r="L128" s="59" t="str">
        <f>VLOOKUP(B128,'[1]IN HĐMB'!$I$1:$X$541,14,0)</f>
        <v>PTTT 08c</v>
      </c>
      <c r="M128" s="58" t="s">
        <v>20</v>
      </c>
    </row>
    <row r="129" spans="1:13" ht="29.25" customHeight="1">
      <c r="A129" s="7">
        <v>102</v>
      </c>
      <c r="B129" s="26" t="s">
        <v>222</v>
      </c>
      <c r="C129" s="73">
        <v>47.4</v>
      </c>
      <c r="D129" s="21">
        <v>48366955</v>
      </c>
      <c r="E129" s="21">
        <v>2292593667</v>
      </c>
      <c r="F129" s="19">
        <v>0.06</v>
      </c>
      <c r="G129" s="9">
        <f t="shared" si="9"/>
        <v>125050563.63636363</v>
      </c>
      <c r="H129" s="9">
        <f t="shared" si="10"/>
        <v>12505056.363636374</v>
      </c>
      <c r="I129" s="9">
        <f t="shared" si="11"/>
        <v>137555620</v>
      </c>
      <c r="J129" s="9">
        <v>0</v>
      </c>
      <c r="K129" s="9">
        <f t="shared" si="8"/>
        <v>137555620</v>
      </c>
      <c r="L129" s="59" t="str">
        <f>VLOOKUP(B129,'[1]IN HĐMB'!$I$1:$X$541,14,0)</f>
        <v>PTTT 09c</v>
      </c>
      <c r="M129" s="58" t="s">
        <v>20</v>
      </c>
    </row>
    <row r="130" spans="1:13" ht="29.25" customHeight="1">
      <c r="A130" s="7">
        <v>103</v>
      </c>
      <c r="B130" s="26" t="s">
        <v>223</v>
      </c>
      <c r="C130" s="73">
        <v>47.06</v>
      </c>
      <c r="D130" s="21">
        <v>49755870</v>
      </c>
      <c r="E130" s="21">
        <v>2341511242</v>
      </c>
      <c r="F130" s="19">
        <v>0.06</v>
      </c>
      <c r="G130" s="9">
        <f t="shared" si="9"/>
        <v>127718795.45454544</v>
      </c>
      <c r="H130" s="9">
        <f t="shared" si="10"/>
        <v>12771879.545454562</v>
      </c>
      <c r="I130" s="9">
        <f t="shared" si="11"/>
        <v>140490675</v>
      </c>
      <c r="J130" s="9">
        <v>0</v>
      </c>
      <c r="K130" s="9">
        <f t="shared" si="8"/>
        <v>140490675</v>
      </c>
      <c r="L130" s="59" t="str">
        <f>VLOOKUP(B130,'[1]IN HĐMB'!$I$1:$X$541,14,0)</f>
        <v>PTTT 09c</v>
      </c>
      <c r="M130" s="58" t="s">
        <v>20</v>
      </c>
    </row>
    <row r="131" spans="1:13" ht="29.25" customHeight="1">
      <c r="A131" s="7">
        <v>104</v>
      </c>
      <c r="B131" s="26" t="s">
        <v>224</v>
      </c>
      <c r="C131" s="73">
        <v>46.2</v>
      </c>
      <c r="D131" s="8">
        <v>45898710</v>
      </c>
      <c r="E131" s="21">
        <v>2120520402</v>
      </c>
      <c r="F131" s="19">
        <v>0.06</v>
      </c>
      <c r="G131" s="9">
        <f t="shared" si="9"/>
        <v>115664749.09090908</v>
      </c>
      <c r="H131" s="9">
        <f t="shared" si="10"/>
        <v>11566474.909090921</v>
      </c>
      <c r="I131" s="9">
        <f t="shared" si="11"/>
        <v>127231224</v>
      </c>
      <c r="J131" s="9">
        <v>84820816</v>
      </c>
      <c r="K131" s="9">
        <f t="shared" si="8"/>
        <v>42410408</v>
      </c>
      <c r="L131" s="59" t="str">
        <f>VLOOKUP(B131,'[1]IN HĐMB'!$I$1:$X$541,14,0)</f>
        <v>PTTT 04c</v>
      </c>
      <c r="M131" s="58" t="s">
        <v>20</v>
      </c>
    </row>
    <row r="132" spans="1:13" ht="29.25" customHeight="1">
      <c r="A132" s="7">
        <v>105</v>
      </c>
      <c r="B132" s="26" t="s">
        <v>126</v>
      </c>
      <c r="C132" s="73">
        <v>47.79</v>
      </c>
      <c r="D132" s="8">
        <v>47269201</v>
      </c>
      <c r="E132" s="21">
        <v>2258995116</v>
      </c>
      <c r="F132" s="19">
        <v>0.06</v>
      </c>
      <c r="G132" s="9">
        <f t="shared" si="9"/>
        <v>123217915.45454544</v>
      </c>
      <c r="H132" s="9">
        <f t="shared" si="10"/>
        <v>12321791.545454562</v>
      </c>
      <c r="I132" s="9">
        <f t="shared" si="11"/>
        <v>135539707</v>
      </c>
      <c r="J132" s="9">
        <v>90359805</v>
      </c>
      <c r="K132" s="9">
        <f t="shared" si="8"/>
        <v>45179902</v>
      </c>
      <c r="L132" s="59" t="str">
        <f>VLOOKUP(B132,'[1]IN HĐMB'!$I$1:$X$541,14,0)</f>
        <v>PTTT 04c</v>
      </c>
      <c r="M132" s="58" t="s">
        <v>20</v>
      </c>
    </row>
    <row r="133" spans="1:13" ht="29.25" customHeight="1">
      <c r="A133" s="7">
        <v>106</v>
      </c>
      <c r="B133" s="26" t="s">
        <v>127</v>
      </c>
      <c r="C133" s="73">
        <v>47.07</v>
      </c>
      <c r="D133" s="8">
        <v>44985389</v>
      </c>
      <c r="E133" s="21">
        <v>2117462260</v>
      </c>
      <c r="F133" s="19">
        <v>0.06</v>
      </c>
      <c r="G133" s="9">
        <f t="shared" si="9"/>
        <v>115497941.81818181</v>
      </c>
      <c r="H133" s="9">
        <f t="shared" si="10"/>
        <v>11549794.181818187</v>
      </c>
      <c r="I133" s="9">
        <f t="shared" si="11"/>
        <v>127047736</v>
      </c>
      <c r="J133" s="9">
        <v>84698490</v>
      </c>
      <c r="K133" s="9">
        <f t="shared" si="8"/>
        <v>42349246</v>
      </c>
      <c r="L133" s="59" t="str">
        <f>VLOOKUP(B133,'[1]IN HĐMB'!$I$1:$X$541,14,0)</f>
        <v>PTTT 04c</v>
      </c>
      <c r="M133" s="58" t="s">
        <v>20</v>
      </c>
    </row>
    <row r="134" spans="1:13" ht="29.25" customHeight="1">
      <c r="A134" s="7">
        <v>107</v>
      </c>
      <c r="B134" s="26" t="s">
        <v>128</v>
      </c>
      <c r="C134" s="73">
        <v>46.87</v>
      </c>
      <c r="D134" s="8">
        <v>47269201</v>
      </c>
      <c r="E134" s="21">
        <v>2215507451</v>
      </c>
      <c r="F134" s="19">
        <v>0.06</v>
      </c>
      <c r="G134" s="9">
        <f t="shared" si="9"/>
        <v>120845860.90909091</v>
      </c>
      <c r="H134" s="9">
        <f t="shared" si="10"/>
        <v>12084586.090909094</v>
      </c>
      <c r="I134" s="9">
        <f t="shared" si="11"/>
        <v>132930447</v>
      </c>
      <c r="J134" s="9">
        <v>88620298</v>
      </c>
      <c r="K134" s="9">
        <f t="shared" si="8"/>
        <v>44310149</v>
      </c>
      <c r="L134" s="59" t="str">
        <f>VLOOKUP(B134,'[1]IN HĐMB'!$I$1:$X$541,14,0)</f>
        <v>PTTT 04c</v>
      </c>
      <c r="M134" s="58" t="s">
        <v>20</v>
      </c>
    </row>
    <row r="135" spans="1:13" ht="29.25" customHeight="1">
      <c r="A135" s="7">
        <v>108</v>
      </c>
      <c r="B135" s="26" t="s">
        <v>129</v>
      </c>
      <c r="C135" s="73">
        <v>31.1</v>
      </c>
      <c r="D135" s="8">
        <v>47725353</v>
      </c>
      <c r="E135" s="21">
        <v>1484258478</v>
      </c>
      <c r="F135" s="19">
        <v>0.06</v>
      </c>
      <c r="G135" s="9">
        <f t="shared" si="9"/>
        <v>80959553.636363626</v>
      </c>
      <c r="H135" s="9">
        <f t="shared" si="10"/>
        <v>8095955.3636363745</v>
      </c>
      <c r="I135" s="9">
        <f t="shared" si="11"/>
        <v>89055509</v>
      </c>
      <c r="J135" s="9">
        <v>59370339</v>
      </c>
      <c r="K135" s="9">
        <f t="shared" si="8"/>
        <v>29685170</v>
      </c>
      <c r="L135" s="59" t="str">
        <f>VLOOKUP(B135,'[1]IN HĐMB'!$I$1:$X$541,14,0)</f>
        <v>PTTT 04c</v>
      </c>
      <c r="M135" s="58" t="s">
        <v>20</v>
      </c>
    </row>
    <row r="136" spans="1:13" ht="29.25" customHeight="1">
      <c r="A136" s="7">
        <v>109</v>
      </c>
      <c r="B136" s="26" t="s">
        <v>130</v>
      </c>
      <c r="C136" s="73">
        <v>47.68</v>
      </c>
      <c r="D136" s="8">
        <v>46812032</v>
      </c>
      <c r="E136" s="21">
        <v>2231997686</v>
      </c>
      <c r="F136" s="19">
        <v>0.05</v>
      </c>
      <c r="G136" s="9">
        <f t="shared" si="9"/>
        <v>101454439.99999999</v>
      </c>
      <c r="H136" s="9">
        <f t="shared" si="10"/>
        <v>10145444.000000015</v>
      </c>
      <c r="I136" s="9">
        <f t="shared" si="11"/>
        <v>111599884</v>
      </c>
      <c r="J136" s="9">
        <f>E136*3%</f>
        <v>66959930.579999998</v>
      </c>
      <c r="K136" s="9">
        <f t="shared" si="8"/>
        <v>44639953.420000002</v>
      </c>
      <c r="L136" s="59" t="str">
        <f>VLOOKUP(B136,'[1]IN HĐMB'!$I$1:$X$541,14,0)</f>
        <v>PTTT 04c</v>
      </c>
      <c r="M136" s="58" t="s">
        <v>20</v>
      </c>
    </row>
    <row r="137" spans="1:13" ht="29.25" customHeight="1">
      <c r="A137" s="7">
        <v>110</v>
      </c>
      <c r="B137" s="26" t="s">
        <v>131</v>
      </c>
      <c r="C137" s="73">
        <v>36.9</v>
      </c>
      <c r="D137" s="8">
        <v>47269201</v>
      </c>
      <c r="E137" s="21">
        <v>1744233517</v>
      </c>
      <c r="F137" s="19">
        <v>0.06</v>
      </c>
      <c r="G137" s="9">
        <f t="shared" si="9"/>
        <v>95140009.999999985</v>
      </c>
      <c r="H137" s="9">
        <f t="shared" si="10"/>
        <v>9514001.0000000149</v>
      </c>
      <c r="I137" s="9">
        <f t="shared" si="11"/>
        <v>104654011</v>
      </c>
      <c r="J137" s="9">
        <v>69769341</v>
      </c>
      <c r="K137" s="9">
        <f t="shared" si="8"/>
        <v>34884670</v>
      </c>
      <c r="L137" s="59" t="str">
        <f>VLOOKUP(B137,'[1]IN HĐMB'!$I$1:$X$541,14,0)</f>
        <v>PTTT 04c</v>
      </c>
      <c r="M137" s="58" t="s">
        <v>20</v>
      </c>
    </row>
    <row r="138" spans="1:13" ht="29.25" customHeight="1">
      <c r="A138" s="7">
        <v>111</v>
      </c>
      <c r="B138" s="26" t="s">
        <v>225</v>
      </c>
      <c r="C138" s="73">
        <v>47.07</v>
      </c>
      <c r="D138" s="21">
        <v>46284099</v>
      </c>
      <c r="E138" s="21">
        <v>2178592540</v>
      </c>
      <c r="F138" s="19">
        <v>0.06</v>
      </c>
      <c r="G138" s="9">
        <f t="shared" si="9"/>
        <v>118832319.99999999</v>
      </c>
      <c r="H138" s="9">
        <f t="shared" si="10"/>
        <v>11883232.000000015</v>
      </c>
      <c r="I138" s="9">
        <f t="shared" si="11"/>
        <v>130715552</v>
      </c>
      <c r="J138" s="9">
        <v>0</v>
      </c>
      <c r="K138" s="9">
        <f t="shared" si="8"/>
        <v>130715552</v>
      </c>
      <c r="L138" s="59" t="str">
        <f>VLOOKUP(B138,'[1]IN HĐMB'!$I$1:$X$541,14,0)</f>
        <v>PTTT 09c</v>
      </c>
      <c r="M138" s="58" t="s">
        <v>20</v>
      </c>
    </row>
    <row r="139" spans="1:13" ht="29.25" customHeight="1">
      <c r="A139" s="7">
        <v>112</v>
      </c>
      <c r="B139" s="26" t="s">
        <v>132</v>
      </c>
      <c r="C139" s="73">
        <v>46.87</v>
      </c>
      <c r="D139" s="8">
        <v>47953937</v>
      </c>
      <c r="E139" s="21">
        <v>2247601027</v>
      </c>
      <c r="F139" s="19">
        <v>0.06</v>
      </c>
      <c r="G139" s="9">
        <f t="shared" si="9"/>
        <v>122596419.99999999</v>
      </c>
      <c r="H139" s="9">
        <f t="shared" si="10"/>
        <v>12259642.000000015</v>
      </c>
      <c r="I139" s="9">
        <f t="shared" si="11"/>
        <v>134856062</v>
      </c>
      <c r="J139" s="9">
        <v>89904041</v>
      </c>
      <c r="K139" s="9">
        <f t="shared" si="8"/>
        <v>44952021</v>
      </c>
      <c r="L139" s="59" t="str">
        <f>VLOOKUP(B139,'[1]IN HĐMB'!$I$1:$X$541,14,0)</f>
        <v>PTTT 04c</v>
      </c>
      <c r="M139" s="58" t="s">
        <v>20</v>
      </c>
    </row>
    <row r="140" spans="1:13" ht="29.25" customHeight="1">
      <c r="A140" s="7">
        <v>113</v>
      </c>
      <c r="B140" s="26" t="s">
        <v>133</v>
      </c>
      <c r="C140" s="73">
        <v>31.1</v>
      </c>
      <c r="D140" s="8">
        <v>48410090</v>
      </c>
      <c r="E140" s="21">
        <v>1505553799</v>
      </c>
      <c r="F140" s="19">
        <v>0.06</v>
      </c>
      <c r="G140" s="9">
        <f t="shared" si="9"/>
        <v>82121116.36363636</v>
      </c>
      <c r="H140" s="9">
        <f t="shared" si="10"/>
        <v>8212111.6363636404</v>
      </c>
      <c r="I140" s="9">
        <f t="shared" si="11"/>
        <v>90333228</v>
      </c>
      <c r="J140" s="9">
        <v>60222152</v>
      </c>
      <c r="K140" s="9">
        <f t="shared" si="8"/>
        <v>30111076</v>
      </c>
      <c r="L140" s="59" t="str">
        <f>VLOOKUP(B140,'[1]IN HĐMB'!$I$1:$X$541,14,0)</f>
        <v>PTTT 04c</v>
      </c>
      <c r="M140" s="58" t="s">
        <v>20</v>
      </c>
    </row>
    <row r="141" spans="1:13" ht="29.25" customHeight="1">
      <c r="A141" s="7">
        <v>114</v>
      </c>
      <c r="B141" s="26" t="s">
        <v>226</v>
      </c>
      <c r="C141" s="73">
        <v>47.68</v>
      </c>
      <c r="D141" s="21">
        <v>48135298</v>
      </c>
      <c r="E141" s="21">
        <v>2295091009</v>
      </c>
      <c r="F141" s="19">
        <v>0.06</v>
      </c>
      <c r="G141" s="9">
        <f t="shared" si="9"/>
        <v>125186782.72727272</v>
      </c>
      <c r="H141" s="9">
        <f t="shared" si="10"/>
        <v>12518678.272727281</v>
      </c>
      <c r="I141" s="9">
        <f t="shared" si="11"/>
        <v>137705461</v>
      </c>
      <c r="J141" s="9">
        <v>0</v>
      </c>
      <c r="K141" s="9">
        <f t="shared" si="8"/>
        <v>137705461</v>
      </c>
      <c r="L141" s="59" t="str">
        <f>VLOOKUP(B141,'[1]IN HĐMB'!$I$1:$X$541,14,0)</f>
        <v>PTTT 09c</v>
      </c>
      <c r="M141" s="58" t="s">
        <v>20</v>
      </c>
    </row>
    <row r="142" spans="1:13" ht="29.25" customHeight="1">
      <c r="A142" s="7">
        <v>115</v>
      </c>
      <c r="B142" s="26" t="s">
        <v>134</v>
      </c>
      <c r="C142" s="73">
        <v>47.64</v>
      </c>
      <c r="D142" s="8">
        <v>46583448</v>
      </c>
      <c r="E142" s="21">
        <v>2219235463</v>
      </c>
      <c r="F142" s="19">
        <v>0.06</v>
      </c>
      <c r="G142" s="9">
        <f t="shared" si="9"/>
        <v>121049207.27272727</v>
      </c>
      <c r="H142" s="9">
        <f t="shared" si="10"/>
        <v>12104920.727272734</v>
      </c>
      <c r="I142" s="9">
        <f t="shared" si="11"/>
        <v>133154128</v>
      </c>
      <c r="J142" s="9">
        <v>88769419</v>
      </c>
      <c r="K142" s="9">
        <f t="shared" si="8"/>
        <v>44384709</v>
      </c>
      <c r="L142" s="59" t="str">
        <f>VLOOKUP(B142,'[1]IN HĐMB'!$I$1:$X$541,14,0)</f>
        <v>PTTT 04c</v>
      </c>
      <c r="M142" s="58" t="s">
        <v>20</v>
      </c>
    </row>
    <row r="143" spans="1:13" ht="29.25" customHeight="1">
      <c r="A143" s="7">
        <v>116</v>
      </c>
      <c r="B143" s="26" t="s">
        <v>227</v>
      </c>
      <c r="C143" s="73">
        <v>47.07</v>
      </c>
      <c r="D143" s="21">
        <v>46515756</v>
      </c>
      <c r="E143" s="21">
        <v>2189496635</v>
      </c>
      <c r="F143" s="19">
        <v>0.06</v>
      </c>
      <c r="G143" s="9">
        <f t="shared" si="9"/>
        <v>119427089.09090908</v>
      </c>
      <c r="H143" s="9">
        <f t="shared" si="10"/>
        <v>11942708.909090921</v>
      </c>
      <c r="I143" s="9">
        <f t="shared" si="11"/>
        <v>131369798</v>
      </c>
      <c r="J143" s="9">
        <v>0</v>
      </c>
      <c r="K143" s="9">
        <f t="shared" si="8"/>
        <v>131369798</v>
      </c>
      <c r="L143" s="59" t="str">
        <f>VLOOKUP(B143,'[1]IN HĐMB'!$I$1:$X$541,14,0)</f>
        <v>PTTT 09c</v>
      </c>
      <c r="M143" s="58" t="s">
        <v>20</v>
      </c>
    </row>
    <row r="144" spans="1:13" ht="29.25" customHeight="1">
      <c r="A144" s="7">
        <v>117</v>
      </c>
      <c r="B144" s="26" t="s">
        <v>228</v>
      </c>
      <c r="C144" s="73">
        <v>46.42</v>
      </c>
      <c r="D144" s="21">
        <v>46979070</v>
      </c>
      <c r="E144" s="21">
        <v>2180768429</v>
      </c>
      <c r="F144" s="19">
        <v>0.06</v>
      </c>
      <c r="G144" s="9">
        <f t="shared" si="9"/>
        <v>118951005.45454544</v>
      </c>
      <c r="H144" s="9">
        <f t="shared" si="10"/>
        <v>11895100.545454562</v>
      </c>
      <c r="I144" s="9">
        <f t="shared" si="11"/>
        <v>130846106</v>
      </c>
      <c r="J144" s="9">
        <v>0</v>
      </c>
      <c r="K144" s="9">
        <f t="shared" si="8"/>
        <v>130846106</v>
      </c>
      <c r="L144" s="59" t="str">
        <f>VLOOKUP(B144,'[1]IN HĐMB'!$I$1:$X$541,14,0)</f>
        <v>PTTT 09c</v>
      </c>
      <c r="M144" s="58" t="s">
        <v>20</v>
      </c>
    </row>
    <row r="145" spans="1:13" ht="29.25" customHeight="1">
      <c r="A145" s="7">
        <v>118</v>
      </c>
      <c r="B145" s="26" t="s">
        <v>229</v>
      </c>
      <c r="C145" s="73">
        <v>31.1</v>
      </c>
      <c r="D145" s="21">
        <v>49292555</v>
      </c>
      <c r="E145" s="21">
        <v>1532998461</v>
      </c>
      <c r="F145" s="19">
        <v>0.06</v>
      </c>
      <c r="G145" s="9">
        <f t="shared" si="9"/>
        <v>83618098.181818172</v>
      </c>
      <c r="H145" s="9">
        <f t="shared" si="10"/>
        <v>8361809.8181818277</v>
      </c>
      <c r="I145" s="9">
        <f t="shared" si="11"/>
        <v>91979908</v>
      </c>
      <c r="J145" s="9">
        <v>0</v>
      </c>
      <c r="K145" s="9">
        <f t="shared" si="8"/>
        <v>91979908</v>
      </c>
      <c r="L145" s="59" t="str">
        <f>VLOOKUP(B145,'[1]IN HĐMB'!$I$1:$X$541,14,0)</f>
        <v>PTTT 09c</v>
      </c>
      <c r="M145" s="58" t="s">
        <v>20</v>
      </c>
    </row>
    <row r="146" spans="1:13" ht="29.25" customHeight="1">
      <c r="A146" s="7">
        <v>119</v>
      </c>
      <c r="B146" s="26" t="s">
        <v>230</v>
      </c>
      <c r="C146" s="73">
        <v>48.2</v>
      </c>
      <c r="D146" s="21">
        <v>47904671</v>
      </c>
      <c r="E146" s="21">
        <v>2309005142</v>
      </c>
      <c r="F146" s="19">
        <v>0.06</v>
      </c>
      <c r="G146" s="9">
        <f t="shared" si="9"/>
        <v>125945735.45454544</v>
      </c>
      <c r="H146" s="9">
        <f t="shared" si="10"/>
        <v>12594573.545454562</v>
      </c>
      <c r="I146" s="9">
        <f t="shared" si="11"/>
        <v>138540309</v>
      </c>
      <c r="J146" s="9">
        <v>0</v>
      </c>
      <c r="K146" s="9">
        <f t="shared" si="8"/>
        <v>138540309</v>
      </c>
      <c r="L146" s="59" t="str">
        <f>VLOOKUP(B146,'[1]IN HĐMB'!$I$1:$X$541,14,0)</f>
        <v>PTTT 09c</v>
      </c>
      <c r="M146" s="58" t="s">
        <v>20</v>
      </c>
    </row>
    <row r="147" spans="1:13" ht="29.25" customHeight="1">
      <c r="A147" s="7">
        <v>120</v>
      </c>
      <c r="B147" s="26" t="s">
        <v>231</v>
      </c>
      <c r="C147" s="73">
        <v>36.9</v>
      </c>
      <c r="D147" s="21">
        <v>48830270</v>
      </c>
      <c r="E147" s="21">
        <v>1801836963</v>
      </c>
      <c r="F147" s="19">
        <v>0.06</v>
      </c>
      <c r="G147" s="9">
        <f t="shared" si="9"/>
        <v>98282016.36363636</v>
      </c>
      <c r="H147" s="9">
        <f t="shared" si="10"/>
        <v>9828201.6363636404</v>
      </c>
      <c r="I147" s="9">
        <f t="shared" si="11"/>
        <v>108110218</v>
      </c>
      <c r="J147" s="9">
        <v>0</v>
      </c>
      <c r="K147" s="9">
        <f t="shared" si="8"/>
        <v>108110218</v>
      </c>
      <c r="L147" s="59" t="str">
        <f>VLOOKUP(B147,'[1]IN HĐMB'!$I$1:$X$541,14,0)</f>
        <v>PTTT 09c</v>
      </c>
      <c r="M147" s="58" t="s">
        <v>20</v>
      </c>
    </row>
    <row r="148" spans="1:13" ht="29.25" customHeight="1">
      <c r="A148" s="7">
        <v>121</v>
      </c>
      <c r="B148" s="26" t="s">
        <v>232</v>
      </c>
      <c r="C148" s="73">
        <v>48.21</v>
      </c>
      <c r="D148" s="21">
        <v>47904671</v>
      </c>
      <c r="E148" s="21">
        <v>2309484189</v>
      </c>
      <c r="F148" s="19">
        <v>0.06</v>
      </c>
      <c r="G148" s="9">
        <f t="shared" si="9"/>
        <v>125971864.54545453</v>
      </c>
      <c r="H148" s="9">
        <f t="shared" si="10"/>
        <v>12597186.454545468</v>
      </c>
      <c r="I148" s="9">
        <f t="shared" si="11"/>
        <v>138569051</v>
      </c>
      <c r="J148" s="9">
        <v>0</v>
      </c>
      <c r="K148" s="9">
        <f t="shared" si="8"/>
        <v>138569051</v>
      </c>
      <c r="L148" s="59" t="str">
        <f>VLOOKUP(B148,'[1]IN HĐMB'!$I$1:$X$541,14,0)</f>
        <v>PTTT 09c</v>
      </c>
      <c r="M148" s="58" t="s">
        <v>20</v>
      </c>
    </row>
    <row r="149" spans="1:13" ht="29.25" customHeight="1">
      <c r="A149" s="7">
        <v>122</v>
      </c>
      <c r="B149" s="26" t="s">
        <v>135</v>
      </c>
      <c r="C149" s="73">
        <v>32.06</v>
      </c>
      <c r="D149" s="8">
        <v>48867259</v>
      </c>
      <c r="E149" s="21">
        <v>1566684324</v>
      </c>
      <c r="F149" s="19">
        <v>0.06</v>
      </c>
      <c r="G149" s="9">
        <f t="shared" si="9"/>
        <v>85455508.181818172</v>
      </c>
      <c r="H149" s="9">
        <f t="shared" si="10"/>
        <v>8545550.8181818277</v>
      </c>
      <c r="I149" s="9">
        <f t="shared" si="11"/>
        <v>94001059</v>
      </c>
      <c r="J149" s="9">
        <v>62667373</v>
      </c>
      <c r="K149" s="9">
        <f t="shared" si="8"/>
        <v>31333686</v>
      </c>
      <c r="L149" s="59" t="str">
        <f>VLOOKUP(B149,'[1]IN HĐMB'!$I$1:$X$541,14,0)</f>
        <v>PTTT 06c</v>
      </c>
      <c r="M149" s="58" t="s">
        <v>20</v>
      </c>
    </row>
    <row r="150" spans="1:13" ht="29.25" customHeight="1">
      <c r="A150" s="7">
        <v>123</v>
      </c>
      <c r="B150" s="26" t="s">
        <v>136</v>
      </c>
      <c r="C150" s="73">
        <v>46.87</v>
      </c>
      <c r="D150" s="8">
        <v>48182521</v>
      </c>
      <c r="E150" s="21">
        <v>2258314759</v>
      </c>
      <c r="F150" s="19">
        <v>0.06</v>
      </c>
      <c r="G150" s="9">
        <f t="shared" si="9"/>
        <v>123180805.45454544</v>
      </c>
      <c r="H150" s="9">
        <f t="shared" si="10"/>
        <v>12318080.545454562</v>
      </c>
      <c r="I150" s="9">
        <f t="shared" si="11"/>
        <v>135498886</v>
      </c>
      <c r="J150" s="9">
        <v>90332590</v>
      </c>
      <c r="K150" s="9">
        <f t="shared" si="8"/>
        <v>45166296</v>
      </c>
      <c r="L150" s="59" t="str">
        <f>VLOOKUP(B150,'[1]IN HĐMB'!$I$1:$X$541,14,0)</f>
        <v>PTTT 04c</v>
      </c>
      <c r="M150" s="58" t="s">
        <v>20</v>
      </c>
    </row>
    <row r="151" spans="1:13" ht="29.25" customHeight="1">
      <c r="A151" s="7">
        <v>124</v>
      </c>
      <c r="B151" s="26" t="s">
        <v>137</v>
      </c>
      <c r="C151" s="73">
        <v>52.14</v>
      </c>
      <c r="D151" s="8">
        <v>48638675</v>
      </c>
      <c r="E151" s="21">
        <v>2536020515</v>
      </c>
      <c r="F151" s="19">
        <v>0.06</v>
      </c>
      <c r="G151" s="9">
        <f t="shared" si="9"/>
        <v>138328391.81818181</v>
      </c>
      <c r="H151" s="9">
        <f t="shared" si="10"/>
        <v>13832839.181818187</v>
      </c>
      <c r="I151" s="9">
        <f t="shared" si="11"/>
        <v>152161231</v>
      </c>
      <c r="J151" s="9">
        <v>101440821</v>
      </c>
      <c r="K151" s="9">
        <f t="shared" si="8"/>
        <v>50720410</v>
      </c>
      <c r="L151" s="59" t="str">
        <f>VLOOKUP(B151,'[1]IN HĐMB'!$I$1:$X$541,14,0)</f>
        <v>PTTT 04c</v>
      </c>
      <c r="M151" s="58" t="s">
        <v>20</v>
      </c>
    </row>
    <row r="152" spans="1:13" ht="29.25" customHeight="1">
      <c r="A152" s="7">
        <v>125</v>
      </c>
      <c r="B152" s="26" t="s">
        <v>138</v>
      </c>
      <c r="C152" s="73">
        <v>47.64</v>
      </c>
      <c r="D152" s="8">
        <v>47040616</v>
      </c>
      <c r="E152" s="21">
        <v>2241014946</v>
      </c>
      <c r="F152" s="19">
        <v>0.06</v>
      </c>
      <c r="G152" s="9">
        <f t="shared" si="9"/>
        <v>122237179.09090908</v>
      </c>
      <c r="H152" s="9">
        <f t="shared" si="10"/>
        <v>12223717.909090921</v>
      </c>
      <c r="I152" s="9">
        <f t="shared" si="11"/>
        <v>134460897</v>
      </c>
      <c r="J152" s="9">
        <v>89640598</v>
      </c>
      <c r="K152" s="9">
        <f t="shared" si="8"/>
        <v>44820299</v>
      </c>
      <c r="L152" s="59" t="str">
        <f>VLOOKUP(B152,'[1]IN HĐMB'!$I$1:$X$541,14,0)</f>
        <v>PTTT 04c</v>
      </c>
      <c r="M152" s="58" t="s">
        <v>20</v>
      </c>
    </row>
    <row r="153" spans="1:13" ht="29.25" customHeight="1">
      <c r="A153" s="7">
        <v>126</v>
      </c>
      <c r="B153" s="26" t="s">
        <v>139</v>
      </c>
      <c r="C153" s="73">
        <v>36.32</v>
      </c>
      <c r="D153" s="8">
        <v>49323411</v>
      </c>
      <c r="E153" s="21">
        <v>1791426288</v>
      </c>
      <c r="F153" s="19">
        <v>0.06</v>
      </c>
      <c r="G153" s="9">
        <f t="shared" si="9"/>
        <v>97714160.909090906</v>
      </c>
      <c r="H153" s="9">
        <f t="shared" si="10"/>
        <v>9771416.0909090936</v>
      </c>
      <c r="I153" s="9">
        <f t="shared" si="11"/>
        <v>107485577</v>
      </c>
      <c r="J153" s="9">
        <v>71657052</v>
      </c>
      <c r="K153" s="9">
        <f t="shared" si="8"/>
        <v>35828525</v>
      </c>
      <c r="L153" s="59" t="str">
        <f>VLOOKUP(B153,'[1]IN HĐMB'!$I$1:$X$541,14,0)</f>
        <v>PTTT 04c</v>
      </c>
      <c r="M153" s="58" t="s">
        <v>20</v>
      </c>
    </row>
    <row r="154" spans="1:13" ht="29.25" customHeight="1">
      <c r="A154" s="7">
        <v>127</v>
      </c>
      <c r="B154" s="26" t="s">
        <v>140</v>
      </c>
      <c r="C154" s="73">
        <v>48.2</v>
      </c>
      <c r="D154" s="8">
        <v>47496769</v>
      </c>
      <c r="E154" s="21">
        <v>2289344266</v>
      </c>
      <c r="F154" s="19">
        <v>0.06</v>
      </c>
      <c r="G154" s="9">
        <f t="shared" si="9"/>
        <v>124873323.63636363</v>
      </c>
      <c r="H154" s="9">
        <f t="shared" si="10"/>
        <v>12487332.363636374</v>
      </c>
      <c r="I154" s="9">
        <f t="shared" si="11"/>
        <v>137360656</v>
      </c>
      <c r="J154" s="9">
        <v>91573771</v>
      </c>
      <c r="K154" s="9">
        <f t="shared" si="8"/>
        <v>45786885</v>
      </c>
      <c r="L154" s="59" t="str">
        <f>VLOOKUP(B154,'[1]IN HĐMB'!$I$1:$X$541,14,0)</f>
        <v>PTTT 04c</v>
      </c>
      <c r="M154" s="58" t="s">
        <v>20</v>
      </c>
    </row>
    <row r="155" spans="1:13" ht="29.25" customHeight="1">
      <c r="A155" s="7">
        <v>128</v>
      </c>
      <c r="B155" s="26" t="s">
        <v>233</v>
      </c>
      <c r="C155" s="73">
        <v>52.14</v>
      </c>
      <c r="D155" s="21">
        <v>48830270</v>
      </c>
      <c r="E155" s="21">
        <v>2546010278</v>
      </c>
      <c r="F155" s="19">
        <v>0.06</v>
      </c>
      <c r="G155" s="9">
        <f t="shared" si="9"/>
        <v>138873288.18181816</v>
      </c>
      <c r="H155" s="9">
        <f t="shared" si="10"/>
        <v>13887328.818181843</v>
      </c>
      <c r="I155" s="9">
        <f t="shared" si="11"/>
        <v>152760617</v>
      </c>
      <c r="J155" s="9">
        <v>0</v>
      </c>
      <c r="K155" s="9">
        <f t="shared" ref="K155:K218" si="12">I155-J155</f>
        <v>152760617</v>
      </c>
      <c r="L155" s="59" t="str">
        <f>VLOOKUP(B155,'[1]IN HĐMB'!$I$1:$X$541,14,0)</f>
        <v>PTTT 06c</v>
      </c>
      <c r="M155" s="58" t="s">
        <v>20</v>
      </c>
    </row>
    <row r="156" spans="1:13" ht="29.25" customHeight="1">
      <c r="A156" s="7">
        <v>129</v>
      </c>
      <c r="B156" s="26" t="s">
        <v>141</v>
      </c>
      <c r="C156" s="73">
        <v>46.42</v>
      </c>
      <c r="D156" s="8">
        <v>45898710</v>
      </c>
      <c r="E156" s="21">
        <v>2130618118</v>
      </c>
      <c r="F156" s="19">
        <v>0.06</v>
      </c>
      <c r="G156" s="9">
        <f t="shared" si="9"/>
        <v>116215533.63636363</v>
      </c>
      <c r="H156" s="9">
        <f t="shared" si="10"/>
        <v>11621553.363636374</v>
      </c>
      <c r="I156" s="9">
        <f t="shared" si="11"/>
        <v>127837087</v>
      </c>
      <c r="J156" s="9">
        <v>85224725</v>
      </c>
      <c r="K156" s="9">
        <f t="shared" si="12"/>
        <v>42612362</v>
      </c>
      <c r="L156" s="59" t="str">
        <f>VLOOKUP(B156,'[1]IN HĐMB'!$I$1:$X$541,14,0)</f>
        <v>PTTT 04c</v>
      </c>
      <c r="M156" s="58" t="s">
        <v>20</v>
      </c>
    </row>
    <row r="157" spans="1:13" ht="29.25" customHeight="1">
      <c r="A157" s="7">
        <v>130</v>
      </c>
      <c r="B157" s="26" t="s">
        <v>142</v>
      </c>
      <c r="C157" s="73">
        <v>46.87</v>
      </c>
      <c r="D157" s="8">
        <v>48182521</v>
      </c>
      <c r="E157" s="21">
        <v>2258314759</v>
      </c>
      <c r="F157" s="19">
        <v>0.06</v>
      </c>
      <c r="G157" s="9">
        <f t="shared" si="9"/>
        <v>123180805.45454544</v>
      </c>
      <c r="H157" s="9">
        <f t="shared" si="10"/>
        <v>12318080.545454562</v>
      </c>
      <c r="I157" s="9">
        <f t="shared" si="11"/>
        <v>135498886</v>
      </c>
      <c r="J157" s="9">
        <v>90332590</v>
      </c>
      <c r="K157" s="9">
        <f t="shared" si="12"/>
        <v>45166296</v>
      </c>
      <c r="L157" s="59" t="str">
        <f>VLOOKUP(B157,'[1]IN HĐMB'!$I$1:$X$541,14,0)</f>
        <v>PTTT 04c</v>
      </c>
      <c r="M157" s="58" t="s">
        <v>20</v>
      </c>
    </row>
    <row r="158" spans="1:13" ht="29.25" customHeight="1">
      <c r="A158" s="7">
        <v>131</v>
      </c>
      <c r="B158" s="26" t="s">
        <v>234</v>
      </c>
      <c r="C158" s="73">
        <v>47.68</v>
      </c>
      <c r="D158" s="21">
        <v>47904671</v>
      </c>
      <c r="E158" s="21">
        <v>2284094713</v>
      </c>
      <c r="F158" s="19">
        <v>0.06</v>
      </c>
      <c r="G158" s="9">
        <f t="shared" si="9"/>
        <v>124586984.54545453</v>
      </c>
      <c r="H158" s="9">
        <f t="shared" si="10"/>
        <v>12458698.454545468</v>
      </c>
      <c r="I158" s="9">
        <f t="shared" si="11"/>
        <v>137045683</v>
      </c>
      <c r="J158" s="9">
        <v>0</v>
      </c>
      <c r="K158" s="9">
        <f t="shared" si="12"/>
        <v>137045683</v>
      </c>
      <c r="L158" s="59" t="str">
        <f>VLOOKUP(B158,'[1]IN HĐMB'!$I$1:$X$541,14,0)</f>
        <v>PTTT 09c</v>
      </c>
      <c r="M158" s="58" t="s">
        <v>20</v>
      </c>
    </row>
    <row r="159" spans="1:13" ht="29.25" customHeight="1">
      <c r="A159" s="7">
        <v>132</v>
      </c>
      <c r="B159" s="26" t="s">
        <v>235</v>
      </c>
      <c r="C159" s="73">
        <v>52.14</v>
      </c>
      <c r="D159" s="21">
        <v>49060898</v>
      </c>
      <c r="E159" s="21">
        <v>2558035222</v>
      </c>
      <c r="F159" s="19">
        <v>0.06</v>
      </c>
      <c r="G159" s="9">
        <f t="shared" si="9"/>
        <v>139529193.63636363</v>
      </c>
      <c r="H159" s="9">
        <f t="shared" si="10"/>
        <v>13952919.363636374</v>
      </c>
      <c r="I159" s="9">
        <f t="shared" si="11"/>
        <v>153482113</v>
      </c>
      <c r="J159" s="9">
        <v>0</v>
      </c>
      <c r="K159" s="9">
        <f t="shared" si="12"/>
        <v>153482113</v>
      </c>
      <c r="L159" s="59" t="str">
        <f>VLOOKUP(B159,'[1]IN HĐMB'!$I$1:$X$541,14,0)</f>
        <v>PTTT 09c</v>
      </c>
      <c r="M159" s="58" t="s">
        <v>20</v>
      </c>
    </row>
    <row r="160" spans="1:13" ht="29.25" customHeight="1">
      <c r="A160" s="7">
        <v>133</v>
      </c>
      <c r="B160" s="26" t="s">
        <v>236</v>
      </c>
      <c r="C160" s="73">
        <v>46.42</v>
      </c>
      <c r="D160" s="21">
        <v>47209699</v>
      </c>
      <c r="E160" s="21">
        <v>2191474228</v>
      </c>
      <c r="F160" s="19">
        <v>0.05</v>
      </c>
      <c r="G160" s="9">
        <f t="shared" si="9"/>
        <v>99612464.545454532</v>
      </c>
      <c r="H160" s="9">
        <f t="shared" si="10"/>
        <v>9961246.4545454681</v>
      </c>
      <c r="I160" s="9">
        <f t="shared" si="11"/>
        <v>109573711</v>
      </c>
      <c r="J160" s="9">
        <v>0</v>
      </c>
      <c r="K160" s="9">
        <f t="shared" si="12"/>
        <v>109573711</v>
      </c>
      <c r="L160" s="59" t="str">
        <f>VLOOKUP(B160,'[1]IN HĐMB'!$I$1:$X$541,14,0)</f>
        <v>PTTT 09c</v>
      </c>
      <c r="M160" s="58" t="s">
        <v>20</v>
      </c>
    </row>
    <row r="161" spans="1:13" ht="29.25" customHeight="1">
      <c r="A161" s="7">
        <v>134</v>
      </c>
      <c r="B161" s="26" t="s">
        <v>237</v>
      </c>
      <c r="C161" s="73">
        <v>46.42</v>
      </c>
      <c r="D161" s="21">
        <v>46746384</v>
      </c>
      <c r="E161" s="21">
        <v>2169967145</v>
      </c>
      <c r="F161" s="19">
        <v>0.06</v>
      </c>
      <c r="G161" s="9">
        <f t="shared" si="9"/>
        <v>118361844.54545453</v>
      </c>
      <c r="H161" s="9">
        <f t="shared" si="10"/>
        <v>11836184.454545468</v>
      </c>
      <c r="I161" s="9">
        <f t="shared" si="11"/>
        <v>130198029</v>
      </c>
      <c r="J161" s="9">
        <v>0</v>
      </c>
      <c r="K161" s="9">
        <f t="shared" si="12"/>
        <v>130198029</v>
      </c>
      <c r="L161" s="59" t="str">
        <f>VLOOKUP(B161,'[1]IN HĐMB'!$I$1:$X$541,14,0)</f>
        <v>PTTT 09c</v>
      </c>
      <c r="M161" s="58" t="s">
        <v>20</v>
      </c>
    </row>
    <row r="162" spans="1:13" ht="29.25" customHeight="1">
      <c r="A162" s="7">
        <v>135</v>
      </c>
      <c r="B162" s="26" t="s">
        <v>238</v>
      </c>
      <c r="C162" s="73">
        <v>36.32</v>
      </c>
      <c r="D162" s="21">
        <v>49986497</v>
      </c>
      <c r="E162" s="21">
        <v>1815509571</v>
      </c>
      <c r="F162" s="19">
        <v>0.06</v>
      </c>
      <c r="G162" s="9">
        <f t="shared" si="9"/>
        <v>99027794.545454532</v>
      </c>
      <c r="H162" s="9">
        <f t="shared" si="10"/>
        <v>9902779.4545454681</v>
      </c>
      <c r="I162" s="9">
        <f t="shared" si="11"/>
        <v>108930574</v>
      </c>
      <c r="J162" s="9">
        <v>0</v>
      </c>
      <c r="K162" s="9">
        <f t="shared" si="12"/>
        <v>108930574</v>
      </c>
      <c r="L162" s="59" t="str">
        <f>VLOOKUP(B162,'[1]IN HĐMB'!$I$1:$X$541,14,0)</f>
        <v>PTTT 09c</v>
      </c>
      <c r="M162" s="58" t="s">
        <v>20</v>
      </c>
    </row>
    <row r="163" spans="1:13" ht="29.25" customHeight="1">
      <c r="A163" s="7">
        <v>136</v>
      </c>
      <c r="B163" s="26" t="s">
        <v>143</v>
      </c>
      <c r="C163" s="73">
        <v>32.06</v>
      </c>
      <c r="D163" s="8">
        <v>48867259</v>
      </c>
      <c r="E163" s="21">
        <v>1566684324</v>
      </c>
      <c r="F163" s="19">
        <v>0.06</v>
      </c>
      <c r="G163" s="9">
        <f t="shared" si="9"/>
        <v>85455508.181818172</v>
      </c>
      <c r="H163" s="9">
        <f t="shared" si="10"/>
        <v>8545550.8181818277</v>
      </c>
      <c r="I163" s="9">
        <f t="shared" si="11"/>
        <v>94001059</v>
      </c>
      <c r="J163" s="9">
        <v>62667373</v>
      </c>
      <c r="K163" s="9">
        <f t="shared" si="12"/>
        <v>31333686</v>
      </c>
      <c r="L163" s="59" t="str">
        <f>VLOOKUP(B163,'[1]IN HĐMB'!$I$1:$X$541,14,0)</f>
        <v>PTTT 04c</v>
      </c>
      <c r="M163" s="58" t="s">
        <v>20</v>
      </c>
    </row>
    <row r="164" spans="1:13" ht="29.25" customHeight="1">
      <c r="A164" s="7">
        <v>137</v>
      </c>
      <c r="B164" s="26" t="s">
        <v>144</v>
      </c>
      <c r="C164" s="73">
        <v>52.14</v>
      </c>
      <c r="D164" s="8">
        <v>48638675</v>
      </c>
      <c r="E164" s="21">
        <v>2536020515</v>
      </c>
      <c r="F164" s="19">
        <v>0.06</v>
      </c>
      <c r="G164" s="9">
        <f t="shared" ref="G164:G227" si="13">+I164/1.1</f>
        <v>138328391.81818181</v>
      </c>
      <c r="H164" s="9">
        <f t="shared" ref="H164:H227" si="14">I164-G164</f>
        <v>13832839.181818187</v>
      </c>
      <c r="I164" s="9">
        <f t="shared" ref="I164:I227" si="15">ROUND(E164*F164,0)</f>
        <v>152161231</v>
      </c>
      <c r="J164" s="9">
        <v>101440821</v>
      </c>
      <c r="K164" s="9">
        <f t="shared" si="12"/>
        <v>50720410</v>
      </c>
      <c r="L164" s="59" t="str">
        <f>VLOOKUP(B164,'[1]IN HĐMB'!$I$1:$X$541,14,0)</f>
        <v>PTTT 04c</v>
      </c>
      <c r="M164" s="58" t="s">
        <v>20</v>
      </c>
    </row>
    <row r="165" spans="1:13" ht="29.25" customHeight="1">
      <c r="A165" s="7">
        <v>138</v>
      </c>
      <c r="B165" s="26" t="s">
        <v>145</v>
      </c>
      <c r="C165" s="73">
        <v>47.64</v>
      </c>
      <c r="D165" s="8">
        <v>47040616</v>
      </c>
      <c r="E165" s="21">
        <v>2241014946</v>
      </c>
      <c r="F165" s="19">
        <v>0.06</v>
      </c>
      <c r="G165" s="9">
        <f t="shared" si="13"/>
        <v>122237179.09090908</v>
      </c>
      <c r="H165" s="9">
        <f t="shared" si="14"/>
        <v>12223717.909090921</v>
      </c>
      <c r="I165" s="9">
        <f t="shared" si="15"/>
        <v>134460897</v>
      </c>
      <c r="J165" s="9">
        <v>89640598</v>
      </c>
      <c r="K165" s="9">
        <f t="shared" si="12"/>
        <v>44820299</v>
      </c>
      <c r="L165" s="59" t="str">
        <f>VLOOKUP(B165,'[1]IN HĐMB'!$I$1:$X$541,14,0)</f>
        <v>PTTT 04c</v>
      </c>
      <c r="M165" s="58" t="s">
        <v>20</v>
      </c>
    </row>
    <row r="166" spans="1:13" ht="29.25" customHeight="1">
      <c r="A166" s="7">
        <v>139</v>
      </c>
      <c r="B166" s="26" t="s">
        <v>146</v>
      </c>
      <c r="C166" s="73">
        <v>36.32</v>
      </c>
      <c r="D166" s="8">
        <v>49323411</v>
      </c>
      <c r="E166" s="21">
        <v>1791426288</v>
      </c>
      <c r="F166" s="19">
        <v>0.06</v>
      </c>
      <c r="G166" s="9">
        <f t="shared" si="13"/>
        <v>97714160.909090906</v>
      </c>
      <c r="H166" s="9">
        <f t="shared" si="14"/>
        <v>9771416.0909090936</v>
      </c>
      <c r="I166" s="9">
        <f t="shared" si="15"/>
        <v>107485577</v>
      </c>
      <c r="J166" s="9">
        <v>71657052</v>
      </c>
      <c r="K166" s="9">
        <f t="shared" si="12"/>
        <v>35828525</v>
      </c>
      <c r="L166" s="59" t="str">
        <f>VLOOKUP(B166,'[1]IN HĐMB'!$I$1:$X$541,14,0)</f>
        <v>PTTT 04c</v>
      </c>
      <c r="M166" s="58" t="s">
        <v>20</v>
      </c>
    </row>
    <row r="167" spans="1:13" ht="29.25" customHeight="1">
      <c r="A167" s="7">
        <v>140</v>
      </c>
      <c r="B167" s="26" t="s">
        <v>147</v>
      </c>
      <c r="C167" s="73">
        <v>48.2</v>
      </c>
      <c r="D167" s="8">
        <v>47496769</v>
      </c>
      <c r="E167" s="21">
        <v>2289344266</v>
      </c>
      <c r="F167" s="19">
        <v>0.06</v>
      </c>
      <c r="G167" s="9">
        <f t="shared" si="13"/>
        <v>124873323.63636363</v>
      </c>
      <c r="H167" s="9">
        <f t="shared" si="14"/>
        <v>12487332.363636374</v>
      </c>
      <c r="I167" s="9">
        <f t="shared" si="15"/>
        <v>137360656</v>
      </c>
      <c r="J167" s="9">
        <v>91573771</v>
      </c>
      <c r="K167" s="9">
        <f t="shared" si="12"/>
        <v>45786885</v>
      </c>
      <c r="L167" s="59" t="str">
        <f>VLOOKUP(B167,'[1]IN HĐMB'!$I$1:$X$541,14,0)</f>
        <v>PTTT 04c</v>
      </c>
      <c r="M167" s="58" t="s">
        <v>20</v>
      </c>
    </row>
    <row r="168" spans="1:13" ht="29.25" customHeight="1">
      <c r="A168" s="7">
        <v>141</v>
      </c>
      <c r="B168" s="26" t="s">
        <v>239</v>
      </c>
      <c r="C168" s="73">
        <v>46.6</v>
      </c>
      <c r="D168" s="21">
        <v>46979070</v>
      </c>
      <c r="E168" s="21">
        <v>2189224662</v>
      </c>
      <c r="F168" s="19">
        <v>0.06</v>
      </c>
      <c r="G168" s="9">
        <f t="shared" si="13"/>
        <v>119412254.54545453</v>
      </c>
      <c r="H168" s="9">
        <f t="shared" si="14"/>
        <v>11941225.454545468</v>
      </c>
      <c r="I168" s="9">
        <f t="shared" si="15"/>
        <v>131353480</v>
      </c>
      <c r="J168" s="9">
        <v>0</v>
      </c>
      <c r="K168" s="9">
        <f t="shared" si="12"/>
        <v>131353480</v>
      </c>
      <c r="L168" s="59" t="str">
        <f>VLOOKUP(B168,'[1]IN HĐMB'!$I$1:$X$541,14,0)</f>
        <v>PTTT 09c</v>
      </c>
      <c r="M168" s="58" t="s">
        <v>20</v>
      </c>
    </row>
    <row r="169" spans="1:13" ht="29.25" customHeight="1">
      <c r="A169" s="7">
        <v>142</v>
      </c>
      <c r="B169" s="26" t="s">
        <v>240</v>
      </c>
      <c r="C169" s="73">
        <v>47.65</v>
      </c>
      <c r="D169" s="21">
        <v>49524213</v>
      </c>
      <c r="E169" s="21">
        <v>2359828749</v>
      </c>
      <c r="F169" s="19">
        <v>0.06</v>
      </c>
      <c r="G169" s="9">
        <f t="shared" si="13"/>
        <v>128717931.81818181</v>
      </c>
      <c r="H169" s="9">
        <f t="shared" si="14"/>
        <v>12871793.181818187</v>
      </c>
      <c r="I169" s="9">
        <f t="shared" si="15"/>
        <v>141589725</v>
      </c>
      <c r="J169" s="9">
        <v>0</v>
      </c>
      <c r="K169" s="9">
        <f t="shared" si="12"/>
        <v>141589725</v>
      </c>
      <c r="L169" s="59" t="str">
        <f>VLOOKUP(B169,'[1]IN HĐMB'!$I$1:$X$541,14,0)</f>
        <v>PTTT 09c</v>
      </c>
      <c r="M169" s="58" t="s">
        <v>20</v>
      </c>
    </row>
    <row r="170" spans="1:13" ht="29.25" customHeight="1">
      <c r="A170" s="7">
        <v>143</v>
      </c>
      <c r="B170" s="26" t="s">
        <v>148</v>
      </c>
      <c r="C170" s="73">
        <v>47.04</v>
      </c>
      <c r="D170" s="8">
        <v>47953937</v>
      </c>
      <c r="E170" s="21">
        <v>2255753196</v>
      </c>
      <c r="F170" s="19">
        <v>0.06</v>
      </c>
      <c r="G170" s="9">
        <f t="shared" si="13"/>
        <v>123041083.63636363</v>
      </c>
      <c r="H170" s="9">
        <f t="shared" si="14"/>
        <v>12304108.363636374</v>
      </c>
      <c r="I170" s="9">
        <f t="shared" si="15"/>
        <v>135345192</v>
      </c>
      <c r="J170" s="9">
        <v>90230128</v>
      </c>
      <c r="K170" s="9">
        <f t="shared" si="12"/>
        <v>45115064</v>
      </c>
      <c r="L170" s="59" t="str">
        <f>VLOOKUP(B170,'[1]IN HĐMB'!$I$1:$X$541,14,0)</f>
        <v>PTTT 09c</v>
      </c>
      <c r="M170" s="58" t="s">
        <v>20</v>
      </c>
    </row>
    <row r="171" spans="1:13" ht="29.25" customHeight="1">
      <c r="A171" s="7">
        <v>144</v>
      </c>
      <c r="B171" s="26" t="s">
        <v>149</v>
      </c>
      <c r="C171" s="73">
        <v>46.6</v>
      </c>
      <c r="D171" s="8">
        <v>45898710</v>
      </c>
      <c r="E171" s="21">
        <v>2138879886</v>
      </c>
      <c r="F171" s="19">
        <v>0.06</v>
      </c>
      <c r="G171" s="9">
        <f t="shared" si="13"/>
        <v>116666175.45454544</v>
      </c>
      <c r="H171" s="9">
        <f t="shared" si="14"/>
        <v>11666617.545454562</v>
      </c>
      <c r="I171" s="9">
        <f t="shared" si="15"/>
        <v>128332793</v>
      </c>
      <c r="J171" s="9">
        <v>85555195</v>
      </c>
      <c r="K171" s="9">
        <f t="shared" si="12"/>
        <v>42777598</v>
      </c>
      <c r="L171" s="59" t="str">
        <f>VLOOKUP(B171,'[1]IN HĐMB'!$I$1:$X$541,14,0)</f>
        <v>PTTT 09c</v>
      </c>
      <c r="M171" s="58" t="s">
        <v>20</v>
      </c>
    </row>
    <row r="172" spans="1:13" ht="29.25" customHeight="1">
      <c r="A172" s="7">
        <v>145</v>
      </c>
      <c r="B172" s="26" t="s">
        <v>150</v>
      </c>
      <c r="C172" s="73">
        <v>36.380000000000003</v>
      </c>
      <c r="D172" s="8">
        <v>49095843</v>
      </c>
      <c r="E172" s="21">
        <v>1786106768</v>
      </c>
      <c r="F172" s="19">
        <v>0.06</v>
      </c>
      <c r="G172" s="9">
        <f t="shared" si="13"/>
        <v>97424005.454545453</v>
      </c>
      <c r="H172" s="9">
        <f t="shared" si="14"/>
        <v>9742400.5454545468</v>
      </c>
      <c r="I172" s="9">
        <f t="shared" si="15"/>
        <v>107166406</v>
      </c>
      <c r="J172" s="9">
        <v>71444271</v>
      </c>
      <c r="K172" s="9">
        <f t="shared" si="12"/>
        <v>35722135</v>
      </c>
      <c r="L172" s="59" t="str">
        <f>VLOOKUP(B172,'[1]IN HĐMB'!$I$1:$X$541,14,0)</f>
        <v>PTTT 04c</v>
      </c>
      <c r="M172" s="58" t="s">
        <v>20</v>
      </c>
    </row>
    <row r="173" spans="1:13" ht="29.25" customHeight="1">
      <c r="A173" s="7">
        <v>146</v>
      </c>
      <c r="B173" s="26" t="s">
        <v>151</v>
      </c>
      <c r="C173" s="73">
        <v>47.83</v>
      </c>
      <c r="D173" s="8">
        <v>47269201</v>
      </c>
      <c r="E173" s="21">
        <v>2260885884</v>
      </c>
      <c r="F173" s="19">
        <v>0.06</v>
      </c>
      <c r="G173" s="9">
        <f t="shared" si="13"/>
        <v>123321048.18181817</v>
      </c>
      <c r="H173" s="9">
        <f t="shared" si="14"/>
        <v>12332104.818181828</v>
      </c>
      <c r="I173" s="9">
        <f t="shared" si="15"/>
        <v>135653153</v>
      </c>
      <c r="J173" s="9">
        <v>90435435</v>
      </c>
      <c r="K173" s="9">
        <f t="shared" si="12"/>
        <v>45217718</v>
      </c>
      <c r="L173" s="59" t="str">
        <f>VLOOKUP(B173,'[1]IN HĐMB'!$I$1:$X$541,14,0)</f>
        <v>PTTT 04c</v>
      </c>
      <c r="M173" s="58" t="s">
        <v>20</v>
      </c>
    </row>
    <row r="174" spans="1:13" ht="29.25" customHeight="1">
      <c r="A174" s="7">
        <v>147</v>
      </c>
      <c r="B174" s="26" t="s">
        <v>152</v>
      </c>
      <c r="C174" s="73">
        <v>48.44</v>
      </c>
      <c r="D174" s="8">
        <v>47269201</v>
      </c>
      <c r="E174" s="21">
        <v>2289720096</v>
      </c>
      <c r="F174" s="19">
        <v>0.06</v>
      </c>
      <c r="G174" s="9">
        <f t="shared" si="13"/>
        <v>124893823.63636363</v>
      </c>
      <c r="H174" s="9">
        <f t="shared" si="14"/>
        <v>12489382.363636374</v>
      </c>
      <c r="I174" s="9">
        <f t="shared" si="15"/>
        <v>137383206</v>
      </c>
      <c r="J174" s="9">
        <v>91588804</v>
      </c>
      <c r="K174" s="9">
        <f t="shared" si="12"/>
        <v>45794402</v>
      </c>
      <c r="L174" s="59" t="str">
        <f>VLOOKUP(B174,'[1]IN HĐMB'!$I$1:$X$541,14,0)</f>
        <v>PTTT 04c</v>
      </c>
      <c r="M174" s="58" t="s">
        <v>20</v>
      </c>
    </row>
    <row r="175" spans="1:13" ht="29.25" customHeight="1">
      <c r="A175" s="7">
        <v>148</v>
      </c>
      <c r="B175" s="26" t="s">
        <v>241</v>
      </c>
      <c r="C175" s="73">
        <v>32.14</v>
      </c>
      <c r="D175" s="21">
        <v>48830270</v>
      </c>
      <c r="E175" s="21">
        <v>1569404878</v>
      </c>
      <c r="F175" s="19">
        <v>0.06</v>
      </c>
      <c r="G175" s="9">
        <f t="shared" si="13"/>
        <v>85603902.727272719</v>
      </c>
      <c r="H175" s="9">
        <f t="shared" si="14"/>
        <v>8560390.2727272809</v>
      </c>
      <c r="I175" s="9">
        <f t="shared" si="15"/>
        <v>94164293</v>
      </c>
      <c r="J175" s="9">
        <v>0</v>
      </c>
      <c r="K175" s="9">
        <f t="shared" si="12"/>
        <v>94164293</v>
      </c>
      <c r="L175" s="59" t="str">
        <f>VLOOKUP(B175,'[1]IN HĐMB'!$I$1:$X$541,14,0)</f>
        <v>PTTT 09c</v>
      </c>
      <c r="M175" s="58" t="s">
        <v>20</v>
      </c>
    </row>
    <row r="176" spans="1:13" ht="29.25" customHeight="1">
      <c r="A176" s="7">
        <v>149</v>
      </c>
      <c r="B176" s="26" t="s">
        <v>242</v>
      </c>
      <c r="C176" s="73">
        <v>47.04</v>
      </c>
      <c r="D176" s="21">
        <v>48135298</v>
      </c>
      <c r="E176" s="21">
        <v>2264284418</v>
      </c>
      <c r="F176" s="19">
        <v>0.06</v>
      </c>
      <c r="G176" s="9">
        <f t="shared" si="13"/>
        <v>123506422.72727272</v>
      </c>
      <c r="H176" s="9">
        <f t="shared" si="14"/>
        <v>12350642.272727281</v>
      </c>
      <c r="I176" s="9">
        <f t="shared" si="15"/>
        <v>135857065</v>
      </c>
      <c r="J176" s="9">
        <v>0</v>
      </c>
      <c r="K176" s="9">
        <f t="shared" si="12"/>
        <v>135857065</v>
      </c>
      <c r="L176" s="59" t="str">
        <f>VLOOKUP(B176,'[1]IN HĐMB'!$I$1:$X$541,14,0)</f>
        <v>PTTT 09c</v>
      </c>
      <c r="M176" s="58" t="s">
        <v>20</v>
      </c>
    </row>
    <row r="177" spans="1:13" ht="29.25" customHeight="1">
      <c r="A177" s="7">
        <v>150</v>
      </c>
      <c r="B177" s="26" t="s">
        <v>243</v>
      </c>
      <c r="C177" s="73">
        <v>46.6</v>
      </c>
      <c r="D177" s="21">
        <v>46053471</v>
      </c>
      <c r="E177" s="21">
        <v>2146091749</v>
      </c>
      <c r="F177" s="19">
        <v>0.06</v>
      </c>
      <c r="G177" s="9">
        <f t="shared" si="13"/>
        <v>117059549.99999999</v>
      </c>
      <c r="H177" s="9">
        <f t="shared" si="14"/>
        <v>11705955.000000015</v>
      </c>
      <c r="I177" s="9">
        <f t="shared" si="15"/>
        <v>128765505</v>
      </c>
      <c r="J177" s="9">
        <v>0</v>
      </c>
      <c r="K177" s="9">
        <f t="shared" si="12"/>
        <v>128765505</v>
      </c>
      <c r="L177" s="59" t="str">
        <f>VLOOKUP(B177,'[1]IN HĐMB'!$I$1:$X$541,14,0)</f>
        <v>PTTT 09c</v>
      </c>
      <c r="M177" s="58" t="s">
        <v>20</v>
      </c>
    </row>
    <row r="178" spans="1:13" ht="29.25" customHeight="1">
      <c r="A178" s="7">
        <v>151</v>
      </c>
      <c r="B178" s="26" t="s">
        <v>244</v>
      </c>
      <c r="C178" s="73">
        <v>36.380000000000003</v>
      </c>
      <c r="D178" s="21">
        <v>49292555</v>
      </c>
      <c r="E178" s="21">
        <v>1793263151</v>
      </c>
      <c r="F178" s="19">
        <v>0.06</v>
      </c>
      <c r="G178" s="9">
        <f t="shared" si="13"/>
        <v>97814353.636363626</v>
      </c>
      <c r="H178" s="9">
        <f t="shared" si="14"/>
        <v>9781435.3636363745</v>
      </c>
      <c r="I178" s="9">
        <f t="shared" si="15"/>
        <v>107595789</v>
      </c>
      <c r="J178" s="9">
        <v>0</v>
      </c>
      <c r="K178" s="9">
        <f t="shared" si="12"/>
        <v>107595789</v>
      </c>
      <c r="L178" s="59" t="str">
        <f>VLOOKUP(B178,'[1]IN HĐMB'!$I$1:$X$541,14,0)</f>
        <v>PTTT 09c</v>
      </c>
      <c r="M178" s="58" t="s">
        <v>20</v>
      </c>
    </row>
    <row r="179" spans="1:13" ht="29.25" customHeight="1">
      <c r="A179" s="7">
        <v>152</v>
      </c>
      <c r="B179" s="26" t="s">
        <v>153</v>
      </c>
      <c r="C179" s="73">
        <v>47.86</v>
      </c>
      <c r="D179" s="8">
        <v>46355879</v>
      </c>
      <c r="E179" s="21">
        <v>2218592369</v>
      </c>
      <c r="F179" s="19">
        <v>0.06</v>
      </c>
      <c r="G179" s="9">
        <f t="shared" si="13"/>
        <v>121014129.09090908</v>
      </c>
      <c r="H179" s="9">
        <f t="shared" si="14"/>
        <v>12101412.909090921</v>
      </c>
      <c r="I179" s="9">
        <f t="shared" si="15"/>
        <v>133115542</v>
      </c>
      <c r="J179" s="9">
        <v>88743695</v>
      </c>
      <c r="K179" s="9">
        <f t="shared" si="12"/>
        <v>44371847</v>
      </c>
      <c r="L179" s="59" t="str">
        <f>VLOOKUP(B179,'[1]IN HĐMB'!$I$1:$X$541,14,0)</f>
        <v>PTTT 04c</v>
      </c>
      <c r="M179" s="58" t="s">
        <v>20</v>
      </c>
    </row>
    <row r="180" spans="1:13" ht="29.25" customHeight="1">
      <c r="A180" s="7">
        <v>153</v>
      </c>
      <c r="B180" s="26" t="s">
        <v>154</v>
      </c>
      <c r="C180" s="73">
        <v>36.380000000000003</v>
      </c>
      <c r="D180" s="8">
        <v>48638675</v>
      </c>
      <c r="E180" s="21">
        <v>1769474997</v>
      </c>
      <c r="F180" s="19">
        <v>0.06</v>
      </c>
      <c r="G180" s="9">
        <f t="shared" si="13"/>
        <v>96516818.181818172</v>
      </c>
      <c r="H180" s="9">
        <f t="shared" si="14"/>
        <v>9651681.8181818277</v>
      </c>
      <c r="I180" s="9">
        <f t="shared" si="15"/>
        <v>106168500</v>
      </c>
      <c r="J180" s="9">
        <v>70779000</v>
      </c>
      <c r="K180" s="9">
        <f t="shared" si="12"/>
        <v>35389500</v>
      </c>
      <c r="L180" s="59" t="str">
        <f>VLOOKUP(B180,'[1]IN HĐMB'!$I$1:$X$541,14,0)</f>
        <v>PTTT 04c</v>
      </c>
      <c r="M180" s="58" t="s">
        <v>20</v>
      </c>
    </row>
    <row r="181" spans="1:13" ht="29.25" customHeight="1">
      <c r="A181" s="7">
        <v>154</v>
      </c>
      <c r="B181" s="26" t="s">
        <v>155</v>
      </c>
      <c r="C181" s="73">
        <v>32.14</v>
      </c>
      <c r="D181" s="8">
        <v>47953937</v>
      </c>
      <c r="E181" s="21">
        <v>1541239535</v>
      </c>
      <c r="F181" s="19">
        <v>0.06</v>
      </c>
      <c r="G181" s="9">
        <f t="shared" si="13"/>
        <v>84067610.909090906</v>
      </c>
      <c r="H181" s="9">
        <f t="shared" si="14"/>
        <v>8406761.0909090936</v>
      </c>
      <c r="I181" s="9">
        <f t="shared" si="15"/>
        <v>92474372</v>
      </c>
      <c r="J181" s="9">
        <v>61649581</v>
      </c>
      <c r="K181" s="9">
        <f t="shared" si="12"/>
        <v>30824791</v>
      </c>
      <c r="L181" s="59" t="str">
        <f>VLOOKUP(B181,'[1]IN HĐMB'!$I$1:$X$541,14,0)</f>
        <v>PTTT 04c</v>
      </c>
      <c r="M181" s="58" t="s">
        <v>20</v>
      </c>
    </row>
    <row r="182" spans="1:13" ht="29.25" customHeight="1">
      <c r="A182" s="7">
        <v>155</v>
      </c>
      <c r="B182" s="26" t="s">
        <v>245</v>
      </c>
      <c r="C182" s="73">
        <v>47.04</v>
      </c>
      <c r="D182" s="21">
        <v>47904671</v>
      </c>
      <c r="E182" s="21">
        <v>2253435724</v>
      </c>
      <c r="F182" s="19">
        <v>0.06</v>
      </c>
      <c r="G182" s="9">
        <f t="shared" si="13"/>
        <v>122914675.45454544</v>
      </c>
      <c r="H182" s="9">
        <f t="shared" si="14"/>
        <v>12291467.545454562</v>
      </c>
      <c r="I182" s="9">
        <f t="shared" si="15"/>
        <v>135206143</v>
      </c>
      <c r="J182" s="9">
        <v>0</v>
      </c>
      <c r="K182" s="9">
        <f t="shared" si="12"/>
        <v>135206143</v>
      </c>
      <c r="L182" s="59" t="str">
        <f>VLOOKUP(B182,'[1]IN HĐMB'!$I$1:$X$541,14,0)</f>
        <v>PTTT 09c</v>
      </c>
      <c r="M182" s="58" t="s">
        <v>20</v>
      </c>
    </row>
    <row r="183" spans="1:13" ht="29.25" customHeight="1">
      <c r="A183" s="7">
        <v>156</v>
      </c>
      <c r="B183" s="26" t="s">
        <v>246</v>
      </c>
      <c r="C183" s="73">
        <v>46.6</v>
      </c>
      <c r="D183" s="21">
        <v>45820784</v>
      </c>
      <c r="E183" s="21">
        <v>2135248534</v>
      </c>
      <c r="F183" s="19">
        <v>0.06</v>
      </c>
      <c r="G183" s="9">
        <f t="shared" si="13"/>
        <v>116468101.81818181</v>
      </c>
      <c r="H183" s="9">
        <f t="shared" si="14"/>
        <v>11646810.181818187</v>
      </c>
      <c r="I183" s="9">
        <f t="shared" si="15"/>
        <v>128114912</v>
      </c>
      <c r="J183" s="9">
        <v>0</v>
      </c>
      <c r="K183" s="9">
        <f t="shared" si="12"/>
        <v>128114912</v>
      </c>
      <c r="L183" s="59" t="str">
        <f>VLOOKUP(B183,'[1]IN HĐMB'!$I$1:$X$541,14,0)</f>
        <v>PTTT 09c</v>
      </c>
      <c r="M183" s="58" t="s">
        <v>20</v>
      </c>
    </row>
    <row r="184" spans="1:13" ht="29.25" customHeight="1">
      <c r="A184" s="7">
        <v>157</v>
      </c>
      <c r="B184" s="26" t="s">
        <v>156</v>
      </c>
      <c r="C184" s="73">
        <v>47.86</v>
      </c>
      <c r="D184" s="8">
        <v>46126279</v>
      </c>
      <c r="E184" s="21">
        <v>2207603713</v>
      </c>
      <c r="F184" s="19">
        <v>0.06</v>
      </c>
      <c r="G184" s="9">
        <f t="shared" si="13"/>
        <v>120414748.18181817</v>
      </c>
      <c r="H184" s="9">
        <f t="shared" si="14"/>
        <v>12041474.818181828</v>
      </c>
      <c r="I184" s="9">
        <f t="shared" si="15"/>
        <v>132456223</v>
      </c>
      <c r="J184" s="9">
        <v>88304149</v>
      </c>
      <c r="K184" s="9">
        <f t="shared" si="12"/>
        <v>44152074</v>
      </c>
      <c r="L184" s="59" t="str">
        <f>VLOOKUP(B184,'[1]IN HĐMB'!$I$1:$X$541,14,0)</f>
        <v>PTTT 08c</v>
      </c>
      <c r="M184" s="58" t="s">
        <v>20</v>
      </c>
    </row>
    <row r="185" spans="1:13" ht="29.25" customHeight="1">
      <c r="A185" s="7">
        <v>158</v>
      </c>
      <c r="B185" s="26" t="s">
        <v>247</v>
      </c>
      <c r="C185" s="73">
        <v>36.380000000000003</v>
      </c>
      <c r="D185" s="21">
        <v>48410090</v>
      </c>
      <c r="E185" s="21">
        <v>1761159074</v>
      </c>
      <c r="F185" s="19">
        <v>0.06</v>
      </c>
      <c r="G185" s="9">
        <f t="shared" si="13"/>
        <v>96063221.818181813</v>
      </c>
      <c r="H185" s="9">
        <f t="shared" si="14"/>
        <v>9606322.1818181872</v>
      </c>
      <c r="I185" s="9">
        <f t="shared" si="15"/>
        <v>105669544</v>
      </c>
      <c r="J185" s="9">
        <v>0</v>
      </c>
      <c r="K185" s="9">
        <f t="shared" si="12"/>
        <v>105669544</v>
      </c>
      <c r="L185" s="59" t="str">
        <f>VLOOKUP(B185,'[1]IN HĐMB'!$I$1:$X$541,14,0)</f>
        <v>PTTT 04c</v>
      </c>
      <c r="M185" s="58" t="s">
        <v>20</v>
      </c>
    </row>
    <row r="186" spans="1:13" ht="29.25" customHeight="1">
      <c r="A186" s="7">
        <v>159</v>
      </c>
      <c r="B186" s="26" t="s">
        <v>157</v>
      </c>
      <c r="C186" s="73">
        <v>52.32</v>
      </c>
      <c r="D186" s="8">
        <v>47953937</v>
      </c>
      <c r="E186" s="21">
        <v>2508949984</v>
      </c>
      <c r="F186" s="19">
        <v>0.06</v>
      </c>
      <c r="G186" s="9">
        <f t="shared" si="13"/>
        <v>136851817.27272725</v>
      </c>
      <c r="H186" s="9">
        <f t="shared" si="14"/>
        <v>13685181.727272749</v>
      </c>
      <c r="I186" s="9">
        <f t="shared" si="15"/>
        <v>150536999</v>
      </c>
      <c r="J186" s="9">
        <v>100357999</v>
      </c>
      <c r="K186" s="9">
        <f t="shared" si="12"/>
        <v>50179000</v>
      </c>
      <c r="L186" s="59" t="str">
        <f>VLOOKUP(B186,'[1]IN HĐMB'!$I$1:$X$541,14,0)</f>
        <v>PTTT 04c</v>
      </c>
      <c r="M186" s="58" t="s">
        <v>20</v>
      </c>
    </row>
    <row r="187" spans="1:13" ht="29.25" customHeight="1">
      <c r="A187" s="7">
        <v>160</v>
      </c>
      <c r="B187" s="26" t="s">
        <v>158</v>
      </c>
      <c r="C187" s="73">
        <v>46.6</v>
      </c>
      <c r="D187" s="8">
        <v>45670126</v>
      </c>
      <c r="E187" s="21">
        <v>2128227872</v>
      </c>
      <c r="F187" s="19">
        <v>0.06</v>
      </c>
      <c r="G187" s="9">
        <f t="shared" si="13"/>
        <v>116085156.36363636</v>
      </c>
      <c r="H187" s="9">
        <f t="shared" si="14"/>
        <v>11608515.63636364</v>
      </c>
      <c r="I187" s="9">
        <f t="shared" si="15"/>
        <v>127693672</v>
      </c>
      <c r="J187" s="9">
        <v>85129115</v>
      </c>
      <c r="K187" s="9">
        <f t="shared" si="12"/>
        <v>42564557</v>
      </c>
      <c r="L187" s="59" t="str">
        <f>VLOOKUP(B187,'[1]IN HĐMB'!$I$1:$X$541,14,0)</f>
        <v>PTTT 04c</v>
      </c>
      <c r="M187" s="58" t="s">
        <v>20</v>
      </c>
    </row>
    <row r="188" spans="1:13" ht="29.25" customHeight="1">
      <c r="A188" s="7">
        <v>161</v>
      </c>
      <c r="B188" s="26" t="s">
        <v>159</v>
      </c>
      <c r="C188" s="73">
        <v>47.04</v>
      </c>
      <c r="D188" s="8">
        <v>47953937</v>
      </c>
      <c r="E188" s="21">
        <v>2255753196</v>
      </c>
      <c r="F188" s="19">
        <v>0.06</v>
      </c>
      <c r="G188" s="9">
        <f t="shared" si="13"/>
        <v>123041083.63636363</v>
      </c>
      <c r="H188" s="9">
        <f t="shared" si="14"/>
        <v>12304108.363636374</v>
      </c>
      <c r="I188" s="9">
        <f t="shared" si="15"/>
        <v>135345192</v>
      </c>
      <c r="J188" s="9">
        <v>90230128</v>
      </c>
      <c r="K188" s="9">
        <f t="shared" si="12"/>
        <v>45115064</v>
      </c>
      <c r="L188" s="59" t="str">
        <f>VLOOKUP(B188,'[1]IN HĐMB'!$I$1:$X$541,14,0)</f>
        <v>PTTT 04c</v>
      </c>
      <c r="M188" s="58" t="s">
        <v>20</v>
      </c>
    </row>
    <row r="189" spans="1:13" ht="29.25" customHeight="1">
      <c r="A189" s="7">
        <v>162</v>
      </c>
      <c r="B189" s="26" t="s">
        <v>160</v>
      </c>
      <c r="C189" s="73">
        <v>47.83</v>
      </c>
      <c r="D189" s="8">
        <v>46583448</v>
      </c>
      <c r="E189" s="21">
        <v>2228086318</v>
      </c>
      <c r="F189" s="19">
        <v>0.06</v>
      </c>
      <c r="G189" s="9">
        <f t="shared" si="13"/>
        <v>121531980.90909091</v>
      </c>
      <c r="H189" s="9">
        <f t="shared" si="14"/>
        <v>12153198.090909094</v>
      </c>
      <c r="I189" s="9">
        <f t="shared" si="15"/>
        <v>133685179</v>
      </c>
      <c r="J189" s="9">
        <v>89123453</v>
      </c>
      <c r="K189" s="9">
        <f t="shared" si="12"/>
        <v>44561726</v>
      </c>
      <c r="L189" s="59" t="str">
        <f>VLOOKUP(B189,'[1]IN HĐMB'!$I$1:$X$541,14,0)</f>
        <v>PTTT 04c</v>
      </c>
      <c r="M189" s="58" t="s">
        <v>20</v>
      </c>
    </row>
    <row r="190" spans="1:13" ht="29.25" customHeight="1">
      <c r="A190" s="7">
        <v>163</v>
      </c>
      <c r="B190" s="26" t="s">
        <v>161</v>
      </c>
      <c r="C190" s="73">
        <v>36.96</v>
      </c>
      <c r="D190" s="8">
        <v>47496769</v>
      </c>
      <c r="E190" s="21">
        <v>1755480582</v>
      </c>
      <c r="F190" s="19">
        <v>0.06</v>
      </c>
      <c r="G190" s="9">
        <f t="shared" si="13"/>
        <v>95753486.36363636</v>
      </c>
      <c r="H190" s="9">
        <f t="shared" si="14"/>
        <v>9575348.6363636404</v>
      </c>
      <c r="I190" s="9">
        <f t="shared" si="15"/>
        <v>105328835</v>
      </c>
      <c r="J190" s="9">
        <v>70219223</v>
      </c>
      <c r="K190" s="9">
        <f t="shared" si="12"/>
        <v>35109612</v>
      </c>
      <c r="L190" s="59" t="str">
        <f>VLOOKUP(B190,'[1]IN HĐMB'!$I$1:$X$541,14,0)</f>
        <v>PTTT 04c</v>
      </c>
      <c r="M190" s="58" t="s">
        <v>20</v>
      </c>
    </row>
    <row r="191" spans="1:13" ht="29.25" customHeight="1">
      <c r="A191" s="7">
        <v>164</v>
      </c>
      <c r="B191" s="26" t="s">
        <v>162</v>
      </c>
      <c r="C191" s="73">
        <v>48.44</v>
      </c>
      <c r="D191" s="8">
        <v>46583448</v>
      </c>
      <c r="E191" s="21">
        <v>2256502221</v>
      </c>
      <c r="F191" s="19">
        <v>0.06</v>
      </c>
      <c r="G191" s="9">
        <f t="shared" si="13"/>
        <v>123081939.09090908</v>
      </c>
      <c r="H191" s="9">
        <f t="shared" si="14"/>
        <v>12308193.909090921</v>
      </c>
      <c r="I191" s="9">
        <f t="shared" si="15"/>
        <v>135390133</v>
      </c>
      <c r="J191" s="9">
        <v>90260089</v>
      </c>
      <c r="K191" s="9">
        <f t="shared" si="12"/>
        <v>45130044</v>
      </c>
      <c r="L191" s="59" t="str">
        <f>VLOOKUP(B191,'[1]IN HĐMB'!$I$1:$X$541,14,0)</f>
        <v>PTTT 04c</v>
      </c>
      <c r="M191" s="58" t="s">
        <v>20</v>
      </c>
    </row>
    <row r="192" spans="1:13" ht="29.25" customHeight="1">
      <c r="A192" s="7">
        <v>165</v>
      </c>
      <c r="B192" s="26" t="s">
        <v>163</v>
      </c>
      <c r="C192" s="73">
        <v>47.28</v>
      </c>
      <c r="D192" s="8">
        <v>45442558</v>
      </c>
      <c r="E192" s="21">
        <v>2148524142</v>
      </c>
      <c r="F192" s="19">
        <v>0.06</v>
      </c>
      <c r="G192" s="9">
        <f t="shared" si="13"/>
        <v>117192226.36363636</v>
      </c>
      <c r="H192" s="9">
        <f t="shared" si="14"/>
        <v>11719222.63636364</v>
      </c>
      <c r="I192" s="9">
        <f t="shared" si="15"/>
        <v>128911449</v>
      </c>
      <c r="J192" s="9">
        <v>85940966</v>
      </c>
      <c r="K192" s="9">
        <f t="shared" si="12"/>
        <v>42970483</v>
      </c>
      <c r="L192" s="59" t="str">
        <f>VLOOKUP(B192,'[1]IN HĐMB'!$I$1:$X$541,14,0)</f>
        <v>PTTT 04c</v>
      </c>
      <c r="M192" s="58" t="s">
        <v>20</v>
      </c>
    </row>
    <row r="193" spans="1:13" ht="29.25" customHeight="1">
      <c r="A193" s="7">
        <v>166</v>
      </c>
      <c r="B193" s="26" t="s">
        <v>164</v>
      </c>
      <c r="C193" s="73">
        <v>46.6</v>
      </c>
      <c r="D193" s="8">
        <v>45898710</v>
      </c>
      <c r="E193" s="21">
        <v>2138879886</v>
      </c>
      <c r="F193" s="19">
        <v>0.06</v>
      </c>
      <c r="G193" s="9">
        <f t="shared" si="13"/>
        <v>116666175.45454544</v>
      </c>
      <c r="H193" s="9">
        <f t="shared" si="14"/>
        <v>11666617.545454562</v>
      </c>
      <c r="I193" s="9">
        <f t="shared" si="15"/>
        <v>128332793</v>
      </c>
      <c r="J193" s="9">
        <v>85555195</v>
      </c>
      <c r="K193" s="9">
        <f t="shared" si="12"/>
        <v>42777598</v>
      </c>
      <c r="L193" s="59" t="str">
        <f>VLOOKUP(B193,'[1]IN HĐMB'!$I$1:$X$541,14,0)</f>
        <v>PTTT 05c</v>
      </c>
      <c r="M193" s="58" t="s">
        <v>20</v>
      </c>
    </row>
    <row r="194" spans="1:13" ht="29.25" customHeight="1">
      <c r="A194" s="7">
        <v>167</v>
      </c>
      <c r="B194" s="26" t="s">
        <v>165</v>
      </c>
      <c r="C194" s="73">
        <v>47.04</v>
      </c>
      <c r="D194" s="8">
        <v>48182521</v>
      </c>
      <c r="E194" s="21">
        <v>2266505788</v>
      </c>
      <c r="F194" s="19">
        <v>0.06</v>
      </c>
      <c r="G194" s="9">
        <f t="shared" si="13"/>
        <v>123627588.18181817</v>
      </c>
      <c r="H194" s="9">
        <f t="shared" si="14"/>
        <v>12362758.818181828</v>
      </c>
      <c r="I194" s="9">
        <f t="shared" si="15"/>
        <v>135990347</v>
      </c>
      <c r="J194" s="9">
        <v>90660232</v>
      </c>
      <c r="K194" s="9">
        <f t="shared" si="12"/>
        <v>45330115</v>
      </c>
      <c r="L194" s="59" t="str">
        <f>VLOOKUP(B194,'[1]IN HĐMB'!$I$1:$X$541,14,0)</f>
        <v>PTTT 04c</v>
      </c>
      <c r="M194" s="58" t="s">
        <v>20</v>
      </c>
    </row>
    <row r="195" spans="1:13" ht="29.25" customHeight="1">
      <c r="A195" s="7">
        <v>168</v>
      </c>
      <c r="B195" s="26" t="s">
        <v>166</v>
      </c>
      <c r="C195" s="73">
        <v>31.17</v>
      </c>
      <c r="D195" s="8">
        <v>48182521</v>
      </c>
      <c r="E195" s="21">
        <v>1501849180</v>
      </c>
      <c r="F195" s="19">
        <v>0.06</v>
      </c>
      <c r="G195" s="9">
        <f t="shared" si="13"/>
        <v>81919046.36363636</v>
      </c>
      <c r="H195" s="9">
        <f t="shared" si="14"/>
        <v>8191904.6363636404</v>
      </c>
      <c r="I195" s="9">
        <f t="shared" si="15"/>
        <v>90110951</v>
      </c>
      <c r="J195" s="9">
        <v>60073967</v>
      </c>
      <c r="K195" s="9">
        <f t="shared" si="12"/>
        <v>30036984</v>
      </c>
      <c r="L195" s="59" t="str">
        <f>VLOOKUP(B195,'[1]IN HĐMB'!$I$1:$X$541,14,0)</f>
        <v>PTTT 04c</v>
      </c>
      <c r="M195" s="58" t="s">
        <v>20</v>
      </c>
    </row>
    <row r="196" spans="1:13" ht="29.25" customHeight="1">
      <c r="A196" s="7">
        <v>169</v>
      </c>
      <c r="B196" s="26" t="s">
        <v>167</v>
      </c>
      <c r="C196" s="73">
        <v>32.14</v>
      </c>
      <c r="D196" s="8">
        <v>48182521</v>
      </c>
      <c r="E196" s="21">
        <v>1548586225</v>
      </c>
      <c r="F196" s="19">
        <v>0.06</v>
      </c>
      <c r="G196" s="9">
        <f t="shared" si="13"/>
        <v>84468340</v>
      </c>
      <c r="H196" s="9">
        <f t="shared" si="14"/>
        <v>8446834</v>
      </c>
      <c r="I196" s="9">
        <f t="shared" si="15"/>
        <v>92915174</v>
      </c>
      <c r="J196" s="9">
        <v>61943449</v>
      </c>
      <c r="K196" s="9">
        <f t="shared" si="12"/>
        <v>30971725</v>
      </c>
      <c r="L196" s="59" t="str">
        <f>VLOOKUP(B196,'[1]IN HĐMB'!$I$1:$X$541,14,0)</f>
        <v>PTTT 04c</v>
      </c>
      <c r="M196" s="58" t="s">
        <v>20</v>
      </c>
    </row>
    <row r="197" spans="1:13" ht="29.25" customHeight="1">
      <c r="A197" s="7">
        <v>170</v>
      </c>
      <c r="B197" s="26" t="s">
        <v>168</v>
      </c>
      <c r="C197" s="73">
        <v>46.6</v>
      </c>
      <c r="D197" s="8">
        <v>45442558</v>
      </c>
      <c r="E197" s="21">
        <v>2117623203</v>
      </c>
      <c r="F197" s="19">
        <v>0.06</v>
      </c>
      <c r="G197" s="9">
        <f t="shared" si="13"/>
        <v>115506719.99999999</v>
      </c>
      <c r="H197" s="9">
        <f t="shared" si="14"/>
        <v>11550672.000000015</v>
      </c>
      <c r="I197" s="9">
        <f t="shared" si="15"/>
        <v>127057392</v>
      </c>
      <c r="J197" s="9">
        <v>84704928</v>
      </c>
      <c r="K197" s="9">
        <f t="shared" si="12"/>
        <v>42352464</v>
      </c>
      <c r="L197" s="59" t="str">
        <f>VLOOKUP(B197,'[1]IN HĐMB'!$I$1:$X$541,14,0)</f>
        <v>PTTT 04c</v>
      </c>
      <c r="M197" s="58" t="s">
        <v>20</v>
      </c>
    </row>
    <row r="198" spans="1:13" ht="29.25" customHeight="1">
      <c r="A198" s="7">
        <v>171</v>
      </c>
      <c r="B198" s="26" t="s">
        <v>169</v>
      </c>
      <c r="C198" s="73">
        <v>47.86</v>
      </c>
      <c r="D198" s="8">
        <v>46355879</v>
      </c>
      <c r="E198" s="21">
        <v>2218592369</v>
      </c>
      <c r="F198" s="19">
        <v>0.06</v>
      </c>
      <c r="G198" s="9">
        <f t="shared" si="13"/>
        <v>121014129.09090908</v>
      </c>
      <c r="H198" s="9">
        <f t="shared" si="14"/>
        <v>12101412.909090921</v>
      </c>
      <c r="I198" s="9">
        <f t="shared" si="15"/>
        <v>133115542</v>
      </c>
      <c r="J198" s="9">
        <v>88743695</v>
      </c>
      <c r="K198" s="9">
        <f t="shared" si="12"/>
        <v>44371847</v>
      </c>
      <c r="L198" s="59" t="str">
        <f>VLOOKUP(B198,'[1]IN HĐMB'!$I$1:$X$541,14,0)</f>
        <v>PTTT 04c</v>
      </c>
      <c r="M198" s="58" t="s">
        <v>20</v>
      </c>
    </row>
    <row r="199" spans="1:13" ht="29.25" customHeight="1">
      <c r="A199" s="7">
        <v>172</v>
      </c>
      <c r="B199" s="26" t="s">
        <v>170</v>
      </c>
      <c r="C199" s="73">
        <v>48.44</v>
      </c>
      <c r="D199" s="8">
        <v>46812032</v>
      </c>
      <c r="E199" s="21">
        <v>2267574830</v>
      </c>
      <c r="F199" s="19">
        <v>0.06</v>
      </c>
      <c r="G199" s="9">
        <f t="shared" si="13"/>
        <v>123685899.99999999</v>
      </c>
      <c r="H199" s="9">
        <f t="shared" si="14"/>
        <v>12368590.000000015</v>
      </c>
      <c r="I199" s="9">
        <f t="shared" si="15"/>
        <v>136054490</v>
      </c>
      <c r="J199" s="9">
        <v>90702993</v>
      </c>
      <c r="K199" s="9">
        <f t="shared" si="12"/>
        <v>45351497</v>
      </c>
      <c r="L199" s="59" t="str">
        <f>VLOOKUP(B199,'[1]IN HĐMB'!$I$1:$X$541,14,0)</f>
        <v>PTTT 04c</v>
      </c>
      <c r="M199" s="58" t="s">
        <v>20</v>
      </c>
    </row>
    <row r="200" spans="1:13" ht="29.25" customHeight="1">
      <c r="A200" s="7">
        <v>173</v>
      </c>
      <c r="B200" s="26" t="s">
        <v>171</v>
      </c>
      <c r="C200" s="73">
        <v>36.96</v>
      </c>
      <c r="D200" s="8">
        <v>47725353</v>
      </c>
      <c r="E200" s="21">
        <v>1763929047</v>
      </c>
      <c r="F200" s="19">
        <v>0.06</v>
      </c>
      <c r="G200" s="9">
        <f t="shared" si="13"/>
        <v>96214311.818181813</v>
      </c>
      <c r="H200" s="9">
        <f t="shared" si="14"/>
        <v>9621431.1818181872</v>
      </c>
      <c r="I200" s="9">
        <f t="shared" si="15"/>
        <v>105835743</v>
      </c>
      <c r="J200" s="9">
        <v>70557162</v>
      </c>
      <c r="K200" s="9">
        <f t="shared" si="12"/>
        <v>35278581</v>
      </c>
      <c r="L200" s="59" t="str">
        <f>VLOOKUP(B200,'[1]IN HĐMB'!$I$1:$X$541,14,0)</f>
        <v>PTTT 04c</v>
      </c>
      <c r="M200" s="58" t="s">
        <v>20</v>
      </c>
    </row>
    <row r="201" spans="1:13" ht="29.25" customHeight="1">
      <c r="A201" s="7">
        <v>174</v>
      </c>
      <c r="B201" s="26" t="s">
        <v>248</v>
      </c>
      <c r="C201" s="73">
        <v>52.32</v>
      </c>
      <c r="D201" s="21">
        <v>48598613</v>
      </c>
      <c r="E201" s="21">
        <v>2542679432</v>
      </c>
      <c r="F201" s="19">
        <v>0.06</v>
      </c>
      <c r="G201" s="9">
        <f t="shared" si="13"/>
        <v>138691605.45454544</v>
      </c>
      <c r="H201" s="9">
        <f t="shared" si="14"/>
        <v>13869160.545454562</v>
      </c>
      <c r="I201" s="9">
        <f t="shared" si="15"/>
        <v>152560766</v>
      </c>
      <c r="J201" s="9">
        <v>0</v>
      </c>
      <c r="K201" s="9">
        <f t="shared" si="12"/>
        <v>152560766</v>
      </c>
      <c r="L201" s="59" t="str">
        <f>VLOOKUP(B201,'[1]IN HĐMB'!$I$1:$X$541,14,0)</f>
        <v>PTTT 09c</v>
      </c>
      <c r="M201" s="58" t="s">
        <v>20</v>
      </c>
    </row>
    <row r="202" spans="1:13" ht="29.25" customHeight="1">
      <c r="A202" s="7">
        <v>175</v>
      </c>
      <c r="B202" s="26" t="s">
        <v>249</v>
      </c>
      <c r="C202" s="73">
        <v>47.04</v>
      </c>
      <c r="D202" s="21">
        <v>48598613</v>
      </c>
      <c r="E202" s="21">
        <v>2286078756</v>
      </c>
      <c r="F202" s="19">
        <v>0.06</v>
      </c>
      <c r="G202" s="9">
        <f t="shared" si="13"/>
        <v>124695204.54545453</v>
      </c>
      <c r="H202" s="9">
        <f t="shared" si="14"/>
        <v>12469520.454545468</v>
      </c>
      <c r="I202" s="9">
        <f t="shared" si="15"/>
        <v>137164725</v>
      </c>
      <c r="J202" s="9">
        <v>0</v>
      </c>
      <c r="K202" s="9">
        <f t="shared" si="12"/>
        <v>137164725</v>
      </c>
      <c r="L202" s="59" t="str">
        <f>VLOOKUP(B202,'[1]IN HĐMB'!$I$1:$X$541,14,0)</f>
        <v>PTTT 09c</v>
      </c>
      <c r="M202" s="58" t="s">
        <v>20</v>
      </c>
    </row>
    <row r="203" spans="1:13" ht="29.25" customHeight="1">
      <c r="A203" s="7">
        <v>176</v>
      </c>
      <c r="B203" s="26" t="s">
        <v>250</v>
      </c>
      <c r="C203" s="73">
        <v>31.17</v>
      </c>
      <c r="D203" s="21">
        <v>48598613</v>
      </c>
      <c r="E203" s="21">
        <v>1514818767</v>
      </c>
      <c r="F203" s="19">
        <v>0.06</v>
      </c>
      <c r="G203" s="9">
        <f t="shared" si="13"/>
        <v>82626478.181818172</v>
      </c>
      <c r="H203" s="9">
        <f t="shared" si="14"/>
        <v>8262647.8181818277</v>
      </c>
      <c r="I203" s="9">
        <f t="shared" si="15"/>
        <v>90889126</v>
      </c>
      <c r="J203" s="9">
        <v>0</v>
      </c>
      <c r="K203" s="9">
        <f t="shared" si="12"/>
        <v>90889126</v>
      </c>
      <c r="L203" s="59" t="str">
        <f>VLOOKUP(B203,'[1]IN HĐMB'!$I$1:$X$541,14,0)</f>
        <v>PTTT 09c</v>
      </c>
      <c r="M203" s="58" t="s">
        <v>20</v>
      </c>
    </row>
    <row r="204" spans="1:13" ht="29.25" customHeight="1">
      <c r="A204" s="7">
        <v>177</v>
      </c>
      <c r="B204" s="26" t="s">
        <v>172</v>
      </c>
      <c r="C204" s="73">
        <v>46.6</v>
      </c>
      <c r="D204" s="8">
        <v>44985389</v>
      </c>
      <c r="E204" s="21">
        <v>2096319127</v>
      </c>
      <c r="F204" s="19">
        <v>0.06</v>
      </c>
      <c r="G204" s="9">
        <f t="shared" si="13"/>
        <v>114344679.99999999</v>
      </c>
      <c r="H204" s="9">
        <f t="shared" si="14"/>
        <v>11434468.000000015</v>
      </c>
      <c r="I204" s="9">
        <f t="shared" si="15"/>
        <v>125779148</v>
      </c>
      <c r="J204" s="9">
        <v>83852765</v>
      </c>
      <c r="K204" s="9">
        <f t="shared" si="12"/>
        <v>41926383</v>
      </c>
      <c r="L204" s="59" t="str">
        <f>VLOOKUP(B204,'[1]IN HĐMB'!$I$1:$X$541,14,0)</f>
        <v>PTTT 04c</v>
      </c>
      <c r="M204" s="58" t="s">
        <v>20</v>
      </c>
    </row>
    <row r="205" spans="1:13" ht="29.25" customHeight="1">
      <c r="A205" s="7">
        <v>178</v>
      </c>
      <c r="B205" s="26" t="s">
        <v>251</v>
      </c>
      <c r="C205" s="73">
        <v>46.6</v>
      </c>
      <c r="D205" s="8">
        <v>44529237</v>
      </c>
      <c r="E205" s="21">
        <v>2075062444</v>
      </c>
      <c r="F205" s="19">
        <v>0.06</v>
      </c>
      <c r="G205" s="9">
        <f t="shared" si="13"/>
        <v>113185224.54545453</v>
      </c>
      <c r="H205" s="9">
        <f t="shared" si="14"/>
        <v>11318522.454545468</v>
      </c>
      <c r="I205" s="9">
        <f t="shared" si="15"/>
        <v>124503747</v>
      </c>
      <c r="J205" s="9">
        <v>83002498</v>
      </c>
      <c r="K205" s="9">
        <f t="shared" si="12"/>
        <v>41501249</v>
      </c>
      <c r="L205" s="59" t="str">
        <f>VLOOKUP(B205,'[1]IN HĐMB'!$I$1:$X$541,14,0)</f>
        <v>PTTT 04c</v>
      </c>
      <c r="M205" s="58" t="s">
        <v>20</v>
      </c>
    </row>
    <row r="206" spans="1:13" ht="29.25" customHeight="1">
      <c r="A206" s="7">
        <v>179</v>
      </c>
      <c r="B206" s="26" t="s">
        <v>252</v>
      </c>
      <c r="C206" s="73">
        <v>47.04</v>
      </c>
      <c r="D206" s="8">
        <v>47269201</v>
      </c>
      <c r="E206" s="21">
        <v>2223543215</v>
      </c>
      <c r="F206" s="19">
        <v>0.06</v>
      </c>
      <c r="G206" s="9">
        <f t="shared" si="13"/>
        <v>121284175.45454544</v>
      </c>
      <c r="H206" s="9">
        <f t="shared" si="14"/>
        <v>12128417.545454562</v>
      </c>
      <c r="I206" s="9">
        <f t="shared" si="15"/>
        <v>133412593</v>
      </c>
      <c r="J206" s="9">
        <v>88941728</v>
      </c>
      <c r="K206" s="9">
        <f t="shared" si="12"/>
        <v>44470865</v>
      </c>
      <c r="L206" s="59" t="str">
        <f>VLOOKUP(B206,'[1]IN HĐMB'!$I$1:$X$541,14,0)</f>
        <v>PTTT 04c</v>
      </c>
      <c r="M206" s="58" t="s">
        <v>20</v>
      </c>
    </row>
    <row r="207" spans="1:13" ht="29.25" customHeight="1">
      <c r="A207" s="7">
        <v>180</v>
      </c>
      <c r="B207" s="26" t="s">
        <v>173</v>
      </c>
      <c r="C207" s="73">
        <v>31.17</v>
      </c>
      <c r="D207" s="8">
        <v>47269201</v>
      </c>
      <c r="E207" s="21">
        <v>1473380995</v>
      </c>
      <c r="F207" s="19">
        <v>0.06</v>
      </c>
      <c r="G207" s="9">
        <f t="shared" si="13"/>
        <v>80366236.36363636</v>
      </c>
      <c r="H207" s="9">
        <f t="shared" si="14"/>
        <v>8036623.6363636404</v>
      </c>
      <c r="I207" s="9">
        <f t="shared" si="15"/>
        <v>88402860</v>
      </c>
      <c r="J207" s="9">
        <v>58935240</v>
      </c>
      <c r="K207" s="9">
        <f t="shared" si="12"/>
        <v>29467620</v>
      </c>
      <c r="L207" s="59" t="str">
        <f>VLOOKUP(B207,'[1]IN HĐMB'!$I$1:$X$541,14,0)</f>
        <v>PTTT 04c</v>
      </c>
      <c r="M207" s="58" t="s">
        <v>20</v>
      </c>
    </row>
    <row r="208" spans="1:13" ht="29.25" customHeight="1">
      <c r="A208" s="7">
        <v>181</v>
      </c>
      <c r="B208" s="26" t="s">
        <v>174</v>
      </c>
      <c r="C208" s="73">
        <v>32.14</v>
      </c>
      <c r="D208" s="8">
        <v>47269201</v>
      </c>
      <c r="E208" s="21">
        <v>1519232120</v>
      </c>
      <c r="F208" s="19">
        <v>0.06</v>
      </c>
      <c r="G208" s="9">
        <f t="shared" si="13"/>
        <v>82867206.36363636</v>
      </c>
      <c r="H208" s="9">
        <f t="shared" si="14"/>
        <v>8286720.6363636404</v>
      </c>
      <c r="I208" s="9">
        <f t="shared" si="15"/>
        <v>91153927</v>
      </c>
      <c r="J208" s="9">
        <v>60769285</v>
      </c>
      <c r="K208" s="9">
        <f t="shared" si="12"/>
        <v>30384642</v>
      </c>
      <c r="L208" s="59" t="str">
        <f>VLOOKUP(B208,'[1]IN HĐMB'!$I$1:$X$541,14,0)</f>
        <v>PTTT 06c</v>
      </c>
      <c r="M208" s="58" t="s">
        <v>20</v>
      </c>
    </row>
    <row r="209" spans="1:13" ht="29.25" customHeight="1">
      <c r="A209" s="7">
        <v>182</v>
      </c>
      <c r="B209" s="26" t="s">
        <v>175</v>
      </c>
      <c r="C209" s="73">
        <v>47.04</v>
      </c>
      <c r="D209" s="8">
        <v>46583448</v>
      </c>
      <c r="E209" s="21">
        <v>2191285394</v>
      </c>
      <c r="F209" s="19">
        <v>0.06</v>
      </c>
      <c r="G209" s="9">
        <f t="shared" si="13"/>
        <v>119524658.18181817</v>
      </c>
      <c r="H209" s="9">
        <f t="shared" si="14"/>
        <v>11952465.818181828</v>
      </c>
      <c r="I209" s="9">
        <f t="shared" si="15"/>
        <v>131477124</v>
      </c>
      <c r="J209" s="9">
        <v>87651416</v>
      </c>
      <c r="K209" s="9">
        <f t="shared" si="12"/>
        <v>43825708</v>
      </c>
      <c r="L209" s="59" t="str">
        <f>VLOOKUP(B209,'[1]IN HĐMB'!$I$1:$X$541,14,0)</f>
        <v>PTTT 04c</v>
      </c>
      <c r="M209" s="58" t="s">
        <v>20</v>
      </c>
    </row>
    <row r="210" spans="1:13" ht="29.25" customHeight="1">
      <c r="A210" s="7">
        <v>183</v>
      </c>
      <c r="B210" s="26" t="s">
        <v>176</v>
      </c>
      <c r="C210" s="73">
        <v>46.6</v>
      </c>
      <c r="D210" s="8">
        <v>44529237</v>
      </c>
      <c r="E210" s="21">
        <v>2075062444</v>
      </c>
      <c r="F210" s="19">
        <v>0.06</v>
      </c>
      <c r="G210" s="9">
        <f t="shared" si="13"/>
        <v>113185224.54545453</v>
      </c>
      <c r="H210" s="9">
        <f t="shared" si="14"/>
        <v>11318522.454545468</v>
      </c>
      <c r="I210" s="9">
        <f t="shared" si="15"/>
        <v>124503747</v>
      </c>
      <c r="J210" s="9">
        <v>83002498</v>
      </c>
      <c r="K210" s="9">
        <f t="shared" si="12"/>
        <v>41501249</v>
      </c>
      <c r="L210" s="59" t="str">
        <f>VLOOKUP(B210,'[1]IN HĐMB'!$I$1:$X$541,14,0)</f>
        <v>PTTT 04c</v>
      </c>
      <c r="M210" s="58" t="s">
        <v>20</v>
      </c>
    </row>
    <row r="211" spans="1:13" ht="29.25" customHeight="1">
      <c r="A211" s="7">
        <v>184</v>
      </c>
      <c r="B211" s="26" t="s">
        <v>177</v>
      </c>
      <c r="C211" s="73">
        <v>47.86</v>
      </c>
      <c r="D211" s="8">
        <v>45442558</v>
      </c>
      <c r="E211" s="21">
        <v>2174880826</v>
      </c>
      <c r="F211" s="19">
        <v>0.06</v>
      </c>
      <c r="G211" s="9">
        <f t="shared" si="13"/>
        <v>118629863.63636363</v>
      </c>
      <c r="H211" s="9">
        <f t="shared" si="14"/>
        <v>11862986.363636374</v>
      </c>
      <c r="I211" s="9">
        <f t="shared" si="15"/>
        <v>130492850</v>
      </c>
      <c r="J211" s="9">
        <v>86995233</v>
      </c>
      <c r="K211" s="9">
        <f t="shared" si="12"/>
        <v>43497617</v>
      </c>
      <c r="L211" s="59" t="str">
        <f>VLOOKUP(B211,'[1]IN HĐMB'!$I$1:$X$541,14,0)</f>
        <v>PTTT 04c</v>
      </c>
      <c r="M211" s="58" t="s">
        <v>20</v>
      </c>
    </row>
    <row r="212" spans="1:13" ht="29.25" customHeight="1">
      <c r="A212" s="7">
        <v>185</v>
      </c>
      <c r="B212" s="26" t="s">
        <v>178</v>
      </c>
      <c r="C212" s="73">
        <v>47.83</v>
      </c>
      <c r="D212" s="8">
        <v>45898710</v>
      </c>
      <c r="E212" s="21">
        <v>2195335299</v>
      </c>
      <c r="F212" s="19">
        <v>0.06</v>
      </c>
      <c r="G212" s="9">
        <f t="shared" si="13"/>
        <v>119745561.81818181</v>
      </c>
      <c r="H212" s="9">
        <f t="shared" si="14"/>
        <v>11974556.181818187</v>
      </c>
      <c r="I212" s="9">
        <f t="shared" si="15"/>
        <v>131720118</v>
      </c>
      <c r="J212" s="9">
        <v>87813412</v>
      </c>
      <c r="K212" s="9">
        <f t="shared" si="12"/>
        <v>43906706</v>
      </c>
      <c r="L212" s="59" t="str">
        <f>VLOOKUP(B212,'[1]IN HĐMB'!$I$1:$X$541,14,0)</f>
        <v>PTTT 04c</v>
      </c>
      <c r="M212" s="58" t="s">
        <v>20</v>
      </c>
    </row>
    <row r="213" spans="1:13" ht="29.25" customHeight="1">
      <c r="A213" s="7">
        <v>186</v>
      </c>
      <c r="B213" s="26" t="s">
        <v>179</v>
      </c>
      <c r="C213" s="73">
        <v>36.96</v>
      </c>
      <c r="D213" s="8">
        <v>46812032</v>
      </c>
      <c r="E213" s="21">
        <v>1730172703</v>
      </c>
      <c r="F213" s="19">
        <v>0.06</v>
      </c>
      <c r="G213" s="9">
        <f t="shared" si="13"/>
        <v>94373056.36363636</v>
      </c>
      <c r="H213" s="9">
        <f t="shared" si="14"/>
        <v>9437305.6363636404</v>
      </c>
      <c r="I213" s="9">
        <f t="shared" si="15"/>
        <v>103810362</v>
      </c>
      <c r="J213" s="9">
        <v>69206908</v>
      </c>
      <c r="K213" s="9">
        <f t="shared" si="12"/>
        <v>34603454</v>
      </c>
      <c r="L213" s="59" t="str">
        <f>VLOOKUP(B213,'[1]IN HĐMB'!$I$1:$X$541,14,0)</f>
        <v>PTTT 04c</v>
      </c>
      <c r="M213" s="58" t="s">
        <v>20</v>
      </c>
    </row>
    <row r="214" spans="1:13" ht="29.25" customHeight="1">
      <c r="A214" s="7">
        <v>187</v>
      </c>
      <c r="B214" s="26" t="s">
        <v>180</v>
      </c>
      <c r="C214" s="73">
        <v>46.94</v>
      </c>
      <c r="D214" s="8">
        <v>46118251</v>
      </c>
      <c r="E214" s="21">
        <v>2164790702</v>
      </c>
      <c r="F214" s="19">
        <v>0.06</v>
      </c>
      <c r="G214" s="9">
        <f t="shared" si="13"/>
        <v>118079492.72727272</v>
      </c>
      <c r="H214" s="9">
        <f t="shared" si="14"/>
        <v>11807949.272727281</v>
      </c>
      <c r="I214" s="9">
        <f t="shared" si="15"/>
        <v>129887442</v>
      </c>
      <c r="J214" s="9">
        <v>86591628</v>
      </c>
      <c r="K214" s="9">
        <f t="shared" si="12"/>
        <v>43295814</v>
      </c>
      <c r="L214" s="59" t="str">
        <f>VLOOKUP(B214,'[1]IN HĐMB'!$I$1:$X$541,14,0)</f>
        <v>PTTT 01b</v>
      </c>
      <c r="M214" s="58" t="s">
        <v>28</v>
      </c>
    </row>
    <row r="215" spans="1:13" ht="29.25" customHeight="1">
      <c r="A215" s="7">
        <v>188</v>
      </c>
      <c r="B215" s="26" t="s">
        <v>181</v>
      </c>
      <c r="C215" s="73">
        <v>46.94</v>
      </c>
      <c r="D215" s="8">
        <v>46789562</v>
      </c>
      <c r="E215" s="21">
        <v>2196302040</v>
      </c>
      <c r="F215" s="19">
        <v>0.06</v>
      </c>
      <c r="G215" s="9">
        <f t="shared" si="13"/>
        <v>119798292.72727272</v>
      </c>
      <c r="H215" s="9">
        <f t="shared" si="14"/>
        <v>11979829.272727281</v>
      </c>
      <c r="I215" s="9">
        <f t="shared" si="15"/>
        <v>131778122</v>
      </c>
      <c r="J215" s="9">
        <v>87852082</v>
      </c>
      <c r="K215" s="9">
        <f t="shared" si="12"/>
        <v>43926040</v>
      </c>
      <c r="L215" s="59" t="str">
        <f>VLOOKUP(B215,'[1]IN HĐMB'!$I$1:$X$541,14,0)</f>
        <v>PTTT 03b</v>
      </c>
      <c r="M215" s="58" t="s">
        <v>28</v>
      </c>
    </row>
    <row r="216" spans="1:13" ht="29.25" customHeight="1">
      <c r="A216" s="7">
        <v>189</v>
      </c>
      <c r="B216" s="26" t="s">
        <v>182</v>
      </c>
      <c r="C216" s="73">
        <v>48.18</v>
      </c>
      <c r="D216" s="8">
        <v>46565460</v>
      </c>
      <c r="E216" s="21">
        <v>2243523863</v>
      </c>
      <c r="F216" s="19">
        <v>0.06</v>
      </c>
      <c r="G216" s="9">
        <f t="shared" si="13"/>
        <v>122374029.09090908</v>
      </c>
      <c r="H216" s="9">
        <f t="shared" si="14"/>
        <v>12237402.909090921</v>
      </c>
      <c r="I216" s="9">
        <f t="shared" si="15"/>
        <v>134611432</v>
      </c>
      <c r="J216" s="9">
        <v>89740955</v>
      </c>
      <c r="K216" s="9">
        <f t="shared" si="12"/>
        <v>44870477</v>
      </c>
      <c r="L216" s="59" t="str">
        <f>VLOOKUP(B216,'[1]IN HĐMB'!$I$1:$X$541,14,0)</f>
        <v>PTTT 04b</v>
      </c>
      <c r="M216" s="58" t="s">
        <v>28</v>
      </c>
    </row>
    <row r="217" spans="1:13" ht="29.25" customHeight="1">
      <c r="A217" s="7">
        <v>190</v>
      </c>
      <c r="B217" s="26" t="s">
        <v>183</v>
      </c>
      <c r="C217" s="73">
        <v>48.47</v>
      </c>
      <c r="D217" s="8">
        <v>47460873</v>
      </c>
      <c r="E217" s="21">
        <v>2300428514</v>
      </c>
      <c r="F217" s="19">
        <v>0.06</v>
      </c>
      <c r="G217" s="9">
        <f t="shared" si="13"/>
        <v>125477919.09090908</v>
      </c>
      <c r="H217" s="9">
        <f t="shared" si="14"/>
        <v>12547791.909090921</v>
      </c>
      <c r="I217" s="9">
        <f t="shared" si="15"/>
        <v>138025711</v>
      </c>
      <c r="J217" s="9">
        <v>92017141</v>
      </c>
      <c r="K217" s="9">
        <f t="shared" si="12"/>
        <v>46008570</v>
      </c>
      <c r="L217" s="59" t="str">
        <f>VLOOKUP(B217,'[1]IN HĐMB'!$I$1:$X$541,14,0)</f>
        <v>PTTT 04b</v>
      </c>
      <c r="M217" s="58" t="s">
        <v>28</v>
      </c>
    </row>
    <row r="218" spans="1:13" ht="29.25" customHeight="1">
      <c r="A218" s="7">
        <v>191</v>
      </c>
      <c r="B218" s="26" t="s">
        <v>184</v>
      </c>
      <c r="C218" s="73">
        <v>48.47</v>
      </c>
      <c r="D218" s="8">
        <v>46565460</v>
      </c>
      <c r="E218" s="21">
        <v>2257027846</v>
      </c>
      <c r="F218" s="19">
        <v>0.06</v>
      </c>
      <c r="G218" s="9">
        <f t="shared" si="13"/>
        <v>123110609.99999999</v>
      </c>
      <c r="H218" s="9">
        <f t="shared" si="14"/>
        <v>12311061.000000015</v>
      </c>
      <c r="I218" s="9">
        <f t="shared" si="15"/>
        <v>135421671</v>
      </c>
      <c r="J218" s="9">
        <v>90281114</v>
      </c>
      <c r="K218" s="9">
        <f t="shared" si="12"/>
        <v>45140557</v>
      </c>
      <c r="L218" s="59" t="str">
        <f>VLOOKUP(B218,'[1]IN HĐMB'!$I$1:$X$541,14,0)</f>
        <v>PTTT 04b</v>
      </c>
      <c r="M218" s="58" t="s">
        <v>28</v>
      </c>
    </row>
    <row r="219" spans="1:13" ht="29.25" customHeight="1">
      <c r="A219" s="7">
        <v>192</v>
      </c>
      <c r="B219" s="26" t="s">
        <v>185</v>
      </c>
      <c r="C219" s="73">
        <v>48.72</v>
      </c>
      <c r="D219" s="8">
        <v>47460873</v>
      </c>
      <c r="E219" s="21">
        <v>2312293733</v>
      </c>
      <c r="F219" s="19">
        <v>0.06</v>
      </c>
      <c r="G219" s="9">
        <f t="shared" si="13"/>
        <v>126125112.72727272</v>
      </c>
      <c r="H219" s="9">
        <f t="shared" si="14"/>
        <v>12612511.272727281</v>
      </c>
      <c r="I219" s="9">
        <f t="shared" si="15"/>
        <v>138737624</v>
      </c>
      <c r="J219" s="9">
        <v>92491749</v>
      </c>
      <c r="K219" s="9">
        <f t="shared" ref="K219:K256" si="16">I219-J219</f>
        <v>46245875</v>
      </c>
      <c r="L219" s="59" t="str">
        <f>VLOOKUP(B219,'[1]IN HĐMB'!$I$1:$X$541,14,0)</f>
        <v>PTTT 01b</v>
      </c>
      <c r="M219" s="58" t="s">
        <v>28</v>
      </c>
    </row>
    <row r="220" spans="1:13" ht="29.25" customHeight="1">
      <c r="A220" s="7">
        <v>193</v>
      </c>
      <c r="B220" s="26" t="s">
        <v>186</v>
      </c>
      <c r="C220" s="73">
        <v>48.47</v>
      </c>
      <c r="D220" s="8">
        <v>47684975</v>
      </c>
      <c r="E220" s="21">
        <v>2311290738</v>
      </c>
      <c r="F220" s="19">
        <v>0.06</v>
      </c>
      <c r="G220" s="9">
        <f t="shared" si="13"/>
        <v>126070403.63636363</v>
      </c>
      <c r="H220" s="9">
        <f t="shared" si="14"/>
        <v>12607040.363636374</v>
      </c>
      <c r="I220" s="9">
        <f t="shared" si="15"/>
        <v>138677444</v>
      </c>
      <c r="J220" s="9">
        <v>92451630</v>
      </c>
      <c r="K220" s="9">
        <f t="shared" si="16"/>
        <v>46225814</v>
      </c>
      <c r="L220" s="59" t="str">
        <f>VLOOKUP(B220,'[1]IN HĐMB'!$I$1:$X$541,14,0)</f>
        <v>PTTT 01b</v>
      </c>
      <c r="M220" s="58" t="s">
        <v>28</v>
      </c>
    </row>
    <row r="221" spans="1:13" ht="29.25" customHeight="1">
      <c r="A221" s="7">
        <v>194</v>
      </c>
      <c r="B221" s="26" t="s">
        <v>187</v>
      </c>
      <c r="C221" s="73">
        <v>48.18</v>
      </c>
      <c r="D221" s="8">
        <v>47237766</v>
      </c>
      <c r="E221" s="21">
        <v>2275915566</v>
      </c>
      <c r="F221" s="19">
        <v>0.06</v>
      </c>
      <c r="G221" s="9">
        <f t="shared" si="13"/>
        <v>124140849.09090908</v>
      </c>
      <c r="H221" s="9">
        <f t="shared" si="14"/>
        <v>12414084.909090921</v>
      </c>
      <c r="I221" s="9">
        <f t="shared" si="15"/>
        <v>136554934</v>
      </c>
      <c r="J221" s="9">
        <v>91036623</v>
      </c>
      <c r="K221" s="9">
        <f t="shared" si="16"/>
        <v>45518311</v>
      </c>
      <c r="L221" s="59" t="str">
        <f>VLOOKUP(B221,'[1]IN HĐMB'!$I$1:$X$541,14,0)</f>
        <v>PTTT 01b</v>
      </c>
      <c r="M221" s="58" t="s">
        <v>28</v>
      </c>
    </row>
    <row r="222" spans="1:13" ht="29.25" customHeight="1">
      <c r="A222" s="7">
        <v>195</v>
      </c>
      <c r="B222" s="26" t="s">
        <v>188</v>
      </c>
      <c r="C222" s="73">
        <v>48.47</v>
      </c>
      <c r="D222" s="8">
        <v>47684975</v>
      </c>
      <c r="E222" s="21">
        <v>2311290738</v>
      </c>
      <c r="F222" s="19">
        <v>0.06</v>
      </c>
      <c r="G222" s="9">
        <f t="shared" si="13"/>
        <v>126070403.63636363</v>
      </c>
      <c r="H222" s="9">
        <f t="shared" si="14"/>
        <v>12607040.363636374</v>
      </c>
      <c r="I222" s="9">
        <f t="shared" si="15"/>
        <v>138677444</v>
      </c>
      <c r="J222" s="9">
        <v>92451630</v>
      </c>
      <c r="K222" s="9">
        <f t="shared" si="16"/>
        <v>46225814</v>
      </c>
      <c r="L222" s="59" t="str">
        <f>VLOOKUP(B222,'[1]IN HĐMB'!$I$1:$X$541,14,0)</f>
        <v>PTTT 04b</v>
      </c>
      <c r="M222" s="58" t="s">
        <v>28</v>
      </c>
    </row>
    <row r="223" spans="1:13" ht="29.25" customHeight="1">
      <c r="A223" s="7">
        <v>196</v>
      </c>
      <c r="B223" s="26" t="s">
        <v>189</v>
      </c>
      <c r="C223" s="73">
        <v>48.47</v>
      </c>
      <c r="D223" s="8">
        <v>47684975</v>
      </c>
      <c r="E223" s="21">
        <v>2311290738</v>
      </c>
      <c r="F223" s="19">
        <v>0.06</v>
      </c>
      <c r="G223" s="9">
        <f t="shared" si="13"/>
        <v>126070403.63636363</v>
      </c>
      <c r="H223" s="9">
        <f t="shared" si="14"/>
        <v>12607040.363636374</v>
      </c>
      <c r="I223" s="9">
        <f t="shared" si="15"/>
        <v>138677444</v>
      </c>
      <c r="J223" s="9">
        <v>92451630</v>
      </c>
      <c r="K223" s="9">
        <f t="shared" si="16"/>
        <v>46225814</v>
      </c>
      <c r="L223" s="59" t="str">
        <f>VLOOKUP(B223,'[1]IN HĐMB'!$I$1:$X$541,14,0)</f>
        <v>PTTT 01b</v>
      </c>
      <c r="M223" s="58" t="s">
        <v>28</v>
      </c>
    </row>
    <row r="224" spans="1:13" ht="29.25" customHeight="1">
      <c r="A224" s="7">
        <v>197</v>
      </c>
      <c r="B224" s="26" t="s">
        <v>190</v>
      </c>
      <c r="C224" s="73">
        <v>48.88</v>
      </c>
      <c r="D224" s="8">
        <v>46789562</v>
      </c>
      <c r="E224" s="21">
        <v>2287073791</v>
      </c>
      <c r="F224" s="19">
        <v>0.06</v>
      </c>
      <c r="G224" s="9">
        <f t="shared" si="13"/>
        <v>124749479.09090908</v>
      </c>
      <c r="H224" s="9">
        <f t="shared" si="14"/>
        <v>12474947.909090921</v>
      </c>
      <c r="I224" s="9">
        <f t="shared" si="15"/>
        <v>137224427</v>
      </c>
      <c r="J224" s="9">
        <v>91482952</v>
      </c>
      <c r="K224" s="9">
        <f t="shared" si="16"/>
        <v>45741475</v>
      </c>
      <c r="L224" s="59" t="str">
        <f>VLOOKUP(B224,'[1]IN HĐMB'!$I$1:$X$541,14,0)</f>
        <v>PTTT 04b</v>
      </c>
      <c r="M224" s="58" t="s">
        <v>28</v>
      </c>
    </row>
    <row r="225" spans="1:13" ht="29.25" customHeight="1">
      <c r="A225" s="7">
        <v>198</v>
      </c>
      <c r="B225" s="26" t="s">
        <v>191</v>
      </c>
      <c r="C225" s="73">
        <v>48.73</v>
      </c>
      <c r="D225" s="8">
        <v>44774634</v>
      </c>
      <c r="E225" s="21">
        <v>2181867915</v>
      </c>
      <c r="F225" s="19">
        <v>0.06</v>
      </c>
      <c r="G225" s="9">
        <f t="shared" si="13"/>
        <v>119010977.27272727</v>
      </c>
      <c r="H225" s="9">
        <f t="shared" si="14"/>
        <v>11901097.727272734</v>
      </c>
      <c r="I225" s="9">
        <f t="shared" si="15"/>
        <v>130912075</v>
      </c>
      <c r="J225" s="9">
        <v>87274717</v>
      </c>
      <c r="K225" s="9">
        <f t="shared" si="16"/>
        <v>43637358</v>
      </c>
      <c r="L225" s="59" t="str">
        <f>VLOOKUP(B225,'[1]IN HĐMB'!$I$1:$X$541,14,0)</f>
        <v>PTTT 04b</v>
      </c>
      <c r="M225" s="58" t="s">
        <v>28</v>
      </c>
    </row>
    <row r="226" spans="1:13" ht="29.25" customHeight="1">
      <c r="A226" s="7">
        <v>199</v>
      </c>
      <c r="B226" s="26" t="s">
        <v>192</v>
      </c>
      <c r="C226" s="73">
        <v>48.31</v>
      </c>
      <c r="D226" s="8">
        <v>46342353</v>
      </c>
      <c r="E226" s="21">
        <v>2238799073</v>
      </c>
      <c r="F226" s="19">
        <v>0.06</v>
      </c>
      <c r="G226" s="9">
        <f t="shared" si="13"/>
        <v>122116312.72727272</v>
      </c>
      <c r="H226" s="9">
        <f t="shared" si="14"/>
        <v>12211631.272727281</v>
      </c>
      <c r="I226" s="9">
        <f t="shared" si="15"/>
        <v>134327944</v>
      </c>
      <c r="J226" s="9">
        <v>89551963</v>
      </c>
      <c r="K226" s="9">
        <f t="shared" si="16"/>
        <v>44775981</v>
      </c>
      <c r="L226" s="59" t="str">
        <f>VLOOKUP(B226,'[1]IN HĐMB'!$I$1:$X$541,14,0)</f>
        <v>PTTT 01b</v>
      </c>
      <c r="M226" s="58" t="s">
        <v>28</v>
      </c>
    </row>
    <row r="227" spans="1:13" ht="29.25" customHeight="1">
      <c r="A227" s="7">
        <v>200</v>
      </c>
      <c r="B227" s="26" t="s">
        <v>193</v>
      </c>
      <c r="C227" s="73">
        <v>48.31</v>
      </c>
      <c r="D227" s="8">
        <v>46565460</v>
      </c>
      <c r="E227" s="21">
        <v>2249577373</v>
      </c>
      <c r="F227" s="19">
        <v>0.06</v>
      </c>
      <c r="G227" s="9">
        <f t="shared" si="13"/>
        <v>122704219.99999999</v>
      </c>
      <c r="H227" s="9">
        <f t="shared" si="14"/>
        <v>12270422.000000015</v>
      </c>
      <c r="I227" s="9">
        <f t="shared" si="15"/>
        <v>134974642</v>
      </c>
      <c r="J227" s="9">
        <v>89983095</v>
      </c>
      <c r="K227" s="9">
        <f t="shared" si="16"/>
        <v>44991547</v>
      </c>
      <c r="L227" s="59" t="str">
        <f>VLOOKUP(B227,'[1]IN HĐMB'!$I$1:$X$541,14,0)</f>
        <v>PTTT 01b</v>
      </c>
      <c r="M227" s="58" t="s">
        <v>28</v>
      </c>
    </row>
    <row r="228" spans="1:13" ht="29.25" customHeight="1">
      <c r="A228" s="7">
        <v>201</v>
      </c>
      <c r="B228" s="26" t="s">
        <v>194</v>
      </c>
      <c r="C228" s="73">
        <v>48.31</v>
      </c>
      <c r="D228" s="8">
        <v>45670047</v>
      </c>
      <c r="E228" s="21">
        <v>2206319971</v>
      </c>
      <c r="F228" s="19">
        <v>0.06</v>
      </c>
      <c r="G228" s="9">
        <f t="shared" ref="G228:G256" si="17">+I228/1.1</f>
        <v>120344725.45454544</v>
      </c>
      <c r="H228" s="9">
        <f t="shared" ref="H228:H256" si="18">I228-G228</f>
        <v>12034472.545454562</v>
      </c>
      <c r="I228" s="9">
        <f t="shared" ref="I228:I256" si="19">ROUND(E228*F228,0)</f>
        <v>132379198</v>
      </c>
      <c r="J228" s="9">
        <v>88252799</v>
      </c>
      <c r="K228" s="9">
        <f t="shared" si="16"/>
        <v>44126399</v>
      </c>
      <c r="L228" s="59" t="str">
        <f>VLOOKUP(B228,'[1]IN HĐMB'!$I$1:$X$541,14,0)</f>
        <v>PTTT 06b</v>
      </c>
      <c r="M228" s="58" t="s">
        <v>28</v>
      </c>
    </row>
    <row r="229" spans="1:13" ht="29.25" customHeight="1">
      <c r="A229" s="7">
        <v>202</v>
      </c>
      <c r="B229" s="26" t="s">
        <v>253</v>
      </c>
      <c r="C229" s="73">
        <v>48.47</v>
      </c>
      <c r="D229" s="21">
        <v>48182521</v>
      </c>
      <c r="E229" s="21">
        <v>2335406793</v>
      </c>
      <c r="F229" s="19">
        <v>0.06</v>
      </c>
      <c r="G229" s="9">
        <f t="shared" si="17"/>
        <v>127385825.45454544</v>
      </c>
      <c r="H229" s="9">
        <f t="shared" si="18"/>
        <v>12738582.545454562</v>
      </c>
      <c r="I229" s="9">
        <f t="shared" si="19"/>
        <v>140124408</v>
      </c>
      <c r="J229" s="9">
        <v>0</v>
      </c>
      <c r="K229" s="9">
        <f t="shared" si="16"/>
        <v>140124408</v>
      </c>
      <c r="L229" s="59" t="str">
        <f>VLOOKUP(B229,'[1]IN HĐMB'!$I$1:$X$541,14,0)</f>
        <v>PTTT 04c</v>
      </c>
      <c r="M229" s="58" t="s">
        <v>20</v>
      </c>
    </row>
    <row r="230" spans="1:13" ht="29.25" customHeight="1">
      <c r="A230" s="7">
        <v>203</v>
      </c>
      <c r="B230" s="26" t="s">
        <v>195</v>
      </c>
      <c r="C230" s="73">
        <v>46.94</v>
      </c>
      <c r="D230" s="8">
        <v>47725353</v>
      </c>
      <c r="E230" s="21">
        <v>2240228070</v>
      </c>
      <c r="F230" s="19">
        <v>0.06</v>
      </c>
      <c r="G230" s="9">
        <f t="shared" si="17"/>
        <v>122194258.18181817</v>
      </c>
      <c r="H230" s="9">
        <f t="shared" si="18"/>
        <v>12219425.818181828</v>
      </c>
      <c r="I230" s="9">
        <f t="shared" si="19"/>
        <v>134413684</v>
      </c>
      <c r="J230" s="9">
        <v>89609123</v>
      </c>
      <c r="K230" s="9">
        <f t="shared" si="16"/>
        <v>44804561</v>
      </c>
      <c r="L230" s="59" t="str">
        <f>VLOOKUP(B230,'[1]IN HĐMB'!$I$1:$X$541,14,0)</f>
        <v>PTTT 04c</v>
      </c>
      <c r="M230" s="58" t="s">
        <v>20</v>
      </c>
    </row>
    <row r="231" spans="1:13" ht="29.25" customHeight="1">
      <c r="A231" s="7">
        <v>204</v>
      </c>
      <c r="B231" s="26" t="s">
        <v>196</v>
      </c>
      <c r="C231" s="73">
        <v>48.47</v>
      </c>
      <c r="D231" s="8">
        <v>48182521</v>
      </c>
      <c r="E231" s="21">
        <v>2335406793</v>
      </c>
      <c r="F231" s="19">
        <v>0.06</v>
      </c>
      <c r="G231" s="9">
        <f t="shared" si="17"/>
        <v>127385825.45454544</v>
      </c>
      <c r="H231" s="9">
        <f t="shared" si="18"/>
        <v>12738582.545454562</v>
      </c>
      <c r="I231" s="9">
        <f t="shared" si="19"/>
        <v>140124408</v>
      </c>
      <c r="J231" s="9">
        <v>93416272</v>
      </c>
      <c r="K231" s="9">
        <f t="shared" si="16"/>
        <v>46708136</v>
      </c>
      <c r="L231" s="59" t="str">
        <f>VLOOKUP(B231,'[1]IN HĐMB'!$I$1:$X$541,14,0)</f>
        <v>PTTT 04c</v>
      </c>
      <c r="M231" s="58" t="s">
        <v>20</v>
      </c>
    </row>
    <row r="232" spans="1:13" ht="29.25" customHeight="1">
      <c r="A232" s="7">
        <v>205</v>
      </c>
      <c r="B232" s="26" t="s">
        <v>197</v>
      </c>
      <c r="C232" s="73">
        <v>48.82</v>
      </c>
      <c r="D232" s="8">
        <v>48410090</v>
      </c>
      <c r="E232" s="21">
        <v>2363380594</v>
      </c>
      <c r="F232" s="19">
        <v>0.06</v>
      </c>
      <c r="G232" s="9">
        <f t="shared" si="17"/>
        <v>128911669.09090908</v>
      </c>
      <c r="H232" s="9">
        <f t="shared" si="18"/>
        <v>12891166.909090921</v>
      </c>
      <c r="I232" s="9">
        <f t="shared" si="19"/>
        <v>141802836</v>
      </c>
      <c r="J232" s="9">
        <v>94535224</v>
      </c>
      <c r="K232" s="9">
        <f t="shared" si="16"/>
        <v>47267612</v>
      </c>
      <c r="L232" s="59" t="str">
        <f>VLOOKUP(B232,'[1]IN HĐMB'!$I$1:$X$541,14,0)</f>
        <v>PTTT 04c</v>
      </c>
      <c r="M232" s="58" t="s">
        <v>20</v>
      </c>
    </row>
    <row r="233" spans="1:13" ht="29.25" customHeight="1">
      <c r="A233" s="7">
        <v>206</v>
      </c>
      <c r="B233" s="26" t="s">
        <v>255</v>
      </c>
      <c r="C233" s="73">
        <v>48.72</v>
      </c>
      <c r="D233" s="8">
        <v>49060898</v>
      </c>
      <c r="E233" s="21">
        <v>2390246951</v>
      </c>
      <c r="F233" s="19">
        <v>0.06</v>
      </c>
      <c r="G233" s="9">
        <f t="shared" si="17"/>
        <v>130377106.36363636</v>
      </c>
      <c r="H233" s="9">
        <f t="shared" si="18"/>
        <v>13037710.63636364</v>
      </c>
      <c r="I233" s="9">
        <f t="shared" si="19"/>
        <v>143414817</v>
      </c>
      <c r="J233" s="9">
        <v>0</v>
      </c>
      <c r="K233" s="9">
        <f t="shared" si="16"/>
        <v>143414817</v>
      </c>
      <c r="L233" s="59" t="str">
        <f>VLOOKUP(B233,'[1]IN HĐMB'!$I$1:$X$541,14,0)</f>
        <v>PTTT 09c</v>
      </c>
      <c r="M233" s="58" t="s">
        <v>20</v>
      </c>
    </row>
    <row r="234" spans="1:13" ht="29.25" customHeight="1">
      <c r="A234" s="7">
        <v>207</v>
      </c>
      <c r="B234" s="26" t="s">
        <v>256</v>
      </c>
      <c r="C234" s="73">
        <v>46.41</v>
      </c>
      <c r="D234" s="8">
        <v>47673013</v>
      </c>
      <c r="E234" s="21">
        <v>2212504533</v>
      </c>
      <c r="F234" s="19">
        <v>0.06</v>
      </c>
      <c r="G234" s="9">
        <f t="shared" si="17"/>
        <v>120682065.45454544</v>
      </c>
      <c r="H234" s="9">
        <f t="shared" si="18"/>
        <v>12068206.545454562</v>
      </c>
      <c r="I234" s="9">
        <f t="shared" si="19"/>
        <v>132750272</v>
      </c>
      <c r="J234" s="9">
        <v>0</v>
      </c>
      <c r="K234" s="9">
        <f t="shared" si="16"/>
        <v>132750272</v>
      </c>
      <c r="L234" s="59" t="str">
        <f>VLOOKUP(B234,'[1]IN HĐMB'!$I$1:$X$541,14,0)</f>
        <v>PTTT 09c</v>
      </c>
      <c r="M234" s="58" t="s">
        <v>20</v>
      </c>
    </row>
    <row r="235" spans="1:13" ht="29.25" customHeight="1">
      <c r="A235" s="7">
        <v>208</v>
      </c>
      <c r="B235" s="26" t="s">
        <v>257</v>
      </c>
      <c r="C235" s="73">
        <v>46.2</v>
      </c>
      <c r="D235" s="8">
        <v>46979070</v>
      </c>
      <c r="E235" s="21">
        <v>2170433034</v>
      </c>
      <c r="F235" s="19">
        <v>0.06</v>
      </c>
      <c r="G235" s="9">
        <f t="shared" si="17"/>
        <v>118387256.36363636</v>
      </c>
      <c r="H235" s="9">
        <f t="shared" si="18"/>
        <v>11838725.63636364</v>
      </c>
      <c r="I235" s="9">
        <f t="shared" si="19"/>
        <v>130225982</v>
      </c>
      <c r="J235" s="9">
        <v>0</v>
      </c>
      <c r="K235" s="9">
        <f t="shared" si="16"/>
        <v>130225982</v>
      </c>
      <c r="L235" s="59" t="str">
        <f>VLOOKUP(B235,'[1]IN HĐMB'!$I$1:$X$541,14,0)</f>
        <v>PTTT 09c</v>
      </c>
      <c r="M235" s="58" t="s">
        <v>20</v>
      </c>
    </row>
    <row r="236" spans="1:13" ht="29.25" customHeight="1">
      <c r="A236" s="7">
        <v>209</v>
      </c>
      <c r="B236" s="26" t="s">
        <v>258</v>
      </c>
      <c r="C236" s="73">
        <v>52.32</v>
      </c>
      <c r="D236" s="8">
        <v>47904671</v>
      </c>
      <c r="E236" s="21">
        <v>2506372387</v>
      </c>
      <c r="F236" s="19">
        <v>0.06</v>
      </c>
      <c r="G236" s="9">
        <f t="shared" si="17"/>
        <v>136711220.90909091</v>
      </c>
      <c r="H236" s="9">
        <f t="shared" si="18"/>
        <v>13671122.090909094</v>
      </c>
      <c r="I236" s="9">
        <f t="shared" si="19"/>
        <v>150382343</v>
      </c>
      <c r="J236" s="9">
        <v>0</v>
      </c>
      <c r="K236" s="9">
        <f t="shared" si="16"/>
        <v>150382343</v>
      </c>
      <c r="L236" s="59" t="str">
        <f>VLOOKUP(B236,'[1]IN HĐMB'!$I$1:$X$541,14,0)</f>
        <v>PTTT 06c</v>
      </c>
      <c r="M236" s="58" t="s">
        <v>20</v>
      </c>
    </row>
    <row r="237" spans="1:13" ht="29.25" customHeight="1">
      <c r="A237" s="7">
        <v>210</v>
      </c>
      <c r="B237" s="26" t="s">
        <v>259</v>
      </c>
      <c r="C237" s="73">
        <v>47.07</v>
      </c>
      <c r="D237" s="8">
        <v>46515756</v>
      </c>
      <c r="E237" s="21">
        <v>2189496635</v>
      </c>
      <c r="F237" s="19">
        <v>0.06</v>
      </c>
      <c r="G237" s="9">
        <f t="shared" si="17"/>
        <v>119427089.09090908</v>
      </c>
      <c r="H237" s="9">
        <f t="shared" si="18"/>
        <v>11942708.909090921</v>
      </c>
      <c r="I237" s="9">
        <f t="shared" si="19"/>
        <v>131369798</v>
      </c>
      <c r="J237" s="9">
        <v>0</v>
      </c>
      <c r="K237" s="9">
        <f t="shared" si="16"/>
        <v>131369798</v>
      </c>
      <c r="L237" s="59" t="str">
        <f>VLOOKUP(B237,'[1]IN HĐMB'!$I$1:$X$541,14,0)</f>
        <v>PTTT 09c</v>
      </c>
      <c r="M237" s="58" t="s">
        <v>20</v>
      </c>
    </row>
    <row r="238" spans="1:13" ht="29.25" customHeight="1">
      <c r="A238" s="7">
        <v>211</v>
      </c>
      <c r="B238" s="26" t="s">
        <v>260</v>
      </c>
      <c r="C238" s="73">
        <v>36.9</v>
      </c>
      <c r="D238" s="8">
        <v>48830270</v>
      </c>
      <c r="E238" s="21">
        <v>1801836963</v>
      </c>
      <c r="F238" s="19">
        <v>0.06</v>
      </c>
      <c r="G238" s="9">
        <f t="shared" si="17"/>
        <v>98282016.36363636</v>
      </c>
      <c r="H238" s="9">
        <f t="shared" si="18"/>
        <v>9828201.6363636404</v>
      </c>
      <c r="I238" s="9">
        <f t="shared" si="19"/>
        <v>108110218</v>
      </c>
      <c r="J238" s="9">
        <v>0</v>
      </c>
      <c r="K238" s="9">
        <f t="shared" si="16"/>
        <v>108110218</v>
      </c>
      <c r="L238" s="59" t="str">
        <f>VLOOKUP(B238,'[1]IN HĐMB'!$I$1:$X$541,14,0)</f>
        <v>PTTT 09c</v>
      </c>
      <c r="M238" s="58" t="s">
        <v>20</v>
      </c>
    </row>
    <row r="239" spans="1:13" ht="29.25" customHeight="1">
      <c r="A239" s="7">
        <v>212</v>
      </c>
      <c r="B239" s="26" t="s">
        <v>261</v>
      </c>
      <c r="C239" s="73">
        <v>47.28</v>
      </c>
      <c r="D239" s="8">
        <v>46515756</v>
      </c>
      <c r="E239" s="21">
        <v>2199264944</v>
      </c>
      <c r="F239" s="19">
        <v>0.06</v>
      </c>
      <c r="G239" s="9">
        <f t="shared" si="17"/>
        <v>119959906.36363636</v>
      </c>
      <c r="H239" s="9">
        <f t="shared" si="18"/>
        <v>11995990.63636364</v>
      </c>
      <c r="I239" s="9">
        <f t="shared" si="19"/>
        <v>131955897</v>
      </c>
      <c r="J239" s="9">
        <v>0</v>
      </c>
      <c r="K239" s="9">
        <f t="shared" si="16"/>
        <v>131955897</v>
      </c>
      <c r="L239" s="59" t="str">
        <f>VLOOKUP(B239,'[1]IN HĐMB'!$I$1:$X$541,14,0)</f>
        <v>PTTT 09c</v>
      </c>
      <c r="M239" s="58" t="s">
        <v>20</v>
      </c>
    </row>
    <row r="240" spans="1:13" ht="29.25" customHeight="1">
      <c r="A240" s="7">
        <v>213</v>
      </c>
      <c r="B240" s="26" t="s">
        <v>262</v>
      </c>
      <c r="C240" s="73">
        <v>52.32</v>
      </c>
      <c r="D240" s="8">
        <v>48830270</v>
      </c>
      <c r="E240" s="21">
        <v>2554799726</v>
      </c>
      <c r="F240" s="19">
        <v>0.06</v>
      </c>
      <c r="G240" s="9">
        <f t="shared" si="17"/>
        <v>139352712.72727272</v>
      </c>
      <c r="H240" s="9">
        <f t="shared" si="18"/>
        <v>13935271.272727281</v>
      </c>
      <c r="I240" s="9">
        <f t="shared" si="19"/>
        <v>153287984</v>
      </c>
      <c r="J240" s="9">
        <v>0</v>
      </c>
      <c r="K240" s="9">
        <f t="shared" si="16"/>
        <v>153287984</v>
      </c>
      <c r="L240" s="59" t="str">
        <f>VLOOKUP(B240,'[1]IN HĐMB'!$I$1:$X$541,14,0)</f>
        <v>PTTT 09c</v>
      </c>
      <c r="M240" s="58" t="s">
        <v>20</v>
      </c>
    </row>
    <row r="241" spans="1:13" ht="29.25" customHeight="1">
      <c r="A241" s="7">
        <v>214</v>
      </c>
      <c r="B241" s="26" t="s">
        <v>263</v>
      </c>
      <c r="C241" s="73">
        <v>47.17</v>
      </c>
      <c r="D241" s="8">
        <v>45820784</v>
      </c>
      <c r="E241" s="21">
        <v>2161366381</v>
      </c>
      <c r="F241" s="19">
        <v>0.06</v>
      </c>
      <c r="G241" s="9">
        <f t="shared" si="17"/>
        <v>117892711.81818181</v>
      </c>
      <c r="H241" s="9">
        <f t="shared" si="18"/>
        <v>11789271.181818187</v>
      </c>
      <c r="I241" s="9">
        <f t="shared" si="19"/>
        <v>129681983</v>
      </c>
      <c r="J241" s="9">
        <v>0</v>
      </c>
      <c r="K241" s="9">
        <f t="shared" si="16"/>
        <v>129681983</v>
      </c>
      <c r="L241" s="59" t="str">
        <f>VLOOKUP(B241,'[1]IN HĐMB'!$I$1:$X$541,14,0)</f>
        <v>PTTT 09c</v>
      </c>
      <c r="M241" s="58" t="s">
        <v>20</v>
      </c>
    </row>
    <row r="242" spans="1:13" ht="29.25" customHeight="1">
      <c r="A242" s="7">
        <v>215</v>
      </c>
      <c r="B242" s="26" t="s">
        <v>264</v>
      </c>
      <c r="C242" s="73">
        <v>46.2</v>
      </c>
      <c r="D242" s="8">
        <v>47209699</v>
      </c>
      <c r="E242" s="21">
        <v>2181088094</v>
      </c>
      <c r="F242" s="19">
        <v>0.06</v>
      </c>
      <c r="G242" s="9">
        <f t="shared" si="17"/>
        <v>118968441.81818181</v>
      </c>
      <c r="H242" s="9">
        <f t="shared" si="18"/>
        <v>11896844.181818187</v>
      </c>
      <c r="I242" s="9">
        <f t="shared" si="19"/>
        <v>130865286</v>
      </c>
      <c r="J242" s="9">
        <v>0</v>
      </c>
      <c r="K242" s="9">
        <f t="shared" si="16"/>
        <v>130865286</v>
      </c>
      <c r="L242" s="59" t="str">
        <f>VLOOKUP(B242,'[1]IN HĐMB'!$I$1:$X$541,14,0)</f>
        <v>PTTT 09c</v>
      </c>
      <c r="M242" s="58" t="s">
        <v>20</v>
      </c>
    </row>
    <row r="243" spans="1:13" ht="29.25" customHeight="1">
      <c r="A243" s="7">
        <v>216</v>
      </c>
      <c r="B243" s="26" t="s">
        <v>265</v>
      </c>
      <c r="C243" s="73">
        <v>48.2</v>
      </c>
      <c r="D243" s="8">
        <v>48135298</v>
      </c>
      <c r="E243" s="21">
        <v>2320121364</v>
      </c>
      <c r="F243" s="19">
        <v>0.06</v>
      </c>
      <c r="G243" s="9">
        <f t="shared" si="17"/>
        <v>126552074.54545453</v>
      </c>
      <c r="H243" s="9">
        <f t="shared" si="18"/>
        <v>12655207.454545468</v>
      </c>
      <c r="I243" s="9">
        <f t="shared" si="19"/>
        <v>139207282</v>
      </c>
      <c r="J243" s="9">
        <v>0</v>
      </c>
      <c r="K243" s="9">
        <f t="shared" si="16"/>
        <v>139207282</v>
      </c>
      <c r="L243" s="59" t="str">
        <f>VLOOKUP(B243,'[1]IN HĐMB'!$I$1:$X$541,14,0)</f>
        <v>PTTT 09c</v>
      </c>
      <c r="M243" s="58" t="s">
        <v>20</v>
      </c>
    </row>
    <row r="244" spans="1:13" ht="29.25" customHeight="1">
      <c r="A244" s="7">
        <v>217</v>
      </c>
      <c r="B244" s="26" t="s">
        <v>266</v>
      </c>
      <c r="C244" s="73">
        <v>48.72</v>
      </c>
      <c r="D244" s="8">
        <v>48830270</v>
      </c>
      <c r="E244" s="21">
        <v>2379010754</v>
      </c>
      <c r="F244" s="19">
        <v>0.06</v>
      </c>
      <c r="G244" s="9">
        <f t="shared" si="17"/>
        <v>129764222.72727272</v>
      </c>
      <c r="H244" s="9">
        <f t="shared" si="18"/>
        <v>12976422.272727281</v>
      </c>
      <c r="I244" s="9">
        <f t="shared" si="19"/>
        <v>142740645</v>
      </c>
      <c r="J244" s="9">
        <v>0</v>
      </c>
      <c r="K244" s="9">
        <f t="shared" si="16"/>
        <v>142740645</v>
      </c>
      <c r="L244" s="59" t="str">
        <f>VLOOKUP(B244,'[1]IN HĐMB'!$I$1:$X$541,14,0)</f>
        <v>PTTT 09c</v>
      </c>
      <c r="M244" s="58" t="s">
        <v>20</v>
      </c>
    </row>
    <row r="245" spans="1:13" ht="29.25" customHeight="1">
      <c r="A245" s="7">
        <v>218</v>
      </c>
      <c r="B245" s="26" t="s">
        <v>267</v>
      </c>
      <c r="C245" s="73">
        <v>46.94</v>
      </c>
      <c r="D245" s="8">
        <v>47460873</v>
      </c>
      <c r="E245" s="21">
        <v>2227813379</v>
      </c>
      <c r="F245" s="19">
        <v>0.06</v>
      </c>
      <c r="G245" s="9">
        <f t="shared" si="17"/>
        <v>121517093.63636363</v>
      </c>
      <c r="H245" s="9">
        <f t="shared" si="18"/>
        <v>12151709.363636374</v>
      </c>
      <c r="I245" s="9">
        <f t="shared" si="19"/>
        <v>133668803</v>
      </c>
      <c r="J245" s="9">
        <v>0</v>
      </c>
      <c r="K245" s="9">
        <f t="shared" si="16"/>
        <v>133668803</v>
      </c>
      <c r="L245" s="59" t="str">
        <f>VLOOKUP(B245,'[1]IN HĐMB'!$I$1:$X$541,14,0)</f>
        <v>PTTT 04b</v>
      </c>
      <c r="M245" s="58" t="s">
        <v>20</v>
      </c>
    </row>
    <row r="246" spans="1:13" ht="29.25" customHeight="1">
      <c r="A246" s="7">
        <v>219</v>
      </c>
      <c r="B246" s="26" t="s">
        <v>268</v>
      </c>
      <c r="C246" s="73">
        <v>48.73</v>
      </c>
      <c r="D246" s="8">
        <v>46515756</v>
      </c>
      <c r="E246" s="21">
        <v>2266712790</v>
      </c>
      <c r="F246" s="19">
        <v>0.06</v>
      </c>
      <c r="G246" s="9">
        <f t="shared" si="17"/>
        <v>123638879.09090908</v>
      </c>
      <c r="H246" s="9">
        <f t="shared" si="18"/>
        <v>12363887.909090921</v>
      </c>
      <c r="I246" s="9">
        <f t="shared" si="19"/>
        <v>136002767</v>
      </c>
      <c r="J246" s="9">
        <v>0</v>
      </c>
      <c r="K246" s="9">
        <f t="shared" si="16"/>
        <v>136002767</v>
      </c>
      <c r="L246" s="59" t="str">
        <f>VLOOKUP(B246,'[1]IN HĐMB'!$I$1:$X$541,14,0)</f>
        <v>PTTT 09c</v>
      </c>
      <c r="M246" s="58" t="s">
        <v>20</v>
      </c>
    </row>
    <row r="247" spans="1:13" ht="29.25" customHeight="1">
      <c r="A247" s="7">
        <v>220</v>
      </c>
      <c r="B247" s="26" t="s">
        <v>269</v>
      </c>
      <c r="C247" s="73">
        <v>47.4</v>
      </c>
      <c r="D247" s="8">
        <v>46812032</v>
      </c>
      <c r="E247" s="21">
        <v>2218890317</v>
      </c>
      <c r="F247" s="19">
        <v>0.06</v>
      </c>
      <c r="G247" s="9">
        <f t="shared" si="17"/>
        <v>121030380.90909091</v>
      </c>
      <c r="H247" s="9">
        <f t="shared" si="18"/>
        <v>12103038.090909094</v>
      </c>
      <c r="I247" s="9">
        <f t="shared" si="19"/>
        <v>133133419</v>
      </c>
      <c r="J247" s="9">
        <v>0</v>
      </c>
      <c r="K247" s="9">
        <f t="shared" si="16"/>
        <v>133133419</v>
      </c>
      <c r="L247" s="59" t="str">
        <f>VLOOKUP(B247,'[1]IN HĐMB'!$I$1:$X$541,14,0)</f>
        <v>PTTT 04c</v>
      </c>
      <c r="M247" s="58" t="s">
        <v>20</v>
      </c>
    </row>
    <row r="248" spans="1:13" ht="29.25" customHeight="1">
      <c r="A248" s="7">
        <v>221</v>
      </c>
      <c r="B248" s="26" t="s">
        <v>278</v>
      </c>
      <c r="C248" s="73">
        <v>36.76</v>
      </c>
      <c r="D248" s="8">
        <v>48366955</v>
      </c>
      <c r="E248" s="21">
        <v>1777969266</v>
      </c>
      <c r="F248" s="19">
        <v>0.06</v>
      </c>
      <c r="G248" s="9">
        <f t="shared" si="17"/>
        <v>96980141.818181813</v>
      </c>
      <c r="H248" s="9">
        <f t="shared" si="18"/>
        <v>9698014.1818181872</v>
      </c>
      <c r="I248" s="9">
        <f t="shared" si="19"/>
        <v>106678156</v>
      </c>
      <c r="J248" s="9">
        <v>0</v>
      </c>
      <c r="K248" s="9">
        <f t="shared" si="16"/>
        <v>106678156</v>
      </c>
      <c r="L248" s="59" t="str">
        <f>VLOOKUP(B248,'[1]IN HĐMB'!$I$1:$X$541,14,0)</f>
        <v>PTTT 09c</v>
      </c>
      <c r="M248" s="58" t="s">
        <v>20</v>
      </c>
    </row>
    <row r="249" spans="1:13" ht="29.25" customHeight="1">
      <c r="A249" s="7">
        <v>222</v>
      </c>
      <c r="B249" s="26" t="s">
        <v>270</v>
      </c>
      <c r="C249" s="73">
        <v>46.2</v>
      </c>
      <c r="D249" s="8">
        <v>46979070</v>
      </c>
      <c r="E249" s="21">
        <v>2170433034</v>
      </c>
      <c r="F249" s="19">
        <v>0.06</v>
      </c>
      <c r="G249" s="9">
        <f t="shared" si="17"/>
        <v>118387256.36363636</v>
      </c>
      <c r="H249" s="9">
        <f t="shared" si="18"/>
        <v>11838725.63636364</v>
      </c>
      <c r="I249" s="9">
        <f t="shared" si="19"/>
        <v>130225982</v>
      </c>
      <c r="J249" s="9">
        <v>0</v>
      </c>
      <c r="K249" s="9">
        <f t="shared" si="16"/>
        <v>130225982</v>
      </c>
      <c r="L249" s="59" t="str">
        <f>VLOOKUP(B249,'[1]IN HĐMB'!$I$1:$X$541,14,0)</f>
        <v>PTTT 09c</v>
      </c>
      <c r="M249" s="58" t="s">
        <v>20</v>
      </c>
    </row>
    <row r="250" spans="1:13" ht="29.25" customHeight="1">
      <c r="A250" s="7">
        <v>223</v>
      </c>
      <c r="B250" s="26" t="s">
        <v>271</v>
      </c>
      <c r="C250" s="73">
        <v>46.2</v>
      </c>
      <c r="D250" s="8">
        <v>46515756</v>
      </c>
      <c r="E250" s="21">
        <v>2149027927</v>
      </c>
      <c r="F250" s="19">
        <v>0.06</v>
      </c>
      <c r="G250" s="9">
        <f t="shared" si="17"/>
        <v>117219705.45454544</v>
      </c>
      <c r="H250" s="9">
        <f t="shared" si="18"/>
        <v>11721970.545454562</v>
      </c>
      <c r="I250" s="9">
        <f t="shared" si="19"/>
        <v>128941676</v>
      </c>
      <c r="J250" s="9">
        <v>0</v>
      </c>
      <c r="K250" s="9">
        <f t="shared" si="16"/>
        <v>128941676</v>
      </c>
      <c r="L250" s="59" t="str">
        <f>VLOOKUP(B250,'[1]IN HĐMB'!$I$1:$X$541,14,0)</f>
        <v>PTTT 09c</v>
      </c>
      <c r="M250" s="58" t="s">
        <v>20</v>
      </c>
    </row>
    <row r="251" spans="1:13" ht="29.25" customHeight="1">
      <c r="A251" s="7">
        <v>224</v>
      </c>
      <c r="B251" s="26" t="s">
        <v>272</v>
      </c>
      <c r="C251" s="73">
        <v>47.36</v>
      </c>
      <c r="D251" s="8">
        <v>47441356</v>
      </c>
      <c r="E251" s="21">
        <v>2246822620</v>
      </c>
      <c r="F251" s="19">
        <v>0.06</v>
      </c>
      <c r="G251" s="9">
        <f t="shared" si="17"/>
        <v>122553960.90909091</v>
      </c>
      <c r="H251" s="9">
        <f t="shared" si="18"/>
        <v>12255396.090909094</v>
      </c>
      <c r="I251" s="9">
        <f t="shared" si="19"/>
        <v>134809357</v>
      </c>
      <c r="J251" s="9">
        <v>0</v>
      </c>
      <c r="K251" s="9">
        <f t="shared" si="16"/>
        <v>134809357</v>
      </c>
      <c r="L251" s="59" t="str">
        <f>VLOOKUP(B251,'[1]IN HĐMB'!$I$1:$X$541,14,0)</f>
        <v>PTTT 09c</v>
      </c>
      <c r="M251" s="58" t="s">
        <v>20</v>
      </c>
    </row>
    <row r="252" spans="1:13" ht="29.25" customHeight="1">
      <c r="A252" s="7">
        <v>225</v>
      </c>
      <c r="B252" s="26" t="s">
        <v>273</v>
      </c>
      <c r="C252" s="73">
        <v>46.42</v>
      </c>
      <c r="D252" s="8">
        <v>46746384</v>
      </c>
      <c r="E252" s="21">
        <v>2169967145</v>
      </c>
      <c r="F252" s="19">
        <v>0.06</v>
      </c>
      <c r="G252" s="9">
        <f t="shared" si="17"/>
        <v>118361844.54545453</v>
      </c>
      <c r="H252" s="9">
        <f t="shared" si="18"/>
        <v>11836184.454545468</v>
      </c>
      <c r="I252" s="9">
        <f t="shared" si="19"/>
        <v>130198029</v>
      </c>
      <c r="J252" s="9">
        <v>0</v>
      </c>
      <c r="K252" s="9">
        <f t="shared" si="16"/>
        <v>130198029</v>
      </c>
      <c r="L252" s="59" t="str">
        <f>VLOOKUP(B252,'[1]IN HĐMB'!$I$1:$X$541,14,0)</f>
        <v>PTTT 09c</v>
      </c>
      <c r="M252" s="58" t="s">
        <v>20</v>
      </c>
    </row>
    <row r="253" spans="1:13" ht="29.25" customHeight="1">
      <c r="A253" s="7">
        <v>226</v>
      </c>
      <c r="B253" s="26" t="s">
        <v>274</v>
      </c>
      <c r="C253" s="73">
        <v>46.6</v>
      </c>
      <c r="D253" s="8">
        <v>46053471</v>
      </c>
      <c r="E253" s="21">
        <v>2146091749</v>
      </c>
      <c r="F253" s="19">
        <v>0.06</v>
      </c>
      <c r="G253" s="9">
        <f t="shared" si="17"/>
        <v>117059549.99999999</v>
      </c>
      <c r="H253" s="9">
        <f t="shared" si="18"/>
        <v>11705955.000000015</v>
      </c>
      <c r="I253" s="9">
        <f t="shared" si="19"/>
        <v>128765505</v>
      </c>
      <c r="J253" s="9">
        <v>0</v>
      </c>
      <c r="K253" s="9">
        <f t="shared" si="16"/>
        <v>128765505</v>
      </c>
      <c r="L253" s="59" t="str">
        <f>VLOOKUP(B253,'[1]IN HĐMB'!$I$1:$X$541,14,0)</f>
        <v>PTTT 09c</v>
      </c>
      <c r="M253" s="58" t="s">
        <v>20</v>
      </c>
    </row>
    <row r="254" spans="1:13" ht="29.25" customHeight="1">
      <c r="A254" s="7">
        <v>227</v>
      </c>
      <c r="B254" s="26" t="s">
        <v>275</v>
      </c>
      <c r="C254" s="73">
        <v>46.6</v>
      </c>
      <c r="D254" s="8">
        <v>46053471</v>
      </c>
      <c r="E254" s="21">
        <v>2146091749</v>
      </c>
      <c r="F254" s="19">
        <v>0.06</v>
      </c>
      <c r="G254" s="9">
        <f t="shared" si="17"/>
        <v>117059549.99999999</v>
      </c>
      <c r="H254" s="9">
        <f t="shared" si="18"/>
        <v>11705955.000000015</v>
      </c>
      <c r="I254" s="9">
        <f t="shared" si="19"/>
        <v>128765505</v>
      </c>
      <c r="J254" s="9">
        <v>0</v>
      </c>
      <c r="K254" s="9">
        <f t="shared" si="16"/>
        <v>128765505</v>
      </c>
      <c r="L254" s="59" t="str">
        <f>VLOOKUP(B254,'[1]IN HĐMB'!$I$1:$X$541,14,0)</f>
        <v>PTTT 09c</v>
      </c>
      <c r="M254" s="58" t="s">
        <v>20</v>
      </c>
    </row>
    <row r="255" spans="1:13" ht="29.25" customHeight="1">
      <c r="A255" s="7">
        <v>228</v>
      </c>
      <c r="B255" s="26" t="s">
        <v>276</v>
      </c>
      <c r="C255" s="73">
        <v>46.6</v>
      </c>
      <c r="D255" s="8">
        <v>45127872</v>
      </c>
      <c r="E255" s="21">
        <v>2102958835</v>
      </c>
      <c r="F255" s="19">
        <v>0.06</v>
      </c>
      <c r="G255" s="9">
        <f t="shared" si="17"/>
        <v>114706845.45454544</v>
      </c>
      <c r="H255" s="9">
        <f t="shared" si="18"/>
        <v>11470684.545454562</v>
      </c>
      <c r="I255" s="9">
        <f t="shared" si="19"/>
        <v>126177530</v>
      </c>
      <c r="J255" s="9">
        <v>0</v>
      </c>
      <c r="K255" s="9">
        <f t="shared" si="16"/>
        <v>126177530</v>
      </c>
      <c r="L255" s="59" t="str">
        <f>VLOOKUP(B255,'[1]IN HĐMB'!$I$1:$X$541,14,0)</f>
        <v>PTTT 09c</v>
      </c>
      <c r="M255" s="58" t="s">
        <v>20</v>
      </c>
    </row>
    <row r="256" spans="1:13" ht="29.25" customHeight="1">
      <c r="A256" s="7">
        <v>229</v>
      </c>
      <c r="B256" s="26" t="s">
        <v>277</v>
      </c>
      <c r="C256" s="73">
        <v>47.4</v>
      </c>
      <c r="D256" s="8">
        <v>48135298</v>
      </c>
      <c r="E256" s="21">
        <v>2281613125</v>
      </c>
      <c r="F256" s="19">
        <v>0.06</v>
      </c>
      <c r="G256" s="9">
        <f t="shared" si="17"/>
        <v>124451625.45454544</v>
      </c>
      <c r="H256" s="9">
        <f t="shared" si="18"/>
        <v>12445162.545454562</v>
      </c>
      <c r="I256" s="9">
        <f t="shared" si="19"/>
        <v>136896788</v>
      </c>
      <c r="J256" s="9">
        <v>0</v>
      </c>
      <c r="K256" s="9">
        <f t="shared" si="16"/>
        <v>136896788</v>
      </c>
      <c r="L256" s="59" t="str">
        <f>VLOOKUP(B256,'[1]IN HĐMB'!$I$1:$X$541,14,0)</f>
        <v>PTTT 09c</v>
      </c>
      <c r="M256" s="58" t="s">
        <v>20</v>
      </c>
    </row>
    <row r="257" spans="1:14" ht="38.25" customHeight="1">
      <c r="A257" s="132" t="s">
        <v>281</v>
      </c>
      <c r="B257" s="133"/>
      <c r="C257" s="133"/>
      <c r="D257" s="133"/>
      <c r="E257" s="29">
        <f>+E26+E35</f>
        <v>475069881805</v>
      </c>
      <c r="F257" s="29"/>
      <c r="G257" s="29">
        <f>+G26+G35</f>
        <v>25506968915.454525</v>
      </c>
      <c r="H257" s="29">
        <f>+H26+H35</f>
        <v>2550696891.5454564</v>
      </c>
      <c r="I257" s="29">
        <f>+I26+I35</f>
        <v>28057665807</v>
      </c>
      <c r="J257" s="29">
        <f>+J26+J35</f>
        <v>12318023079.5</v>
      </c>
      <c r="K257" s="29">
        <f>+K26+K35</f>
        <v>15739642727.5</v>
      </c>
      <c r="L257" s="29"/>
      <c r="M257" s="29"/>
      <c r="N257">
        <f>+K257/1.1</f>
        <v>14308766115.90909</v>
      </c>
    </row>
    <row r="258" spans="1:14" ht="23.25" customHeight="1">
      <c r="A258" s="34" t="s">
        <v>4</v>
      </c>
      <c r="B258" s="33"/>
      <c r="C258" s="37"/>
      <c r="D258" s="31"/>
      <c r="E258" s="31"/>
      <c r="F258" s="38"/>
      <c r="G258" s="31"/>
      <c r="H258" s="10"/>
      <c r="I258" s="1"/>
      <c r="J258" s="1"/>
      <c r="K258" s="1"/>
      <c r="L258" s="1"/>
      <c r="M258" s="11"/>
    </row>
    <row r="259" spans="1:14" ht="16.5">
      <c r="A259" s="34"/>
      <c r="B259" s="33"/>
      <c r="C259" s="37"/>
      <c r="D259" s="31"/>
      <c r="E259" s="31"/>
      <c r="F259" s="38"/>
      <c r="G259" s="31"/>
      <c r="H259" s="10"/>
      <c r="I259" s="1"/>
      <c r="J259" s="1"/>
      <c r="K259" s="1"/>
      <c r="L259" s="1"/>
      <c r="M259" s="11"/>
    </row>
    <row r="260" spans="1:14" ht="21.75" customHeight="1">
      <c r="A260" s="61" t="s">
        <v>7</v>
      </c>
      <c r="B260" s="62"/>
      <c r="C260" s="63"/>
      <c r="D260" s="64">
        <f>K257</f>
        <v>15739642727.5</v>
      </c>
      <c r="E260" s="64" t="s">
        <v>47</v>
      </c>
      <c r="F260" s="65"/>
      <c r="G260" s="66"/>
      <c r="H260" s="66"/>
      <c r="I260" s="67"/>
      <c r="J260" s="67"/>
      <c r="K260" s="68"/>
      <c r="L260" s="68"/>
      <c r="M260" s="69"/>
    </row>
    <row r="261" spans="1:14" ht="21.75" customHeight="1">
      <c r="A261" s="61" t="s">
        <v>13</v>
      </c>
      <c r="B261" s="62"/>
      <c r="C261" s="71" t="e" cm="1">
        <f t="array" aca="1" ref="C261" ca="1">[2]!vnd(D260)</f>
        <v>#NAME?</v>
      </c>
      <c r="D261" s="78"/>
      <c r="E261" s="64"/>
      <c r="F261" s="65"/>
      <c r="G261" s="66"/>
      <c r="H261" s="66"/>
      <c r="I261" s="67"/>
      <c r="J261" s="67"/>
      <c r="K261" s="68"/>
      <c r="L261" s="68"/>
      <c r="M261" s="69"/>
    </row>
    <row r="262" spans="1:14" ht="16.5">
      <c r="A262" s="39"/>
      <c r="B262" s="32"/>
      <c r="C262" s="37"/>
      <c r="D262" s="40"/>
      <c r="E262" s="40"/>
      <c r="F262" s="41"/>
      <c r="G262" s="42"/>
      <c r="H262" s="12"/>
      <c r="I262" s="13"/>
      <c r="J262" s="13"/>
      <c r="K262" s="6"/>
      <c r="L262" s="6"/>
      <c r="M262" s="4"/>
    </row>
    <row r="263" spans="1:14" ht="16.5">
      <c r="A263" s="32" t="s">
        <v>14</v>
      </c>
      <c r="B263" s="32"/>
      <c r="C263" s="37"/>
      <c r="D263" s="40"/>
      <c r="E263" s="40"/>
      <c r="F263" s="43"/>
      <c r="G263" s="40"/>
      <c r="H263" s="22"/>
      <c r="I263" s="13"/>
      <c r="J263" s="13"/>
      <c r="K263" s="13"/>
      <c r="L263" s="13"/>
      <c r="M263" s="4"/>
    </row>
    <row r="264" spans="1:14">
      <c r="B264" s="14"/>
      <c r="C264" s="15"/>
      <c r="D264" s="1"/>
      <c r="E264" s="1"/>
      <c r="F264" s="17"/>
      <c r="G264" s="1"/>
      <c r="H264" s="22"/>
      <c r="I264" s="13"/>
      <c r="J264" s="13"/>
      <c r="K264" s="13"/>
      <c r="L264" s="13"/>
      <c r="M264" s="4"/>
    </row>
    <row r="265" spans="1:14" s="62" customFormat="1" ht="21.75" customHeight="1">
      <c r="A265" s="70"/>
      <c r="B265" s="135" t="s">
        <v>8</v>
      </c>
      <c r="C265" s="135"/>
      <c r="D265" s="135"/>
      <c r="E265" s="135"/>
      <c r="F265" s="135"/>
      <c r="G265" s="69"/>
      <c r="H265" s="69"/>
      <c r="I265" s="63" t="s">
        <v>282</v>
      </c>
      <c r="J265" s="63" t="s">
        <v>5</v>
      </c>
      <c r="K265" s="63"/>
      <c r="L265" s="68"/>
    </row>
    <row r="266" spans="1:14" s="62" customFormat="1" ht="20.25" customHeight="1">
      <c r="B266" s="79" t="s">
        <v>15</v>
      </c>
      <c r="C266" s="63"/>
      <c r="D266" s="62" t="s">
        <v>282</v>
      </c>
      <c r="E266" s="80" t="s">
        <v>283</v>
      </c>
      <c r="F266" s="81"/>
      <c r="G266" s="69"/>
      <c r="H266" s="136" t="s">
        <v>284</v>
      </c>
      <c r="I266" s="136"/>
      <c r="J266" s="136"/>
      <c r="K266" s="136"/>
      <c r="L266" s="136"/>
    </row>
    <row r="267" spans="1:14" s="62" customFormat="1" ht="18">
      <c r="B267" s="83"/>
      <c r="C267" s="84"/>
      <c r="D267" s="69"/>
      <c r="E267" s="69"/>
      <c r="F267" s="81"/>
      <c r="G267" s="69"/>
      <c r="H267" s="69"/>
      <c r="I267" s="84"/>
      <c r="J267" s="84"/>
      <c r="K267" s="84"/>
      <c r="L267" s="85"/>
    </row>
    <row r="268" spans="1:14" s="62" customFormat="1" ht="18">
      <c r="B268" s="83"/>
      <c r="C268" s="84"/>
      <c r="D268" s="69"/>
      <c r="E268" s="69"/>
      <c r="F268" s="81"/>
      <c r="G268" s="69"/>
      <c r="H268" s="69"/>
      <c r="I268" s="84"/>
      <c r="J268" s="84"/>
      <c r="K268" s="84"/>
      <c r="L268" s="86"/>
    </row>
    <row r="269" spans="1:14" s="62" customFormat="1" ht="18">
      <c r="B269" s="83"/>
      <c r="C269" s="84"/>
      <c r="D269" s="69"/>
      <c r="E269" s="69"/>
      <c r="F269" s="81"/>
      <c r="G269" s="69"/>
      <c r="H269" s="69"/>
      <c r="I269" s="84"/>
      <c r="J269" s="84"/>
      <c r="K269" s="84"/>
      <c r="L269" s="86"/>
    </row>
    <row r="270" spans="1:14" s="62" customFormat="1" ht="18">
      <c r="B270" s="83"/>
      <c r="C270" s="84"/>
      <c r="D270" s="69"/>
      <c r="E270" s="69"/>
      <c r="F270" s="81"/>
      <c r="G270" s="69"/>
      <c r="H270" s="69"/>
      <c r="I270" s="84"/>
      <c r="J270" s="84"/>
      <c r="K270" s="84"/>
      <c r="L270" s="86"/>
    </row>
    <row r="271" spans="1:14" s="62" customFormat="1" ht="21.75" customHeight="1">
      <c r="A271" s="70"/>
      <c r="B271" s="83"/>
      <c r="C271" s="63" t="s">
        <v>282</v>
      </c>
      <c r="D271" s="80"/>
      <c r="E271" s="64"/>
      <c r="F271" s="87"/>
      <c r="G271" s="69"/>
      <c r="H271" s="69" t="s">
        <v>282</v>
      </c>
      <c r="I271" s="63" t="s">
        <v>282</v>
      </c>
      <c r="J271" s="63"/>
      <c r="K271" s="63"/>
      <c r="L271" s="68"/>
    </row>
    <row r="272" spans="1:14" s="62" customFormat="1" ht="18">
      <c r="B272" s="82" t="s">
        <v>285</v>
      </c>
      <c r="C272" s="84"/>
      <c r="D272" s="68"/>
      <c r="E272" s="80" t="s">
        <v>286</v>
      </c>
      <c r="F272" s="81"/>
      <c r="G272" s="69"/>
      <c r="H272" s="69"/>
      <c r="I272" s="137" t="s">
        <v>287</v>
      </c>
      <c r="J272" s="137"/>
      <c r="K272" s="137"/>
      <c r="L272" s="86"/>
    </row>
    <row r="273" spans="2:2" ht="16.5">
      <c r="B273" s="57"/>
    </row>
    <row r="274" spans="2:2" ht="16.5">
      <c r="B274" s="57"/>
    </row>
    <row r="275" spans="2:2" ht="16.5">
      <c r="B275" s="57" t="s">
        <v>289</v>
      </c>
    </row>
    <row r="276" spans="2:2" ht="16.5">
      <c r="B276" s="57" t="s">
        <v>58</v>
      </c>
    </row>
    <row r="277" spans="2:2" ht="16.5">
      <c r="B277" s="57" t="s">
        <v>236</v>
      </c>
    </row>
    <row r="278" spans="2:2" ht="16.5">
      <c r="B278" s="57" t="s">
        <v>290</v>
      </c>
    </row>
    <row r="279" spans="2:2" ht="16.5">
      <c r="B279" s="57" t="s">
        <v>291</v>
      </c>
    </row>
    <row r="280" spans="2:2" ht="16.5">
      <c r="B280" s="57"/>
    </row>
    <row r="281" spans="2:2" ht="16.5">
      <c r="B281" s="57"/>
    </row>
    <row r="282" spans="2:2" ht="16.5">
      <c r="B282" s="57"/>
    </row>
    <row r="283" spans="2:2" ht="16.5">
      <c r="B283" s="57"/>
    </row>
  </sheetData>
  <autoFilter ref="A25:M258" xr:uid="{00000000-0009-0000-0000-000001000000}"/>
  <mergeCells count="11">
    <mergeCell ref="A35:D35"/>
    <mergeCell ref="A257:D257"/>
    <mergeCell ref="B265:F265"/>
    <mergeCell ref="H266:L266"/>
    <mergeCell ref="I272:K272"/>
    <mergeCell ref="A26:D26"/>
    <mergeCell ref="A1:E1"/>
    <mergeCell ref="H1:M1"/>
    <mergeCell ref="A2:E2"/>
    <mergeCell ref="H2:M2"/>
    <mergeCell ref="A4:M4"/>
  </mergeCells>
  <conditionalFormatting sqref="B1:B264 B273:B1048576">
    <cfRule type="duplicateValues" dxfId="130" priority="46"/>
    <cfRule type="duplicateValues" dxfId="129" priority="45"/>
    <cfRule type="duplicateValues" dxfId="128" priority="130"/>
  </conditionalFormatting>
  <conditionalFormatting sqref="B5:B6">
    <cfRule type="duplicateValues" dxfId="127" priority="66"/>
    <cfRule type="duplicateValues" dxfId="126" priority="64"/>
    <cfRule type="duplicateValues" dxfId="125" priority="69"/>
    <cfRule type="duplicateValues" dxfId="124" priority="68"/>
    <cfRule type="duplicateValues" dxfId="123" priority="67"/>
    <cfRule type="duplicateValues" dxfId="122" priority="65"/>
  </conditionalFormatting>
  <conditionalFormatting sqref="B5:B11 B13:B18 B20:B22">
    <cfRule type="duplicateValues" dxfId="121" priority="111"/>
    <cfRule type="duplicateValues" dxfId="120" priority="110"/>
    <cfRule type="duplicateValues" dxfId="119" priority="112"/>
  </conditionalFormatting>
  <conditionalFormatting sqref="B5:B22">
    <cfRule type="duplicateValues" dxfId="118" priority="120"/>
    <cfRule type="duplicateValues" dxfId="117" priority="119"/>
    <cfRule type="duplicateValues" dxfId="116" priority="118"/>
    <cfRule type="duplicateValues" dxfId="115" priority="117"/>
    <cfRule type="duplicateValues" dxfId="114" priority="116"/>
    <cfRule type="duplicateValues" dxfId="113" priority="114"/>
    <cfRule type="duplicateValues" dxfId="112" priority="113"/>
    <cfRule type="duplicateValues" dxfId="111" priority="115"/>
    <cfRule type="duplicateValues" dxfId="110" priority="121"/>
  </conditionalFormatting>
  <conditionalFormatting sqref="B7:B9 B11 B13:B18 B20:B22">
    <cfRule type="duplicateValues" dxfId="109" priority="123"/>
    <cfRule type="duplicateValues" dxfId="108" priority="122"/>
  </conditionalFormatting>
  <conditionalFormatting sqref="B10">
    <cfRule type="duplicateValues" dxfId="107" priority="71"/>
    <cfRule type="duplicateValues" dxfId="106" priority="75"/>
    <cfRule type="duplicateValues" dxfId="105" priority="74"/>
    <cfRule type="duplicateValues" dxfId="104" priority="73"/>
    <cfRule type="duplicateValues" dxfId="103" priority="72"/>
    <cfRule type="duplicateValues" dxfId="102" priority="70"/>
  </conditionalFormatting>
  <conditionalFormatting sqref="B12">
    <cfRule type="duplicateValues" dxfId="101" priority="57"/>
    <cfRule type="duplicateValues" dxfId="100" priority="58"/>
    <cfRule type="duplicateValues" dxfId="99" priority="59"/>
    <cfRule type="duplicateValues" dxfId="98" priority="60"/>
    <cfRule type="duplicateValues" dxfId="97" priority="61"/>
    <cfRule type="duplicateValues" dxfId="96" priority="63"/>
    <cfRule type="duplicateValues" dxfId="95" priority="62"/>
  </conditionalFormatting>
  <conditionalFormatting sqref="B19">
    <cfRule type="duplicateValues" dxfId="94" priority="51"/>
    <cfRule type="duplicateValues" dxfId="93" priority="52"/>
    <cfRule type="duplicateValues" dxfId="92" priority="53"/>
    <cfRule type="duplicateValues" dxfId="91" priority="50"/>
    <cfRule type="duplicateValues" dxfId="90" priority="49"/>
    <cfRule type="duplicateValues" dxfId="89" priority="47"/>
    <cfRule type="duplicateValues" dxfId="88" priority="48"/>
  </conditionalFormatting>
  <conditionalFormatting sqref="B23:B24">
    <cfRule type="duplicateValues" dxfId="87" priority="97"/>
    <cfRule type="duplicateValues" dxfId="86" priority="96"/>
    <cfRule type="duplicateValues" dxfId="85" priority="95"/>
    <cfRule type="duplicateValues" dxfId="84" priority="94"/>
    <cfRule type="duplicateValues" dxfId="83" priority="88"/>
    <cfRule type="duplicateValues" dxfId="82" priority="89"/>
  </conditionalFormatting>
  <conditionalFormatting sqref="B36:B256 B27:B34">
    <cfRule type="duplicateValues" dxfId="81" priority="131"/>
  </conditionalFormatting>
  <conditionalFormatting sqref="B258:B264 B3 B5:B25 B273:B1048576 B36:B256 B27:B34">
    <cfRule type="duplicateValues" dxfId="80" priority="56"/>
  </conditionalFormatting>
  <conditionalFormatting sqref="B264">
    <cfRule type="containsText" dxfId="79" priority="92" operator="containsText" text="UT2 - ">
      <formula>NOT(ISERROR(SEARCH("UT2 - ",B264)))</formula>
    </cfRule>
    <cfRule type="duplicateValues" dxfId="78" priority="125"/>
    <cfRule type="duplicateValues" dxfId="77" priority="126"/>
    <cfRule type="duplicateValues" dxfId="76" priority="127"/>
    <cfRule type="duplicateValues" dxfId="75" priority="128"/>
    <cfRule type="duplicateValues" dxfId="74" priority="129"/>
    <cfRule type="containsText" dxfId="73" priority="90" operator="containsText" text="Book">
      <formula>NOT(ISERROR(SEARCH("Book",B264)))</formula>
    </cfRule>
    <cfRule type="containsText" dxfId="72" priority="93" operator="containsText" text="UT1 - ">
      <formula>NOT(ISERROR(SEARCH("UT1 - ",B264)))</formula>
    </cfRule>
    <cfRule type="containsText" dxfId="71" priority="91" operator="containsText" text="UT3 - ">
      <formula>NOT(ISERROR(SEARCH("UT3 - ",B264)))</formula>
    </cfRule>
    <cfRule type="duplicateValues" dxfId="70" priority="124"/>
  </conditionalFormatting>
  <conditionalFormatting sqref="B266:B270">
    <cfRule type="duplicateValues" dxfId="69" priority="35"/>
    <cfRule type="duplicateValues" dxfId="68" priority="33"/>
    <cfRule type="duplicateValues" dxfId="67" priority="30"/>
    <cfRule type="duplicateValues" dxfId="66" priority="31"/>
    <cfRule type="duplicateValues" dxfId="65" priority="32"/>
    <cfRule type="duplicateValues" dxfId="64" priority="34"/>
  </conditionalFormatting>
  <conditionalFormatting sqref="B266:B271">
    <cfRule type="containsText" dxfId="63" priority="16" operator="containsText" text="UT1 - ">
      <formula>NOT(ISERROR(SEARCH("UT1 - ",B266)))</formula>
    </cfRule>
    <cfRule type="containsText" dxfId="62" priority="15" operator="containsText" text="UT2 - ">
      <formula>NOT(ISERROR(SEARCH("UT2 - ",B266)))</formula>
    </cfRule>
    <cfRule type="containsText" dxfId="61" priority="14" operator="containsText" text="UT3 - ">
      <formula>NOT(ISERROR(SEARCH("UT3 - ",B266)))</formula>
    </cfRule>
    <cfRule type="containsText" dxfId="60" priority="13" operator="containsText" text="Book">
      <formula>NOT(ISERROR(SEARCH("Book",B266)))</formula>
    </cfRule>
  </conditionalFormatting>
  <conditionalFormatting sqref="B266:B272">
    <cfRule type="duplicateValues" dxfId="59" priority="2"/>
    <cfRule type="duplicateValues" dxfId="58" priority="3"/>
    <cfRule type="duplicateValues" dxfId="57" priority="4"/>
    <cfRule type="duplicateValues" dxfId="56" priority="5"/>
    <cfRule type="duplicateValues" dxfId="55" priority="6"/>
    <cfRule type="duplicateValues" dxfId="54" priority="7"/>
    <cfRule type="duplicateValues" dxfId="53" priority="8"/>
    <cfRule type="duplicateValues" dxfId="52" priority="12"/>
    <cfRule type="duplicateValues" dxfId="51" priority="11"/>
    <cfRule type="duplicateValues" dxfId="50" priority="1"/>
    <cfRule type="duplicateValues" dxfId="49" priority="28"/>
    <cfRule type="duplicateValues" dxfId="48" priority="38"/>
    <cfRule type="duplicateValues" dxfId="47" priority="10"/>
    <cfRule type="duplicateValues" dxfId="46" priority="36"/>
    <cfRule type="duplicateValues" dxfId="45" priority="9"/>
    <cfRule type="duplicateValues" dxfId="44" priority="37"/>
  </conditionalFormatting>
  <conditionalFormatting sqref="B271">
    <cfRule type="duplicateValues" dxfId="43" priority="20"/>
    <cfRule type="duplicateValues" dxfId="42" priority="19"/>
    <cfRule type="duplicateValues" dxfId="41" priority="18"/>
    <cfRule type="duplicateValues" dxfId="40" priority="21"/>
    <cfRule type="duplicateValues" dxfId="39" priority="17"/>
    <cfRule type="duplicateValues" dxfId="38" priority="26"/>
    <cfRule type="duplicateValues" dxfId="37" priority="25"/>
    <cfRule type="duplicateValues" dxfId="36" priority="24"/>
    <cfRule type="duplicateValues" dxfId="35" priority="23"/>
    <cfRule type="duplicateValues" dxfId="34" priority="22"/>
  </conditionalFormatting>
  <conditionalFormatting sqref="B272 B266:B270">
    <cfRule type="duplicateValues" dxfId="33" priority="44"/>
    <cfRule type="duplicateValues" dxfId="32" priority="40"/>
    <cfRule type="duplicateValues" dxfId="31" priority="43"/>
    <cfRule type="duplicateValues" dxfId="30" priority="42"/>
    <cfRule type="duplicateValues" dxfId="29" priority="41"/>
  </conditionalFormatting>
  <conditionalFormatting sqref="B272">
    <cfRule type="duplicateValues" dxfId="28" priority="39"/>
    <cfRule type="duplicateValues" dxfId="27" priority="29"/>
    <cfRule type="duplicateValues" dxfId="26" priority="27"/>
  </conditionalFormatting>
  <conditionalFormatting sqref="B273:B1048576 B3 B5:B264">
    <cfRule type="duplicateValues" dxfId="25" priority="55"/>
    <cfRule type="duplicateValues" dxfId="24" priority="54"/>
  </conditionalFormatting>
  <conditionalFormatting sqref="B284:B1048576 B3 B23:B25 B258:B264 B36:B256 B27:B34">
    <cfRule type="duplicateValues" dxfId="23" priority="79"/>
    <cfRule type="duplicateValues" dxfId="22" priority="78"/>
    <cfRule type="duplicateValues" dxfId="21" priority="77"/>
    <cfRule type="duplicateValues" dxfId="20" priority="76"/>
    <cfRule type="duplicateValues" dxfId="19" priority="80"/>
  </conditionalFormatting>
  <conditionalFormatting sqref="B284:B1048576 B25">
    <cfRule type="duplicateValues" dxfId="18" priority="100"/>
  </conditionalFormatting>
  <conditionalFormatting sqref="B284:B1048576 B258:B263 B3 B25">
    <cfRule type="duplicateValues" dxfId="17" priority="104"/>
  </conditionalFormatting>
  <conditionalFormatting sqref="B284:B1048576 B258:B264 B3 B23:B25 B36:B256 B27:B34">
    <cfRule type="duplicateValues" dxfId="16" priority="83"/>
    <cfRule type="duplicateValues" dxfId="15" priority="81"/>
    <cfRule type="duplicateValues" dxfId="14" priority="82"/>
  </conditionalFormatting>
  <conditionalFormatting sqref="B284:B1048576 B258:B264 B3 B25">
    <cfRule type="duplicateValues" dxfId="13" priority="101"/>
    <cfRule type="duplicateValues" dxfId="12" priority="102"/>
    <cfRule type="duplicateValues" dxfId="11" priority="103"/>
    <cfRule type="duplicateValues" dxfId="10" priority="109"/>
    <cfRule type="duplicateValues" dxfId="9" priority="108"/>
    <cfRule type="duplicateValues" dxfId="8" priority="107"/>
    <cfRule type="duplicateValues" dxfId="7" priority="106"/>
    <cfRule type="duplicateValues" dxfId="6" priority="105"/>
  </conditionalFormatting>
  <conditionalFormatting sqref="B284:B1048576 B258:B264">
    <cfRule type="duplicateValues" dxfId="5" priority="85"/>
    <cfRule type="duplicateValues" dxfId="4" priority="84"/>
    <cfRule type="duplicateValues" dxfId="3" priority="87"/>
    <cfRule type="duplicateValues" dxfId="2" priority="86"/>
    <cfRule type="duplicateValues" dxfId="1" priority="99"/>
  </conditionalFormatting>
  <conditionalFormatting sqref="B284:B1048576">
    <cfRule type="duplicateValues" dxfId="0" priority="98"/>
  </conditionalFormatting>
  <printOptions horizontalCentered="1"/>
  <pageMargins left="0.25" right="0.25" top="0.25" bottom="0.25" header="0.38" footer="0.3"/>
  <pageSetup paperSize="9" scale="61" fitToHeight="9" orientation="landscape" r:id="rId1"/>
  <headerFooter>
    <oddHeader xml:space="preserve">&amp;RBM.KD 001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PMG</vt:lpstr>
      <vt:lpstr>PMG T03 SLK</vt:lpstr>
      <vt:lpstr>PMG!Print_Area</vt:lpstr>
      <vt:lpstr>'PMG T03 SLK'!Print_Area</vt:lpstr>
      <vt:lpstr>PMG!Print_Titles</vt:lpstr>
      <vt:lpstr>'PMG T03 SLK'!Print_Titles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Ngan</dc:creator>
  <cp:lastModifiedBy>ho lanvien</cp:lastModifiedBy>
  <cp:lastPrinted>2025-11-28T10:45:44Z</cp:lastPrinted>
  <dcterms:created xsi:type="dcterms:W3CDTF">2018-12-22T07:45:09Z</dcterms:created>
  <dcterms:modified xsi:type="dcterms:W3CDTF">2026-07-09T09:38:23Z</dcterms:modified>
</cp:coreProperties>
</file>