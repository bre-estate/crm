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BRE\THÔNG TIN ADMIN 27.5\03. THE EMERALD GARDEN VIEW -DKRS\ĐỐI CHIẾU\Doi chieu thang 5\"/>
    </mc:Choice>
  </mc:AlternateContent>
  <xr:revisionPtr revIDLastSave="0" documentId="13_ncr:1_{AA41AF9F-9759-46A8-B690-681C23C2EC9E}" xr6:coauthVersionLast="47" xr6:coauthVersionMax="47" xr10:uidLastSave="{00000000-0000-0000-0000-000000000000}"/>
  <bookViews>
    <workbookView xWindow="-50" yWindow="-50" windowWidth="19300" windowHeight="10180" activeTab="1" xr2:uid="{00000000-000D-0000-FFFF-FFFF00000000}"/>
  </bookViews>
  <sheets>
    <sheet name="BB" sheetId="8" r:id="rId1"/>
    <sheet name="ĐNTT" sheetId="10" r:id="rId2"/>
    <sheet name="Hóa đơn PMG" sheetId="9" r:id="rId3"/>
  </sheets>
  <definedNames>
    <definedName name="_xlnm.Print_Area" localSheetId="0">BB!$A$1:$M$33</definedName>
    <definedName name="_xlnm.Print_Titles" localSheetId="0">BB!$17:$17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8" l="1"/>
  <c r="L20" i="8"/>
  <c r="K20" i="8"/>
  <c r="H20" i="8"/>
  <c r="C3" i="9" l="1"/>
  <c r="M21" i="8" l="1"/>
  <c r="D13" i="10" s="1"/>
</calcChain>
</file>

<file path=xl/sharedStrings.xml><?xml version="1.0" encoding="utf-8"?>
<sst xmlns="http://schemas.openxmlformats.org/spreadsheetml/2006/main" count="84" uniqueCount="76">
  <si>
    <t xml:space="preserve">ĐỊA CHỈ: </t>
  </si>
  <si>
    <t xml:space="preserve">MST: </t>
  </si>
  <si>
    <t>STT</t>
  </si>
  <si>
    <t>Chức vụ: Tổng giám đốc</t>
  </si>
  <si>
    <t>ĐẠI DIỆN:</t>
  </si>
  <si>
    <t>ĐẠI DIỆN BÊN B</t>
  </si>
  <si>
    <t>TÊN KHÁCH HÀNG</t>
  </si>
  <si>
    <t>MÃ CĂN</t>
  </si>
  <si>
    <t>LOẠI SẢN PHẨM</t>
  </si>
  <si>
    <t>GIÁ TRỊ SAU 
CHIẾT KHẤU 
(CHƯAVAT)</t>
  </si>
  <si>
    <t>BÊN A:</t>
  </si>
  <si>
    <t xml:space="preserve">ĐẠI DIỆN: </t>
  </si>
  <si>
    <t>BÊN B:</t>
  </si>
  <si>
    <t>ĐẠI DIỆN BÊN A</t>
  </si>
  <si>
    <t xml:space="preserve">TỶ LỆ KH THANH TOÁN </t>
  </si>
  <si>
    <t>Biên bản được lập thành 02 (hai) bản, mỗi bên giữ 01 (một) bản có giá trị như nhau.</t>
  </si>
  <si>
    <t>TỶ LỆ GIAO DỊCH</t>
  </si>
  <si>
    <t xml:space="preserve">Chức vụ: </t>
  </si>
  <si>
    <t xml:space="preserve">0317145131           </t>
  </si>
  <si>
    <t>UNG THỊ VIỆT CẨM</t>
  </si>
  <si>
    <t>TỔNG CỘNG</t>
  </si>
  <si>
    <t>CÔNG TY CỔ PHẦN ĐẦU TƯ CÔNG NGHỆ BĐS DATA LOCA</t>
  </si>
  <si>
    <t>DỰ ÁN EMERALD GARDEN VIEW</t>
  </si>
  <si>
    <t>17 Mê Linh, Phường Thạnh Mỹ Tây, Thành phố Hồ Chí Minh, Việt Nam</t>
  </si>
  <si>
    <t>TỔNG SỐ TIỀN THANH TOÁN ĐỢT NÀY:</t>
  </si>
  <si>
    <t>GIAI ĐOẠN</t>
  </si>
  <si>
    <t>BIÊN BẢN ĐỐI CHIẾU THƯỞNG NÓNG</t>
  </si>
  <si>
    <t>Hai bên cùng tiến hành đối chiếu thưởng nóng cho các giao dịch thuộc Dự án The Emerald Garden View mà Bên B thực hiện cho Bên A, cụ thể như sau:</t>
  </si>
  <si>
    <t>THƯỞNG NÓNG ĐÃ TẠM ỨNG
(GỒM VAT)</t>
  </si>
  <si>
    <t>THƯỞNG NÓNG CÒN THANH TOÁN ĐỢT NÀY
(GỒM VAT)</t>
  </si>
  <si>
    <t>THƯỞNG NÓNG 
(GỒM VAT)</t>
  </si>
  <si>
    <t>NGÀY CỌC</t>
  </si>
  <si>
    <t>NGÀY TT ĐỢT 1</t>
  </si>
  <si>
    <t>GHI CHÚ</t>
  </si>
  <si>
    <t xml:space="preserve"> - Căn cứ Hợp đồng dịch vụ số 188/2025/HĐGTSP/DL-BRE ký ngày 11/11/2025 và các Phụ lục đính kèm giữa Công ty Cổ Phần Đầu Tư Công Nghệ BĐS Data Loca và Công Ty TNHH Sàn Giao Dịch Bất Động Sản BRE</t>
  </si>
  <si>
    <t>CÔNG TY TNHH SÀN GIAO DỊCH BẤT ĐỘNG SẢN BRE</t>
  </si>
  <si>
    <t>65/6 Nguyễn Xí, phường Bình Thạnh, thành phố Hồ Chí Minh</t>
  </si>
  <si>
    <t>0318622404</t>
  </si>
  <si>
    <t>ĐOÀN LÊ BÁCH</t>
  </si>
  <si>
    <t>Tổng giám đốc</t>
  </si>
  <si>
    <t>NGUYỄN BẢO LONG</t>
  </si>
  <si>
    <t>STUDIO</t>
  </si>
  <si>
    <t>2 PN</t>
  </si>
  <si>
    <t>CỘNG HÒA XÃ HỘI CHỦ NGHĨA VIỆT NAM</t>
  </si>
  <si>
    <t>Độc lập - Tự do - Hạnh phúc</t>
  </si>
  <si>
    <t>V/v: Đề nghị tạm ứng tiền thưởng nóng</t>
  </si>
  <si>
    <t>TP. Hồ Chí Minh, ngày ____ tháng ____ năm ________</t>
  </si>
  <si>
    <r>
      <rPr>
        <u/>
        <sz val="16"/>
        <rFont val="Times New Roman"/>
        <family val="1"/>
      </rPr>
      <t>Kính gửi:</t>
    </r>
    <r>
      <rPr>
        <b/>
        <sz val="16"/>
        <rFont val="Times New Roman"/>
        <family val="1"/>
      </rPr>
      <t xml:space="preserve"> CÔNG TY CỔ PHẦN ĐẦU TƯ CÔNG NGHỆ BĐS DATA LOCA</t>
    </r>
  </si>
  <si>
    <r>
      <t>- Căn cứ danh sách tạm ứng thưởng nóng dự án "</t>
    </r>
    <r>
      <rPr>
        <b/>
        <i/>
        <sz val="13"/>
        <rFont val="Times New Roman"/>
        <family val="1"/>
      </rPr>
      <t>EMERALD GARDEN VIEW</t>
    </r>
    <r>
      <rPr>
        <i/>
        <sz val="13"/>
        <rFont val="Times New Roman"/>
        <family val="1"/>
      </rPr>
      <t xml:space="preserve">" dành cho Chuyên viên tư vấn </t>
    </r>
  </si>
  <si>
    <r>
      <rPr>
        <sz val="13"/>
        <rFont val="Times New Roman"/>
        <family val="1"/>
      </rPr>
      <t>Kính đề nghị:</t>
    </r>
    <r>
      <rPr>
        <b/>
        <sz val="13"/>
        <rFont val="Times New Roman"/>
        <family val="1"/>
      </rPr>
      <t xml:space="preserve"> Công Ty Cổ Phần Đầu Tư Công Nghệ BĐS Data Loca </t>
    </r>
    <r>
      <rPr>
        <sz val="13"/>
        <rFont val="Times New Roman"/>
        <family val="1"/>
      </rPr>
      <t>thanh toán tiền tạm ứng Thưởng cho NV/CVKD cụ thể như sau:</t>
    </r>
  </si>
  <si>
    <t>- Tổng giá trị tiền tạm ứng thưởng nóng cho NVKD đợt này</t>
  </si>
  <si>
    <t>VNĐ</t>
  </si>
  <si>
    <t xml:space="preserve">Bằng chữ: </t>
  </si>
  <si>
    <t>Phương thức thanh toán: Chuyển khoản</t>
  </si>
  <si>
    <t>Thông tin chuyển khoản nhận thu hộ và chi hộ cho NV/CVKD:</t>
  </si>
  <si>
    <t xml:space="preserve">* Đơn vị thụ hưởng: </t>
  </si>
  <si>
    <t>Công Ty TNHH Sàn Giao Dịch Bất Động Sản BRE</t>
  </si>
  <si>
    <t xml:space="preserve">* Số tài khoản: </t>
  </si>
  <si>
    <t>39676789</t>
  </si>
  <si>
    <t xml:space="preserve">* Ngân hàng:  </t>
  </si>
  <si>
    <t>Ngân hàng TMCP Kỹ Thương Việt Nam</t>
  </si>
  <si>
    <t>CN: Phú Mỹ Hưng</t>
  </si>
  <si>
    <t>Trân trọng!</t>
  </si>
  <si>
    <t>ĐẠI DIỆN CÔNG TY</t>
  </si>
  <si>
    <t>Nơi nhận:</t>
  </si>
  <si>
    <t>- Như trên;</t>
  </si>
  <si>
    <t>- Lưu P.KT.</t>
  </si>
  <si>
    <t>B2-22-05</t>
  </si>
  <si>
    <t>A2-15-15</t>
  </si>
  <si>
    <t>TÔN NỮ KIM TRÚC</t>
  </si>
  <si>
    <t>GĐ 2</t>
  </si>
  <si>
    <t>Bằng chữ: Ba mươi ba triệu đồng</t>
  </si>
  <si>
    <t>Ba mươi ba triệu đồng</t>
  </si>
  <si>
    <t>Hôm nay, ngày 24 tháng 06 Năm 2026</t>
  </si>
  <si>
    <t>Thưởng nóng CVTV dự án Đầu tư Xây dựng khu vườn Ngọc Lục Bảo - The Emerald Garden View theo Hợp đồng số 188/2025/HĐGTSP/DL-BRE ký ngày 11/11/2025 và Biên bản đối chiếu phí môi giới - thưởng nóng ngày 24/06/2026</t>
  </si>
  <si>
    <t>Số: 01-05/2026/ĐNTT/EGD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</si>
</sst>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\ _þ_-;\-* #,##0\ _þ_-;_-* &quot;-&quot;??\ _þ_-;_-@_-"/>
    <numFmt numFmtId="167" formatCode="_(* #,##0_);_(* \(#,##0\);_(* &quot;-&quot;??_);_(@_)"/>
  </numFmts>
  <fonts count="25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indexed="8"/>
      <name val="Calibri"/>
      <family val="2"/>
      <charset val="134"/>
    </font>
    <font>
      <sz val="11"/>
      <color theme="1"/>
      <name val=".VnTime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2"/>
    </font>
    <font>
      <b/>
      <sz val="18"/>
      <name val="Times New Roman"/>
      <family val="1"/>
    </font>
    <font>
      <b/>
      <sz val="10"/>
      <name val="Times New Roman"/>
      <family val="1"/>
    </font>
    <font>
      <b/>
      <u val="singleAccounting"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i/>
      <sz val="13"/>
      <name val="Times New Roman"/>
      <family val="1"/>
    </font>
    <font>
      <b/>
      <u/>
      <sz val="16"/>
      <name val="Times New Roman"/>
      <family val="1"/>
    </font>
    <font>
      <u/>
      <sz val="16"/>
      <name val="Times New Roman"/>
      <family val="1"/>
    </font>
    <font>
      <b/>
      <sz val="16"/>
      <name val="Times New Roman"/>
      <family val="1"/>
    </font>
    <font>
      <b/>
      <i/>
      <sz val="13"/>
      <name val="Times New Roman"/>
      <family val="1"/>
    </font>
    <font>
      <b/>
      <i/>
      <sz val="12"/>
      <name val="Times New Roman"/>
      <family val="1"/>
    </font>
    <font>
      <i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0" fontId="3" fillId="0" borderId="0">
      <alignment vertical="center"/>
    </xf>
    <xf numFmtId="0" fontId="4" fillId="0" borderId="0"/>
    <xf numFmtId="165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67" fontId="5" fillId="2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vertical="center"/>
    </xf>
    <xf numFmtId="167" fontId="6" fillId="2" borderId="0" xfId="1" applyNumberFormat="1" applyFont="1" applyFill="1" applyAlignment="1">
      <alignment horizontal="center" vertical="center"/>
    </xf>
    <xf numFmtId="167" fontId="6" fillId="2" borderId="0" xfId="1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14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 wrapText="1"/>
    </xf>
    <xf numFmtId="167" fontId="12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167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167" fontId="9" fillId="2" borderId="0" xfId="1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7" fontId="8" fillId="2" borderId="0" xfId="1" applyNumberFormat="1" applyFont="1" applyFill="1" applyAlignment="1">
      <alignment horizontal="center" vertical="center" wrapText="1"/>
    </xf>
    <xf numFmtId="167" fontId="9" fillId="3" borderId="1" xfId="1" applyNumberFormat="1" applyFont="1" applyFill="1" applyBorder="1" applyAlignment="1">
      <alignment horizontal="center" vertical="center" wrapText="1"/>
    </xf>
    <xf numFmtId="167" fontId="10" fillId="0" borderId="0" xfId="1" applyNumberFormat="1" applyFont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5" fillId="2" borderId="0" xfId="0" applyFont="1" applyFill="1" applyAlignment="1">
      <alignment horizontal="left" vertical="center" wrapText="1"/>
    </xf>
    <xf numFmtId="0" fontId="15" fillId="2" borderId="0" xfId="3" applyFont="1" applyFill="1" applyAlignment="1">
      <alignment horizontal="left" vertical="center"/>
    </xf>
    <xf numFmtId="0" fontId="15" fillId="2" borderId="0" xfId="3" applyFont="1" applyFill="1" applyAlignment="1">
      <alignment horizontal="left" vertical="center" wrapText="1"/>
    </xf>
    <xf numFmtId="167" fontId="15" fillId="2" borderId="0" xfId="1" applyNumberFormat="1" applyFont="1" applyFill="1" applyAlignment="1">
      <alignment horizontal="left" vertical="center"/>
    </xf>
    <xf numFmtId="166" fontId="14" fillId="0" borderId="0" xfId="1" applyNumberFormat="1" applyFont="1" applyBorder="1" applyAlignment="1">
      <alignment vertical="center"/>
    </xf>
    <xf numFmtId="166" fontId="14" fillId="0" borderId="0" xfId="1" applyNumberFormat="1" applyFont="1" applyBorder="1" applyAlignment="1">
      <alignment horizontal="left" vertical="center"/>
    </xf>
    <xf numFmtId="167" fontId="14" fillId="0" borderId="0" xfId="1" applyNumberFormat="1" applyFont="1" applyBorder="1" applyAlignment="1">
      <alignment horizontal="left" vertical="center"/>
    </xf>
    <xf numFmtId="166" fontId="15" fillId="0" borderId="0" xfId="1" applyNumberFormat="1" applyFont="1" applyBorder="1" applyAlignment="1">
      <alignment vertical="center"/>
    </xf>
    <xf numFmtId="166" fontId="15" fillId="0" borderId="0" xfId="1" applyNumberFormat="1" applyFont="1" applyBorder="1" applyAlignment="1">
      <alignment horizontal="left" vertical="center"/>
    </xf>
    <xf numFmtId="167" fontId="15" fillId="0" borderId="0" xfId="1" applyNumberFormat="1" applyFont="1" applyBorder="1" applyAlignment="1">
      <alignment horizontal="left" vertical="center"/>
    </xf>
    <xf numFmtId="166" fontId="15" fillId="0" borderId="0" xfId="1" quotePrefix="1" applyNumberFormat="1" applyFont="1" applyBorder="1" applyAlignment="1">
      <alignment vertical="center"/>
    </xf>
    <xf numFmtId="166" fontId="15" fillId="0" borderId="0" xfId="1" quotePrefix="1" applyNumberFormat="1" applyFont="1" applyBorder="1" applyAlignment="1">
      <alignment horizontal="left" vertical="center"/>
    </xf>
    <xf numFmtId="167" fontId="15" fillId="0" borderId="0" xfId="1" quotePrefix="1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167" fontId="14" fillId="0" borderId="0" xfId="1" applyNumberFormat="1" applyFont="1" applyFill="1" applyAlignment="1">
      <alignment horizontal="left" vertical="center"/>
    </xf>
    <xf numFmtId="167" fontId="15" fillId="2" borderId="0" xfId="1" applyNumberFormat="1" applyFont="1" applyFill="1" applyAlignment="1">
      <alignment vertical="center"/>
    </xf>
    <xf numFmtId="0" fontId="15" fillId="0" borderId="0" xfId="0" applyFont="1" applyAlignment="1">
      <alignment horizontal="left" vertical="center" wrapText="1"/>
    </xf>
    <xf numFmtId="167" fontId="15" fillId="0" borderId="0" xfId="1" applyNumberFormat="1" applyFont="1" applyAlignment="1">
      <alignment horizontal="left" vertical="center" wrapText="1"/>
    </xf>
    <xf numFmtId="0" fontId="15" fillId="2" borderId="0" xfId="0" applyFont="1" applyFill="1" applyAlignment="1">
      <alignment vertical="center"/>
    </xf>
    <xf numFmtId="167" fontId="14" fillId="0" borderId="0" xfId="1" applyNumberFormat="1" applyFont="1" applyAlignment="1">
      <alignment horizontal="center" vertical="center"/>
    </xf>
    <xf numFmtId="14" fontId="14" fillId="2" borderId="0" xfId="0" applyNumberFormat="1" applyFont="1" applyFill="1" applyAlignment="1">
      <alignment horizontal="center" vertical="center"/>
    </xf>
    <xf numFmtId="167" fontId="6" fillId="0" borderId="1" xfId="1" applyNumberFormat="1" applyFont="1" applyBorder="1" applyAlignment="1">
      <alignment vertical="center" wrapText="1"/>
    </xf>
    <xf numFmtId="166" fontId="14" fillId="0" borderId="0" xfId="1" quotePrefix="1" applyNumberFormat="1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167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167" fontId="0" fillId="0" borderId="0" xfId="1" applyNumberFormat="1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9" fontId="6" fillId="0" borderId="1" xfId="5" applyFont="1" applyFill="1" applyBorder="1" applyAlignment="1">
      <alignment horizontal="center" vertical="center" wrapText="1"/>
    </xf>
    <xf numFmtId="167" fontId="6" fillId="0" borderId="1" xfId="1" applyNumberFormat="1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7" fontId="9" fillId="3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67" fontId="14" fillId="0" borderId="0" xfId="1" applyNumberFormat="1" applyFont="1" applyBorder="1" applyAlignment="1">
      <alignment vertical="center"/>
    </xf>
    <xf numFmtId="167" fontId="15" fillId="2" borderId="0" xfId="1" applyNumberFormat="1" applyFont="1" applyFill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4" fillId="0" borderId="0" xfId="2" quotePrefix="1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9" fontId="6" fillId="0" borderId="1" xfId="5" applyFont="1" applyBorder="1" applyAlignment="1">
      <alignment vertical="center" wrapText="1"/>
    </xf>
    <xf numFmtId="49" fontId="17" fillId="2" borderId="0" xfId="0" applyNumberFormat="1" applyFont="1" applyFill="1" applyAlignment="1">
      <alignment horizontal="center" vertical="center" wrapText="1"/>
    </xf>
    <xf numFmtId="0" fontId="15" fillId="0" borderId="0" xfId="6" applyFont="1" applyAlignment="1">
      <alignment vertical="center"/>
    </xf>
    <xf numFmtId="0" fontId="18" fillId="0" borderId="0" xfId="6" applyFont="1" applyAlignment="1">
      <alignment horizontal="left" vertical="center"/>
    </xf>
    <xf numFmtId="0" fontId="15" fillId="0" borderId="0" xfId="6" applyFont="1" applyAlignment="1">
      <alignment horizontal="left" vertical="center"/>
    </xf>
    <xf numFmtId="0" fontId="15" fillId="0" borderId="0" xfId="6" quotePrefix="1" applyFont="1" applyAlignment="1">
      <alignment vertical="center"/>
    </xf>
    <xf numFmtId="164" fontId="15" fillId="0" borderId="0" xfId="8" applyNumberFormat="1" applyFont="1" applyAlignment="1">
      <alignment vertical="top"/>
    </xf>
    <xf numFmtId="0" fontId="23" fillId="0" borderId="0" xfId="6" applyFont="1" applyAlignment="1">
      <alignment horizontal="left" vertical="center"/>
    </xf>
    <xf numFmtId="0" fontId="23" fillId="0" borderId="0" xfId="6" applyFont="1" applyAlignment="1">
      <alignment vertical="center"/>
    </xf>
    <xf numFmtId="0" fontId="23" fillId="0" borderId="0" xfId="6" applyFont="1" applyAlignment="1">
      <alignment vertical="center" wrapText="1"/>
    </xf>
    <xf numFmtId="0" fontId="24" fillId="0" borderId="0" xfId="6" applyFont="1" applyAlignment="1">
      <alignment horizontal="left" vertical="center" wrapText="1"/>
    </xf>
    <xf numFmtId="0" fontId="15" fillId="0" borderId="0" xfId="6" applyFont="1" applyAlignment="1">
      <alignment horizontal="left" vertical="center" wrapText="1"/>
    </xf>
    <xf numFmtId="0" fontId="14" fillId="0" borderId="0" xfId="6" applyFont="1" applyAlignment="1">
      <alignment vertical="center"/>
    </xf>
    <xf numFmtId="0" fontId="15" fillId="0" borderId="0" xfId="6" applyFont="1" applyAlignment="1">
      <alignment horizontal="left" vertical="top" wrapText="1"/>
    </xf>
    <xf numFmtId="0" fontId="15" fillId="0" borderId="0" xfId="6" quotePrefix="1" applyFont="1" applyAlignment="1">
      <alignment horizontal="left" vertical="top" wrapText="1"/>
    </xf>
    <xf numFmtId="0" fontId="22" fillId="0" borderId="0" xfId="6" applyFont="1" applyAlignment="1">
      <alignment vertical="center"/>
    </xf>
    <xf numFmtId="0" fontId="14" fillId="0" borderId="0" xfId="6" applyFont="1" applyAlignment="1">
      <alignment vertical="center" wrapText="1"/>
    </xf>
    <xf numFmtId="0" fontId="18" fillId="0" borderId="0" xfId="6" quotePrefix="1" applyFont="1" applyAlignment="1">
      <alignment vertical="center"/>
    </xf>
    <xf numFmtId="0" fontId="18" fillId="0" borderId="0" xfId="6" applyFont="1" applyAlignment="1">
      <alignment vertical="center"/>
    </xf>
    <xf numFmtId="14" fontId="7" fillId="0" borderId="1" xfId="0" applyNumberFormat="1" applyFont="1" applyBorder="1"/>
    <xf numFmtId="14" fontId="6" fillId="2" borderId="1" xfId="5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4" fontId="14" fillId="0" borderId="0" xfId="2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5" fillId="2" borderId="0" xfId="0" quotePrefix="1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5" fillId="0" borderId="0" xfId="6" applyFont="1" applyAlignment="1">
      <alignment horizontal="left" vertical="center" wrapText="1"/>
    </xf>
    <xf numFmtId="0" fontId="14" fillId="0" borderId="0" xfId="6" applyFont="1" applyAlignment="1">
      <alignment horizontal="center" vertical="center" wrapText="1"/>
    </xf>
    <xf numFmtId="0" fontId="14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8" fillId="0" borderId="0" xfId="6" applyFont="1" applyAlignment="1">
      <alignment horizontal="left" vertical="center" wrapText="1"/>
    </xf>
    <xf numFmtId="0" fontId="18" fillId="0" borderId="0" xfId="7" quotePrefix="1" applyFont="1" applyAlignment="1">
      <alignment horizontal="left" vertical="center" wrapText="1"/>
    </xf>
    <xf numFmtId="0" fontId="18" fillId="0" borderId="0" xfId="6" quotePrefix="1" applyFont="1" applyAlignment="1">
      <alignment horizontal="left" vertical="center" wrapText="1"/>
    </xf>
    <xf numFmtId="0" fontId="14" fillId="0" borderId="0" xfId="6" quotePrefix="1" applyFont="1" applyAlignment="1">
      <alignment horizontal="left" vertical="center" wrapText="1"/>
    </xf>
    <xf numFmtId="0" fontId="15" fillId="0" borderId="0" xfId="6" applyFont="1" applyAlignment="1">
      <alignment horizontal="center" vertical="center" wrapText="1"/>
    </xf>
    <xf numFmtId="0" fontId="18" fillId="0" borderId="0" xfId="6" applyFont="1" applyAlignment="1">
      <alignment horizontal="center" vertical="center"/>
    </xf>
  </cellXfs>
  <cellStyles count="9">
    <cellStyle name="Comma" xfId="1" builtinId="3"/>
    <cellStyle name="Comma 2" xfId="4" xr:uid="{00000000-0005-0000-0000-000001000000}"/>
    <cellStyle name="Comma 4" xfId="8" xr:uid="{00000000-0005-0000-0000-000002000000}"/>
    <cellStyle name="Normal" xfId="0" builtinId="0"/>
    <cellStyle name="Normal 2 3" xfId="7" xr:uid="{00000000-0005-0000-0000-000004000000}"/>
    <cellStyle name="Normal 2 7" xfId="2" xr:uid="{00000000-0005-0000-0000-000005000000}"/>
    <cellStyle name="Normal 4" xfId="6" xr:uid="{00000000-0005-0000-0000-000006000000}"/>
    <cellStyle name="Normal 9 3" xfId="3" xr:uid="{00000000-0005-0000-0000-000007000000}"/>
    <cellStyle name="Percent" xfId="5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opLeftCell="A7" zoomScale="80" zoomScaleNormal="80" workbookViewId="0">
      <selection activeCell="A6" sqref="A6:B6"/>
    </sheetView>
  </sheetViews>
  <sheetFormatPr defaultColWidth="9" defaultRowHeight="13"/>
  <cols>
    <col min="1" max="1" width="5" style="9" customWidth="1"/>
    <col min="2" max="4" width="8.25" style="9" customWidth="1"/>
    <col min="5" max="5" width="24.08203125" style="9" bestFit="1" customWidth="1"/>
    <col min="6" max="6" width="11.83203125" style="9" bestFit="1" customWidth="1"/>
    <col min="7" max="7" width="9.58203125" style="9" customWidth="1"/>
    <col min="8" max="8" width="21.33203125" style="10" customWidth="1"/>
    <col min="9" max="9" width="10.75" style="2" customWidth="1"/>
    <col min="10" max="10" width="11.08203125" style="2" customWidth="1"/>
    <col min="11" max="11" width="12.25" style="2" bestFit="1" customWidth="1"/>
    <col min="12" max="12" width="11.75" style="11" customWidth="1"/>
    <col min="13" max="13" width="15.58203125" style="14" customWidth="1"/>
    <col min="14" max="16384" width="9" style="2"/>
  </cols>
  <sheetData>
    <row r="1" spans="1:18" ht="27" customHeight="1">
      <c r="A1" s="104" t="s">
        <v>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8" ht="27" customHeight="1">
      <c r="A2" s="105" t="s">
        <v>22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31"/>
    </row>
    <row r="3" spans="1:18" ht="1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1:18" ht="30.75" customHeight="1">
      <c r="A4" s="110" t="s">
        <v>34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</row>
    <row r="5" spans="1:18" s="3" customFormat="1" ht="24.75" customHeight="1">
      <c r="A5" s="35" t="s">
        <v>73</v>
      </c>
      <c r="B5" s="35"/>
      <c r="C5" s="35"/>
      <c r="D5" s="35"/>
      <c r="E5" s="35"/>
      <c r="F5" s="35"/>
      <c r="G5" s="35"/>
      <c r="H5" s="36"/>
      <c r="I5" s="35"/>
      <c r="J5" s="35"/>
      <c r="K5" s="35"/>
      <c r="L5" s="35"/>
      <c r="M5" s="37"/>
    </row>
    <row r="6" spans="1:18" s="3" customFormat="1" ht="19.5" customHeight="1">
      <c r="A6" s="106" t="s">
        <v>10</v>
      </c>
      <c r="B6" s="106"/>
      <c r="C6" s="38" t="s">
        <v>21</v>
      </c>
      <c r="D6" s="38"/>
      <c r="H6" s="38"/>
      <c r="I6" s="38"/>
      <c r="J6" s="38"/>
      <c r="K6" s="39"/>
      <c r="L6" s="39"/>
      <c r="M6" s="40"/>
    </row>
    <row r="7" spans="1:18" s="3" customFormat="1" ht="19.5" customHeight="1">
      <c r="A7" s="107" t="s">
        <v>0</v>
      </c>
      <c r="B7" s="107"/>
      <c r="C7" s="57" t="s">
        <v>23</v>
      </c>
      <c r="D7" s="57"/>
      <c r="H7" s="41"/>
      <c r="I7" s="41"/>
      <c r="J7" s="41"/>
      <c r="K7" s="42"/>
      <c r="L7" s="42"/>
      <c r="M7" s="43"/>
    </row>
    <row r="8" spans="1:18" s="3" customFormat="1" ht="19.5" customHeight="1">
      <c r="A8" s="107" t="s">
        <v>1</v>
      </c>
      <c r="B8" s="107"/>
      <c r="C8" s="57" t="s">
        <v>18</v>
      </c>
      <c r="D8" s="57"/>
      <c r="H8" s="44"/>
      <c r="I8" s="45"/>
      <c r="J8" s="45"/>
      <c r="K8" s="45"/>
      <c r="L8" s="45"/>
      <c r="M8" s="46"/>
    </row>
    <row r="9" spans="1:18" s="3" customFormat="1" ht="19.5" customHeight="1">
      <c r="A9" s="108" t="s">
        <v>11</v>
      </c>
      <c r="B9" s="108"/>
      <c r="C9" s="58" t="s">
        <v>19</v>
      </c>
      <c r="D9" s="58"/>
      <c r="H9" s="47"/>
      <c r="I9" s="48" t="s">
        <v>3</v>
      </c>
      <c r="J9" s="48"/>
      <c r="K9" s="34"/>
      <c r="L9" s="48"/>
      <c r="M9" s="49"/>
    </row>
    <row r="10" spans="1:18" s="3" customFormat="1" ht="16.5" customHeight="1">
      <c r="A10" s="50"/>
      <c r="B10" s="50"/>
      <c r="C10" s="50"/>
      <c r="D10" s="50"/>
      <c r="E10" s="50"/>
      <c r="F10" s="50"/>
      <c r="G10" s="50"/>
      <c r="H10" s="50"/>
      <c r="I10" s="51"/>
      <c r="J10" s="52"/>
      <c r="K10" s="34"/>
      <c r="L10" s="51"/>
      <c r="M10" s="49"/>
    </row>
    <row r="11" spans="1:18" s="3" customFormat="1" ht="19.5" customHeight="1">
      <c r="A11" s="109" t="s">
        <v>12</v>
      </c>
      <c r="B11" s="109"/>
      <c r="C11" s="62" t="s">
        <v>35</v>
      </c>
      <c r="D11" s="38"/>
      <c r="E11" s="38"/>
      <c r="F11" s="38"/>
      <c r="G11" s="38"/>
      <c r="H11" s="38"/>
      <c r="I11" s="38"/>
      <c r="J11" s="38"/>
      <c r="K11" s="71"/>
      <c r="L11" s="38"/>
      <c r="M11" s="38"/>
      <c r="N11" s="53"/>
      <c r="O11" s="72"/>
      <c r="P11" s="49"/>
      <c r="Q11" s="49"/>
      <c r="R11" s="49"/>
    </row>
    <row r="12" spans="1:18" s="3" customFormat="1" ht="19.5" customHeight="1">
      <c r="A12" s="109" t="s">
        <v>0</v>
      </c>
      <c r="B12" s="109"/>
      <c r="C12" s="73" t="s">
        <v>36</v>
      </c>
      <c r="D12" s="45"/>
      <c r="E12" s="42"/>
      <c r="F12" s="42"/>
      <c r="G12" s="42"/>
      <c r="H12" s="42"/>
      <c r="I12" s="42"/>
      <c r="J12" s="42"/>
      <c r="K12" s="53"/>
      <c r="L12" s="54"/>
      <c r="M12" s="54"/>
      <c r="N12" s="53"/>
      <c r="O12" s="72"/>
      <c r="P12" s="49"/>
      <c r="Q12" s="49"/>
      <c r="R12" s="49"/>
    </row>
    <row r="13" spans="1:18" s="3" customFormat="1" ht="19.5" customHeight="1">
      <c r="A13" s="109" t="s">
        <v>1</v>
      </c>
      <c r="B13" s="109"/>
      <c r="C13" s="74" t="s">
        <v>37</v>
      </c>
      <c r="D13" s="45"/>
      <c r="E13" s="45"/>
      <c r="F13" s="45"/>
      <c r="G13" s="52"/>
      <c r="H13" s="52"/>
      <c r="I13" s="52"/>
      <c r="J13" s="46"/>
      <c r="K13" s="53"/>
      <c r="L13" s="54"/>
      <c r="M13" s="26"/>
      <c r="N13" s="53"/>
      <c r="O13" s="72"/>
      <c r="P13" s="49"/>
      <c r="Q13" s="49"/>
      <c r="R13" s="49"/>
    </row>
    <row r="14" spans="1:18" s="3" customFormat="1" ht="19.5" customHeight="1">
      <c r="A14" s="108" t="s">
        <v>4</v>
      </c>
      <c r="B14" s="108"/>
      <c r="C14" s="61" t="s">
        <v>38</v>
      </c>
      <c r="D14" s="56"/>
      <c r="E14" s="56"/>
      <c r="F14" s="48" t="s">
        <v>17</v>
      </c>
      <c r="G14" s="48" t="s">
        <v>39</v>
      </c>
      <c r="H14" s="48"/>
      <c r="I14" s="48"/>
      <c r="J14" s="48"/>
      <c r="K14" s="48"/>
      <c r="L14" s="54"/>
      <c r="M14" s="54"/>
      <c r="N14" s="48"/>
      <c r="O14" s="72"/>
      <c r="P14" s="49"/>
      <c r="Q14" s="49"/>
      <c r="R14" s="49"/>
    </row>
    <row r="15" spans="1:18" s="3" customFormat="1" ht="39.75" customHeight="1">
      <c r="A15" s="102" t="s">
        <v>27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</row>
    <row r="16" spans="1:18" s="3" customFormat="1" ht="15" customHeight="1">
      <c r="A16" s="5"/>
      <c r="B16" s="5"/>
      <c r="C16" s="5"/>
      <c r="D16" s="5"/>
      <c r="H16" s="6"/>
      <c r="M16" s="4"/>
    </row>
    <row r="17" spans="1:14" ht="79.150000000000006" customHeight="1">
      <c r="A17" s="7" t="s">
        <v>2</v>
      </c>
      <c r="B17" s="8" t="s">
        <v>7</v>
      </c>
      <c r="C17" s="8" t="s">
        <v>8</v>
      </c>
      <c r="D17" s="8" t="s">
        <v>25</v>
      </c>
      <c r="E17" s="8" t="s">
        <v>6</v>
      </c>
      <c r="F17" s="8" t="s">
        <v>31</v>
      </c>
      <c r="G17" s="8" t="s">
        <v>32</v>
      </c>
      <c r="H17" s="8" t="s">
        <v>9</v>
      </c>
      <c r="I17" s="8" t="s">
        <v>14</v>
      </c>
      <c r="J17" s="8" t="s">
        <v>16</v>
      </c>
      <c r="K17" s="8" t="s">
        <v>30</v>
      </c>
      <c r="L17" s="8" t="s">
        <v>28</v>
      </c>
      <c r="M17" s="29" t="s">
        <v>29</v>
      </c>
      <c r="N17" s="29" t="s">
        <v>33</v>
      </c>
    </row>
    <row r="18" spans="1:14" s="1" customFormat="1" ht="28.5" customHeight="1">
      <c r="A18" s="64">
        <v>1</v>
      </c>
      <c r="B18" s="65" t="s">
        <v>67</v>
      </c>
      <c r="C18" s="64" t="s">
        <v>70</v>
      </c>
      <c r="D18" s="64" t="s">
        <v>41</v>
      </c>
      <c r="E18" s="75" t="s">
        <v>40</v>
      </c>
      <c r="F18" s="95">
        <v>46141</v>
      </c>
      <c r="G18" s="96">
        <v>46142</v>
      </c>
      <c r="H18" s="55">
        <v>1442024083</v>
      </c>
      <c r="I18" s="76">
        <v>0.5</v>
      </c>
      <c r="J18" s="66">
        <v>1</v>
      </c>
      <c r="K18" s="67">
        <v>11000000</v>
      </c>
      <c r="L18" s="67"/>
      <c r="M18" s="67">
        <v>11000000</v>
      </c>
      <c r="N18" s="65"/>
    </row>
    <row r="19" spans="1:14" s="1" customFormat="1" ht="28.5" customHeight="1">
      <c r="A19" s="64">
        <v>2</v>
      </c>
      <c r="B19" s="65" t="s">
        <v>68</v>
      </c>
      <c r="C19" s="64" t="s">
        <v>70</v>
      </c>
      <c r="D19" s="64" t="s">
        <v>42</v>
      </c>
      <c r="E19" s="75" t="s">
        <v>69</v>
      </c>
      <c r="F19" s="95">
        <v>46140</v>
      </c>
      <c r="G19" s="96">
        <v>46147</v>
      </c>
      <c r="H19" s="55">
        <v>2276890823</v>
      </c>
      <c r="I19" s="76">
        <v>0.3</v>
      </c>
      <c r="J19" s="66">
        <v>1</v>
      </c>
      <c r="K19" s="67">
        <v>22000000</v>
      </c>
      <c r="L19" s="67">
        <v>0</v>
      </c>
      <c r="M19" s="67">
        <v>22000000</v>
      </c>
      <c r="N19" s="65"/>
    </row>
    <row r="20" spans="1:14" ht="28.5" customHeight="1">
      <c r="A20" s="103" t="s">
        <v>20</v>
      </c>
      <c r="B20" s="103"/>
      <c r="C20" s="103"/>
      <c r="D20" s="103"/>
      <c r="E20" s="103"/>
      <c r="F20" s="68"/>
      <c r="G20" s="68"/>
      <c r="H20" s="60">
        <f>SUM(H18:H19)</f>
        <v>3718914906</v>
      </c>
      <c r="I20" s="60"/>
      <c r="J20" s="60"/>
      <c r="K20" s="60">
        <f>SUM(K18:K19)</f>
        <v>33000000</v>
      </c>
      <c r="L20" s="60">
        <f>SUM(L18:L19)</f>
        <v>0</v>
      </c>
      <c r="M20" s="60">
        <f>SUM(M18:M19)</f>
        <v>33000000</v>
      </c>
      <c r="N20" s="70"/>
    </row>
    <row r="21" spans="1:14" ht="28.5" customHeight="1">
      <c r="A21" s="99" t="s">
        <v>24</v>
      </c>
      <c r="B21" s="99"/>
      <c r="C21" s="99"/>
      <c r="D21" s="99"/>
      <c r="E21" s="99"/>
      <c r="F21" s="7"/>
      <c r="G21" s="7"/>
      <c r="H21" s="100"/>
      <c r="I21" s="100"/>
      <c r="J21" s="100"/>
      <c r="K21" s="100"/>
      <c r="L21" s="100"/>
      <c r="M21" s="69">
        <f>SUM(M20:M20)</f>
        <v>33000000</v>
      </c>
      <c r="N21" s="69"/>
    </row>
    <row r="22" spans="1:14" ht="9" customHeight="1">
      <c r="K22" s="12"/>
      <c r="M22" s="30"/>
    </row>
    <row r="23" spans="1:14" ht="20.25" customHeight="1">
      <c r="A23" s="15" t="s">
        <v>71</v>
      </c>
      <c r="B23" s="15"/>
      <c r="C23" s="15"/>
      <c r="D23" s="15"/>
      <c r="E23" s="59"/>
      <c r="F23" s="59"/>
      <c r="G23" s="59"/>
      <c r="H23" s="59"/>
      <c r="I23" s="59"/>
      <c r="J23" s="59"/>
      <c r="K23" s="59"/>
      <c r="L23" s="59"/>
      <c r="M23" s="59"/>
    </row>
    <row r="24" spans="1:14" ht="21" customHeight="1">
      <c r="A24" s="101" t="s">
        <v>15</v>
      </c>
      <c r="B24" s="101"/>
      <c r="C24" s="101"/>
      <c r="D24" s="101"/>
      <c r="E24" s="101"/>
      <c r="F24" s="101"/>
      <c r="G24" s="101"/>
      <c r="H24" s="101"/>
      <c r="I24" s="101"/>
      <c r="J24" s="16"/>
      <c r="K24" s="17"/>
      <c r="L24" s="18"/>
    </row>
    <row r="25" spans="1:14" ht="16.5" customHeight="1">
      <c r="A25" s="16"/>
      <c r="B25" s="16"/>
      <c r="C25" s="16"/>
      <c r="D25" s="16"/>
      <c r="E25" s="77"/>
      <c r="F25" s="19"/>
      <c r="G25" s="19"/>
      <c r="H25" s="20"/>
      <c r="I25" s="21"/>
      <c r="J25" s="21"/>
      <c r="K25" s="17"/>
      <c r="L25" s="18"/>
    </row>
    <row r="26" spans="1:14">
      <c r="A26" s="22"/>
      <c r="B26" s="22"/>
      <c r="C26" s="97" t="s">
        <v>13</v>
      </c>
      <c r="D26" s="97"/>
      <c r="E26" s="97"/>
      <c r="F26" s="23"/>
      <c r="G26" s="23"/>
      <c r="I26" s="24"/>
      <c r="J26" s="24"/>
      <c r="L26" s="23" t="s">
        <v>5</v>
      </c>
    </row>
    <row r="27" spans="1:14" ht="15">
      <c r="A27" s="22"/>
      <c r="B27" s="22"/>
      <c r="C27" s="25"/>
      <c r="D27" s="22"/>
      <c r="E27" s="77"/>
      <c r="F27" s="22"/>
      <c r="G27" s="22"/>
      <c r="I27" s="22"/>
      <c r="J27" s="22"/>
      <c r="L27" s="13"/>
    </row>
    <row r="28" spans="1:14" ht="15">
      <c r="C28" s="10"/>
      <c r="E28" s="77"/>
      <c r="L28" s="13"/>
    </row>
    <row r="29" spans="1:14" ht="15">
      <c r="C29" s="10"/>
      <c r="E29" s="77"/>
      <c r="L29" s="13"/>
    </row>
    <row r="30" spans="1:14" ht="15">
      <c r="C30" s="10"/>
      <c r="E30" s="77"/>
      <c r="L30" s="13"/>
    </row>
    <row r="31" spans="1:14" ht="15">
      <c r="C31" s="10"/>
      <c r="E31" s="77"/>
      <c r="L31" s="13"/>
    </row>
    <row r="32" spans="1:14" ht="16" customHeight="1">
      <c r="C32" s="10"/>
      <c r="E32" s="77"/>
      <c r="F32" s="23"/>
      <c r="G32" s="23"/>
      <c r="K32" s="23"/>
      <c r="L32" s="13"/>
    </row>
    <row r="33" spans="3:12">
      <c r="C33" s="98" t="s">
        <v>19</v>
      </c>
      <c r="D33" s="98"/>
      <c r="E33" s="98"/>
      <c r="L33" s="26" t="s">
        <v>38</v>
      </c>
    </row>
    <row r="34" spans="3:12" ht="15">
      <c r="E34" s="77"/>
    </row>
    <row r="35" spans="3:12" ht="15">
      <c r="E35" s="77"/>
    </row>
    <row r="36" spans="3:12" ht="15">
      <c r="E36" s="77"/>
    </row>
  </sheetData>
  <mergeCells count="18">
    <mergeCell ref="A15:M15"/>
    <mergeCell ref="A20:E20"/>
    <mergeCell ref="A1:M1"/>
    <mergeCell ref="A2:M2"/>
    <mergeCell ref="A6:B6"/>
    <mergeCell ref="A7:B7"/>
    <mergeCell ref="A14:B14"/>
    <mergeCell ref="A8:B8"/>
    <mergeCell ref="A9:B9"/>
    <mergeCell ref="A11:B11"/>
    <mergeCell ref="A12:B12"/>
    <mergeCell ref="A13:B13"/>
    <mergeCell ref="A4:P4"/>
    <mergeCell ref="C26:E26"/>
    <mergeCell ref="C33:E33"/>
    <mergeCell ref="A21:E21"/>
    <mergeCell ref="H21:L21"/>
    <mergeCell ref="A24:I24"/>
  </mergeCells>
  <conditionalFormatting sqref="B18:B19">
    <cfRule type="duplicateValues" dxfId="3" priority="3"/>
    <cfRule type="duplicateValues" dxfId="2" priority="4"/>
  </conditionalFormatting>
  <conditionalFormatting sqref="E27:E32 E1:E17 E34:E1048576 E20:E25">
    <cfRule type="duplicateValues" dxfId="1" priority="7"/>
  </conditionalFormatting>
  <conditionalFormatting sqref="H10">
    <cfRule type="duplicateValues" dxfId="0" priority="8"/>
  </conditionalFormatting>
  <printOptions horizontalCentered="1"/>
  <pageMargins left="0.7" right="0.7" top="0.75" bottom="0.75" header="0.3" footer="0.3"/>
  <pageSetup paperSize="9" scale="44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8549-EB59-43E2-B807-952DC8839BD7}">
  <sheetPr>
    <pageSetUpPr fitToPage="1"/>
  </sheetPr>
  <dimension ref="A1:G29"/>
  <sheetViews>
    <sheetView tabSelected="1" topLeftCell="A10" zoomScale="85" zoomScaleNormal="85" workbookViewId="0">
      <selection activeCell="A3" sqref="A3:C3"/>
    </sheetView>
  </sheetViews>
  <sheetFormatPr defaultColWidth="8.33203125" defaultRowHeight="16.5"/>
  <cols>
    <col min="1" max="1" width="12.58203125" style="78" bestFit="1" customWidth="1"/>
    <col min="2" max="2" width="20.83203125" style="78" customWidth="1"/>
    <col min="3" max="3" width="46.58203125" style="78" bestFit="1" customWidth="1"/>
    <col min="4" max="4" width="18.5" style="78" bestFit="1" customWidth="1"/>
    <col min="5" max="5" width="13.5" style="78" bestFit="1" customWidth="1"/>
    <col min="6" max="6" width="14.83203125" style="78" bestFit="1" customWidth="1"/>
    <col min="7" max="7" width="11.25" style="78" bestFit="1" customWidth="1"/>
    <col min="8" max="9" width="8.58203125" style="78" customWidth="1"/>
    <col min="10" max="16384" width="8.33203125" style="78"/>
  </cols>
  <sheetData>
    <row r="1" spans="1:7" ht="16.5" customHeight="1">
      <c r="A1" s="113" t="s">
        <v>35</v>
      </c>
      <c r="B1" s="113"/>
      <c r="C1" s="113"/>
      <c r="D1" s="114" t="s">
        <v>43</v>
      </c>
      <c r="E1" s="114"/>
      <c r="F1" s="114"/>
      <c r="G1" s="114"/>
    </row>
    <row r="2" spans="1:7">
      <c r="A2" s="115" t="s">
        <v>75</v>
      </c>
      <c r="B2" s="115"/>
      <c r="C2" s="115"/>
      <c r="D2" s="114" t="s">
        <v>44</v>
      </c>
      <c r="E2" s="114"/>
      <c r="F2" s="114"/>
      <c r="G2" s="114"/>
    </row>
    <row r="3" spans="1:7" ht="16.5" customHeight="1">
      <c r="A3" s="121" t="s">
        <v>45</v>
      </c>
      <c r="B3" s="121"/>
      <c r="C3" s="121"/>
      <c r="D3" s="122" t="s">
        <v>46</v>
      </c>
      <c r="E3" s="122"/>
      <c r="F3" s="122"/>
      <c r="G3" s="122"/>
    </row>
    <row r="4" spans="1:7">
      <c r="A4" s="115"/>
      <c r="B4" s="115"/>
      <c r="C4" s="115"/>
      <c r="D4" s="115"/>
      <c r="E4" s="115"/>
      <c r="F4" s="115"/>
    </row>
    <row r="5" spans="1:7" ht="20.5">
      <c r="A5" s="116" t="s">
        <v>47</v>
      </c>
      <c r="B5" s="116"/>
      <c r="C5" s="116"/>
      <c r="D5" s="116"/>
      <c r="E5" s="116"/>
      <c r="F5" s="116"/>
      <c r="G5" s="116"/>
    </row>
    <row r="6" spans="1:7" s="80" customFormat="1">
      <c r="A6" s="117"/>
      <c r="B6" s="117"/>
      <c r="C6" s="117"/>
      <c r="D6" s="79"/>
      <c r="E6" s="79"/>
      <c r="F6" s="79"/>
    </row>
    <row r="7" spans="1:7" ht="16.5" customHeight="1">
      <c r="A7" s="118" t="s">
        <v>34</v>
      </c>
      <c r="B7" s="118"/>
      <c r="C7" s="118"/>
      <c r="D7" s="118"/>
      <c r="E7" s="118"/>
      <c r="F7" s="118"/>
      <c r="G7" s="118"/>
    </row>
    <row r="8" spans="1:7">
      <c r="A8" s="118"/>
      <c r="B8" s="118"/>
      <c r="C8" s="118"/>
      <c r="D8" s="118"/>
      <c r="E8" s="118"/>
      <c r="F8" s="118"/>
      <c r="G8" s="118"/>
    </row>
    <row r="9" spans="1:7">
      <c r="A9" s="118"/>
      <c r="B9" s="118"/>
      <c r="C9" s="118"/>
      <c r="D9" s="118"/>
      <c r="E9" s="118"/>
      <c r="F9" s="118"/>
      <c r="G9" s="118"/>
    </row>
    <row r="10" spans="1:7">
      <c r="A10" s="118"/>
      <c r="B10" s="118"/>
      <c r="C10" s="118"/>
      <c r="D10" s="118"/>
      <c r="E10" s="118"/>
      <c r="F10" s="118"/>
      <c r="G10" s="118"/>
    </row>
    <row r="11" spans="1:7" ht="16.5" customHeight="1">
      <c r="A11" s="119" t="s">
        <v>48</v>
      </c>
      <c r="B11" s="119"/>
      <c r="C11" s="119"/>
      <c r="D11" s="119"/>
      <c r="E11" s="119"/>
      <c r="F11" s="119"/>
      <c r="G11" s="119"/>
    </row>
    <row r="12" spans="1:7" ht="16.5" customHeight="1">
      <c r="A12" s="120" t="s">
        <v>49</v>
      </c>
      <c r="B12" s="120"/>
      <c r="C12" s="120"/>
      <c r="D12" s="120"/>
      <c r="E12" s="120"/>
      <c r="F12" s="120"/>
      <c r="G12" s="120"/>
    </row>
    <row r="13" spans="1:7">
      <c r="A13" s="81" t="s">
        <v>50</v>
      </c>
      <c r="D13" s="82">
        <f>BB!M21</f>
        <v>33000000</v>
      </c>
      <c r="F13" s="78" t="s">
        <v>51</v>
      </c>
    </row>
    <row r="14" spans="1:7">
      <c r="A14" s="83" t="s">
        <v>52</v>
      </c>
      <c r="B14" s="84" t="s">
        <v>72</v>
      </c>
      <c r="C14" s="85"/>
      <c r="D14" s="85"/>
    </row>
    <row r="15" spans="1:7" ht="18">
      <c r="A15" s="78" t="s">
        <v>53</v>
      </c>
      <c r="B15" s="86"/>
      <c r="C15" s="86"/>
      <c r="D15" s="86"/>
      <c r="E15" s="86"/>
      <c r="F15" s="86"/>
    </row>
    <row r="16" spans="1:7" ht="16.5" customHeight="1">
      <c r="A16" s="112" t="s">
        <v>54</v>
      </c>
      <c r="B16" s="112"/>
      <c r="C16" s="112"/>
      <c r="D16" s="112"/>
      <c r="E16" s="112"/>
      <c r="F16" s="112"/>
      <c r="G16" s="112"/>
    </row>
    <row r="17" spans="1:7" ht="16.5" customHeight="1">
      <c r="A17" s="87"/>
      <c r="B17" s="88" t="s">
        <v>55</v>
      </c>
      <c r="C17" s="89" t="s">
        <v>56</v>
      </c>
      <c r="D17" s="87"/>
      <c r="E17" s="87"/>
      <c r="F17" s="87"/>
      <c r="G17" s="87"/>
    </row>
    <row r="18" spans="1:7">
      <c r="A18" s="87"/>
      <c r="B18" s="88" t="s">
        <v>57</v>
      </c>
      <c r="C18" s="90" t="s">
        <v>58</v>
      </c>
      <c r="D18" s="87"/>
      <c r="E18" s="87"/>
      <c r="F18" s="87"/>
      <c r="G18" s="87"/>
    </row>
    <row r="19" spans="1:7">
      <c r="A19" s="87"/>
      <c r="B19" s="88" t="s">
        <v>59</v>
      </c>
      <c r="C19" s="89" t="s">
        <v>60</v>
      </c>
      <c r="D19" s="87" t="s">
        <v>61</v>
      </c>
      <c r="E19" s="87"/>
      <c r="F19" s="87"/>
      <c r="G19" s="87"/>
    </row>
    <row r="20" spans="1:7">
      <c r="A20" s="78" t="s">
        <v>62</v>
      </c>
    </row>
    <row r="21" spans="1:7" ht="16.5" customHeight="1">
      <c r="D21" s="113" t="s">
        <v>63</v>
      </c>
      <c r="E21" s="113"/>
      <c r="F21" s="113"/>
      <c r="G21" s="113"/>
    </row>
    <row r="22" spans="1:7">
      <c r="A22" s="91" t="s">
        <v>64</v>
      </c>
      <c r="D22" s="92"/>
      <c r="E22" s="92"/>
      <c r="F22" s="92"/>
      <c r="G22" s="92"/>
    </row>
    <row r="23" spans="1:7">
      <c r="A23" s="93" t="s">
        <v>65</v>
      </c>
      <c r="B23" s="94"/>
      <c r="D23" s="88"/>
      <c r="E23" s="88"/>
      <c r="F23" s="88"/>
    </row>
    <row r="24" spans="1:7">
      <c r="A24" s="93" t="s">
        <v>66</v>
      </c>
      <c r="B24" s="94"/>
      <c r="D24" s="88"/>
      <c r="E24" s="88"/>
      <c r="F24" s="88"/>
    </row>
    <row r="25" spans="1:7">
      <c r="B25" s="94"/>
      <c r="D25" s="88"/>
      <c r="E25" s="88"/>
      <c r="F25" s="88"/>
    </row>
    <row r="26" spans="1:7">
      <c r="A26" s="81"/>
      <c r="D26" s="114"/>
      <c r="E26" s="114"/>
      <c r="F26" s="114"/>
      <c r="G26" s="114"/>
    </row>
    <row r="27" spans="1:7">
      <c r="A27" s="81"/>
      <c r="D27" s="88"/>
      <c r="E27" s="88"/>
      <c r="F27" s="88"/>
    </row>
    <row r="29" spans="1:7">
      <c r="D29" s="114" t="s">
        <v>38</v>
      </c>
      <c r="E29" s="114"/>
      <c r="F29" s="114"/>
      <c r="G29" s="114"/>
    </row>
  </sheetData>
  <mergeCells count="16">
    <mergeCell ref="A1:C1"/>
    <mergeCell ref="D1:G1"/>
    <mergeCell ref="A2:C2"/>
    <mergeCell ref="D2:G2"/>
    <mergeCell ref="A3:C3"/>
    <mergeCell ref="D3:G3"/>
    <mergeCell ref="A16:G16"/>
    <mergeCell ref="D21:G21"/>
    <mergeCell ref="D26:G26"/>
    <mergeCell ref="D29:G29"/>
    <mergeCell ref="A4:F4"/>
    <mergeCell ref="A5:G5"/>
    <mergeCell ref="A6:C6"/>
    <mergeCell ref="A7:G10"/>
    <mergeCell ref="A11:G11"/>
    <mergeCell ref="A12:G12"/>
  </mergeCells>
  <pageMargins left="0.7" right="0.7" top="0.75" bottom="0.75" header="0.3" footer="0.3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3"/>
  <sheetViews>
    <sheetView workbookViewId="0">
      <selection activeCell="A4" sqref="A4"/>
    </sheetView>
  </sheetViews>
  <sheetFormatPr defaultRowHeight="15.5"/>
  <cols>
    <col min="1" max="1" width="83.75" style="32" customWidth="1"/>
    <col min="3" max="3" width="13" style="63" customWidth="1"/>
  </cols>
  <sheetData>
    <row r="3" spans="1:3" ht="65.25" customHeight="1">
      <c r="A3" s="33" t="s">
        <v>74</v>
      </c>
      <c r="C3" s="63">
        <f>BB!M20</f>
        <v>33000000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BB</vt:lpstr>
      <vt:lpstr>ĐNTT</vt:lpstr>
      <vt:lpstr>Hóa đơn PMG</vt:lpstr>
      <vt:lpstr>BB!Print_Area</vt:lpstr>
      <vt:lpstr>BB!Print_Titles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Van_PC</dc:creator>
  <cp:lastModifiedBy>ho lanvien</cp:lastModifiedBy>
  <cp:lastPrinted>2026-05-18T06:43:23Z</cp:lastPrinted>
  <dcterms:created xsi:type="dcterms:W3CDTF">2021-11-03T05:08:16Z</dcterms:created>
  <dcterms:modified xsi:type="dcterms:W3CDTF">2026-06-24T02:14:56Z</dcterms:modified>
</cp:coreProperties>
</file>